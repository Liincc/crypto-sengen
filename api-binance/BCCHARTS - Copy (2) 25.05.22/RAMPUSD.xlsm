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65EAF4A4-CF04-4B7F-9FF8-4EF08EF0553E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S766" i="1"/>
  <c r="T766" i="1" s="1"/>
  <c r="C2" i="1" l="1"/>
  <c r="D2" i="1"/>
  <c r="C118" i="5"/>
  <c r="C122" i="5"/>
  <c r="C133" i="5" s="1"/>
  <c r="D136" i="5" s="1"/>
  <c r="C116" i="4"/>
  <c r="C122" i="4"/>
  <c r="C133" i="4" s="1"/>
  <c r="C136" i="4" s="1"/>
  <c r="R765" i="1"/>
  <c r="C116" i="3"/>
  <c r="C122" i="3"/>
  <c r="C133" i="3" s="1"/>
  <c r="C136" i="3" s="1"/>
  <c r="C136" i="5" l="1"/>
  <c r="C138" i="5" s="1"/>
  <c r="D136" i="4"/>
  <c r="C138" i="4" s="1"/>
  <c r="R764" i="1"/>
  <c r="S765" i="1"/>
  <c r="T765" i="1" s="1"/>
  <c r="D136" i="3"/>
  <c r="C138" i="3" s="1"/>
  <c r="R763" i="1" l="1"/>
  <c r="S764" i="1"/>
  <c r="T764" i="1" s="1"/>
  <c r="R762" i="1" l="1"/>
  <c r="S763" i="1"/>
  <c r="T763" i="1" s="1"/>
  <c r="S762" i="1" l="1"/>
  <c r="T762" i="1" s="1"/>
  <c r="R761" i="1"/>
  <c r="R760" i="1" l="1"/>
  <c r="S761" i="1"/>
  <c r="T761" i="1" s="1"/>
  <c r="S760" i="1" l="1"/>
  <c r="T760" i="1" s="1"/>
  <c r="R759" i="1"/>
  <c r="S759" i="1" l="1"/>
  <c r="T759" i="1" s="1"/>
  <c r="R758" i="1"/>
  <c r="R757" i="1" l="1"/>
  <c r="S758" i="1"/>
  <c r="T758" i="1" s="1"/>
  <c r="S757" i="1" l="1"/>
  <c r="T757" i="1" s="1"/>
  <c r="R756" i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S752" i="1" l="1"/>
  <c r="T752" i="1" s="1"/>
  <c r="R751" i="1"/>
  <c r="S751" i="1" l="1"/>
  <c r="T751" i="1" s="1"/>
  <c r="R750" i="1"/>
  <c r="S750" i="1" l="1"/>
  <c r="T750" i="1" s="1"/>
  <c r="R749" i="1"/>
  <c r="S749" i="1" l="1"/>
  <c r="T749" i="1" s="1"/>
  <c r="R748" i="1"/>
  <c r="R747" i="1" l="1"/>
  <c r="S748" i="1"/>
  <c r="T748" i="1" s="1"/>
  <c r="S747" i="1" l="1"/>
  <c r="T747" i="1" s="1"/>
  <c r="R746" i="1"/>
  <c r="R745" i="1" l="1"/>
  <c r="S746" i="1"/>
  <c r="T746" i="1" s="1"/>
  <c r="R744" i="1" l="1"/>
  <c r="S745" i="1"/>
  <c r="T745" i="1" s="1"/>
  <c r="S744" i="1" l="1"/>
  <c r="T744" i="1" s="1"/>
  <c r="R743" i="1"/>
  <c r="R742" i="1" l="1"/>
  <c r="S743" i="1"/>
  <c r="T743" i="1" s="1"/>
  <c r="S742" i="1" l="1"/>
  <c r="T742" i="1" s="1"/>
  <c r="R741" i="1"/>
  <c r="S741" i="1" l="1"/>
  <c r="T741" i="1" s="1"/>
  <c r="R740" i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S736" i="1" l="1"/>
  <c r="T736" i="1" s="1"/>
  <c r="R735" i="1"/>
  <c r="S735" i="1" l="1"/>
  <c r="T735" i="1" s="1"/>
  <c r="R734" i="1"/>
  <c r="S734" i="1" l="1"/>
  <c r="T734" i="1" s="1"/>
  <c r="R733" i="1"/>
  <c r="S733" i="1" l="1"/>
  <c r="T733" i="1" s="1"/>
  <c r="R732" i="1"/>
  <c r="R731" i="1" l="1"/>
  <c r="S732" i="1"/>
  <c r="T732" i="1" s="1"/>
  <c r="R730" i="1" l="1"/>
  <c r="S731" i="1"/>
  <c r="T731" i="1" s="1"/>
  <c r="R729" i="1" l="1"/>
  <c r="S730" i="1"/>
  <c r="T730" i="1" s="1"/>
  <c r="S729" i="1" l="1"/>
  <c r="T729" i="1" s="1"/>
  <c r="R728" i="1"/>
  <c r="S728" i="1" l="1"/>
  <c r="T728" i="1" s="1"/>
  <c r="R727" i="1"/>
  <c r="S727" i="1" l="1"/>
  <c r="T727" i="1" s="1"/>
  <c r="R726" i="1"/>
  <c r="S726" i="1" l="1"/>
  <c r="T726" i="1" s="1"/>
  <c r="R725" i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S721" i="1" l="1"/>
  <c r="T721" i="1" s="1"/>
  <c r="R720" i="1"/>
  <c r="S720" i="1" l="1"/>
  <c r="T720" i="1" s="1"/>
  <c r="R719" i="1"/>
  <c r="S719" i="1" l="1"/>
  <c r="T719" i="1" s="1"/>
  <c r="R718" i="1"/>
  <c r="S718" i="1" l="1"/>
  <c r="T718" i="1" s="1"/>
  <c r="R717" i="1"/>
  <c r="R716" i="1" l="1"/>
  <c r="S717" i="1"/>
  <c r="T717" i="1" s="1"/>
  <c r="R715" i="1" l="1"/>
  <c r="S716" i="1"/>
  <c r="T716" i="1" s="1"/>
  <c r="R714" i="1" l="1"/>
  <c r="S715" i="1"/>
  <c r="T715" i="1" s="1"/>
  <c r="S714" i="1" l="1"/>
  <c r="T714" i="1" s="1"/>
  <c r="R713" i="1"/>
  <c r="R712" i="1" l="1"/>
  <c r="S713" i="1"/>
  <c r="T713" i="1" s="1"/>
  <c r="R711" i="1" l="1"/>
  <c r="S712" i="1"/>
  <c r="T712" i="1" s="1"/>
  <c r="S711" i="1" l="1"/>
  <c r="T711" i="1" s="1"/>
  <c r="R710" i="1"/>
  <c r="R709" i="1" l="1"/>
  <c r="S710" i="1"/>
  <c r="T710" i="1" s="1"/>
  <c r="S709" i="1" l="1"/>
  <c r="T709" i="1" s="1"/>
  <c r="R708" i="1"/>
  <c r="S708" i="1" l="1"/>
  <c r="T708" i="1" s="1"/>
  <c r="R707" i="1"/>
  <c r="R706" i="1" l="1"/>
  <c r="S707" i="1"/>
  <c r="T707" i="1" s="1"/>
  <c r="S706" i="1" l="1"/>
  <c r="T706" i="1" s="1"/>
  <c r="R705" i="1"/>
  <c r="R704" i="1" l="1"/>
  <c r="S705" i="1"/>
  <c r="T705" i="1" s="1"/>
  <c r="R703" i="1" l="1"/>
  <c r="S704" i="1"/>
  <c r="T704" i="1" s="1"/>
  <c r="S703" i="1" l="1"/>
  <c r="T703" i="1" s="1"/>
  <c r="R702" i="1"/>
  <c r="R701" i="1" l="1"/>
  <c r="S702" i="1"/>
  <c r="T702" i="1" s="1"/>
  <c r="S701" i="1" l="1"/>
  <c r="T701" i="1" s="1"/>
  <c r="R700" i="1"/>
  <c r="S700" i="1" l="1"/>
  <c r="T700" i="1" s="1"/>
  <c r="R699" i="1"/>
  <c r="R698" i="1" l="1"/>
  <c r="S699" i="1"/>
  <c r="T699" i="1" s="1"/>
  <c r="S698" i="1" l="1"/>
  <c r="T698" i="1" s="1"/>
  <c r="R697" i="1"/>
  <c r="R696" i="1" l="1"/>
  <c r="S697" i="1"/>
  <c r="T697" i="1" s="1"/>
  <c r="R695" i="1" l="1"/>
  <c r="S696" i="1"/>
  <c r="T696" i="1" s="1"/>
  <c r="S695" i="1" l="1"/>
  <c r="T695" i="1" s="1"/>
  <c r="R694" i="1"/>
  <c r="R693" i="1" l="1"/>
  <c r="S694" i="1"/>
  <c r="T694" i="1" s="1"/>
  <c r="S693" i="1" l="1"/>
  <c r="T693" i="1" s="1"/>
  <c r="R692" i="1"/>
  <c r="S692" i="1" l="1"/>
  <c r="T692" i="1" s="1"/>
  <c r="R691" i="1"/>
  <c r="R690" i="1" l="1"/>
  <c r="S691" i="1"/>
  <c r="T691" i="1" s="1"/>
  <c r="S690" i="1" l="1"/>
  <c r="T690" i="1" s="1"/>
  <c r="R689" i="1"/>
  <c r="R688" i="1" l="1"/>
  <c r="S689" i="1"/>
  <c r="T689" i="1" s="1"/>
  <c r="R687" i="1" l="1"/>
  <c r="S688" i="1"/>
  <c r="T688" i="1" s="1"/>
  <c r="S687" i="1" l="1"/>
  <c r="T687" i="1" s="1"/>
  <c r="R686" i="1"/>
  <c r="S686" i="1" l="1"/>
  <c r="T686" i="1" s="1"/>
  <c r="R685" i="1"/>
  <c r="S685" i="1" l="1"/>
  <c r="T685" i="1" s="1"/>
  <c r="R684" i="1"/>
  <c r="S684" i="1" l="1"/>
  <c r="T684" i="1" s="1"/>
  <c r="R683" i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S679" i="1" l="1"/>
  <c r="T679" i="1" s="1"/>
  <c r="R678" i="1"/>
  <c r="S678" i="1" l="1"/>
  <c r="T678" i="1" s="1"/>
  <c r="R677" i="1"/>
  <c r="S677" i="1" l="1"/>
  <c r="T677" i="1" s="1"/>
  <c r="R676" i="1"/>
  <c r="S676" i="1" l="1"/>
  <c r="T676" i="1" s="1"/>
  <c r="R675" i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S671" i="1" l="1"/>
  <c r="T671" i="1" s="1"/>
  <c r="R670" i="1"/>
  <c r="S670" i="1" l="1"/>
  <c r="T670" i="1" s="1"/>
  <c r="R669" i="1"/>
  <c r="S669" i="1" l="1"/>
  <c r="T669" i="1" s="1"/>
  <c r="R668" i="1"/>
  <c r="S668" i="1" l="1"/>
  <c r="T668" i="1" s="1"/>
  <c r="R667" i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S663" i="1" l="1"/>
  <c r="T663" i="1" s="1"/>
  <c r="R662" i="1"/>
  <c r="S662" i="1" l="1"/>
  <c r="T662" i="1" s="1"/>
  <c r="R661" i="1"/>
  <c r="S661" i="1" l="1"/>
  <c r="T661" i="1" s="1"/>
  <c r="R660" i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S656" i="1" l="1"/>
  <c r="T656" i="1" s="1"/>
  <c r="R655" i="1"/>
  <c r="S655" i="1" l="1"/>
  <c r="T655" i="1" s="1"/>
  <c r="R654" i="1"/>
  <c r="S654" i="1" l="1"/>
  <c r="T654" i="1" s="1"/>
  <c r="R653" i="1"/>
  <c r="S653" i="1" l="1"/>
  <c r="T653" i="1" s="1"/>
  <c r="R652" i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S648" i="1" l="1"/>
  <c r="T648" i="1" s="1"/>
  <c r="R647" i="1"/>
  <c r="S647" i="1" l="1"/>
  <c r="T647" i="1" s="1"/>
  <c r="R646" i="1"/>
  <c r="S646" i="1" l="1"/>
  <c r="T646" i="1" s="1"/>
  <c r="R645" i="1"/>
  <c r="S645" i="1" l="1"/>
  <c r="T645" i="1" s="1"/>
  <c r="R644" i="1"/>
  <c r="R643" i="1" l="1"/>
  <c r="S644" i="1"/>
  <c r="T644" i="1" s="1"/>
  <c r="S643" i="1" l="1"/>
  <c r="T643" i="1" s="1"/>
  <c r="R642" i="1"/>
  <c r="R641" i="1" l="1"/>
  <c r="S642" i="1"/>
  <c r="T642" i="1" s="1"/>
  <c r="R640" i="1" l="1"/>
  <c r="S641" i="1"/>
  <c r="T641" i="1" s="1"/>
  <c r="S640" i="1" l="1"/>
  <c r="T640" i="1" s="1"/>
  <c r="R639" i="1"/>
  <c r="R638" i="1" l="1"/>
  <c r="S639" i="1"/>
  <c r="T639" i="1" s="1"/>
  <c r="S638" i="1" l="1"/>
  <c r="T638" i="1" s="1"/>
  <c r="R637" i="1"/>
  <c r="S637" i="1" l="1"/>
  <c r="T637" i="1" s="1"/>
  <c r="R636" i="1"/>
  <c r="R635" i="1" l="1"/>
  <c r="S636" i="1"/>
  <c r="T636" i="1" s="1"/>
  <c r="S635" i="1" l="1"/>
  <c r="T635" i="1" s="1"/>
  <c r="R634" i="1"/>
  <c r="S634" i="1" l="1"/>
  <c r="T634" i="1" s="1"/>
  <c r="R633" i="1"/>
  <c r="R632" i="1" l="1"/>
  <c r="S633" i="1"/>
  <c r="T633" i="1" s="1"/>
  <c r="S632" i="1" l="1"/>
  <c r="T632" i="1" s="1"/>
  <c r="R631" i="1"/>
  <c r="R630" i="1" l="1"/>
  <c r="S631" i="1"/>
  <c r="T631" i="1" s="1"/>
  <c r="S630" i="1" l="1"/>
  <c r="T630" i="1" s="1"/>
  <c r="R629" i="1"/>
  <c r="S629" i="1" l="1"/>
  <c r="T629" i="1" s="1"/>
  <c r="R628" i="1"/>
  <c r="R627" i="1" l="1"/>
  <c r="S628" i="1"/>
  <c r="T628" i="1" s="1"/>
  <c r="S627" i="1" l="1"/>
  <c r="T627" i="1" s="1"/>
  <c r="R626" i="1"/>
  <c r="R625" i="1" l="1"/>
  <c r="S626" i="1"/>
  <c r="T626" i="1" s="1"/>
  <c r="R624" i="1" l="1"/>
  <c r="S625" i="1"/>
  <c r="T625" i="1" s="1"/>
  <c r="S624" i="1" l="1"/>
  <c r="T624" i="1" s="1"/>
  <c r="R623" i="1"/>
  <c r="R622" i="1" l="1"/>
  <c r="S623" i="1"/>
  <c r="T623" i="1" s="1"/>
  <c r="S622" i="1" l="1"/>
  <c r="T622" i="1" s="1"/>
  <c r="R621" i="1"/>
  <c r="S621" i="1" l="1"/>
  <c r="T621" i="1" s="1"/>
  <c r="R620" i="1"/>
  <c r="R619" i="1" l="1"/>
  <c r="S620" i="1"/>
  <c r="T620" i="1" s="1"/>
  <c r="S619" i="1" l="1"/>
  <c r="T619" i="1" s="1"/>
  <c r="R618" i="1"/>
  <c r="S618" i="1" l="1"/>
  <c r="T618" i="1" s="1"/>
  <c r="R617" i="1"/>
  <c r="R616" i="1" l="1"/>
  <c r="S617" i="1"/>
  <c r="T617" i="1" s="1"/>
  <c r="S616" i="1" l="1"/>
  <c r="T616" i="1" s="1"/>
  <c r="R615" i="1"/>
  <c r="S615" i="1" l="1"/>
  <c r="T615" i="1" s="1"/>
  <c r="R614" i="1"/>
  <c r="S614" i="1" l="1"/>
  <c r="T614" i="1" s="1"/>
  <c r="R613" i="1"/>
  <c r="S613" i="1" l="1"/>
  <c r="T613" i="1" s="1"/>
  <c r="R612" i="1"/>
  <c r="R611" i="1" l="1"/>
  <c r="S612" i="1"/>
  <c r="T612" i="1" s="1"/>
  <c r="R610" i="1" l="1"/>
  <c r="S611" i="1"/>
  <c r="T611" i="1" s="1"/>
  <c r="R609" i="1" l="1"/>
  <c r="S610" i="1"/>
  <c r="T610" i="1" s="1"/>
  <c r="S609" i="1" l="1"/>
  <c r="T609" i="1" s="1"/>
  <c r="R608" i="1"/>
  <c r="S608" i="1" l="1"/>
  <c r="T608" i="1" s="1"/>
  <c r="R607" i="1"/>
  <c r="S607" i="1" l="1"/>
  <c r="T607" i="1" s="1"/>
  <c r="R606" i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S602" i="1" l="1"/>
  <c r="T602" i="1" s="1"/>
  <c r="R601" i="1"/>
  <c r="R600" i="1" l="1"/>
  <c r="S601" i="1"/>
  <c r="T601" i="1" s="1"/>
  <c r="S600" i="1" l="1"/>
  <c r="T600" i="1" s="1"/>
  <c r="R599" i="1"/>
  <c r="S599" i="1" l="1"/>
  <c r="T599" i="1" s="1"/>
  <c r="R598" i="1"/>
  <c r="R597" i="1" l="1"/>
  <c r="S598" i="1"/>
  <c r="T598" i="1" s="1"/>
  <c r="S597" i="1" l="1"/>
  <c r="T597" i="1" s="1"/>
  <c r="R596" i="1"/>
  <c r="S596" i="1" l="1"/>
  <c r="T596" i="1" s="1"/>
  <c r="R595" i="1"/>
  <c r="R594" i="1" l="1"/>
  <c r="S595" i="1"/>
  <c r="T595" i="1" s="1"/>
  <c r="S594" i="1" l="1"/>
  <c r="T594" i="1" s="1"/>
  <c r="R593" i="1"/>
  <c r="R592" i="1" l="1"/>
  <c r="S593" i="1"/>
  <c r="T593" i="1" s="1"/>
  <c r="S592" i="1" l="1"/>
  <c r="T592" i="1" s="1"/>
  <c r="R591" i="1"/>
  <c r="S591" i="1" l="1"/>
  <c r="T591" i="1" s="1"/>
  <c r="R590" i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S586" i="1" l="1"/>
  <c r="T586" i="1" s="1"/>
  <c r="R585" i="1"/>
  <c r="S585" i="1" l="1"/>
  <c r="T585" i="1" s="1"/>
  <c r="R584" i="1"/>
  <c r="S584" i="1" l="1"/>
  <c r="T584" i="1" s="1"/>
  <c r="R583" i="1"/>
  <c r="R582" i="1" l="1"/>
  <c r="S583" i="1"/>
  <c r="T583" i="1" s="1"/>
  <c r="S582" i="1" l="1"/>
  <c r="T582" i="1" s="1"/>
  <c r="R581" i="1"/>
  <c r="R580" i="1" l="1"/>
  <c r="S581" i="1"/>
  <c r="T581" i="1" s="1"/>
  <c r="R579" i="1" l="1"/>
  <c r="S580" i="1"/>
  <c r="T580" i="1" s="1"/>
  <c r="S579" i="1" l="1"/>
  <c r="T579" i="1" s="1"/>
  <c r="R578" i="1"/>
  <c r="R577" i="1" l="1"/>
  <c r="S578" i="1"/>
  <c r="T578" i="1" s="1"/>
  <c r="S577" i="1" l="1"/>
  <c r="T577" i="1" s="1"/>
  <c r="R576" i="1"/>
  <c r="S576" i="1" l="1"/>
  <c r="T576" i="1" s="1"/>
  <c r="R575" i="1"/>
  <c r="R574" i="1" l="1"/>
  <c r="S575" i="1"/>
  <c r="T575" i="1" s="1"/>
  <c r="S574" i="1" l="1"/>
  <c r="T574" i="1" s="1"/>
  <c r="R573" i="1"/>
  <c r="R572" i="1" l="1"/>
  <c r="S573" i="1"/>
  <c r="T573" i="1" s="1"/>
  <c r="R571" i="1" l="1"/>
  <c r="S572" i="1"/>
  <c r="T572" i="1" s="1"/>
  <c r="S571" i="1" l="1"/>
  <c r="T571" i="1" s="1"/>
  <c r="R570" i="1"/>
  <c r="R569" i="1" l="1"/>
  <c r="S570" i="1"/>
  <c r="T570" i="1" s="1"/>
  <c r="S569" i="1" l="1"/>
  <c r="T569" i="1" s="1"/>
  <c r="R568" i="1"/>
  <c r="S568" i="1" l="1"/>
  <c r="T568" i="1" s="1"/>
  <c r="R567" i="1"/>
  <c r="S567" i="1" l="1"/>
  <c r="T567" i="1" s="1"/>
  <c r="R566" i="1"/>
  <c r="S566" i="1" l="1"/>
  <c r="T566" i="1" s="1"/>
  <c r="R565" i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S561" i="1" l="1"/>
  <c r="T561" i="1" s="1"/>
  <c r="R560" i="1"/>
  <c r="S560" i="1" l="1"/>
  <c r="T560" i="1" s="1"/>
  <c r="R559" i="1"/>
  <c r="S559" i="1" l="1"/>
  <c r="T559" i="1" s="1"/>
  <c r="R558" i="1"/>
  <c r="S558" i="1" l="1"/>
  <c r="T558" i="1" s="1"/>
  <c r="R557" i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S553" i="1" l="1"/>
  <c r="T553" i="1" s="1"/>
  <c r="R552" i="1"/>
  <c r="S552" i="1" l="1"/>
  <c r="T552" i="1" s="1"/>
  <c r="R551" i="1"/>
  <c r="S551" i="1" l="1"/>
  <c r="T551" i="1" s="1"/>
  <c r="R550" i="1"/>
  <c r="S550" i="1" l="1"/>
  <c r="T550" i="1" s="1"/>
  <c r="R549" i="1"/>
  <c r="R548" i="1" l="1"/>
  <c r="S549" i="1"/>
  <c r="T549" i="1" s="1"/>
  <c r="S548" i="1" l="1"/>
  <c r="T548" i="1" s="1"/>
  <c r="R547" i="1"/>
  <c r="R546" i="1" l="1"/>
  <c r="S547" i="1"/>
  <c r="T547" i="1" s="1"/>
  <c r="R545" i="1" l="1"/>
  <c r="S546" i="1"/>
  <c r="T546" i="1" s="1"/>
  <c r="S545" i="1" l="1"/>
  <c r="T545" i="1" s="1"/>
  <c r="R544" i="1"/>
  <c r="R543" i="1" l="1"/>
  <c r="S544" i="1"/>
  <c r="T544" i="1" s="1"/>
  <c r="S543" i="1" l="1"/>
  <c r="T543" i="1" s="1"/>
  <c r="R542" i="1"/>
  <c r="S542" i="1" l="1"/>
  <c r="T542" i="1" s="1"/>
  <c r="R541" i="1"/>
  <c r="R540" i="1" l="1"/>
  <c r="S541" i="1"/>
  <c r="T541" i="1" s="1"/>
  <c r="S540" i="1" l="1"/>
  <c r="T540" i="1" s="1"/>
  <c r="R539" i="1"/>
  <c r="R538" i="1" l="1"/>
  <c r="S539" i="1"/>
  <c r="T539" i="1" s="1"/>
  <c r="R537" i="1" l="1"/>
  <c r="S538" i="1"/>
  <c r="T538" i="1" s="1"/>
  <c r="S537" i="1" l="1"/>
  <c r="T537" i="1" s="1"/>
  <c r="R536" i="1"/>
  <c r="R535" i="1" l="1"/>
  <c r="S536" i="1"/>
  <c r="T536" i="1" s="1"/>
  <c r="S535" i="1" l="1"/>
  <c r="T535" i="1" s="1"/>
  <c r="R534" i="1"/>
  <c r="S534" i="1" l="1"/>
  <c r="T534" i="1" s="1"/>
  <c r="R533" i="1"/>
  <c r="R532" i="1" l="1"/>
  <c r="S533" i="1"/>
  <c r="T533" i="1" s="1"/>
  <c r="S532" i="1" l="1"/>
  <c r="T532" i="1" s="1"/>
  <c r="R531" i="1"/>
  <c r="S531" i="1" l="1"/>
  <c r="T531" i="1" s="1"/>
  <c r="R530" i="1"/>
  <c r="R529" i="1" l="1"/>
  <c r="S530" i="1"/>
  <c r="T530" i="1" s="1"/>
  <c r="S529" i="1" l="1"/>
  <c r="T529" i="1" s="1"/>
  <c r="R528" i="1"/>
  <c r="R527" i="1" l="1"/>
  <c r="S528" i="1"/>
  <c r="T528" i="1" s="1"/>
  <c r="S527" i="1" l="1"/>
  <c r="T527" i="1" s="1"/>
  <c r="R526" i="1"/>
  <c r="S526" i="1" l="1"/>
  <c r="T526" i="1" s="1"/>
  <c r="R525" i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S520" i="1" l="1"/>
  <c r="T520" i="1" s="1"/>
  <c r="R519" i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S514" i="1" l="1"/>
  <c r="T514" i="1" s="1"/>
  <c r="R513" i="1"/>
  <c r="R512" i="1" l="1"/>
  <c r="S513" i="1"/>
  <c r="T513" i="1" s="1"/>
  <c r="R511" i="1" l="1"/>
  <c r="S512" i="1"/>
  <c r="T512" i="1" s="1"/>
  <c r="R510" i="1" l="1"/>
  <c r="S511" i="1"/>
  <c r="T511" i="1" s="1"/>
  <c r="S510" i="1" l="1"/>
  <c r="T510" i="1" s="1"/>
  <c r="R509" i="1"/>
  <c r="R508" i="1" l="1"/>
  <c r="S509" i="1"/>
  <c r="T509" i="1" s="1"/>
  <c r="R507" i="1" l="1"/>
  <c r="S508" i="1"/>
  <c r="T508" i="1" s="1"/>
  <c r="S507" i="1" l="1"/>
  <c r="T507" i="1" s="1"/>
  <c r="R506" i="1"/>
  <c r="R505" i="1" l="1"/>
  <c r="S506" i="1"/>
  <c r="T506" i="1" s="1"/>
  <c r="S505" i="1" l="1"/>
  <c r="T505" i="1" s="1"/>
  <c r="R504" i="1"/>
  <c r="S504" i="1" l="1"/>
  <c r="T504" i="1" s="1"/>
  <c r="R503" i="1"/>
  <c r="R502" i="1" l="1"/>
  <c r="S503" i="1"/>
  <c r="T503" i="1" s="1"/>
  <c r="S502" i="1" l="1"/>
  <c r="T502" i="1" s="1"/>
  <c r="R501" i="1"/>
  <c r="S501" i="1" l="1"/>
  <c r="T501" i="1" s="1"/>
  <c r="R500" i="1"/>
  <c r="R499" i="1" l="1"/>
  <c r="S500" i="1"/>
  <c r="T500" i="1" s="1"/>
  <c r="S499" i="1" l="1"/>
  <c r="T499" i="1" s="1"/>
  <c r="R498" i="1"/>
  <c r="S498" i="1" l="1"/>
  <c r="T498" i="1" s="1"/>
  <c r="R497" i="1"/>
  <c r="S497" i="1" l="1"/>
  <c r="T497" i="1" s="1"/>
  <c r="R496" i="1"/>
  <c r="S496" i="1" l="1"/>
  <c r="T496" i="1" s="1"/>
  <c r="R495" i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S491" i="1" l="1"/>
  <c r="T491" i="1" s="1"/>
  <c r="R490" i="1"/>
  <c r="S490" i="1" l="1"/>
  <c r="T490" i="1" s="1"/>
  <c r="R489" i="1"/>
  <c r="S489" i="1" l="1"/>
  <c r="T489" i="1" s="1"/>
  <c r="R488" i="1"/>
  <c r="S488" i="1" l="1"/>
  <c r="T488" i="1" s="1"/>
  <c r="R487" i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S482" i="1" l="1"/>
  <c r="T482" i="1" s="1"/>
  <c r="R481" i="1"/>
  <c r="S481" i="1" l="1"/>
  <c r="T481" i="1" s="1"/>
  <c r="R480" i="1"/>
  <c r="S480" i="1" l="1"/>
  <c r="T480" i="1" s="1"/>
  <c r="R479" i="1"/>
  <c r="S479" i="1" l="1"/>
  <c r="T479" i="1" s="1"/>
  <c r="R478" i="1"/>
  <c r="S478" i="1" l="1"/>
  <c r="T478" i="1" s="1"/>
  <c r="R477" i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S473" i="1" l="1"/>
  <c r="T473" i="1" s="1"/>
  <c r="R472" i="1"/>
  <c r="S472" i="1" l="1"/>
  <c r="T472" i="1" s="1"/>
  <c r="R471" i="1"/>
  <c r="S471" i="1" l="1"/>
  <c r="T471" i="1" s="1"/>
  <c r="R470" i="1"/>
  <c r="S470" i="1" l="1"/>
  <c r="T470" i="1" s="1"/>
  <c r="R469" i="1"/>
  <c r="R468" i="1" l="1"/>
  <c r="S469" i="1"/>
  <c r="T469" i="1" s="1"/>
  <c r="S468" i="1" l="1"/>
  <c r="T468" i="1" s="1"/>
  <c r="R467" i="1"/>
  <c r="R466" i="1" l="1"/>
  <c r="S467" i="1"/>
  <c r="T467" i="1" s="1"/>
  <c r="S466" i="1" l="1"/>
  <c r="T466" i="1" s="1"/>
  <c r="R465" i="1"/>
  <c r="R464" i="1" l="1"/>
  <c r="S465" i="1"/>
  <c r="T465" i="1" s="1"/>
  <c r="R463" i="1" l="1"/>
  <c r="S464" i="1"/>
  <c r="T464" i="1" s="1"/>
  <c r="S463" i="1" l="1"/>
  <c r="T463" i="1" s="1"/>
  <c r="R462" i="1"/>
  <c r="R461" i="1" l="1"/>
  <c r="S462" i="1"/>
  <c r="T462" i="1" s="1"/>
  <c r="S461" i="1" l="1"/>
  <c r="T461" i="1" s="1"/>
  <c r="R460" i="1"/>
  <c r="S460" i="1" l="1"/>
  <c r="T460" i="1" s="1"/>
  <c r="R459" i="1"/>
  <c r="S459" i="1" l="1"/>
  <c r="T459" i="1" s="1"/>
  <c r="R458" i="1"/>
  <c r="S458" i="1" l="1"/>
  <c r="T458" i="1" s="1"/>
  <c r="R457" i="1"/>
  <c r="R456" i="1" l="1"/>
  <c r="S457" i="1"/>
  <c r="T457" i="1" s="1"/>
  <c r="R455" i="1" l="1"/>
  <c r="S456" i="1"/>
  <c r="T456" i="1" s="1"/>
  <c r="R454" i="1" l="1"/>
  <c r="S455" i="1"/>
  <c r="T455" i="1" s="1"/>
  <c r="S454" i="1" l="1"/>
  <c r="T454" i="1" s="1"/>
  <c r="R453" i="1"/>
  <c r="S453" i="1" l="1"/>
  <c r="T453" i="1" s="1"/>
  <c r="R452" i="1"/>
  <c r="S452" i="1" l="1"/>
  <c r="T452" i="1" s="1"/>
  <c r="R451" i="1"/>
  <c r="R450" i="1" l="1"/>
  <c r="S451" i="1"/>
  <c r="T451" i="1" s="1"/>
  <c r="R449" i="1" l="1"/>
  <c r="S450" i="1"/>
  <c r="T450" i="1" s="1"/>
  <c r="R448" i="1" l="1"/>
  <c r="S449" i="1"/>
  <c r="T449" i="1" s="1"/>
  <c r="S448" i="1" l="1"/>
  <c r="T448" i="1" s="1"/>
  <c r="R447" i="1"/>
  <c r="S447" i="1" l="1"/>
  <c r="T447" i="1" s="1"/>
  <c r="R446" i="1"/>
  <c r="S446" i="1" l="1"/>
  <c r="T446" i="1" s="1"/>
  <c r="R445" i="1"/>
  <c r="S445" i="1" l="1"/>
  <c r="T445" i="1" s="1"/>
  <c r="R444" i="1"/>
  <c r="R443" i="1" l="1"/>
  <c r="S444" i="1"/>
  <c r="T444" i="1" s="1"/>
  <c r="R442" i="1" l="1"/>
  <c r="S443" i="1"/>
  <c r="T443" i="1" s="1"/>
  <c r="S442" i="1" l="1"/>
  <c r="T442" i="1" s="1"/>
  <c r="R441" i="1"/>
  <c r="R440" i="1" l="1"/>
  <c r="S441" i="1"/>
  <c r="T441" i="1" s="1"/>
  <c r="S440" i="1" l="1"/>
  <c r="T440" i="1" s="1"/>
  <c r="R439" i="1"/>
  <c r="S439" i="1" l="1"/>
  <c r="T439" i="1" s="1"/>
  <c r="R438" i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S432" i="1" l="1"/>
  <c r="T432" i="1" s="1"/>
  <c r="R431" i="1"/>
  <c r="S431" i="1" l="1"/>
  <c r="T431" i="1" s="1"/>
  <c r="R430" i="1"/>
  <c r="S430" i="1" l="1"/>
  <c r="T430" i="1" s="1"/>
  <c r="R429" i="1"/>
  <c r="S429" i="1" l="1"/>
  <c r="T429" i="1" s="1"/>
  <c r="R428" i="1"/>
  <c r="S428" i="1" l="1"/>
  <c r="T428" i="1" s="1"/>
  <c r="R427" i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S423" i="1" l="1"/>
  <c r="T423" i="1" s="1"/>
  <c r="R422" i="1"/>
  <c r="S422" i="1" l="1"/>
  <c r="T422" i="1" s="1"/>
  <c r="R421" i="1"/>
  <c r="S421" i="1" l="1"/>
  <c r="T421" i="1" s="1"/>
  <c r="R420" i="1"/>
  <c r="S420" i="1" l="1"/>
  <c r="T420" i="1" s="1"/>
  <c r="R419" i="1"/>
  <c r="R418" i="1" l="1"/>
  <c r="S419" i="1"/>
  <c r="T419" i="1" s="1"/>
  <c r="R417" i="1" l="1"/>
  <c r="S418" i="1"/>
  <c r="T418" i="1" s="1"/>
  <c r="S417" i="1" l="1"/>
  <c r="T417" i="1" s="1"/>
  <c r="R416" i="1"/>
  <c r="S416" i="1" l="1"/>
  <c r="T416" i="1" s="1"/>
  <c r="R415" i="1"/>
  <c r="S415" i="1" l="1"/>
  <c r="T415" i="1" s="1"/>
  <c r="R414" i="1"/>
  <c r="S414" i="1" l="1"/>
  <c r="T414" i="1" s="1"/>
  <c r="R413" i="1"/>
  <c r="R412" i="1" l="1"/>
  <c r="S413" i="1"/>
  <c r="T413" i="1" s="1"/>
  <c r="R411" i="1" l="1"/>
  <c r="S412" i="1"/>
  <c r="T412" i="1" s="1"/>
  <c r="S411" i="1" l="1"/>
  <c r="T411" i="1" s="1"/>
  <c r="R410" i="1"/>
  <c r="S410" i="1" l="1"/>
  <c r="T410" i="1" s="1"/>
  <c r="R409" i="1"/>
  <c r="S409" i="1" l="1"/>
  <c r="T409" i="1" s="1"/>
  <c r="R408" i="1"/>
  <c r="S408" i="1" l="1"/>
  <c r="T408" i="1" s="1"/>
  <c r="R407" i="1"/>
  <c r="R406" i="1" l="1"/>
  <c r="S407" i="1"/>
  <c r="T407" i="1" s="1"/>
  <c r="S406" i="1" l="1"/>
  <c r="T406" i="1" s="1"/>
  <c r="R405" i="1"/>
  <c r="S405" i="1" l="1"/>
  <c r="T405" i="1" s="1"/>
  <c r="R404" i="1"/>
  <c r="R403" i="1" l="1"/>
  <c r="S404" i="1"/>
  <c r="T404" i="1" s="1"/>
  <c r="S403" i="1" l="1"/>
  <c r="T403" i="1" s="1"/>
  <c r="R402" i="1"/>
  <c r="R401" i="1" l="1"/>
  <c r="S402" i="1"/>
  <c r="T402" i="1" s="1"/>
  <c r="R400" i="1" l="1"/>
  <c r="S401" i="1"/>
  <c r="T401" i="1" s="1"/>
  <c r="S400" i="1" l="1"/>
  <c r="T400" i="1" s="1"/>
  <c r="R399" i="1"/>
  <c r="R398" i="1" l="1"/>
  <c r="S399" i="1"/>
  <c r="T399" i="1" s="1"/>
  <c r="S398" i="1" l="1"/>
  <c r="T398" i="1" s="1"/>
  <c r="R397" i="1"/>
  <c r="S397" i="1" l="1"/>
  <c r="T397" i="1" s="1"/>
  <c r="R396" i="1"/>
  <c r="R395" i="1" l="1"/>
  <c r="S396" i="1"/>
  <c r="T396" i="1" s="1"/>
  <c r="S395" i="1" l="1"/>
  <c r="T395" i="1" s="1"/>
  <c r="R394" i="1"/>
  <c r="S394" i="1" l="1"/>
  <c r="T394" i="1" s="1"/>
  <c r="R393" i="1"/>
  <c r="R392" i="1" l="1"/>
  <c r="S393" i="1"/>
  <c r="T393" i="1" s="1"/>
  <c r="S392" i="1" l="1"/>
  <c r="T392" i="1" s="1"/>
  <c r="R391" i="1"/>
  <c r="R390" i="1" l="1"/>
  <c r="S391" i="1"/>
  <c r="T391" i="1" s="1"/>
  <c r="R389" i="1" l="1"/>
  <c r="S390" i="1"/>
  <c r="T390" i="1" s="1"/>
  <c r="S389" i="1" l="1"/>
  <c r="T389" i="1" s="1"/>
  <c r="R388" i="1"/>
  <c r="R387" i="1" l="1"/>
  <c r="S388" i="1"/>
  <c r="T388" i="1" s="1"/>
  <c r="S387" i="1" l="1"/>
  <c r="T387" i="1" s="1"/>
  <c r="R386" i="1"/>
  <c r="R385" i="1" l="1"/>
  <c r="S386" i="1"/>
  <c r="T386" i="1" s="1"/>
  <c r="R384" i="1" l="1"/>
  <c r="S385" i="1"/>
  <c r="T385" i="1" s="1"/>
  <c r="S384" i="1" l="1"/>
  <c r="T384" i="1" s="1"/>
  <c r="R383" i="1"/>
  <c r="R382" i="1" l="1"/>
  <c r="S383" i="1"/>
  <c r="T383" i="1" s="1"/>
  <c r="S382" i="1" l="1"/>
  <c r="T382" i="1" s="1"/>
  <c r="R381" i="1"/>
  <c r="S381" i="1" l="1"/>
  <c r="T381" i="1" s="1"/>
  <c r="R380" i="1"/>
  <c r="R379" i="1" l="1"/>
  <c r="S380" i="1"/>
  <c r="T380" i="1" s="1"/>
  <c r="S379" i="1" l="1"/>
  <c r="T379" i="1" s="1"/>
  <c r="R378" i="1"/>
  <c r="R377" i="1" l="1"/>
  <c r="S378" i="1"/>
  <c r="T378" i="1" s="1"/>
  <c r="R376" i="1" l="1"/>
  <c r="S377" i="1"/>
  <c r="T377" i="1" s="1"/>
  <c r="S376" i="1" l="1"/>
  <c r="T376" i="1" s="1"/>
  <c r="R375" i="1"/>
  <c r="S375" i="1" l="1"/>
  <c r="T375" i="1" s="1"/>
  <c r="R374" i="1"/>
  <c r="S374" i="1" l="1"/>
  <c r="T374" i="1" s="1"/>
  <c r="R373" i="1"/>
  <c r="S373" i="1" l="1"/>
  <c r="T373" i="1" s="1"/>
  <c r="R372" i="1"/>
  <c r="R371" i="1" l="1"/>
  <c r="S372" i="1"/>
  <c r="T372" i="1" s="1"/>
  <c r="R370" i="1" l="1"/>
  <c r="S371" i="1"/>
  <c r="T371" i="1" s="1"/>
  <c r="R369" i="1" l="1"/>
  <c r="S370" i="1"/>
  <c r="T370" i="1" s="1"/>
  <c r="S369" i="1" l="1"/>
  <c r="T369" i="1" s="1"/>
  <c r="R368" i="1"/>
  <c r="S368" i="1" l="1"/>
  <c r="T368" i="1" s="1"/>
  <c r="R367" i="1"/>
  <c r="S367" i="1" l="1"/>
  <c r="T367" i="1" s="1"/>
  <c r="R366" i="1"/>
  <c r="S366" i="1" l="1"/>
  <c r="T366" i="1" s="1"/>
  <c r="R365" i="1"/>
  <c r="R364" i="1" l="1"/>
  <c r="S365" i="1"/>
  <c r="T365" i="1" s="1"/>
  <c r="S364" i="1" l="1"/>
  <c r="T364" i="1" s="1"/>
  <c r="R363" i="1"/>
  <c r="R362" i="1" l="1"/>
  <c r="S363" i="1"/>
  <c r="T363" i="1" s="1"/>
  <c r="R361" i="1" l="1"/>
  <c r="S362" i="1"/>
  <c r="T362" i="1" s="1"/>
  <c r="S361" i="1" l="1"/>
  <c r="T361" i="1" s="1"/>
  <c r="R360" i="1"/>
  <c r="R359" i="1" l="1"/>
  <c r="S360" i="1"/>
  <c r="T360" i="1" s="1"/>
  <c r="S359" i="1" l="1"/>
  <c r="T359" i="1" s="1"/>
  <c r="R358" i="1"/>
  <c r="S358" i="1" l="1"/>
  <c r="T358" i="1" s="1"/>
  <c r="R357" i="1"/>
  <c r="R356" i="1" l="1"/>
  <c r="S357" i="1"/>
  <c r="T357" i="1" s="1"/>
  <c r="S356" i="1" l="1"/>
  <c r="T356" i="1" s="1"/>
  <c r="R355" i="1"/>
  <c r="S355" i="1" l="1"/>
  <c r="T355" i="1" s="1"/>
  <c r="R354" i="1"/>
  <c r="R353" i="1" l="1"/>
  <c r="S354" i="1"/>
  <c r="T354" i="1" s="1"/>
  <c r="S353" i="1" l="1"/>
  <c r="T353" i="1" s="1"/>
  <c r="R352" i="1"/>
  <c r="R351" i="1" l="1"/>
  <c r="S352" i="1"/>
  <c r="T352" i="1" s="1"/>
  <c r="R350" i="1" l="1"/>
  <c r="S351" i="1"/>
  <c r="T351" i="1" s="1"/>
  <c r="S350" i="1" l="1"/>
  <c r="T350" i="1" s="1"/>
  <c r="R349" i="1"/>
  <c r="S349" i="1" l="1"/>
  <c r="T349" i="1" s="1"/>
  <c r="R348" i="1"/>
  <c r="S348" i="1" l="1"/>
  <c r="T348" i="1" s="1"/>
  <c r="R347" i="1"/>
  <c r="S347" i="1" l="1"/>
  <c r="T347" i="1" s="1"/>
  <c r="R346" i="1"/>
  <c r="R345" i="1" l="1"/>
  <c r="S346" i="1"/>
  <c r="T346" i="1" s="1"/>
  <c r="S345" i="1" l="1"/>
  <c r="T345" i="1" s="1"/>
  <c r="R344" i="1"/>
  <c r="R343" i="1" l="1"/>
  <c r="S344" i="1"/>
  <c r="T344" i="1" s="1"/>
  <c r="R342" i="1" l="1"/>
  <c r="S343" i="1"/>
  <c r="T343" i="1" s="1"/>
  <c r="R341" i="1" l="1"/>
  <c r="S342" i="1"/>
  <c r="T342" i="1" s="1"/>
  <c r="S341" i="1" l="1"/>
  <c r="T341" i="1" s="1"/>
  <c r="R340" i="1"/>
  <c r="R339" i="1" l="1"/>
  <c r="S340" i="1"/>
  <c r="T340" i="1" s="1"/>
  <c r="S339" i="1" l="1"/>
  <c r="T339" i="1" s="1"/>
  <c r="R338" i="1"/>
  <c r="S338" i="1" l="1"/>
  <c r="T338" i="1" s="1"/>
  <c r="R337" i="1"/>
  <c r="R336" i="1" l="1"/>
  <c r="S337" i="1"/>
  <c r="T337" i="1" s="1"/>
  <c r="S336" i="1" l="1"/>
  <c r="T336" i="1" s="1"/>
  <c r="R335" i="1"/>
  <c r="R334" i="1" l="1"/>
  <c r="S335" i="1"/>
  <c r="T335" i="1" s="1"/>
  <c r="S334" i="1" l="1"/>
  <c r="T334" i="1" s="1"/>
  <c r="R333" i="1"/>
  <c r="S333" i="1" l="1"/>
  <c r="T333" i="1" s="1"/>
  <c r="R332" i="1"/>
  <c r="R331" i="1" l="1"/>
  <c r="S332" i="1"/>
  <c r="T332" i="1" s="1"/>
  <c r="S331" i="1" l="1"/>
  <c r="T331" i="1" s="1"/>
  <c r="R330" i="1"/>
  <c r="R329" i="1" l="1"/>
  <c r="S330" i="1"/>
  <c r="T330" i="1" s="1"/>
  <c r="R328" i="1" l="1"/>
  <c r="S329" i="1"/>
  <c r="T329" i="1" s="1"/>
  <c r="S328" i="1" l="1"/>
  <c r="T328" i="1" s="1"/>
  <c r="R327" i="1"/>
  <c r="R326" i="1" l="1"/>
  <c r="S327" i="1"/>
  <c r="T327" i="1" s="1"/>
  <c r="S326" i="1" l="1"/>
  <c r="T326" i="1" s="1"/>
  <c r="R325" i="1"/>
  <c r="S325" i="1" l="1"/>
  <c r="T325" i="1" s="1"/>
  <c r="R324" i="1"/>
  <c r="R323" i="1" l="1"/>
  <c r="S324" i="1"/>
  <c r="T324" i="1" s="1"/>
  <c r="S323" i="1" l="1"/>
  <c r="T323" i="1" s="1"/>
  <c r="R322" i="1"/>
  <c r="R321" i="1" l="1"/>
  <c r="S322" i="1"/>
  <c r="T322" i="1" s="1"/>
  <c r="S321" i="1" l="1"/>
  <c r="T321" i="1" s="1"/>
  <c r="R320" i="1"/>
  <c r="R319" i="1" l="1"/>
  <c r="S320" i="1"/>
  <c r="T320" i="1" s="1"/>
  <c r="R318" i="1" l="1"/>
  <c r="S319" i="1"/>
  <c r="T319" i="1" s="1"/>
  <c r="S318" i="1" l="1"/>
  <c r="T318" i="1" s="1"/>
  <c r="R317" i="1"/>
  <c r="R316" i="1" l="1"/>
  <c r="S317" i="1"/>
  <c r="T317" i="1" s="1"/>
  <c r="S316" i="1" l="1"/>
  <c r="T316" i="1" s="1"/>
  <c r="R315" i="1"/>
  <c r="R314" i="1" l="1"/>
  <c r="S315" i="1"/>
  <c r="T315" i="1" s="1"/>
  <c r="R313" i="1" l="1"/>
  <c r="S314" i="1"/>
  <c r="T314" i="1" s="1"/>
  <c r="S313" i="1" l="1"/>
  <c r="T313" i="1" s="1"/>
  <c r="R312" i="1"/>
  <c r="S312" i="1" l="1"/>
  <c r="T312" i="1" s="1"/>
  <c r="R311" i="1"/>
  <c r="S311" i="1" l="1"/>
  <c r="T311" i="1" s="1"/>
  <c r="R310" i="1"/>
  <c r="S310" i="1" l="1"/>
  <c r="T310" i="1" s="1"/>
  <c r="R309" i="1"/>
  <c r="R308" i="1" l="1"/>
  <c r="S309" i="1"/>
  <c r="T309" i="1" s="1"/>
  <c r="R307" i="1" l="1"/>
  <c r="S308" i="1"/>
  <c r="T308" i="1" s="1"/>
  <c r="S307" i="1" l="1"/>
  <c r="T307" i="1" s="1"/>
  <c r="R306" i="1"/>
  <c r="S306" i="1" l="1"/>
  <c r="T306" i="1" s="1"/>
  <c r="R305" i="1"/>
  <c r="S305" i="1" l="1"/>
  <c r="T305" i="1" s="1"/>
  <c r="R304" i="1"/>
  <c r="S304" i="1" l="1"/>
  <c r="T304" i="1" s="1"/>
  <c r="R303" i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S299" i="1" l="1"/>
  <c r="T299" i="1" s="1"/>
  <c r="R298" i="1"/>
  <c r="S298" i="1" l="1"/>
  <c r="T298" i="1" s="1"/>
  <c r="R297" i="1"/>
  <c r="S297" i="1" l="1"/>
  <c r="T297" i="1" s="1"/>
  <c r="R296" i="1"/>
  <c r="S296" i="1" l="1"/>
  <c r="T296" i="1" s="1"/>
  <c r="R295" i="1"/>
  <c r="S295" i="1" l="1"/>
  <c r="T295" i="1" s="1"/>
  <c r="R294" i="1"/>
  <c r="R293" i="1" l="1"/>
  <c r="S294" i="1"/>
  <c r="T294" i="1" s="1"/>
  <c r="S293" i="1" l="1"/>
  <c r="T293" i="1" s="1"/>
  <c r="R292" i="1"/>
  <c r="R291" i="1" l="1"/>
  <c r="S292" i="1"/>
  <c r="T292" i="1" s="1"/>
  <c r="R290" i="1" l="1"/>
  <c r="S291" i="1"/>
  <c r="T291" i="1" s="1"/>
  <c r="S290" i="1" l="1"/>
  <c r="T290" i="1" s="1"/>
  <c r="R289" i="1"/>
  <c r="R288" i="1" l="1"/>
  <c r="S289" i="1"/>
  <c r="T289" i="1" s="1"/>
  <c r="R287" i="1" l="1"/>
  <c r="S288" i="1"/>
  <c r="T288" i="1" s="1"/>
  <c r="S287" i="1" l="1"/>
  <c r="T287" i="1" s="1"/>
  <c r="R286" i="1"/>
  <c r="S286" i="1" l="1"/>
  <c r="T286" i="1" s="1"/>
  <c r="R285" i="1"/>
  <c r="S285" i="1" l="1"/>
  <c r="T285" i="1" s="1"/>
  <c r="R284" i="1"/>
  <c r="S284" i="1" l="1"/>
  <c r="T284" i="1" s="1"/>
  <c r="R283" i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S279" i="1" l="1"/>
  <c r="T279" i="1" s="1"/>
  <c r="R278" i="1"/>
  <c r="S278" i="1" l="1"/>
  <c r="T278" i="1" s="1"/>
  <c r="R277" i="1"/>
  <c r="S277" i="1" l="1"/>
  <c r="T277" i="1" s="1"/>
  <c r="R276" i="1"/>
  <c r="S276" i="1" l="1"/>
  <c r="T276" i="1" s="1"/>
  <c r="R275" i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S271" i="1" l="1"/>
  <c r="T271" i="1" s="1"/>
  <c r="R270" i="1"/>
  <c r="S270" i="1" l="1"/>
  <c r="T270" i="1" s="1"/>
  <c r="R269" i="1"/>
  <c r="S269" i="1" l="1"/>
  <c r="T269" i="1" s="1"/>
  <c r="R268" i="1"/>
  <c r="S268" i="1" l="1"/>
  <c r="T268" i="1" s="1"/>
  <c r="R267" i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S263" i="1" l="1"/>
  <c r="T263" i="1" s="1"/>
  <c r="R262" i="1"/>
  <c r="S262" i="1" l="1"/>
  <c r="T262" i="1" s="1"/>
  <c r="R261" i="1"/>
  <c r="R260" i="1" l="1"/>
  <c r="S261" i="1"/>
  <c r="T261" i="1" s="1"/>
  <c r="S260" i="1" l="1"/>
  <c r="T260" i="1" s="1"/>
  <c r="R259" i="1"/>
  <c r="R258" i="1" l="1"/>
  <c r="S259" i="1"/>
  <c r="T259" i="1" s="1"/>
  <c r="R257" i="1" l="1"/>
  <c r="S258" i="1"/>
  <c r="T258" i="1" s="1"/>
  <c r="S257" i="1" l="1"/>
  <c r="T257" i="1" s="1"/>
  <c r="R256" i="1"/>
  <c r="R255" i="1" l="1"/>
  <c r="S256" i="1"/>
  <c r="T256" i="1" s="1"/>
  <c r="S255" i="1" l="1"/>
  <c r="T255" i="1" s="1"/>
  <c r="R254" i="1"/>
  <c r="S254" i="1" l="1"/>
  <c r="T254" i="1" s="1"/>
  <c r="R253" i="1"/>
  <c r="R252" i="1" l="1"/>
  <c r="S253" i="1"/>
  <c r="T253" i="1" s="1"/>
  <c r="S252" i="1" l="1"/>
  <c r="T252" i="1" s="1"/>
  <c r="R251" i="1"/>
  <c r="R250" i="1" l="1"/>
  <c r="S251" i="1"/>
  <c r="T251" i="1" s="1"/>
  <c r="R249" i="1" l="1"/>
  <c r="S250" i="1"/>
  <c r="T250" i="1" s="1"/>
  <c r="S249" i="1" l="1"/>
  <c r="T249" i="1" s="1"/>
  <c r="R248" i="1"/>
  <c r="R247" i="1" l="1"/>
  <c r="S248" i="1"/>
  <c r="T248" i="1" s="1"/>
  <c r="S247" i="1" l="1"/>
  <c r="T247" i="1" s="1"/>
  <c r="R246" i="1"/>
  <c r="S246" i="1" l="1"/>
  <c r="T246" i="1" s="1"/>
  <c r="R245" i="1"/>
  <c r="S245" i="1" l="1"/>
  <c r="T245" i="1" s="1"/>
  <c r="R244" i="1"/>
  <c r="R243" i="1" l="1"/>
  <c r="S244" i="1"/>
  <c r="T244" i="1" s="1"/>
  <c r="S243" i="1" l="1"/>
  <c r="T243" i="1" s="1"/>
  <c r="R242" i="1"/>
  <c r="R241" i="1" l="1"/>
  <c r="S242" i="1"/>
  <c r="T242" i="1" s="1"/>
  <c r="R240" i="1" l="1"/>
  <c r="S241" i="1"/>
  <c r="T241" i="1" s="1"/>
  <c r="S240" i="1" l="1"/>
  <c r="T240" i="1" s="1"/>
  <c r="R239" i="1"/>
  <c r="R238" i="1" l="1"/>
  <c r="S239" i="1"/>
  <c r="T239" i="1" s="1"/>
  <c r="S238" i="1" l="1"/>
  <c r="T238" i="1" s="1"/>
  <c r="R237" i="1"/>
  <c r="R236" i="1" l="1"/>
  <c r="S237" i="1"/>
  <c r="T237" i="1" s="1"/>
  <c r="S236" i="1" l="1"/>
  <c r="T236" i="1" s="1"/>
  <c r="R235" i="1"/>
  <c r="R234" i="1" l="1"/>
  <c r="S235" i="1"/>
  <c r="T235" i="1" s="1"/>
  <c r="R233" i="1" l="1"/>
  <c r="S234" i="1"/>
  <c r="T234" i="1" s="1"/>
  <c r="S233" i="1" l="1"/>
  <c r="T233" i="1" s="1"/>
  <c r="R232" i="1"/>
  <c r="R231" i="1" l="1"/>
  <c r="S232" i="1"/>
  <c r="T232" i="1" s="1"/>
  <c r="R230" i="1" l="1"/>
  <c r="S231" i="1"/>
  <c r="T231" i="1" s="1"/>
  <c r="S230" i="1" l="1"/>
  <c r="T230" i="1" s="1"/>
  <c r="R229" i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R224" i="1" l="1"/>
  <c r="S225" i="1"/>
  <c r="T225" i="1" s="1"/>
  <c r="S224" i="1" l="1"/>
  <c r="T224" i="1" s="1"/>
  <c r="R223" i="1"/>
  <c r="S223" i="1" l="1"/>
  <c r="T223" i="1" s="1"/>
  <c r="R222" i="1"/>
  <c r="S222" i="1" l="1"/>
  <c r="T222" i="1" s="1"/>
  <c r="R221" i="1"/>
  <c r="S221" i="1" l="1"/>
  <c r="T221" i="1" s="1"/>
  <c r="R220" i="1"/>
  <c r="S220" i="1" l="1"/>
  <c r="T220" i="1" s="1"/>
  <c r="R219" i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S214" i="1" l="1"/>
  <c r="T214" i="1" s="1"/>
  <c r="R213" i="1"/>
  <c r="S213" i="1" l="1"/>
  <c r="T213" i="1" s="1"/>
  <c r="R212" i="1"/>
  <c r="R211" i="1" l="1"/>
  <c r="S212" i="1"/>
  <c r="T212" i="1" s="1"/>
  <c r="S211" i="1" l="1"/>
  <c r="T211" i="1" s="1"/>
  <c r="R210" i="1"/>
  <c r="R209" i="1" l="1"/>
  <c r="S210" i="1"/>
  <c r="T210" i="1" s="1"/>
  <c r="R208" i="1" l="1"/>
  <c r="S209" i="1"/>
  <c r="T209" i="1" s="1"/>
  <c r="S208" i="1" l="1"/>
  <c r="T208" i="1" s="1"/>
  <c r="R207" i="1"/>
  <c r="S207" i="1" l="1"/>
  <c r="T207" i="1" s="1"/>
  <c r="R206" i="1"/>
  <c r="S206" i="1" l="1"/>
  <c r="T206" i="1" s="1"/>
  <c r="R205" i="1"/>
  <c r="S205" i="1" l="1"/>
  <c r="T205" i="1" s="1"/>
  <c r="R204" i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S198" i="1" l="1"/>
  <c r="T198" i="1" s="1"/>
  <c r="R197" i="1"/>
  <c r="S197" i="1" l="1"/>
  <c r="T197" i="1" s="1"/>
  <c r="R196" i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S192" i="1" l="1"/>
  <c r="T192" i="1" s="1"/>
  <c r="R191" i="1"/>
  <c r="S191" i="1" l="1"/>
  <c r="T191" i="1" s="1"/>
  <c r="R190" i="1"/>
  <c r="S190" i="1" l="1"/>
  <c r="T190" i="1" s="1"/>
  <c r="R189" i="1"/>
  <c r="S189" i="1" l="1"/>
  <c r="T189" i="1" s="1"/>
  <c r="R188" i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S182" i="1" l="1"/>
  <c r="T182" i="1" s="1"/>
  <c r="R181" i="1"/>
  <c r="S181" i="1" l="1"/>
  <c r="T181" i="1" s="1"/>
  <c r="R180" i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S176" i="1" l="1"/>
  <c r="T176" i="1" s="1"/>
  <c r="R175" i="1"/>
  <c r="R174" i="1" l="1"/>
  <c r="S175" i="1"/>
  <c r="T175" i="1" s="1"/>
  <c r="S174" i="1" l="1"/>
  <c r="T174" i="1" s="1"/>
  <c r="R173" i="1"/>
  <c r="S173" i="1" l="1"/>
  <c r="T173" i="1" s="1"/>
  <c r="R172" i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S166" i="1" l="1"/>
  <c r="T166" i="1" s="1"/>
  <c r="R165" i="1"/>
  <c r="S165" i="1" l="1"/>
  <c r="T165" i="1" s="1"/>
  <c r="R164" i="1"/>
  <c r="R163" i="1" l="1"/>
  <c r="S164" i="1"/>
  <c r="T164" i="1" s="1"/>
  <c r="S163" i="1" l="1"/>
  <c r="T163" i="1" s="1"/>
  <c r="R162" i="1"/>
  <c r="S162" i="1" l="1"/>
  <c r="T162" i="1" s="1"/>
  <c r="R161" i="1"/>
  <c r="R160" i="1" l="1"/>
  <c r="S161" i="1"/>
  <c r="T161" i="1" s="1"/>
  <c r="S160" i="1" l="1"/>
  <c r="T160" i="1" s="1"/>
  <c r="R159" i="1"/>
  <c r="S159" i="1" l="1"/>
  <c r="T159" i="1" s="1"/>
  <c r="R158" i="1"/>
  <c r="R157" i="1" l="1"/>
  <c r="S158" i="1"/>
  <c r="T158" i="1" s="1"/>
  <c r="S157" i="1" l="1"/>
  <c r="T157" i="1" s="1"/>
  <c r="R156" i="1"/>
  <c r="R155" i="1" l="1"/>
  <c r="S156" i="1"/>
  <c r="T156" i="1" s="1"/>
  <c r="R154" i="1" l="1"/>
  <c r="S155" i="1"/>
  <c r="T155" i="1" s="1"/>
  <c r="S154" i="1" l="1"/>
  <c r="T154" i="1" s="1"/>
  <c r="R153" i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S149" i="1" l="1"/>
  <c r="T149" i="1" s="1"/>
  <c r="R148" i="1"/>
  <c r="R147" i="1" l="1"/>
  <c r="S148" i="1"/>
  <c r="T148" i="1" s="1"/>
  <c r="S147" i="1" l="1"/>
  <c r="T147" i="1" s="1"/>
  <c r="R146" i="1"/>
  <c r="S146" i="1" l="1"/>
  <c r="T146" i="1" s="1"/>
  <c r="R145" i="1"/>
  <c r="R144" i="1" l="1"/>
  <c r="S145" i="1"/>
  <c r="T145" i="1" s="1"/>
  <c r="S144" i="1" l="1"/>
  <c r="T144" i="1" s="1"/>
  <c r="R143" i="1"/>
  <c r="S143" i="1" l="1"/>
  <c r="T143" i="1" s="1"/>
  <c r="R142" i="1"/>
  <c r="S142" i="1" l="1"/>
  <c r="T142" i="1" s="1"/>
  <c r="R141" i="1"/>
  <c r="S141" i="1" l="1"/>
  <c r="T141" i="1" s="1"/>
  <c r="R140" i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S136" i="1" l="1"/>
  <c r="T136" i="1" s="1"/>
  <c r="R135" i="1"/>
  <c r="S135" i="1" l="1"/>
  <c r="T135" i="1" s="1"/>
  <c r="R134" i="1"/>
  <c r="S134" i="1" l="1"/>
  <c r="T134" i="1" s="1"/>
  <c r="R133" i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S129" i="1" l="1"/>
  <c r="T129" i="1" s="1"/>
  <c r="R128" i="1"/>
  <c r="R127" i="1" l="1"/>
  <c r="S128" i="1"/>
  <c r="T128" i="1" s="1"/>
  <c r="R126" i="1" l="1"/>
  <c r="S127" i="1"/>
  <c r="T127" i="1" s="1"/>
  <c r="S126" i="1" l="1"/>
  <c r="T126" i="1" s="1"/>
  <c r="R125" i="1"/>
  <c r="R124" i="1" l="1"/>
  <c r="S125" i="1"/>
  <c r="T125" i="1" s="1"/>
  <c r="R123" i="1" l="1"/>
  <c r="S124" i="1"/>
  <c r="T124" i="1" s="1"/>
  <c r="R122" i="1" l="1"/>
  <c r="S123" i="1"/>
  <c r="T123" i="1" s="1"/>
  <c r="S122" i="1" l="1"/>
  <c r="T122" i="1" s="1"/>
  <c r="R121" i="1"/>
  <c r="S121" i="1" l="1"/>
  <c r="T121" i="1" s="1"/>
  <c r="R120" i="1"/>
  <c r="S120" i="1" l="1"/>
  <c r="T120" i="1" s="1"/>
  <c r="R119" i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R114" i="1" l="1"/>
  <c r="S115" i="1"/>
  <c r="T115" i="1" s="1"/>
  <c r="S114" i="1" l="1"/>
  <c r="T114" i="1" s="1"/>
  <c r="R113" i="1"/>
  <c r="S113" i="1" l="1"/>
  <c r="T113" i="1" s="1"/>
  <c r="R112" i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S106" i="1" l="1"/>
  <c r="T106" i="1" s="1"/>
  <c r="R105" i="1"/>
  <c r="S105" i="1" l="1"/>
  <c r="T105" i="1" s="1"/>
  <c r="R104" i="1"/>
  <c r="S104" i="1" l="1"/>
  <c r="T104" i="1" s="1"/>
  <c r="R103" i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S98" i="1" l="1"/>
  <c r="T98" i="1" s="1"/>
  <c r="R97" i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S93" i="1" l="1"/>
  <c r="T93" i="1" s="1"/>
  <c r="R92" i="1"/>
  <c r="R91" i="1" l="1"/>
  <c r="S92" i="1"/>
  <c r="T92" i="1" s="1"/>
  <c r="R90" i="1" l="1"/>
  <c r="S91" i="1"/>
  <c r="T91" i="1" s="1"/>
  <c r="R89" i="1" l="1"/>
  <c r="S90" i="1"/>
  <c r="T90" i="1" s="1"/>
  <c r="S89" i="1" l="1"/>
  <c r="T89" i="1" s="1"/>
  <c r="R88" i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S84" i="1" l="1"/>
  <c r="T84" i="1" s="1"/>
  <c r="R83" i="1"/>
  <c r="S83" i="1" l="1"/>
  <c r="T83" i="1" s="1"/>
  <c r="R82" i="1"/>
  <c r="S82" i="1" l="1"/>
  <c r="T82" i="1" s="1"/>
  <c r="R81" i="1"/>
  <c r="S81" i="1" l="1"/>
  <c r="T81" i="1" s="1"/>
  <c r="R80" i="1"/>
  <c r="S80" i="1" l="1"/>
  <c r="T80" i="1" s="1"/>
  <c r="R79" i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S74" i="1" l="1"/>
  <c r="T74" i="1" s="1"/>
  <c r="R73" i="1"/>
  <c r="S73" i="1" l="1"/>
  <c r="T73" i="1" s="1"/>
  <c r="R72" i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S60" i="1" l="1"/>
  <c r="T60" i="1" s="1"/>
  <c r="R59" i="1"/>
  <c r="S59" i="1" l="1"/>
  <c r="T59" i="1" s="1"/>
  <c r="R58" i="1"/>
  <c r="S58" i="1" l="1"/>
  <c r="T58" i="1" s="1"/>
  <c r="R57" i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S53" i="1" l="1"/>
  <c r="T53" i="1" s="1"/>
  <c r="R52" i="1"/>
  <c r="S52" i="1" l="1"/>
  <c r="T52" i="1" s="1"/>
  <c r="R51" i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R46" i="1" l="1"/>
  <c r="S47" i="1"/>
  <c r="T47" i="1" s="1"/>
  <c r="R45" i="1" l="1"/>
  <c r="S46" i="1"/>
  <c r="T46" i="1" s="1"/>
  <c r="S45" i="1" l="1"/>
  <c r="T45" i="1" s="1"/>
  <c r="R44" i="1"/>
  <c r="S44" i="1" l="1"/>
  <c r="T44" i="1" s="1"/>
  <c r="R43" i="1"/>
  <c r="S43" i="1" l="1"/>
  <c r="T43" i="1" s="1"/>
  <c r="R42" i="1"/>
  <c r="R41" i="1" l="1"/>
  <c r="S42" i="1"/>
  <c r="T42" i="1" s="1"/>
  <c r="S41" i="1" l="1"/>
  <c r="T41" i="1" s="1"/>
  <c r="R40" i="1"/>
  <c r="S40" i="1" l="1"/>
  <c r="T40" i="1" s="1"/>
  <c r="R39" i="1"/>
  <c r="S39" i="1" l="1"/>
  <c r="T39" i="1" s="1"/>
  <c r="R38" i="1"/>
  <c r="S38" i="1" l="1"/>
  <c r="T38" i="1" s="1"/>
  <c r="R37" i="1"/>
  <c r="R36" i="1" l="1"/>
  <c r="S37" i="1"/>
  <c r="T37" i="1" s="1"/>
  <c r="R35" i="1" l="1"/>
  <c r="S36" i="1"/>
  <c r="T36" i="1" s="1"/>
  <c r="S35" i="1" l="1"/>
  <c r="T35" i="1" s="1"/>
  <c r="R34" i="1"/>
  <c r="R33" i="1" l="1"/>
  <c r="S34" i="1"/>
  <c r="T34" i="1" s="1"/>
  <c r="R32" i="1" l="1"/>
  <c r="S33" i="1"/>
  <c r="T33" i="1" s="1"/>
  <c r="R31" i="1" l="1"/>
  <c r="S32" i="1"/>
  <c r="T32" i="1" s="1"/>
  <c r="S31" i="1" l="1"/>
  <c r="T31" i="1" s="1"/>
  <c r="R30" i="1"/>
  <c r="R29" i="1" l="1"/>
  <c r="S30" i="1"/>
  <c r="T30" i="1" s="1"/>
  <c r="S29" i="1" l="1"/>
  <c r="T29" i="1" s="1"/>
  <c r="R28" i="1"/>
  <c r="R27" i="1" l="1"/>
  <c r="S28" i="1"/>
  <c r="T28" i="1" s="1"/>
  <c r="S27" i="1" l="1"/>
  <c r="T27" i="1" s="1"/>
  <c r="R26" i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<sst xmlns="http://schemas.openxmlformats.org/spreadsheetml/2006/main" count="3848" uniqueCount="34">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</sst>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0.1007</c:v>
                </c:pt>
                <c:pt idx="1">
                  <c:v>0.1018</c:v>
                </c:pt>
                <c:pt idx="2">
                  <c:v>9.9000000000000005E-2</c:v>
                </c:pt>
                <c:pt idx="3">
                  <c:v>0.1004</c:v>
                </c:pt>
                <c:pt idx="4">
                  <c:v>0.1048</c:v>
                </c:pt>
                <c:pt idx="5">
                  <c:v>9.6199999999999994E-2</c:v>
                </c:pt>
                <c:pt idx="6">
                  <c:v>0.10780000000000001</c:v>
                </c:pt>
                <c:pt idx="7">
                  <c:v>0.13300000000000001</c:v>
                </c:pt>
                <c:pt idx="8">
                  <c:v>0.13900000000000001</c:v>
                </c:pt>
                <c:pt idx="9">
                  <c:v>0.1439</c:v>
                </c:pt>
                <c:pt idx="10">
                  <c:v>0.1487</c:v>
                </c:pt>
                <c:pt idx="11">
                  <c:v>0.1547</c:v>
                </c:pt>
                <c:pt idx="12">
                  <c:v>0.1588</c:v>
                </c:pt>
                <c:pt idx="13">
                  <c:v>0.156</c:v>
                </c:pt>
                <c:pt idx="14">
                  <c:v>0.15229999999999999</c:v>
                </c:pt>
                <c:pt idx="15">
                  <c:v>0.15909999999999999</c:v>
                </c:pt>
                <c:pt idx="16">
                  <c:v>0.15179999999999999</c:v>
                </c:pt>
                <c:pt idx="17">
                  <c:v>0.14899999999999999</c:v>
                </c:pt>
                <c:pt idx="18">
                  <c:v>0.16</c:v>
                </c:pt>
                <c:pt idx="19">
                  <c:v>0.1595</c:v>
                </c:pt>
                <c:pt idx="20">
                  <c:v>0.15970000000000001</c:v>
                </c:pt>
                <c:pt idx="21">
                  <c:v>0.1701</c:v>
                </c:pt>
                <c:pt idx="22">
                  <c:v>0.1734</c:v>
                </c:pt>
                <c:pt idx="23">
                  <c:v>0.18759999999999999</c:v>
                </c:pt>
                <c:pt idx="24">
                  <c:v>0.1883</c:v>
                </c:pt>
                <c:pt idx="25">
                  <c:v>0.1946</c:v>
                </c:pt>
                <c:pt idx="26">
                  <c:v>0.1948</c:v>
                </c:pt>
                <c:pt idx="27">
                  <c:v>0.19089999999999999</c:v>
                </c:pt>
                <c:pt idx="28">
                  <c:v>0.19570000000000001</c:v>
                </c:pt>
                <c:pt idx="29">
                  <c:v>0.1963</c:v>
                </c:pt>
                <c:pt idx="30">
                  <c:v>0.1973</c:v>
                </c:pt>
                <c:pt idx="31">
                  <c:v>0.21629999999999999</c:v>
                </c:pt>
                <c:pt idx="32">
                  <c:v>0.21240000000000001</c:v>
                </c:pt>
                <c:pt idx="33">
                  <c:v>0.2087</c:v>
                </c:pt>
                <c:pt idx="34">
                  <c:v>0.2054</c:v>
                </c:pt>
                <c:pt idx="35">
                  <c:v>0.2082</c:v>
                </c:pt>
                <c:pt idx="36">
                  <c:v>0.19520000000000001</c:v>
                </c:pt>
                <c:pt idx="37">
                  <c:v>0.1968</c:v>
                </c:pt>
                <c:pt idx="38">
                  <c:v>0.19220000000000001</c:v>
                </c:pt>
                <c:pt idx="39">
                  <c:v>0.19450000000000001</c:v>
                </c:pt>
                <c:pt idx="40">
                  <c:v>0.1993</c:v>
                </c:pt>
                <c:pt idx="41">
                  <c:v>0.19489999999999999</c:v>
                </c:pt>
                <c:pt idx="42">
                  <c:v>0.21010000000000001</c:v>
                </c:pt>
                <c:pt idx="43">
                  <c:v>0.215</c:v>
                </c:pt>
                <c:pt idx="44">
                  <c:v>0.18659999999999999</c:v>
                </c:pt>
                <c:pt idx="45">
                  <c:v>0.1837</c:v>
                </c:pt>
                <c:pt idx="46">
                  <c:v>0.2112</c:v>
                </c:pt>
                <c:pt idx="47">
                  <c:v>0.20680000000000001</c:v>
                </c:pt>
                <c:pt idx="48">
                  <c:v>0.20660000000000001</c:v>
                </c:pt>
                <c:pt idx="49">
                  <c:v>0.21390000000000001</c:v>
                </c:pt>
                <c:pt idx="50">
                  <c:v>0.23530000000000001</c:v>
                </c:pt>
                <c:pt idx="51">
                  <c:v>0.2293</c:v>
                </c:pt>
                <c:pt idx="52">
                  <c:v>0.23169999999999999</c:v>
                </c:pt>
                <c:pt idx="53">
                  <c:v>0.2296</c:v>
                </c:pt>
                <c:pt idx="54">
                  <c:v>0.2477</c:v>
                </c:pt>
                <c:pt idx="55">
                  <c:v>0.29170000000000001</c:v>
                </c:pt>
                <c:pt idx="56">
                  <c:v>0.29210000000000003</c:v>
                </c:pt>
                <c:pt idx="57">
                  <c:v>0.2893</c:v>
                </c:pt>
                <c:pt idx="58">
                  <c:v>0.28599999999999998</c:v>
                </c:pt>
                <c:pt idx="59">
                  <c:v>0.2964</c:v>
                </c:pt>
                <c:pt idx="60">
                  <c:v>0.29980000000000001</c:v>
                </c:pt>
                <c:pt idx="61">
                  <c:v>0.30209999999999998</c:v>
                </c:pt>
                <c:pt idx="62">
                  <c:v>0.30399999999999999</c:v>
                </c:pt>
                <c:pt idx="63">
                  <c:v>0.36520000000000002</c:v>
                </c:pt>
                <c:pt idx="64">
                  <c:v>0.29730000000000001</c:v>
                </c:pt>
                <c:pt idx="65">
                  <c:v>0.29570000000000002</c:v>
                </c:pt>
                <c:pt idx="66">
                  <c:v>0.28499999999999998</c:v>
                </c:pt>
                <c:pt idx="67">
                  <c:v>0.29670000000000002</c:v>
                </c:pt>
                <c:pt idx="68">
                  <c:v>0.30220000000000002</c:v>
                </c:pt>
                <c:pt idx="69">
                  <c:v>0.30719999999999997</c:v>
                </c:pt>
                <c:pt idx="70">
                  <c:v>0.29349999999999998</c:v>
                </c:pt>
                <c:pt idx="71">
                  <c:v>0.33479999999999999</c:v>
                </c:pt>
                <c:pt idx="72">
                  <c:v>0.30859999999999999</c:v>
                </c:pt>
                <c:pt idx="73">
                  <c:v>0.32019999999999998</c:v>
                </c:pt>
                <c:pt idx="74">
                  <c:v>0.31469999999999998</c:v>
                </c:pt>
                <c:pt idx="75">
                  <c:v>0.31519999999999998</c:v>
                </c:pt>
                <c:pt idx="76">
                  <c:v>0.26719999999999999</c:v>
                </c:pt>
                <c:pt idx="77">
                  <c:v>0.27310000000000001</c:v>
                </c:pt>
                <c:pt idx="78">
                  <c:v>0.2666</c:v>
                </c:pt>
                <c:pt idx="79">
                  <c:v>0.28010000000000002</c:v>
                </c:pt>
                <c:pt idx="80">
                  <c:v>0.2903</c:v>
                </c:pt>
                <c:pt idx="81">
                  <c:v>0.29670000000000002</c:v>
                </c:pt>
                <c:pt idx="82">
                  <c:v>0.28560000000000002</c:v>
                </c:pt>
                <c:pt idx="83">
                  <c:v>0.28739999999999999</c:v>
                </c:pt>
                <c:pt idx="84">
                  <c:v>0.30170000000000002</c:v>
                </c:pt>
                <c:pt idx="85">
                  <c:v>0.28599999999999998</c:v>
                </c:pt>
                <c:pt idx="86">
                  <c:v>0.29349999999999998</c:v>
                </c:pt>
                <c:pt idx="87">
                  <c:v>0.27229999999999999</c:v>
                </c:pt>
                <c:pt idx="88">
                  <c:v>0.27100000000000002</c:v>
                </c:pt>
                <c:pt idx="89">
                  <c:v>0.26550000000000001</c:v>
                </c:pt>
                <c:pt idx="90">
                  <c:v>0.2747</c:v>
                </c:pt>
                <c:pt idx="91">
                  <c:v>0.26700000000000002</c:v>
                </c:pt>
                <c:pt idx="92">
                  <c:v>0.26129999999999998</c:v>
                </c:pt>
                <c:pt idx="93">
                  <c:v>0.28949999999999998</c:v>
                </c:pt>
                <c:pt idx="94">
                  <c:v>0.29649999999999999</c:v>
                </c:pt>
                <c:pt idx="95">
                  <c:v>0.28599999999999998</c:v>
                </c:pt>
                <c:pt idx="96">
                  <c:v>0.29559999999999997</c:v>
                </c:pt>
                <c:pt idx="97">
                  <c:v>0.29799999999999999</c:v>
                </c:pt>
                <c:pt idx="98">
                  <c:v>0.29709999999999998</c:v>
                </c:pt>
                <c:pt idx="99">
                  <c:v>0.31669999999999998</c:v>
                </c:pt>
                <c:pt idx="100">
                  <c:v>0.30740000000000001</c:v>
                </c:pt>
                <c:pt idx="101">
                  <c:v>0.31950000000000001</c:v>
                </c:pt>
                <c:pt idx="102">
                  <c:v>0.30890000000000001</c:v>
                </c:pt>
                <c:pt idx="103">
                  <c:v>0.33429999999999999</c:v>
                </c:pt>
                <c:pt idx="104">
                  <c:v>0.30049999999999999</c:v>
                </c:pt>
                <c:pt idx="105">
                  <c:v>0.27810000000000001</c:v>
                </c:pt>
                <c:pt idx="106">
                  <c:v>0.27329999999999999</c:v>
                </c:pt>
                <c:pt idx="107">
                  <c:v>0.27279999999999999</c:v>
                </c:pt>
                <c:pt idx="108">
                  <c:v>0.28489999999999999</c:v>
                </c:pt>
                <c:pt idx="109">
                  <c:v>0.29289999999999999</c:v>
                </c:pt>
                <c:pt idx="110">
                  <c:v>0.31580000000000003</c:v>
                </c:pt>
                <c:pt idx="111">
                  <c:v>0.29899999999999999</c:v>
                </c:pt>
                <c:pt idx="112">
                  <c:v>0.3044</c:v>
                </c:pt>
                <c:pt idx="113">
                  <c:v>0.29709999999999998</c:v>
                </c:pt>
                <c:pt idx="114">
                  <c:v>0.31019999999999998</c:v>
                </c:pt>
                <c:pt idx="115">
                  <c:v>0.29609999999999997</c:v>
                </c:pt>
                <c:pt idx="116">
                  <c:v>0.30230000000000001</c:v>
                </c:pt>
                <c:pt idx="117">
                  <c:v>0.31</c:v>
                </c:pt>
                <c:pt idx="118">
                  <c:v>0.31830000000000003</c:v>
                </c:pt>
                <c:pt idx="119">
                  <c:v>0.27250000000000002</c:v>
                </c:pt>
                <c:pt idx="120">
                  <c:v>0.25209999999999999</c:v>
                </c:pt>
                <c:pt idx="121">
                  <c:v>0.25819999999999999</c:v>
                </c:pt>
                <c:pt idx="122">
                  <c:v>0.27850000000000003</c:v>
                </c:pt>
                <c:pt idx="123">
                  <c:v>0.27300000000000002</c:v>
                </c:pt>
                <c:pt idx="124">
                  <c:v>0.27410000000000001</c:v>
                </c:pt>
                <c:pt idx="125">
                  <c:v>0.27710000000000001</c:v>
                </c:pt>
                <c:pt idx="126">
                  <c:v>0.30159999999999998</c:v>
                </c:pt>
                <c:pt idx="127">
                  <c:v>0.30809999999999998</c:v>
                </c:pt>
                <c:pt idx="128">
                  <c:v>0.2656</c:v>
                </c:pt>
                <c:pt idx="129">
                  <c:v>0.31630000000000003</c:v>
                </c:pt>
                <c:pt idx="130">
                  <c:v>0.36459999999999998</c:v>
                </c:pt>
                <c:pt idx="131">
                  <c:v>0.38869999999999999</c:v>
                </c:pt>
                <c:pt idx="132">
                  <c:v>0.36909999999999998</c:v>
                </c:pt>
                <c:pt idx="133">
                  <c:v>0.3795</c:v>
                </c:pt>
                <c:pt idx="134">
                  <c:v>0.39689999999999998</c:v>
                </c:pt>
                <c:pt idx="135">
                  <c:v>0.41139999999999999</c:v>
                </c:pt>
                <c:pt idx="136">
                  <c:v>0.37090000000000001</c:v>
                </c:pt>
                <c:pt idx="137">
                  <c:v>0.40250000000000002</c:v>
                </c:pt>
                <c:pt idx="138">
                  <c:v>0.38100000000000001</c:v>
                </c:pt>
                <c:pt idx="139">
                  <c:v>0.38269999999999998</c:v>
                </c:pt>
                <c:pt idx="140">
                  <c:v>0.41539999999999999</c:v>
                </c:pt>
                <c:pt idx="141">
                  <c:v>0.41689999999999999</c:v>
                </c:pt>
                <c:pt idx="142">
                  <c:v>0.39710000000000001</c:v>
                </c:pt>
                <c:pt idx="143">
                  <c:v>0.4748</c:v>
                </c:pt>
                <c:pt idx="144">
                  <c:v>0.38679999999999998</c:v>
                </c:pt>
                <c:pt idx="145">
                  <c:v>0.36370000000000002</c:v>
                </c:pt>
                <c:pt idx="146">
                  <c:v>0.38040000000000002</c:v>
                </c:pt>
                <c:pt idx="147">
                  <c:v>0.39910000000000001</c:v>
                </c:pt>
                <c:pt idx="148">
                  <c:v>0.3271</c:v>
                </c:pt>
                <c:pt idx="149">
                  <c:v>0.30630000000000002</c:v>
                </c:pt>
                <c:pt idx="150">
                  <c:v>0.2984</c:v>
                </c:pt>
                <c:pt idx="151">
                  <c:v>0.31159999999999999</c:v>
                </c:pt>
                <c:pt idx="152">
                  <c:v>0.31900000000000001</c:v>
                </c:pt>
                <c:pt idx="153">
                  <c:v>0.32100000000000001</c:v>
                </c:pt>
                <c:pt idx="154">
                  <c:v>0.3029</c:v>
                </c:pt>
                <c:pt idx="155">
                  <c:v>0.3296</c:v>
                </c:pt>
                <c:pt idx="156">
                  <c:v>0.31519999999999998</c:v>
                </c:pt>
                <c:pt idx="157">
                  <c:v>0.33600000000000002</c:v>
                </c:pt>
                <c:pt idx="158">
                  <c:v>0.31850000000000001</c:v>
                </c:pt>
                <c:pt idx="159">
                  <c:v>0.31669999999999998</c:v>
                </c:pt>
                <c:pt idx="160">
                  <c:v>0.32890000000000003</c:v>
                </c:pt>
                <c:pt idx="161">
                  <c:v>0.31440000000000001</c:v>
                </c:pt>
                <c:pt idx="162">
                  <c:v>0.29949999999999999</c:v>
                </c:pt>
                <c:pt idx="163">
                  <c:v>0.28460000000000002</c:v>
                </c:pt>
                <c:pt idx="164">
                  <c:v>0.32200000000000001</c:v>
                </c:pt>
                <c:pt idx="165">
                  <c:v>0.28089999999999998</c:v>
                </c:pt>
                <c:pt idx="166">
                  <c:v>0.27310000000000001</c:v>
                </c:pt>
                <c:pt idx="167">
                  <c:v>0.28549999999999998</c:v>
                </c:pt>
                <c:pt idx="168">
                  <c:v>0.26169999999999999</c:v>
                </c:pt>
                <c:pt idx="169">
                  <c:v>0.28889999999999999</c:v>
                </c:pt>
                <c:pt idx="170">
                  <c:v>0.24740000000000001</c:v>
                </c:pt>
                <c:pt idx="171">
                  <c:v>0.24129999999999999</c:v>
                </c:pt>
                <c:pt idx="172">
                  <c:v>0.22359999999999999</c:v>
                </c:pt>
                <c:pt idx="173">
                  <c:v>0.23469999999999999</c:v>
                </c:pt>
                <c:pt idx="174">
                  <c:v>0.24129999999999999</c:v>
                </c:pt>
                <c:pt idx="175">
                  <c:v>0.21990000000000001</c:v>
                </c:pt>
                <c:pt idx="176">
                  <c:v>0.21010000000000001</c:v>
                </c:pt>
                <c:pt idx="177">
                  <c:v>0.1953</c:v>
                </c:pt>
                <c:pt idx="178">
                  <c:v>0.1968</c:v>
                </c:pt>
                <c:pt idx="179">
                  <c:v>0.2092</c:v>
                </c:pt>
                <c:pt idx="180">
                  <c:v>0.22370000000000001</c:v>
                </c:pt>
                <c:pt idx="181">
                  <c:v>0.1946</c:v>
                </c:pt>
                <c:pt idx="182">
                  <c:v>0.19489999999999999</c:v>
                </c:pt>
                <c:pt idx="183">
                  <c:v>0.20119999999999999</c:v>
                </c:pt>
                <c:pt idx="184">
                  <c:v>0.20030000000000001</c:v>
                </c:pt>
                <c:pt idx="185">
                  <c:v>0.1744</c:v>
                </c:pt>
                <c:pt idx="186">
                  <c:v>0.1885</c:v>
                </c:pt>
                <c:pt idx="187">
                  <c:v>0.17180000000000001</c:v>
                </c:pt>
                <c:pt idx="188">
                  <c:v>0.16259999999999999</c:v>
                </c:pt>
                <c:pt idx="189">
                  <c:v>0.17249999999999999</c:v>
                </c:pt>
                <c:pt idx="190">
                  <c:v>0.14169999999999999</c:v>
                </c:pt>
                <c:pt idx="191">
                  <c:v>0.12859999999999999</c:v>
                </c:pt>
                <c:pt idx="192">
                  <c:v>0.14050000000000001</c:v>
                </c:pt>
                <c:pt idx="193">
                  <c:v>0.14710000000000001</c:v>
                </c:pt>
                <c:pt idx="194">
                  <c:v>0.1459</c:v>
                </c:pt>
                <c:pt idx="195">
                  <c:v>0.1472</c:v>
                </c:pt>
                <c:pt idx="196">
                  <c:v>0.15770000000000001</c:v>
                </c:pt>
                <c:pt idx="197">
                  <c:v>0.16170000000000001</c:v>
                </c:pt>
                <c:pt idx="198">
                  <c:v>0.1653</c:v>
                </c:pt>
                <c:pt idx="199">
                  <c:v>0.1719</c:v>
                </c:pt>
                <c:pt idx="200">
                  <c:v>0.17530000000000001</c:v>
                </c:pt>
                <c:pt idx="201">
                  <c:v>0.17130000000000001</c:v>
                </c:pt>
                <c:pt idx="202">
                  <c:v>0.1792</c:v>
                </c:pt>
                <c:pt idx="203">
                  <c:v>0.16039999999999999</c:v>
                </c:pt>
                <c:pt idx="204">
                  <c:v>0.16689999999999999</c:v>
                </c:pt>
                <c:pt idx="205">
                  <c:v>0.16520000000000001</c:v>
                </c:pt>
                <c:pt idx="206">
                  <c:v>0.1605</c:v>
                </c:pt>
                <c:pt idx="207">
                  <c:v>0.1623</c:v>
                </c:pt>
                <c:pt idx="208">
                  <c:v>0.15790000000000001</c:v>
                </c:pt>
                <c:pt idx="209">
                  <c:v>0.1565</c:v>
                </c:pt>
                <c:pt idx="210">
                  <c:v>0.15759999999999999</c:v>
                </c:pt>
                <c:pt idx="211">
                  <c:v>0.1628</c:v>
                </c:pt>
                <c:pt idx="212">
                  <c:v>0.16739999999999999</c:v>
                </c:pt>
                <c:pt idx="213">
                  <c:v>0.1583</c:v>
                </c:pt>
                <c:pt idx="214">
                  <c:v>0.15559999999999999</c:v>
                </c:pt>
                <c:pt idx="215">
                  <c:v>0.1411</c:v>
                </c:pt>
                <c:pt idx="216">
                  <c:v>0.14779999999999999</c:v>
                </c:pt>
                <c:pt idx="217">
                  <c:v>0.15740000000000001</c:v>
                </c:pt>
                <c:pt idx="218">
                  <c:v>0.16089999999999999</c:v>
                </c:pt>
                <c:pt idx="219">
                  <c:v>0.1464</c:v>
                </c:pt>
                <c:pt idx="220">
                  <c:v>0.15770000000000001</c:v>
                </c:pt>
                <c:pt idx="221">
                  <c:v>0.19339999999999999</c:v>
                </c:pt>
                <c:pt idx="222">
                  <c:v>0.19040000000000001</c:v>
                </c:pt>
                <c:pt idx="223">
                  <c:v>0.1943</c:v>
                </c:pt>
                <c:pt idx="224">
                  <c:v>0.2072</c:v>
                </c:pt>
                <c:pt idx="225">
                  <c:v>0.21129999999999999</c:v>
                </c:pt>
                <c:pt idx="226">
                  <c:v>0.2319</c:v>
                </c:pt>
                <c:pt idx="227">
                  <c:v>0.21110000000000001</c:v>
                </c:pt>
                <c:pt idx="228">
                  <c:v>0.21210000000000001</c:v>
                </c:pt>
                <c:pt idx="229">
                  <c:v>0.19839999999999999</c:v>
                </c:pt>
                <c:pt idx="230">
                  <c:v>0.2014</c:v>
                </c:pt>
                <c:pt idx="231">
                  <c:v>0.22989999999999999</c:v>
                </c:pt>
                <c:pt idx="232">
                  <c:v>0.24229999999999999</c:v>
                </c:pt>
                <c:pt idx="233">
                  <c:v>0.2147</c:v>
                </c:pt>
                <c:pt idx="234">
                  <c:v>0.21429999999999999</c:v>
                </c:pt>
                <c:pt idx="235">
                  <c:v>0.23810000000000001</c:v>
                </c:pt>
                <c:pt idx="236">
                  <c:v>0.23250000000000001</c:v>
                </c:pt>
                <c:pt idx="237">
                  <c:v>0.2452</c:v>
                </c:pt>
                <c:pt idx="238">
                  <c:v>0.28660000000000002</c:v>
                </c:pt>
                <c:pt idx="239">
                  <c:v>0.2717</c:v>
                </c:pt>
                <c:pt idx="240">
                  <c:v>0.2354</c:v>
                </c:pt>
                <c:pt idx="241">
                  <c:v>0.248</c:v>
                </c:pt>
                <c:pt idx="242">
                  <c:v>0.23400000000000001</c:v>
                </c:pt>
                <c:pt idx="243">
                  <c:v>0.22509999999999999</c:v>
                </c:pt>
                <c:pt idx="244">
                  <c:v>0.24729999999999999</c:v>
                </c:pt>
                <c:pt idx="245">
                  <c:v>0.29099999999999998</c:v>
                </c:pt>
                <c:pt idx="246">
                  <c:v>0.33779999999999999</c:v>
                </c:pt>
                <c:pt idx="247">
                  <c:v>0.2404</c:v>
                </c:pt>
                <c:pt idx="248">
                  <c:v>0.2026</c:v>
                </c:pt>
                <c:pt idx="249">
                  <c:v>0.14849999999999999</c:v>
                </c:pt>
                <c:pt idx="250">
                  <c:v>0.19719999999999999</c:v>
                </c:pt>
                <c:pt idx="251">
                  <c:v>0.2248</c:v>
                </c:pt>
                <c:pt idx="252">
                  <c:v>0.26490000000000002</c:v>
                </c:pt>
                <c:pt idx="253">
                  <c:v>0.23549999999999999</c:v>
                </c:pt>
                <c:pt idx="254">
                  <c:v>0.37330000000000002</c:v>
                </c:pt>
                <c:pt idx="255">
                  <c:v>0.374</c:v>
                </c:pt>
                <c:pt idx="256">
                  <c:v>0.41970000000000002</c:v>
                </c:pt>
                <c:pt idx="257">
                  <c:v>0.4194</c:v>
                </c:pt>
                <c:pt idx="258">
                  <c:v>0.48</c:v>
                </c:pt>
                <c:pt idx="259">
                  <c:v>0.43790000000000001</c:v>
                </c:pt>
                <c:pt idx="260">
                  <c:v>0.4496</c:v>
                </c:pt>
                <c:pt idx="261">
                  <c:v>0.56000000000000005</c:v>
                </c:pt>
                <c:pt idx="262">
                  <c:v>0.55500000000000005</c:v>
                </c:pt>
                <c:pt idx="263">
                  <c:v>0.64070000000000005</c:v>
                </c:pt>
                <c:pt idx="264">
                  <c:v>0.61160000000000003</c:v>
                </c:pt>
                <c:pt idx="265">
                  <c:v>0.60329999999999995</c:v>
                </c:pt>
                <c:pt idx="266">
                  <c:v>0.62749999999999995</c:v>
                </c:pt>
                <c:pt idx="267">
                  <c:v>0.64780000000000004</c:v>
                </c:pt>
                <c:pt idx="268">
                  <c:v>0.61829999999999996</c:v>
                </c:pt>
                <c:pt idx="269">
                  <c:v>0.62809999999999999</c:v>
                </c:pt>
                <c:pt idx="270">
                  <c:v>0.6</c:v>
                </c:pt>
                <c:pt idx="271">
                  <c:v>0.52600000000000002</c:v>
                </c:pt>
                <c:pt idx="272">
                  <c:v>0.50370000000000004</c:v>
                </c:pt>
                <c:pt idx="273">
                  <c:v>0.50560000000000005</c:v>
                </c:pt>
                <c:pt idx="274">
                  <c:v>0.54800000000000004</c:v>
                </c:pt>
                <c:pt idx="275">
                  <c:v>0.54900000000000004</c:v>
                </c:pt>
                <c:pt idx="276">
                  <c:v>0.50080000000000002</c:v>
                </c:pt>
                <c:pt idx="277">
                  <c:v>0.43859999999999999</c:v>
                </c:pt>
                <c:pt idx="278">
                  <c:v>0.41139999999999999</c:v>
                </c:pt>
                <c:pt idx="279">
                  <c:v>0.4506</c:v>
                </c:pt>
                <c:pt idx="280">
                  <c:v>0.47139999999999999</c:v>
                </c:pt>
                <c:pt idx="281">
                  <c:v>0.53320000000000001</c:v>
                </c:pt>
                <c:pt idx="282">
                  <c:v>0.60109999999999997</c:v>
                </c:pt>
                <c:pt idx="283">
                  <c:v>0.57740000000000002</c:v>
                </c:pt>
                <c:pt idx="284">
                  <c:v>0.64139999999999997</c:v>
                </c:pt>
                <c:pt idx="285">
                  <c:v>0.66379999999999995</c:v>
                </c:pt>
                <c:pt idx="286">
                  <c:v>0.68059999999999998</c:v>
                </c:pt>
                <c:pt idx="287">
                  <c:v>0.74229999999999996</c:v>
                </c:pt>
                <c:pt idx="288">
                  <c:v>0.81069999999999998</c:v>
                </c:pt>
                <c:pt idx="289">
                  <c:v>0.74580000000000002</c:v>
                </c:pt>
                <c:pt idx="290">
                  <c:v>0.81540000000000001</c:v>
                </c:pt>
                <c:pt idx="291">
                  <c:v>0.86519999999999997</c:v>
                </c:pt>
                <c:pt idx="292">
                  <c:v>0.80420000000000003</c:v>
                </c:pt>
                <c:pt idx="293">
                  <c:v>0.95099999999999996</c:v>
                </c:pt>
                <c:pt idx="294">
                  <c:v>0.6875</c:v>
                </c:pt>
                <c:pt idx="295">
                  <c:v>0.60009999999999997</c:v>
                </c:pt>
                <c:pt idx="296">
                  <c:v>0.63229999999999997</c:v>
                </c:pt>
                <c:pt idx="297">
                  <c:v>0.66869999999999996</c:v>
                </c:pt>
                <c:pt idx="298">
                  <c:v>0.6321</c:v>
                </c:pt>
                <c:pt idx="299">
                  <c:v>0.60289999999999999</c:v>
                </c:pt>
                <c:pt idx="300">
                  <c:v>0.69110000000000005</c:v>
                </c:pt>
                <c:pt idx="301">
                  <c:v>0.71630000000000005</c:v>
                </c:pt>
                <c:pt idx="302">
                  <c:v>0.82240000000000002</c:v>
                </c:pt>
                <c:pt idx="303">
                  <c:v>0.753</c:v>
                </c:pt>
                <c:pt idx="304">
                  <c:v>0.7298</c:v>
                </c:pt>
                <c:pt idx="305">
                  <c:v>0.67689999999999995</c:v>
                </c:pt>
                <c:pt idx="306">
                  <c:v>0.67859999999999998</c:v>
                </c:pt>
                <c:pt idx="307">
                  <c:v>0.65339999999999998</c:v>
                </c:pt>
                <c:pt idx="308">
                  <c:v>0.55869999999999997</c:v>
                </c:pt>
                <c:pt idx="309">
                  <c:v>0.6421</c:v>
                </c:pt>
                <c:pt idx="310">
                  <c:v>0.54149999999999998</c:v>
                </c:pt>
                <c:pt idx="311">
                  <c:v>0.5877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13-4328-BEC2-6D781C42259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-12.969264547221954</c:v>
                </c:pt>
                <c:pt idx="1">
                  <c:v>-12.967207173632209</c:v>
                </c:pt>
                <c:pt idx="2">
                  <c:v>-12.918419462608588</c:v>
                </c:pt>
                <c:pt idx="3">
                  <c:v>-12.883094180790405</c:v>
                </c:pt>
                <c:pt idx="4">
                  <c:v>-12.880049278839186</c:v>
                </c:pt>
                <c:pt idx="5">
                  <c:v>-12.866786969886306</c:v>
                </c:pt>
                <c:pt idx="6">
                  <c:v>-12.679855944959948</c:v>
                </c:pt>
                <c:pt idx="7">
                  <c:v>-12.517661524069437</c:v>
                </c:pt>
                <c:pt idx="8">
                  <c:v>-12.466326163391471</c:v>
                </c:pt>
                <c:pt idx="9">
                  <c:v>-12.427363572374523</c:v>
                </c:pt>
                <c:pt idx="10">
                  <c:v>-12.354558902374523</c:v>
                </c:pt>
                <c:pt idx="11">
                  <c:v>-12.335288071290186</c:v>
                </c:pt>
                <c:pt idx="12">
                  <c:v>-12.20389416385116</c:v>
                </c:pt>
                <c:pt idx="13">
                  <c:v>-12.165280412117827</c:v>
                </c:pt>
                <c:pt idx="14">
                  <c:v>-12.079168567481149</c:v>
                </c:pt>
                <c:pt idx="15">
                  <c:v>-12.048741027713707</c:v>
                </c:pt>
                <c:pt idx="16">
                  <c:v>-12.073367337147671</c:v>
                </c:pt>
                <c:pt idx="17">
                  <c:v>-12.067272037906292</c:v>
                </c:pt>
                <c:pt idx="18">
                  <c:v>-12.038511883839625</c:v>
                </c:pt>
                <c:pt idx="19">
                  <c:v>-11.976168330777424</c:v>
                </c:pt>
                <c:pt idx="20">
                  <c:v>-11.871576176566895</c:v>
                </c:pt>
                <c:pt idx="21">
                  <c:v>-11.847000913966896</c:v>
                </c:pt>
                <c:pt idx="22">
                  <c:v>-11.85897133600573</c:v>
                </c:pt>
                <c:pt idx="23">
                  <c:v>-11.797000456551185</c:v>
                </c:pt>
                <c:pt idx="24">
                  <c:v>-11.782174236860463</c:v>
                </c:pt>
                <c:pt idx="25">
                  <c:v>-11.745425713456209</c:v>
                </c:pt>
                <c:pt idx="26">
                  <c:v>-11.733620306826996</c:v>
                </c:pt>
                <c:pt idx="27">
                  <c:v>-11.769167867826992</c:v>
                </c:pt>
                <c:pt idx="28">
                  <c:v>-11.737038261047331</c:v>
                </c:pt>
                <c:pt idx="29">
                  <c:v>-11.737785326126698</c:v>
                </c:pt>
                <c:pt idx="30">
                  <c:v>-11.698411549099671</c:v>
                </c:pt>
                <c:pt idx="31">
                  <c:v>-11.61303954066649</c:v>
                </c:pt>
                <c:pt idx="32">
                  <c:v>-11.489356678065759</c:v>
                </c:pt>
                <c:pt idx="33">
                  <c:v>-11.525535118935322</c:v>
                </c:pt>
                <c:pt idx="34">
                  <c:v>-11.505525300495604</c:v>
                </c:pt>
                <c:pt idx="35">
                  <c:v>-11.400561318981662</c:v>
                </c:pt>
                <c:pt idx="36">
                  <c:v>-11.47905942712981</c:v>
                </c:pt>
                <c:pt idx="37">
                  <c:v>-11.406369835334937</c:v>
                </c:pt>
                <c:pt idx="38">
                  <c:v>-11.463959070789482</c:v>
                </c:pt>
                <c:pt idx="39">
                  <c:v>-11.488856176856899</c:v>
                </c:pt>
                <c:pt idx="40">
                  <c:v>-11.386521913220536</c:v>
                </c:pt>
                <c:pt idx="41">
                  <c:v>-11.388496617887204</c:v>
                </c:pt>
                <c:pt idx="42">
                  <c:v>-11.213276085216748</c:v>
                </c:pt>
                <c:pt idx="43">
                  <c:v>-10.981815155686547</c:v>
                </c:pt>
                <c:pt idx="44">
                  <c:v>-10.470206743402114</c:v>
                </c:pt>
                <c:pt idx="45">
                  <c:v>-10.4890022580175</c:v>
                </c:pt>
                <c:pt idx="46">
                  <c:v>-10.391381854207975</c:v>
                </c:pt>
                <c:pt idx="47">
                  <c:v>-10.369586395746435</c:v>
                </c:pt>
                <c:pt idx="48">
                  <c:v>-10.373431782959551</c:v>
                </c:pt>
                <c:pt idx="49">
                  <c:v>-10.299266795371611</c:v>
                </c:pt>
                <c:pt idx="50">
                  <c:v>-9.9984818953716115</c:v>
                </c:pt>
                <c:pt idx="51">
                  <c:v>-10.207295965139053</c:v>
                </c:pt>
                <c:pt idx="52">
                  <c:v>-9.9823566478976762</c:v>
                </c:pt>
                <c:pt idx="53">
                  <c:v>-10.351798042775831</c:v>
                </c:pt>
                <c:pt idx="54">
                  <c:v>-10.000588424712339</c:v>
                </c:pt>
                <c:pt idx="55">
                  <c:v>-9.8362793849983667</c:v>
                </c:pt>
                <c:pt idx="56">
                  <c:v>-9.7446979795289792</c:v>
                </c:pt>
                <c:pt idx="57">
                  <c:v>-9.5612452143022484</c:v>
                </c:pt>
                <c:pt idx="58">
                  <c:v>-9.1753898785224344</c:v>
                </c:pt>
                <c:pt idx="59">
                  <c:v>-9.0895078342746451</c:v>
                </c:pt>
                <c:pt idx="60">
                  <c:v>-9.0620415353243686</c:v>
                </c:pt>
                <c:pt idx="61">
                  <c:v>-9.1429733722209203</c:v>
                </c:pt>
                <c:pt idx="62">
                  <c:v>-8.9371773211177175</c:v>
                </c:pt>
                <c:pt idx="63">
                  <c:v>-8.3726275878126319</c:v>
                </c:pt>
                <c:pt idx="64">
                  <c:v>-6.0698524394126343</c:v>
                </c:pt>
                <c:pt idx="65">
                  <c:v>-6.0590423696254003</c:v>
                </c:pt>
                <c:pt idx="66">
                  <c:v>-6.1777834243716692</c:v>
                </c:pt>
                <c:pt idx="67">
                  <c:v>-6.110211427322489</c:v>
                </c:pt>
                <c:pt idx="68">
                  <c:v>-5.8188592122687259</c:v>
                </c:pt>
                <c:pt idx="69">
                  <c:v>-5.8310823890469683</c:v>
                </c:pt>
                <c:pt idx="70">
                  <c:v>-5.9055356298569368</c:v>
                </c:pt>
                <c:pt idx="71">
                  <c:v>-5.8063246159225113</c:v>
                </c:pt>
                <c:pt idx="72">
                  <c:v>-5.973537588703576</c:v>
                </c:pt>
                <c:pt idx="73">
                  <c:v>-6.0279853419364526</c:v>
                </c:pt>
                <c:pt idx="74">
                  <c:v>-5.8718546269265115</c:v>
                </c:pt>
                <c:pt idx="75">
                  <c:v>-5.7682539347231216</c:v>
                </c:pt>
                <c:pt idx="76">
                  <c:v>-6.0137278027032055</c:v>
                </c:pt>
                <c:pt idx="77">
                  <c:v>-6.000639633806653</c:v>
                </c:pt>
                <c:pt idx="78">
                  <c:v>-6.0357713427721702</c:v>
                </c:pt>
                <c:pt idx="79">
                  <c:v>-5.969282871509372</c:v>
                </c:pt>
                <c:pt idx="80">
                  <c:v>-5.8869247288587703</c:v>
                </c:pt>
                <c:pt idx="81">
                  <c:v>-5.8382095700801449</c:v>
                </c:pt>
                <c:pt idx="82">
                  <c:v>-5.8511708761671004</c:v>
                </c:pt>
                <c:pt idx="83">
                  <c:v>-5.8303714877460475</c:v>
                </c:pt>
                <c:pt idx="84">
                  <c:v>-5.7498457250031896</c:v>
                </c:pt>
                <c:pt idx="85">
                  <c:v>-5.8133280902304625</c:v>
                </c:pt>
                <c:pt idx="86">
                  <c:v>-5.8434429183126548</c:v>
                </c:pt>
                <c:pt idx="87">
                  <c:v>-5.9705991428024507</c:v>
                </c:pt>
                <c:pt idx="88">
                  <c:v>-5.9705991428024507</c:v>
                </c:pt>
                <c:pt idx="89">
                  <c:v>-5.9498003893059472</c:v>
                </c:pt>
                <c:pt idx="90">
                  <c:v>-5.9140302675081955</c:v>
                </c:pt>
                <c:pt idx="91">
                  <c:v>-5.926324925226317</c:v>
                </c:pt>
                <c:pt idx="92">
                  <c:v>-5.9462442289763171</c:v>
                </c:pt>
                <c:pt idx="93">
                  <c:v>-5.8042263063580197</c:v>
                </c:pt>
                <c:pt idx="94">
                  <c:v>-5.710663620050326</c:v>
                </c:pt>
                <c:pt idx="95">
                  <c:v>-5.7487532946771918</c:v>
                </c:pt>
                <c:pt idx="96">
                  <c:v>-5.7302067946771924</c:v>
                </c:pt>
                <c:pt idx="97">
                  <c:v>-5.7320239932486201</c:v>
                </c:pt>
                <c:pt idx="98">
                  <c:v>-5.7383370343297022</c:v>
                </c:pt>
                <c:pt idx="99">
                  <c:v>-5.6444704193297017</c:v>
                </c:pt>
                <c:pt idx="100">
                  <c:v>-5.7014973296630354</c:v>
                </c:pt>
                <c:pt idx="101">
                  <c:v>-5.6206474060682634</c:v>
                </c:pt>
                <c:pt idx="102">
                  <c:v>-5.6479881287918401</c:v>
                </c:pt>
                <c:pt idx="103">
                  <c:v>-5.5305742705177279</c:v>
                </c:pt>
                <c:pt idx="104">
                  <c:v>-5.6363221078875911</c:v>
                </c:pt>
                <c:pt idx="105">
                  <c:v>-5.7609444652444202</c:v>
                </c:pt>
                <c:pt idx="106">
                  <c:v>-5.7185247283277532</c:v>
                </c:pt>
                <c:pt idx="107">
                  <c:v>-5.7668813451399803</c:v>
                </c:pt>
                <c:pt idx="108">
                  <c:v>-5.7598752988006945</c:v>
                </c:pt>
                <c:pt idx="109">
                  <c:v>-5.5980527550018122</c:v>
                </c:pt>
                <c:pt idx="110">
                  <c:v>-5.4987677269878743</c:v>
                </c:pt>
                <c:pt idx="111">
                  <c:v>-5.5907083972857468</c:v>
                </c:pt>
                <c:pt idx="112">
                  <c:v>-5.5275568772857477</c:v>
                </c:pt>
                <c:pt idx="113">
                  <c:v>-5.3757669175087965</c:v>
                </c:pt>
                <c:pt idx="114">
                  <c:v>-5.3767987319748167</c:v>
                </c:pt>
                <c:pt idx="115">
                  <c:v>-5.4080757283384528</c:v>
                </c:pt>
                <c:pt idx="116">
                  <c:v>-5.3999037297090116</c:v>
                </c:pt>
                <c:pt idx="117">
                  <c:v>-5.373693053042345</c:v>
                </c:pt>
                <c:pt idx="118">
                  <c:v>-5.2892141407065782</c:v>
                </c:pt>
                <c:pt idx="119">
                  <c:v>-5.3213605173277392</c:v>
                </c:pt>
                <c:pt idx="120">
                  <c:v>-5.3368038922870884</c:v>
                </c:pt>
                <c:pt idx="121">
                  <c:v>-5.2353965982330344</c:v>
                </c:pt>
                <c:pt idx="122">
                  <c:v>-5.140522224957925</c:v>
                </c:pt>
                <c:pt idx="123">
                  <c:v>-5.0383643837052716</c:v>
                </c:pt>
                <c:pt idx="124">
                  <c:v>-5.089831503950216</c:v>
                </c:pt>
                <c:pt idx="125">
                  <c:v>-5.0196058028553256</c:v>
                </c:pt>
                <c:pt idx="126">
                  <c:v>-4.9939244034665728</c:v>
                </c:pt>
                <c:pt idx="127">
                  <c:v>-4.9986548012904066</c:v>
                </c:pt>
                <c:pt idx="128">
                  <c:v>-5.1378504070719506</c:v>
                </c:pt>
                <c:pt idx="129">
                  <c:v>-5.0507896988404601</c:v>
                </c:pt>
                <c:pt idx="130">
                  <c:v>-5.0033232339807849</c:v>
                </c:pt>
                <c:pt idx="131">
                  <c:v>-4.9458350673141176</c:v>
                </c:pt>
                <c:pt idx="132">
                  <c:v>-4.8868625792384073</c:v>
                </c:pt>
                <c:pt idx="133">
                  <c:v>-4.8688897452910398</c:v>
                </c:pt>
                <c:pt idx="134">
                  <c:v>-4.8266842221351451</c:v>
                </c:pt>
                <c:pt idx="135">
                  <c:v>-4.7514178856967888</c:v>
                </c:pt>
                <c:pt idx="136">
                  <c:v>-4.7982502664774076</c:v>
                </c:pt>
                <c:pt idx="137">
                  <c:v>-4.7226824181836706</c:v>
                </c:pt>
                <c:pt idx="138">
                  <c:v>-4.7005892935871803</c:v>
                </c:pt>
                <c:pt idx="139">
                  <c:v>-4.5424320635228712</c:v>
                </c:pt>
                <c:pt idx="140">
                  <c:v>-4.3433716462057985</c:v>
                </c:pt>
                <c:pt idx="141">
                  <c:v>-3.789528338789852</c:v>
                </c:pt>
                <c:pt idx="142">
                  <c:v>-4.031258924648438</c:v>
                </c:pt>
                <c:pt idx="143">
                  <c:v>-3.2737955469592102</c:v>
                </c:pt>
                <c:pt idx="144">
                  <c:v>-3.6691021378456785</c:v>
                </c:pt>
                <c:pt idx="145">
                  <c:v>-3.4845902160569624</c:v>
                </c:pt>
                <c:pt idx="146">
                  <c:v>-3.3609658415430745</c:v>
                </c:pt>
                <c:pt idx="147">
                  <c:v>-2.9967040925009285</c:v>
                </c:pt>
                <c:pt idx="148">
                  <c:v>-2.9299350909112745</c:v>
                </c:pt>
                <c:pt idx="149">
                  <c:v>-2.8976595922811108</c:v>
                </c:pt>
                <c:pt idx="150">
                  <c:v>-2.9206839342351341</c:v>
                </c:pt>
                <c:pt idx="151">
                  <c:v>-2.8466948081312382</c:v>
                </c:pt>
                <c:pt idx="152">
                  <c:v>-2.83001900201613</c:v>
                </c:pt>
                <c:pt idx="153">
                  <c:v>-2.8197145668262564</c:v>
                </c:pt>
                <c:pt idx="154">
                  <c:v>-2.8952030477209934</c:v>
                </c:pt>
                <c:pt idx="155">
                  <c:v>-2.8322768506209925</c:v>
                </c:pt>
                <c:pt idx="156">
                  <c:v>-2.89733272611848</c:v>
                </c:pt>
                <c:pt idx="157">
                  <c:v>-2.7048528693946166</c:v>
                </c:pt>
                <c:pt idx="158">
                  <c:v>-2.7544027090579304</c:v>
                </c:pt>
                <c:pt idx="159">
                  <c:v>-2.7519946994844009</c:v>
                </c:pt>
                <c:pt idx="160">
                  <c:v>-2.7424801870915734</c:v>
                </c:pt>
                <c:pt idx="161">
                  <c:v>-2.7854605515654192</c:v>
                </c:pt>
                <c:pt idx="162">
                  <c:v>-2.8883587396000765</c:v>
                </c:pt>
                <c:pt idx="163">
                  <c:v>-2.931687596864891</c:v>
                </c:pt>
                <c:pt idx="164">
                  <c:v>-2.4461912018865779</c:v>
                </c:pt>
                <c:pt idx="165">
                  <c:v>-2.6860332510503362</c:v>
                </c:pt>
                <c:pt idx="166">
                  <c:v>-2.8118106294617649</c:v>
                </c:pt>
                <c:pt idx="167">
                  <c:v>-2.7710697481617652</c:v>
                </c:pt>
                <c:pt idx="168">
                  <c:v>-3.5773870620826136</c:v>
                </c:pt>
                <c:pt idx="169">
                  <c:v>-3.4828342025211323</c:v>
                </c:pt>
                <c:pt idx="170">
                  <c:v>-3.6694889253655356</c:v>
                </c:pt>
                <c:pt idx="171">
                  <c:v>-3.7254368014471684</c:v>
                </c:pt>
                <c:pt idx="172">
                  <c:v>-3.8312953401893499</c:v>
                </c:pt>
                <c:pt idx="173">
                  <c:v>-3.7421561641070715</c:v>
                </c:pt>
                <c:pt idx="174">
                  <c:v>-3.7288550789188362</c:v>
                </c:pt>
                <c:pt idx="175">
                  <c:v>-3.8796797280525706</c:v>
                </c:pt>
                <c:pt idx="176">
                  <c:v>-4.0338337686071686</c:v>
                </c:pt>
                <c:pt idx="177">
                  <c:v>-4.1416902138163643</c:v>
                </c:pt>
                <c:pt idx="178">
                  <c:v>-4.1119243982323654</c:v>
                </c:pt>
                <c:pt idx="179">
                  <c:v>-4.008923756623008</c:v>
                </c:pt>
                <c:pt idx="180">
                  <c:v>-3.8916996721913706</c:v>
                </c:pt>
                <c:pt idx="181">
                  <c:v>-4.2389303608720601</c:v>
                </c:pt>
                <c:pt idx="182">
                  <c:v>-4.2876273613046445</c:v>
                </c:pt>
                <c:pt idx="183">
                  <c:v>-4.2298090706490887</c:v>
                </c:pt>
                <c:pt idx="184">
                  <c:v>-4.057197570928512</c:v>
                </c:pt>
                <c:pt idx="185">
                  <c:v>-4.0233684805237502</c:v>
                </c:pt>
                <c:pt idx="186">
                  <c:v>-3.7763256044244793</c:v>
                </c:pt>
                <c:pt idx="187">
                  <c:v>-3.8056144094535065</c:v>
                </c:pt>
                <c:pt idx="188">
                  <c:v>-3.9007994261140575</c:v>
                </c:pt>
                <c:pt idx="189">
                  <c:v>-3.9024098967714411</c:v>
                </c:pt>
                <c:pt idx="190">
                  <c:v>-3.8926921911950769</c:v>
                </c:pt>
                <c:pt idx="191">
                  <c:v>-3.9630616157169811</c:v>
                </c:pt>
                <c:pt idx="192">
                  <c:v>-3.8752888497169811</c:v>
                </c:pt>
                <c:pt idx="193">
                  <c:v>-3.7736737171603778</c:v>
                </c:pt>
                <c:pt idx="194">
                  <c:v>-3.746383949602238</c:v>
                </c:pt>
                <c:pt idx="195">
                  <c:v>-3.7222603865437764</c:v>
                </c:pt>
                <c:pt idx="196">
                  <c:v>-3.6530131837246929</c:v>
                </c:pt>
                <c:pt idx="197">
                  <c:v>-3.5691206189922142</c:v>
                </c:pt>
                <c:pt idx="198">
                  <c:v>-3.5259632480947354</c:v>
                </c:pt>
                <c:pt idx="199">
                  <c:v>-3.4212082500364018</c:v>
                </c:pt>
                <c:pt idx="200">
                  <c:v>-3.3551137136611437</c:v>
                </c:pt>
                <c:pt idx="201">
                  <c:v>-3.3830760294223681</c:v>
                </c:pt>
                <c:pt idx="202">
                  <c:v>-3.349453941103687</c:v>
                </c:pt>
                <c:pt idx="203">
                  <c:v>-3.5119287999785072</c:v>
                </c:pt>
                <c:pt idx="204">
                  <c:v>-3.5192033798715006</c:v>
                </c:pt>
                <c:pt idx="205">
                  <c:v>-3.3759329768973969</c:v>
                </c:pt>
                <c:pt idx="206">
                  <c:v>-3.3782680175068314</c:v>
                </c:pt>
                <c:pt idx="207">
                  <c:v>-3.3149725965117094</c:v>
                </c:pt>
                <c:pt idx="208">
                  <c:v>-3.3297831093698664</c:v>
                </c:pt>
                <c:pt idx="209">
                  <c:v>-3.2689942318098666</c:v>
                </c:pt>
                <c:pt idx="210">
                  <c:v>-3.2466469488749827</c:v>
                </c:pt>
                <c:pt idx="211">
                  <c:v>-3.2442128233406389</c:v>
                </c:pt>
                <c:pt idx="212">
                  <c:v>-3.2399218669428738</c:v>
                </c:pt>
                <c:pt idx="213">
                  <c:v>-3.1946728978334691</c:v>
                </c:pt>
                <c:pt idx="214">
                  <c:v>-3.2367729164381198</c:v>
                </c:pt>
                <c:pt idx="215">
                  <c:v>-3.2904124617637738</c:v>
                </c:pt>
                <c:pt idx="216">
                  <c:v>-3.2509152010518085</c:v>
                </c:pt>
                <c:pt idx="217">
                  <c:v>-3.2063061790827816</c:v>
                </c:pt>
                <c:pt idx="218">
                  <c:v>-3.1565181871597052</c:v>
                </c:pt>
                <c:pt idx="219">
                  <c:v>-3.1999282518627621</c:v>
                </c:pt>
                <c:pt idx="220">
                  <c:v>-3.1783591353357994</c:v>
                </c:pt>
                <c:pt idx="221">
                  <c:v>-3.0839706182697992</c:v>
                </c:pt>
                <c:pt idx="222">
                  <c:v>-3.1299678190492863</c:v>
                </c:pt>
                <c:pt idx="223">
                  <c:v>-3.0771878589601775</c:v>
                </c:pt>
                <c:pt idx="224">
                  <c:v>-3.0451866308703219</c:v>
                </c:pt>
                <c:pt idx="225">
                  <c:v>-3.0042760749650079</c:v>
                </c:pt>
                <c:pt idx="226">
                  <c:v>-2.9325521974090636</c:v>
                </c:pt>
                <c:pt idx="227">
                  <c:v>-2.9111631192130476</c:v>
                </c:pt>
                <c:pt idx="228">
                  <c:v>-2.8822483746530478</c:v>
                </c:pt>
                <c:pt idx="229">
                  <c:v>-2.924578287156173</c:v>
                </c:pt>
                <c:pt idx="230">
                  <c:v>-2.9458035143543873</c:v>
                </c:pt>
                <c:pt idx="231">
                  <c:v>-2.8567258754651212</c:v>
                </c:pt>
                <c:pt idx="232">
                  <c:v>-2.8599754770123815</c:v>
                </c:pt>
                <c:pt idx="233">
                  <c:v>-2.9309209434829908</c:v>
                </c:pt>
                <c:pt idx="234">
                  <c:v>-3.0123423905005349</c:v>
                </c:pt>
                <c:pt idx="235">
                  <c:v>-2.9207469152037864</c:v>
                </c:pt>
                <c:pt idx="236">
                  <c:v>-2.9093700271323577</c:v>
                </c:pt>
                <c:pt idx="237">
                  <c:v>-2.8397950207901781</c:v>
                </c:pt>
                <c:pt idx="238">
                  <c:v>-2.6999371467786535</c:v>
                </c:pt>
                <c:pt idx="239">
                  <c:v>-2.6718337806647008</c:v>
                </c:pt>
                <c:pt idx="240">
                  <c:v>-2.8173876735918655</c:v>
                </c:pt>
                <c:pt idx="241">
                  <c:v>-2.7221194506616984</c:v>
                </c:pt>
                <c:pt idx="242">
                  <c:v>-2.8395929922631744</c:v>
                </c:pt>
                <c:pt idx="243">
                  <c:v>-2.8724185720684381</c:v>
                </c:pt>
                <c:pt idx="244">
                  <c:v>-2.8301440067560293</c:v>
                </c:pt>
                <c:pt idx="245">
                  <c:v>-2.691170657379701</c:v>
                </c:pt>
                <c:pt idx="246">
                  <c:v>-2.3021677000505663</c:v>
                </c:pt>
                <c:pt idx="247">
                  <c:v>-2.1812320039353934</c:v>
                </c:pt>
                <c:pt idx="248">
                  <c:v>-2.4108683781763975</c:v>
                </c:pt>
                <c:pt idx="249">
                  <c:v>-2.573664191924256</c:v>
                </c:pt>
                <c:pt idx="250">
                  <c:v>-2.4883054827406741</c:v>
                </c:pt>
                <c:pt idx="251">
                  <c:v>-2.3897660519516832</c:v>
                </c:pt>
                <c:pt idx="252">
                  <c:v>-2.3208906594798329</c:v>
                </c:pt>
                <c:pt idx="253">
                  <c:v>-2.3739281121895819</c:v>
                </c:pt>
                <c:pt idx="254">
                  <c:v>-2.196568452216884</c:v>
                </c:pt>
                <c:pt idx="255">
                  <c:v>-2.145898021282806</c:v>
                </c:pt>
                <c:pt idx="256">
                  <c:v>-2.2192591173212204</c:v>
                </c:pt>
                <c:pt idx="257">
                  <c:v>-2.0820525557957157</c:v>
                </c:pt>
                <c:pt idx="258">
                  <c:v>-1.9940524593282669</c:v>
                </c:pt>
                <c:pt idx="259">
                  <c:v>-2.0855179545526701</c:v>
                </c:pt>
                <c:pt idx="260">
                  <c:v>-1.9647476390789564</c:v>
                </c:pt>
                <c:pt idx="261">
                  <c:v>-1.7873490644959804</c:v>
                </c:pt>
                <c:pt idx="262">
                  <c:v>-1.8680996371036729</c:v>
                </c:pt>
                <c:pt idx="263">
                  <c:v>-1.8210013716397386</c:v>
                </c:pt>
                <c:pt idx="264">
                  <c:v>-1.8718141919010076</c:v>
                </c:pt>
                <c:pt idx="265">
                  <c:v>-1.9014354541595264</c:v>
                </c:pt>
                <c:pt idx="266">
                  <c:v>-1.8460577237608857</c:v>
                </c:pt>
                <c:pt idx="267">
                  <c:v>-1.7157828174647025</c:v>
                </c:pt>
                <c:pt idx="268">
                  <c:v>-1.8228515924213693</c:v>
                </c:pt>
                <c:pt idx="269">
                  <c:v>-1.7796633119384715</c:v>
                </c:pt>
                <c:pt idx="270">
                  <c:v>-1.6368445351772107</c:v>
                </c:pt>
                <c:pt idx="271">
                  <c:v>-2.037568750856158</c:v>
                </c:pt>
                <c:pt idx="272">
                  <c:v>-2.094187888928885</c:v>
                </c:pt>
                <c:pt idx="273">
                  <c:v>-2.0242859162587634</c:v>
                </c:pt>
                <c:pt idx="274">
                  <c:v>-1.9563222376568605</c:v>
                </c:pt>
                <c:pt idx="275">
                  <c:v>-2.0396813140035901</c:v>
                </c:pt>
                <c:pt idx="276">
                  <c:v>-2.1943117746531606</c:v>
                </c:pt>
                <c:pt idx="277">
                  <c:v>-2.4318982066845396</c:v>
                </c:pt>
                <c:pt idx="278">
                  <c:v>-2.4526167133250731</c:v>
                </c:pt>
                <c:pt idx="279">
                  <c:v>-2.253921411849547</c:v>
                </c:pt>
                <c:pt idx="280">
                  <c:v>-2.3271614289642253</c:v>
                </c:pt>
                <c:pt idx="281">
                  <c:v>-2.1246881548604057</c:v>
                </c:pt>
                <c:pt idx="282">
                  <c:v>-1.8270592214830725</c:v>
                </c:pt>
                <c:pt idx="283">
                  <c:v>-2.0352952751100473</c:v>
                </c:pt>
                <c:pt idx="284">
                  <c:v>-1.9838623575795598</c:v>
                </c:pt>
                <c:pt idx="285">
                  <c:v>-2.0741558798099584</c:v>
                </c:pt>
                <c:pt idx="286">
                  <c:v>-1.9411494775613096</c:v>
                </c:pt>
                <c:pt idx="287">
                  <c:v>-1.8347650301273501</c:v>
                </c:pt>
                <c:pt idx="288">
                  <c:v>-1.7086189322375525</c:v>
                </c:pt>
                <c:pt idx="289">
                  <c:v>-1.8162171364760655</c:v>
                </c:pt>
                <c:pt idx="290">
                  <c:v>-1.6840574710227592</c:v>
                </c:pt>
                <c:pt idx="291">
                  <c:v>-1.5962175347466028</c:v>
                </c:pt>
                <c:pt idx="292">
                  <c:v>-1.7273180302286253</c:v>
                </c:pt>
                <c:pt idx="293">
                  <c:v>-1.2609638314115745</c:v>
                </c:pt>
                <c:pt idx="294">
                  <c:v>-1.6928664266806654</c:v>
                </c:pt>
                <c:pt idx="295">
                  <c:v>-1.7947924533055357</c:v>
                </c:pt>
                <c:pt idx="296">
                  <c:v>-1.7356936297088144</c:v>
                </c:pt>
                <c:pt idx="297">
                  <c:v>-1.6382024266284942</c:v>
                </c:pt>
                <c:pt idx="298">
                  <c:v>-1.7026228726921051</c:v>
                </c:pt>
                <c:pt idx="299">
                  <c:v>-1.7367343437080718</c:v>
                </c:pt>
                <c:pt idx="300">
                  <c:v>-1.5457341199453687</c:v>
                </c:pt>
                <c:pt idx="301">
                  <c:v>-1.4734440288281605</c:v>
                </c:pt>
                <c:pt idx="302">
                  <c:v>-1.3759324938176405</c:v>
                </c:pt>
                <c:pt idx="303">
                  <c:v>-1.4729658830919752</c:v>
                </c:pt>
                <c:pt idx="304">
                  <c:v>-1.2853667399868536</c:v>
                </c:pt>
                <c:pt idx="305">
                  <c:v>-1.4140003955190614</c:v>
                </c:pt>
                <c:pt idx="306">
                  <c:v>-1.2968616691945674</c:v>
                </c:pt>
                <c:pt idx="307">
                  <c:v>-1.235440080564288</c:v>
                </c:pt>
                <c:pt idx="308">
                  <c:v>-1.4305340678807461</c:v>
                </c:pt>
                <c:pt idx="309">
                  <c:v>-1.1572239365910213</c:v>
                </c:pt>
                <c:pt idx="310">
                  <c:v>-0.97465792281115693</c:v>
                </c:pt>
                <c:pt idx="311">
                  <c:v>-0.88336863591740677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13-4328-BEC2-6D781C422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110672"/>
        <c:axId val="643090288"/>
      </c:lineChart>
      <c:dateAx>
        <c:axId val="6431106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090288"/>
        <c:crosses val="autoZero"/>
        <c:auto val="1"/>
        <c:lblOffset val="100"/>
        <c:baseTimeUnit val="days"/>
      </c:dateAx>
      <c:valAx>
        <c:axId val="64309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1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B37709-47F4-4698-9F85-820DE692C3D6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95B330-B015-46F7-92A2-7BF79A2CB55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1.3</v>
      </c>
      <c r="D2" s="4">
        <f>MIN(D3:D1912)</f>
        <v>9.0300000000000005E-2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0.1023</v>
      </c>
      <c r="C5">
        <v>0.1038</v>
      </c>
      <c r="D5">
        <v>9.9900000000000003E-2</v>
      </c>
      <c r="E5">
        <v>0.1007</v>
      </c>
      <c r="F5">
        <v>348859</v>
      </c>
      <c r="G5">
        <v>0.1007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-0.58974358974359231</v>
      </c>
      <c r="Q5">
        <f t="shared" ref="Q5" si="1">F5*P5</f>
        <v>-205737.35897435987</v>
      </c>
      <c r="R5">
        <f t="shared" ref="R5" si="2">R6+Q5</f>
        <v>-1296926454.7221954</v>
      </c>
      <c r="S5">
        <f t="shared" ref="S5" si="3">R5/100000</f>
        <v>-12969.264547221954</v>
      </c>
      <c r="T5">
        <f t="shared" ref="T5" si="4">S5/1000</f>
        <v>-12.969264547221954</v>
      </c>
    </row>
    <row r="6" spans="1:20" x14ac:dyDescent="0.25">
      <c r="A6" s="5">
        <v>44587</v>
      </c>
      <c r="B6">
        <v>9.9099999999999994E-2</v>
      </c>
      <c r="C6">
        <v>0.1109</v>
      </c>
      <c r="D6">
        <v>9.8199999999999996E-2</v>
      </c>
      <c r="E6">
        <v>0.1018</v>
      </c>
      <c r="F6">
        <v>11265526</v>
      </c>
      <c r="G6">
        <v>0.1018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-0.43307086614173146</v>
      </c>
      <c r="Q6">
        <f t="shared" ref="Q6" si="6">F6*P6</f>
        <v>-4878771.102362195</v>
      </c>
      <c r="R6">
        <f t="shared" ref="R6" si="7">R7+Q6</f>
        <v>-1296720717.3632209</v>
      </c>
      <c r="S6">
        <f t="shared" ref="S6" si="8">R6/100000</f>
        <v>-12967.207173632209</v>
      </c>
      <c r="T6">
        <f t="shared" ref="T6" si="9">S6/1000</f>
        <v>-12.967207173632209</v>
      </c>
    </row>
    <row r="7" spans="1:20" x14ac:dyDescent="0.25">
      <c r="A7" s="5">
        <v>44586</v>
      </c>
      <c r="B7">
        <v>0.10050000000000001</v>
      </c>
      <c r="C7">
        <v>0.10440000000000001</v>
      </c>
      <c r="D7">
        <v>9.5600000000000004E-2</v>
      </c>
      <c r="E7">
        <v>9.9000000000000005E-2</v>
      </c>
      <c r="F7">
        <v>15543124</v>
      </c>
      <c r="G7">
        <v>9.9000000000000005E-2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-0.2272727272727274</v>
      </c>
      <c r="Q7">
        <f t="shared" ref="Q7" si="11">F7*P7</f>
        <v>-3532528.181818184</v>
      </c>
      <c r="R7">
        <f t="shared" ref="R7" si="12">R8+Q7</f>
        <v>-1291841946.2608588</v>
      </c>
      <c r="S7">
        <f t="shared" ref="S7" si="13">R7/100000</f>
        <v>-12918.419462608588</v>
      </c>
      <c r="T7">
        <f t="shared" ref="T7" si="14">S7/1000</f>
        <v>-12.918419462608588</v>
      </c>
    </row>
    <row r="8" spans="1:20" x14ac:dyDescent="0.25">
      <c r="A8" s="5">
        <v>44585</v>
      </c>
      <c r="B8">
        <v>0.10489999999999999</v>
      </c>
      <c r="C8">
        <v>0.1108</v>
      </c>
      <c r="D8">
        <v>9.0300000000000005E-2</v>
      </c>
      <c r="E8">
        <v>0.1004</v>
      </c>
      <c r="F8">
        <v>20806830</v>
      </c>
      <c r="G8">
        <v>0.1004</v>
      </c>
      <c r="L8" t="s">
        <v>7</v>
      </c>
      <c r="M8" t="s">
        <v>7</v>
      </c>
      <c r="N8" t="s">
        <v>7</v>
      </c>
      <c r="P8">
        <f t="shared" ref="P8" si="15">IF(C8=D8,0,((E8-D8)-(C8-E8))/(C8-D8))</f>
        <v>-1.4634146341463164E-2</v>
      </c>
      <c r="Q8">
        <f t="shared" ref="Q8" si="16">F8*P8</f>
        <v>-304490.19512194599</v>
      </c>
      <c r="R8">
        <f t="shared" ref="R8" si="17">R9+Q8</f>
        <v>-1288309418.0790405</v>
      </c>
      <c r="S8">
        <f t="shared" ref="S8" si="18">R8/100000</f>
        <v>-12883.094180790406</v>
      </c>
      <c r="T8">
        <f t="shared" ref="T8" si="19">S8/1000</f>
        <v>-12.883094180790405</v>
      </c>
    </row>
    <row r="9" spans="1:20" x14ac:dyDescent="0.25">
      <c r="A9" s="5">
        <v>44584</v>
      </c>
      <c r="B9">
        <v>9.6100000000000005E-2</v>
      </c>
      <c r="C9">
        <v>0.1149</v>
      </c>
      <c r="D9">
        <v>9.5799999999999996E-2</v>
      </c>
      <c r="E9">
        <v>0.1048</v>
      </c>
      <c r="F9">
        <v>23028191</v>
      </c>
      <c r="G9">
        <v>0.1048</v>
      </c>
      <c r="L9" t="s">
        <v>8</v>
      </c>
      <c r="M9" t="s">
        <v>8</v>
      </c>
      <c r="N9" t="s">
        <v>7</v>
      </c>
      <c r="P9">
        <f t="shared" ref="P9" si="20">IF(C9=D9,0,((E9-D9)-(C9-E9))/(C9-D9))</f>
        <v>-5.7591623036648665E-2</v>
      </c>
      <c r="Q9">
        <f t="shared" ref="Q9" si="21">F9*P9</f>
        <v>-1326230.8952879454</v>
      </c>
      <c r="R9">
        <f t="shared" ref="R9" si="22">R10+Q9</f>
        <v>-1288004927.8839185</v>
      </c>
      <c r="S9">
        <f t="shared" ref="S9" si="23">R9/100000</f>
        <v>-12880.049278839186</v>
      </c>
      <c r="T9">
        <f t="shared" ref="T9" si="24">S9/1000</f>
        <v>-12.880049278839186</v>
      </c>
    </row>
    <row r="10" spans="1:20" x14ac:dyDescent="0.25">
      <c r="A10" s="5">
        <v>44583</v>
      </c>
      <c r="B10">
        <v>0.10780000000000001</v>
      </c>
      <c r="C10">
        <v>0.1186</v>
      </c>
      <c r="D10">
        <v>9.2799999999999994E-2</v>
      </c>
      <c r="E10">
        <v>9.6199999999999994E-2</v>
      </c>
      <c r="F10">
        <v>25383265.489999998</v>
      </c>
      <c r="G10">
        <v>9.6199999999999994E-2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-0.73643410852713176</v>
      </c>
      <c r="Q10">
        <f t="shared" ref="Q10" si="26">F10*P10</f>
        <v>-18693102.492635656</v>
      </c>
      <c r="R10">
        <f t="shared" ref="R10" si="27">R11+Q10</f>
        <v>-1286678696.9886305</v>
      </c>
      <c r="S10">
        <f t="shared" ref="S10" si="28">R10/100000</f>
        <v>-12866.786969886305</v>
      </c>
      <c r="T10">
        <f t="shared" ref="T10" si="29">S10/1000</f>
        <v>-12.866786969886306</v>
      </c>
    </row>
    <row r="11" spans="1:20" x14ac:dyDescent="0.25">
      <c r="A11" s="5">
        <v>44582</v>
      </c>
      <c r="B11">
        <v>0.13250000000000001</v>
      </c>
      <c r="C11">
        <v>0.13300000000000001</v>
      </c>
      <c r="D11">
        <v>0.1056</v>
      </c>
      <c r="E11">
        <v>0.10780000000000001</v>
      </c>
      <c r="F11">
        <v>19322291.879999999</v>
      </c>
      <c r="G11">
        <v>0.10780000000000001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-0.83941605839416011</v>
      </c>
      <c r="Q11">
        <f t="shared" ref="Q11" si="31">F11*P11</f>
        <v>-16219442.089051085</v>
      </c>
      <c r="R11">
        <f t="shared" ref="R11" si="32">R12+Q11</f>
        <v>-1267985594.4959948</v>
      </c>
      <c r="S11">
        <f t="shared" ref="S11" si="33">R11/100000</f>
        <v>-12679.855944959949</v>
      </c>
      <c r="T11">
        <f t="shared" ref="T11" si="34">S11/1000</f>
        <v>-12.679855944959948</v>
      </c>
    </row>
    <row r="12" spans="1:20" x14ac:dyDescent="0.25">
      <c r="A12" s="5">
        <v>44581</v>
      </c>
      <c r="B12">
        <v>0.13880000000000001</v>
      </c>
      <c r="C12">
        <v>0.14410000000000001</v>
      </c>
      <c r="D12">
        <v>0.1323</v>
      </c>
      <c r="E12">
        <v>0.13300000000000001</v>
      </c>
      <c r="F12">
        <v>5824589</v>
      </c>
      <c r="G12">
        <v>0.13300000000000001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-0.88135593220338881</v>
      </c>
      <c r="Q12">
        <f t="shared" ref="Q12" si="36">F12*P12</f>
        <v>-5133536.0677966047</v>
      </c>
      <c r="R12">
        <f t="shared" ref="R12" si="37">R13+Q12</f>
        <v>-1251766152.4069438</v>
      </c>
      <c r="S12">
        <f t="shared" ref="S12" si="38">R12/100000</f>
        <v>-12517.661524069437</v>
      </c>
      <c r="T12">
        <f t="shared" ref="T12" si="39">S12/1000</f>
        <v>-12.517661524069437</v>
      </c>
    </row>
    <row r="13" spans="1:20" x14ac:dyDescent="0.25">
      <c r="A13" s="5">
        <v>44580</v>
      </c>
      <c r="B13">
        <v>0.14399999999999999</v>
      </c>
      <c r="C13">
        <v>0.14449999999999999</v>
      </c>
      <c r="D13">
        <v>0.1386</v>
      </c>
      <c r="E13">
        <v>0.13900000000000001</v>
      </c>
      <c r="F13">
        <v>4507437</v>
      </c>
      <c r="G13">
        <v>0.13900000000000001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-0.86440677966101276</v>
      </c>
      <c r="Q13">
        <f t="shared" ref="Q13" si="41">F13*P13</f>
        <v>-3896259.1016948964</v>
      </c>
      <c r="R13">
        <f t="shared" ref="R13" si="42">R14+Q13</f>
        <v>-1246632616.3391471</v>
      </c>
      <c r="S13">
        <f t="shared" ref="S13" si="43">R13/100000</f>
        <v>-12466.326163391472</v>
      </c>
      <c r="T13">
        <f t="shared" ref="T13" si="44">S13/1000</f>
        <v>-12.466326163391471</v>
      </c>
    </row>
    <row r="14" spans="1:20" x14ac:dyDescent="0.25">
      <c r="A14" s="5">
        <v>44579</v>
      </c>
      <c r="B14">
        <v>0.14829999999999999</v>
      </c>
      <c r="C14">
        <v>0.1545</v>
      </c>
      <c r="D14">
        <v>0.14219999999999999</v>
      </c>
      <c r="E14">
        <v>0.1439</v>
      </c>
      <c r="F14">
        <v>10061769</v>
      </c>
      <c r="G14">
        <v>0.1439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-0.72357723577235666</v>
      </c>
      <c r="Q14">
        <f t="shared" ref="Q14" si="46">F14*P14</f>
        <v>-7280466.9999999898</v>
      </c>
      <c r="R14">
        <f t="shared" ref="R14" si="47">R15+Q14</f>
        <v>-1242736357.2374523</v>
      </c>
      <c r="S14">
        <f t="shared" ref="S14" si="48">R14/100000</f>
        <v>-12427.363572374523</v>
      </c>
      <c r="T14">
        <f t="shared" ref="T14" si="49">S14/1000</f>
        <v>-12.427363572374523</v>
      </c>
    </row>
    <row r="15" spans="1:20" x14ac:dyDescent="0.25">
      <c r="A15" s="5">
        <v>44578</v>
      </c>
      <c r="B15">
        <v>0.1545</v>
      </c>
      <c r="C15">
        <v>0.1545</v>
      </c>
      <c r="D15">
        <v>0.1462</v>
      </c>
      <c r="E15">
        <v>0.1487</v>
      </c>
      <c r="F15">
        <v>4846906</v>
      </c>
      <c r="G15">
        <v>0.1487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-0.39759036144578275</v>
      </c>
      <c r="Q15">
        <f t="shared" ref="Q15" si="51">F15*P15</f>
        <v>-1927083.108433733</v>
      </c>
      <c r="R15">
        <f t="shared" ref="R15" si="52">R16+Q15</f>
        <v>-1235455890.2374523</v>
      </c>
      <c r="S15">
        <f t="shared" ref="S15" si="53">R15/100000</f>
        <v>-12354.558902374523</v>
      </c>
      <c r="T15">
        <f t="shared" ref="T15" si="54">S15/1000</f>
        <v>-12.354558902374523</v>
      </c>
    </row>
    <row r="16" spans="1:20" x14ac:dyDescent="0.25">
      <c r="A16" s="5">
        <v>44577</v>
      </c>
      <c r="B16">
        <v>0.15840000000000001</v>
      </c>
      <c r="C16">
        <v>0.17</v>
      </c>
      <c r="D16">
        <v>0.15359999999999999</v>
      </c>
      <c r="E16">
        <v>0.1547</v>
      </c>
      <c r="F16">
        <v>15175071</v>
      </c>
      <c r="G16">
        <v>0.1547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-0.86585365853658347</v>
      </c>
      <c r="Q16">
        <f t="shared" ref="Q16" si="56">F16*P16</f>
        <v>-13139390.743902409</v>
      </c>
      <c r="R16">
        <f t="shared" ref="R16" si="57">R17+Q16</f>
        <v>-1233528807.1290185</v>
      </c>
      <c r="S16">
        <f t="shared" ref="S16" si="58">R16/100000</f>
        <v>-12335.288071290186</v>
      </c>
      <c r="T16">
        <f t="shared" ref="T16" si="59">S16/1000</f>
        <v>-12.335288071290186</v>
      </c>
    </row>
    <row r="17" spans="1:20" x14ac:dyDescent="0.25">
      <c r="A17" s="5">
        <v>44576</v>
      </c>
      <c r="B17">
        <v>0.15579999999999999</v>
      </c>
      <c r="C17">
        <v>0.16850000000000001</v>
      </c>
      <c r="D17">
        <v>0.1535</v>
      </c>
      <c r="E17">
        <v>0.1588</v>
      </c>
      <c r="F17">
        <v>13163779</v>
      </c>
      <c r="G17">
        <v>0.1588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-0.29333333333333406</v>
      </c>
      <c r="Q17">
        <f t="shared" ref="Q17" si="61">F17*P17</f>
        <v>-3861375.1733333427</v>
      </c>
      <c r="R17">
        <f t="shared" ref="R17" si="62">R18+Q17</f>
        <v>-1220389416.3851161</v>
      </c>
      <c r="S17">
        <f t="shared" ref="S17" si="63">R17/100000</f>
        <v>-12203.894163851161</v>
      </c>
      <c r="T17">
        <f t="shared" ref="T17" si="64">S17/1000</f>
        <v>-12.20389416385116</v>
      </c>
    </row>
    <row r="18" spans="1:20" x14ac:dyDescent="0.25">
      <c r="A18" s="5">
        <v>44575</v>
      </c>
      <c r="B18">
        <v>0.15240000000000001</v>
      </c>
      <c r="C18">
        <v>0.17680000000000001</v>
      </c>
      <c r="D18">
        <v>0.1479</v>
      </c>
      <c r="E18">
        <v>0.156</v>
      </c>
      <c r="F18">
        <v>19595530</v>
      </c>
      <c r="G18">
        <v>0.156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-0.43944636678200738</v>
      </c>
      <c r="Q18">
        <f t="shared" ref="Q18" si="66">F18*P18</f>
        <v>-8611184.4636678286</v>
      </c>
      <c r="R18">
        <f t="shared" ref="R18" si="67">R19+Q18</f>
        <v>-1216528041.2117827</v>
      </c>
      <c r="S18">
        <f t="shared" ref="S18" si="68">R18/100000</f>
        <v>-12165.280412117827</v>
      </c>
      <c r="T18">
        <f t="shared" ref="T18" si="69">S18/1000</f>
        <v>-12.165280412117827</v>
      </c>
    </row>
    <row r="19" spans="1:20" x14ac:dyDescent="0.25">
      <c r="A19" s="5">
        <v>44574</v>
      </c>
      <c r="B19">
        <v>0.15859999999999999</v>
      </c>
      <c r="C19">
        <v>0.16220000000000001</v>
      </c>
      <c r="D19">
        <v>0.14929999999999999</v>
      </c>
      <c r="E19">
        <v>0.15229999999999999</v>
      </c>
      <c r="F19">
        <v>5688627</v>
      </c>
      <c r="G19">
        <v>0.15229999999999999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-0.53488372093023295</v>
      </c>
      <c r="Q19">
        <f t="shared" ref="Q19" si="71">F19*P19</f>
        <v>-3042753.9767441885</v>
      </c>
      <c r="R19">
        <f t="shared" ref="R19" si="72">R20+Q19</f>
        <v>-1207916856.7481148</v>
      </c>
      <c r="S19">
        <f t="shared" ref="S19" si="73">R19/100000</f>
        <v>-12079.168567481149</v>
      </c>
      <c r="T19">
        <f t="shared" ref="T19" si="74">S19/1000</f>
        <v>-12.079168567481149</v>
      </c>
    </row>
    <row r="20" spans="1:20" x14ac:dyDescent="0.25">
      <c r="A20" s="5">
        <v>44573</v>
      </c>
      <c r="B20">
        <v>0.15210000000000001</v>
      </c>
      <c r="C20">
        <v>0.16200000000000001</v>
      </c>
      <c r="D20">
        <v>0.15140000000000001</v>
      </c>
      <c r="E20">
        <v>0.15909999999999999</v>
      </c>
      <c r="F20">
        <v>5438310</v>
      </c>
      <c r="G20">
        <v>0.15909999999999999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0.45283018867924263</v>
      </c>
      <c r="Q20">
        <f t="shared" ref="Q20" si="76">F20*P20</f>
        <v>2462630.9433962121</v>
      </c>
      <c r="R20">
        <f t="shared" ref="R20" si="77">R21+Q20</f>
        <v>-1204874102.7713706</v>
      </c>
      <c r="S20">
        <f t="shared" ref="S20" si="78">R20/100000</f>
        <v>-12048.741027713706</v>
      </c>
      <c r="T20">
        <f t="shared" ref="T20" si="79">S20/1000</f>
        <v>-12.048741027713707</v>
      </c>
    </row>
    <row r="21" spans="1:20" x14ac:dyDescent="0.25">
      <c r="A21" s="5">
        <v>44572</v>
      </c>
      <c r="B21">
        <v>0.1492</v>
      </c>
      <c r="C21">
        <v>0.15970000000000001</v>
      </c>
      <c r="D21">
        <v>0.1452</v>
      </c>
      <c r="E21">
        <v>0.15179999999999999</v>
      </c>
      <c r="F21">
        <v>6798603</v>
      </c>
      <c r="G21">
        <v>0.15179999999999999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-8.9655172413794629E-2</v>
      </c>
      <c r="Q21">
        <f t="shared" ref="Q21" si="81">F21*P21</f>
        <v>-609529.92413794145</v>
      </c>
      <c r="R21">
        <f t="shared" ref="R21" si="82">R22+Q21</f>
        <v>-1207336733.714767</v>
      </c>
      <c r="S21">
        <f t="shared" ref="S21" si="83">R21/100000</f>
        <v>-12073.367337147671</v>
      </c>
      <c r="T21">
        <f t="shared" ref="T21" si="84">S21/1000</f>
        <v>-12.073367337147671</v>
      </c>
    </row>
    <row r="22" spans="1:20" x14ac:dyDescent="0.25">
      <c r="A22" s="5">
        <v>44571</v>
      </c>
      <c r="B22">
        <v>0.16</v>
      </c>
      <c r="C22">
        <v>0.16</v>
      </c>
      <c r="D22">
        <v>0.14199999999999999</v>
      </c>
      <c r="E22">
        <v>0.14899999999999999</v>
      </c>
      <c r="F22">
        <v>12942069.33</v>
      </c>
      <c r="G22">
        <v>0.14899999999999999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-0.22222222222222221</v>
      </c>
      <c r="Q22">
        <f t="shared" ref="Q22" si="86">F22*P22</f>
        <v>-2876015.4066666667</v>
      </c>
      <c r="R22">
        <f t="shared" ref="R22" si="87">R23+Q22</f>
        <v>-1206727203.7906291</v>
      </c>
      <c r="S22">
        <f t="shared" ref="S22" si="88">R22/100000</f>
        <v>-12067.272037906292</v>
      </c>
      <c r="T22">
        <f t="shared" ref="T22" si="89">S22/1000</f>
        <v>-12.067272037906292</v>
      </c>
    </row>
    <row r="23" spans="1:20" x14ac:dyDescent="0.25">
      <c r="A23" s="5">
        <v>44570</v>
      </c>
      <c r="B23">
        <v>0.1595</v>
      </c>
      <c r="C23">
        <v>0.17879999999999999</v>
      </c>
      <c r="D23">
        <v>0.15790000000000001</v>
      </c>
      <c r="E23">
        <v>0.16</v>
      </c>
      <c r="F23">
        <v>7802277</v>
      </c>
      <c r="G23">
        <v>0.16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-0.79904306220095755</v>
      </c>
      <c r="Q23">
        <f t="shared" ref="Q23" si="91">F23*P23</f>
        <v>-6234355.3062201003</v>
      </c>
      <c r="R23">
        <f t="shared" ref="R23" si="92">R24+Q23</f>
        <v>-1203851188.3839624</v>
      </c>
      <c r="S23">
        <f t="shared" ref="S23" si="93">R23/100000</f>
        <v>-12038.511883839625</v>
      </c>
      <c r="T23">
        <f t="shared" ref="T23" si="94">S23/1000</f>
        <v>-12.038511883839625</v>
      </c>
    </row>
    <row r="24" spans="1:20" x14ac:dyDescent="0.25">
      <c r="A24" s="5">
        <v>44569</v>
      </c>
      <c r="B24">
        <v>0.15970000000000001</v>
      </c>
      <c r="C24">
        <v>0.1699</v>
      </c>
      <c r="D24">
        <v>0.1547</v>
      </c>
      <c r="E24">
        <v>0.1595</v>
      </c>
      <c r="F24">
        <v>28389299</v>
      </c>
      <c r="G24">
        <v>0.1595</v>
      </c>
      <c r="L24" t="s">
        <v>8</v>
      </c>
      <c r="M24" t="s">
        <v>7</v>
      </c>
      <c r="N24" t="s">
        <v>7</v>
      </c>
      <c r="P24">
        <f t="shared" ref="P24" si="95">IF(C24=D24,0,((E24-D24)-(C24-E24))/(C24-D24))</f>
        <v>-0.36842105263157876</v>
      </c>
      <c r="Q24">
        <f t="shared" ref="Q24" si="96">F24*P24</f>
        <v>-10459215.421052625</v>
      </c>
      <c r="R24">
        <f t="shared" ref="R24" si="97">R25+Q24</f>
        <v>-1197616833.0777423</v>
      </c>
      <c r="S24">
        <f t="shared" ref="S24" si="98">R24/100000</f>
        <v>-11976.168330777424</v>
      </c>
      <c r="T24">
        <f t="shared" ref="T24" si="99">S24/1000</f>
        <v>-11.976168330777424</v>
      </c>
    </row>
    <row r="25" spans="1:20" x14ac:dyDescent="0.25">
      <c r="A25" s="5">
        <v>44568</v>
      </c>
      <c r="B25">
        <v>0.16980000000000001</v>
      </c>
      <c r="C25">
        <v>0.17</v>
      </c>
      <c r="D25">
        <v>0.1547</v>
      </c>
      <c r="E25">
        <v>0.15970000000000001</v>
      </c>
      <c r="F25">
        <v>7094368.2599999998</v>
      </c>
      <c r="G25">
        <v>0.15970000000000001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-0.3464052287581697</v>
      </c>
      <c r="Q25">
        <f t="shared" ref="Q25" si="101">F25*P25</f>
        <v>-2457526.2599999984</v>
      </c>
      <c r="R25">
        <f t="shared" ref="R25" si="102">R26+Q25</f>
        <v>-1187157617.6566896</v>
      </c>
      <c r="S25">
        <f t="shared" ref="S25" si="103">R25/100000</f>
        <v>-11871.576176566896</v>
      </c>
      <c r="T25">
        <f t="shared" ref="T25" si="104">S25/1000</f>
        <v>-11.871576176566895</v>
      </c>
    </row>
    <row r="26" spans="1:20" x14ac:dyDescent="0.25">
      <c r="A26" s="5">
        <v>44567</v>
      </c>
      <c r="B26">
        <v>0.17319999999999999</v>
      </c>
      <c r="C26">
        <v>0.17419999999999999</v>
      </c>
      <c r="D26">
        <v>0.16389999999999999</v>
      </c>
      <c r="E26">
        <v>0.1701</v>
      </c>
      <c r="F26">
        <v>5871207</v>
      </c>
      <c r="G26">
        <v>0.1701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0.20388349514563278</v>
      </c>
      <c r="Q26">
        <f t="shared" ref="Q26" si="106">F26*P26</f>
        <v>1197042.2038835052</v>
      </c>
      <c r="R26">
        <f t="shared" ref="R26" si="107">R27+Q26</f>
        <v>-1184700091.3966897</v>
      </c>
      <c r="S26">
        <f t="shared" ref="S26" si="108">R26/100000</f>
        <v>-11847.000913966896</v>
      </c>
      <c r="T26">
        <f t="shared" ref="T26" si="109">S26/1000</f>
        <v>-11.847000913966896</v>
      </c>
    </row>
    <row r="27" spans="1:20" x14ac:dyDescent="0.25">
      <c r="A27" s="5">
        <v>44566</v>
      </c>
      <c r="B27">
        <v>0.1875</v>
      </c>
      <c r="C27">
        <v>0.1938</v>
      </c>
      <c r="D27">
        <v>0.16739999999999999</v>
      </c>
      <c r="E27">
        <v>0.1734</v>
      </c>
      <c r="F27">
        <v>11361327.9</v>
      </c>
      <c r="G27">
        <v>0.1734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-0.54545454545454519</v>
      </c>
      <c r="Q27">
        <f t="shared" ref="Q27" si="111">F27*P27</f>
        <v>-6197087.9454545425</v>
      </c>
      <c r="R27">
        <f t="shared" ref="R27" si="112">R28+Q27</f>
        <v>-1185897133.6005731</v>
      </c>
      <c r="S27">
        <f t="shared" ref="S27" si="113">R27/100000</f>
        <v>-11858.97133600573</v>
      </c>
      <c r="T27">
        <f t="shared" ref="T27" si="114">S27/1000</f>
        <v>-11.85897133600573</v>
      </c>
    </row>
    <row r="28" spans="1:20" x14ac:dyDescent="0.25">
      <c r="A28" s="5">
        <v>44565</v>
      </c>
      <c r="B28">
        <v>0.1883</v>
      </c>
      <c r="C28">
        <v>0.19359999999999999</v>
      </c>
      <c r="D28">
        <v>0.18390000000000001</v>
      </c>
      <c r="E28">
        <v>0.18759999999999999</v>
      </c>
      <c r="F28">
        <v>6252797</v>
      </c>
      <c r="G28">
        <v>0.18759999999999999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-0.23711340206185849</v>
      </c>
      <c r="Q28">
        <f t="shared" ref="Q28" si="116">F28*P28</f>
        <v>-1482621.9690721827</v>
      </c>
      <c r="R28">
        <f t="shared" ref="R28" si="117">R29+Q28</f>
        <v>-1179700045.6551185</v>
      </c>
      <c r="S28">
        <f t="shared" ref="S28" si="118">R28/100000</f>
        <v>-11797.000456551184</v>
      </c>
      <c r="T28">
        <f t="shared" ref="T28" si="119">S28/1000</f>
        <v>-11.797000456551185</v>
      </c>
    </row>
    <row r="29" spans="1:20" x14ac:dyDescent="0.25">
      <c r="A29" s="5">
        <v>44564</v>
      </c>
      <c r="B29">
        <v>0.1946</v>
      </c>
      <c r="C29">
        <v>0.19500000000000001</v>
      </c>
      <c r="D29">
        <v>0.18559999999999999</v>
      </c>
      <c r="E29">
        <v>0.1883</v>
      </c>
      <c r="F29">
        <v>8635903</v>
      </c>
      <c r="G29">
        <v>0.1883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-0.42553191489361653</v>
      </c>
      <c r="Q29">
        <f t="shared" ref="Q29" si="121">F29*P29</f>
        <v>-3674852.3404255277</v>
      </c>
      <c r="R29">
        <f t="shared" ref="R29" si="122">R30+Q29</f>
        <v>-1178217423.6860464</v>
      </c>
      <c r="S29">
        <f t="shared" ref="S29" si="123">R29/100000</f>
        <v>-11782.174236860463</v>
      </c>
      <c r="T29">
        <f t="shared" ref="T29" si="124">S29/1000</f>
        <v>-11.782174236860463</v>
      </c>
    </row>
    <row r="30" spans="1:20" x14ac:dyDescent="0.25">
      <c r="A30" s="5">
        <v>44563</v>
      </c>
      <c r="B30">
        <v>0.1948</v>
      </c>
      <c r="C30">
        <v>0.2</v>
      </c>
      <c r="D30">
        <v>0.19109999999999999</v>
      </c>
      <c r="E30">
        <v>0.1946</v>
      </c>
      <c r="F30">
        <v>5529901</v>
      </c>
      <c r="G30">
        <v>0.1946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-0.21348314606741672</v>
      </c>
      <c r="Q30">
        <f t="shared" ref="Q30" si="126">F30*P30</f>
        <v>-1180540.6629213537</v>
      </c>
      <c r="R30">
        <f t="shared" ref="R30" si="127">R31+Q30</f>
        <v>-1174542571.3456209</v>
      </c>
      <c r="S30">
        <f t="shared" ref="S30" si="128">R30/100000</f>
        <v>-11745.425713456209</v>
      </c>
      <c r="T30">
        <f t="shared" ref="T30" si="129">S30/1000</f>
        <v>-11.745425713456209</v>
      </c>
    </row>
    <row r="31" spans="1:20" x14ac:dyDescent="0.25">
      <c r="A31" s="5">
        <v>44562</v>
      </c>
      <c r="B31">
        <v>0.19089999999999999</v>
      </c>
      <c r="C31">
        <v>0.1951</v>
      </c>
      <c r="D31">
        <v>0.18909999999999999</v>
      </c>
      <c r="E31">
        <v>0.1948</v>
      </c>
      <c r="F31">
        <v>3949729</v>
      </c>
      <c r="G31">
        <v>0.1948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0.9000000000000018</v>
      </c>
      <c r="Q31">
        <f t="shared" ref="Q31" si="131">F31*P31</f>
        <v>3554756.1000000071</v>
      </c>
      <c r="R31">
        <f t="shared" ref="R31" si="132">R32+Q31</f>
        <v>-1173362030.6826994</v>
      </c>
      <c r="S31">
        <f t="shared" ref="S31" si="133">R31/100000</f>
        <v>-11733.620306826995</v>
      </c>
      <c r="T31">
        <f t="shared" ref="T31" si="134">S31/1000</f>
        <v>-11.733620306826996</v>
      </c>
    </row>
    <row r="32" spans="1:20" x14ac:dyDescent="0.25">
      <c r="A32" s="5">
        <v>44561</v>
      </c>
      <c r="B32">
        <v>0.19570000000000001</v>
      </c>
      <c r="C32">
        <v>0.20080000000000001</v>
      </c>
      <c r="D32">
        <v>0.189</v>
      </c>
      <c r="E32">
        <v>0.19089999999999999</v>
      </c>
      <c r="F32">
        <v>4739117</v>
      </c>
      <c r="G32">
        <v>0.19089999999999999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-0.67796610169491789</v>
      </c>
      <c r="Q32">
        <f t="shared" ref="Q32" si="136">F32*P32</f>
        <v>-3212960.6779661141</v>
      </c>
      <c r="R32">
        <f t="shared" ref="R32" si="137">R33+Q32</f>
        <v>-1176916786.7826993</v>
      </c>
      <c r="S32">
        <f t="shared" ref="S32" si="138">R32/100000</f>
        <v>-11769.167867826993</v>
      </c>
      <c r="T32">
        <f t="shared" ref="T32" si="139">S32/1000</f>
        <v>-11.769167867826992</v>
      </c>
    </row>
    <row r="33" spans="1:20" x14ac:dyDescent="0.25">
      <c r="A33" s="5">
        <v>44560</v>
      </c>
      <c r="B33">
        <v>0.1963</v>
      </c>
      <c r="C33">
        <v>0.1988</v>
      </c>
      <c r="D33">
        <v>0.1925</v>
      </c>
      <c r="E33">
        <v>0.19570000000000001</v>
      </c>
      <c r="F33">
        <v>4706510</v>
      </c>
      <c r="G33">
        <v>0.19570000000000001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1.587301587301853E-2</v>
      </c>
      <c r="Q33">
        <f t="shared" ref="Q33" si="141">F33*P33</f>
        <v>74706.507936520444</v>
      </c>
      <c r="R33">
        <f t="shared" ref="R33" si="142">R34+Q33</f>
        <v>-1173703826.1047332</v>
      </c>
      <c r="S33">
        <f t="shared" ref="S33" si="143">R33/100000</f>
        <v>-11737.038261047332</v>
      </c>
      <c r="T33">
        <f t="shared" ref="T33" si="144">S33/1000</f>
        <v>-11.737038261047331</v>
      </c>
    </row>
    <row r="34" spans="1:20" x14ac:dyDescent="0.25">
      <c r="A34" s="5">
        <v>44559</v>
      </c>
      <c r="B34">
        <v>0.1968</v>
      </c>
      <c r="C34">
        <v>0.20469999999999999</v>
      </c>
      <c r="D34">
        <v>0.19359999999999999</v>
      </c>
      <c r="E34">
        <v>0.1963</v>
      </c>
      <c r="F34">
        <v>7667525</v>
      </c>
      <c r="G34">
        <v>0.1963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-0.51351351351351204</v>
      </c>
      <c r="Q34">
        <f t="shared" ref="Q34" si="146">F34*P34</f>
        <v>-3937377.7027026913</v>
      </c>
      <c r="R34">
        <f t="shared" ref="R34" si="147">R35+Q34</f>
        <v>-1173778532.6126697</v>
      </c>
      <c r="S34">
        <f t="shared" ref="S34" si="148">R34/100000</f>
        <v>-11737.785326126697</v>
      </c>
      <c r="T34">
        <f t="shared" ref="T34" si="149">S34/1000</f>
        <v>-11.737785326126698</v>
      </c>
    </row>
    <row r="35" spans="1:20" x14ac:dyDescent="0.25">
      <c r="A35" s="5">
        <v>44558</v>
      </c>
      <c r="B35">
        <v>0.21640000000000001</v>
      </c>
      <c r="C35">
        <v>0.2165</v>
      </c>
      <c r="D35">
        <v>0.1948</v>
      </c>
      <c r="E35">
        <v>0.1973</v>
      </c>
      <c r="F35">
        <v>11093249</v>
      </c>
      <c r="G35">
        <v>0.1973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-0.76958525345622097</v>
      </c>
      <c r="Q35">
        <f t="shared" ref="Q35" si="151">F35*P35</f>
        <v>-8537200.8433179706</v>
      </c>
      <c r="R35">
        <f t="shared" ref="R35" si="152">R36+Q35</f>
        <v>-1169841154.9099669</v>
      </c>
      <c r="S35">
        <f t="shared" ref="S35" si="153">R35/100000</f>
        <v>-11698.41154909967</v>
      </c>
      <c r="T35">
        <f t="shared" ref="T35" si="154">S35/1000</f>
        <v>-11.698411549099671</v>
      </c>
    </row>
    <row r="36" spans="1:20" x14ac:dyDescent="0.25">
      <c r="A36" s="5">
        <v>44557</v>
      </c>
      <c r="B36">
        <v>0.2127</v>
      </c>
      <c r="C36">
        <v>0.23899999999999999</v>
      </c>
      <c r="D36">
        <v>0.2117</v>
      </c>
      <c r="E36">
        <v>0.21629999999999999</v>
      </c>
      <c r="F36">
        <v>18654929</v>
      </c>
      <c r="G36">
        <v>0.21629999999999999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-0.66300366300366342</v>
      </c>
      <c r="Q36">
        <f t="shared" ref="Q36" si="156">F36*P36</f>
        <v>-12368286.260073269</v>
      </c>
      <c r="R36">
        <f t="shared" ref="R36" si="157">R37+Q36</f>
        <v>-1161303954.066649</v>
      </c>
      <c r="S36">
        <f t="shared" ref="S36" si="158">R36/100000</f>
        <v>-11613.03954066649</v>
      </c>
      <c r="T36">
        <f t="shared" ref="T36" si="159">S36/1000</f>
        <v>-11.61303954066649</v>
      </c>
    </row>
    <row r="37" spans="1:20" x14ac:dyDescent="0.25">
      <c r="A37" s="5">
        <v>44556</v>
      </c>
      <c r="B37">
        <v>0.20860000000000001</v>
      </c>
      <c r="C37">
        <v>0.2175</v>
      </c>
      <c r="D37">
        <v>0.2014</v>
      </c>
      <c r="E37">
        <v>0.21240000000000001</v>
      </c>
      <c r="F37">
        <v>9872422</v>
      </c>
      <c r="G37">
        <v>0.21240000000000001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0.36645962732919352</v>
      </c>
      <c r="Q37">
        <f t="shared" ref="Q37" si="161">F37*P37</f>
        <v>3617844.0869565313</v>
      </c>
      <c r="R37">
        <f t="shared" ref="R37" si="162">R38+Q37</f>
        <v>-1148935667.8065758</v>
      </c>
      <c r="S37">
        <f t="shared" ref="S37" si="163">R37/100000</f>
        <v>-11489.356678065758</v>
      </c>
      <c r="T37">
        <f t="shared" ref="T37" si="164">S37/1000</f>
        <v>-11.489356678065759</v>
      </c>
    </row>
    <row r="38" spans="1:20" x14ac:dyDescent="0.25">
      <c r="A38" s="5">
        <v>44555</v>
      </c>
      <c r="B38">
        <v>0.2049</v>
      </c>
      <c r="C38">
        <v>0.21729999999999999</v>
      </c>
      <c r="D38">
        <v>0.20319999999999999</v>
      </c>
      <c r="E38">
        <v>0.2087</v>
      </c>
      <c r="F38">
        <v>9101240</v>
      </c>
      <c r="G38">
        <v>0.2087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-0.21985815602836817</v>
      </c>
      <c r="Q38">
        <f t="shared" ref="Q38" si="166">F38*P38</f>
        <v>-2000981.8439716254</v>
      </c>
      <c r="R38">
        <f t="shared" ref="R38" si="167">R39+Q38</f>
        <v>-1152553511.8935323</v>
      </c>
      <c r="S38">
        <f t="shared" ref="S38" si="168">R38/100000</f>
        <v>-11525.535118935322</v>
      </c>
      <c r="T38">
        <f t="shared" ref="T38" si="169">S38/1000</f>
        <v>-11.525535118935322</v>
      </c>
    </row>
    <row r="39" spans="1:20" x14ac:dyDescent="0.25">
      <c r="A39" s="5">
        <v>44554</v>
      </c>
      <c r="B39">
        <v>0.2082</v>
      </c>
      <c r="C39">
        <v>0.22750000000000001</v>
      </c>
      <c r="D39">
        <v>0.2024</v>
      </c>
      <c r="E39">
        <v>0.2054</v>
      </c>
      <c r="F39">
        <v>13793696</v>
      </c>
      <c r="G39">
        <v>0.2054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-0.76095617529880466</v>
      </c>
      <c r="Q39">
        <f t="shared" ref="Q39" si="171">F39*P39</f>
        <v>-10496398.151394421</v>
      </c>
      <c r="R39">
        <f t="shared" ref="R39" si="172">R40+Q39</f>
        <v>-1150552530.0495605</v>
      </c>
      <c r="S39">
        <f t="shared" ref="S39" si="173">R39/100000</f>
        <v>-11505.525300495605</v>
      </c>
      <c r="T39">
        <f t="shared" ref="T39" si="174">S39/1000</f>
        <v>-11.505525300495604</v>
      </c>
    </row>
    <row r="40" spans="1:20" x14ac:dyDescent="0.25">
      <c r="A40" s="5">
        <v>44553</v>
      </c>
      <c r="B40">
        <v>0.19489999999999999</v>
      </c>
      <c r="C40">
        <v>0.2157</v>
      </c>
      <c r="D40">
        <v>0.19139999999999999</v>
      </c>
      <c r="E40">
        <v>0.2082</v>
      </c>
      <c r="F40">
        <v>20510796</v>
      </c>
      <c r="G40">
        <v>0.2082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0.38271604938271592</v>
      </c>
      <c r="Q40">
        <f t="shared" ref="Q40" si="176">F40*P40</f>
        <v>7849810.8148148125</v>
      </c>
      <c r="R40">
        <f t="shared" ref="R40" si="177">R41+Q40</f>
        <v>-1140056131.8981662</v>
      </c>
      <c r="S40">
        <f t="shared" ref="S40" si="178">R40/100000</f>
        <v>-11400.561318981661</v>
      </c>
      <c r="T40">
        <f t="shared" ref="T40" si="179">S40/1000</f>
        <v>-11.400561318981662</v>
      </c>
    </row>
    <row r="41" spans="1:20" x14ac:dyDescent="0.25">
      <c r="A41" s="5">
        <v>44552</v>
      </c>
      <c r="B41">
        <v>0.1968</v>
      </c>
      <c r="C41">
        <v>0.20230000000000001</v>
      </c>
      <c r="D41">
        <v>0.19450000000000001</v>
      </c>
      <c r="E41">
        <v>0.19520000000000001</v>
      </c>
      <c r="F41">
        <v>8859044</v>
      </c>
      <c r="G41">
        <v>0.19520000000000001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-0.82051282051281893</v>
      </c>
      <c r="Q41">
        <f t="shared" ref="Q41" si="181">F41*P41</f>
        <v>-7268959.1794871651</v>
      </c>
      <c r="R41">
        <f t="shared" ref="R41" si="182">R42+Q41</f>
        <v>-1147905942.712981</v>
      </c>
      <c r="S41">
        <f t="shared" ref="S41" si="183">R41/100000</f>
        <v>-11479.059427129811</v>
      </c>
      <c r="T41">
        <f t="shared" ref="T41" si="184">S41/1000</f>
        <v>-11.47905942712981</v>
      </c>
    </row>
    <row r="42" spans="1:20" x14ac:dyDescent="0.25">
      <c r="A42" s="5">
        <v>44551</v>
      </c>
      <c r="B42">
        <v>0.19289999999999999</v>
      </c>
      <c r="C42">
        <v>0.1981</v>
      </c>
      <c r="D42">
        <v>0.18820000000000001</v>
      </c>
      <c r="E42">
        <v>0.1968</v>
      </c>
      <c r="F42">
        <v>7810047</v>
      </c>
      <c r="G42">
        <v>0.1968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0.73737373737373801</v>
      </c>
      <c r="Q42">
        <f t="shared" ref="Q42" si="186">F42*P42</f>
        <v>5758923.5454545505</v>
      </c>
      <c r="R42">
        <f t="shared" ref="R42" si="187">R43+Q42</f>
        <v>-1140636983.5334938</v>
      </c>
      <c r="S42">
        <f t="shared" ref="S42" si="188">R42/100000</f>
        <v>-11406.369835334937</v>
      </c>
      <c r="T42">
        <f t="shared" ref="T42" si="189">S42/1000</f>
        <v>-11.406369835334937</v>
      </c>
    </row>
    <row r="43" spans="1:20" x14ac:dyDescent="0.25">
      <c r="A43" s="5">
        <v>44550</v>
      </c>
      <c r="B43">
        <v>0.19470000000000001</v>
      </c>
      <c r="C43">
        <v>0.19520000000000001</v>
      </c>
      <c r="D43">
        <v>0.18629999999999999</v>
      </c>
      <c r="E43">
        <v>0.19220000000000001</v>
      </c>
      <c r="F43">
        <v>7640836</v>
      </c>
      <c r="G43">
        <v>0.19220000000000001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0.32584269662921433</v>
      </c>
      <c r="Q43">
        <f t="shared" ref="Q43" si="191">F43*P43</f>
        <v>2489710.6067415797</v>
      </c>
      <c r="R43">
        <f t="shared" ref="R43" si="192">R44+Q43</f>
        <v>-1146395907.0789483</v>
      </c>
      <c r="S43">
        <f t="shared" ref="S43" si="193">R43/100000</f>
        <v>-11463.959070789482</v>
      </c>
      <c r="T43">
        <f t="shared" ref="T43" si="194">S43/1000</f>
        <v>-11.463959070789482</v>
      </c>
    </row>
    <row r="44" spans="1:20" x14ac:dyDescent="0.25">
      <c r="A44" s="5">
        <v>44549</v>
      </c>
      <c r="B44">
        <v>0.1993</v>
      </c>
      <c r="C44">
        <v>0.20499999999999999</v>
      </c>
      <c r="D44">
        <v>0.19400000000000001</v>
      </c>
      <c r="E44">
        <v>0.19450000000000001</v>
      </c>
      <c r="F44">
        <v>11256769</v>
      </c>
      <c r="G44">
        <v>0.19450000000000001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-0.90909090909090884</v>
      </c>
      <c r="Q44">
        <f t="shared" ref="Q44" si="196">F44*P44</f>
        <v>-10233426.363636361</v>
      </c>
      <c r="R44">
        <f t="shared" ref="R44" si="197">R45+Q44</f>
        <v>-1148885617.6856899</v>
      </c>
      <c r="S44">
        <f t="shared" ref="S44" si="198">R44/100000</f>
        <v>-11488.8561768569</v>
      </c>
      <c r="T44">
        <f t="shared" ref="T44" si="199">S44/1000</f>
        <v>-11.488856176856899</v>
      </c>
    </row>
    <row r="45" spans="1:20" x14ac:dyDescent="0.25">
      <c r="A45" s="5">
        <v>44548</v>
      </c>
      <c r="B45">
        <v>0.1951</v>
      </c>
      <c r="C45">
        <v>0.20669999999999999</v>
      </c>
      <c r="D45">
        <v>0.19170000000000001</v>
      </c>
      <c r="E45">
        <v>0.1993</v>
      </c>
      <c r="F45">
        <v>14810285</v>
      </c>
      <c r="G45">
        <v>0.1993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1.3333333333333728E-2</v>
      </c>
      <c r="Q45">
        <f t="shared" ref="Q45" si="201">F45*P45</f>
        <v>197470.46666667252</v>
      </c>
      <c r="R45">
        <f t="shared" ref="R45" si="202">R46+Q45</f>
        <v>-1138652191.3220537</v>
      </c>
      <c r="S45">
        <f t="shared" ref="S45" si="203">R45/100000</f>
        <v>-11386.521913220537</v>
      </c>
      <c r="T45">
        <f t="shared" ref="T45" si="204">S45/1000</f>
        <v>-11.386521913220536</v>
      </c>
    </row>
    <row r="46" spans="1:20" x14ac:dyDescent="0.25">
      <c r="A46" s="5">
        <v>44547</v>
      </c>
      <c r="B46">
        <v>0.20979999999999999</v>
      </c>
      <c r="C46">
        <v>0.22500000000000001</v>
      </c>
      <c r="D46">
        <v>0.1898</v>
      </c>
      <c r="E46">
        <v>0.19489999999999999</v>
      </c>
      <c r="F46">
        <v>24671051</v>
      </c>
      <c r="G46">
        <v>0.19489999999999999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-0.71022727272727315</v>
      </c>
      <c r="Q46">
        <f t="shared" ref="Q46" si="206">F46*P46</f>
        <v>-17522053.267045464</v>
      </c>
      <c r="R46">
        <f t="shared" ref="R46" si="207">R47+Q46</f>
        <v>-1138849661.7887204</v>
      </c>
      <c r="S46">
        <f t="shared" ref="S46" si="208">R46/100000</f>
        <v>-11388.496617887204</v>
      </c>
      <c r="T46">
        <f t="shared" ref="T46" si="209">S46/1000</f>
        <v>-11.388496617887204</v>
      </c>
    </row>
    <row r="47" spans="1:20" x14ac:dyDescent="0.25">
      <c r="A47" s="5">
        <v>44546</v>
      </c>
      <c r="B47">
        <v>0.215</v>
      </c>
      <c r="C47">
        <v>0.23</v>
      </c>
      <c r="D47">
        <v>0.20019999999999999</v>
      </c>
      <c r="E47">
        <v>0.21010000000000001</v>
      </c>
      <c r="F47">
        <v>68975357</v>
      </c>
      <c r="G47">
        <v>0.21010000000000001</v>
      </c>
      <c r="L47" t="s">
        <v>7</v>
      </c>
      <c r="M47" t="s">
        <v>7</v>
      </c>
      <c r="N47" t="s">
        <v>8</v>
      </c>
      <c r="P47">
        <f t="shared" ref="P47" si="210">IF(C47=D47,0,((E47-D47)-(C47-E47))/(C47-D47))</f>
        <v>-0.33557046979865685</v>
      </c>
      <c r="Q47">
        <f t="shared" ref="Q47" si="211">F47*P47</f>
        <v>-23146092.953020073</v>
      </c>
      <c r="R47">
        <f t="shared" ref="R47" si="212">R48+Q47</f>
        <v>-1121327608.5216749</v>
      </c>
      <c r="S47">
        <f t="shared" ref="S47" si="213">R47/100000</f>
        <v>-11213.276085216748</v>
      </c>
      <c r="T47">
        <f t="shared" ref="T47" si="214">S47/1000</f>
        <v>-11.213276085216748</v>
      </c>
    </row>
    <row r="48" spans="1:20" x14ac:dyDescent="0.25">
      <c r="A48" s="5">
        <v>44545</v>
      </c>
      <c r="B48">
        <v>0.18659999999999999</v>
      </c>
      <c r="C48">
        <v>0.27429999999999999</v>
      </c>
      <c r="D48">
        <v>0.185</v>
      </c>
      <c r="E48">
        <v>0.215</v>
      </c>
      <c r="F48">
        <v>155927069</v>
      </c>
      <c r="G48">
        <v>0.215</v>
      </c>
      <c r="L48" t="s">
        <v>8</v>
      </c>
      <c r="M48" t="s">
        <v>8</v>
      </c>
      <c r="N48" t="s">
        <v>8</v>
      </c>
      <c r="P48">
        <f t="shared" ref="P48" si="215">IF(C48=D48,0,((E48-D48)-(C48-E48))/(C48-D48))</f>
        <v>-0.32810750279955203</v>
      </c>
      <c r="Q48">
        <f t="shared" ref="Q48" si="216">F48*P48</f>
        <v>-51160841.228443444</v>
      </c>
      <c r="R48">
        <f t="shared" ref="R48" si="217">R49+Q48</f>
        <v>-1098181515.5686548</v>
      </c>
      <c r="S48">
        <f t="shared" ref="S48" si="218">R48/100000</f>
        <v>-10981.815155686547</v>
      </c>
      <c r="T48">
        <f t="shared" ref="T48" si="219">S48/1000</f>
        <v>-10.981815155686547</v>
      </c>
    </row>
    <row r="49" spans="1:20" x14ac:dyDescent="0.25">
      <c r="A49" s="5">
        <v>44544</v>
      </c>
      <c r="B49">
        <v>0.18329999999999999</v>
      </c>
      <c r="C49">
        <v>0.19059999999999999</v>
      </c>
      <c r="D49">
        <v>0.1802</v>
      </c>
      <c r="E49">
        <v>0.18659999999999999</v>
      </c>
      <c r="F49">
        <v>8144723</v>
      </c>
      <c r="G49">
        <v>0.18659999999999999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0.23076923076922953</v>
      </c>
      <c r="Q49">
        <f t="shared" ref="Q49" si="221">F49*P49</f>
        <v>1879551.4615384515</v>
      </c>
      <c r="R49">
        <f t="shared" ref="R49" si="222">R50+Q49</f>
        <v>-1047020674.3402114</v>
      </c>
      <c r="S49">
        <f t="shared" ref="S49" si="223">R49/100000</f>
        <v>-10470.206743402114</v>
      </c>
      <c r="T49">
        <f t="shared" ref="T49" si="224">S49/1000</f>
        <v>-10.470206743402114</v>
      </c>
    </row>
    <row r="50" spans="1:20" x14ac:dyDescent="0.25">
      <c r="A50" s="5">
        <v>44543</v>
      </c>
      <c r="B50">
        <v>0.2107</v>
      </c>
      <c r="C50">
        <v>0.21179999999999999</v>
      </c>
      <c r="D50">
        <v>0.18240000000000001</v>
      </c>
      <c r="E50">
        <v>0.1837</v>
      </c>
      <c r="F50">
        <v>10709104</v>
      </c>
      <c r="G50">
        <v>0.1837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-0.91156462585034037</v>
      </c>
      <c r="Q50">
        <f t="shared" ref="Q50" si="226">F50*P50</f>
        <v>-9762040.3809523843</v>
      </c>
      <c r="R50">
        <f t="shared" ref="R50" si="227">R51+Q50</f>
        <v>-1048900225.8017498</v>
      </c>
      <c r="S50">
        <f t="shared" ref="S50" si="228">R50/100000</f>
        <v>-10489.002258017499</v>
      </c>
      <c r="T50">
        <f t="shared" ref="T50" si="229">S50/1000</f>
        <v>-10.4890022580175</v>
      </c>
    </row>
    <row r="51" spans="1:20" x14ac:dyDescent="0.25">
      <c r="A51" s="5">
        <v>44542</v>
      </c>
      <c r="B51">
        <v>0.2109</v>
      </c>
      <c r="C51">
        <v>0.22189999999999999</v>
      </c>
      <c r="D51">
        <v>0.20369999999999999</v>
      </c>
      <c r="E51">
        <v>0.2112</v>
      </c>
      <c r="F51">
        <v>12396167</v>
      </c>
      <c r="G51">
        <v>0.2112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-0.17582417582417481</v>
      </c>
      <c r="Q51">
        <f t="shared" ref="Q51" si="231">F51*P51</f>
        <v>-2179545.8461538334</v>
      </c>
      <c r="R51">
        <f t="shared" ref="R51" si="232">R52+Q51</f>
        <v>-1039138185.4207975</v>
      </c>
      <c r="S51">
        <f t="shared" ref="S51" si="233">R51/100000</f>
        <v>-10391.381854207975</v>
      </c>
      <c r="T51">
        <f t="shared" ref="T51" si="234">S51/1000</f>
        <v>-10.391381854207975</v>
      </c>
    </row>
    <row r="52" spans="1:20" x14ac:dyDescent="0.25">
      <c r="A52" s="5">
        <v>44541</v>
      </c>
      <c r="B52">
        <v>0.20630000000000001</v>
      </c>
      <c r="C52">
        <v>0.2079</v>
      </c>
      <c r="D52">
        <v>0.20180000000000001</v>
      </c>
      <c r="E52">
        <v>0.20680000000000001</v>
      </c>
      <c r="F52">
        <v>601458</v>
      </c>
      <c r="G52">
        <v>0.20680000000000001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0.6393442622950849</v>
      </c>
      <c r="Q52">
        <f t="shared" ref="Q52" si="236">F52*P52</f>
        <v>384538.72131147719</v>
      </c>
      <c r="R52">
        <f t="shared" ref="R52" si="237">R53+Q52</f>
        <v>-1036958639.5746436</v>
      </c>
      <c r="S52">
        <f t="shared" ref="S52" si="238">R52/100000</f>
        <v>-10369.586395746435</v>
      </c>
      <c r="T52">
        <f t="shared" ref="T52" si="239">S52/1000</f>
        <v>-10.369586395746435</v>
      </c>
    </row>
    <row r="53" spans="1:20" x14ac:dyDescent="0.25">
      <c r="A53" s="5">
        <v>44540</v>
      </c>
      <c r="B53">
        <v>0.214</v>
      </c>
      <c r="C53">
        <v>0.22500000000000001</v>
      </c>
      <c r="D53">
        <v>0.2051</v>
      </c>
      <c r="E53">
        <v>0.20660000000000001</v>
      </c>
      <c r="F53">
        <v>8733037</v>
      </c>
      <c r="G53">
        <v>0.20660000000000001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-0.8492462311557788</v>
      </c>
      <c r="Q53">
        <f t="shared" ref="Q53" si="241">F53*P53</f>
        <v>-7416498.7587939687</v>
      </c>
      <c r="R53">
        <f t="shared" ref="R53" si="242">R54+Q53</f>
        <v>-1037343178.2959551</v>
      </c>
      <c r="S53">
        <f t="shared" ref="S53" si="243">R53/100000</f>
        <v>-10373.431782959551</v>
      </c>
      <c r="T53">
        <f t="shared" ref="T53" si="244">S53/1000</f>
        <v>-10.373431782959551</v>
      </c>
    </row>
    <row r="54" spans="1:20" x14ac:dyDescent="0.25">
      <c r="A54" s="5">
        <v>44539</v>
      </c>
      <c r="B54">
        <v>0.23530000000000001</v>
      </c>
      <c r="C54">
        <v>0.23760000000000001</v>
      </c>
      <c r="D54">
        <v>0.21390000000000001</v>
      </c>
      <c r="E54">
        <v>0.21390000000000001</v>
      </c>
      <c r="F54">
        <v>30078490</v>
      </c>
      <c r="G54">
        <v>0.21390000000000001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-1</v>
      </c>
      <c r="Q54">
        <f t="shared" ref="Q54" si="246">F54*P54</f>
        <v>-30078490</v>
      </c>
      <c r="R54">
        <f t="shared" ref="R54" si="247">R55+Q54</f>
        <v>-1029926679.5371611</v>
      </c>
      <c r="S54">
        <f t="shared" ref="S54" si="248">R54/100000</f>
        <v>-10299.266795371612</v>
      </c>
      <c r="T54">
        <f t="shared" ref="T54" si="249">S54/1000</f>
        <v>-10.299266795371611</v>
      </c>
    </row>
    <row r="55" spans="1:20" x14ac:dyDescent="0.25">
      <c r="A55" s="5">
        <v>44538</v>
      </c>
      <c r="B55">
        <v>0.22919999999999999</v>
      </c>
      <c r="C55">
        <v>0.23799999999999999</v>
      </c>
      <c r="D55">
        <v>0.22509999999999999</v>
      </c>
      <c r="E55">
        <v>0.23530000000000001</v>
      </c>
      <c r="F55">
        <v>35916020</v>
      </c>
      <c r="G55">
        <v>0.23530000000000001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0.58139534883721222</v>
      </c>
      <c r="Q55">
        <f t="shared" ref="Q55" si="251">F55*P55</f>
        <v>20881406.97674429</v>
      </c>
      <c r="R55">
        <f t="shared" ref="R55" si="252">R56+Q55</f>
        <v>-999848189.53716111</v>
      </c>
      <c r="S55">
        <f t="shared" ref="S55" si="253">R55/100000</f>
        <v>-9998.4818953716112</v>
      </c>
      <c r="T55">
        <f t="shared" ref="T55" si="254">S55/1000</f>
        <v>-9.9984818953716115</v>
      </c>
    </row>
    <row r="56" spans="1:20" x14ac:dyDescent="0.25">
      <c r="A56" s="5">
        <v>44537</v>
      </c>
      <c r="B56">
        <v>0.23119999999999999</v>
      </c>
      <c r="C56">
        <v>0.24399999999999999</v>
      </c>
      <c r="D56">
        <v>0.2266</v>
      </c>
      <c r="E56">
        <v>0.2293</v>
      </c>
      <c r="F56">
        <v>32616201</v>
      </c>
      <c r="G56">
        <v>0.2293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-0.68965517241379215</v>
      </c>
      <c r="Q56">
        <f t="shared" ref="Q56" si="256">F56*P56</f>
        <v>-22493931.724137899</v>
      </c>
      <c r="R56">
        <f t="shared" ref="R56" si="257">R57+Q56</f>
        <v>-1020729596.5139054</v>
      </c>
      <c r="S56">
        <f t="shared" ref="S56" si="258">R56/100000</f>
        <v>-10207.295965139054</v>
      </c>
      <c r="T56">
        <f t="shared" ref="T56" si="259">S56/1000</f>
        <v>-10.207295965139053</v>
      </c>
    </row>
    <row r="57" spans="1:20" x14ac:dyDescent="0.25">
      <c r="A57" s="5">
        <v>44536</v>
      </c>
      <c r="B57">
        <v>0.23</v>
      </c>
      <c r="C57">
        <v>0.2349</v>
      </c>
      <c r="D57">
        <v>0.2056</v>
      </c>
      <c r="E57">
        <v>0.23169999999999999</v>
      </c>
      <c r="F57">
        <v>47269139.170000002</v>
      </c>
      <c r="G57">
        <v>0.23169999999999999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0.78156996587030658</v>
      </c>
      <c r="Q57">
        <f t="shared" ref="Q57" si="261">F57*P57</f>
        <v>36944139.487815671</v>
      </c>
      <c r="R57">
        <f t="shared" ref="R57" si="262">R58+Q57</f>
        <v>-998235664.7897675</v>
      </c>
      <c r="S57">
        <f t="shared" ref="S57" si="263">R57/100000</f>
        <v>-9982.3566478976754</v>
      </c>
      <c r="T57">
        <f t="shared" ref="T57" si="264">S57/1000</f>
        <v>-9.9823566478976762</v>
      </c>
    </row>
    <row r="58" spans="1:20" x14ac:dyDescent="0.25">
      <c r="A58" s="5">
        <v>44535</v>
      </c>
      <c r="B58">
        <v>0.2475</v>
      </c>
      <c r="C58">
        <v>0.25169999999999998</v>
      </c>
      <c r="D58">
        <v>0.22020000000000001</v>
      </c>
      <c r="E58">
        <v>0.2296</v>
      </c>
      <c r="F58">
        <v>87111047</v>
      </c>
      <c r="G58">
        <v>0.2296</v>
      </c>
      <c r="L58" t="s">
        <v>7</v>
      </c>
      <c r="M58" t="s">
        <v>7</v>
      </c>
      <c r="N58" t="s">
        <v>7</v>
      </c>
      <c r="P58">
        <f t="shared" ref="P58" si="265">IF(C58=D58,0,((E58-D58)-(C58-E58))/(C58-D58))</f>
        <v>-0.40317460317460319</v>
      </c>
      <c r="Q58">
        <f t="shared" ref="Q58" si="266">F58*P58</f>
        <v>-35120961.80634921</v>
      </c>
      <c r="R58">
        <f t="shared" ref="R58" si="267">R59+Q58</f>
        <v>-1035179804.2775831</v>
      </c>
      <c r="S58">
        <f t="shared" ref="S58" si="268">R58/100000</f>
        <v>-10351.798042775832</v>
      </c>
      <c r="T58">
        <f t="shared" ref="T58" si="269">S58/1000</f>
        <v>-10.351798042775831</v>
      </c>
    </row>
    <row r="59" spans="1:20" x14ac:dyDescent="0.25">
      <c r="A59" s="5">
        <v>44534</v>
      </c>
      <c r="B59">
        <v>0.29170000000000001</v>
      </c>
      <c r="C59">
        <v>0.29210000000000003</v>
      </c>
      <c r="D59">
        <v>0.22339999999999999</v>
      </c>
      <c r="E59">
        <v>0.2477</v>
      </c>
      <c r="F59">
        <v>56159358.350000001</v>
      </c>
      <c r="G59">
        <v>0.2477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-0.29257641921397376</v>
      </c>
      <c r="Q59">
        <f t="shared" ref="Q59" si="271">F59*P59</f>
        <v>-16430903.971397378</v>
      </c>
      <c r="R59">
        <f t="shared" ref="R59" si="272">R60+Q59</f>
        <v>-1000058842.471234</v>
      </c>
      <c r="S59">
        <f t="shared" ref="S59" si="273">R59/100000</f>
        <v>-10000.588424712339</v>
      </c>
      <c r="T59">
        <f t="shared" ref="T59" si="274">S59/1000</f>
        <v>-10.000588424712339</v>
      </c>
    </row>
    <row r="60" spans="1:20" x14ac:dyDescent="0.25">
      <c r="A60" s="5">
        <v>44533</v>
      </c>
      <c r="B60">
        <v>0.29260000000000003</v>
      </c>
      <c r="C60">
        <v>0.30599999999999999</v>
      </c>
      <c r="D60">
        <v>0.28149999999999997</v>
      </c>
      <c r="E60">
        <v>0.29170000000000001</v>
      </c>
      <c r="F60">
        <v>54725474</v>
      </c>
      <c r="G60">
        <v>0.29170000000000001</v>
      </c>
      <c r="L60" t="s">
        <v>8</v>
      </c>
      <c r="M60" t="s">
        <v>7</v>
      </c>
      <c r="N60" t="s">
        <v>7</v>
      </c>
      <c r="P60">
        <f t="shared" ref="P60" si="275">IF(C60=D60,0,((E60-D60)-(C60-E60))/(C60-D60))</f>
        <v>-0.16734693877550749</v>
      </c>
      <c r="Q60">
        <f t="shared" ref="Q60" si="276">F60*P60</f>
        <v>-9158140.546938628</v>
      </c>
      <c r="R60">
        <f t="shared" ref="R60" si="277">R61+Q60</f>
        <v>-983627938.49983656</v>
      </c>
      <c r="S60">
        <f t="shared" ref="S60" si="278">R60/100000</f>
        <v>-9836.2793849983664</v>
      </c>
      <c r="T60">
        <f t="shared" ref="T60" si="279">S60/1000</f>
        <v>-9.8362793849983667</v>
      </c>
    </row>
    <row r="61" spans="1:20" x14ac:dyDescent="0.25">
      <c r="A61" s="5">
        <v>44532</v>
      </c>
      <c r="B61">
        <v>0.28860000000000002</v>
      </c>
      <c r="C61">
        <v>0.32190000000000002</v>
      </c>
      <c r="D61">
        <v>0.28000000000000003</v>
      </c>
      <c r="E61">
        <v>0.29210000000000003</v>
      </c>
      <c r="F61">
        <v>43427519</v>
      </c>
      <c r="G61">
        <v>0.29210000000000003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-0.42243436754176605</v>
      </c>
      <c r="Q61">
        <f t="shared" ref="Q61" si="281">F61*P61</f>
        <v>-18345276.522673029</v>
      </c>
      <c r="R61">
        <f t="shared" ref="R61" si="282">R62+Q61</f>
        <v>-974469797.95289791</v>
      </c>
      <c r="S61">
        <f t="shared" ref="S61" si="283">R61/100000</f>
        <v>-9744.697979528979</v>
      </c>
      <c r="T61">
        <f t="shared" ref="T61" si="284">S61/1000</f>
        <v>-9.7446979795289792</v>
      </c>
    </row>
    <row r="62" spans="1:20" x14ac:dyDescent="0.25">
      <c r="A62" s="5">
        <v>44531</v>
      </c>
      <c r="B62">
        <v>0.28620000000000001</v>
      </c>
      <c r="C62">
        <v>0.33879999999999999</v>
      </c>
      <c r="D62">
        <v>0.2843</v>
      </c>
      <c r="E62">
        <v>0.2893</v>
      </c>
      <c r="F62">
        <v>47256440</v>
      </c>
      <c r="G62">
        <v>0.2893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-0.81651376146788968</v>
      </c>
      <c r="Q62">
        <f t="shared" ref="Q62" si="286">F62*P62</f>
        <v>-38585533.577981643</v>
      </c>
      <c r="R62">
        <f t="shared" ref="R62" si="287">R63+Q62</f>
        <v>-956124521.4302249</v>
      </c>
      <c r="S62">
        <f t="shared" ref="S62" si="288">R62/100000</f>
        <v>-9561.2452143022492</v>
      </c>
      <c r="T62">
        <f t="shared" ref="T62" si="289">S62/1000</f>
        <v>-9.5612452143022484</v>
      </c>
    </row>
    <row r="63" spans="1:20" x14ac:dyDescent="0.25">
      <c r="A63" s="5">
        <v>44530</v>
      </c>
      <c r="B63">
        <v>0.2959</v>
      </c>
      <c r="C63">
        <v>0.30230000000000001</v>
      </c>
      <c r="D63">
        <v>0.2797</v>
      </c>
      <c r="E63">
        <v>0.28599999999999998</v>
      </c>
      <c r="F63">
        <v>19409342</v>
      </c>
      <c r="G63">
        <v>0.28599999999999998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-0.44247787610619738</v>
      </c>
      <c r="Q63">
        <f t="shared" ref="Q63" si="291">F63*P63</f>
        <v>-8588204.4247788135</v>
      </c>
      <c r="R63">
        <f t="shared" ref="R63" si="292">R64+Q63</f>
        <v>-917538987.8522433</v>
      </c>
      <c r="S63">
        <f t="shared" ref="S63" si="293">R63/100000</f>
        <v>-9175.3898785224337</v>
      </c>
      <c r="T63">
        <f t="shared" ref="T63" si="294">S63/1000</f>
        <v>-9.1753898785224344</v>
      </c>
    </row>
    <row r="64" spans="1:20" x14ac:dyDescent="0.25">
      <c r="A64" s="5">
        <v>44529</v>
      </c>
      <c r="B64">
        <v>0.3</v>
      </c>
      <c r="C64">
        <v>0.30690000000000001</v>
      </c>
      <c r="D64">
        <v>0.2888</v>
      </c>
      <c r="E64">
        <v>0.2964</v>
      </c>
      <c r="F64">
        <v>17142759</v>
      </c>
      <c r="G64">
        <v>0.2964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-0.16022099447513882</v>
      </c>
      <c r="Q64">
        <f t="shared" ref="Q64" si="296">F64*P64</f>
        <v>-2746629.8950276366</v>
      </c>
      <c r="R64">
        <f t="shared" ref="R64" si="297">R65+Q64</f>
        <v>-908950783.42746449</v>
      </c>
      <c r="S64">
        <f t="shared" ref="S64" si="298">R64/100000</f>
        <v>-9089.5078342746456</v>
      </c>
      <c r="T64">
        <f t="shared" ref="T64" si="299">S64/1000</f>
        <v>-9.0895078342746451</v>
      </c>
    </row>
    <row r="65" spans="1:20" x14ac:dyDescent="0.25">
      <c r="A65" s="5">
        <v>44528</v>
      </c>
      <c r="B65">
        <v>0.30220000000000002</v>
      </c>
      <c r="C65">
        <v>0.30959999999999999</v>
      </c>
      <c r="D65">
        <v>0.2777</v>
      </c>
      <c r="E65">
        <v>0.29980000000000001</v>
      </c>
      <c r="F65">
        <v>20989639</v>
      </c>
      <c r="G65">
        <v>0.29980000000000001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0.38557993730407647</v>
      </c>
      <c r="Q65">
        <f t="shared" ref="Q65" si="301">F65*P65</f>
        <v>8093183.6896551987</v>
      </c>
      <c r="R65">
        <f t="shared" ref="R65" si="302">R66+Q65</f>
        <v>-906204153.53243685</v>
      </c>
      <c r="S65">
        <f t="shared" ref="S65" si="303">R65/100000</f>
        <v>-9062.0415353243679</v>
      </c>
      <c r="T65">
        <f t="shared" ref="T65" si="304">S65/1000</f>
        <v>-9.0620415353243686</v>
      </c>
    </row>
    <row r="66" spans="1:20" x14ac:dyDescent="0.25">
      <c r="A66" s="5">
        <v>44527</v>
      </c>
      <c r="B66">
        <v>0.30399999999999999</v>
      </c>
      <c r="C66">
        <v>0.32579999999999998</v>
      </c>
      <c r="D66">
        <v>0.29770000000000002</v>
      </c>
      <c r="E66">
        <v>0.30209999999999998</v>
      </c>
      <c r="F66">
        <v>29963052</v>
      </c>
      <c r="G66">
        <v>0.30209999999999998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-0.68683274021352558</v>
      </c>
      <c r="Q66">
        <f t="shared" ref="Q66" si="306">F66*P66</f>
        <v>-20579605.110320359</v>
      </c>
      <c r="R66">
        <f t="shared" ref="R66" si="307">R67+Q66</f>
        <v>-914297337.22209203</v>
      </c>
      <c r="S66">
        <f t="shared" ref="S66" si="308">R66/100000</f>
        <v>-9142.9733722209203</v>
      </c>
      <c r="T66">
        <f t="shared" ref="T66" si="309">S66/1000</f>
        <v>-9.1429733722209203</v>
      </c>
    </row>
    <row r="67" spans="1:20" x14ac:dyDescent="0.25">
      <c r="A67" s="5">
        <v>44526</v>
      </c>
      <c r="B67">
        <v>0.36470000000000002</v>
      </c>
      <c r="C67">
        <v>0.37330000000000002</v>
      </c>
      <c r="D67">
        <v>0.30249999999999999</v>
      </c>
      <c r="E67">
        <v>0.30399999999999999</v>
      </c>
      <c r="F67">
        <v>58952981</v>
      </c>
      <c r="G67">
        <v>0.30399999999999999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-0.9576271186440678</v>
      </c>
      <c r="Q67">
        <f t="shared" ref="Q67" si="311">F67*P67</f>
        <v>-56454973.330508478</v>
      </c>
      <c r="R67">
        <f t="shared" ref="R67" si="312">R68+Q67</f>
        <v>-893717732.1117717</v>
      </c>
      <c r="S67">
        <f t="shared" ref="S67" si="313">R67/100000</f>
        <v>-8937.1773211177169</v>
      </c>
      <c r="T67">
        <f t="shared" ref="T67" si="314">S67/1000</f>
        <v>-8.9371773211177175</v>
      </c>
    </row>
    <row r="68" spans="1:20" x14ac:dyDescent="0.25">
      <c r="A68" s="5">
        <v>44525</v>
      </c>
      <c r="B68">
        <v>0.37519999999999998</v>
      </c>
      <c r="C68">
        <v>0.46450000000000002</v>
      </c>
      <c r="D68">
        <v>0.35699999999999998</v>
      </c>
      <c r="E68">
        <v>0.36520000000000002</v>
      </c>
      <c r="F68">
        <v>271732523</v>
      </c>
      <c r="G68">
        <v>0.36520000000000002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-0.8474418604651156</v>
      </c>
      <c r="Q68">
        <f t="shared" ref="Q68" si="316">F68*P68</f>
        <v>-230277514.83999982</v>
      </c>
      <c r="R68">
        <f t="shared" ref="R68" si="317">R69+Q68</f>
        <v>-837262758.78126323</v>
      </c>
      <c r="S68">
        <f t="shared" ref="S68" si="318">R68/100000</f>
        <v>-8372.6275878126326</v>
      </c>
      <c r="T68">
        <f t="shared" ref="T68" si="319">S68/1000</f>
        <v>-8.3726275878126319</v>
      </c>
    </row>
    <row r="69" spans="1:20" x14ac:dyDescent="0.25">
      <c r="A69" s="5">
        <v>44524</v>
      </c>
      <c r="B69">
        <v>0.29570000000000002</v>
      </c>
      <c r="C69">
        <v>0.315</v>
      </c>
      <c r="D69">
        <v>0.2868</v>
      </c>
      <c r="E69">
        <v>0.29730000000000001</v>
      </c>
      <c r="F69">
        <v>4233944</v>
      </c>
      <c r="G69">
        <v>0.29730000000000001</v>
      </c>
      <c r="L69" t="s">
        <v>8</v>
      </c>
      <c r="M69" t="s">
        <v>7</v>
      </c>
      <c r="N69" t="s">
        <v>8</v>
      </c>
      <c r="P69">
        <f t="shared" ref="P69" si="320">IF(C69=D69,0,((E69-D69)-(C69-E69))/(C69-D69))</f>
        <v>-0.25531914893616964</v>
      </c>
      <c r="Q69">
        <f t="shared" ref="Q69" si="321">F69*P69</f>
        <v>-1081006.9787234019</v>
      </c>
      <c r="R69">
        <f t="shared" ref="R69" si="322">R70+Q69</f>
        <v>-606985243.94126344</v>
      </c>
      <c r="S69">
        <f t="shared" ref="S69" si="323">R69/100000</f>
        <v>-6069.8524394126343</v>
      </c>
      <c r="T69">
        <f t="shared" ref="T69" si="324">S69/1000</f>
        <v>-6.0698524394126343</v>
      </c>
    </row>
    <row r="70" spans="1:20" x14ac:dyDescent="0.25">
      <c r="A70" s="5">
        <v>44523</v>
      </c>
      <c r="B70">
        <v>0.28460000000000002</v>
      </c>
      <c r="C70">
        <v>0.30149999999999999</v>
      </c>
      <c r="D70">
        <v>0.26800000000000002</v>
      </c>
      <c r="E70">
        <v>0.29570000000000002</v>
      </c>
      <c r="F70">
        <v>18163586</v>
      </c>
      <c r="G70">
        <v>0.29570000000000002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0.65373134328358351</v>
      </c>
      <c r="Q70">
        <f t="shared" ref="Q70" si="326">F70*P70</f>
        <v>11874105.474626891</v>
      </c>
      <c r="R70">
        <f t="shared" ref="R70" si="327">R71+Q70</f>
        <v>-605904236.96254003</v>
      </c>
      <c r="S70">
        <f t="shared" ref="S70" si="328">R70/100000</f>
        <v>-6059.0423696254002</v>
      </c>
      <c r="T70">
        <f t="shared" ref="T70" si="329">S70/1000</f>
        <v>-6.0590423696254003</v>
      </c>
    </row>
    <row r="71" spans="1:20" x14ac:dyDescent="0.25">
      <c r="A71" s="5">
        <v>44522</v>
      </c>
      <c r="B71">
        <v>0.29670000000000002</v>
      </c>
      <c r="C71">
        <v>0.29820000000000002</v>
      </c>
      <c r="D71">
        <v>0.27989999999999998</v>
      </c>
      <c r="E71">
        <v>0.28499999999999998</v>
      </c>
      <c r="F71">
        <v>15266266</v>
      </c>
      <c r="G71">
        <v>0.28499999999999998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-0.44262295081967401</v>
      </c>
      <c r="Q71">
        <f t="shared" ref="Q71" si="331">F71*P71</f>
        <v>-6757199.7049180614</v>
      </c>
      <c r="R71">
        <f t="shared" ref="R71" si="332">R72+Q71</f>
        <v>-617778342.43716693</v>
      </c>
      <c r="S71">
        <f t="shared" ref="S71" si="333">R71/100000</f>
        <v>-6177.7834243716688</v>
      </c>
      <c r="T71">
        <f t="shared" ref="T71" si="334">S71/1000</f>
        <v>-6.1777834243716692</v>
      </c>
    </row>
    <row r="72" spans="1:20" x14ac:dyDescent="0.25">
      <c r="A72" s="5">
        <v>44521</v>
      </c>
      <c r="B72">
        <v>0.30270000000000002</v>
      </c>
      <c r="C72">
        <v>0.35010000000000002</v>
      </c>
      <c r="D72">
        <v>0.29430000000000001</v>
      </c>
      <c r="E72">
        <v>0.29670000000000002</v>
      </c>
      <c r="F72">
        <v>31877360</v>
      </c>
      <c r="G72">
        <v>0.29670000000000002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-0.91397849462365544</v>
      </c>
      <c r="Q72">
        <f t="shared" ref="Q72" si="336">F72*P72</f>
        <v>-29135221.505376328</v>
      </c>
      <c r="R72">
        <f t="shared" ref="R72" si="337">R73+Q72</f>
        <v>-611021142.7322489</v>
      </c>
      <c r="S72">
        <f t="shared" ref="S72" si="338">R72/100000</f>
        <v>-6110.2114273224888</v>
      </c>
      <c r="T72">
        <f t="shared" ref="T72" si="339">S72/1000</f>
        <v>-6.110211427322489</v>
      </c>
    </row>
    <row r="73" spans="1:20" x14ac:dyDescent="0.25">
      <c r="A73" s="5">
        <v>44520</v>
      </c>
      <c r="B73">
        <v>0.307</v>
      </c>
      <c r="C73">
        <v>0.31290000000000001</v>
      </c>
      <c r="D73">
        <v>0.28899999999999998</v>
      </c>
      <c r="E73">
        <v>0.30220000000000002</v>
      </c>
      <c r="F73">
        <v>11685357</v>
      </c>
      <c r="G73">
        <v>0.30220000000000002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0.10460251046025332</v>
      </c>
      <c r="Q73">
        <f t="shared" ref="Q73" si="341">F73*P73</f>
        <v>1222317.6778242944</v>
      </c>
      <c r="R73">
        <f t="shared" ref="R73" si="342">R74+Q73</f>
        <v>-581885921.22687256</v>
      </c>
      <c r="S73">
        <f t="shared" ref="S73" si="343">R73/100000</f>
        <v>-5818.859212268726</v>
      </c>
      <c r="T73">
        <f t="shared" ref="T73" si="344">S73/1000</f>
        <v>-5.8188592122687259</v>
      </c>
    </row>
    <row r="74" spans="1:20" x14ac:dyDescent="0.25">
      <c r="A74" s="5">
        <v>44519</v>
      </c>
      <c r="B74">
        <v>0.29289999999999999</v>
      </c>
      <c r="C74">
        <v>0.311</v>
      </c>
      <c r="D74">
        <v>0.27889999999999998</v>
      </c>
      <c r="E74">
        <v>0.30719999999999997</v>
      </c>
      <c r="F74">
        <v>9754894</v>
      </c>
      <c r="G74">
        <v>0.30719999999999997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0.76323987538940663</v>
      </c>
      <c r="Q74">
        <f t="shared" ref="Q74" si="346">F74*P74</f>
        <v>7445324.0809968701</v>
      </c>
      <c r="R74">
        <f t="shared" ref="R74" si="347">R75+Q74</f>
        <v>-583108238.90469682</v>
      </c>
      <c r="S74">
        <f t="shared" ref="S74" si="348">R74/100000</f>
        <v>-5831.0823890469683</v>
      </c>
      <c r="T74">
        <f t="shared" ref="T74" si="349">S74/1000</f>
        <v>-5.8310823890469683</v>
      </c>
    </row>
    <row r="75" spans="1:20" x14ac:dyDescent="0.25">
      <c r="A75" s="5">
        <v>44518</v>
      </c>
      <c r="B75">
        <v>0.33460000000000001</v>
      </c>
      <c r="C75">
        <v>0.33700000000000002</v>
      </c>
      <c r="D75">
        <v>0.28210000000000002</v>
      </c>
      <c r="E75">
        <v>0.29349999999999998</v>
      </c>
      <c r="F75">
        <v>16967865</v>
      </c>
      <c r="G75">
        <v>0.29349999999999998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-0.58469945355191388</v>
      </c>
      <c r="Q75">
        <f t="shared" ref="Q75" si="351">F75*P75</f>
        <v>-9921101.3934426457</v>
      </c>
      <c r="R75">
        <f t="shared" ref="R75" si="352">R76+Q75</f>
        <v>-590553562.98569369</v>
      </c>
      <c r="S75">
        <f t="shared" ref="S75" si="353">R75/100000</f>
        <v>-5905.5356298569368</v>
      </c>
      <c r="T75">
        <f t="shared" ref="T75" si="354">S75/1000</f>
        <v>-5.9055356298569368</v>
      </c>
    </row>
    <row r="76" spans="1:20" x14ac:dyDescent="0.25">
      <c r="A76" s="5">
        <v>44517</v>
      </c>
      <c r="B76">
        <v>0.30819999999999997</v>
      </c>
      <c r="C76">
        <v>0.33689999999999998</v>
      </c>
      <c r="D76">
        <v>0.28620000000000001</v>
      </c>
      <c r="E76">
        <v>0.33479999999999999</v>
      </c>
      <c r="F76">
        <v>18231608</v>
      </c>
      <c r="G76">
        <v>0.33479999999999999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0.91715976331360982</v>
      </c>
      <c r="Q76">
        <f t="shared" ref="Q76" si="356">F76*P76</f>
        <v>16721297.278106516</v>
      </c>
      <c r="R76">
        <f t="shared" ref="R76" si="357">R77+Q76</f>
        <v>-580632461.59225106</v>
      </c>
      <c r="S76">
        <f t="shared" ref="S76" si="358">R76/100000</f>
        <v>-5806.3246159225109</v>
      </c>
      <c r="T76">
        <f t="shared" ref="T76" si="359">S76/1000</f>
        <v>-5.8063246159225113</v>
      </c>
    </row>
    <row r="77" spans="1:20" x14ac:dyDescent="0.25">
      <c r="A77" s="5">
        <v>44516</v>
      </c>
      <c r="B77">
        <v>0.32079999999999997</v>
      </c>
      <c r="C77">
        <v>0.32150000000000001</v>
      </c>
      <c r="D77">
        <v>0.28499999999999998</v>
      </c>
      <c r="E77">
        <v>0.30859999999999999</v>
      </c>
      <c r="F77">
        <v>18573299</v>
      </c>
      <c r="G77">
        <v>0.30859999999999999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0.29315068493150626</v>
      </c>
      <c r="Q77">
        <f t="shared" ref="Q77" si="361">F77*P77</f>
        <v>5444775.3232876603</v>
      </c>
      <c r="R77">
        <f t="shared" ref="R77" si="362">R78+Q77</f>
        <v>-597353758.87035763</v>
      </c>
      <c r="S77">
        <f t="shared" ref="S77" si="363">R77/100000</f>
        <v>-5973.5375887035761</v>
      </c>
      <c r="T77">
        <f t="shared" ref="T77" si="364">S77/1000</f>
        <v>-5.973537588703576</v>
      </c>
    </row>
    <row r="78" spans="1:20" x14ac:dyDescent="0.25">
      <c r="A78" s="5">
        <v>44515</v>
      </c>
      <c r="B78">
        <v>0.31480000000000002</v>
      </c>
      <c r="C78">
        <v>0.35599999999999998</v>
      </c>
      <c r="D78">
        <v>0.30570000000000003</v>
      </c>
      <c r="E78">
        <v>0.32019999999999998</v>
      </c>
      <c r="F78">
        <v>36870305</v>
      </c>
      <c r="G78">
        <v>0.32019999999999998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-0.42345924453280437</v>
      </c>
      <c r="Q78">
        <f t="shared" ref="Q78" si="366">F78*P78</f>
        <v>-15613071.500994079</v>
      </c>
      <c r="R78">
        <f t="shared" ref="R78" si="367">R79+Q78</f>
        <v>-602798534.19364524</v>
      </c>
      <c r="S78">
        <f t="shared" ref="S78" si="368">R78/100000</f>
        <v>-6027.9853419364526</v>
      </c>
      <c r="T78">
        <f t="shared" ref="T78" si="369">S78/1000</f>
        <v>-6.0279853419364526</v>
      </c>
    </row>
    <row r="79" spans="1:20" x14ac:dyDescent="0.25">
      <c r="A79" s="5">
        <v>44514</v>
      </c>
      <c r="B79">
        <v>0.3155</v>
      </c>
      <c r="C79">
        <v>0.36</v>
      </c>
      <c r="D79">
        <v>0.28920000000000001</v>
      </c>
      <c r="E79">
        <v>0.31469999999999998</v>
      </c>
      <c r="F79">
        <v>37045096</v>
      </c>
      <c r="G79">
        <v>0.31469999999999998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-0.27966101694915318</v>
      </c>
      <c r="Q79">
        <f t="shared" ref="Q79" si="371">F79*P79</f>
        <v>-10360069.220339008</v>
      </c>
      <c r="R79">
        <f t="shared" ref="R79" si="372">R80+Q79</f>
        <v>-587185462.69265115</v>
      </c>
      <c r="S79">
        <f t="shared" ref="S79" si="373">R79/100000</f>
        <v>-5871.8546269265116</v>
      </c>
      <c r="T79">
        <f t="shared" ref="T79" si="374">S79/1000</f>
        <v>-5.8718546269265115</v>
      </c>
    </row>
    <row r="80" spans="1:20" x14ac:dyDescent="0.25">
      <c r="A80" s="5">
        <v>44513</v>
      </c>
      <c r="B80">
        <v>0.2671</v>
      </c>
      <c r="C80">
        <v>0.33500000000000002</v>
      </c>
      <c r="D80">
        <v>0.26469999999999999</v>
      </c>
      <c r="E80">
        <v>0.31519999999999998</v>
      </c>
      <c r="F80">
        <v>56211117</v>
      </c>
      <c r="G80">
        <v>0.31519999999999998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0.43669985775248843</v>
      </c>
      <c r="Q80">
        <f t="shared" ref="Q80" si="376">F80*P80</f>
        <v>24547386.798008483</v>
      </c>
      <c r="R80">
        <f t="shared" ref="R80" si="377">R81+Q80</f>
        <v>-576825393.47231209</v>
      </c>
      <c r="S80">
        <f t="shared" ref="S80" si="378">R80/100000</f>
        <v>-5768.2539347231213</v>
      </c>
      <c r="T80">
        <f t="shared" ref="T80" si="379">S80/1000</f>
        <v>-5.7682539347231216</v>
      </c>
    </row>
    <row r="81" spans="1:20" x14ac:dyDescent="0.25">
      <c r="A81" s="5">
        <v>44512</v>
      </c>
      <c r="B81">
        <v>0.27329999999999999</v>
      </c>
      <c r="C81">
        <v>0.27550000000000002</v>
      </c>
      <c r="D81">
        <v>0.26100000000000001</v>
      </c>
      <c r="E81">
        <v>0.26719999999999999</v>
      </c>
      <c r="F81">
        <v>9037069</v>
      </c>
      <c r="G81">
        <v>0.26719999999999999</v>
      </c>
      <c r="L81" t="s">
        <v>8</v>
      </c>
      <c r="M81" t="s">
        <v>7</v>
      </c>
      <c r="N81" t="s">
        <v>7</v>
      </c>
      <c r="P81">
        <f t="shared" ref="P81" si="380">IF(C81=D81,0,((E81-D81)-(C81-E81))/(C81-D81))</f>
        <v>-0.14482758620689962</v>
      </c>
      <c r="Q81">
        <f t="shared" ref="Q81" si="381">F81*P81</f>
        <v>-1308816.8896552001</v>
      </c>
      <c r="R81">
        <f t="shared" ref="R81" si="382">R82+Q81</f>
        <v>-601372780.27032053</v>
      </c>
      <c r="S81">
        <f t="shared" ref="S81" si="383">R81/100000</f>
        <v>-6013.7278027032053</v>
      </c>
      <c r="T81">
        <f t="shared" ref="T81" si="384">S81/1000</f>
        <v>-6.0137278027032055</v>
      </c>
    </row>
    <row r="82" spans="1:20" x14ac:dyDescent="0.25">
      <c r="A82" s="5">
        <v>44511</v>
      </c>
      <c r="B82">
        <v>0.2666</v>
      </c>
      <c r="C82">
        <v>0.27760000000000001</v>
      </c>
      <c r="D82">
        <v>0.2631</v>
      </c>
      <c r="E82">
        <v>0.27310000000000001</v>
      </c>
      <c r="F82">
        <v>9261996</v>
      </c>
      <c r="G82">
        <v>0.27310000000000001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0.37931034482758619</v>
      </c>
      <c r="Q82">
        <f t="shared" ref="Q82" si="386">F82*P82</f>
        <v>3513170.8965517241</v>
      </c>
      <c r="R82">
        <f t="shared" ref="R82" si="387">R83+Q82</f>
        <v>-600063963.3806653</v>
      </c>
      <c r="S82">
        <f t="shared" ref="S82" si="388">R82/100000</f>
        <v>-6000.6396338066534</v>
      </c>
      <c r="T82">
        <f t="shared" ref="T82" si="389">S82/1000</f>
        <v>-6.000639633806653</v>
      </c>
    </row>
    <row r="83" spans="1:20" x14ac:dyDescent="0.25">
      <c r="A83" s="5">
        <v>44510</v>
      </c>
      <c r="B83">
        <v>0.28010000000000002</v>
      </c>
      <c r="C83">
        <v>0.28860000000000002</v>
      </c>
      <c r="D83">
        <v>0.25929999999999997</v>
      </c>
      <c r="E83">
        <v>0.2666</v>
      </c>
      <c r="F83">
        <v>13252464</v>
      </c>
      <c r="G83">
        <v>0.2666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-0.50170648464163714</v>
      </c>
      <c r="Q83">
        <f t="shared" ref="Q83" si="391">F83*P83</f>
        <v>-6648847.1262798496</v>
      </c>
      <c r="R83">
        <f t="shared" ref="R83" si="392">R84+Q83</f>
        <v>-603577134.27721703</v>
      </c>
      <c r="S83">
        <f t="shared" ref="S83" si="393">R83/100000</f>
        <v>-6035.7713427721701</v>
      </c>
      <c r="T83">
        <f t="shared" ref="T83" si="394">S83/1000</f>
        <v>-6.0357713427721702</v>
      </c>
    </row>
    <row r="84" spans="1:20" x14ac:dyDescent="0.25">
      <c r="A84" s="5">
        <v>44509</v>
      </c>
      <c r="B84">
        <v>0.2903</v>
      </c>
      <c r="C84">
        <v>0.29570000000000002</v>
      </c>
      <c r="D84">
        <v>0.27910000000000001</v>
      </c>
      <c r="E84">
        <v>0.28010000000000002</v>
      </c>
      <c r="F84">
        <v>9364008</v>
      </c>
      <c r="G84">
        <v>0.28010000000000002</v>
      </c>
      <c r="L84" t="s">
        <v>7</v>
      </c>
      <c r="M84" t="s">
        <v>8</v>
      </c>
      <c r="N84" t="s">
        <v>7</v>
      </c>
      <c r="P84">
        <f t="shared" ref="P84" si="395">IF(C84=D84,0,((E84-D84)-(C84-E84))/(C84-D84))</f>
        <v>-0.87951807228915657</v>
      </c>
      <c r="Q84">
        <f t="shared" ref="Q84" si="396">F84*P84</f>
        <v>-8235814.2650602404</v>
      </c>
      <c r="R84">
        <f t="shared" ref="R84" si="397">R85+Q84</f>
        <v>-596928287.1509372</v>
      </c>
      <c r="S84">
        <f t="shared" ref="S84" si="398">R84/100000</f>
        <v>-5969.2828715093719</v>
      </c>
      <c r="T84">
        <f t="shared" ref="T84" si="399">S84/1000</f>
        <v>-5.969282871509372</v>
      </c>
    </row>
    <row r="85" spans="1:20" x14ac:dyDescent="0.25">
      <c r="A85" s="5">
        <v>44508</v>
      </c>
      <c r="B85">
        <v>0.29730000000000001</v>
      </c>
      <c r="C85">
        <v>0.3</v>
      </c>
      <c r="D85">
        <v>0.28689999999999999</v>
      </c>
      <c r="E85">
        <v>0.2903</v>
      </c>
      <c r="F85">
        <v>10129660</v>
      </c>
      <c r="G85">
        <v>0.2903</v>
      </c>
      <c r="L85" t="s">
        <v>7</v>
      </c>
      <c r="M85" t="s">
        <v>8</v>
      </c>
      <c r="N85" t="s">
        <v>7</v>
      </c>
      <c r="P85">
        <f t="shared" ref="P85" si="400">IF(C85=D85,0,((E85-D85)-(C85-E85))/(C85-D85))</f>
        <v>-0.480916030534349</v>
      </c>
      <c r="Q85">
        <f t="shared" ref="Q85" si="401">F85*P85</f>
        <v>-4871515.8778625736</v>
      </c>
      <c r="R85">
        <f t="shared" ref="R85" si="402">R86+Q85</f>
        <v>-588692472.88587701</v>
      </c>
      <c r="S85">
        <f t="shared" ref="S85" si="403">R85/100000</f>
        <v>-5886.9247288587703</v>
      </c>
      <c r="T85">
        <f t="shared" ref="T85" si="404">S85/1000</f>
        <v>-5.8869247288587703</v>
      </c>
    </row>
    <row r="86" spans="1:20" x14ac:dyDescent="0.25">
      <c r="A86" s="5">
        <v>44507</v>
      </c>
      <c r="B86">
        <v>0.28520000000000001</v>
      </c>
      <c r="C86">
        <v>0.30930000000000002</v>
      </c>
      <c r="D86">
        <v>0.28170000000000001</v>
      </c>
      <c r="E86">
        <v>0.29670000000000002</v>
      </c>
      <c r="F86">
        <v>14905502</v>
      </c>
      <c r="G86">
        <v>0.29670000000000002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8.6956521739130876E-2</v>
      </c>
      <c r="Q86">
        <f t="shared" ref="Q86" si="406">F86*P86</f>
        <v>1296130.6086956589</v>
      </c>
      <c r="R86">
        <f t="shared" ref="R86" si="407">R87+Q86</f>
        <v>-583820957.00801444</v>
      </c>
      <c r="S86">
        <f t="shared" ref="S86" si="408">R86/100000</f>
        <v>-5838.2095700801447</v>
      </c>
      <c r="T86">
        <f t="shared" ref="T86" si="409">S86/1000</f>
        <v>-5.8382095700801449</v>
      </c>
    </row>
    <row r="87" spans="1:20" x14ac:dyDescent="0.25">
      <c r="A87" s="5">
        <v>44506</v>
      </c>
      <c r="B87">
        <v>0.28689999999999999</v>
      </c>
      <c r="C87">
        <v>0.29809999999999998</v>
      </c>
      <c r="D87">
        <v>0.27910000000000001</v>
      </c>
      <c r="E87">
        <v>0.28560000000000002</v>
      </c>
      <c r="F87">
        <v>6586473</v>
      </c>
      <c r="G87">
        <v>0.28560000000000002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-0.31578947368420851</v>
      </c>
      <c r="Q87">
        <f t="shared" ref="Q87" si="411">F87*P87</f>
        <v>-2079938.8421052499</v>
      </c>
      <c r="R87">
        <f t="shared" ref="R87" si="412">R88+Q87</f>
        <v>-585117087.61671007</v>
      </c>
      <c r="S87">
        <f t="shared" ref="S87" si="413">R87/100000</f>
        <v>-5851.1708761671007</v>
      </c>
      <c r="T87">
        <f t="shared" ref="T87" si="414">S87/1000</f>
        <v>-5.8511708761671004</v>
      </c>
    </row>
    <row r="88" spans="1:20" x14ac:dyDescent="0.25">
      <c r="A88" s="5">
        <v>44505</v>
      </c>
      <c r="B88">
        <v>0.30180000000000001</v>
      </c>
      <c r="C88">
        <v>0.30220000000000002</v>
      </c>
      <c r="D88">
        <v>0.28470000000000001</v>
      </c>
      <c r="E88">
        <v>0.28739999999999999</v>
      </c>
      <c r="F88">
        <v>11646288</v>
      </c>
      <c r="G88">
        <v>0.28739999999999999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-0.69142857142857395</v>
      </c>
      <c r="Q88">
        <f t="shared" ref="Q88" si="416">F88*P88</f>
        <v>-8052576.2742857439</v>
      </c>
      <c r="R88">
        <f t="shared" ref="R88" si="417">R89+Q88</f>
        <v>-583037148.7746048</v>
      </c>
      <c r="S88">
        <f t="shared" ref="S88" si="418">R88/100000</f>
        <v>-5830.3714877460479</v>
      </c>
      <c r="T88">
        <f t="shared" ref="T88" si="419">S88/1000</f>
        <v>-5.8303714877460475</v>
      </c>
    </row>
    <row r="89" spans="1:20" x14ac:dyDescent="0.25">
      <c r="A89" s="5">
        <v>44504</v>
      </c>
      <c r="B89">
        <v>0.28610000000000002</v>
      </c>
      <c r="C89">
        <v>0.31540000000000001</v>
      </c>
      <c r="D89">
        <v>0.2802</v>
      </c>
      <c r="E89">
        <v>0.30170000000000002</v>
      </c>
      <c r="F89">
        <v>28648452</v>
      </c>
      <c r="G89">
        <v>0.30170000000000002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0.22159090909090987</v>
      </c>
      <c r="Q89">
        <f t="shared" ref="Q89" si="421">F89*P89</f>
        <v>6348236.5227272948</v>
      </c>
      <c r="R89">
        <f t="shared" ref="R89" si="422">R90+Q89</f>
        <v>-574984572.500319</v>
      </c>
      <c r="S89">
        <f t="shared" ref="S89" si="423">R89/100000</f>
        <v>-5749.8457250031897</v>
      </c>
      <c r="T89">
        <f t="shared" ref="T89" si="424">S89/1000</f>
        <v>-5.7498457250031896</v>
      </c>
    </row>
    <row r="90" spans="1:20" x14ac:dyDescent="0.25">
      <c r="A90" s="5">
        <v>44503</v>
      </c>
      <c r="B90">
        <v>0.29380000000000001</v>
      </c>
      <c r="C90">
        <v>0.29420000000000002</v>
      </c>
      <c r="D90">
        <v>0.27229999999999999</v>
      </c>
      <c r="E90">
        <v>0.28599999999999998</v>
      </c>
      <c r="F90">
        <v>11991177</v>
      </c>
      <c r="G90">
        <v>0.28599999999999998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0.25114155251141285</v>
      </c>
      <c r="Q90">
        <f t="shared" ref="Q90" si="426">F90*P90</f>
        <v>3011482.808219146</v>
      </c>
      <c r="R90">
        <f t="shared" ref="R90" si="427">R91+Q90</f>
        <v>-581332809.02304626</v>
      </c>
      <c r="S90">
        <f t="shared" ref="S90" si="428">R90/100000</f>
        <v>-5813.3280902304623</v>
      </c>
      <c r="T90">
        <f t="shared" ref="T90" si="429">S90/1000</f>
        <v>-5.8133280902304625</v>
      </c>
    </row>
    <row r="91" spans="1:20" x14ac:dyDescent="0.25">
      <c r="A91" s="5">
        <v>44502</v>
      </c>
      <c r="B91">
        <v>0.27239999999999998</v>
      </c>
      <c r="C91">
        <v>0.29449999999999998</v>
      </c>
      <c r="D91">
        <v>0.27</v>
      </c>
      <c r="E91">
        <v>0.29349999999999998</v>
      </c>
      <c r="F91">
        <v>13845900</v>
      </c>
      <c r="G91">
        <v>0.29349999999999998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0.91836734693877531</v>
      </c>
      <c r="Q91">
        <f t="shared" ref="Q91" si="431">F91*P91</f>
        <v>12715622.448979588</v>
      </c>
      <c r="R91">
        <f t="shared" ref="R91" si="432">R92+Q91</f>
        <v>-584344291.83126545</v>
      </c>
      <c r="S91">
        <f t="shared" ref="S91" si="433">R91/100000</f>
        <v>-5843.4429183126549</v>
      </c>
      <c r="T91">
        <f t="shared" ref="T91" si="434">S91/1000</f>
        <v>-5.8434429183126548</v>
      </c>
    </row>
    <row r="92" spans="1:20" x14ac:dyDescent="0.25">
      <c r="A92" s="5">
        <v>44501</v>
      </c>
      <c r="B92">
        <v>0.27100000000000002</v>
      </c>
      <c r="C92">
        <v>0.27950000000000003</v>
      </c>
      <c r="D92">
        <v>0.2651</v>
      </c>
      <c r="E92">
        <v>0.27229999999999999</v>
      </c>
      <c r="F92">
        <v>10408225</v>
      </c>
      <c r="G92">
        <v>0.27229999999999999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-3.8549410577262316E-15</v>
      </c>
      <c r="Q92">
        <f t="shared" ref="Q92" si="436">F92*P92</f>
        <v>-4.0123093890552608E-8</v>
      </c>
      <c r="R92">
        <f t="shared" ref="R92" si="437">R93+Q92</f>
        <v>-597059914.28024507</v>
      </c>
      <c r="S92">
        <f t="shared" ref="S92" si="438">R92/100000</f>
        <v>-5970.5991428024508</v>
      </c>
      <c r="T92">
        <f t="shared" ref="T92" si="439">S92/1000</f>
        <v>-5.9705991428024507</v>
      </c>
    </row>
    <row r="93" spans="1:20" x14ac:dyDescent="0.25">
      <c r="A93" s="5">
        <v>44500</v>
      </c>
      <c r="B93">
        <v>0.26579999999999998</v>
      </c>
      <c r="C93">
        <v>0.27939999999999998</v>
      </c>
      <c r="D93">
        <v>0.2651</v>
      </c>
      <c r="E93">
        <v>0.27100000000000002</v>
      </c>
      <c r="F93">
        <v>11896887</v>
      </c>
      <c r="G93">
        <v>0.27100000000000002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-0.17482517482517135</v>
      </c>
      <c r="Q93">
        <f t="shared" ref="Q93" si="441">F93*P93</f>
        <v>-2079875.3496503083</v>
      </c>
      <c r="R93">
        <f t="shared" ref="R93" si="442">R94+Q93</f>
        <v>-597059914.28024507</v>
      </c>
      <c r="S93">
        <f t="shared" ref="S93" si="443">R93/100000</f>
        <v>-5970.5991428024508</v>
      </c>
      <c r="T93">
        <f t="shared" ref="T93" si="444">S93/1000</f>
        <v>-5.9705991428024507</v>
      </c>
    </row>
    <row r="94" spans="1:20" x14ac:dyDescent="0.25">
      <c r="A94" s="5">
        <v>44499</v>
      </c>
      <c r="B94">
        <v>0.2752</v>
      </c>
      <c r="C94">
        <v>0.27800000000000002</v>
      </c>
      <c r="D94">
        <v>0.26019999999999999</v>
      </c>
      <c r="E94">
        <v>0.26550000000000001</v>
      </c>
      <c r="F94">
        <v>8843169</v>
      </c>
      <c r="G94">
        <v>0.26550000000000001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-0.40449438202247018</v>
      </c>
      <c r="Q94">
        <f t="shared" ref="Q94" si="446">F94*P94</f>
        <v>-3577012.1797752655</v>
      </c>
      <c r="R94">
        <f t="shared" ref="R94" si="447">R95+Q94</f>
        <v>-594980038.9305948</v>
      </c>
      <c r="S94">
        <f t="shared" ref="S94" si="448">R94/100000</f>
        <v>-5949.8003893059476</v>
      </c>
      <c r="T94">
        <f t="shared" ref="T94" si="449">S94/1000</f>
        <v>-5.9498003893059472</v>
      </c>
    </row>
    <row r="95" spans="1:20" x14ac:dyDescent="0.25">
      <c r="A95" s="5">
        <v>44498</v>
      </c>
      <c r="B95">
        <v>0.26740000000000003</v>
      </c>
      <c r="C95">
        <v>0.28089999999999998</v>
      </c>
      <c r="D95">
        <v>0.26600000000000001</v>
      </c>
      <c r="E95">
        <v>0.2747</v>
      </c>
      <c r="F95">
        <v>7327616</v>
      </c>
      <c r="G95">
        <v>0.2747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0.16778523489932937</v>
      </c>
      <c r="Q95">
        <f t="shared" ref="Q95" si="451">F95*P95</f>
        <v>1229465.7718120844</v>
      </c>
      <c r="R95">
        <f t="shared" ref="R95" si="452">R96+Q95</f>
        <v>-591403026.75081956</v>
      </c>
      <c r="S95">
        <f t="shared" ref="S95" si="453">R95/100000</f>
        <v>-5914.0302675081957</v>
      </c>
      <c r="T95">
        <f t="shared" ref="T95" si="454">S95/1000</f>
        <v>-5.9140302675081955</v>
      </c>
    </row>
    <row r="96" spans="1:20" x14ac:dyDescent="0.25">
      <c r="A96" s="5">
        <v>44497</v>
      </c>
      <c r="B96">
        <v>0.26150000000000001</v>
      </c>
      <c r="C96">
        <v>0.27250000000000002</v>
      </c>
      <c r="D96">
        <v>0.2581</v>
      </c>
      <c r="E96">
        <v>0.26700000000000002</v>
      </c>
      <c r="F96">
        <v>8436411</v>
      </c>
      <c r="G96">
        <v>0.26700000000000002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0.23611111111111169</v>
      </c>
      <c r="Q96">
        <f t="shared" ref="Q96" si="456">F96*P96</f>
        <v>1991930.3750000049</v>
      </c>
      <c r="R96">
        <f t="shared" ref="R96" si="457">R97+Q96</f>
        <v>-592632492.52263165</v>
      </c>
      <c r="S96">
        <f t="shared" ref="S96" si="458">R96/100000</f>
        <v>-5926.3249252263167</v>
      </c>
      <c r="T96">
        <f t="shared" ref="T96" si="459">S96/1000</f>
        <v>-5.926324925226317</v>
      </c>
    </row>
    <row r="97" spans="1:20" x14ac:dyDescent="0.25">
      <c r="A97" s="5">
        <v>44496</v>
      </c>
      <c r="B97">
        <v>0.28949999999999998</v>
      </c>
      <c r="C97">
        <v>0.2918</v>
      </c>
      <c r="D97">
        <v>0.2601</v>
      </c>
      <c r="E97">
        <v>0.26129999999999998</v>
      </c>
      <c r="F97">
        <v>15365079</v>
      </c>
      <c r="G97">
        <v>0.26129999999999998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-0.92429022082019063</v>
      </c>
      <c r="Q97">
        <f t="shared" ref="Q97" si="461">F97*P97</f>
        <v>-14201792.261829674</v>
      </c>
      <c r="R97">
        <f t="shared" ref="R97" si="462">R98+Q97</f>
        <v>-594624422.89763165</v>
      </c>
      <c r="S97">
        <f t="shared" ref="S97" si="463">R97/100000</f>
        <v>-5946.2442289763167</v>
      </c>
      <c r="T97">
        <f t="shared" ref="T97" si="464">S97/1000</f>
        <v>-5.9462442289763171</v>
      </c>
    </row>
    <row r="98" spans="1:20" x14ac:dyDescent="0.25">
      <c r="A98" s="5">
        <v>44495</v>
      </c>
      <c r="B98">
        <v>0.29649999999999999</v>
      </c>
      <c r="C98">
        <v>0.30430000000000001</v>
      </c>
      <c r="D98">
        <v>0.2848</v>
      </c>
      <c r="E98">
        <v>0.28949999999999998</v>
      </c>
      <c r="F98">
        <v>18064083</v>
      </c>
      <c r="G98">
        <v>0.28949999999999998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-0.51794871794872022</v>
      </c>
      <c r="Q98">
        <f t="shared" ref="Q98" si="466">F98*P98</f>
        <v>-9356268.6307692714</v>
      </c>
      <c r="R98">
        <f t="shared" ref="R98" si="467">R99+Q98</f>
        <v>-580422630.63580191</v>
      </c>
      <c r="S98">
        <f t="shared" ref="S98" si="468">R98/100000</f>
        <v>-5804.2263063580194</v>
      </c>
      <c r="T98">
        <f t="shared" ref="T98" si="469">S98/1000</f>
        <v>-5.8042263063580197</v>
      </c>
    </row>
    <row r="99" spans="1:20" x14ac:dyDescent="0.25">
      <c r="A99" s="5">
        <v>44494</v>
      </c>
      <c r="B99">
        <v>0.28599999999999998</v>
      </c>
      <c r="C99">
        <v>0.29830000000000001</v>
      </c>
      <c r="D99">
        <v>0.28489999999999999</v>
      </c>
      <c r="E99">
        <v>0.29649999999999999</v>
      </c>
      <c r="F99">
        <v>5208180</v>
      </c>
      <c r="G99">
        <v>0.29649999999999999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0.73134328358208645</v>
      </c>
      <c r="Q99">
        <f t="shared" ref="Q99" si="471">F99*P99</f>
        <v>3808967.4626865508</v>
      </c>
      <c r="R99">
        <f t="shared" ref="R99" si="472">R100+Q99</f>
        <v>-571066362.00503266</v>
      </c>
      <c r="S99">
        <f t="shared" ref="S99" si="473">R99/100000</f>
        <v>-5710.6636200503262</v>
      </c>
      <c r="T99">
        <f t="shared" ref="T99" si="474">S99/1000</f>
        <v>-5.710663620050326</v>
      </c>
    </row>
    <row r="100" spans="1:20" x14ac:dyDescent="0.25">
      <c r="A100" s="5">
        <v>44493</v>
      </c>
      <c r="B100">
        <v>0.29559999999999997</v>
      </c>
      <c r="C100">
        <v>0.29799999999999999</v>
      </c>
      <c r="D100">
        <v>0.28000000000000003</v>
      </c>
      <c r="E100">
        <v>0.28599999999999998</v>
      </c>
      <c r="F100">
        <v>5563950</v>
      </c>
      <c r="G100">
        <v>0.28599999999999998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-0.33333333333333742</v>
      </c>
      <c r="Q100">
        <f t="shared" ref="Q100" si="476">F100*P100</f>
        <v>-1854650.0000000228</v>
      </c>
      <c r="R100">
        <f t="shared" ref="R100" si="477">R101+Q100</f>
        <v>-574875329.4677192</v>
      </c>
      <c r="S100">
        <f t="shared" ref="S100" si="478">R100/100000</f>
        <v>-5748.7532946771917</v>
      </c>
      <c r="T100">
        <f t="shared" ref="T100" si="479">S100/1000</f>
        <v>-5.7487532946771918</v>
      </c>
    </row>
    <row r="101" spans="1:20" x14ac:dyDescent="0.25">
      <c r="A101" s="5">
        <v>44492</v>
      </c>
      <c r="B101">
        <v>0.29799999999999999</v>
      </c>
      <c r="C101">
        <v>0.3</v>
      </c>
      <c r="D101">
        <v>0.29089999999999999</v>
      </c>
      <c r="E101">
        <v>0.29559999999999997</v>
      </c>
      <c r="F101">
        <v>5512169</v>
      </c>
      <c r="G101">
        <v>0.29559999999999997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3.2967032967029346E-2</v>
      </c>
      <c r="Q101">
        <f t="shared" ref="Q101" si="481">F101*P101</f>
        <v>181719.85714283719</v>
      </c>
      <c r="R101">
        <f t="shared" ref="R101" si="482">R102+Q101</f>
        <v>-573020679.4677192</v>
      </c>
      <c r="S101">
        <f t="shared" ref="S101" si="483">R101/100000</f>
        <v>-5730.2067946771922</v>
      </c>
      <c r="T101">
        <f t="shared" ref="T101" si="484">S101/1000</f>
        <v>-5.7302067946771924</v>
      </c>
    </row>
    <row r="102" spans="1:20" x14ac:dyDescent="0.25">
      <c r="A102" s="5">
        <v>44491</v>
      </c>
      <c r="B102">
        <v>0.29659999999999997</v>
      </c>
      <c r="C102">
        <v>0.30309999999999998</v>
      </c>
      <c r="D102">
        <v>0.29199999999999998</v>
      </c>
      <c r="E102">
        <v>0.29799999999999999</v>
      </c>
      <c r="F102">
        <v>7786084</v>
      </c>
      <c r="G102">
        <v>0.29799999999999999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8.1081081081082168E-2</v>
      </c>
      <c r="Q102">
        <f t="shared" ref="Q102" si="486">F102*P102</f>
        <v>631304.10810811655</v>
      </c>
      <c r="R102">
        <f t="shared" ref="R102" si="487">R103+Q102</f>
        <v>-573202399.324862</v>
      </c>
      <c r="S102">
        <f t="shared" ref="S102" si="488">R102/100000</f>
        <v>-5732.0239932486202</v>
      </c>
      <c r="T102">
        <f t="shared" ref="T102" si="489">S102/1000</f>
        <v>-5.7320239932486201</v>
      </c>
    </row>
    <row r="103" spans="1:20" x14ac:dyDescent="0.25">
      <c r="A103" s="5">
        <v>44490</v>
      </c>
      <c r="B103">
        <v>0.31680000000000003</v>
      </c>
      <c r="C103">
        <v>0.32019999999999998</v>
      </c>
      <c r="D103">
        <v>0.2898</v>
      </c>
      <c r="E103">
        <v>0.29709999999999998</v>
      </c>
      <c r="F103">
        <v>18060412</v>
      </c>
      <c r="G103">
        <v>0.29709999999999998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-0.51973684210526461</v>
      </c>
      <c r="Q103">
        <f t="shared" ref="Q103" si="491">F103*P103</f>
        <v>-9386661.5000000261</v>
      </c>
      <c r="R103">
        <f t="shared" ref="R103" si="492">R104+Q103</f>
        <v>-573833703.43297017</v>
      </c>
      <c r="S103">
        <f t="shared" ref="S103" si="493">R103/100000</f>
        <v>-5738.337034329702</v>
      </c>
      <c r="T103">
        <f t="shared" ref="T103" si="494">S103/1000</f>
        <v>-5.7383370343297022</v>
      </c>
    </row>
    <row r="104" spans="1:20" x14ac:dyDescent="0.25">
      <c r="A104" s="5">
        <v>44489</v>
      </c>
      <c r="B104">
        <v>0.30780000000000002</v>
      </c>
      <c r="C104">
        <v>0.32</v>
      </c>
      <c r="D104">
        <v>0.30199999999999999</v>
      </c>
      <c r="E104">
        <v>0.31669999999999998</v>
      </c>
      <c r="F104">
        <v>9004249</v>
      </c>
      <c r="G104">
        <v>0.31669999999999998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0.63333333333333086</v>
      </c>
      <c r="Q104">
        <f t="shared" ref="Q104" si="496">F104*P104</f>
        <v>5702691.0333333109</v>
      </c>
      <c r="R104">
        <f t="shared" ref="R104" si="497">R105+Q104</f>
        <v>-564447041.93297017</v>
      </c>
      <c r="S104">
        <f t="shared" ref="S104" si="498">R104/100000</f>
        <v>-5644.4704193297021</v>
      </c>
      <c r="T104">
        <f t="shared" ref="T104" si="499">S104/1000</f>
        <v>-5.6444704193297017</v>
      </c>
    </row>
    <row r="105" spans="1:20" x14ac:dyDescent="0.25">
      <c r="A105" s="5">
        <v>44488</v>
      </c>
      <c r="B105">
        <v>0.31840000000000002</v>
      </c>
      <c r="C105">
        <v>0.33360000000000001</v>
      </c>
      <c r="D105">
        <v>0.30299999999999999</v>
      </c>
      <c r="E105">
        <v>0.30740000000000001</v>
      </c>
      <c r="F105">
        <v>11348659</v>
      </c>
      <c r="G105">
        <v>0.30740000000000001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-0.71241830065359391</v>
      </c>
      <c r="Q105">
        <f t="shared" ref="Q105" si="501">F105*P105</f>
        <v>-8084992.3594771139</v>
      </c>
      <c r="R105">
        <f t="shared" ref="R105" si="502">R106+Q105</f>
        <v>-570149732.96630347</v>
      </c>
      <c r="S105">
        <f t="shared" ref="S105" si="503">R105/100000</f>
        <v>-5701.4973296630351</v>
      </c>
      <c r="T105">
        <f t="shared" ref="T105" si="504">S105/1000</f>
        <v>-5.7014973296630354</v>
      </c>
    </row>
    <row r="106" spans="1:20" x14ac:dyDescent="0.25">
      <c r="A106" s="5">
        <v>44487</v>
      </c>
      <c r="B106">
        <v>0.30840000000000001</v>
      </c>
      <c r="C106">
        <v>0.3422</v>
      </c>
      <c r="D106">
        <v>0.29299999999999998</v>
      </c>
      <c r="E106">
        <v>0.31950000000000001</v>
      </c>
      <c r="F106">
        <v>35399041</v>
      </c>
      <c r="G106">
        <v>0.31950000000000001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7.7235772357724067E-2</v>
      </c>
      <c r="Q106">
        <f t="shared" ref="Q106" si="506">F106*P106</f>
        <v>2734072.2723577409</v>
      </c>
      <c r="R106">
        <f t="shared" ref="R106" si="507">R107+Q106</f>
        <v>-562064740.60682631</v>
      </c>
      <c r="S106">
        <f t="shared" ref="S106" si="508">R106/100000</f>
        <v>-5620.6474060682631</v>
      </c>
      <c r="T106">
        <f t="shared" ref="T106" si="509">S106/1000</f>
        <v>-5.6206474060682634</v>
      </c>
    </row>
    <row r="107" spans="1:20" x14ac:dyDescent="0.25">
      <c r="A107" s="5">
        <v>44486</v>
      </c>
      <c r="B107">
        <v>0.33500000000000002</v>
      </c>
      <c r="C107">
        <v>0.33650000000000002</v>
      </c>
      <c r="D107">
        <v>0.29709999999999998</v>
      </c>
      <c r="E107">
        <v>0.30890000000000001</v>
      </c>
      <c r="F107">
        <v>29279152</v>
      </c>
      <c r="G107">
        <v>0.30890000000000001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-0.40101522842639498</v>
      </c>
      <c r="Q107">
        <f t="shared" ref="Q107" si="511">F107*P107</f>
        <v>-11741385.827411139</v>
      </c>
      <c r="R107">
        <f t="shared" ref="R107" si="512">R108+Q107</f>
        <v>-564798812.87918401</v>
      </c>
      <c r="S107">
        <f t="shared" ref="S107" si="513">R107/100000</f>
        <v>-5647.9881287918397</v>
      </c>
      <c r="T107">
        <f t="shared" ref="T107" si="514">S107/1000</f>
        <v>-5.6479881287918401</v>
      </c>
    </row>
    <row r="108" spans="1:20" x14ac:dyDescent="0.25">
      <c r="A108" s="5">
        <v>44485</v>
      </c>
      <c r="B108">
        <v>0.30049999999999999</v>
      </c>
      <c r="C108">
        <v>0.36499999999999999</v>
      </c>
      <c r="D108">
        <v>0.29199999999999998</v>
      </c>
      <c r="E108">
        <v>0.33429999999999999</v>
      </c>
      <c r="F108">
        <v>66548208</v>
      </c>
      <c r="G108">
        <v>0.33429999999999999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0.15890410958904105</v>
      </c>
      <c r="Q108">
        <f t="shared" ref="Q108" si="516">F108*P108</f>
        <v>10574783.736986298</v>
      </c>
      <c r="R108">
        <f t="shared" ref="R108" si="517">R109+Q108</f>
        <v>-553057427.05177283</v>
      </c>
      <c r="S108">
        <f t="shared" ref="S108" si="518">R108/100000</f>
        <v>-5530.5742705177281</v>
      </c>
      <c r="T108">
        <f t="shared" ref="T108" si="519">S108/1000</f>
        <v>-5.5305742705177279</v>
      </c>
    </row>
    <row r="109" spans="1:20" x14ac:dyDescent="0.25">
      <c r="A109" s="5">
        <v>44484</v>
      </c>
      <c r="B109">
        <v>0.27810000000000001</v>
      </c>
      <c r="C109">
        <v>0.315</v>
      </c>
      <c r="D109">
        <v>0.26960000000000001</v>
      </c>
      <c r="E109">
        <v>0.30049999999999999</v>
      </c>
      <c r="F109">
        <v>34499116</v>
      </c>
      <c r="G109">
        <v>0.30049999999999999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0.36123348017621082</v>
      </c>
      <c r="Q109">
        <f t="shared" ref="Q109" si="521">F109*P109</f>
        <v>12462235.735682797</v>
      </c>
      <c r="R109">
        <f t="shared" ref="R109" si="522">R110+Q109</f>
        <v>-563632210.78875911</v>
      </c>
      <c r="S109">
        <f t="shared" ref="S109" si="523">R109/100000</f>
        <v>-5636.3221078875913</v>
      </c>
      <c r="T109">
        <f t="shared" ref="T109" si="524">S109/1000</f>
        <v>-5.6363221078875911</v>
      </c>
    </row>
    <row r="110" spans="1:20" x14ac:dyDescent="0.25">
      <c r="A110" s="5">
        <v>44483</v>
      </c>
      <c r="B110">
        <v>0.27329999999999999</v>
      </c>
      <c r="C110">
        <v>0.29499999999999998</v>
      </c>
      <c r="D110">
        <v>0.27100000000000002</v>
      </c>
      <c r="E110">
        <v>0.27810000000000001</v>
      </c>
      <c r="F110">
        <v>10388507</v>
      </c>
      <c r="G110">
        <v>0.27810000000000001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-0.40833333333333288</v>
      </c>
      <c r="Q110">
        <f t="shared" ref="Q110" si="526">F110*P110</f>
        <v>-4241973.6916666618</v>
      </c>
      <c r="R110">
        <f t="shared" ref="R110" si="527">R111+Q110</f>
        <v>-576094446.52444196</v>
      </c>
      <c r="S110">
        <f t="shared" ref="S110" si="528">R110/100000</f>
        <v>-5760.9444652444199</v>
      </c>
      <c r="T110">
        <f t="shared" ref="T110" si="529">S110/1000</f>
        <v>-5.7609444652444202</v>
      </c>
    </row>
    <row r="111" spans="1:20" x14ac:dyDescent="0.25">
      <c r="A111" s="5">
        <v>44482</v>
      </c>
      <c r="B111">
        <v>0.27310000000000001</v>
      </c>
      <c r="C111">
        <v>0.28100000000000003</v>
      </c>
      <c r="D111">
        <v>0.2581</v>
      </c>
      <c r="E111">
        <v>0.27329999999999999</v>
      </c>
      <c r="F111">
        <v>14764887</v>
      </c>
      <c r="G111">
        <v>0.27329999999999999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0.32751091703056512</v>
      </c>
      <c r="Q111">
        <f t="shared" ref="Q111" si="531">F111*P111</f>
        <v>4835661.6812226698</v>
      </c>
      <c r="R111">
        <f t="shared" ref="R111" si="532">R112+Q111</f>
        <v>-571852472.83277535</v>
      </c>
      <c r="S111">
        <f t="shared" ref="S111" si="533">R111/100000</f>
        <v>-5718.5247283277531</v>
      </c>
      <c r="T111">
        <f t="shared" ref="T111" si="534">S111/1000</f>
        <v>-5.7185247283277532</v>
      </c>
    </row>
    <row r="112" spans="1:20" x14ac:dyDescent="0.25">
      <c r="A112" s="5">
        <v>44481</v>
      </c>
      <c r="B112">
        <v>0.28510000000000002</v>
      </c>
      <c r="C112">
        <v>0.28510000000000002</v>
      </c>
      <c r="D112">
        <v>0.26269999999999999</v>
      </c>
      <c r="E112">
        <v>0.27279999999999999</v>
      </c>
      <c r="F112">
        <v>7133429</v>
      </c>
      <c r="G112">
        <v>0.27279999999999999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-9.8214285714287156E-2</v>
      </c>
      <c r="Q112">
        <f t="shared" ref="Q112" si="536">F112*P112</f>
        <v>-700604.63392858172</v>
      </c>
      <c r="R112">
        <f t="shared" ref="R112" si="537">R113+Q112</f>
        <v>-576688134.51399803</v>
      </c>
      <c r="S112">
        <f t="shared" ref="S112" si="538">R112/100000</f>
        <v>-5766.8813451399801</v>
      </c>
      <c r="T112">
        <f t="shared" ref="T112" si="539">S112/1000</f>
        <v>-5.7668813451399803</v>
      </c>
    </row>
    <row r="113" spans="1:20" x14ac:dyDescent="0.25">
      <c r="A113" s="5">
        <v>44480</v>
      </c>
      <c r="B113">
        <v>0.29289999999999999</v>
      </c>
      <c r="C113">
        <v>0.3175</v>
      </c>
      <c r="D113">
        <v>0.28170000000000001</v>
      </c>
      <c r="E113">
        <v>0.28489999999999999</v>
      </c>
      <c r="F113">
        <v>19704922</v>
      </c>
      <c r="G113">
        <v>0.28489999999999999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-0.82122905027933069</v>
      </c>
      <c r="Q113">
        <f t="shared" ref="Q113" si="541">F113*P113</f>
        <v>-16182254.379888289</v>
      </c>
      <c r="R113">
        <f t="shared" ref="R113" si="542">R114+Q113</f>
        <v>-575987529.88006949</v>
      </c>
      <c r="S113">
        <f t="shared" ref="S113" si="543">R113/100000</f>
        <v>-5759.8752988006945</v>
      </c>
      <c r="T113">
        <f t="shared" ref="T113" si="544">S113/1000</f>
        <v>-5.7598752988006945</v>
      </c>
    </row>
    <row r="114" spans="1:20" x14ac:dyDescent="0.25">
      <c r="A114" s="5">
        <v>44479</v>
      </c>
      <c r="B114">
        <v>0.31580000000000003</v>
      </c>
      <c r="C114">
        <v>0.31990000000000002</v>
      </c>
      <c r="D114">
        <v>0.29120000000000001</v>
      </c>
      <c r="E114">
        <v>0.29289999999999999</v>
      </c>
      <c r="F114">
        <v>11262768</v>
      </c>
      <c r="G114">
        <v>0.29289999999999999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-0.88153310104529758</v>
      </c>
      <c r="Q114">
        <f t="shared" ref="Q114" si="546">F114*P114</f>
        <v>-9928502.8013937436</v>
      </c>
      <c r="R114">
        <f t="shared" ref="R114" si="547">R115+Q114</f>
        <v>-559805275.5001812</v>
      </c>
      <c r="S114">
        <f t="shared" ref="S114" si="548">R114/100000</f>
        <v>-5598.0527550018123</v>
      </c>
      <c r="T114">
        <f t="shared" ref="T114" si="549">S114/1000</f>
        <v>-5.5980527550018122</v>
      </c>
    </row>
    <row r="115" spans="1:20" x14ac:dyDescent="0.25">
      <c r="A115" s="5">
        <v>44478</v>
      </c>
      <c r="B115">
        <v>0.2984</v>
      </c>
      <c r="C115">
        <v>0.318</v>
      </c>
      <c r="D115">
        <v>0.29449999999999998</v>
      </c>
      <c r="E115">
        <v>0.31580000000000003</v>
      </c>
      <c r="F115">
        <v>11312072</v>
      </c>
      <c r="G115">
        <v>0.31580000000000003</v>
      </c>
      <c r="L115" t="s">
        <v>8</v>
      </c>
      <c r="M115" t="s">
        <v>7</v>
      </c>
      <c r="N115" t="s">
        <v>8</v>
      </c>
      <c r="P115">
        <f t="shared" ref="P115" si="550">IF(C115=D115,0,((E115-D115)-(C115-E115))/(C115-D115))</f>
        <v>0.81276595744681035</v>
      </c>
      <c r="Q115">
        <f t="shared" ref="Q115" si="551">F115*P115</f>
        <v>9194067.0297872555</v>
      </c>
      <c r="R115">
        <f t="shared" ref="R115" si="552">R116+Q115</f>
        <v>-549876772.69878745</v>
      </c>
      <c r="S115">
        <f t="shared" ref="S115" si="553">R115/100000</f>
        <v>-5498.7677269878741</v>
      </c>
      <c r="T115">
        <f t="shared" ref="T115" si="554">S115/1000</f>
        <v>-5.4987677269878743</v>
      </c>
    </row>
    <row r="116" spans="1:20" x14ac:dyDescent="0.25">
      <c r="A116" s="5">
        <v>44477</v>
      </c>
      <c r="B116">
        <v>0.30470000000000003</v>
      </c>
      <c r="C116">
        <v>0.31019999999999998</v>
      </c>
      <c r="D116">
        <v>0.2964</v>
      </c>
      <c r="E116">
        <v>0.29899999999999999</v>
      </c>
      <c r="F116">
        <v>10133616</v>
      </c>
      <c r="G116">
        <v>0.29899999999999999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-0.62318840579710211</v>
      </c>
      <c r="Q116">
        <f t="shared" ref="Q116" si="556">F116*P116</f>
        <v>-6315152.0000000065</v>
      </c>
      <c r="R116">
        <f t="shared" ref="R116" si="557">R117+Q116</f>
        <v>-559070839.72857475</v>
      </c>
      <c r="S116">
        <f t="shared" ref="S116" si="558">R116/100000</f>
        <v>-5590.7083972857472</v>
      </c>
      <c r="T116">
        <f t="shared" ref="T116" si="559">S116/1000</f>
        <v>-5.5907083972857468</v>
      </c>
    </row>
    <row r="117" spans="1:20" x14ac:dyDescent="0.25">
      <c r="A117" s="5">
        <v>44476</v>
      </c>
      <c r="B117">
        <v>0.29730000000000001</v>
      </c>
      <c r="C117">
        <v>0.34499999999999997</v>
      </c>
      <c r="D117">
        <v>0.29120000000000001</v>
      </c>
      <c r="E117">
        <v>0.3044</v>
      </c>
      <c r="F117">
        <v>29804014</v>
      </c>
      <c r="G117">
        <v>0.3044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-0.50929368029739774</v>
      </c>
      <c r="Q117">
        <f t="shared" ref="Q117" si="561">F117*P117</f>
        <v>-15178995.977695167</v>
      </c>
      <c r="R117">
        <f t="shared" ref="R117" si="562">R118+Q117</f>
        <v>-552755687.72857475</v>
      </c>
      <c r="S117">
        <f t="shared" ref="S117" si="563">R117/100000</f>
        <v>-5527.5568772857478</v>
      </c>
      <c r="T117">
        <f t="shared" ref="T117" si="564">S117/1000</f>
        <v>-5.5275568772857477</v>
      </c>
    </row>
    <row r="118" spans="1:20" x14ac:dyDescent="0.25">
      <c r="A118" s="5">
        <v>44475</v>
      </c>
      <c r="B118">
        <v>0.31040000000000001</v>
      </c>
      <c r="C118">
        <v>0.31240000000000001</v>
      </c>
      <c r="D118">
        <v>0.28149999999999997</v>
      </c>
      <c r="E118">
        <v>0.29709999999999998</v>
      </c>
      <c r="F118">
        <v>10627689</v>
      </c>
      <c r="G118">
        <v>0.29709999999999998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9.7087378640765883E-3</v>
      </c>
      <c r="Q118">
        <f t="shared" ref="Q118" si="566">F118*P118</f>
        <v>103181.44660193025</v>
      </c>
      <c r="R118">
        <f t="shared" ref="R118" si="567">R119+Q118</f>
        <v>-537576691.75087965</v>
      </c>
      <c r="S118">
        <f t="shared" ref="S118" si="568">R118/100000</f>
        <v>-5375.7669175087967</v>
      </c>
      <c r="T118">
        <f t="shared" ref="T118" si="569">S118/1000</f>
        <v>-5.3757669175087965</v>
      </c>
    </row>
    <row r="119" spans="1:20" x14ac:dyDescent="0.25">
      <c r="A119" s="5">
        <v>44474</v>
      </c>
      <c r="B119">
        <v>0.29559999999999997</v>
      </c>
      <c r="C119">
        <v>0.31859999999999999</v>
      </c>
      <c r="D119">
        <v>0.29549999999999998</v>
      </c>
      <c r="E119">
        <v>0.31019999999999998</v>
      </c>
      <c r="F119">
        <v>11468232</v>
      </c>
      <c r="G119">
        <v>0.31019999999999998</v>
      </c>
      <c r="L119" t="s">
        <v>8</v>
      </c>
      <c r="M119" t="s">
        <v>7</v>
      </c>
      <c r="N119" t="s">
        <v>8</v>
      </c>
      <c r="P119">
        <f t="shared" ref="P119" si="570">IF(C119=D119,0,((E119-D119)-(C119-E119))/(C119-D119))</f>
        <v>0.27272727272727143</v>
      </c>
      <c r="Q119">
        <f t="shared" ref="Q119" si="571">F119*P119</f>
        <v>3127699.6363636213</v>
      </c>
      <c r="R119">
        <f t="shared" ref="R119" si="572">R120+Q119</f>
        <v>-537679873.19748163</v>
      </c>
      <c r="S119">
        <f t="shared" ref="S119" si="573">R119/100000</f>
        <v>-5376.7987319748163</v>
      </c>
      <c r="T119">
        <f t="shared" ref="T119" si="574">S119/1000</f>
        <v>-5.3767987319748167</v>
      </c>
    </row>
    <row r="120" spans="1:20" x14ac:dyDescent="0.25">
      <c r="A120" s="5">
        <v>44473</v>
      </c>
      <c r="B120">
        <v>0.30230000000000001</v>
      </c>
      <c r="C120">
        <v>0.30659999999999998</v>
      </c>
      <c r="D120">
        <v>0.28689999999999999</v>
      </c>
      <c r="E120">
        <v>0.29609999999999997</v>
      </c>
      <c r="F120">
        <v>12383721</v>
      </c>
      <c r="G120">
        <v>0.29609999999999997</v>
      </c>
      <c r="L120" t="s">
        <v>7</v>
      </c>
      <c r="M120" t="s">
        <v>7</v>
      </c>
      <c r="N120" t="s">
        <v>8</v>
      </c>
      <c r="P120">
        <f t="shared" ref="P120" si="575">IF(C120=D120,0,((E120-D120)-(C120-E120))/(C120-D120))</f>
        <v>-6.5989847715737238E-2</v>
      </c>
      <c r="Q120">
        <f t="shared" ref="Q120" si="576">F120*P120</f>
        <v>-817199.86294417724</v>
      </c>
      <c r="R120">
        <f t="shared" ref="R120" si="577">R121+Q120</f>
        <v>-540807572.83384526</v>
      </c>
      <c r="S120">
        <f t="shared" ref="S120" si="578">R120/100000</f>
        <v>-5408.0757283384528</v>
      </c>
      <c r="T120">
        <f t="shared" ref="T120" si="579">S120/1000</f>
        <v>-5.4080757283384528</v>
      </c>
    </row>
    <row r="121" spans="1:20" x14ac:dyDescent="0.25">
      <c r="A121" s="5">
        <v>44472</v>
      </c>
      <c r="B121">
        <v>0.31</v>
      </c>
      <c r="C121">
        <v>0.31190000000000001</v>
      </c>
      <c r="D121">
        <v>0.29749999999999999</v>
      </c>
      <c r="E121">
        <v>0.30230000000000001</v>
      </c>
      <c r="F121">
        <v>7863203</v>
      </c>
      <c r="G121">
        <v>0.30230000000000001</v>
      </c>
      <c r="L121" t="s">
        <v>7</v>
      </c>
      <c r="M121" t="s">
        <v>7</v>
      </c>
      <c r="N121" t="s">
        <v>8</v>
      </c>
      <c r="P121">
        <f t="shared" ref="P121" si="580">IF(C121=D121,0,((E121-D121)-(C121-E121))/(C121-D121))</f>
        <v>-0.33333333333333076</v>
      </c>
      <c r="Q121">
        <f t="shared" ref="Q121" si="581">F121*P121</f>
        <v>-2621067.6666666465</v>
      </c>
      <c r="R121">
        <f t="shared" ref="R121" si="582">R122+Q121</f>
        <v>-539990372.97090113</v>
      </c>
      <c r="S121">
        <f t="shared" ref="S121" si="583">R121/100000</f>
        <v>-5399.9037297090117</v>
      </c>
      <c r="T121">
        <f t="shared" ref="T121" si="584">S121/1000</f>
        <v>-5.3999037297090116</v>
      </c>
    </row>
    <row r="122" spans="1:20" x14ac:dyDescent="0.25">
      <c r="A122" s="5">
        <v>44471</v>
      </c>
      <c r="B122">
        <v>0.31780000000000003</v>
      </c>
      <c r="C122">
        <v>0.32150000000000001</v>
      </c>
      <c r="D122">
        <v>0.30780000000000002</v>
      </c>
      <c r="E122">
        <v>0.31</v>
      </c>
      <c r="F122">
        <v>12444743</v>
      </c>
      <c r="G122">
        <v>0.31</v>
      </c>
      <c r="L122" t="s">
        <v>7</v>
      </c>
      <c r="M122" t="s">
        <v>7</v>
      </c>
      <c r="N122" t="s">
        <v>8</v>
      </c>
      <c r="P122">
        <f t="shared" ref="P122" si="585">IF(C122=D122,0,((E122-D122)-(C122-E122))/(C122-D122))</f>
        <v>-0.67883211678832389</v>
      </c>
      <c r="Q122">
        <f t="shared" ref="Q122" si="586">F122*P122</f>
        <v>-8447891.2335766759</v>
      </c>
      <c r="R122">
        <f t="shared" ref="R122" si="587">R123+Q122</f>
        <v>-537369305.3042345</v>
      </c>
      <c r="S122">
        <f t="shared" ref="S122" si="588">R122/100000</f>
        <v>-5373.6930530423451</v>
      </c>
      <c r="T122">
        <f t="shared" ref="T122" si="589">S122/1000</f>
        <v>-5.373693053042345</v>
      </c>
    </row>
    <row r="123" spans="1:20" x14ac:dyDescent="0.25">
      <c r="A123" s="5">
        <v>44470</v>
      </c>
      <c r="B123">
        <v>0.27239999999999998</v>
      </c>
      <c r="C123">
        <v>0.36</v>
      </c>
      <c r="D123">
        <v>0.27210000000000001</v>
      </c>
      <c r="E123">
        <v>0.31830000000000003</v>
      </c>
      <c r="F123">
        <v>62792589</v>
      </c>
      <c r="G123">
        <v>0.31830000000000003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5.119453924914745E-2</v>
      </c>
      <c r="Q123">
        <f t="shared" ref="Q123" si="591">F123*P123</f>
        <v>3214637.6621160842</v>
      </c>
      <c r="R123">
        <f t="shared" ref="R123" si="592">R124+Q123</f>
        <v>-528921414.07065779</v>
      </c>
      <c r="S123">
        <f t="shared" ref="S123" si="593">R123/100000</f>
        <v>-5289.2141407065783</v>
      </c>
      <c r="T123">
        <f t="shared" ref="T123" si="594">S123/1000</f>
        <v>-5.2892141407065782</v>
      </c>
    </row>
    <row r="124" spans="1:20" x14ac:dyDescent="0.25">
      <c r="A124" s="5">
        <v>44469</v>
      </c>
      <c r="B124">
        <v>0.25230000000000002</v>
      </c>
      <c r="C124">
        <v>0.28789999999999999</v>
      </c>
      <c r="D124">
        <v>0.251</v>
      </c>
      <c r="E124">
        <v>0.27250000000000002</v>
      </c>
      <c r="F124">
        <v>9341976</v>
      </c>
      <c r="G124">
        <v>0.27250000000000002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0.16531165311653256</v>
      </c>
      <c r="Q124">
        <f t="shared" ref="Q124" si="596">F124*P124</f>
        <v>1544337.4959349723</v>
      </c>
      <c r="R124">
        <f t="shared" ref="R124" si="597">R125+Q124</f>
        <v>-532136051.7327739</v>
      </c>
      <c r="S124">
        <f t="shared" ref="S124" si="598">R124/100000</f>
        <v>-5321.3605173277392</v>
      </c>
      <c r="T124">
        <f t="shared" ref="T124" si="599">S124/1000</f>
        <v>-5.3213605173277392</v>
      </c>
    </row>
    <row r="125" spans="1:20" x14ac:dyDescent="0.25">
      <c r="A125" s="5">
        <v>44468</v>
      </c>
      <c r="B125">
        <v>0.25800000000000001</v>
      </c>
      <c r="C125">
        <v>0.27850000000000003</v>
      </c>
      <c r="D125">
        <v>0.24890000000000001</v>
      </c>
      <c r="E125">
        <v>0.25209999999999999</v>
      </c>
      <c r="F125">
        <v>12938172</v>
      </c>
      <c r="G125">
        <v>0.25209999999999999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-0.78378378378378522</v>
      </c>
      <c r="Q125">
        <f t="shared" ref="Q125" si="601">F125*P125</f>
        <v>-10140729.405405425</v>
      </c>
      <c r="R125">
        <f t="shared" ref="R125" si="602">R126+Q125</f>
        <v>-533680389.22870886</v>
      </c>
      <c r="S125">
        <f t="shared" ref="S125" si="603">R125/100000</f>
        <v>-5336.8038922870883</v>
      </c>
      <c r="T125">
        <f t="shared" ref="T125" si="604">S125/1000</f>
        <v>-5.3368038922870884</v>
      </c>
    </row>
    <row r="126" spans="1:20" x14ac:dyDescent="0.25">
      <c r="A126" s="5">
        <v>44467</v>
      </c>
      <c r="B126">
        <v>0.27900000000000003</v>
      </c>
      <c r="C126">
        <v>0.28000000000000003</v>
      </c>
      <c r="D126">
        <v>0.2571</v>
      </c>
      <c r="E126">
        <v>0.25819999999999999</v>
      </c>
      <c r="F126">
        <v>10495764</v>
      </c>
      <c r="G126">
        <v>0.25819999999999999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-0.90393013100436781</v>
      </c>
      <c r="Q126">
        <f t="shared" ref="Q126" si="606">F126*P126</f>
        <v>-9487437.3275109269</v>
      </c>
      <c r="R126">
        <f t="shared" ref="R126" si="607">R127+Q126</f>
        <v>-523539659.82330346</v>
      </c>
      <c r="S126">
        <f t="shared" ref="S126" si="608">R126/100000</f>
        <v>-5235.3965982330346</v>
      </c>
      <c r="T126">
        <f t="shared" ref="T126" si="609">S126/1000</f>
        <v>-5.2353965982330344</v>
      </c>
    </row>
    <row r="127" spans="1:20" x14ac:dyDescent="0.25">
      <c r="A127" s="5">
        <v>44466</v>
      </c>
      <c r="B127">
        <v>0.27310000000000001</v>
      </c>
      <c r="C127">
        <v>0.31759999999999999</v>
      </c>
      <c r="D127">
        <v>0.27050000000000002</v>
      </c>
      <c r="E127">
        <v>0.27850000000000003</v>
      </c>
      <c r="F127">
        <v>15471493</v>
      </c>
      <c r="G127">
        <v>0.27850000000000003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-0.66029723991507383</v>
      </c>
      <c r="Q127">
        <f t="shared" ref="Q127" si="611">F127*P127</f>
        <v>-10215784.125265386</v>
      </c>
      <c r="R127">
        <f t="shared" ref="R127" si="612">R128+Q127</f>
        <v>-514052222.49579251</v>
      </c>
      <c r="S127">
        <f t="shared" ref="S127" si="613">R127/100000</f>
        <v>-5140.5222249579247</v>
      </c>
      <c r="T127">
        <f t="shared" ref="T127" si="614">S127/1000</f>
        <v>-5.140522224957925</v>
      </c>
    </row>
    <row r="128" spans="1:20" x14ac:dyDescent="0.25">
      <c r="A128" s="5">
        <v>44465</v>
      </c>
      <c r="B128">
        <v>0.27410000000000001</v>
      </c>
      <c r="C128">
        <v>0.28260000000000002</v>
      </c>
      <c r="D128">
        <v>0.247</v>
      </c>
      <c r="E128">
        <v>0.27300000000000002</v>
      </c>
      <c r="F128">
        <v>11172130.98</v>
      </c>
      <c r="G128">
        <v>0.27300000000000002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0.46067415730337125</v>
      </c>
      <c r="Q128">
        <f t="shared" ref="Q128" si="616">F128*P128</f>
        <v>5146712.0244943872</v>
      </c>
      <c r="R128">
        <f t="shared" ref="R128" si="617">R129+Q128</f>
        <v>-503836438.37052715</v>
      </c>
      <c r="S128">
        <f t="shared" ref="S128" si="618">R128/100000</f>
        <v>-5038.3643837052714</v>
      </c>
      <c r="T128">
        <f t="shared" ref="T128" si="619">S128/1000</f>
        <v>-5.0383643837052716</v>
      </c>
    </row>
    <row r="129" spans="1:20" x14ac:dyDescent="0.25">
      <c r="A129" s="5">
        <v>44464</v>
      </c>
      <c r="B129">
        <v>0.27750000000000002</v>
      </c>
      <c r="C129">
        <v>0.29849999999999999</v>
      </c>
      <c r="D129">
        <v>0.27110000000000001</v>
      </c>
      <c r="E129">
        <v>0.27410000000000001</v>
      </c>
      <c r="F129">
        <v>8991515</v>
      </c>
      <c r="G129">
        <v>0.27410000000000001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-0.78102189781021858</v>
      </c>
      <c r="Q129">
        <f t="shared" ref="Q129" si="621">F129*P129</f>
        <v>-7022570.1094890479</v>
      </c>
      <c r="R129">
        <f t="shared" ref="R129" si="622">R130+Q129</f>
        <v>-508983150.39502156</v>
      </c>
      <c r="S129">
        <f t="shared" ref="S129" si="623">R129/100000</f>
        <v>-5089.8315039502158</v>
      </c>
      <c r="T129">
        <f t="shared" ref="T129" si="624">S129/1000</f>
        <v>-5.089831503950216</v>
      </c>
    </row>
    <row r="130" spans="1:20" x14ac:dyDescent="0.25">
      <c r="A130" s="5">
        <v>44463</v>
      </c>
      <c r="B130">
        <v>0.30159999999999998</v>
      </c>
      <c r="C130">
        <v>0.30299999999999999</v>
      </c>
      <c r="D130">
        <v>0.2621</v>
      </c>
      <c r="E130">
        <v>0.27710000000000001</v>
      </c>
      <c r="F130">
        <v>9636415</v>
      </c>
      <c r="G130">
        <v>0.27710000000000001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-0.26650366748166182</v>
      </c>
      <c r="Q130">
        <f t="shared" ref="Q130" si="626">F130*P130</f>
        <v>-2568139.938875298</v>
      </c>
      <c r="R130">
        <f t="shared" ref="R130" si="627">R131+Q130</f>
        <v>-501960580.28553253</v>
      </c>
      <c r="S130">
        <f t="shared" ref="S130" si="628">R130/100000</f>
        <v>-5019.6058028553252</v>
      </c>
      <c r="T130">
        <f t="shared" ref="T130" si="629">S130/1000</f>
        <v>-5.0196058028553256</v>
      </c>
    </row>
    <row r="131" spans="1:20" x14ac:dyDescent="0.25">
      <c r="A131" s="5">
        <v>44462</v>
      </c>
      <c r="B131">
        <v>0.308</v>
      </c>
      <c r="C131">
        <v>0.31979999999999997</v>
      </c>
      <c r="D131">
        <v>0.28120000000000001</v>
      </c>
      <c r="E131">
        <v>0.30159999999999998</v>
      </c>
      <c r="F131">
        <v>8299698</v>
      </c>
      <c r="G131">
        <v>0.30159999999999998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5.6994818652849263E-2</v>
      </c>
      <c r="Q131">
        <f t="shared" ref="Q131" si="631">F131*P131</f>
        <v>473039.78238341573</v>
      </c>
      <c r="R131">
        <f t="shared" ref="R131" si="632">R132+Q131</f>
        <v>-499392440.34665722</v>
      </c>
      <c r="S131">
        <f t="shared" ref="S131" si="633">R131/100000</f>
        <v>-4993.9244034665726</v>
      </c>
      <c r="T131">
        <f t="shared" ref="T131" si="634">S131/1000</f>
        <v>-4.9939244034665728</v>
      </c>
    </row>
    <row r="132" spans="1:20" x14ac:dyDescent="0.25">
      <c r="A132" s="5">
        <v>44461</v>
      </c>
      <c r="B132">
        <v>0.26500000000000001</v>
      </c>
      <c r="C132">
        <v>0.31309999999999999</v>
      </c>
      <c r="D132">
        <v>0.26</v>
      </c>
      <c r="E132">
        <v>0.30809999999999998</v>
      </c>
      <c r="F132">
        <v>17149157</v>
      </c>
      <c r="G132">
        <v>0.30809999999999998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0.81167608286252335</v>
      </c>
      <c r="Q132">
        <f t="shared" ref="Q132" si="636">F132*P132</f>
        <v>13919560.578154422</v>
      </c>
      <c r="R132">
        <f t="shared" ref="R132" si="637">R133+Q132</f>
        <v>-499865480.12904066</v>
      </c>
      <c r="S132">
        <f t="shared" ref="S132" si="638">R132/100000</f>
        <v>-4998.6548012904068</v>
      </c>
      <c r="T132">
        <f t="shared" ref="T132" si="639">S132/1000</f>
        <v>-4.9986548012904066</v>
      </c>
    </row>
    <row r="133" spans="1:20" x14ac:dyDescent="0.25">
      <c r="A133" s="5">
        <v>44460</v>
      </c>
      <c r="B133">
        <v>0.28789999999999999</v>
      </c>
      <c r="C133">
        <v>0.3054</v>
      </c>
      <c r="D133">
        <v>0.25109999999999999</v>
      </c>
      <c r="E133">
        <v>0.2656</v>
      </c>
      <c r="F133">
        <v>18685361.489999998</v>
      </c>
      <c r="G133">
        <v>0.2656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-0.46593001841620596</v>
      </c>
      <c r="Q133">
        <f t="shared" ref="Q133" si="641">F133*P133</f>
        <v>-8706070.8231491651</v>
      </c>
      <c r="R133">
        <f t="shared" ref="R133" si="642">R134+Q133</f>
        <v>-513785040.7071951</v>
      </c>
      <c r="S133">
        <f t="shared" ref="S133" si="643">R133/100000</f>
        <v>-5137.8504070719509</v>
      </c>
      <c r="T133">
        <f t="shared" ref="T133" si="644">S133/1000</f>
        <v>-5.1378504070719506</v>
      </c>
    </row>
    <row r="134" spans="1:20" x14ac:dyDescent="0.25">
      <c r="A134" s="5">
        <v>44459</v>
      </c>
      <c r="B134">
        <v>0.3644</v>
      </c>
      <c r="C134">
        <v>0.36880000000000002</v>
      </c>
      <c r="D134">
        <v>0.30109999999999998</v>
      </c>
      <c r="E134">
        <v>0.31630000000000003</v>
      </c>
      <c r="F134">
        <v>8615227</v>
      </c>
      <c r="G134">
        <v>0.31630000000000003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-0.55096011816838886</v>
      </c>
      <c r="Q134">
        <f t="shared" ref="Q134" si="646">F134*P134</f>
        <v>-4746646.4859674945</v>
      </c>
      <c r="R134">
        <f t="shared" ref="R134" si="647">R135+Q134</f>
        <v>-505078969.88404596</v>
      </c>
      <c r="S134">
        <f t="shared" ref="S134" si="648">R134/100000</f>
        <v>-5050.78969884046</v>
      </c>
      <c r="T134">
        <f t="shared" ref="T134" si="649">S134/1000</f>
        <v>-5.0507896988404601</v>
      </c>
    </row>
    <row r="135" spans="1:20" x14ac:dyDescent="0.25">
      <c r="A135" s="5">
        <v>44458</v>
      </c>
      <c r="B135">
        <v>0.38869999999999999</v>
      </c>
      <c r="C135">
        <v>0.39100000000000001</v>
      </c>
      <c r="D135">
        <v>0.36220000000000002</v>
      </c>
      <c r="E135">
        <v>0.36459999999999998</v>
      </c>
      <c r="F135">
        <v>6898580</v>
      </c>
      <c r="G135">
        <v>0.36459999999999998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-0.83333333333333626</v>
      </c>
      <c r="Q135">
        <f t="shared" ref="Q135" si="651">F135*P135</f>
        <v>-5748816.6666666865</v>
      </c>
      <c r="R135">
        <f t="shared" ref="R135" si="652">R136+Q135</f>
        <v>-500332323.39807844</v>
      </c>
      <c r="S135">
        <f t="shared" ref="S135" si="653">R135/100000</f>
        <v>-5003.3232339807846</v>
      </c>
      <c r="T135">
        <f t="shared" ref="T135" si="654">S135/1000</f>
        <v>-5.0033232339807849</v>
      </c>
    </row>
    <row r="136" spans="1:20" x14ac:dyDescent="0.25">
      <c r="A136" s="5">
        <v>44457</v>
      </c>
      <c r="B136">
        <v>0.36909999999999998</v>
      </c>
      <c r="C136">
        <v>0.43</v>
      </c>
      <c r="D136">
        <v>0.36659999999999998</v>
      </c>
      <c r="E136">
        <v>0.38869999999999999</v>
      </c>
      <c r="F136">
        <v>19473207</v>
      </c>
      <c r="G136">
        <v>0.38869999999999999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-0.30283911671924274</v>
      </c>
      <c r="Q136">
        <f t="shared" ref="Q136" si="656">F136*P136</f>
        <v>-5897248.8075709743</v>
      </c>
      <c r="R136">
        <f t="shared" ref="R136" si="657">R137+Q136</f>
        <v>-494583506.73141176</v>
      </c>
      <c r="S136">
        <f t="shared" ref="S136" si="658">R136/100000</f>
        <v>-4945.8350673141176</v>
      </c>
      <c r="T136">
        <f t="shared" ref="T136" si="659">S136/1000</f>
        <v>-4.9458350673141176</v>
      </c>
    </row>
    <row r="137" spans="1:20" x14ac:dyDescent="0.25">
      <c r="A137" s="5">
        <v>44456</v>
      </c>
      <c r="B137">
        <v>0.37969999999999998</v>
      </c>
      <c r="C137">
        <v>0.38340000000000002</v>
      </c>
      <c r="D137">
        <v>0.36059999999999998</v>
      </c>
      <c r="E137">
        <v>0.36909999999999998</v>
      </c>
      <c r="F137">
        <v>7065183</v>
      </c>
      <c r="G137">
        <v>0.36909999999999998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-0.25438596491228144</v>
      </c>
      <c r="Q137">
        <f t="shared" ref="Q137" si="661">F137*P137</f>
        <v>-1797283.3947368474</v>
      </c>
      <c r="R137">
        <f t="shared" ref="R137" si="662">R138+Q137</f>
        <v>-488686257.92384076</v>
      </c>
      <c r="S137">
        <f t="shared" ref="S137" si="663">R137/100000</f>
        <v>-4886.8625792384073</v>
      </c>
      <c r="T137">
        <f t="shared" ref="T137" si="664">S137/1000</f>
        <v>-4.8868625792384073</v>
      </c>
    </row>
    <row r="138" spans="1:20" x14ac:dyDescent="0.25">
      <c r="A138" s="5">
        <v>44455</v>
      </c>
      <c r="B138">
        <v>0.39689999999999998</v>
      </c>
      <c r="C138">
        <v>0.39879999999999999</v>
      </c>
      <c r="D138">
        <v>0.3725</v>
      </c>
      <c r="E138">
        <v>0.3795</v>
      </c>
      <c r="F138">
        <v>9024433</v>
      </c>
      <c r="G138">
        <v>0.3795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-0.46768060836501835</v>
      </c>
      <c r="Q138">
        <f t="shared" ref="Q138" si="666">F138*P138</f>
        <v>-4220552.3155893479</v>
      </c>
      <c r="R138">
        <f t="shared" ref="R138" si="667">R139+Q138</f>
        <v>-486888974.52910393</v>
      </c>
      <c r="S138">
        <f t="shared" ref="S138" si="668">R138/100000</f>
        <v>-4868.8897452910396</v>
      </c>
      <c r="T138">
        <f t="shared" ref="T138" si="669">S138/1000</f>
        <v>-4.8688897452910398</v>
      </c>
    </row>
    <row r="139" spans="1:20" x14ac:dyDescent="0.25">
      <c r="A139" s="5">
        <v>44454</v>
      </c>
      <c r="B139">
        <v>0.4108</v>
      </c>
      <c r="C139">
        <v>0.41789999999999999</v>
      </c>
      <c r="D139">
        <v>0.38869999999999999</v>
      </c>
      <c r="E139">
        <v>0.39689999999999998</v>
      </c>
      <c r="F139">
        <v>17170133</v>
      </c>
      <c r="G139">
        <v>0.39689999999999998</v>
      </c>
      <c r="L139" t="s">
        <v>7</v>
      </c>
      <c r="M139" t="s">
        <v>8</v>
      </c>
      <c r="N139" t="s">
        <v>7</v>
      </c>
      <c r="P139">
        <f t="shared" ref="P139" si="670">IF(C139=D139,0,((E139-D139)-(C139-E139))/(C139-D139))</f>
        <v>-0.43835616438356273</v>
      </c>
      <c r="Q139">
        <f t="shared" ref="Q139" si="671">F139*P139</f>
        <v>-7526633.6438356349</v>
      </c>
      <c r="R139">
        <f t="shared" ref="R139" si="672">R140+Q139</f>
        <v>-482668422.21351457</v>
      </c>
      <c r="S139">
        <f t="shared" ref="S139" si="673">R139/100000</f>
        <v>-4826.6842221351453</v>
      </c>
      <c r="T139">
        <f t="shared" ref="T139" si="674">S139/1000</f>
        <v>-4.8266842221351451</v>
      </c>
    </row>
    <row r="140" spans="1:20" x14ac:dyDescent="0.25">
      <c r="A140" s="5">
        <v>44453</v>
      </c>
      <c r="B140">
        <v>0.37080000000000002</v>
      </c>
      <c r="C140">
        <v>0.44240000000000002</v>
      </c>
      <c r="D140">
        <v>0.36809999999999998</v>
      </c>
      <c r="E140">
        <v>0.41139999999999999</v>
      </c>
      <c r="F140">
        <v>28289804</v>
      </c>
      <c r="G140">
        <v>0.41139999999999999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0.16554508748317595</v>
      </c>
      <c r="Q140">
        <f t="shared" ref="Q140" si="676">F140*P140</f>
        <v>4683238.078061901</v>
      </c>
      <c r="R140">
        <f t="shared" ref="R140" si="677">R141+Q140</f>
        <v>-475141788.5696789</v>
      </c>
      <c r="S140">
        <f t="shared" ref="S140" si="678">R140/100000</f>
        <v>-4751.4178856967892</v>
      </c>
      <c r="T140">
        <f t="shared" ref="T140" si="679">S140/1000</f>
        <v>-4.7514178856967888</v>
      </c>
    </row>
    <row r="141" spans="1:20" x14ac:dyDescent="0.25">
      <c r="A141" s="5">
        <v>44452</v>
      </c>
      <c r="B141">
        <v>0.4027</v>
      </c>
      <c r="C141">
        <v>0.40570000000000001</v>
      </c>
      <c r="D141">
        <v>0.3594</v>
      </c>
      <c r="E141">
        <v>0.37090000000000001</v>
      </c>
      <c r="F141">
        <v>15016272</v>
      </c>
      <c r="G141">
        <v>0.37090000000000001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-0.50323974082073397</v>
      </c>
      <c r="Q141">
        <f t="shared" ref="Q141" si="681">F141*P141</f>
        <v>-7556784.8293736447</v>
      </c>
      <c r="R141">
        <f t="shared" ref="R141" si="682">R142+Q141</f>
        <v>-479825026.64774078</v>
      </c>
      <c r="S141">
        <f t="shared" ref="S141" si="683">R141/100000</f>
        <v>-4798.2502664774074</v>
      </c>
      <c r="T141">
        <f t="shared" ref="T141" si="684">S141/1000</f>
        <v>-4.7982502664774076</v>
      </c>
    </row>
    <row r="142" spans="1:20" x14ac:dyDescent="0.25">
      <c r="A142" s="5">
        <v>44451</v>
      </c>
      <c r="B142">
        <v>0.38119999999999998</v>
      </c>
      <c r="C142">
        <v>0.43409999999999999</v>
      </c>
      <c r="D142">
        <v>0.37709999999999999</v>
      </c>
      <c r="E142">
        <v>0.40250000000000002</v>
      </c>
      <c r="F142">
        <v>20311421</v>
      </c>
      <c r="G142">
        <v>0.40250000000000002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-0.10877192982456015</v>
      </c>
      <c r="Q142">
        <f t="shared" ref="Q142" si="686">F142*P142</f>
        <v>-2209312.4596490972</v>
      </c>
      <c r="R142">
        <f t="shared" ref="R142" si="687">R143+Q142</f>
        <v>-472268241.81836712</v>
      </c>
      <c r="S142">
        <f t="shared" ref="S142" si="688">R142/100000</f>
        <v>-4722.682418183671</v>
      </c>
      <c r="T142">
        <f t="shared" ref="T142" si="689">S142/1000</f>
        <v>-4.7226824181836706</v>
      </c>
    </row>
    <row r="143" spans="1:20" x14ac:dyDescent="0.25">
      <c r="A143" s="5">
        <v>44450</v>
      </c>
      <c r="B143">
        <v>0.38329999999999997</v>
      </c>
      <c r="C143">
        <v>0.40960000000000002</v>
      </c>
      <c r="D143">
        <v>0.3785</v>
      </c>
      <c r="E143">
        <v>0.38100000000000001</v>
      </c>
      <c r="F143">
        <v>18845555</v>
      </c>
      <c r="G143">
        <v>0.38100000000000001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-0.83922829581993563</v>
      </c>
      <c r="Q143">
        <f t="shared" ref="Q143" si="691">F143*P143</f>
        <v>-15815723.006430866</v>
      </c>
      <c r="R143">
        <f t="shared" ref="R143" si="692">R144+Q143</f>
        <v>-470058929.35871804</v>
      </c>
      <c r="S143">
        <f t="shared" ref="S143" si="693">R143/100000</f>
        <v>-4700.5892935871807</v>
      </c>
      <c r="T143">
        <f t="shared" ref="T143" si="694">S143/1000</f>
        <v>-4.7005892935871803</v>
      </c>
    </row>
    <row r="144" spans="1:20" x14ac:dyDescent="0.25">
      <c r="A144" s="5">
        <v>44449</v>
      </c>
      <c r="B144">
        <v>0.41520000000000001</v>
      </c>
      <c r="C144">
        <v>0.43709999999999999</v>
      </c>
      <c r="D144">
        <v>0.3715</v>
      </c>
      <c r="E144">
        <v>0.38269999999999998</v>
      </c>
      <c r="F144">
        <v>30227693</v>
      </c>
      <c r="G144">
        <v>0.38269999999999998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-0.65853658536585402</v>
      </c>
      <c r="Q144">
        <f t="shared" ref="Q144" si="696">F144*P144</f>
        <v>-19906041.731707327</v>
      </c>
      <c r="R144">
        <f t="shared" ref="R144" si="697">R145+Q144</f>
        <v>-454243206.35228717</v>
      </c>
      <c r="S144">
        <f t="shared" ref="S144" si="698">R144/100000</f>
        <v>-4542.4320635228714</v>
      </c>
      <c r="T144">
        <f t="shared" ref="T144" si="699">S144/1000</f>
        <v>-4.5424320635228712</v>
      </c>
    </row>
    <row r="145" spans="1:20" x14ac:dyDescent="0.25">
      <c r="A145" s="5">
        <v>44448</v>
      </c>
      <c r="B145">
        <v>0.41739999999999999</v>
      </c>
      <c r="C145">
        <v>0.50939999999999996</v>
      </c>
      <c r="D145">
        <v>0.40529999999999999</v>
      </c>
      <c r="E145">
        <v>0.41539999999999999</v>
      </c>
      <c r="F145">
        <v>68718818</v>
      </c>
      <c r="G145">
        <v>0.41539999999999999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-0.80595581171950048</v>
      </c>
      <c r="Q145">
        <f t="shared" ref="Q145" si="701">F145*P145</f>
        <v>-55384330.74159462</v>
      </c>
      <c r="R145">
        <f t="shared" ref="R145" si="702">R146+Q145</f>
        <v>-434337164.62057984</v>
      </c>
      <c r="S145">
        <f t="shared" ref="S145" si="703">R145/100000</f>
        <v>-4343.3716462057982</v>
      </c>
      <c r="T145">
        <f t="shared" ref="T145" si="704">S145/1000</f>
        <v>-4.3433716462057985</v>
      </c>
    </row>
    <row r="146" spans="1:20" x14ac:dyDescent="0.25">
      <c r="A146" s="5">
        <v>44447</v>
      </c>
      <c r="B146">
        <v>0.39800000000000002</v>
      </c>
      <c r="C146">
        <v>0.42809999999999998</v>
      </c>
      <c r="D146">
        <v>0.35880000000000001</v>
      </c>
      <c r="E146">
        <v>0.41689999999999999</v>
      </c>
      <c r="F146">
        <v>35718400</v>
      </c>
      <c r="G146">
        <v>0.41689999999999999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0.67676767676767702</v>
      </c>
      <c r="Q146">
        <f t="shared" ref="Q146" si="706">F146*P146</f>
        <v>24173058.585858595</v>
      </c>
      <c r="R146">
        <f t="shared" ref="R146" si="707">R147+Q146</f>
        <v>-378952833.87898523</v>
      </c>
      <c r="S146">
        <f t="shared" ref="S146" si="708">R146/100000</f>
        <v>-3789.5283387898521</v>
      </c>
      <c r="T146">
        <f t="shared" ref="T146" si="709">S146/1000</f>
        <v>-3.789528338789852</v>
      </c>
    </row>
    <row r="147" spans="1:20" x14ac:dyDescent="0.25">
      <c r="A147" s="5">
        <v>44446</v>
      </c>
      <c r="B147">
        <v>0.47460000000000002</v>
      </c>
      <c r="C147">
        <v>0.56930000000000003</v>
      </c>
      <c r="D147">
        <v>0.34</v>
      </c>
      <c r="E147">
        <v>0.39710000000000001</v>
      </c>
      <c r="F147">
        <v>150900393.13999999</v>
      </c>
      <c r="G147">
        <v>0.39710000000000001</v>
      </c>
      <c r="L147" t="s">
        <v>8</v>
      </c>
      <c r="M147" t="s">
        <v>8</v>
      </c>
      <c r="N147" t="s">
        <v>8</v>
      </c>
      <c r="P147">
        <f t="shared" ref="P147" si="710">IF(C147=D147,0,((E147-D147)-(C147-E147))/(C147-D147))</f>
        <v>-0.5019624945486264</v>
      </c>
      <c r="Q147">
        <f t="shared" ref="Q147" si="711">F147*P147</f>
        <v>-75746337.768922821</v>
      </c>
      <c r="R147">
        <f t="shared" ref="R147" si="712">R148+Q147</f>
        <v>-403125892.46484381</v>
      </c>
      <c r="S147">
        <f t="shared" ref="S147" si="713">R147/100000</f>
        <v>-4031.2589246484381</v>
      </c>
      <c r="T147">
        <f t="shared" ref="T147" si="714">S147/1000</f>
        <v>-4.031258924648438</v>
      </c>
    </row>
    <row r="148" spans="1:20" x14ac:dyDescent="0.25">
      <c r="A148" s="5">
        <v>44445</v>
      </c>
      <c r="B148">
        <v>0.38679999999999998</v>
      </c>
      <c r="C148">
        <v>0.53779999999999994</v>
      </c>
      <c r="D148">
        <v>0.36709999999999998</v>
      </c>
      <c r="E148">
        <v>0.4748</v>
      </c>
      <c r="F148">
        <v>150959362.56</v>
      </c>
      <c r="G148">
        <v>0.4748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0.26186291739894602</v>
      </c>
      <c r="Q148">
        <f t="shared" ref="Q148" si="716">F148*P148</f>
        <v>39530659.088646822</v>
      </c>
      <c r="R148">
        <f t="shared" ref="R148" si="717">R149+Q148</f>
        <v>-327379554.695921</v>
      </c>
      <c r="S148">
        <f t="shared" ref="S148" si="718">R148/100000</f>
        <v>-3273.7955469592102</v>
      </c>
      <c r="T148">
        <f t="shared" ref="T148" si="719">S148/1000</f>
        <v>-3.2737955469592102</v>
      </c>
    </row>
    <row r="149" spans="1:20" x14ac:dyDescent="0.25">
      <c r="A149" s="5">
        <v>44444</v>
      </c>
      <c r="B149">
        <v>0.36359999999999998</v>
      </c>
      <c r="C149">
        <v>0.44319999999999998</v>
      </c>
      <c r="D149">
        <v>0.3599</v>
      </c>
      <c r="E149">
        <v>0.38679999999999998</v>
      </c>
      <c r="F149">
        <v>52101163</v>
      </c>
      <c r="G149">
        <v>0.38679999999999998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-0.35414165666266545</v>
      </c>
      <c r="Q149">
        <f t="shared" ref="Q149" si="721">F149*P149</f>
        <v>-18451192.178871568</v>
      </c>
      <c r="R149">
        <f t="shared" ref="R149" si="722">R150+Q149</f>
        <v>-366910213.78456783</v>
      </c>
      <c r="S149">
        <f t="shared" ref="S149" si="723">R149/100000</f>
        <v>-3669.1021378456785</v>
      </c>
      <c r="T149">
        <f t="shared" ref="T149" si="724">S149/1000</f>
        <v>-3.6691021378456785</v>
      </c>
    </row>
    <row r="150" spans="1:20" x14ac:dyDescent="0.25">
      <c r="A150" s="5">
        <v>44443</v>
      </c>
      <c r="B150">
        <v>0.38100000000000001</v>
      </c>
      <c r="C150">
        <v>0.38879999999999998</v>
      </c>
      <c r="D150">
        <v>0.36</v>
      </c>
      <c r="E150">
        <v>0.36370000000000002</v>
      </c>
      <c r="F150">
        <v>16637299</v>
      </c>
      <c r="G150">
        <v>0.36370000000000002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-0.74305555555555292</v>
      </c>
      <c r="Q150">
        <f t="shared" ref="Q150" si="726">F150*P150</f>
        <v>-12362437.451388845</v>
      </c>
      <c r="R150">
        <f t="shared" ref="R150" si="727">R151+Q150</f>
        <v>-348459021.60569626</v>
      </c>
      <c r="S150">
        <f t="shared" ref="S150" si="728">R150/100000</f>
        <v>-3484.5902160569626</v>
      </c>
      <c r="T150">
        <f t="shared" ref="T150" si="729">S150/1000</f>
        <v>-3.4845902160569624</v>
      </c>
    </row>
    <row r="151" spans="1:20" x14ac:dyDescent="0.25">
      <c r="A151" s="5">
        <v>44442</v>
      </c>
      <c r="B151">
        <v>0.3992</v>
      </c>
      <c r="C151">
        <v>0.42399999999999999</v>
      </c>
      <c r="D151">
        <v>0.37180000000000002</v>
      </c>
      <c r="E151">
        <v>0.38040000000000002</v>
      </c>
      <c r="F151">
        <v>54327038</v>
      </c>
      <c r="G151">
        <v>0.38040000000000002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-0.67049808429118762</v>
      </c>
      <c r="Q151">
        <f t="shared" ref="Q151" si="731">F151*P151</f>
        <v>-36426174.904214554</v>
      </c>
      <c r="R151">
        <f t="shared" ref="R151" si="732">R152+Q151</f>
        <v>-336096584.15430743</v>
      </c>
      <c r="S151">
        <f t="shared" ref="S151" si="733">R151/100000</f>
        <v>-3360.9658415430745</v>
      </c>
      <c r="T151">
        <f t="shared" ref="T151" si="734">S151/1000</f>
        <v>-3.3609658415430745</v>
      </c>
    </row>
    <row r="152" spans="1:20" x14ac:dyDescent="0.25">
      <c r="A152" s="5">
        <v>44441</v>
      </c>
      <c r="B152">
        <v>0.3266</v>
      </c>
      <c r="C152">
        <v>0.48459999999999998</v>
      </c>
      <c r="D152">
        <v>0.31929999999999997</v>
      </c>
      <c r="E152">
        <v>0.39910000000000001</v>
      </c>
      <c r="F152">
        <v>193630104.61000001</v>
      </c>
      <c r="G152">
        <v>0.39910000000000001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-3.4482758620689218E-2</v>
      </c>
      <c r="Q152">
        <f t="shared" ref="Q152" si="736">F152*P152</f>
        <v>-6676900.158965433</v>
      </c>
      <c r="R152">
        <f t="shared" ref="R152" si="737">R153+Q152</f>
        <v>-299670409.25009286</v>
      </c>
      <c r="S152">
        <f t="shared" ref="S152" si="738">R152/100000</f>
        <v>-2996.7040925009287</v>
      </c>
      <c r="T152">
        <f t="shared" ref="T152" si="739">S152/1000</f>
        <v>-2.9967040925009285</v>
      </c>
    </row>
    <row r="153" spans="1:20" x14ac:dyDescent="0.25">
      <c r="A153" s="5">
        <v>44440</v>
      </c>
      <c r="B153">
        <v>0.30659999999999998</v>
      </c>
      <c r="C153">
        <v>0.36099999999999999</v>
      </c>
      <c r="D153">
        <v>0.3</v>
      </c>
      <c r="E153">
        <v>0.3271</v>
      </c>
      <c r="F153">
        <v>28953020.829999998</v>
      </c>
      <c r="G153">
        <v>0.3271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-0.11147540983606513</v>
      </c>
      <c r="Q153">
        <f t="shared" ref="Q153" si="741">F153*P153</f>
        <v>-3227549.8630163805</v>
      </c>
      <c r="R153">
        <f t="shared" ref="R153" si="742">R154+Q153</f>
        <v>-292993509.09112746</v>
      </c>
      <c r="S153">
        <f t="shared" ref="S153" si="743">R153/100000</f>
        <v>-2929.9350909112745</v>
      </c>
      <c r="T153">
        <f t="shared" ref="T153" si="744">S153/1000</f>
        <v>-2.9299350909112745</v>
      </c>
    </row>
    <row r="154" spans="1:20" x14ac:dyDescent="0.25">
      <c r="A154" s="5">
        <v>44439</v>
      </c>
      <c r="B154">
        <v>0.2984</v>
      </c>
      <c r="C154">
        <v>0.31309999999999999</v>
      </c>
      <c r="D154">
        <v>0.29570000000000002</v>
      </c>
      <c r="E154">
        <v>0.30630000000000002</v>
      </c>
      <c r="F154">
        <v>10542725</v>
      </c>
      <c r="G154">
        <v>0.30630000000000002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0.21839080459770299</v>
      </c>
      <c r="Q154">
        <f t="shared" ref="Q154" si="746">F154*P154</f>
        <v>2302434.1954023181</v>
      </c>
      <c r="R154">
        <f t="shared" ref="R154" si="747">R155+Q154</f>
        <v>-289765959.22811109</v>
      </c>
      <c r="S154">
        <f t="shared" ref="S154" si="748">R154/100000</f>
        <v>-2897.6595922811107</v>
      </c>
      <c r="T154">
        <f t="shared" ref="T154" si="749">S154/1000</f>
        <v>-2.8976595922811108</v>
      </c>
    </row>
    <row r="155" spans="1:20" x14ac:dyDescent="0.25">
      <c r="A155" s="5">
        <v>44438</v>
      </c>
      <c r="B155">
        <v>0.31140000000000001</v>
      </c>
      <c r="C155">
        <v>0.31909999999999999</v>
      </c>
      <c r="D155">
        <v>0.29599999999999999</v>
      </c>
      <c r="E155">
        <v>0.2984</v>
      </c>
      <c r="F155">
        <v>9339611</v>
      </c>
      <c r="G155">
        <v>0.2984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-0.79220779220779114</v>
      </c>
      <c r="Q155">
        <f t="shared" ref="Q155" si="751">F155*P155</f>
        <v>-7398912.6103896005</v>
      </c>
      <c r="R155">
        <f t="shared" ref="R155" si="752">R156+Q155</f>
        <v>-292068393.42351341</v>
      </c>
      <c r="S155">
        <f t="shared" ref="S155" si="753">R155/100000</f>
        <v>-2920.6839342351341</v>
      </c>
      <c r="T155">
        <f t="shared" ref="T155" si="754">S155/1000</f>
        <v>-2.9206839342351341</v>
      </c>
    </row>
    <row r="156" spans="1:20" x14ac:dyDescent="0.25">
      <c r="A156" s="5">
        <v>44437</v>
      </c>
      <c r="B156">
        <v>0.31900000000000001</v>
      </c>
      <c r="C156">
        <v>0.32129999999999997</v>
      </c>
      <c r="D156">
        <v>0.30740000000000001</v>
      </c>
      <c r="E156">
        <v>0.31159999999999999</v>
      </c>
      <c r="F156">
        <v>4214431</v>
      </c>
      <c r="G156">
        <v>0.31159999999999999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-0.39568345323741133</v>
      </c>
      <c r="Q156">
        <f t="shared" ref="Q156" si="756">F156*P156</f>
        <v>-1667580.6115107967</v>
      </c>
      <c r="R156">
        <f t="shared" ref="R156" si="757">R157+Q156</f>
        <v>-284669480.81312382</v>
      </c>
      <c r="S156">
        <f t="shared" ref="S156" si="758">R156/100000</f>
        <v>-2846.694808131238</v>
      </c>
      <c r="T156">
        <f t="shared" ref="T156" si="759">S156/1000</f>
        <v>-2.8466948081312382</v>
      </c>
    </row>
    <row r="157" spans="1:20" x14ac:dyDescent="0.25">
      <c r="A157" s="5">
        <v>44436</v>
      </c>
      <c r="B157">
        <v>0.32100000000000001</v>
      </c>
      <c r="C157">
        <v>0.32800000000000001</v>
      </c>
      <c r="D157">
        <v>0.31219999999999998</v>
      </c>
      <c r="E157">
        <v>0.31900000000000001</v>
      </c>
      <c r="F157">
        <v>7400458</v>
      </c>
      <c r="G157">
        <v>0.31900000000000001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-0.13924050632911233</v>
      </c>
      <c r="Q157">
        <f t="shared" ref="Q157" si="761">F157*P157</f>
        <v>-1030443.51898733</v>
      </c>
      <c r="R157">
        <f t="shared" ref="R157" si="762">R158+Q157</f>
        <v>-283001900.20161301</v>
      </c>
      <c r="S157">
        <f t="shared" ref="S157" si="763">R157/100000</f>
        <v>-2830.0190020161299</v>
      </c>
      <c r="T157">
        <f t="shared" ref="T157" si="764">S157/1000</f>
        <v>-2.83001900201613</v>
      </c>
    </row>
    <row r="158" spans="1:20" x14ac:dyDescent="0.25">
      <c r="A158" s="5">
        <v>44435</v>
      </c>
      <c r="B158">
        <v>0.30280000000000001</v>
      </c>
      <c r="C158">
        <v>0.33</v>
      </c>
      <c r="D158">
        <v>0.29199999999999998</v>
      </c>
      <c r="E158">
        <v>0.32100000000000001</v>
      </c>
      <c r="F158">
        <v>14342811.369999999</v>
      </c>
      <c r="G158">
        <v>0.32100000000000001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0.52631578947368418</v>
      </c>
      <c r="Q158">
        <f t="shared" ref="Q158" si="766">F158*P158</f>
        <v>7548848.0894736834</v>
      </c>
      <c r="R158">
        <f t="shared" ref="R158" si="767">R159+Q158</f>
        <v>-281971456.68262565</v>
      </c>
      <c r="S158">
        <f t="shared" ref="S158" si="768">R158/100000</f>
        <v>-2819.7145668262565</v>
      </c>
      <c r="T158">
        <f t="shared" ref="T158" si="769">S158/1000</f>
        <v>-2.8197145668262564</v>
      </c>
    </row>
    <row r="159" spans="1:20" x14ac:dyDescent="0.25">
      <c r="A159" s="5">
        <v>44434</v>
      </c>
      <c r="B159">
        <v>0.33129999999999998</v>
      </c>
      <c r="C159">
        <v>0.33200000000000002</v>
      </c>
      <c r="D159">
        <v>0.29570000000000002</v>
      </c>
      <c r="E159">
        <v>0.3029</v>
      </c>
      <c r="F159">
        <v>10430232.67</v>
      </c>
      <c r="G159">
        <v>0.3029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-0.60330578512396782</v>
      </c>
      <c r="Q159">
        <f t="shared" ref="Q159" si="771">F159*P159</f>
        <v>-6292619.7100000093</v>
      </c>
      <c r="R159">
        <f t="shared" ref="R159" si="772">R160+Q159</f>
        <v>-289520304.77209932</v>
      </c>
      <c r="S159">
        <f t="shared" ref="S159" si="773">R159/100000</f>
        <v>-2895.2030477209933</v>
      </c>
      <c r="T159">
        <f t="shared" ref="T159" si="774">S159/1000</f>
        <v>-2.8952030477209934</v>
      </c>
    </row>
    <row r="160" spans="1:20" x14ac:dyDescent="0.25">
      <c r="A160" s="5">
        <v>44433</v>
      </c>
      <c r="B160">
        <v>0.31519999999999998</v>
      </c>
      <c r="C160">
        <v>0.33860000000000001</v>
      </c>
      <c r="D160">
        <v>0.29880000000000001</v>
      </c>
      <c r="E160">
        <v>0.3296</v>
      </c>
      <c r="F160">
        <v>11877173.6</v>
      </c>
      <c r="G160">
        <v>0.3296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0.54773869346733628</v>
      </c>
      <c r="Q160">
        <f t="shared" ref="Q160" si="776">F160*P160</f>
        <v>6505587.5497487383</v>
      </c>
      <c r="R160">
        <f t="shared" ref="R160" si="777">R161+Q160</f>
        <v>-283227685.06209928</v>
      </c>
      <c r="S160">
        <f t="shared" ref="S160" si="778">R160/100000</f>
        <v>-2832.2768506209927</v>
      </c>
      <c r="T160">
        <f t="shared" ref="T160" si="779">S160/1000</f>
        <v>-2.8322768506209925</v>
      </c>
    </row>
    <row r="161" spans="1:20" x14ac:dyDescent="0.25">
      <c r="A161" s="5">
        <v>44432</v>
      </c>
      <c r="B161">
        <v>0.33600000000000002</v>
      </c>
      <c r="C161">
        <v>0.3649</v>
      </c>
      <c r="D161">
        <v>0.31209999999999999</v>
      </c>
      <c r="E161">
        <v>0.31519999999999998</v>
      </c>
      <c r="F161">
        <v>21808876.469999999</v>
      </c>
      <c r="G161">
        <v>0.31519999999999998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-0.8825757575757579</v>
      </c>
      <c r="Q161">
        <f t="shared" ref="Q161" si="781">F161*P161</f>
        <v>-19247985.672386371</v>
      </c>
      <c r="R161">
        <f t="shared" ref="R161" si="782">R162+Q161</f>
        <v>-289733272.611848</v>
      </c>
      <c r="S161">
        <f t="shared" ref="S161" si="783">R161/100000</f>
        <v>-2897.33272611848</v>
      </c>
      <c r="T161">
        <f t="shared" ref="T161" si="784">S161/1000</f>
        <v>-2.89733272611848</v>
      </c>
    </row>
    <row r="162" spans="1:20" x14ac:dyDescent="0.25">
      <c r="A162" s="5">
        <v>44431</v>
      </c>
      <c r="B162">
        <v>0.31569999999999998</v>
      </c>
      <c r="C162">
        <v>0.3458</v>
      </c>
      <c r="D162">
        <v>0.312</v>
      </c>
      <c r="E162">
        <v>0.33600000000000002</v>
      </c>
      <c r="F162">
        <v>11794257.609999999</v>
      </c>
      <c r="G162">
        <v>0.33600000000000002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0.4201183431952677</v>
      </c>
      <c r="Q162">
        <f t="shared" ref="Q162" si="786">F162*P162</f>
        <v>4954983.9663313776</v>
      </c>
      <c r="R162">
        <f t="shared" ref="R162" si="787">R163+Q162</f>
        <v>-270485286.93946165</v>
      </c>
      <c r="S162">
        <f t="shared" ref="S162" si="788">R162/100000</f>
        <v>-2704.8528693946164</v>
      </c>
      <c r="T162">
        <f t="shared" ref="T162" si="789">S162/1000</f>
        <v>-2.7048528693946166</v>
      </c>
    </row>
    <row r="163" spans="1:20" x14ac:dyDescent="0.25">
      <c r="A163" s="5">
        <v>44430</v>
      </c>
      <c r="B163">
        <v>0.31669999999999998</v>
      </c>
      <c r="C163">
        <v>0.32629999999999998</v>
      </c>
      <c r="D163">
        <v>0.31269999999999998</v>
      </c>
      <c r="E163">
        <v>0.31850000000000001</v>
      </c>
      <c r="F163">
        <v>1637446.51</v>
      </c>
      <c r="G163">
        <v>0.31850000000000001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-0.1470588235294078</v>
      </c>
      <c r="Q163">
        <f t="shared" ref="Q163" si="791">F163*P163</f>
        <v>-240800.9573529347</v>
      </c>
      <c r="R163">
        <f t="shared" ref="R163" si="792">R164+Q163</f>
        <v>-275440270.90579301</v>
      </c>
      <c r="S163">
        <f t="shared" ref="S163" si="793">R163/100000</f>
        <v>-2754.4027090579302</v>
      </c>
      <c r="T163">
        <f t="shared" ref="T163" si="794">S163/1000</f>
        <v>-2.7544027090579304</v>
      </c>
    </row>
    <row r="164" spans="1:20" x14ac:dyDescent="0.25">
      <c r="A164" s="5">
        <v>44429</v>
      </c>
      <c r="B164">
        <v>0.32919999999999999</v>
      </c>
      <c r="C164">
        <v>0.32940000000000003</v>
      </c>
      <c r="D164">
        <v>0.30570000000000003</v>
      </c>
      <c r="E164">
        <v>0.31669999999999998</v>
      </c>
      <c r="F164">
        <v>13264349.630000001</v>
      </c>
      <c r="G164">
        <v>0.31669999999999998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-7.1729957805910988E-2</v>
      </c>
      <c r="Q164">
        <f t="shared" ref="Q164" si="796">F164*P164</f>
        <v>-951451.23928275111</v>
      </c>
      <c r="R164">
        <f t="shared" ref="R164" si="797">R165+Q164</f>
        <v>-275199469.94844007</v>
      </c>
      <c r="S164">
        <f t="shared" ref="S164" si="798">R164/100000</f>
        <v>-2751.9946994844008</v>
      </c>
      <c r="T164">
        <f t="shared" ref="T164" si="799">S164/1000</f>
        <v>-2.7519946994844009</v>
      </c>
    </row>
    <row r="165" spans="1:20" x14ac:dyDescent="0.25">
      <c r="A165" s="5">
        <v>44428</v>
      </c>
      <c r="B165">
        <v>0.31440000000000001</v>
      </c>
      <c r="C165">
        <v>0.33700000000000002</v>
      </c>
      <c r="D165">
        <v>0.311</v>
      </c>
      <c r="E165">
        <v>0.32890000000000003</v>
      </c>
      <c r="F165">
        <v>11402953.84</v>
      </c>
      <c r="G165">
        <v>0.32890000000000003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0.3769230769230778</v>
      </c>
      <c r="Q165">
        <f t="shared" ref="Q165" si="801">F165*P165</f>
        <v>4298036.4473846257</v>
      </c>
      <c r="R165">
        <f t="shared" ref="R165" si="802">R166+Q165</f>
        <v>-274248018.70915735</v>
      </c>
      <c r="S165">
        <f t="shared" ref="S165" si="803">R165/100000</f>
        <v>-2742.4801870915735</v>
      </c>
      <c r="T165">
        <f t="shared" ref="T165" si="804">S165/1000</f>
        <v>-2.7424801870915734</v>
      </c>
    </row>
    <row r="166" spans="1:20" x14ac:dyDescent="0.25">
      <c r="A166" s="5">
        <v>44427</v>
      </c>
      <c r="B166">
        <v>0.29980000000000001</v>
      </c>
      <c r="C166">
        <v>0.31819999999999998</v>
      </c>
      <c r="D166">
        <v>0.29049999999999998</v>
      </c>
      <c r="E166">
        <v>0.31440000000000001</v>
      </c>
      <c r="F166">
        <v>14180496.560000001</v>
      </c>
      <c r="G166">
        <v>0.31440000000000001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0.7256317689530708</v>
      </c>
      <c r="Q166">
        <f t="shared" ref="Q166" si="806">F166*P166</f>
        <v>10289818.803465735</v>
      </c>
      <c r="R166">
        <f t="shared" ref="R166" si="807">R167+Q166</f>
        <v>-278546055.15654194</v>
      </c>
      <c r="S166">
        <f t="shared" ref="S166" si="808">R166/100000</f>
        <v>-2785.4605515654193</v>
      </c>
      <c r="T166">
        <f t="shared" ref="T166" si="809">S166/1000</f>
        <v>-2.7854605515654192</v>
      </c>
    </row>
    <row r="167" spans="1:20" x14ac:dyDescent="0.25">
      <c r="A167" s="5">
        <v>44426</v>
      </c>
      <c r="B167">
        <v>0.28489999999999999</v>
      </c>
      <c r="C167">
        <v>0.32</v>
      </c>
      <c r="D167">
        <v>0.26600000000000001</v>
      </c>
      <c r="E167">
        <v>0.29949999999999999</v>
      </c>
      <c r="F167">
        <v>17998140.710000001</v>
      </c>
      <c r="G167">
        <v>0.29949999999999999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0.24074074074073995</v>
      </c>
      <c r="Q167">
        <f t="shared" ref="Q167" si="811">F167*P167</f>
        <v>4332885.7264814675</v>
      </c>
      <c r="R167">
        <f t="shared" ref="R167" si="812">R168+Q167</f>
        <v>-288835873.96000767</v>
      </c>
      <c r="S167">
        <f t="shared" ref="S167" si="813">R167/100000</f>
        <v>-2888.3587396000767</v>
      </c>
      <c r="T167">
        <f t="shared" ref="T167" si="814">S167/1000</f>
        <v>-2.8883587396000765</v>
      </c>
    </row>
    <row r="168" spans="1:20" x14ac:dyDescent="0.25">
      <c r="A168" s="5">
        <v>44425</v>
      </c>
      <c r="B168">
        <v>0.3216</v>
      </c>
      <c r="C168">
        <v>0.38</v>
      </c>
      <c r="D168">
        <v>0.28039999999999998</v>
      </c>
      <c r="E168">
        <v>0.28460000000000002</v>
      </c>
      <c r="F168">
        <v>53021316.82</v>
      </c>
      <c r="G168">
        <v>0.28460000000000002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-0.91566265060240892</v>
      </c>
      <c r="Q168">
        <f t="shared" ref="Q168" si="816">F168*P168</f>
        <v>-48549639.497831285</v>
      </c>
      <c r="R168">
        <f t="shared" ref="R168" si="817">R169+Q168</f>
        <v>-293168759.68648911</v>
      </c>
      <c r="S168">
        <f t="shared" ref="S168" si="818">R168/100000</f>
        <v>-2931.687596864891</v>
      </c>
      <c r="T168">
        <f t="shared" ref="T168" si="819">S168/1000</f>
        <v>-2.931687596864891</v>
      </c>
    </row>
    <row r="169" spans="1:20" x14ac:dyDescent="0.25">
      <c r="A169" s="5">
        <v>44424</v>
      </c>
      <c r="B169">
        <v>0.28100000000000003</v>
      </c>
      <c r="C169">
        <v>0.33700000000000002</v>
      </c>
      <c r="D169">
        <v>0.27739999999999998</v>
      </c>
      <c r="E169">
        <v>0.32200000000000001</v>
      </c>
      <c r="F169">
        <v>48292520.710000001</v>
      </c>
      <c r="G169">
        <v>0.32200000000000001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0.49664429530201332</v>
      </c>
      <c r="Q169">
        <f t="shared" ref="Q169" si="821">F169*P169</f>
        <v>23984204.916375834</v>
      </c>
      <c r="R169">
        <f t="shared" ref="R169" si="822">R170+Q169</f>
        <v>-244619120.18865779</v>
      </c>
      <c r="S169">
        <f t="shared" ref="S169" si="823">R169/100000</f>
        <v>-2446.1912018865778</v>
      </c>
      <c r="T169">
        <f t="shared" ref="T169" si="824">S169/1000</f>
        <v>-2.4461912018865779</v>
      </c>
    </row>
    <row r="170" spans="1:20" x14ac:dyDescent="0.25">
      <c r="A170" s="5">
        <v>44423</v>
      </c>
      <c r="B170">
        <v>0.27310000000000001</v>
      </c>
      <c r="C170">
        <v>0.28199999999999997</v>
      </c>
      <c r="D170">
        <v>0.26100000000000001</v>
      </c>
      <c r="E170">
        <v>0.28089999999999998</v>
      </c>
      <c r="F170">
        <v>14049600.779999999</v>
      </c>
      <c r="G170">
        <v>0.28089999999999998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0.89523809523809605</v>
      </c>
      <c r="Q170">
        <f t="shared" ref="Q170" si="826">F170*P170</f>
        <v>12577737.841142869</v>
      </c>
      <c r="R170">
        <f t="shared" ref="R170" si="827">R171+Q170</f>
        <v>-268603325.10503364</v>
      </c>
      <c r="S170">
        <f t="shared" ref="S170" si="828">R170/100000</f>
        <v>-2686.0332510503363</v>
      </c>
      <c r="T170">
        <f t="shared" ref="T170" si="829">S170/1000</f>
        <v>-2.6860332510503362</v>
      </c>
    </row>
    <row r="171" spans="1:20" x14ac:dyDescent="0.25">
      <c r="A171" s="5">
        <v>44422</v>
      </c>
      <c r="B171">
        <v>0.28549999999999998</v>
      </c>
      <c r="C171">
        <v>0.28999999999999998</v>
      </c>
      <c r="D171">
        <v>0.2636</v>
      </c>
      <c r="E171">
        <v>0.27310000000000001</v>
      </c>
      <c r="F171">
        <v>14534584.68</v>
      </c>
      <c r="G171">
        <v>0.27310000000000001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-0.28030303030302911</v>
      </c>
      <c r="Q171">
        <f t="shared" ref="Q171" si="831">F171*P171</f>
        <v>-4074088.1299999827</v>
      </c>
      <c r="R171">
        <f t="shared" ref="R171" si="832">R172+Q171</f>
        <v>-281181062.94617653</v>
      </c>
      <c r="S171">
        <f t="shared" ref="S171" si="833">R171/100000</f>
        <v>-2811.8106294617651</v>
      </c>
      <c r="T171">
        <f t="shared" ref="T171" si="834">S171/1000</f>
        <v>-2.8118106294617649</v>
      </c>
    </row>
    <row r="172" spans="1:20" x14ac:dyDescent="0.25">
      <c r="A172" s="5">
        <v>44421</v>
      </c>
      <c r="B172">
        <v>0.26169999999999999</v>
      </c>
      <c r="C172">
        <v>0.29880000000000001</v>
      </c>
      <c r="D172">
        <v>0.25180000000000002</v>
      </c>
      <c r="E172">
        <v>0.28549999999999998</v>
      </c>
      <c r="F172">
        <v>185769185.06999999</v>
      </c>
      <c r="G172">
        <v>0.28549999999999998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0.43404255319148777</v>
      </c>
      <c r="Q172">
        <f t="shared" ref="Q172" si="836">F172*P172</f>
        <v>80631731.392084807</v>
      </c>
      <c r="R172">
        <f t="shared" ref="R172" si="837">R173+Q172</f>
        <v>-277106974.81617653</v>
      </c>
      <c r="S172">
        <f t="shared" ref="S172" si="838">R172/100000</f>
        <v>-2771.0697481617653</v>
      </c>
      <c r="T172">
        <f t="shared" ref="T172" si="839">S172/1000</f>
        <v>-2.7710697481617652</v>
      </c>
    </row>
    <row r="173" spans="1:20" x14ac:dyDescent="0.25">
      <c r="A173" s="5">
        <v>44420</v>
      </c>
      <c r="B173">
        <v>0.28820000000000001</v>
      </c>
      <c r="C173">
        <v>0.2999</v>
      </c>
      <c r="D173">
        <v>0.24590000000000001</v>
      </c>
      <c r="E173">
        <v>0.26169999999999999</v>
      </c>
      <c r="F173">
        <v>22793992.93</v>
      </c>
      <c r="G173">
        <v>0.26169999999999999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-0.41481481481481547</v>
      </c>
      <c r="Q173">
        <f t="shared" ref="Q173" si="841">F173*P173</f>
        <v>-9455285.9561481625</v>
      </c>
      <c r="R173">
        <f t="shared" ref="R173" si="842">R174+Q173</f>
        <v>-357738706.20826137</v>
      </c>
      <c r="S173">
        <f t="shared" ref="S173" si="843">R173/100000</f>
        <v>-3577.3870620826137</v>
      </c>
      <c r="T173">
        <f t="shared" ref="T173" si="844">S173/1000</f>
        <v>-3.5773870620826136</v>
      </c>
    </row>
    <row r="174" spans="1:20" x14ac:dyDescent="0.25">
      <c r="A174" s="5">
        <v>44419</v>
      </c>
      <c r="B174">
        <v>0.2475</v>
      </c>
      <c r="C174">
        <v>0.3</v>
      </c>
      <c r="D174">
        <v>0.2455</v>
      </c>
      <c r="E174">
        <v>0.28889999999999999</v>
      </c>
      <c r="F174">
        <v>31494372.739999998</v>
      </c>
      <c r="G174">
        <v>0.28889999999999999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0.59266055045871557</v>
      </c>
      <c r="Q174">
        <f t="shared" ref="Q174" si="846">F174*P174</f>
        <v>18665472.284440365</v>
      </c>
      <c r="R174">
        <f t="shared" ref="R174" si="847">R175+Q174</f>
        <v>-348283420.25211322</v>
      </c>
      <c r="S174">
        <f t="shared" ref="S174" si="848">R174/100000</f>
        <v>-3482.8342025211323</v>
      </c>
      <c r="T174">
        <f t="shared" ref="T174" si="849">S174/1000</f>
        <v>-3.4828342025211323</v>
      </c>
    </row>
    <row r="175" spans="1:20" x14ac:dyDescent="0.25">
      <c r="A175" s="5">
        <v>44418</v>
      </c>
      <c r="B175">
        <v>0.2412</v>
      </c>
      <c r="C175">
        <v>0.254</v>
      </c>
      <c r="D175">
        <v>0.2344</v>
      </c>
      <c r="E175">
        <v>0.24740000000000001</v>
      </c>
      <c r="F175">
        <v>17134037.050000001</v>
      </c>
      <c r="G175">
        <v>0.24740000000000001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0.32653061224489871</v>
      </c>
      <c r="Q175">
        <f t="shared" ref="Q175" si="851">F175*P175</f>
        <v>5594787.6081632785</v>
      </c>
      <c r="R175">
        <f t="shared" ref="R175" si="852">R176+Q175</f>
        <v>-366948892.53655356</v>
      </c>
      <c r="S175">
        <f t="shared" ref="S175" si="853">R175/100000</f>
        <v>-3669.4889253655356</v>
      </c>
      <c r="T175">
        <f t="shared" ref="T175" si="854">S175/1000</f>
        <v>-3.6694889253655356</v>
      </c>
    </row>
    <row r="176" spans="1:20" x14ac:dyDescent="0.25">
      <c r="A176" s="5">
        <v>44417</v>
      </c>
      <c r="B176">
        <v>0.22359999999999999</v>
      </c>
      <c r="C176">
        <v>0.245</v>
      </c>
      <c r="D176">
        <v>0.2175</v>
      </c>
      <c r="E176">
        <v>0.24129999999999999</v>
      </c>
      <c r="F176">
        <v>14483133.41</v>
      </c>
      <c r="G176">
        <v>0.24129999999999999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0.73090909090909029</v>
      </c>
      <c r="Q176">
        <f t="shared" ref="Q176" si="856">F176*P176</f>
        <v>10585853.874218173</v>
      </c>
      <c r="R176">
        <f t="shared" ref="R176" si="857">R177+Q176</f>
        <v>-372543680.14471686</v>
      </c>
      <c r="S176">
        <f t="shared" ref="S176" si="858">R176/100000</f>
        <v>-3725.4368014471684</v>
      </c>
      <c r="T176">
        <f t="shared" ref="T176" si="859">S176/1000</f>
        <v>-3.7254368014471684</v>
      </c>
    </row>
    <row r="177" spans="1:20" x14ac:dyDescent="0.25">
      <c r="A177" s="5">
        <v>44416</v>
      </c>
      <c r="B177">
        <v>0.2344</v>
      </c>
      <c r="C177">
        <v>0.25</v>
      </c>
      <c r="D177">
        <v>0.21840000000000001</v>
      </c>
      <c r="E177">
        <v>0.22359999999999999</v>
      </c>
      <c r="F177">
        <v>13286782.85</v>
      </c>
      <c r="G177">
        <v>0.22359999999999999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-0.67088607594936811</v>
      </c>
      <c r="Q177">
        <f t="shared" ref="Q177" si="861">F177*P177</f>
        <v>-8913917.608227862</v>
      </c>
      <c r="R177">
        <f t="shared" ref="R177" si="862">R178+Q177</f>
        <v>-383129534.01893502</v>
      </c>
      <c r="S177">
        <f t="shared" ref="S177" si="863">R177/100000</f>
        <v>-3831.2953401893501</v>
      </c>
      <c r="T177">
        <f t="shared" ref="T177" si="864">S177/1000</f>
        <v>-3.8312953401893499</v>
      </c>
    </row>
    <row r="178" spans="1:20" x14ac:dyDescent="0.25">
      <c r="A178" s="5">
        <v>44415</v>
      </c>
      <c r="B178">
        <v>0.24199999999999999</v>
      </c>
      <c r="C178">
        <v>0.25</v>
      </c>
      <c r="D178">
        <v>0.22109999999999999</v>
      </c>
      <c r="E178">
        <v>0.23469999999999999</v>
      </c>
      <c r="F178">
        <v>22611844.82</v>
      </c>
      <c r="G178">
        <v>0.23469999999999999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-5.8823529411764934E-2</v>
      </c>
      <c r="Q178">
        <f t="shared" ref="Q178" si="866">F178*P178</f>
        <v>-1330108.5188235345</v>
      </c>
      <c r="R178">
        <f t="shared" ref="R178" si="867">R179+Q178</f>
        <v>-374215616.41070718</v>
      </c>
      <c r="S178">
        <f t="shared" ref="S178" si="868">R178/100000</f>
        <v>-3742.1561641070716</v>
      </c>
      <c r="T178">
        <f t="shared" ref="T178" si="869">S178/1000</f>
        <v>-3.7421561641070715</v>
      </c>
    </row>
    <row r="179" spans="1:20" x14ac:dyDescent="0.25">
      <c r="A179" s="5">
        <v>44414</v>
      </c>
      <c r="B179">
        <v>0.21970000000000001</v>
      </c>
      <c r="C179">
        <v>0.255</v>
      </c>
      <c r="D179">
        <v>0.2135</v>
      </c>
      <c r="E179">
        <v>0.24129999999999999</v>
      </c>
      <c r="F179">
        <v>44391652.049999997</v>
      </c>
      <c r="G179">
        <v>0.24129999999999999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0.33975903614457759</v>
      </c>
      <c r="Q179">
        <f t="shared" ref="Q179" si="871">F179*P179</f>
        <v>15082464.913373461</v>
      </c>
      <c r="R179">
        <f t="shared" ref="R179" si="872">R180+Q179</f>
        <v>-372885507.89188361</v>
      </c>
      <c r="S179">
        <f t="shared" ref="S179" si="873">R179/100000</f>
        <v>-3728.8550789188362</v>
      </c>
      <c r="T179">
        <f t="shared" ref="T179" si="874">S179/1000</f>
        <v>-3.7288550789188362</v>
      </c>
    </row>
    <row r="180" spans="1:20" x14ac:dyDescent="0.25">
      <c r="A180" s="5">
        <v>44413</v>
      </c>
      <c r="B180">
        <v>0.2104</v>
      </c>
      <c r="C180">
        <v>0.2288</v>
      </c>
      <c r="D180">
        <v>0.19400000000000001</v>
      </c>
      <c r="E180">
        <v>0.21990000000000001</v>
      </c>
      <c r="F180">
        <v>31556238.890000001</v>
      </c>
      <c r="G180">
        <v>0.21990000000000001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0.48850574712643724</v>
      </c>
      <c r="Q180">
        <f t="shared" ref="Q180" si="876">F180*P180</f>
        <v>15415404.055459784</v>
      </c>
      <c r="R180">
        <f t="shared" ref="R180" si="877">R181+Q180</f>
        <v>-387967972.80525708</v>
      </c>
      <c r="S180">
        <f t="shared" ref="S180" si="878">R180/100000</f>
        <v>-3879.6797280525707</v>
      </c>
      <c r="T180">
        <f t="shared" ref="T180" si="879">S180/1000</f>
        <v>-3.8796797280525706</v>
      </c>
    </row>
    <row r="181" spans="1:20" x14ac:dyDescent="0.25">
      <c r="A181" s="5">
        <v>44412</v>
      </c>
      <c r="B181">
        <v>0.19489999999999999</v>
      </c>
      <c r="C181">
        <v>0.21199999999999999</v>
      </c>
      <c r="D181">
        <v>0.1946</v>
      </c>
      <c r="E181">
        <v>0.21010000000000001</v>
      </c>
      <c r="F181">
        <v>13799280.49</v>
      </c>
      <c r="G181">
        <v>0.21010000000000001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0.78160919540230056</v>
      </c>
      <c r="Q181">
        <f t="shared" ref="Q181" si="881">F181*P181</f>
        <v>10785644.520919563</v>
      </c>
      <c r="R181">
        <f t="shared" ref="R181" si="882">R182+Q181</f>
        <v>-403383376.86071688</v>
      </c>
      <c r="S181">
        <f t="shared" ref="S181" si="883">R181/100000</f>
        <v>-4033.8337686071686</v>
      </c>
      <c r="T181">
        <f t="shared" ref="T181" si="884">S181/1000</f>
        <v>-4.0338337686071686</v>
      </c>
    </row>
    <row r="182" spans="1:20" x14ac:dyDescent="0.25">
      <c r="A182" s="5">
        <v>44411</v>
      </c>
      <c r="B182">
        <v>0.1966</v>
      </c>
      <c r="C182">
        <v>0.20399999999999999</v>
      </c>
      <c r="D182">
        <v>0.189</v>
      </c>
      <c r="E182">
        <v>0.1953</v>
      </c>
      <c r="F182">
        <v>18603634.739999998</v>
      </c>
      <c r="G182">
        <v>0.1953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-0.1599999999999992</v>
      </c>
      <c r="Q182">
        <f t="shared" ref="Q182" si="886">F182*P182</f>
        <v>-2976581.5583999846</v>
      </c>
      <c r="R182">
        <f t="shared" ref="R182" si="887">R183+Q182</f>
        <v>-414169021.38163644</v>
      </c>
      <c r="S182">
        <f t="shared" ref="S182" si="888">R182/100000</f>
        <v>-4141.6902138163641</v>
      </c>
      <c r="T182">
        <f t="shared" ref="T182" si="889">S182/1000</f>
        <v>-4.1416902138163643</v>
      </c>
    </row>
    <row r="183" spans="1:20" x14ac:dyDescent="0.25">
      <c r="A183" s="5">
        <v>44410</v>
      </c>
      <c r="B183">
        <v>0.2094</v>
      </c>
      <c r="C183">
        <v>0.21190000000000001</v>
      </c>
      <c r="D183">
        <v>0.1948</v>
      </c>
      <c r="E183">
        <v>0.1968</v>
      </c>
      <c r="F183">
        <v>13445121.92</v>
      </c>
      <c r="G183">
        <v>0.1968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-0.76608187134502914</v>
      </c>
      <c r="Q183">
        <f t="shared" ref="Q183" si="891">F183*P183</f>
        <v>-10300064.160935672</v>
      </c>
      <c r="R183">
        <f t="shared" ref="R183" si="892">R184+Q183</f>
        <v>-411192439.82323647</v>
      </c>
      <c r="S183">
        <f t="shared" ref="S183" si="893">R183/100000</f>
        <v>-4111.9243982323651</v>
      </c>
      <c r="T183">
        <f t="shared" ref="T183" si="894">S183/1000</f>
        <v>-4.1119243982323654</v>
      </c>
    </row>
    <row r="184" spans="1:20" x14ac:dyDescent="0.25">
      <c r="A184" s="5">
        <v>44409</v>
      </c>
      <c r="B184">
        <v>0.22389999999999999</v>
      </c>
      <c r="C184">
        <v>0.22700000000000001</v>
      </c>
      <c r="D184">
        <v>0.19950000000000001</v>
      </c>
      <c r="E184">
        <v>0.2092</v>
      </c>
      <c r="F184">
        <v>39798300.270000003</v>
      </c>
      <c r="G184">
        <v>0.2092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-0.29454545454545544</v>
      </c>
      <c r="Q184">
        <f t="shared" ref="Q184" si="896">F184*P184</f>
        <v>-11722408.443163672</v>
      </c>
      <c r="R184">
        <f t="shared" ref="R184" si="897">R185+Q184</f>
        <v>-400892375.66230077</v>
      </c>
      <c r="S184">
        <f t="shared" ref="S184" si="898">R184/100000</f>
        <v>-4008.9237566230076</v>
      </c>
      <c r="T184">
        <f t="shared" ref="T184" si="899">S184/1000</f>
        <v>-4.008923756623008</v>
      </c>
    </row>
    <row r="185" spans="1:20" x14ac:dyDescent="0.25">
      <c r="A185" s="5">
        <v>44408</v>
      </c>
      <c r="B185">
        <v>0.1951</v>
      </c>
      <c r="C185">
        <v>0.23250000000000001</v>
      </c>
      <c r="D185">
        <v>0.189</v>
      </c>
      <c r="E185">
        <v>0.22370000000000001</v>
      </c>
      <c r="F185">
        <v>58318667.789999999</v>
      </c>
      <c r="G185">
        <v>0.22370000000000001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0.59540229885057472</v>
      </c>
      <c r="Q185">
        <f t="shared" ref="Q185" si="901">F185*P185</f>
        <v>34723068.868068963</v>
      </c>
      <c r="R185">
        <f t="shared" ref="R185" si="902">R186+Q185</f>
        <v>-389169967.21913707</v>
      </c>
      <c r="S185">
        <f t="shared" ref="S185" si="903">R185/100000</f>
        <v>-3891.6996721913706</v>
      </c>
      <c r="T185">
        <f t="shared" ref="T185" si="904">S185/1000</f>
        <v>-3.8916996721913706</v>
      </c>
    </row>
    <row r="186" spans="1:20" x14ac:dyDescent="0.25">
      <c r="A186" s="5">
        <v>44407</v>
      </c>
      <c r="B186">
        <v>0.19489999999999999</v>
      </c>
      <c r="C186">
        <v>0.20019999999999999</v>
      </c>
      <c r="D186">
        <v>0.18240000000000001</v>
      </c>
      <c r="E186">
        <v>0.1946</v>
      </c>
      <c r="F186">
        <v>13133433.449999999</v>
      </c>
      <c r="G186">
        <v>0.1946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0.37078651685393266</v>
      </c>
      <c r="Q186">
        <f t="shared" ref="Q186" si="906">F186*P186</f>
        <v>4869700.0432584276</v>
      </c>
      <c r="R186">
        <f t="shared" ref="R186" si="907">R187+Q186</f>
        <v>-423893036.08720601</v>
      </c>
      <c r="S186">
        <f t="shared" ref="S186" si="908">R186/100000</f>
        <v>-4238.9303608720602</v>
      </c>
      <c r="T186">
        <f t="shared" ref="T186" si="909">S186/1000</f>
        <v>-4.2389303608720601</v>
      </c>
    </row>
    <row r="187" spans="1:20" x14ac:dyDescent="0.25">
      <c r="A187" s="5">
        <v>44406</v>
      </c>
      <c r="B187">
        <v>0.20119999999999999</v>
      </c>
      <c r="C187">
        <v>0.2019</v>
      </c>
      <c r="D187">
        <v>0.192</v>
      </c>
      <c r="E187">
        <v>0.19489999999999999</v>
      </c>
      <c r="F187">
        <v>13961001.890000001</v>
      </c>
      <c r="G187">
        <v>0.19489999999999999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-0.41414141414141653</v>
      </c>
      <c r="Q187">
        <f t="shared" ref="Q187" si="911">F187*P187</f>
        <v>-5781829.0655555893</v>
      </c>
      <c r="R187">
        <f t="shared" ref="R187" si="912">R188+Q187</f>
        <v>-428762736.13046443</v>
      </c>
      <c r="S187">
        <f t="shared" ref="S187" si="913">R187/100000</f>
        <v>-4287.6273613046442</v>
      </c>
      <c r="T187">
        <f t="shared" ref="T187" si="914">S187/1000</f>
        <v>-4.2876273613046445</v>
      </c>
    </row>
    <row r="188" spans="1:20" x14ac:dyDescent="0.25">
      <c r="A188" s="5">
        <v>44405</v>
      </c>
      <c r="B188">
        <v>0.20039999999999999</v>
      </c>
      <c r="C188">
        <v>0.21820000000000001</v>
      </c>
      <c r="D188">
        <v>0.19389999999999999</v>
      </c>
      <c r="E188">
        <v>0.20119999999999999</v>
      </c>
      <c r="F188">
        <v>43241849.93</v>
      </c>
      <c r="G188">
        <v>0.20119999999999999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-0.39917695473251058</v>
      </c>
      <c r="Q188">
        <f t="shared" ref="Q188" si="916">F188*P188</f>
        <v>-17261149.972057626</v>
      </c>
      <c r="R188">
        <f t="shared" ref="R188" si="917">R189+Q188</f>
        <v>-422980907.06490886</v>
      </c>
      <c r="S188">
        <f t="shared" ref="S188" si="918">R188/100000</f>
        <v>-4229.8090706490884</v>
      </c>
      <c r="T188">
        <f t="shared" ref="T188" si="919">S188/1000</f>
        <v>-4.2298090706490887</v>
      </c>
    </row>
    <row r="189" spans="1:20" x14ac:dyDescent="0.25">
      <c r="A189" s="5">
        <v>44404</v>
      </c>
      <c r="B189">
        <v>0.1744</v>
      </c>
      <c r="C189">
        <v>0.23769999999999999</v>
      </c>
      <c r="D189">
        <v>0.1663</v>
      </c>
      <c r="E189">
        <v>0.20030000000000001</v>
      </c>
      <c r="F189">
        <v>71041089.849999994</v>
      </c>
      <c r="G189">
        <v>0.20030000000000001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-4.7619047619047436E-2</v>
      </c>
      <c r="Q189">
        <f t="shared" ref="Q189" si="921">F189*P189</f>
        <v>-3382909.0404761774</v>
      </c>
      <c r="R189">
        <f t="shared" ref="R189" si="922">R190+Q189</f>
        <v>-405719757.09285122</v>
      </c>
      <c r="S189">
        <f t="shared" ref="S189" si="923">R189/100000</f>
        <v>-4057.1975709285121</v>
      </c>
      <c r="T189">
        <f t="shared" ref="T189" si="924">S189/1000</f>
        <v>-4.057197570928512</v>
      </c>
    </row>
    <row r="190" spans="1:20" x14ac:dyDescent="0.25">
      <c r="A190" s="5">
        <v>44403</v>
      </c>
      <c r="B190">
        <v>0.18820000000000001</v>
      </c>
      <c r="C190">
        <v>0.19889999999999999</v>
      </c>
      <c r="D190">
        <v>0.17150000000000001</v>
      </c>
      <c r="E190">
        <v>0.1744</v>
      </c>
      <c r="F190">
        <v>31337846.32</v>
      </c>
      <c r="G190">
        <v>0.1744</v>
      </c>
      <c r="L190" t="s">
        <v>7</v>
      </c>
      <c r="M190" t="s">
        <v>7</v>
      </c>
      <c r="N190" t="s">
        <v>8</v>
      </c>
      <c r="P190">
        <f t="shared" ref="P190" si="925">IF(C190=D190,0,((E190-D190)-(C190-E190))/(C190-D190))</f>
        <v>-0.7883211678832126</v>
      </c>
      <c r="Q190">
        <f t="shared" ref="Q190" si="926">F190*P190</f>
        <v>-24704287.609927036</v>
      </c>
      <c r="R190">
        <f t="shared" ref="R190" si="927">R191+Q190</f>
        <v>-402336848.05237502</v>
      </c>
      <c r="S190">
        <f t="shared" ref="S190" si="928">R190/100000</f>
        <v>-4023.3684805237503</v>
      </c>
      <c r="T190">
        <f t="shared" ref="T190" si="929">S190/1000</f>
        <v>-4.0233684805237502</v>
      </c>
    </row>
    <row r="191" spans="1:20" x14ac:dyDescent="0.25">
      <c r="A191" s="5">
        <v>44402</v>
      </c>
      <c r="B191">
        <v>0.17169999999999999</v>
      </c>
      <c r="C191">
        <v>0.21579999999999999</v>
      </c>
      <c r="D191">
        <v>0.1593</v>
      </c>
      <c r="E191">
        <v>0.1885</v>
      </c>
      <c r="F191">
        <v>87095657.060000002</v>
      </c>
      <c r="G191">
        <v>0.1885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3.3628318584071025E-2</v>
      </c>
      <c r="Q191">
        <f t="shared" ref="Q191" si="931">F191*P191</f>
        <v>2928880.502902675</v>
      </c>
      <c r="R191">
        <f t="shared" ref="R191" si="932">R192+Q191</f>
        <v>-377632560.44244796</v>
      </c>
      <c r="S191">
        <f t="shared" ref="S191" si="933">R191/100000</f>
        <v>-3776.3256044244795</v>
      </c>
      <c r="T191">
        <f t="shared" ref="T191:T197" si="934">S191/1000</f>
        <v>-3.7763256044244793</v>
      </c>
    </row>
    <row r="192" spans="1:20" x14ac:dyDescent="0.25">
      <c r="A192" s="5">
        <v>44401</v>
      </c>
      <c r="B192">
        <v>0.16259999999999999</v>
      </c>
      <c r="C192">
        <v>0.1792</v>
      </c>
      <c r="D192">
        <v>0.15740000000000001</v>
      </c>
      <c r="E192">
        <v>0.17180000000000001</v>
      </c>
      <c r="F192">
        <v>29643333.760000002</v>
      </c>
      <c r="G192">
        <v>0.17180000000000001</v>
      </c>
      <c r="L192" t="s">
        <v>8</v>
      </c>
      <c r="M192" t="s">
        <v>7</v>
      </c>
      <c r="N192" t="s">
        <v>8</v>
      </c>
      <c r="P192">
        <f t="shared" ref="P192" si="935">IF(C192=D192,0,((E192-D192)-(C192-E192))/(C192-D192))</f>
        <v>0.32110091743119318</v>
      </c>
      <c r="Q192">
        <f t="shared" ref="Q192" si="936">F192*P192</f>
        <v>9518501.6660550609</v>
      </c>
      <c r="R192">
        <f t="shared" ref="R192" si="937">R193+Q192</f>
        <v>-380561440.94535065</v>
      </c>
      <c r="S192">
        <f t="shared" ref="S192" si="938">R192/100000</f>
        <v>-3805.6144094535066</v>
      </c>
      <c r="T192">
        <f t="shared" si="934"/>
        <v>-3.8056144094535065</v>
      </c>
    </row>
    <row r="193" spans="1:20" x14ac:dyDescent="0.25">
      <c r="A193" s="5">
        <v>44400</v>
      </c>
      <c r="B193">
        <v>0.17199999999999999</v>
      </c>
      <c r="C193">
        <v>0.1744</v>
      </c>
      <c r="D193">
        <v>0.1507</v>
      </c>
      <c r="E193">
        <v>0.16259999999999999</v>
      </c>
      <c r="F193">
        <v>38168154.579999998</v>
      </c>
      <c r="G193">
        <v>0.16259999999999999</v>
      </c>
      <c r="L193" t="s">
        <v>7</v>
      </c>
      <c r="M193" t="s">
        <v>7</v>
      </c>
      <c r="N193" t="s">
        <v>8</v>
      </c>
      <c r="P193">
        <f t="shared" ref="P193" si="939">IF(C193=D193,0,((E193-D193)-(C193-E193))/(C193-D193))</f>
        <v>4.2194092826999575E-3</v>
      </c>
      <c r="Q193">
        <f t="shared" ref="Q193" si="940">F193*P193</f>
        <v>161047.06573837888</v>
      </c>
      <c r="R193">
        <f t="shared" ref="R193" si="941">R194+Q193</f>
        <v>-390079942.61140573</v>
      </c>
      <c r="S193">
        <f t="shared" ref="S193" si="942">R193/100000</f>
        <v>-3900.7994261140575</v>
      </c>
      <c r="T193">
        <f t="shared" si="934"/>
        <v>-3.9007994261140575</v>
      </c>
    </row>
    <row r="194" spans="1:20" x14ac:dyDescent="0.25">
      <c r="A194" s="5">
        <v>44399</v>
      </c>
      <c r="B194">
        <v>0.14180000000000001</v>
      </c>
      <c r="C194">
        <v>0.20580000000000001</v>
      </c>
      <c r="D194">
        <v>0.13980000000000001</v>
      </c>
      <c r="E194">
        <v>0.17249999999999999</v>
      </c>
      <c r="F194">
        <v>106894761.34</v>
      </c>
      <c r="G194">
        <v>0.17249999999999999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-9.0909090909097722E-3</v>
      </c>
      <c r="Q194">
        <f t="shared" ref="Q194" si="944">F194*P194</f>
        <v>-971770.55763643654</v>
      </c>
      <c r="R194">
        <f t="shared" ref="R194" si="945">R195+Q194</f>
        <v>-390240989.67714411</v>
      </c>
      <c r="S194">
        <f t="shared" ref="S194" si="946">R194/100000</f>
        <v>-3902.4098967714413</v>
      </c>
      <c r="T194">
        <f t="shared" si="934"/>
        <v>-3.9024098967714411</v>
      </c>
    </row>
    <row r="195" spans="1:20" x14ac:dyDescent="0.25">
      <c r="A195" s="5">
        <v>44398</v>
      </c>
      <c r="B195">
        <v>0.12859999999999999</v>
      </c>
      <c r="C195">
        <v>0.14599999999999999</v>
      </c>
      <c r="D195">
        <v>0.125</v>
      </c>
      <c r="E195">
        <v>0.14169999999999999</v>
      </c>
      <c r="F195">
        <v>11917402.539999999</v>
      </c>
      <c r="G195">
        <v>0.14169999999999999</v>
      </c>
      <c r="L195" t="s">
        <v>7</v>
      </c>
      <c r="M195" t="s">
        <v>7</v>
      </c>
      <c r="N195" t="s">
        <v>7</v>
      </c>
      <c r="P195">
        <f t="shared" ref="P195" si="947">IF(C195=D195,0,((E195-D195)-(C195-E195))/(C195-D195))</f>
        <v>0.59047619047619049</v>
      </c>
      <c r="Q195">
        <f t="shared" ref="Q195" si="948">F195*P195</f>
        <v>7036942.4521904755</v>
      </c>
      <c r="R195">
        <f t="shared" ref="R195" si="949">R196+Q195</f>
        <v>-389269219.11950767</v>
      </c>
      <c r="S195">
        <f t="shared" ref="S195" si="950">R195/100000</f>
        <v>-3892.6921911950767</v>
      </c>
      <c r="T195">
        <f t="shared" si="934"/>
        <v>-3.8926921911950769</v>
      </c>
    </row>
    <row r="196" spans="1:20" x14ac:dyDescent="0.25">
      <c r="A196" s="5">
        <v>44397</v>
      </c>
      <c r="B196">
        <v>0.14080000000000001</v>
      </c>
      <c r="C196">
        <v>0.14180000000000001</v>
      </c>
      <c r="D196">
        <v>0.12740000000000001</v>
      </c>
      <c r="E196">
        <v>0.12859999999999999</v>
      </c>
      <c r="F196">
        <v>10532731.92</v>
      </c>
      <c r="G196">
        <v>0.12859999999999999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-0.83333333333333626</v>
      </c>
      <c r="Q196">
        <f t="shared" ref="Q196" si="952">F196*P196</f>
        <v>-8777276.6000000313</v>
      </c>
      <c r="R196">
        <f t="shared" ref="R196" si="953">R197+Q196</f>
        <v>-396306161.57169813</v>
      </c>
      <c r="S196">
        <f t="shared" ref="S196" si="954">R196/100000</f>
        <v>-3963.0616157169811</v>
      </c>
      <c r="T196">
        <f t="shared" si="934"/>
        <v>-3.9630616157169811</v>
      </c>
    </row>
    <row r="197" spans="1:20" x14ac:dyDescent="0.25">
      <c r="A197" s="5">
        <v>44396</v>
      </c>
      <c r="B197">
        <v>0.1474</v>
      </c>
      <c r="C197">
        <v>0.16300000000000001</v>
      </c>
      <c r="D197">
        <v>0.13650000000000001</v>
      </c>
      <c r="E197">
        <v>0.14050000000000001</v>
      </c>
      <c r="F197">
        <v>14555681.15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-0.69811320754716955</v>
      </c>
      <c r="Q197">
        <f t="shared" ref="Q197" si="956">F197*P197</f>
        <v>-10161513.255660374</v>
      </c>
      <c r="R197">
        <f t="shared" ref="R197" si="957">R198+Q197</f>
        <v>-387528884.97169811</v>
      </c>
      <c r="S197">
        <f t="shared" ref="S197" si="958">R197/100000</f>
        <v>-3875.2888497169811</v>
      </c>
      <c r="T197">
        <f t="shared" si="934"/>
        <v>-3.8752888497169811</v>
      </c>
    </row>
    <row r="198" spans="1:20" x14ac:dyDescent="0.25">
      <c r="A198" s="5">
        <v>44395</v>
      </c>
      <c r="B198">
        <v>0.14599999999999999</v>
      </c>
      <c r="C198">
        <v>0.15440000000000001</v>
      </c>
      <c r="D198">
        <v>0.14580000000000001</v>
      </c>
      <c r="E198">
        <v>0.14710000000000001</v>
      </c>
      <c r="F198">
        <v>3911533.35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-0.69767441860465207</v>
      </c>
      <c r="Q198">
        <f t="shared" ref="Q198:Q261" si="960">F198*P198</f>
        <v>-2728976.7558139572</v>
      </c>
      <c r="R198">
        <f t="shared" ref="R198:R261" si="961">R199+Q198</f>
        <v>-377367371.71603775</v>
      </c>
      <c r="S198">
        <f t="shared" ref="S198:S261" si="962">R198/100000</f>
        <v>-3773.6737171603777</v>
      </c>
      <c r="T198">
        <f t="shared" ref="T198:T261" si="963">S198/1000</f>
        <v>-3.7736737171603778</v>
      </c>
    </row>
    <row r="199" spans="1:20" x14ac:dyDescent="0.25">
      <c r="A199" s="5">
        <v>44394</v>
      </c>
      <c r="B199">
        <v>0.14710000000000001</v>
      </c>
      <c r="C199">
        <v>0.151</v>
      </c>
      <c r="D199">
        <v>0.14449999999999999</v>
      </c>
      <c r="E199">
        <v>0.1459</v>
      </c>
      <c r="F199">
        <v>4237923.24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-0.56923076923076577</v>
      </c>
      <c r="Q199">
        <f t="shared" si="960"/>
        <v>-2412356.3058461393</v>
      </c>
      <c r="R199">
        <f t="shared" si="961"/>
        <v>-374638394.96022379</v>
      </c>
      <c r="S199">
        <f t="shared" si="962"/>
        <v>-3746.3839496022379</v>
      </c>
      <c r="T199">
        <f t="shared" si="963"/>
        <v>-3.746383949602238</v>
      </c>
    </row>
    <row r="200" spans="1:20" x14ac:dyDescent="0.25">
      <c r="A200" s="5">
        <v>44393</v>
      </c>
      <c r="B200">
        <v>0.158</v>
      </c>
      <c r="C200">
        <v>0.1593</v>
      </c>
      <c r="D200">
        <v>0.1462</v>
      </c>
      <c r="E200">
        <v>0.1472</v>
      </c>
      <c r="F200">
        <v>8172417.6299999999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-0.84732824427480902</v>
      </c>
      <c r="Q200">
        <f t="shared" si="960"/>
        <v>-6924720.2819083957</v>
      </c>
      <c r="R200">
        <f t="shared" si="961"/>
        <v>-372226038.65437764</v>
      </c>
      <c r="S200">
        <f t="shared" si="962"/>
        <v>-3722.2603865437763</v>
      </c>
      <c r="T200">
        <f t="shared" si="963"/>
        <v>-3.7222603865437764</v>
      </c>
    </row>
    <row r="201" spans="1:20" x14ac:dyDescent="0.25">
      <c r="A201" s="5">
        <v>44392</v>
      </c>
      <c r="B201">
        <v>0.16170000000000001</v>
      </c>
      <c r="C201">
        <v>0.16750000000000001</v>
      </c>
      <c r="D201">
        <v>0.15579999999999999</v>
      </c>
      <c r="E201">
        <v>0.15770000000000001</v>
      </c>
      <c r="F201">
        <v>12424595.029999999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-0.67521367521367348</v>
      </c>
      <c r="Q201">
        <f t="shared" si="960"/>
        <v>-8389256.473247841</v>
      </c>
      <c r="R201">
        <f t="shared" si="961"/>
        <v>-365301318.37246925</v>
      </c>
      <c r="S201">
        <f t="shared" si="962"/>
        <v>-3653.0131837246927</v>
      </c>
      <c r="T201">
        <f t="shared" si="963"/>
        <v>-3.6530131837246929</v>
      </c>
    </row>
    <row r="202" spans="1:20" x14ac:dyDescent="0.25">
      <c r="A202" s="5">
        <v>44391</v>
      </c>
      <c r="B202">
        <v>0.16550000000000001</v>
      </c>
      <c r="C202">
        <v>0.1691</v>
      </c>
      <c r="D202">
        <v>0.15720000000000001</v>
      </c>
      <c r="E202">
        <v>0.16170000000000001</v>
      </c>
      <c r="F202">
        <v>17709403.920000002</v>
      </c>
      <c r="G202">
        <v>0</v>
      </c>
      <c r="L202" t="s">
        <v>7</v>
      </c>
      <c r="M202" t="s">
        <v>8</v>
      </c>
      <c r="N202" t="s">
        <v>8</v>
      </c>
      <c r="P202">
        <f t="shared" si="959"/>
        <v>-0.24369747899159558</v>
      </c>
      <c r="Q202">
        <f t="shared" si="960"/>
        <v>-4315737.0897478806</v>
      </c>
      <c r="R202">
        <f t="shared" si="961"/>
        <v>-356912061.89922142</v>
      </c>
      <c r="S202">
        <f t="shared" si="962"/>
        <v>-3569.1206189922141</v>
      </c>
      <c r="T202">
        <f t="shared" si="963"/>
        <v>-3.5691206189922142</v>
      </c>
    </row>
    <row r="203" spans="1:20" x14ac:dyDescent="0.25">
      <c r="A203" s="5">
        <v>44390</v>
      </c>
      <c r="B203">
        <v>0.17180000000000001</v>
      </c>
      <c r="C203">
        <v>0.1772</v>
      </c>
      <c r="D203">
        <v>0.16520000000000001</v>
      </c>
      <c r="E203">
        <v>0.1653</v>
      </c>
      <c r="F203">
        <v>10653050.65</v>
      </c>
      <c r="G203">
        <v>0</v>
      </c>
      <c r="L203" t="s">
        <v>7</v>
      </c>
      <c r="M203" t="s">
        <v>8</v>
      </c>
      <c r="N203" t="s">
        <v>8</v>
      </c>
      <c r="P203">
        <f t="shared" si="959"/>
        <v>-0.98333333333333517</v>
      </c>
      <c r="Q203">
        <f t="shared" si="960"/>
        <v>-10475499.805833353</v>
      </c>
      <c r="R203">
        <f t="shared" si="961"/>
        <v>-352596324.80947351</v>
      </c>
      <c r="S203">
        <f t="shared" si="962"/>
        <v>-3525.9632480947353</v>
      </c>
      <c r="T203">
        <f t="shared" si="963"/>
        <v>-3.5259632480947354</v>
      </c>
    </row>
    <row r="204" spans="1:20" x14ac:dyDescent="0.25">
      <c r="A204" s="5">
        <v>44389</v>
      </c>
      <c r="B204">
        <v>0.17469999999999999</v>
      </c>
      <c r="C204">
        <v>0.18779999999999999</v>
      </c>
      <c r="D204">
        <v>0.16839999999999999</v>
      </c>
      <c r="E204">
        <v>0.1719</v>
      </c>
      <c r="F204">
        <v>10340596.82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-0.63917525773195849</v>
      </c>
      <c r="Q204">
        <f t="shared" si="960"/>
        <v>-6609453.6375257708</v>
      </c>
      <c r="R204">
        <f t="shared" si="961"/>
        <v>-342120825.00364017</v>
      </c>
      <c r="S204">
        <f t="shared" si="962"/>
        <v>-3421.2082500364018</v>
      </c>
      <c r="T204">
        <f t="shared" si="963"/>
        <v>-3.4212082500364018</v>
      </c>
    </row>
    <row r="205" spans="1:20" x14ac:dyDescent="0.25">
      <c r="A205" s="5">
        <v>44388</v>
      </c>
      <c r="B205">
        <v>0.17119999999999999</v>
      </c>
      <c r="C205">
        <v>0.1779</v>
      </c>
      <c r="D205">
        <v>0.1681</v>
      </c>
      <c r="E205">
        <v>0.17530000000000001</v>
      </c>
      <c r="F205">
        <v>5957189.0099999998</v>
      </c>
      <c r="G205">
        <v>0</v>
      </c>
      <c r="L205" t="s">
        <v>7</v>
      </c>
      <c r="M205" t="s">
        <v>8</v>
      </c>
      <c r="N205" t="s">
        <v>8</v>
      </c>
      <c r="P205">
        <f t="shared" si="959"/>
        <v>0.46938775510204278</v>
      </c>
      <c r="Q205">
        <f t="shared" si="960"/>
        <v>2796231.5761224604</v>
      </c>
      <c r="R205">
        <f t="shared" si="961"/>
        <v>-335511371.36611438</v>
      </c>
      <c r="S205">
        <f t="shared" si="962"/>
        <v>-3355.1137136611437</v>
      </c>
      <c r="T205">
        <f t="shared" si="963"/>
        <v>-3.3551137136611437</v>
      </c>
    </row>
    <row r="206" spans="1:20" x14ac:dyDescent="0.25">
      <c r="A206" s="5">
        <v>44387</v>
      </c>
      <c r="B206">
        <v>0.1792</v>
      </c>
      <c r="C206">
        <v>0.18379999999999999</v>
      </c>
      <c r="D206">
        <v>0.1656</v>
      </c>
      <c r="E206">
        <v>0.17130000000000001</v>
      </c>
      <c r="F206">
        <v>8998853.0500000007</v>
      </c>
      <c r="G206">
        <v>0</v>
      </c>
      <c r="L206" t="s">
        <v>7</v>
      </c>
      <c r="M206" t="s">
        <v>8</v>
      </c>
      <c r="N206" t="s">
        <v>8</v>
      </c>
      <c r="P206">
        <f t="shared" si="959"/>
        <v>-0.37362637362637224</v>
      </c>
      <c r="Q206">
        <f t="shared" si="960"/>
        <v>-3362208.8318681195</v>
      </c>
      <c r="R206">
        <f t="shared" si="961"/>
        <v>-338307602.94223684</v>
      </c>
      <c r="S206">
        <f t="shared" si="962"/>
        <v>-3383.0760294223683</v>
      </c>
      <c r="T206">
        <f t="shared" si="963"/>
        <v>-3.3830760294223681</v>
      </c>
    </row>
    <row r="207" spans="1:20" x14ac:dyDescent="0.25">
      <c r="A207" s="5">
        <v>44386</v>
      </c>
      <c r="B207">
        <v>0.16059999999999999</v>
      </c>
      <c r="C207">
        <v>0.18490000000000001</v>
      </c>
      <c r="D207">
        <v>0.15709999999999999</v>
      </c>
      <c r="E207">
        <v>0.1792</v>
      </c>
      <c r="F207">
        <v>27541469.98</v>
      </c>
      <c r="G207">
        <v>0</v>
      </c>
      <c r="L207" t="s">
        <v>8</v>
      </c>
      <c r="M207" t="s">
        <v>8</v>
      </c>
      <c r="N207" t="s">
        <v>8</v>
      </c>
      <c r="P207">
        <f t="shared" si="959"/>
        <v>0.58992805755395639</v>
      </c>
      <c r="Q207">
        <f t="shared" si="960"/>
        <v>16247485.887482002</v>
      </c>
      <c r="R207">
        <f t="shared" si="961"/>
        <v>-334945394.11036873</v>
      </c>
      <c r="S207">
        <f t="shared" si="962"/>
        <v>-3349.4539411036872</v>
      </c>
      <c r="T207">
        <f t="shared" si="963"/>
        <v>-3.349453941103687</v>
      </c>
    </row>
    <row r="208" spans="1:20" x14ac:dyDescent="0.25">
      <c r="A208" s="5">
        <v>44385</v>
      </c>
      <c r="B208">
        <v>0.1666</v>
      </c>
      <c r="C208">
        <v>0.1678</v>
      </c>
      <c r="D208">
        <v>0.15210000000000001</v>
      </c>
      <c r="E208">
        <v>0.16039999999999999</v>
      </c>
      <c r="F208">
        <v>12690100.48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5.7324840764328464E-2</v>
      </c>
      <c r="Q208">
        <f t="shared" si="960"/>
        <v>727457.98929932818</v>
      </c>
      <c r="R208">
        <f t="shared" si="961"/>
        <v>-351192879.99785072</v>
      </c>
      <c r="S208">
        <f t="shared" si="962"/>
        <v>-3511.928799978507</v>
      </c>
      <c r="T208">
        <f t="shared" si="963"/>
        <v>-3.5119287999785072</v>
      </c>
    </row>
    <row r="209" spans="1:20" x14ac:dyDescent="0.25">
      <c r="A209" s="5">
        <v>44384</v>
      </c>
      <c r="B209">
        <v>0.16470000000000001</v>
      </c>
      <c r="C209">
        <v>0.18690000000000001</v>
      </c>
      <c r="D209">
        <v>0.1618</v>
      </c>
      <c r="E209">
        <v>0.16689999999999999</v>
      </c>
      <c r="F209">
        <v>24134812.850000001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-0.59362549800796882</v>
      </c>
      <c r="Q209">
        <f t="shared" si="960"/>
        <v>-14327040.297410376</v>
      </c>
      <c r="R209">
        <f t="shared" si="961"/>
        <v>-351920337.98715007</v>
      </c>
      <c r="S209">
        <f t="shared" si="962"/>
        <v>-3519.2033798715006</v>
      </c>
      <c r="T209">
        <f t="shared" si="963"/>
        <v>-3.5192033798715006</v>
      </c>
    </row>
    <row r="210" spans="1:20" x14ac:dyDescent="0.25">
      <c r="A210" s="5">
        <v>44383</v>
      </c>
      <c r="B210">
        <v>0.16039999999999999</v>
      </c>
      <c r="C210">
        <v>0.1704</v>
      </c>
      <c r="D210">
        <v>0.1598</v>
      </c>
      <c r="E210">
        <v>0.16520000000000001</v>
      </c>
      <c r="F210">
        <v>12375715.23</v>
      </c>
      <c r="G210">
        <v>0</v>
      </c>
      <c r="L210" t="s">
        <v>7</v>
      </c>
      <c r="M210" t="s">
        <v>7</v>
      </c>
      <c r="N210" t="s">
        <v>8</v>
      </c>
      <c r="P210">
        <f t="shared" si="959"/>
        <v>1.886792452830505E-2</v>
      </c>
      <c r="Q210">
        <f t="shared" si="960"/>
        <v>233504.06094343538</v>
      </c>
      <c r="R210">
        <f t="shared" si="961"/>
        <v>-337593297.6897397</v>
      </c>
      <c r="S210">
        <f t="shared" si="962"/>
        <v>-3375.9329768973971</v>
      </c>
      <c r="T210">
        <f t="shared" si="963"/>
        <v>-3.3759329768973969</v>
      </c>
    </row>
    <row r="211" spans="1:20" x14ac:dyDescent="0.25">
      <c r="A211" s="5">
        <v>44382</v>
      </c>
      <c r="B211">
        <v>0.16220000000000001</v>
      </c>
      <c r="C211">
        <v>0.17499999999999999</v>
      </c>
      <c r="D211">
        <v>0.1545</v>
      </c>
      <c r="E211">
        <v>0.1605</v>
      </c>
      <c r="F211">
        <v>15265366.24</v>
      </c>
      <c r="G211">
        <v>0</v>
      </c>
      <c r="L211" t="s">
        <v>8</v>
      </c>
      <c r="M211" t="s">
        <v>7</v>
      </c>
      <c r="N211" t="s">
        <v>8</v>
      </c>
      <c r="P211">
        <f t="shared" si="959"/>
        <v>-0.41463414634146262</v>
      </c>
      <c r="Q211">
        <f t="shared" si="960"/>
        <v>-6329542.0995121831</v>
      </c>
      <c r="R211">
        <f t="shared" si="961"/>
        <v>-337826801.75068313</v>
      </c>
      <c r="S211">
        <f t="shared" si="962"/>
        <v>-3378.2680175068313</v>
      </c>
      <c r="T211">
        <f t="shared" si="963"/>
        <v>-3.3782680175068314</v>
      </c>
    </row>
    <row r="212" spans="1:20" x14ac:dyDescent="0.25">
      <c r="A212" s="5">
        <v>44381</v>
      </c>
      <c r="B212">
        <v>0.15820000000000001</v>
      </c>
      <c r="C212">
        <v>0.16869999999999999</v>
      </c>
      <c r="D212">
        <v>0.15459999999999999</v>
      </c>
      <c r="E212">
        <v>0.1623</v>
      </c>
      <c r="F212">
        <v>16063710.1</v>
      </c>
      <c r="G212">
        <v>0</v>
      </c>
      <c r="L212" t="s">
        <v>7</v>
      </c>
      <c r="M212" t="s">
        <v>7</v>
      </c>
      <c r="N212" t="s">
        <v>8</v>
      </c>
      <c r="P212">
        <f t="shared" si="959"/>
        <v>9.2198581560285334E-2</v>
      </c>
      <c r="Q212">
        <f t="shared" si="960"/>
        <v>1481051.2858156292</v>
      </c>
      <c r="R212">
        <f t="shared" si="961"/>
        <v>-331497259.65117097</v>
      </c>
      <c r="S212">
        <f t="shared" si="962"/>
        <v>-3314.9725965117095</v>
      </c>
      <c r="T212">
        <f t="shared" si="963"/>
        <v>-3.3149725965117094</v>
      </c>
    </row>
    <row r="213" spans="1:20" x14ac:dyDescent="0.25">
      <c r="A213" s="5">
        <v>44380</v>
      </c>
      <c r="B213">
        <v>0.15659999999999999</v>
      </c>
      <c r="C213">
        <v>0.16900000000000001</v>
      </c>
      <c r="D213">
        <v>0.1535</v>
      </c>
      <c r="E213">
        <v>0.15790000000000001</v>
      </c>
      <c r="F213">
        <v>14063098.539999999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-0.43225806451612758</v>
      </c>
      <c r="Q213">
        <f t="shared" si="960"/>
        <v>-6078887.7559999796</v>
      </c>
      <c r="R213">
        <f t="shared" si="961"/>
        <v>-332978310.93698663</v>
      </c>
      <c r="S213">
        <f t="shared" si="962"/>
        <v>-3329.7831093698665</v>
      </c>
      <c r="T213">
        <f t="shared" si="963"/>
        <v>-3.3297831093698664</v>
      </c>
    </row>
    <row r="214" spans="1:20" x14ac:dyDescent="0.25">
      <c r="A214" s="5">
        <v>44379</v>
      </c>
      <c r="B214">
        <v>0.15709999999999999</v>
      </c>
      <c r="C214">
        <v>0.16700000000000001</v>
      </c>
      <c r="D214">
        <v>0.14979999999999999</v>
      </c>
      <c r="E214">
        <v>0.1565</v>
      </c>
      <c r="F214">
        <v>10115085.960000001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-0.22093023255813915</v>
      </c>
      <c r="Q214">
        <f t="shared" si="960"/>
        <v>-2234728.2934883684</v>
      </c>
      <c r="R214">
        <f t="shared" si="961"/>
        <v>-326899423.18098664</v>
      </c>
      <c r="S214">
        <f t="shared" si="962"/>
        <v>-3268.9942318098665</v>
      </c>
      <c r="T214">
        <f t="shared" si="963"/>
        <v>-3.2689942318098666</v>
      </c>
    </row>
    <row r="215" spans="1:20" x14ac:dyDescent="0.25">
      <c r="A215" s="5">
        <v>44378</v>
      </c>
      <c r="B215">
        <v>0.16289999999999999</v>
      </c>
      <c r="C215">
        <v>0.16289999999999999</v>
      </c>
      <c r="D215">
        <v>0.153</v>
      </c>
      <c r="E215">
        <v>0.15759999999999999</v>
      </c>
      <c r="F215">
        <v>3442548.97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-7.0707070707071384E-2</v>
      </c>
      <c r="Q215">
        <f t="shared" si="960"/>
        <v>-243412.55343434578</v>
      </c>
      <c r="R215">
        <f t="shared" si="961"/>
        <v>-324664694.88749826</v>
      </c>
      <c r="S215">
        <f t="shared" si="962"/>
        <v>-3246.6469488749826</v>
      </c>
      <c r="T215">
        <f t="shared" si="963"/>
        <v>-3.2466469488749827</v>
      </c>
    </row>
    <row r="216" spans="1:20" x14ac:dyDescent="0.25">
      <c r="A216" s="5">
        <v>44377</v>
      </c>
      <c r="B216">
        <v>0.16750000000000001</v>
      </c>
      <c r="C216">
        <v>0.17230000000000001</v>
      </c>
      <c r="D216">
        <v>0.15440000000000001</v>
      </c>
      <c r="E216">
        <v>0.1628</v>
      </c>
      <c r="F216">
        <v>6982556.3200000003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-6.1452513966481437E-2</v>
      </c>
      <c r="Q216">
        <f t="shared" si="960"/>
        <v>-429095.63977654325</v>
      </c>
      <c r="R216">
        <f t="shared" si="961"/>
        <v>-324421282.33406389</v>
      </c>
      <c r="S216">
        <f t="shared" si="962"/>
        <v>-3244.2128233406388</v>
      </c>
      <c r="T216">
        <f t="shared" si="963"/>
        <v>-3.2442128233406389</v>
      </c>
    </row>
    <row r="217" spans="1:20" x14ac:dyDescent="0.25">
      <c r="A217" s="5">
        <v>44376</v>
      </c>
      <c r="B217">
        <v>0.1585</v>
      </c>
      <c r="C217">
        <v>0.19</v>
      </c>
      <c r="D217">
        <v>0.15809999999999999</v>
      </c>
      <c r="E217">
        <v>0.16739999999999999</v>
      </c>
      <c r="F217">
        <v>10852948.23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-0.41692789968652044</v>
      </c>
      <c r="Q217">
        <f t="shared" si="960"/>
        <v>-4524896.9109404394</v>
      </c>
      <c r="R217">
        <f t="shared" si="961"/>
        <v>-323992186.69428736</v>
      </c>
      <c r="S217">
        <f t="shared" si="962"/>
        <v>-3239.9218669428737</v>
      </c>
      <c r="T217">
        <f t="shared" si="963"/>
        <v>-3.2399218669428738</v>
      </c>
    </row>
    <row r="218" spans="1:20" x14ac:dyDescent="0.25">
      <c r="A218" s="5">
        <v>44375</v>
      </c>
      <c r="B218">
        <v>0.156</v>
      </c>
      <c r="C218">
        <v>0.16009999999999999</v>
      </c>
      <c r="D218">
        <v>0.1515</v>
      </c>
      <c r="E218">
        <v>0.1583</v>
      </c>
      <c r="F218">
        <v>7241203.2000000002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0.58139534883721</v>
      </c>
      <c r="Q218">
        <f t="shared" si="960"/>
        <v>4210001.8604651215</v>
      </c>
      <c r="R218">
        <f t="shared" si="961"/>
        <v>-319467289.78334689</v>
      </c>
      <c r="S218">
        <f t="shared" si="962"/>
        <v>-3194.6728978334691</v>
      </c>
      <c r="T218">
        <f t="shared" si="963"/>
        <v>-3.1946728978334691</v>
      </c>
    </row>
    <row r="219" spans="1:20" x14ac:dyDescent="0.25">
      <c r="A219" s="5">
        <v>44374</v>
      </c>
      <c r="B219">
        <v>0.1414</v>
      </c>
      <c r="C219">
        <v>0.15970000000000001</v>
      </c>
      <c r="D219">
        <v>0.1406</v>
      </c>
      <c r="E219">
        <v>0.15559999999999999</v>
      </c>
      <c r="F219">
        <v>9399223.0800000001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0.5706806282722493</v>
      </c>
      <c r="Q219">
        <f t="shared" si="960"/>
        <v>5363954.5325654261</v>
      </c>
      <c r="R219">
        <f t="shared" si="961"/>
        <v>-323677291.643812</v>
      </c>
      <c r="S219">
        <f t="shared" si="962"/>
        <v>-3236.7729164381199</v>
      </c>
      <c r="T219">
        <f t="shared" si="963"/>
        <v>-3.2367729164381198</v>
      </c>
    </row>
    <row r="220" spans="1:20" x14ac:dyDescent="0.25">
      <c r="A220" s="5">
        <v>44373</v>
      </c>
      <c r="B220">
        <v>0.1464</v>
      </c>
      <c r="C220">
        <v>0.14960000000000001</v>
      </c>
      <c r="D220">
        <v>0.13789999999999999</v>
      </c>
      <c r="E220">
        <v>0.1411</v>
      </c>
      <c r="F220">
        <v>8719206.6099999994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-0.45299145299145233</v>
      </c>
      <c r="Q220">
        <f t="shared" si="960"/>
        <v>-3949726.0711965752</v>
      </c>
      <c r="R220">
        <f t="shared" si="961"/>
        <v>-329041246.17637742</v>
      </c>
      <c r="S220">
        <f t="shared" si="962"/>
        <v>-3290.412461763774</v>
      </c>
      <c r="T220">
        <f t="shared" si="963"/>
        <v>-3.2904124617637738</v>
      </c>
    </row>
    <row r="221" spans="1:20" x14ac:dyDescent="0.25">
      <c r="A221" s="5">
        <v>44372</v>
      </c>
      <c r="B221">
        <v>0.1573</v>
      </c>
      <c r="C221">
        <v>0.16619999999999999</v>
      </c>
      <c r="D221">
        <v>0.14360000000000001</v>
      </c>
      <c r="E221">
        <v>0.14779999999999999</v>
      </c>
      <c r="F221">
        <v>7099745.75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-0.62831858407079777</v>
      </c>
      <c r="Q221">
        <f t="shared" si="960"/>
        <v>-4460902.1969026644</v>
      </c>
      <c r="R221">
        <f t="shared" si="961"/>
        <v>-325091520.10518086</v>
      </c>
      <c r="S221">
        <f t="shared" si="962"/>
        <v>-3250.9152010518087</v>
      </c>
      <c r="T221">
        <f t="shared" si="963"/>
        <v>-3.2509152010518085</v>
      </c>
    </row>
    <row r="222" spans="1:20" x14ac:dyDescent="0.25">
      <c r="A222" s="5">
        <v>44371</v>
      </c>
      <c r="B222">
        <v>0.161</v>
      </c>
      <c r="C222">
        <v>0.1681</v>
      </c>
      <c r="D222">
        <v>0.1525</v>
      </c>
      <c r="E222">
        <v>0.15740000000000001</v>
      </c>
      <c r="F222">
        <v>13391253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-0.37179487179486992</v>
      </c>
      <c r="Q222">
        <f t="shared" si="960"/>
        <v>-4978799.1923076669</v>
      </c>
      <c r="R222">
        <f t="shared" si="961"/>
        <v>-320630617.90827817</v>
      </c>
      <c r="S222">
        <f t="shared" si="962"/>
        <v>-3206.3061790827815</v>
      </c>
      <c r="T222">
        <f t="shared" si="963"/>
        <v>-3.2063061790827816</v>
      </c>
    </row>
    <row r="223" spans="1:20" x14ac:dyDescent="0.25">
      <c r="A223" s="5">
        <v>44370</v>
      </c>
      <c r="B223">
        <v>0.14660000000000001</v>
      </c>
      <c r="C223">
        <v>0.16719999999999999</v>
      </c>
      <c r="D223">
        <v>0.14430000000000001</v>
      </c>
      <c r="E223">
        <v>0.16089999999999999</v>
      </c>
      <c r="F223">
        <v>9651363.9000000004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0.44978165938864573</v>
      </c>
      <c r="Q223">
        <f t="shared" si="960"/>
        <v>4341006.4703056719</v>
      </c>
      <c r="R223">
        <f t="shared" si="961"/>
        <v>-315651818.71597052</v>
      </c>
      <c r="S223">
        <f t="shared" si="962"/>
        <v>-3156.5181871597051</v>
      </c>
      <c r="T223">
        <f t="shared" si="963"/>
        <v>-3.1565181871597052</v>
      </c>
    </row>
    <row r="224" spans="1:20" x14ac:dyDescent="0.25">
      <c r="A224" s="5">
        <v>44369</v>
      </c>
      <c r="B224">
        <v>0.15809999999999999</v>
      </c>
      <c r="C224">
        <v>0.16320000000000001</v>
      </c>
      <c r="D224">
        <v>0.13389999999999999</v>
      </c>
      <c r="E224">
        <v>0.1464</v>
      </c>
      <c r="F224">
        <v>14697095.68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-0.14675767918088722</v>
      </c>
      <c r="Q224">
        <f t="shared" si="960"/>
        <v>-2156911.6526962435</v>
      </c>
      <c r="R224">
        <f t="shared" si="961"/>
        <v>-319992825.1862762</v>
      </c>
      <c r="S224">
        <f t="shared" si="962"/>
        <v>-3199.928251862762</v>
      </c>
      <c r="T224">
        <f t="shared" si="963"/>
        <v>-3.1999282518627621</v>
      </c>
    </row>
    <row r="225" spans="1:20" x14ac:dyDescent="0.25">
      <c r="A225" s="5">
        <v>44368</v>
      </c>
      <c r="B225">
        <v>0.19339999999999999</v>
      </c>
      <c r="C225">
        <v>0.19539999999999999</v>
      </c>
      <c r="D225">
        <v>0.15540000000000001</v>
      </c>
      <c r="E225">
        <v>0.15770000000000001</v>
      </c>
      <c r="F225">
        <v>10665369.16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-0.88500000000000012</v>
      </c>
      <c r="Q225">
        <f t="shared" si="960"/>
        <v>-9438851.7066000011</v>
      </c>
      <c r="R225">
        <f t="shared" si="961"/>
        <v>-317835913.53357995</v>
      </c>
      <c r="S225">
        <f t="shared" si="962"/>
        <v>-3178.3591353357992</v>
      </c>
      <c r="T225">
        <f t="shared" si="963"/>
        <v>-3.1783591353357994</v>
      </c>
    </row>
    <row r="226" spans="1:20" x14ac:dyDescent="0.25">
      <c r="A226" s="5">
        <v>44367</v>
      </c>
      <c r="B226">
        <v>0.19009999999999999</v>
      </c>
      <c r="C226">
        <v>0.1951</v>
      </c>
      <c r="D226">
        <v>0.17949999999999999</v>
      </c>
      <c r="E226">
        <v>0.19339999999999999</v>
      </c>
      <c r="F226">
        <v>5881609.2800000003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0.78205128205128116</v>
      </c>
      <c r="Q226">
        <f t="shared" si="960"/>
        <v>4599720.0779487127</v>
      </c>
      <c r="R226">
        <f t="shared" si="961"/>
        <v>-308397061.82697994</v>
      </c>
      <c r="S226">
        <f t="shared" si="962"/>
        <v>-3083.9706182697992</v>
      </c>
      <c r="T226">
        <f t="shared" si="963"/>
        <v>-3.0839706182697992</v>
      </c>
    </row>
    <row r="227" spans="1:20" x14ac:dyDescent="0.25">
      <c r="A227" s="5">
        <v>44366</v>
      </c>
      <c r="B227">
        <v>0.1946</v>
      </c>
      <c r="C227">
        <v>0.19980000000000001</v>
      </c>
      <c r="D227">
        <v>0.18970000000000001</v>
      </c>
      <c r="E227">
        <v>0.19040000000000001</v>
      </c>
      <c r="F227">
        <v>6127328.7000000002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-0.86138613861386015</v>
      </c>
      <c r="Q227">
        <f t="shared" si="960"/>
        <v>-5277996.0089108841</v>
      </c>
      <c r="R227">
        <f t="shared" si="961"/>
        <v>-312996781.90492862</v>
      </c>
      <c r="S227">
        <f t="shared" si="962"/>
        <v>-3129.9678190492864</v>
      </c>
      <c r="T227">
        <f t="shared" si="963"/>
        <v>-3.1299678190492863</v>
      </c>
    </row>
    <row r="228" spans="1:20" x14ac:dyDescent="0.25">
      <c r="A228" s="5">
        <v>44365</v>
      </c>
      <c r="B228">
        <v>0.2072</v>
      </c>
      <c r="C228">
        <v>0.2107</v>
      </c>
      <c r="D228">
        <v>0.19</v>
      </c>
      <c r="E228">
        <v>0.1943</v>
      </c>
      <c r="F228">
        <v>5474590.2599999998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-0.58454106280193241</v>
      </c>
      <c r="Q228">
        <f t="shared" si="960"/>
        <v>-3200122.8089855071</v>
      </c>
      <c r="R228">
        <f t="shared" si="961"/>
        <v>-307718785.89601773</v>
      </c>
      <c r="S228">
        <f t="shared" si="962"/>
        <v>-3077.1878589601774</v>
      </c>
      <c r="T228">
        <f t="shared" si="963"/>
        <v>-3.0771878589601775</v>
      </c>
    </row>
    <row r="229" spans="1:20" x14ac:dyDescent="0.25">
      <c r="A229" s="5">
        <v>44364</v>
      </c>
      <c r="B229">
        <v>0.2112</v>
      </c>
      <c r="C229">
        <v>0.223</v>
      </c>
      <c r="D229">
        <v>0.20230000000000001</v>
      </c>
      <c r="E229">
        <v>0.2072</v>
      </c>
      <c r="F229">
        <v>7769252.3600000003</v>
      </c>
      <c r="G229">
        <v>0</v>
      </c>
      <c r="L229" t="s">
        <v>8</v>
      </c>
      <c r="M229" t="s">
        <v>7</v>
      </c>
      <c r="N229" t="s">
        <v>7</v>
      </c>
      <c r="P229">
        <f t="shared" si="959"/>
        <v>-0.52657004830917986</v>
      </c>
      <c r="Q229">
        <f t="shared" si="960"/>
        <v>-4091055.5905314097</v>
      </c>
      <c r="R229">
        <f t="shared" si="961"/>
        <v>-304518663.0870322</v>
      </c>
      <c r="S229">
        <f t="shared" si="962"/>
        <v>-3045.186630870322</v>
      </c>
      <c r="T229">
        <f t="shared" si="963"/>
        <v>-3.0451866308703219</v>
      </c>
    </row>
    <row r="230" spans="1:20" x14ac:dyDescent="0.25">
      <c r="A230" s="5">
        <v>44363</v>
      </c>
      <c r="B230">
        <v>0.23219999999999999</v>
      </c>
      <c r="C230">
        <v>0.2329</v>
      </c>
      <c r="D230">
        <v>0.20430000000000001</v>
      </c>
      <c r="E230">
        <v>0.21129999999999999</v>
      </c>
      <c r="F230">
        <v>14050019.85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-0.51048951048951174</v>
      </c>
      <c r="Q230">
        <f t="shared" si="960"/>
        <v>-7172387.755594423</v>
      </c>
      <c r="R230">
        <f t="shared" si="961"/>
        <v>-300427607.49650079</v>
      </c>
      <c r="S230">
        <f t="shared" si="962"/>
        <v>-3004.2760749650079</v>
      </c>
      <c r="T230">
        <f t="shared" si="963"/>
        <v>-3.0042760749650079</v>
      </c>
    </row>
    <row r="231" spans="1:20" x14ac:dyDescent="0.25">
      <c r="A231" s="5">
        <v>44362</v>
      </c>
      <c r="B231">
        <v>0.21110000000000001</v>
      </c>
      <c r="C231">
        <v>0.2586</v>
      </c>
      <c r="D231">
        <v>0.2084</v>
      </c>
      <c r="E231">
        <v>0.2319</v>
      </c>
      <c r="F231">
        <v>33554116.420000002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-6.3745019920318904E-2</v>
      </c>
      <c r="Q231">
        <f t="shared" si="960"/>
        <v>-2138907.8196015996</v>
      </c>
      <c r="R231">
        <f t="shared" si="961"/>
        <v>-293255219.74090636</v>
      </c>
      <c r="S231">
        <f t="shared" si="962"/>
        <v>-2932.5521974090634</v>
      </c>
      <c r="T231">
        <f t="shared" si="963"/>
        <v>-2.9325521974090636</v>
      </c>
    </row>
    <row r="232" spans="1:20" x14ac:dyDescent="0.25">
      <c r="A232" s="5">
        <v>44361</v>
      </c>
      <c r="B232">
        <v>0.21149999999999999</v>
      </c>
      <c r="C232">
        <v>0.22059999999999999</v>
      </c>
      <c r="D232">
        <v>0.2056</v>
      </c>
      <c r="E232">
        <v>0.21110000000000001</v>
      </c>
      <c r="F232">
        <v>10843029.210000001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-0.26666666666666533</v>
      </c>
      <c r="Q232">
        <f t="shared" si="960"/>
        <v>-2891474.4559999858</v>
      </c>
      <c r="R232">
        <f t="shared" si="961"/>
        <v>-291116311.92130476</v>
      </c>
      <c r="S232">
        <f t="shared" si="962"/>
        <v>-2911.1631192130476</v>
      </c>
      <c r="T232">
        <f t="shared" si="963"/>
        <v>-2.9111631192130476</v>
      </c>
    </row>
    <row r="233" spans="1:20" x14ac:dyDescent="0.25">
      <c r="A233" s="5">
        <v>44360</v>
      </c>
      <c r="B233">
        <v>0.1981</v>
      </c>
      <c r="C233">
        <v>0.21809999999999999</v>
      </c>
      <c r="D233">
        <v>0.1925</v>
      </c>
      <c r="E233">
        <v>0.21210000000000001</v>
      </c>
      <c r="F233">
        <v>7967983.5300000003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0.53125000000000144</v>
      </c>
      <c r="Q233">
        <f t="shared" si="960"/>
        <v>4232991.2503125118</v>
      </c>
      <c r="R233">
        <f t="shared" si="961"/>
        <v>-288224837.46530479</v>
      </c>
      <c r="S233">
        <f t="shared" si="962"/>
        <v>-2882.2483746530479</v>
      </c>
      <c r="T233">
        <f t="shared" si="963"/>
        <v>-2.8822483746530478</v>
      </c>
    </row>
    <row r="234" spans="1:20" x14ac:dyDescent="0.25">
      <c r="A234" s="5">
        <v>44359</v>
      </c>
      <c r="B234">
        <v>0.2011</v>
      </c>
      <c r="C234">
        <v>0.2074</v>
      </c>
      <c r="D234">
        <v>0.185</v>
      </c>
      <c r="E234">
        <v>0.19839999999999999</v>
      </c>
      <c r="F234">
        <v>10805570.210000001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0.19642857142857084</v>
      </c>
      <c r="Q234">
        <f t="shared" si="960"/>
        <v>2122522.7198214224</v>
      </c>
      <c r="R234">
        <f t="shared" si="961"/>
        <v>-292457828.7156173</v>
      </c>
      <c r="S234">
        <f t="shared" si="962"/>
        <v>-2924.5782871561728</v>
      </c>
      <c r="T234">
        <f t="shared" si="963"/>
        <v>-2.924578287156173</v>
      </c>
    </row>
    <row r="235" spans="1:20" x14ac:dyDescent="0.25">
      <c r="A235" s="5">
        <v>44358</v>
      </c>
      <c r="B235">
        <v>0.23</v>
      </c>
      <c r="C235">
        <v>0.23449999999999999</v>
      </c>
      <c r="D235">
        <v>0.1991</v>
      </c>
      <c r="E235">
        <v>0.2014</v>
      </c>
      <c r="F235">
        <v>10238144.210000001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-0.87005649717514144</v>
      </c>
      <c r="Q235">
        <f t="shared" si="960"/>
        <v>-8907763.8889265563</v>
      </c>
      <c r="R235">
        <f t="shared" si="961"/>
        <v>-294580351.43543869</v>
      </c>
      <c r="S235">
        <f t="shared" si="962"/>
        <v>-2945.8035143543871</v>
      </c>
      <c r="T235">
        <f t="shared" si="963"/>
        <v>-2.9458035143543873</v>
      </c>
    </row>
    <row r="236" spans="1:20" x14ac:dyDescent="0.25">
      <c r="A236" s="5">
        <v>44357</v>
      </c>
      <c r="B236">
        <v>0.24229999999999999</v>
      </c>
      <c r="C236">
        <v>0.2442</v>
      </c>
      <c r="D236">
        <v>0.215</v>
      </c>
      <c r="E236">
        <v>0.22989999999999999</v>
      </c>
      <c r="F236">
        <v>15814727.529999999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2.0547945205479087E-2</v>
      </c>
      <c r="Q236">
        <f t="shared" si="960"/>
        <v>324960.15472602163</v>
      </c>
      <c r="R236">
        <f t="shared" si="961"/>
        <v>-285672587.54651213</v>
      </c>
      <c r="S236">
        <f t="shared" si="962"/>
        <v>-2856.7258754651211</v>
      </c>
      <c r="T236">
        <f t="shared" si="963"/>
        <v>-2.8567258754651212</v>
      </c>
    </row>
    <row r="237" spans="1:20" x14ac:dyDescent="0.25">
      <c r="A237" s="5">
        <v>44356</v>
      </c>
      <c r="B237">
        <v>0.2147</v>
      </c>
      <c r="C237">
        <v>0.26190000000000002</v>
      </c>
      <c r="D237">
        <v>0.20610000000000001</v>
      </c>
      <c r="E237">
        <v>0.24229999999999999</v>
      </c>
      <c r="F237">
        <v>23847933.91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0.29749103942652227</v>
      </c>
      <c r="Q237">
        <f t="shared" si="960"/>
        <v>7094546.6470609074</v>
      </c>
      <c r="R237">
        <f t="shared" si="961"/>
        <v>-285997547.70123816</v>
      </c>
      <c r="S237">
        <f t="shared" si="962"/>
        <v>-2859.9754770123814</v>
      </c>
      <c r="T237">
        <f t="shared" si="963"/>
        <v>-2.8599754770123815</v>
      </c>
    </row>
    <row r="238" spans="1:20" x14ac:dyDescent="0.25">
      <c r="A238" s="5">
        <v>44355</v>
      </c>
      <c r="B238">
        <v>0.21340000000000001</v>
      </c>
      <c r="C238">
        <v>0.22289999999999999</v>
      </c>
      <c r="D238">
        <v>0.18870000000000001</v>
      </c>
      <c r="E238">
        <v>0.2147</v>
      </c>
      <c r="F238">
        <v>15643896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0.52046783625731052</v>
      </c>
      <c r="Q238">
        <f t="shared" si="960"/>
        <v>8142144.7017543949</v>
      </c>
      <c r="R238">
        <f t="shared" si="961"/>
        <v>-293092094.34829909</v>
      </c>
      <c r="S238">
        <f t="shared" si="962"/>
        <v>-2930.9209434829909</v>
      </c>
      <c r="T238">
        <f t="shared" si="963"/>
        <v>-2.9309209434829908</v>
      </c>
    </row>
    <row r="239" spans="1:20" x14ac:dyDescent="0.25">
      <c r="A239" s="5">
        <v>44354</v>
      </c>
      <c r="B239">
        <v>0.2374</v>
      </c>
      <c r="C239">
        <v>0.24959999999999999</v>
      </c>
      <c r="D239">
        <v>0.2127</v>
      </c>
      <c r="E239">
        <v>0.21429999999999999</v>
      </c>
      <c r="F239">
        <v>10029296.85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-0.91327913279132844</v>
      </c>
      <c r="Q239">
        <f t="shared" si="960"/>
        <v>-9159547.529674802</v>
      </c>
      <c r="R239">
        <f t="shared" si="961"/>
        <v>-301234239.05005348</v>
      </c>
      <c r="S239">
        <f t="shared" si="962"/>
        <v>-3012.3423905005347</v>
      </c>
      <c r="T239">
        <f t="shared" si="963"/>
        <v>-3.0123423905005349</v>
      </c>
    </row>
    <row r="240" spans="1:20" x14ac:dyDescent="0.25">
      <c r="A240" s="5">
        <v>44353</v>
      </c>
      <c r="B240">
        <v>0.23250000000000001</v>
      </c>
      <c r="C240">
        <v>0.24929999999999999</v>
      </c>
      <c r="D240">
        <v>0.22969999999999999</v>
      </c>
      <c r="E240">
        <v>0.23810000000000001</v>
      </c>
      <c r="F240">
        <v>7963821.6500000004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-0.14285714285714124</v>
      </c>
      <c r="Q240">
        <f t="shared" si="960"/>
        <v>-1137688.8071428444</v>
      </c>
      <c r="R240">
        <f t="shared" si="961"/>
        <v>-292074691.52037865</v>
      </c>
      <c r="S240">
        <f t="shared" si="962"/>
        <v>-2920.7469152037866</v>
      </c>
      <c r="T240">
        <f t="shared" si="963"/>
        <v>-2.9207469152037864</v>
      </c>
    </row>
    <row r="241" spans="1:20" x14ac:dyDescent="0.25">
      <c r="A241" s="5">
        <v>44352</v>
      </c>
      <c r="B241">
        <v>0.24510000000000001</v>
      </c>
      <c r="C241">
        <v>0.26419999999999999</v>
      </c>
      <c r="D241">
        <v>0.222</v>
      </c>
      <c r="E241">
        <v>0.23250000000000001</v>
      </c>
      <c r="F241">
        <v>13849364.470000001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-0.50236966824644491</v>
      </c>
      <c r="Q241">
        <f t="shared" si="960"/>
        <v>-6957500.6342180017</v>
      </c>
      <c r="R241">
        <f t="shared" si="961"/>
        <v>-290937002.7132358</v>
      </c>
      <c r="S241">
        <f t="shared" si="962"/>
        <v>-2909.3700271323578</v>
      </c>
      <c r="T241">
        <f t="shared" si="963"/>
        <v>-2.9093700271323577</v>
      </c>
    </row>
    <row r="242" spans="1:20" x14ac:dyDescent="0.25">
      <c r="A242" s="5">
        <v>44351</v>
      </c>
      <c r="B242">
        <v>0.28620000000000001</v>
      </c>
      <c r="C242">
        <v>0.2868</v>
      </c>
      <c r="D242">
        <v>0.23300000000000001</v>
      </c>
      <c r="E242">
        <v>0.2452</v>
      </c>
      <c r="F242">
        <v>25593039.530000001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-0.54646840148698916</v>
      </c>
      <c r="Q242">
        <f t="shared" si="960"/>
        <v>-13985787.401152425</v>
      </c>
      <c r="R242">
        <f t="shared" si="961"/>
        <v>-283979502.07901782</v>
      </c>
      <c r="S242">
        <f t="shared" si="962"/>
        <v>-2839.7950207901781</v>
      </c>
      <c r="T242">
        <f t="shared" si="963"/>
        <v>-2.8397950207901781</v>
      </c>
    </row>
    <row r="243" spans="1:20" x14ac:dyDescent="0.25">
      <c r="A243" s="5">
        <v>44350</v>
      </c>
      <c r="B243">
        <v>0.27079999999999999</v>
      </c>
      <c r="C243">
        <v>0.30499999999999999</v>
      </c>
      <c r="D243">
        <v>0.27060000000000001</v>
      </c>
      <c r="E243">
        <v>0.28660000000000002</v>
      </c>
      <c r="F243">
        <v>40281491.43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-6.9767441860463922E-2</v>
      </c>
      <c r="Q243">
        <f t="shared" si="960"/>
        <v>-2810336.6113953008</v>
      </c>
      <c r="R243">
        <f t="shared" si="961"/>
        <v>-269993714.67786539</v>
      </c>
      <c r="S243">
        <f t="shared" si="962"/>
        <v>-2699.9371467786536</v>
      </c>
      <c r="T243">
        <f t="shared" si="963"/>
        <v>-2.6999371467786535</v>
      </c>
    </row>
    <row r="244" spans="1:20" x14ac:dyDescent="0.25">
      <c r="A244" s="5">
        <v>44349</v>
      </c>
      <c r="B244">
        <v>0.2354</v>
      </c>
      <c r="C244">
        <v>0.28000000000000003</v>
      </c>
      <c r="D244">
        <v>0.22919999999999999</v>
      </c>
      <c r="E244">
        <v>0.2717</v>
      </c>
      <c r="F244">
        <v>21620285.850000001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0.67322834645669205</v>
      </c>
      <c r="Q244">
        <f t="shared" si="960"/>
        <v>14555389.292716518</v>
      </c>
      <c r="R244">
        <f t="shared" si="961"/>
        <v>-267183378.06647009</v>
      </c>
      <c r="S244">
        <f t="shared" si="962"/>
        <v>-2671.833780664701</v>
      </c>
      <c r="T244">
        <f t="shared" si="963"/>
        <v>-2.6718337806647008</v>
      </c>
    </row>
    <row r="245" spans="1:20" x14ac:dyDescent="0.25">
      <c r="A245" s="5">
        <v>44348</v>
      </c>
      <c r="B245">
        <v>0.248</v>
      </c>
      <c r="C245">
        <v>0.26500000000000001</v>
      </c>
      <c r="D245">
        <v>0.22919999999999999</v>
      </c>
      <c r="E245">
        <v>0.2354</v>
      </c>
      <c r="F245">
        <v>14575223.85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-0.65363128491620071</v>
      </c>
      <c r="Q245">
        <f t="shared" si="960"/>
        <v>-9526822.2930167541</v>
      </c>
      <c r="R245">
        <f t="shared" si="961"/>
        <v>-281738767.35918659</v>
      </c>
      <c r="S245">
        <f t="shared" si="962"/>
        <v>-2817.3876735918657</v>
      </c>
      <c r="T245">
        <f t="shared" si="963"/>
        <v>-2.8173876735918655</v>
      </c>
    </row>
    <row r="246" spans="1:20" x14ac:dyDescent="0.25">
      <c r="A246" s="5">
        <v>44347</v>
      </c>
      <c r="B246">
        <v>0.23400000000000001</v>
      </c>
      <c r="C246">
        <v>0.24979999999999999</v>
      </c>
      <c r="D246">
        <v>0.22270000000000001</v>
      </c>
      <c r="E246">
        <v>0.248</v>
      </c>
      <c r="F246">
        <v>13546948.84</v>
      </c>
      <c r="G246">
        <v>0</v>
      </c>
      <c r="L246" t="s">
        <v>7</v>
      </c>
      <c r="M246" t="s">
        <v>7</v>
      </c>
      <c r="N246" t="s">
        <v>7</v>
      </c>
      <c r="P246">
        <f t="shared" si="959"/>
        <v>0.86715867158671611</v>
      </c>
      <c r="Q246">
        <f t="shared" si="960"/>
        <v>11747354.160147605</v>
      </c>
      <c r="R246">
        <f t="shared" si="961"/>
        <v>-272211945.06616986</v>
      </c>
      <c r="S246">
        <f t="shared" si="962"/>
        <v>-2722.1194506616985</v>
      </c>
      <c r="T246">
        <f t="shared" si="963"/>
        <v>-2.7221194506616984</v>
      </c>
    </row>
    <row r="247" spans="1:20" x14ac:dyDescent="0.25">
      <c r="A247" s="5">
        <v>44346</v>
      </c>
      <c r="B247">
        <v>0.22520000000000001</v>
      </c>
      <c r="C247">
        <v>0.25</v>
      </c>
      <c r="D247">
        <v>0.21010000000000001</v>
      </c>
      <c r="E247">
        <v>0.23400000000000001</v>
      </c>
      <c r="F247">
        <v>16578995.369999999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0.19799498746867217</v>
      </c>
      <c r="Q247">
        <f t="shared" si="960"/>
        <v>3282557.9805263239</v>
      </c>
      <c r="R247">
        <f t="shared" si="961"/>
        <v>-283959299.22631747</v>
      </c>
      <c r="S247">
        <f t="shared" si="962"/>
        <v>-2839.5929922631744</v>
      </c>
      <c r="T247">
        <f t="shared" si="963"/>
        <v>-2.8395929922631744</v>
      </c>
    </row>
    <row r="248" spans="1:20" x14ac:dyDescent="0.25">
      <c r="A248" s="5">
        <v>44345</v>
      </c>
      <c r="B248">
        <v>0.24729999999999999</v>
      </c>
      <c r="C248">
        <v>0.2515</v>
      </c>
      <c r="D248">
        <v>0.2104</v>
      </c>
      <c r="E248">
        <v>0.22509999999999999</v>
      </c>
      <c r="F248">
        <v>14850296.02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-0.28467153284671576</v>
      </c>
      <c r="Q248">
        <f t="shared" si="960"/>
        <v>-4227456.5312408824</v>
      </c>
      <c r="R248">
        <f t="shared" si="961"/>
        <v>-287241857.20684379</v>
      </c>
      <c r="S248">
        <f t="shared" si="962"/>
        <v>-2872.4185720684382</v>
      </c>
      <c r="T248">
        <f t="shared" si="963"/>
        <v>-2.8724185720684381</v>
      </c>
    </row>
    <row r="249" spans="1:20" x14ac:dyDescent="0.25">
      <c r="A249" s="5">
        <v>44344</v>
      </c>
      <c r="B249">
        <v>0.29099999999999998</v>
      </c>
      <c r="C249">
        <v>0.29599999999999999</v>
      </c>
      <c r="D249">
        <v>0.2301</v>
      </c>
      <c r="E249">
        <v>0.24729999999999999</v>
      </c>
      <c r="F249">
        <v>29074107.059999999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-0.47799696509863437</v>
      </c>
      <c r="Q249">
        <f t="shared" si="960"/>
        <v>-13897334.937632779</v>
      </c>
      <c r="R249">
        <f t="shared" si="961"/>
        <v>-283014400.67560291</v>
      </c>
      <c r="S249">
        <f t="shared" si="962"/>
        <v>-2830.1440067560293</v>
      </c>
      <c r="T249">
        <f t="shared" si="963"/>
        <v>-2.8301440067560293</v>
      </c>
    </row>
    <row r="250" spans="1:20" x14ac:dyDescent="0.25">
      <c r="A250" s="5">
        <v>44343</v>
      </c>
      <c r="B250">
        <v>0.33779999999999999</v>
      </c>
      <c r="C250">
        <v>0.34100000000000003</v>
      </c>
      <c r="D250">
        <v>0.27750000000000002</v>
      </c>
      <c r="E250">
        <v>0.29099999999999998</v>
      </c>
      <c r="F250">
        <v>67675856.959999993</v>
      </c>
      <c r="G250">
        <v>0</v>
      </c>
      <c r="L250" t="s">
        <v>7</v>
      </c>
      <c r="M250" t="s">
        <v>7</v>
      </c>
      <c r="N250" t="s">
        <v>7</v>
      </c>
      <c r="P250">
        <f t="shared" si="959"/>
        <v>-0.57480314960630063</v>
      </c>
      <c r="Q250">
        <f t="shared" si="960"/>
        <v>-38900295.732913479</v>
      </c>
      <c r="R250">
        <f t="shared" si="961"/>
        <v>-269117065.73797011</v>
      </c>
      <c r="S250">
        <f t="shared" si="962"/>
        <v>-2691.170657379701</v>
      </c>
      <c r="T250">
        <f t="shared" si="963"/>
        <v>-2.691170657379701</v>
      </c>
    </row>
    <row r="251" spans="1:20" x14ac:dyDescent="0.25">
      <c r="A251" s="5">
        <v>44342</v>
      </c>
      <c r="B251">
        <v>0.24049999999999999</v>
      </c>
      <c r="C251">
        <v>0.46</v>
      </c>
      <c r="D251">
        <v>0.22800000000000001</v>
      </c>
      <c r="E251">
        <v>0.33779999999999999</v>
      </c>
      <c r="F251">
        <v>226266786.28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-5.3448275862069176E-2</v>
      </c>
      <c r="Q251">
        <f t="shared" si="960"/>
        <v>-12093569.61151729</v>
      </c>
      <c r="R251">
        <f t="shared" si="961"/>
        <v>-230216770.00505662</v>
      </c>
      <c r="S251">
        <f t="shared" si="962"/>
        <v>-2302.1677000505661</v>
      </c>
      <c r="T251">
        <f t="shared" si="963"/>
        <v>-2.3021677000505663</v>
      </c>
    </row>
    <row r="252" spans="1:20" x14ac:dyDescent="0.25">
      <c r="A252" s="5">
        <v>44341</v>
      </c>
      <c r="B252">
        <v>0.2026</v>
      </c>
      <c r="C252">
        <v>0.25009999999999999</v>
      </c>
      <c r="D252">
        <v>0.1784</v>
      </c>
      <c r="E252">
        <v>0.2404</v>
      </c>
      <c r="F252">
        <v>31481697.960000001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0.72942817294281759</v>
      </c>
      <c r="Q252">
        <f t="shared" si="960"/>
        <v>22963637.424100429</v>
      </c>
      <c r="R252">
        <f t="shared" si="961"/>
        <v>-218123200.39353934</v>
      </c>
      <c r="S252">
        <f t="shared" si="962"/>
        <v>-2181.2320039353935</v>
      </c>
      <c r="T252">
        <f t="shared" si="963"/>
        <v>-2.1812320039353934</v>
      </c>
    </row>
    <row r="253" spans="1:20" x14ac:dyDescent="0.25">
      <c r="A253" s="5">
        <v>44340</v>
      </c>
      <c r="B253">
        <v>0.14849999999999999</v>
      </c>
      <c r="C253">
        <v>0.21179999999999999</v>
      </c>
      <c r="D253">
        <v>0.14410000000000001</v>
      </c>
      <c r="E253">
        <v>0.2026</v>
      </c>
      <c r="F253">
        <v>22355530.609999999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0.72821270310192054</v>
      </c>
      <c r="Q253">
        <f t="shared" si="960"/>
        <v>16279581.374785826</v>
      </c>
      <c r="R253">
        <f t="shared" si="961"/>
        <v>-241086837.81763977</v>
      </c>
      <c r="S253">
        <f t="shared" si="962"/>
        <v>-2410.8683781763975</v>
      </c>
      <c r="T253">
        <f t="shared" si="963"/>
        <v>-2.4108683781763975</v>
      </c>
    </row>
    <row r="254" spans="1:20" x14ac:dyDescent="0.25">
      <c r="A254" s="5">
        <v>44339</v>
      </c>
      <c r="B254">
        <v>0.19719999999999999</v>
      </c>
      <c r="C254">
        <v>0.2034</v>
      </c>
      <c r="D254">
        <v>0.123</v>
      </c>
      <c r="E254">
        <v>0.14849999999999999</v>
      </c>
      <c r="F254">
        <v>23342993.940000001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-0.36567164179104489</v>
      </c>
      <c r="Q254">
        <f t="shared" si="960"/>
        <v>-8535870.9183582123</v>
      </c>
      <c r="R254">
        <f t="shared" si="961"/>
        <v>-257366419.19242561</v>
      </c>
      <c r="S254">
        <f t="shared" si="962"/>
        <v>-2573.6641919242561</v>
      </c>
      <c r="T254">
        <f t="shared" si="963"/>
        <v>-2.573664191924256</v>
      </c>
    </row>
    <row r="255" spans="1:20" x14ac:dyDescent="0.25">
      <c r="A255" s="5">
        <v>44338</v>
      </c>
      <c r="B255">
        <v>0.22459999999999999</v>
      </c>
      <c r="C255">
        <v>0.23300000000000001</v>
      </c>
      <c r="D255">
        <v>0.18940000000000001</v>
      </c>
      <c r="E255">
        <v>0.19719999999999999</v>
      </c>
      <c r="F255">
        <v>15343997.08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-0.64220183486238658</v>
      </c>
      <c r="Q255">
        <f t="shared" si="960"/>
        <v>-9853943.0788991023</v>
      </c>
      <c r="R255">
        <f t="shared" si="961"/>
        <v>-248830548.2740674</v>
      </c>
      <c r="S255">
        <f t="shared" si="962"/>
        <v>-2488.3054827406741</v>
      </c>
      <c r="T255">
        <f t="shared" si="963"/>
        <v>-2.4883054827406741</v>
      </c>
    </row>
    <row r="256" spans="1:20" x14ac:dyDescent="0.25">
      <c r="A256" s="5">
        <v>44337</v>
      </c>
      <c r="B256">
        <v>0.26500000000000001</v>
      </c>
      <c r="C256">
        <v>0.28060000000000002</v>
      </c>
      <c r="D256">
        <v>0.20599999999999999</v>
      </c>
      <c r="E256">
        <v>0.2248</v>
      </c>
      <c r="F256">
        <v>13886768.32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-0.49597855227882026</v>
      </c>
      <c r="Q256">
        <f t="shared" si="960"/>
        <v>-6887539.2471849853</v>
      </c>
      <c r="R256">
        <f t="shared" si="961"/>
        <v>-238976605.19516829</v>
      </c>
      <c r="S256">
        <f t="shared" si="962"/>
        <v>-2389.766051951683</v>
      </c>
      <c r="T256">
        <f t="shared" si="963"/>
        <v>-2.3897660519516832</v>
      </c>
    </row>
    <row r="257" spans="1:20" x14ac:dyDescent="0.25">
      <c r="A257" s="5">
        <v>44336</v>
      </c>
      <c r="B257">
        <v>0.23549999999999999</v>
      </c>
      <c r="C257">
        <v>0.28870000000000001</v>
      </c>
      <c r="D257">
        <v>0.221</v>
      </c>
      <c r="E257">
        <v>0.26490000000000002</v>
      </c>
      <c r="F257">
        <v>17863858.449999999</v>
      </c>
      <c r="G257">
        <v>0</v>
      </c>
      <c r="L257" t="s">
        <v>8</v>
      </c>
      <c r="M257" t="s">
        <v>8</v>
      </c>
      <c r="N257" t="s">
        <v>7</v>
      </c>
      <c r="P257">
        <f t="shared" si="959"/>
        <v>0.29689807976366367</v>
      </c>
      <c r="Q257">
        <f t="shared" si="960"/>
        <v>5303745.2709748968</v>
      </c>
      <c r="R257">
        <f t="shared" si="961"/>
        <v>-232089065.94798329</v>
      </c>
      <c r="S257">
        <f t="shared" si="962"/>
        <v>-2320.8906594798327</v>
      </c>
      <c r="T257">
        <f t="shared" si="963"/>
        <v>-2.3208906594798329</v>
      </c>
    </row>
    <row r="258" spans="1:20" x14ac:dyDescent="0.25">
      <c r="A258" s="5">
        <v>44335</v>
      </c>
      <c r="B258">
        <v>0.3745</v>
      </c>
      <c r="C258">
        <v>0.38569999999999999</v>
      </c>
      <c r="D258">
        <v>0.2</v>
      </c>
      <c r="E258">
        <v>0.23549999999999999</v>
      </c>
      <c r="F258">
        <v>28714637.190000001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-0.61766289714593448</v>
      </c>
      <c r="Q258">
        <f t="shared" si="960"/>
        <v>-17735965.997269794</v>
      </c>
      <c r="R258">
        <f t="shared" si="961"/>
        <v>-237392811.2189582</v>
      </c>
      <c r="S258">
        <f t="shared" si="962"/>
        <v>-2373.928112189582</v>
      </c>
      <c r="T258">
        <f t="shared" si="963"/>
        <v>-2.3739281121895819</v>
      </c>
    </row>
    <row r="259" spans="1:20" x14ac:dyDescent="0.25">
      <c r="A259" s="5">
        <v>44334</v>
      </c>
      <c r="B259">
        <v>0.37490000000000001</v>
      </c>
      <c r="C259">
        <v>0.39800000000000002</v>
      </c>
      <c r="D259">
        <v>0.36220000000000002</v>
      </c>
      <c r="E259">
        <v>0.37330000000000002</v>
      </c>
      <c r="F259">
        <v>13338245.789999999</v>
      </c>
      <c r="G259">
        <v>0</v>
      </c>
      <c r="L259" t="s">
        <v>8</v>
      </c>
      <c r="M259" t="s">
        <v>8</v>
      </c>
      <c r="N259" t="s">
        <v>8</v>
      </c>
      <c r="P259">
        <f t="shared" si="959"/>
        <v>-0.37988826815642462</v>
      </c>
      <c r="Q259">
        <f t="shared" si="960"/>
        <v>-5067043.0934078218</v>
      </c>
      <c r="R259">
        <f t="shared" si="961"/>
        <v>-219656845.22168839</v>
      </c>
      <c r="S259">
        <f t="shared" si="962"/>
        <v>-2196.568452216884</v>
      </c>
      <c r="T259">
        <f t="shared" si="963"/>
        <v>-2.196568452216884</v>
      </c>
    </row>
    <row r="260" spans="1:20" x14ac:dyDescent="0.25">
      <c r="A260" s="5">
        <v>44333</v>
      </c>
      <c r="B260">
        <v>0.41980000000000001</v>
      </c>
      <c r="C260">
        <v>0.42049999999999998</v>
      </c>
      <c r="D260">
        <v>0.25650000000000001</v>
      </c>
      <c r="E260">
        <v>0.374</v>
      </c>
      <c r="F260">
        <v>16945379.93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0.43292682926829279</v>
      </c>
      <c r="Q260">
        <f t="shared" si="960"/>
        <v>7336109.603841465</v>
      </c>
      <c r="R260">
        <f t="shared" si="961"/>
        <v>-214589802.12828058</v>
      </c>
      <c r="S260">
        <f t="shared" si="962"/>
        <v>-2145.898021282806</v>
      </c>
      <c r="T260">
        <f t="shared" si="963"/>
        <v>-2.145898021282806</v>
      </c>
    </row>
    <row r="261" spans="1:20" x14ac:dyDescent="0.25">
      <c r="A261" s="5">
        <v>44332</v>
      </c>
      <c r="B261">
        <v>0.41830000000000001</v>
      </c>
      <c r="C261">
        <v>0.5</v>
      </c>
      <c r="D261">
        <v>0.40589999999999998</v>
      </c>
      <c r="E261">
        <v>0.41970000000000002</v>
      </c>
      <c r="F261">
        <v>19415244.27</v>
      </c>
      <c r="G261">
        <v>0</v>
      </c>
      <c r="L261" t="s">
        <v>7</v>
      </c>
      <c r="M261" t="s">
        <v>8</v>
      </c>
      <c r="N261" t="s">
        <v>7</v>
      </c>
      <c r="P261">
        <f t="shared" si="959"/>
        <v>-0.70669500531349561</v>
      </c>
      <c r="Q261">
        <f t="shared" si="960"/>
        <v>-13720656.152550464</v>
      </c>
      <c r="R261">
        <f t="shared" si="961"/>
        <v>-221925911.73212203</v>
      </c>
      <c r="S261">
        <f t="shared" si="962"/>
        <v>-2219.2591173212204</v>
      </c>
      <c r="T261">
        <f t="shared" si="963"/>
        <v>-2.2192591173212204</v>
      </c>
    </row>
    <row r="262" spans="1:20" x14ac:dyDescent="0.25">
      <c r="A262" s="5">
        <v>44331</v>
      </c>
      <c r="B262">
        <v>0.47970000000000002</v>
      </c>
      <c r="C262">
        <v>0.4829</v>
      </c>
      <c r="D262">
        <v>0.41470000000000001</v>
      </c>
      <c r="E262">
        <v>0.4194</v>
      </c>
      <c r="F262">
        <v>10206813.91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-0.86217008797654004</v>
      </c>
      <c r="Q262">
        <f t="shared" ref="Q262:Q325" si="965">F262*P262</f>
        <v>-8800009.6467448734</v>
      </c>
      <c r="R262">
        <f t="shared" ref="R262:R325" si="966">R263+Q262</f>
        <v>-208205255.57957157</v>
      </c>
      <c r="S262">
        <f t="shared" ref="S262:S325" si="967">R262/100000</f>
        <v>-2082.0525557957158</v>
      </c>
      <c r="T262">
        <f t="shared" ref="T262:T325" si="968">S262/1000</f>
        <v>-2.0820525557957157</v>
      </c>
    </row>
    <row r="263" spans="1:20" x14ac:dyDescent="0.25">
      <c r="A263" s="5">
        <v>44330</v>
      </c>
      <c r="B263">
        <v>0.43880000000000002</v>
      </c>
      <c r="C263">
        <v>0.4884</v>
      </c>
      <c r="D263">
        <v>0.43390000000000001</v>
      </c>
      <c r="E263">
        <v>0.48</v>
      </c>
      <c r="F263">
        <v>13222465.49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0.69174311926605436</v>
      </c>
      <c r="Q263">
        <f t="shared" si="965"/>
        <v>9146549.522440359</v>
      </c>
      <c r="R263">
        <f t="shared" si="966"/>
        <v>-199405245.9328267</v>
      </c>
      <c r="S263">
        <f t="shared" si="967"/>
        <v>-1994.0524593282669</v>
      </c>
      <c r="T263">
        <f t="shared" si="968"/>
        <v>-1.9940524593282669</v>
      </c>
    </row>
    <row r="264" spans="1:20" x14ac:dyDescent="0.25">
      <c r="A264" s="5">
        <v>44329</v>
      </c>
      <c r="B264">
        <v>0.44900000000000001</v>
      </c>
      <c r="C264">
        <v>0.49980000000000002</v>
      </c>
      <c r="D264">
        <v>0.42980000000000002</v>
      </c>
      <c r="E264">
        <v>0.43790000000000001</v>
      </c>
      <c r="F264">
        <v>15713609.82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-0.76857142857142868</v>
      </c>
      <c r="Q264">
        <f t="shared" si="965"/>
        <v>-12077031.54737143</v>
      </c>
      <c r="R264">
        <f t="shared" si="966"/>
        <v>-208551795.45526704</v>
      </c>
      <c r="S264">
        <f t="shared" si="967"/>
        <v>-2085.5179545526703</v>
      </c>
      <c r="T264">
        <f t="shared" si="968"/>
        <v>-2.0855179545526701</v>
      </c>
    </row>
    <row r="265" spans="1:20" x14ac:dyDescent="0.25">
      <c r="A265" s="5">
        <v>44328</v>
      </c>
      <c r="B265">
        <v>0.56000000000000005</v>
      </c>
      <c r="C265">
        <v>0.58779999999999999</v>
      </c>
      <c r="D265">
        <v>0.44800000000000001</v>
      </c>
      <c r="E265">
        <v>0.4496</v>
      </c>
      <c r="F265">
        <v>18155432.449999999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-0.97711015736766826</v>
      </c>
      <c r="Q265">
        <f t="shared" si="965"/>
        <v>-17739857.458297569</v>
      </c>
      <c r="R265">
        <f t="shared" si="966"/>
        <v>-196474763.90789562</v>
      </c>
      <c r="S265">
        <f t="shared" si="967"/>
        <v>-1964.7476390789564</v>
      </c>
      <c r="T265">
        <f t="shared" si="968"/>
        <v>-1.9647476390789564</v>
      </c>
    </row>
    <row r="266" spans="1:20" x14ac:dyDescent="0.25">
      <c r="A266" s="5">
        <v>44327</v>
      </c>
      <c r="B266">
        <v>0.55289999999999995</v>
      </c>
      <c r="C266">
        <v>0.56310000000000004</v>
      </c>
      <c r="D266">
        <v>0.52280000000000004</v>
      </c>
      <c r="E266">
        <v>0.56000000000000005</v>
      </c>
      <c r="F266">
        <v>9543249.4900000002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0.84615384615384659</v>
      </c>
      <c r="Q266">
        <f t="shared" si="965"/>
        <v>8075057.260769235</v>
      </c>
      <c r="R266">
        <f t="shared" si="966"/>
        <v>-178734906.44959804</v>
      </c>
      <c r="S266">
        <f t="shared" si="967"/>
        <v>-1787.3490644959804</v>
      </c>
      <c r="T266">
        <f t="shared" si="968"/>
        <v>-1.7873490644959804</v>
      </c>
    </row>
    <row r="267" spans="1:20" x14ac:dyDescent="0.25">
      <c r="A267" s="5">
        <v>44326</v>
      </c>
      <c r="B267">
        <v>0.63990000000000002</v>
      </c>
      <c r="C267">
        <v>0.64929999999999999</v>
      </c>
      <c r="D267">
        <v>0.50900000000000001</v>
      </c>
      <c r="E267">
        <v>0.55500000000000005</v>
      </c>
      <c r="F267">
        <v>13680924.73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-0.34426229508196654</v>
      </c>
      <c r="Q267">
        <f t="shared" si="965"/>
        <v>-4709826.5463934336</v>
      </c>
      <c r="R267">
        <f t="shared" si="966"/>
        <v>-186809963.71036729</v>
      </c>
      <c r="S267">
        <f t="shared" si="967"/>
        <v>-1868.0996371036729</v>
      </c>
      <c r="T267">
        <f t="shared" si="968"/>
        <v>-1.8680996371036729</v>
      </c>
    </row>
    <row r="268" spans="1:20" x14ac:dyDescent="0.25">
      <c r="A268" s="5">
        <v>44325</v>
      </c>
      <c r="B268">
        <v>0.61170000000000002</v>
      </c>
      <c r="C268">
        <v>0.66090000000000004</v>
      </c>
      <c r="D268">
        <v>0.60099999999999998</v>
      </c>
      <c r="E268">
        <v>0.64070000000000005</v>
      </c>
      <c r="F268">
        <v>15608656.07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0.32554257095158684</v>
      </c>
      <c r="Q268">
        <f t="shared" si="965"/>
        <v>5081282.0261268914</v>
      </c>
      <c r="R268">
        <f t="shared" si="966"/>
        <v>-182100137.16397387</v>
      </c>
      <c r="S268">
        <f t="shared" si="967"/>
        <v>-1821.0013716397386</v>
      </c>
      <c r="T268">
        <f t="shared" si="968"/>
        <v>-1.8210013716397386</v>
      </c>
    </row>
    <row r="269" spans="1:20" x14ac:dyDescent="0.25">
      <c r="A269" s="5">
        <v>44324</v>
      </c>
      <c r="B269">
        <v>0.60299999999999998</v>
      </c>
      <c r="C269">
        <v>0.62019999999999997</v>
      </c>
      <c r="D269">
        <v>0.59319999999999995</v>
      </c>
      <c r="E269">
        <v>0.61160000000000003</v>
      </c>
      <c r="F269">
        <v>8160960.0099999998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0.36296296296296787</v>
      </c>
      <c r="Q269">
        <f t="shared" si="965"/>
        <v>2962126.225851892</v>
      </c>
      <c r="R269">
        <f t="shared" si="966"/>
        <v>-187181419.19010076</v>
      </c>
      <c r="S269">
        <f t="shared" si="967"/>
        <v>-1871.8141919010077</v>
      </c>
      <c r="T269">
        <f t="shared" si="968"/>
        <v>-1.8718141919010076</v>
      </c>
    </row>
    <row r="270" spans="1:20" x14ac:dyDescent="0.25">
      <c r="A270" s="5">
        <v>44323</v>
      </c>
      <c r="B270">
        <v>0.62690000000000001</v>
      </c>
      <c r="C270">
        <v>0.64149999999999996</v>
      </c>
      <c r="D270">
        <v>0.59</v>
      </c>
      <c r="E270">
        <v>0.60329999999999995</v>
      </c>
      <c r="F270">
        <v>11453626.970000001</v>
      </c>
      <c r="G270">
        <v>0</v>
      </c>
      <c r="L270" t="s">
        <v>7</v>
      </c>
      <c r="M270" t="s">
        <v>8</v>
      </c>
      <c r="N270" t="s">
        <v>8</v>
      </c>
      <c r="P270">
        <f t="shared" si="964"/>
        <v>-0.48349514563106871</v>
      </c>
      <c r="Q270">
        <f t="shared" si="965"/>
        <v>-5537773.0398640865</v>
      </c>
      <c r="R270">
        <f t="shared" si="966"/>
        <v>-190143545.41595265</v>
      </c>
      <c r="S270">
        <f t="shared" si="967"/>
        <v>-1901.4354541595264</v>
      </c>
      <c r="T270">
        <f t="shared" si="968"/>
        <v>-1.9014354541595264</v>
      </c>
    </row>
    <row r="271" spans="1:20" x14ac:dyDescent="0.25">
      <c r="A271" s="5">
        <v>44322</v>
      </c>
      <c r="B271">
        <v>0.64770000000000005</v>
      </c>
      <c r="C271">
        <v>0.7</v>
      </c>
      <c r="D271">
        <v>0.60829999999999995</v>
      </c>
      <c r="E271">
        <v>0.62749999999999995</v>
      </c>
      <c r="F271">
        <v>22413149.920000002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-0.58124318429661959</v>
      </c>
      <c r="Q271">
        <f t="shared" si="965"/>
        <v>-13027490.629618326</v>
      </c>
      <c r="R271">
        <f t="shared" si="966"/>
        <v>-184605772.37608856</v>
      </c>
      <c r="S271">
        <f t="shared" si="967"/>
        <v>-1846.0577237608857</v>
      </c>
      <c r="T271">
        <f t="shared" si="968"/>
        <v>-1.8460577237608857</v>
      </c>
    </row>
    <row r="272" spans="1:20" x14ac:dyDescent="0.25">
      <c r="A272" s="5">
        <v>44321</v>
      </c>
      <c r="B272">
        <v>0.6179</v>
      </c>
      <c r="C272">
        <v>0.66</v>
      </c>
      <c r="D272">
        <v>0.6</v>
      </c>
      <c r="E272">
        <v>0.64780000000000004</v>
      </c>
      <c r="F272">
        <v>18045299.149999999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0.59333333333333405</v>
      </c>
      <c r="Q272">
        <f t="shared" si="965"/>
        <v>10706877.495666679</v>
      </c>
      <c r="R272">
        <f t="shared" si="966"/>
        <v>-171578281.74647024</v>
      </c>
      <c r="S272">
        <f t="shared" si="967"/>
        <v>-1715.7828174647025</v>
      </c>
      <c r="T272">
        <f t="shared" si="968"/>
        <v>-1.7157828174647025</v>
      </c>
    </row>
    <row r="273" spans="1:20" x14ac:dyDescent="0.25">
      <c r="A273" s="5">
        <v>44320</v>
      </c>
      <c r="B273">
        <v>0.62590000000000001</v>
      </c>
      <c r="C273">
        <v>0.68799999999999994</v>
      </c>
      <c r="D273">
        <v>0.56169999999999998</v>
      </c>
      <c r="E273">
        <v>0.61829999999999996</v>
      </c>
      <c r="F273">
        <v>41638777.289999999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-0.10372129849564532</v>
      </c>
      <c r="Q273">
        <f t="shared" si="965"/>
        <v>-4318828.048289787</v>
      </c>
      <c r="R273">
        <f t="shared" si="966"/>
        <v>-182285159.24213693</v>
      </c>
      <c r="S273">
        <f t="shared" si="967"/>
        <v>-1822.8515924213693</v>
      </c>
      <c r="T273">
        <f t="shared" si="968"/>
        <v>-1.8228515924213693</v>
      </c>
    </row>
    <row r="274" spans="1:20" x14ac:dyDescent="0.25">
      <c r="A274" s="5">
        <v>44319</v>
      </c>
      <c r="B274">
        <v>0.59989999999999999</v>
      </c>
      <c r="C274">
        <v>0.69</v>
      </c>
      <c r="D274">
        <v>0.59009999999999996</v>
      </c>
      <c r="E274">
        <v>0.62809999999999999</v>
      </c>
      <c r="F274">
        <v>59697053.549999997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-0.23923923923923848</v>
      </c>
      <c r="Q274">
        <f t="shared" si="965"/>
        <v>-14281877.67612608</v>
      </c>
      <c r="R274">
        <f t="shared" si="966"/>
        <v>-177966331.19384715</v>
      </c>
      <c r="S274">
        <f t="shared" si="967"/>
        <v>-1779.6633119384715</v>
      </c>
      <c r="T274">
        <f t="shared" si="968"/>
        <v>-1.7796633119384715</v>
      </c>
    </row>
    <row r="275" spans="1:20" x14ac:dyDescent="0.25">
      <c r="A275" s="5">
        <v>44318</v>
      </c>
      <c r="B275">
        <v>0.52600000000000002</v>
      </c>
      <c r="C275">
        <v>0.61</v>
      </c>
      <c r="D275">
        <v>0.496</v>
      </c>
      <c r="E275">
        <v>0.6</v>
      </c>
      <c r="F275">
        <v>48598468.710000001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0.82456140350877172</v>
      </c>
      <c r="Q275">
        <f t="shared" si="965"/>
        <v>40072421.567894727</v>
      </c>
      <c r="R275">
        <f t="shared" si="966"/>
        <v>-163684453.51772106</v>
      </c>
      <c r="S275">
        <f t="shared" si="967"/>
        <v>-1636.8445351772107</v>
      </c>
      <c r="T275">
        <f t="shared" si="968"/>
        <v>-1.6368445351772107</v>
      </c>
    </row>
    <row r="276" spans="1:20" x14ac:dyDescent="0.25">
      <c r="A276" s="5">
        <v>44317</v>
      </c>
      <c r="B276">
        <v>0.50360000000000005</v>
      </c>
      <c r="C276">
        <v>0.54</v>
      </c>
      <c r="D276">
        <v>0.496</v>
      </c>
      <c r="E276">
        <v>0.52600000000000002</v>
      </c>
      <c r="F276">
        <v>15570262.970000001</v>
      </c>
      <c r="G276">
        <v>0</v>
      </c>
      <c r="L276" t="s">
        <v>8</v>
      </c>
      <c r="M276" t="s">
        <v>7</v>
      </c>
      <c r="N276" t="s">
        <v>8</v>
      </c>
      <c r="P276">
        <f t="shared" si="964"/>
        <v>0.36363636363636365</v>
      </c>
      <c r="Q276">
        <f t="shared" si="965"/>
        <v>5661913.8072727276</v>
      </c>
      <c r="R276">
        <f t="shared" si="966"/>
        <v>-203756875.08561578</v>
      </c>
      <c r="S276">
        <f t="shared" si="967"/>
        <v>-2037.5687508561577</v>
      </c>
      <c r="T276">
        <f t="shared" si="968"/>
        <v>-2.037568750856158</v>
      </c>
    </row>
    <row r="277" spans="1:20" x14ac:dyDescent="0.25">
      <c r="A277" s="5">
        <v>44316</v>
      </c>
      <c r="B277">
        <v>0.50560000000000005</v>
      </c>
      <c r="C277">
        <v>0.52700000000000002</v>
      </c>
      <c r="D277">
        <v>0.49419999999999997</v>
      </c>
      <c r="E277">
        <v>0.50370000000000004</v>
      </c>
      <c r="F277">
        <v>16614381.91</v>
      </c>
      <c r="G277">
        <v>0</v>
      </c>
      <c r="L277" t="s">
        <v>8</v>
      </c>
      <c r="M277" t="s">
        <v>7</v>
      </c>
      <c r="N277" t="s">
        <v>8</v>
      </c>
      <c r="P277">
        <f t="shared" si="964"/>
        <v>-0.42073170731707016</v>
      </c>
      <c r="Q277">
        <f t="shared" si="965"/>
        <v>-6990197.2670121454</v>
      </c>
      <c r="R277">
        <f t="shared" si="966"/>
        <v>-209418788.89288852</v>
      </c>
      <c r="S277">
        <f t="shared" si="967"/>
        <v>-2094.1878889288851</v>
      </c>
      <c r="T277">
        <f t="shared" si="968"/>
        <v>-2.094187888928885</v>
      </c>
    </row>
    <row r="278" spans="1:20" x14ac:dyDescent="0.25">
      <c r="A278" s="5">
        <v>44315</v>
      </c>
      <c r="B278">
        <v>0.54820000000000002</v>
      </c>
      <c r="C278">
        <v>0.5494</v>
      </c>
      <c r="D278">
        <v>0.48110000000000003</v>
      </c>
      <c r="E278">
        <v>0.50560000000000005</v>
      </c>
      <c r="F278">
        <v>24051395.07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-0.28257686676427435</v>
      </c>
      <c r="Q278">
        <f t="shared" si="965"/>
        <v>-6796367.8601903152</v>
      </c>
      <c r="R278">
        <f t="shared" si="966"/>
        <v>-202428591.62587637</v>
      </c>
      <c r="S278">
        <f t="shared" si="967"/>
        <v>-2024.2859162587636</v>
      </c>
      <c r="T278">
        <f t="shared" si="968"/>
        <v>-2.0242859162587634</v>
      </c>
    </row>
    <row r="279" spans="1:20" x14ac:dyDescent="0.25">
      <c r="A279" s="5">
        <v>44314</v>
      </c>
      <c r="B279">
        <v>0.55030000000000001</v>
      </c>
      <c r="C279">
        <v>0.58199999999999996</v>
      </c>
      <c r="D279">
        <v>0.47499999999999998</v>
      </c>
      <c r="E279">
        <v>0.54800000000000004</v>
      </c>
      <c r="F279">
        <v>22870310.690000001</v>
      </c>
      <c r="G279">
        <v>0</v>
      </c>
      <c r="L279" t="s">
        <v>8</v>
      </c>
      <c r="M279" t="s">
        <v>7</v>
      </c>
      <c r="N279" t="s">
        <v>8</v>
      </c>
      <c r="P279">
        <f t="shared" si="964"/>
        <v>0.36448598130841264</v>
      </c>
      <c r="Q279">
        <f t="shared" si="965"/>
        <v>8335907.6346729305</v>
      </c>
      <c r="R279">
        <f t="shared" si="966"/>
        <v>-195632223.76568606</v>
      </c>
      <c r="S279">
        <f t="shared" si="967"/>
        <v>-1956.3222376568606</v>
      </c>
      <c r="T279">
        <f t="shared" si="968"/>
        <v>-1.9563222376568605</v>
      </c>
    </row>
    <row r="280" spans="1:20" x14ac:dyDescent="0.25">
      <c r="A280" s="5">
        <v>44313</v>
      </c>
      <c r="B280">
        <v>0.50070000000000003</v>
      </c>
      <c r="C280">
        <v>0.56479999999999997</v>
      </c>
      <c r="D280">
        <v>0.495</v>
      </c>
      <c r="E280">
        <v>0.54900000000000004</v>
      </c>
      <c r="F280">
        <v>28254466.370000001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0.54727793696275273</v>
      </c>
      <c r="Q280">
        <f t="shared" si="965"/>
        <v>15463046.064957077</v>
      </c>
      <c r="R280">
        <f t="shared" si="966"/>
        <v>-203968131.400359</v>
      </c>
      <c r="S280">
        <f t="shared" si="967"/>
        <v>-2039.6813140035902</v>
      </c>
      <c r="T280">
        <f t="shared" si="968"/>
        <v>-2.0396813140035901</v>
      </c>
    </row>
    <row r="281" spans="1:20" x14ac:dyDescent="0.25">
      <c r="A281" s="5">
        <v>44312</v>
      </c>
      <c r="B281">
        <v>0.43859999999999999</v>
      </c>
      <c r="C281">
        <v>0.53249999999999997</v>
      </c>
      <c r="D281">
        <v>0.43020000000000003</v>
      </c>
      <c r="E281">
        <v>0.50080000000000002</v>
      </c>
      <c r="F281">
        <v>62480956.289999999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0.3802541544477035</v>
      </c>
      <c r="Q281">
        <f t="shared" si="965"/>
        <v>23758643.203137871</v>
      </c>
      <c r="R281">
        <f t="shared" si="966"/>
        <v>-219431177.46531609</v>
      </c>
      <c r="S281">
        <f t="shared" si="967"/>
        <v>-2194.3117746531607</v>
      </c>
      <c r="T281">
        <f t="shared" si="968"/>
        <v>-2.1943117746531606</v>
      </c>
    </row>
    <row r="282" spans="1:20" x14ac:dyDescent="0.25">
      <c r="A282" s="5">
        <v>44311</v>
      </c>
      <c r="B282">
        <v>0.41139999999999999</v>
      </c>
      <c r="C282">
        <v>0.47639999999999999</v>
      </c>
      <c r="D282">
        <v>0.3977</v>
      </c>
      <c r="E282">
        <v>0.43859999999999999</v>
      </c>
      <c r="F282">
        <v>52598273.310000002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3.9390088945362035E-2</v>
      </c>
      <c r="Q282">
        <f t="shared" si="965"/>
        <v>2071850.6640533621</v>
      </c>
      <c r="R282">
        <f t="shared" si="966"/>
        <v>-243189820.66845396</v>
      </c>
      <c r="S282">
        <f t="shared" si="967"/>
        <v>-2431.8982066845397</v>
      </c>
      <c r="T282">
        <f t="shared" si="968"/>
        <v>-2.4318982066845396</v>
      </c>
    </row>
    <row r="283" spans="1:20" x14ac:dyDescent="0.25">
      <c r="A283" s="5">
        <v>44310</v>
      </c>
      <c r="B283">
        <v>0.45</v>
      </c>
      <c r="C283">
        <v>0.45100000000000001</v>
      </c>
      <c r="D283">
        <v>0.3987</v>
      </c>
      <c r="E283">
        <v>0.41139999999999999</v>
      </c>
      <c r="F283">
        <v>38631093.93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-0.51434034416826058</v>
      </c>
      <c r="Q283">
        <f t="shared" si="965"/>
        <v>-19869530.147552602</v>
      </c>
      <c r="R283">
        <f t="shared" si="966"/>
        <v>-245261671.33250731</v>
      </c>
      <c r="S283">
        <f t="shared" si="967"/>
        <v>-2452.6167133250733</v>
      </c>
      <c r="T283">
        <f t="shared" si="968"/>
        <v>-2.4526167133250731</v>
      </c>
    </row>
    <row r="284" spans="1:20" x14ac:dyDescent="0.25">
      <c r="A284" s="5">
        <v>44309</v>
      </c>
      <c r="B284">
        <v>0.4713</v>
      </c>
      <c r="C284">
        <v>0.4788</v>
      </c>
      <c r="D284">
        <v>0.3841</v>
      </c>
      <c r="E284">
        <v>0.4506</v>
      </c>
      <c r="F284">
        <v>18109215.719999999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0.40443505807814151</v>
      </c>
      <c r="Q284">
        <f t="shared" si="965"/>
        <v>7324001.7114677923</v>
      </c>
      <c r="R284">
        <f t="shared" si="966"/>
        <v>-225392141.1849547</v>
      </c>
      <c r="S284">
        <f t="shared" si="967"/>
        <v>-2253.921411849547</v>
      </c>
      <c r="T284">
        <f t="shared" si="968"/>
        <v>-2.253921411849547</v>
      </c>
    </row>
    <row r="285" spans="1:20" x14ac:dyDescent="0.25">
      <c r="A285" s="5">
        <v>44308</v>
      </c>
      <c r="B285">
        <v>0.5333</v>
      </c>
      <c r="C285">
        <v>0.55400000000000005</v>
      </c>
      <c r="D285">
        <v>0.45450000000000002</v>
      </c>
      <c r="E285">
        <v>0.47139999999999999</v>
      </c>
      <c r="F285">
        <v>30663760.690000001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-0.66030150753768913</v>
      </c>
      <c r="Q285">
        <f t="shared" si="965"/>
        <v>-20247327.410381932</v>
      </c>
      <c r="R285">
        <f t="shared" si="966"/>
        <v>-232716142.89642251</v>
      </c>
      <c r="S285">
        <f t="shared" si="967"/>
        <v>-2327.1614289642253</v>
      </c>
      <c r="T285">
        <f t="shared" si="968"/>
        <v>-2.3271614289642253</v>
      </c>
    </row>
    <row r="286" spans="1:20" x14ac:dyDescent="0.25">
      <c r="A286" s="5">
        <v>44307</v>
      </c>
      <c r="B286">
        <v>0.60129999999999995</v>
      </c>
      <c r="C286">
        <v>0.61750000000000005</v>
      </c>
      <c r="D286">
        <v>0.52749999999999997</v>
      </c>
      <c r="E286">
        <v>0.53320000000000001</v>
      </c>
      <c r="F286">
        <v>34079648.859999999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-0.87333333333333263</v>
      </c>
      <c r="Q286">
        <f t="shared" si="965"/>
        <v>-29762893.33773331</v>
      </c>
      <c r="R286">
        <f t="shared" si="966"/>
        <v>-212468815.48604056</v>
      </c>
      <c r="S286">
        <f t="shared" si="967"/>
        <v>-2124.6881548604056</v>
      </c>
      <c r="T286">
        <f t="shared" si="968"/>
        <v>-2.1246881548604057</v>
      </c>
    </row>
    <row r="287" spans="1:20" x14ac:dyDescent="0.25">
      <c r="A287" s="5">
        <v>44306</v>
      </c>
      <c r="B287">
        <v>0.57630000000000003</v>
      </c>
      <c r="C287">
        <v>0.62480000000000002</v>
      </c>
      <c r="D287">
        <v>0.48430000000000001</v>
      </c>
      <c r="E287">
        <v>0.60109999999999997</v>
      </c>
      <c r="F287">
        <v>31425526.890000001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0.66263345195729462</v>
      </c>
      <c r="Q287">
        <f t="shared" si="965"/>
        <v>20823605.362697486</v>
      </c>
      <c r="R287">
        <f t="shared" si="966"/>
        <v>-182705922.14830726</v>
      </c>
      <c r="S287">
        <f t="shared" si="967"/>
        <v>-1827.0592214830726</v>
      </c>
      <c r="T287">
        <f t="shared" si="968"/>
        <v>-1.8270592214830725</v>
      </c>
    </row>
    <row r="288" spans="1:20" x14ac:dyDescent="0.25">
      <c r="A288" s="5">
        <v>44305</v>
      </c>
      <c r="B288">
        <v>0.64039999999999997</v>
      </c>
      <c r="C288">
        <v>0.65159999999999996</v>
      </c>
      <c r="D288">
        <v>0.55320000000000003</v>
      </c>
      <c r="E288">
        <v>0.57740000000000002</v>
      </c>
      <c r="F288">
        <v>10121998.17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-0.50813008130081272</v>
      </c>
      <c r="Q288">
        <f t="shared" si="965"/>
        <v>-5143291.7530487776</v>
      </c>
      <c r="R288">
        <f t="shared" si="966"/>
        <v>-203529527.51100475</v>
      </c>
      <c r="S288">
        <f t="shared" si="967"/>
        <v>-2035.2952751100474</v>
      </c>
      <c r="T288">
        <f t="shared" si="968"/>
        <v>-2.0352952751100473</v>
      </c>
    </row>
    <row r="289" spans="1:20" x14ac:dyDescent="0.25">
      <c r="A289" s="5">
        <v>44304</v>
      </c>
      <c r="B289">
        <v>0.66590000000000005</v>
      </c>
      <c r="C289">
        <v>0.6754</v>
      </c>
      <c r="D289">
        <v>0.53</v>
      </c>
      <c r="E289">
        <v>0.64139999999999997</v>
      </c>
      <c r="F289">
        <v>16962116.449999999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0.53232462173314943</v>
      </c>
      <c r="Q289">
        <f t="shared" si="965"/>
        <v>9029352.2230398804</v>
      </c>
      <c r="R289">
        <f t="shared" si="966"/>
        <v>-198386235.75795597</v>
      </c>
      <c r="S289">
        <f t="shared" si="967"/>
        <v>-1983.8623575795598</v>
      </c>
      <c r="T289">
        <f t="shared" si="968"/>
        <v>-1.9838623575795598</v>
      </c>
    </row>
    <row r="290" spans="1:20" x14ac:dyDescent="0.25">
      <c r="A290" s="5">
        <v>44303</v>
      </c>
      <c r="B290">
        <v>0.68</v>
      </c>
      <c r="C290">
        <v>0.73599999999999999</v>
      </c>
      <c r="D290">
        <v>0.66200000000000003</v>
      </c>
      <c r="E290">
        <v>0.66379999999999995</v>
      </c>
      <c r="F290">
        <v>13980786.6</v>
      </c>
      <c r="G290">
        <v>0</v>
      </c>
      <c r="L290" t="s">
        <v>7</v>
      </c>
      <c r="M290" t="s">
        <v>7</v>
      </c>
      <c r="N290" t="s">
        <v>7</v>
      </c>
      <c r="P290">
        <f t="shared" si="964"/>
        <v>-0.95135135135135362</v>
      </c>
      <c r="Q290">
        <f t="shared" si="965"/>
        <v>-13300640.224864896</v>
      </c>
      <c r="R290">
        <f t="shared" si="966"/>
        <v>-207415587.98099586</v>
      </c>
      <c r="S290">
        <f t="shared" si="967"/>
        <v>-2074.1558798099586</v>
      </c>
      <c r="T290">
        <f t="shared" si="968"/>
        <v>-2.0741558798099584</v>
      </c>
    </row>
    <row r="291" spans="1:20" x14ac:dyDescent="0.25">
      <c r="A291" s="5">
        <v>44302</v>
      </c>
      <c r="B291">
        <v>0.74229999999999996</v>
      </c>
      <c r="C291">
        <v>0.74919999999999998</v>
      </c>
      <c r="D291">
        <v>0.67469999999999997</v>
      </c>
      <c r="E291">
        <v>0.68059999999999998</v>
      </c>
      <c r="F291">
        <v>12640576.289999999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-0.84161073825503319</v>
      </c>
      <c r="Q291">
        <f t="shared" si="965"/>
        <v>-10638444.743395967</v>
      </c>
      <c r="R291">
        <f t="shared" si="966"/>
        <v>-194114947.75613096</v>
      </c>
      <c r="S291">
        <f t="shared" si="967"/>
        <v>-1941.1494775613096</v>
      </c>
      <c r="T291">
        <f t="shared" si="968"/>
        <v>-1.9411494775613096</v>
      </c>
    </row>
    <row r="292" spans="1:20" x14ac:dyDescent="0.25">
      <c r="A292" s="5">
        <v>44301</v>
      </c>
      <c r="B292">
        <v>0.81100000000000005</v>
      </c>
      <c r="C292">
        <v>0.84</v>
      </c>
      <c r="D292">
        <v>0.71650000000000003</v>
      </c>
      <c r="E292">
        <v>0.74229999999999996</v>
      </c>
      <c r="F292">
        <v>21667653.809999999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-0.58218623481781462</v>
      </c>
      <c r="Q292">
        <f t="shared" si="965"/>
        <v>-12614609.788979774</v>
      </c>
      <c r="R292">
        <f t="shared" si="966"/>
        <v>-183476503.01273501</v>
      </c>
      <c r="S292">
        <f t="shared" si="967"/>
        <v>-1834.7650301273502</v>
      </c>
      <c r="T292">
        <f t="shared" si="968"/>
        <v>-1.8347650301273501</v>
      </c>
    </row>
    <row r="293" spans="1:20" x14ac:dyDescent="0.25">
      <c r="A293" s="5">
        <v>44300</v>
      </c>
      <c r="B293">
        <v>0.74580000000000002</v>
      </c>
      <c r="C293">
        <v>0.83889999999999998</v>
      </c>
      <c r="D293">
        <v>0.68959999999999999</v>
      </c>
      <c r="E293">
        <v>0.81069999999999998</v>
      </c>
      <c r="F293">
        <v>17292154.890000001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0.62223710649698583</v>
      </c>
      <c r="Q293">
        <f t="shared" si="965"/>
        <v>10759820.423851304</v>
      </c>
      <c r="R293">
        <f t="shared" si="966"/>
        <v>-170861893.22375524</v>
      </c>
      <c r="S293">
        <f t="shared" si="967"/>
        <v>-1708.6189322375524</v>
      </c>
      <c r="T293">
        <f t="shared" si="968"/>
        <v>-1.7086189322375525</v>
      </c>
    </row>
    <row r="294" spans="1:20" x14ac:dyDescent="0.25">
      <c r="A294" s="5">
        <v>44299</v>
      </c>
      <c r="B294">
        <v>0.81510000000000005</v>
      </c>
      <c r="C294">
        <v>0.83</v>
      </c>
      <c r="D294">
        <v>0.73019999999999996</v>
      </c>
      <c r="E294">
        <v>0.74580000000000002</v>
      </c>
      <c r="F294">
        <v>19226726.84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-0.6873747494989968</v>
      </c>
      <c r="Q294">
        <f t="shared" si="965"/>
        <v>-13215966.545330638</v>
      </c>
      <c r="R294">
        <f t="shared" si="966"/>
        <v>-181621713.64760655</v>
      </c>
      <c r="S294">
        <f t="shared" si="967"/>
        <v>-1816.2171364760654</v>
      </c>
      <c r="T294">
        <f t="shared" si="968"/>
        <v>-1.8162171364760655</v>
      </c>
    </row>
    <row r="295" spans="1:20" x14ac:dyDescent="0.25">
      <c r="A295" s="5">
        <v>44298</v>
      </c>
      <c r="B295">
        <v>0.8669</v>
      </c>
      <c r="C295">
        <v>0.93089999999999995</v>
      </c>
      <c r="D295">
        <v>0.76229999999999998</v>
      </c>
      <c r="E295">
        <v>0.81540000000000001</v>
      </c>
      <c r="F295">
        <v>23733675.09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-0.37010676156583577</v>
      </c>
      <c r="Q295">
        <f t="shared" si="965"/>
        <v>-8783993.6276156455</v>
      </c>
      <c r="R295">
        <f t="shared" si="966"/>
        <v>-168405747.10227591</v>
      </c>
      <c r="S295">
        <f t="shared" si="967"/>
        <v>-1684.057471022759</v>
      </c>
      <c r="T295">
        <f t="shared" si="968"/>
        <v>-1.6840574710227592</v>
      </c>
    </row>
    <row r="296" spans="1:20" x14ac:dyDescent="0.25">
      <c r="A296" s="5">
        <v>44297</v>
      </c>
      <c r="B296">
        <v>0.80500000000000005</v>
      </c>
      <c r="C296">
        <v>0.87619999999999998</v>
      </c>
      <c r="D296">
        <v>0.77829999999999999</v>
      </c>
      <c r="E296">
        <v>0.86519999999999997</v>
      </c>
      <c r="F296">
        <v>16910063.91</v>
      </c>
      <c r="G296">
        <v>0</v>
      </c>
      <c r="L296" t="s">
        <v>8</v>
      </c>
      <c r="M296" t="s">
        <v>7</v>
      </c>
      <c r="N296" t="s">
        <v>8</v>
      </c>
      <c r="P296">
        <f t="shared" si="964"/>
        <v>0.77528089887640428</v>
      </c>
      <c r="Q296">
        <f t="shared" si="965"/>
        <v>13110049.548202245</v>
      </c>
      <c r="R296">
        <f t="shared" si="966"/>
        <v>-159621753.47466028</v>
      </c>
      <c r="S296">
        <f t="shared" si="967"/>
        <v>-1596.2175347466027</v>
      </c>
      <c r="T296">
        <f t="shared" si="968"/>
        <v>-1.5962175347466028</v>
      </c>
    </row>
    <row r="297" spans="1:20" x14ac:dyDescent="0.25">
      <c r="A297" s="5">
        <v>44296</v>
      </c>
      <c r="B297">
        <v>0.95109999999999995</v>
      </c>
      <c r="C297">
        <v>0.98970000000000002</v>
      </c>
      <c r="D297">
        <v>0.76859999999999995</v>
      </c>
      <c r="E297">
        <v>0.80420000000000003</v>
      </c>
      <c r="F297">
        <v>68786466.549999997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-0.6779737675260058</v>
      </c>
      <c r="Q297">
        <f t="shared" si="965"/>
        <v>-46635419.881705076</v>
      </c>
      <c r="R297">
        <f t="shared" si="966"/>
        <v>-172731803.02286252</v>
      </c>
      <c r="S297">
        <f t="shared" si="967"/>
        <v>-1727.3180302286253</v>
      </c>
      <c r="T297">
        <f t="shared" si="968"/>
        <v>-1.7273180302286253</v>
      </c>
    </row>
    <row r="298" spans="1:20" x14ac:dyDescent="0.25">
      <c r="A298" s="5">
        <v>44295</v>
      </c>
      <c r="B298">
        <v>0.68859999999999999</v>
      </c>
      <c r="C298">
        <v>0.99</v>
      </c>
      <c r="D298">
        <v>0.66</v>
      </c>
      <c r="E298">
        <v>0.95099999999999996</v>
      </c>
      <c r="F298">
        <v>56558673.189999998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0.76363636363636345</v>
      </c>
      <c r="Q298">
        <f t="shared" si="965"/>
        <v>43190259.526909076</v>
      </c>
      <c r="R298">
        <f t="shared" si="966"/>
        <v>-126096383.14115745</v>
      </c>
      <c r="S298">
        <f t="shared" si="967"/>
        <v>-1260.9638314115746</v>
      </c>
      <c r="T298">
        <f t="shared" si="968"/>
        <v>-1.2609638314115745</v>
      </c>
    </row>
    <row r="299" spans="1:20" x14ac:dyDescent="0.25">
      <c r="A299" s="5">
        <v>44294</v>
      </c>
      <c r="B299">
        <v>0.6028</v>
      </c>
      <c r="C299">
        <v>0.71030000000000004</v>
      </c>
      <c r="D299">
        <v>0.59450000000000003</v>
      </c>
      <c r="E299">
        <v>0.6875</v>
      </c>
      <c r="F299">
        <v>16813438.579999998</v>
      </c>
      <c r="G299">
        <v>0</v>
      </c>
      <c r="L299" t="s">
        <v>8</v>
      </c>
      <c r="M299" t="s">
        <v>7</v>
      </c>
      <c r="N299" t="s">
        <v>7</v>
      </c>
      <c r="P299">
        <f t="shared" si="964"/>
        <v>0.60621761658031015</v>
      </c>
      <c r="Q299">
        <f t="shared" si="965"/>
        <v>10192602.662487034</v>
      </c>
      <c r="R299">
        <f t="shared" si="966"/>
        <v>-169286642.66806653</v>
      </c>
      <c r="S299">
        <f t="shared" si="967"/>
        <v>-1692.8664266806654</v>
      </c>
      <c r="T299">
        <f t="shared" si="968"/>
        <v>-1.6928664266806654</v>
      </c>
    </row>
    <row r="300" spans="1:20" x14ac:dyDescent="0.25">
      <c r="A300" s="5">
        <v>44293</v>
      </c>
      <c r="B300">
        <v>0.63160000000000005</v>
      </c>
      <c r="C300">
        <v>0.64800000000000002</v>
      </c>
      <c r="D300">
        <v>0.58699999999999997</v>
      </c>
      <c r="E300">
        <v>0.60009999999999997</v>
      </c>
      <c r="F300">
        <v>10359276.550000001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-0.57049180327868887</v>
      </c>
      <c r="Q300">
        <f t="shared" si="965"/>
        <v>-5909882.3596721347</v>
      </c>
      <c r="R300">
        <f t="shared" si="966"/>
        <v>-179479245.33055356</v>
      </c>
      <c r="S300">
        <f t="shared" si="967"/>
        <v>-1794.7924533055357</v>
      </c>
      <c r="T300">
        <f t="shared" si="968"/>
        <v>-1.7947924533055357</v>
      </c>
    </row>
    <row r="301" spans="1:20" x14ac:dyDescent="0.25">
      <c r="A301" s="5">
        <v>44292</v>
      </c>
      <c r="B301">
        <v>0.66679999999999995</v>
      </c>
      <c r="C301">
        <v>0.73819999999999997</v>
      </c>
      <c r="D301">
        <v>0.61319999999999997</v>
      </c>
      <c r="E301">
        <v>0.63229999999999997</v>
      </c>
      <c r="F301">
        <v>14039631.779999999</v>
      </c>
      <c r="G301">
        <v>0</v>
      </c>
      <c r="L301" t="s">
        <v>8</v>
      </c>
      <c r="M301" t="s">
        <v>8</v>
      </c>
      <c r="N301" t="s">
        <v>7</v>
      </c>
      <c r="P301">
        <f t="shared" si="964"/>
        <v>-0.69439999999999991</v>
      </c>
      <c r="Q301">
        <f t="shared" si="965"/>
        <v>-9749120.3080319986</v>
      </c>
      <c r="R301">
        <f t="shared" si="966"/>
        <v>-173569362.97088143</v>
      </c>
      <c r="S301">
        <f t="shared" si="967"/>
        <v>-1735.6936297088143</v>
      </c>
      <c r="T301">
        <f t="shared" si="968"/>
        <v>-1.7356936297088144</v>
      </c>
    </row>
    <row r="302" spans="1:20" x14ac:dyDescent="0.25">
      <c r="A302" s="5">
        <v>44291</v>
      </c>
      <c r="B302">
        <v>0.6321</v>
      </c>
      <c r="C302">
        <v>0.69989999999999997</v>
      </c>
      <c r="D302">
        <v>0.59299999999999997</v>
      </c>
      <c r="E302">
        <v>0.66869999999999996</v>
      </c>
      <c r="F302">
        <v>15475383.560000001</v>
      </c>
      <c r="G302">
        <v>0</v>
      </c>
      <c r="L302" t="s">
        <v>8</v>
      </c>
      <c r="M302" t="s">
        <v>7</v>
      </c>
      <c r="N302" t="s">
        <v>7</v>
      </c>
      <c r="P302">
        <f t="shared" si="964"/>
        <v>0.41627689429373232</v>
      </c>
      <c r="Q302">
        <f t="shared" si="965"/>
        <v>6442044.6063610837</v>
      </c>
      <c r="R302">
        <f t="shared" si="966"/>
        <v>-163820242.66284943</v>
      </c>
      <c r="S302">
        <f t="shared" si="967"/>
        <v>-1638.2024266284943</v>
      </c>
      <c r="T302">
        <f t="shared" si="968"/>
        <v>-1.6382024266284942</v>
      </c>
    </row>
    <row r="303" spans="1:20" x14ac:dyDescent="0.25">
      <c r="A303" s="5">
        <v>44290</v>
      </c>
      <c r="B303">
        <v>0.60189999999999999</v>
      </c>
      <c r="C303">
        <v>0.65849999999999997</v>
      </c>
      <c r="D303">
        <v>0.58709999999999996</v>
      </c>
      <c r="E303">
        <v>0.6321</v>
      </c>
      <c r="F303">
        <v>13094403.390000001</v>
      </c>
      <c r="G303">
        <v>0</v>
      </c>
      <c r="L303" t="s">
        <v>7</v>
      </c>
      <c r="M303" t="s">
        <v>7</v>
      </c>
      <c r="N303" t="s">
        <v>7</v>
      </c>
      <c r="P303">
        <f t="shared" si="964"/>
        <v>0.26050420168067306</v>
      </c>
      <c r="Q303">
        <f t="shared" si="965"/>
        <v>3411147.1015966493</v>
      </c>
      <c r="R303">
        <f t="shared" si="966"/>
        <v>-170262287.26921052</v>
      </c>
      <c r="S303">
        <f t="shared" si="967"/>
        <v>-1702.6228726921051</v>
      </c>
      <c r="T303">
        <f t="shared" si="968"/>
        <v>-1.7026228726921051</v>
      </c>
    </row>
    <row r="304" spans="1:20" x14ac:dyDescent="0.25">
      <c r="A304" s="5">
        <v>44289</v>
      </c>
      <c r="B304">
        <v>0.69120000000000004</v>
      </c>
      <c r="C304">
        <v>0.69389999999999996</v>
      </c>
      <c r="D304">
        <v>0.60140000000000005</v>
      </c>
      <c r="E304">
        <v>0.60289999999999999</v>
      </c>
      <c r="F304">
        <v>19740246.59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-0.96756756756756868</v>
      </c>
      <c r="Q304">
        <f t="shared" si="965"/>
        <v>-19100022.37627029</v>
      </c>
      <c r="R304">
        <f t="shared" si="966"/>
        <v>-173673434.37080717</v>
      </c>
      <c r="S304">
        <f t="shared" si="967"/>
        <v>-1736.7343437080717</v>
      </c>
      <c r="T304">
        <f t="shared" si="968"/>
        <v>-1.7367343437080718</v>
      </c>
    </row>
    <row r="305" spans="1:20" x14ac:dyDescent="0.25">
      <c r="A305" s="5">
        <v>44288</v>
      </c>
      <c r="B305">
        <v>0.71619999999999995</v>
      </c>
      <c r="C305">
        <v>0.73429999999999995</v>
      </c>
      <c r="D305">
        <v>0.68200000000000005</v>
      </c>
      <c r="E305">
        <v>0.69110000000000005</v>
      </c>
      <c r="F305">
        <v>11087307.23</v>
      </c>
      <c r="G305">
        <v>0</v>
      </c>
      <c r="L305" t="s">
        <v>8</v>
      </c>
      <c r="M305" t="s">
        <v>7</v>
      </c>
      <c r="N305" t="s">
        <v>8</v>
      </c>
      <c r="P305">
        <f t="shared" si="964"/>
        <v>-0.65200764818355583</v>
      </c>
      <c r="Q305">
        <f t="shared" si="965"/>
        <v>-7229009.1117208349</v>
      </c>
      <c r="R305">
        <f t="shared" si="966"/>
        <v>-154573411.99453688</v>
      </c>
      <c r="S305">
        <f t="shared" si="967"/>
        <v>-1545.7341199453688</v>
      </c>
      <c r="T305">
        <f t="shared" si="968"/>
        <v>-1.5457341199453687</v>
      </c>
    </row>
    <row r="306" spans="1:20" x14ac:dyDescent="0.25">
      <c r="A306" s="5">
        <v>44287</v>
      </c>
      <c r="B306">
        <v>0.8246</v>
      </c>
      <c r="C306">
        <v>0.84460000000000002</v>
      </c>
      <c r="D306">
        <v>0.67349999999999999</v>
      </c>
      <c r="E306">
        <v>0.71630000000000005</v>
      </c>
      <c r="F306">
        <v>19513711.859999999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-0.49970777323202742</v>
      </c>
      <c r="Q306">
        <f t="shared" si="965"/>
        <v>-9751153.5010520034</v>
      </c>
      <c r="R306">
        <f t="shared" si="966"/>
        <v>-147344402.88281605</v>
      </c>
      <c r="S306">
        <f t="shared" si="967"/>
        <v>-1473.4440288281605</v>
      </c>
      <c r="T306">
        <f t="shared" si="968"/>
        <v>-1.4734440288281605</v>
      </c>
    </row>
    <row r="307" spans="1:20" x14ac:dyDescent="0.25">
      <c r="A307" s="5">
        <v>44286</v>
      </c>
      <c r="B307">
        <v>0.75309999999999999</v>
      </c>
      <c r="C307">
        <v>0.84889999999999999</v>
      </c>
      <c r="D307">
        <v>0.74370000000000003</v>
      </c>
      <c r="E307">
        <v>0.82240000000000002</v>
      </c>
      <c r="F307">
        <v>19555388.030000001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0.49619771863117912</v>
      </c>
      <c r="Q307">
        <f t="shared" si="965"/>
        <v>9703338.9274334684</v>
      </c>
      <c r="R307">
        <f t="shared" si="966"/>
        <v>-137593249.38176405</v>
      </c>
      <c r="S307">
        <f t="shared" si="967"/>
        <v>-1375.9324938176405</v>
      </c>
      <c r="T307">
        <f t="shared" si="968"/>
        <v>-1.3759324938176405</v>
      </c>
    </row>
    <row r="308" spans="1:20" x14ac:dyDescent="0.25">
      <c r="A308" s="5">
        <v>44285</v>
      </c>
      <c r="B308">
        <v>0.7298</v>
      </c>
      <c r="C308">
        <v>0.87680000000000002</v>
      </c>
      <c r="D308">
        <v>0.72840000000000005</v>
      </c>
      <c r="E308">
        <v>0.753</v>
      </c>
      <c r="F308">
        <v>28064226.649999999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-0.66846361185983882</v>
      </c>
      <c r="Q308">
        <f t="shared" si="965"/>
        <v>-18759914.310512144</v>
      </c>
      <c r="R308">
        <f t="shared" si="966"/>
        <v>-147296588.30919752</v>
      </c>
      <c r="S308">
        <f t="shared" si="967"/>
        <v>-1472.9658830919752</v>
      </c>
      <c r="T308">
        <f t="shared" si="968"/>
        <v>-1.4729658830919752</v>
      </c>
    </row>
    <row r="309" spans="1:20" x14ac:dyDescent="0.25">
      <c r="A309" s="5">
        <v>44284</v>
      </c>
      <c r="B309">
        <v>0.67449999999999999</v>
      </c>
      <c r="C309">
        <v>0.75019999999999998</v>
      </c>
      <c r="D309">
        <v>0.63470000000000004</v>
      </c>
      <c r="E309">
        <v>0.7298</v>
      </c>
      <c r="F309">
        <v>19889139.510000002</v>
      </c>
      <c r="G309">
        <v>0</v>
      </c>
      <c r="L309" t="s">
        <v>7</v>
      </c>
      <c r="M309" t="s">
        <v>7</v>
      </c>
      <c r="N309" t="s">
        <v>8</v>
      </c>
      <c r="P309">
        <f t="shared" si="964"/>
        <v>0.64675324675324697</v>
      </c>
      <c r="Q309">
        <f t="shared" si="965"/>
        <v>12863365.553220784</v>
      </c>
      <c r="R309">
        <f t="shared" si="966"/>
        <v>-128536673.99868536</v>
      </c>
      <c r="S309">
        <f t="shared" si="967"/>
        <v>-1285.3667399868536</v>
      </c>
      <c r="T309">
        <f t="shared" si="968"/>
        <v>-1.2853667399868536</v>
      </c>
    </row>
    <row r="310" spans="1:20" x14ac:dyDescent="0.25">
      <c r="A310" s="5">
        <v>44283</v>
      </c>
      <c r="B310">
        <v>0.67859999999999998</v>
      </c>
      <c r="C310">
        <v>0.76</v>
      </c>
      <c r="D310">
        <v>0.66120000000000001</v>
      </c>
      <c r="E310">
        <v>0.67689999999999995</v>
      </c>
      <c r="F310">
        <v>17171077.390000001</v>
      </c>
      <c r="G310">
        <v>0</v>
      </c>
      <c r="L310" t="s">
        <v>7</v>
      </c>
      <c r="M310" t="s">
        <v>8</v>
      </c>
      <c r="N310" t="s">
        <v>8</v>
      </c>
      <c r="P310">
        <f t="shared" si="964"/>
        <v>-0.68218623481781504</v>
      </c>
      <c r="Q310">
        <f t="shared" si="965"/>
        <v>-11713872.632449415</v>
      </c>
      <c r="R310">
        <f t="shared" si="966"/>
        <v>-141400039.55190614</v>
      </c>
      <c r="S310">
        <f t="shared" si="967"/>
        <v>-1414.0003955190614</v>
      </c>
      <c r="T310">
        <f t="shared" si="968"/>
        <v>-1.4140003955190614</v>
      </c>
    </row>
    <row r="311" spans="1:20" x14ac:dyDescent="0.25">
      <c r="A311" s="5">
        <v>44282</v>
      </c>
      <c r="B311">
        <v>0.65339999999999998</v>
      </c>
      <c r="C311">
        <v>0.7681</v>
      </c>
      <c r="D311">
        <v>0.61750000000000005</v>
      </c>
      <c r="E311">
        <v>0.67859999999999998</v>
      </c>
      <c r="F311">
        <v>32570743.829999998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-0.18857901726427689</v>
      </c>
      <c r="Q311">
        <f t="shared" si="965"/>
        <v>-6142158.8630279098</v>
      </c>
      <c r="R311">
        <f t="shared" si="966"/>
        <v>-129686166.91945674</v>
      </c>
      <c r="S311">
        <f t="shared" si="967"/>
        <v>-1296.8616691945674</v>
      </c>
      <c r="T311">
        <f t="shared" si="968"/>
        <v>-1.2968616691945674</v>
      </c>
    </row>
    <row r="312" spans="1:20" x14ac:dyDescent="0.25">
      <c r="A312" s="5">
        <v>44281</v>
      </c>
      <c r="B312">
        <v>0.55859999999999999</v>
      </c>
      <c r="C312">
        <v>0.65900000000000003</v>
      </c>
      <c r="D312">
        <v>0.55510000000000004</v>
      </c>
      <c r="E312">
        <v>0.65339999999999998</v>
      </c>
      <c r="F312">
        <v>21866521.34</v>
      </c>
      <c r="G312">
        <v>0</v>
      </c>
      <c r="L312" t="s">
        <v>7</v>
      </c>
      <c r="M312" t="s">
        <v>8</v>
      </c>
      <c r="N312" t="s">
        <v>7</v>
      </c>
      <c r="P312">
        <f t="shared" si="964"/>
        <v>0.892204042348411</v>
      </c>
      <c r="Q312">
        <f t="shared" si="965"/>
        <v>19509398.731645793</v>
      </c>
      <c r="R312">
        <f t="shared" si="966"/>
        <v>-123544008.05642882</v>
      </c>
      <c r="S312">
        <f t="shared" si="967"/>
        <v>-1235.4400805642881</v>
      </c>
      <c r="T312">
        <f t="shared" si="968"/>
        <v>-1.235440080564288</v>
      </c>
    </row>
    <row r="313" spans="1:20" x14ac:dyDescent="0.25">
      <c r="A313" s="5">
        <v>44280</v>
      </c>
      <c r="B313">
        <v>0.64449999999999996</v>
      </c>
      <c r="C313">
        <v>0.71</v>
      </c>
      <c r="D313">
        <v>0.5212</v>
      </c>
      <c r="E313">
        <v>0.55869999999999997</v>
      </c>
      <c r="F313">
        <v>45343543.75</v>
      </c>
      <c r="G313">
        <v>0</v>
      </c>
      <c r="L313" t="s">
        <v>8</v>
      </c>
      <c r="M313" t="s">
        <v>7</v>
      </c>
      <c r="N313" t="s">
        <v>7</v>
      </c>
      <c r="P313">
        <f t="shared" si="964"/>
        <v>-0.60275423728813571</v>
      </c>
      <c r="Q313">
        <f t="shared" si="965"/>
        <v>-27331013.128972463</v>
      </c>
      <c r="R313">
        <f t="shared" si="966"/>
        <v>-143053406.78807461</v>
      </c>
      <c r="S313">
        <f t="shared" si="967"/>
        <v>-1430.5340678807461</v>
      </c>
      <c r="T313">
        <f t="shared" si="968"/>
        <v>-1.4305340678807461</v>
      </c>
    </row>
    <row r="314" spans="1:20" x14ac:dyDescent="0.25">
      <c r="A314" s="5">
        <v>44279</v>
      </c>
      <c r="B314">
        <v>0.54100000000000004</v>
      </c>
      <c r="C314">
        <v>0.82989999999999997</v>
      </c>
      <c r="D314">
        <v>0.52</v>
      </c>
      <c r="E314">
        <v>0.6421</v>
      </c>
      <c r="F314">
        <v>86114471.340000004</v>
      </c>
      <c r="G314">
        <v>0</v>
      </c>
      <c r="L314" t="s">
        <v>7</v>
      </c>
      <c r="M314" t="s">
        <v>8</v>
      </c>
      <c r="N314" t="s">
        <v>8</v>
      </c>
      <c r="P314">
        <f t="shared" si="964"/>
        <v>-0.21200387221684411</v>
      </c>
      <c r="Q314">
        <f t="shared" si="965"/>
        <v>-18256601.377986446</v>
      </c>
      <c r="R314">
        <f t="shared" si="966"/>
        <v>-115722393.65910214</v>
      </c>
      <c r="S314">
        <f t="shared" si="967"/>
        <v>-1157.2239365910214</v>
      </c>
      <c r="T314">
        <f t="shared" si="968"/>
        <v>-1.1572239365910213</v>
      </c>
    </row>
    <row r="315" spans="1:20" x14ac:dyDescent="0.25">
      <c r="A315" s="5">
        <v>44278</v>
      </c>
      <c r="B315">
        <v>0.58599999999999997</v>
      </c>
      <c r="C315">
        <v>0.58899999999999997</v>
      </c>
      <c r="D315">
        <v>0.52500000000000002</v>
      </c>
      <c r="E315">
        <v>0.54149999999999998</v>
      </c>
      <c r="F315">
        <v>18846820.52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-0.48437500000000083</v>
      </c>
      <c r="Q315">
        <f t="shared" si="965"/>
        <v>-9128928.689375015</v>
      </c>
      <c r="R315">
        <f t="shared" si="966"/>
        <v>-97465792.281115696</v>
      </c>
      <c r="S315">
        <f t="shared" si="967"/>
        <v>-974.65792281115694</v>
      </c>
      <c r="T315">
        <f t="shared" si="968"/>
        <v>-0.97465792281115693</v>
      </c>
    </row>
    <row r="316" spans="1:20" x14ac:dyDescent="0.25">
      <c r="A316" s="5">
        <v>44277</v>
      </c>
      <c r="B316">
        <v>0.68</v>
      </c>
      <c r="C316">
        <v>1.3</v>
      </c>
      <c r="D316">
        <v>0.57499999999999996</v>
      </c>
      <c r="E316">
        <v>0.5877</v>
      </c>
      <c r="F316">
        <v>91544062.469999999</v>
      </c>
      <c r="G316">
        <v>0</v>
      </c>
      <c r="P316">
        <f t="shared" si="964"/>
        <v>-0.96496551724137924</v>
      </c>
      <c r="Q316">
        <f t="shared" si="965"/>
        <v>-88336863.591740683</v>
      </c>
      <c r="R316">
        <f t="shared" si="966"/>
        <v>-88336863.591740683</v>
      </c>
      <c r="S316">
        <f t="shared" si="967"/>
        <v>-883.36863591740678</v>
      </c>
      <c r="T316">
        <f t="shared" si="968"/>
        <v>-0.88336863591740677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FP703" sqref="FP70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$A$702</v>
      </c>
      <c r="D111" s="1" t="str">
        <f>ADDRESS(C121-1,D121,1,1)</f>
        <v>$FP$702</v>
      </c>
      <c r="E111"/>
    </row>
    <row r="112" spans="1:5" x14ac:dyDescent="0.25">
      <c r="A112" s="7">
        <v>12164.144957890772</v>
      </c>
      <c r="C112" s="1" t="str">
        <f>ADDRESS(C121,1,1,1)</f>
        <v>$A$703</v>
      </c>
      <c r="D112" s="1" t="str">
        <f>ADDRESS(C121,D121-1,1,1)</f>
        <v>$FO$703</v>
      </c>
      <c r="E112"/>
    </row>
    <row r="113" spans="1:5" x14ac:dyDescent="0.25">
      <c r="A113" s="7">
        <v>11925.63231165762</v>
      </c>
      <c r="C113" s="1" t="str">
        <f>ADDRESS(C121+1,1,1,1)</f>
        <v>$A$704</v>
      </c>
      <c r="D113" s="1" t="str">
        <f>ADDRESS(C121-1,D121+1,1,1)</f>
        <v>$FQ$702</v>
      </c>
    </row>
    <row r="114" spans="1:5" x14ac:dyDescent="0.25">
      <c r="A114" s="7">
        <v>11691.796383978059</v>
      </c>
      <c r="C114" s="1" t="str">
        <f>ADDRESS(C121,D121,1,1)</f>
        <v>$FP$703</v>
      </c>
      <c r="D114" s="1" t="str">
        <f>ADDRESS(C121+1,D121+1,1,1)</f>
        <v>$FQ$704</v>
      </c>
    </row>
    <row r="115" spans="1:5" x14ac:dyDescent="0.25">
      <c r="A115" s="7">
        <v>11462.545474488292</v>
      </c>
      <c r="C115" s="1" t="str">
        <f>ADDRESS(C121+1,D121,1,1)</f>
        <v>$FP$704</v>
      </c>
    </row>
    <row r="116" spans="1:5" x14ac:dyDescent="0.25">
      <c r="A116" s="7">
        <v>11237.789680870874</v>
      </c>
      <c r="C116" s="1">
        <f>C117-1</f>
        <v>702</v>
      </c>
    </row>
    <row r="117" spans="1:5" x14ac:dyDescent="0.25">
      <c r="A117" s="7">
        <v>11017.440863598895</v>
      </c>
      <c r="C117" s="1">
        <f>C121</f>
        <v>703</v>
      </c>
      <c r="D117" s="1">
        <f>D121</f>
        <v>172</v>
      </c>
    </row>
    <row r="118" spans="1:5" x14ac:dyDescent="0.25">
      <c r="A118" s="7">
        <v>10801.412611371465</v>
      </c>
      <c r="C118" s="1">
        <f>C117+1</f>
        <v>704</v>
      </c>
      <c r="D118" s="1">
        <f>D117+1</f>
        <v>173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703</v>
      </c>
      <c r="D121" s="19">
        <v>172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R703</v>
      </c>
      <c r="D123" s="1" t="str">
        <f>"C"&amp;D121</f>
        <v>C172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0.10054953710975212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20" x14ac:dyDescent="0.25">
      <c r="A577" s="7">
        <v>1.2189944199947573</v>
      </c>
      <c r="B577"/>
      <c r="C577"/>
      <c r="D577"/>
      <c r="E577"/>
    </row>
    <row r="578" spans="1:20" x14ac:dyDescent="0.25">
      <c r="A578" s="7">
        <v>1.1950925686223111</v>
      </c>
      <c r="B578"/>
      <c r="C578"/>
      <c r="D578"/>
      <c r="E578"/>
    </row>
    <row r="579" spans="1:20" x14ac:dyDescent="0.25">
      <c r="A579" s="7">
        <v>1.1716593810022657</v>
      </c>
      <c r="B579"/>
      <c r="C579"/>
      <c r="D579"/>
      <c r="E579"/>
    </row>
    <row r="580" spans="1:20" x14ac:dyDescent="0.25">
      <c r="A580" s="7">
        <v>1.14868566764928</v>
      </c>
      <c r="B580"/>
      <c r="C580"/>
      <c r="D580"/>
      <c r="E580"/>
    </row>
    <row r="581" spans="1:20" x14ac:dyDescent="0.25">
      <c r="A581" s="7">
        <v>1.1261624192640001</v>
      </c>
      <c r="B581"/>
      <c r="C581"/>
      <c r="D581"/>
      <c r="E581"/>
    </row>
    <row r="582" spans="1:20" x14ac:dyDescent="0.25">
      <c r="A582" s="7">
        <v>1.1040808032</v>
      </c>
      <c r="B582"/>
      <c r="C582"/>
      <c r="D582"/>
      <c r="E582"/>
    </row>
    <row r="583" spans="1:20" x14ac:dyDescent="0.25">
      <c r="A583" s="7">
        <v>1.08243216</v>
      </c>
      <c r="B583"/>
      <c r="C583"/>
      <c r="D583"/>
      <c r="E583"/>
    </row>
    <row r="584" spans="1:20" x14ac:dyDescent="0.25">
      <c r="A584" s="7">
        <v>1.0612079999999999</v>
      </c>
      <c r="B584"/>
      <c r="C584"/>
      <c r="D584"/>
      <c r="E584"/>
    </row>
    <row r="585" spans="1:20" x14ac:dyDescent="0.25">
      <c r="A585" s="7">
        <v>1.0404</v>
      </c>
      <c r="B585"/>
      <c r="C585"/>
      <c r="D585"/>
      <c r="E585"/>
    </row>
    <row r="586" spans="1:20" x14ac:dyDescent="0.25">
      <c r="A586" s="7">
        <v>1.02</v>
      </c>
      <c r="B586"/>
      <c r="C586"/>
      <c r="D586"/>
      <c r="E586"/>
    </row>
    <row r="587" spans="1:20" x14ac:dyDescent="0.25">
      <c r="A587" s="7">
        <v>1</v>
      </c>
      <c r="B587"/>
      <c r="C587"/>
      <c r="D587"/>
      <c r="E587" s="29" t="s">
        <v>8</v>
      </c>
    </row>
    <row r="588" spans="1:20" x14ac:dyDescent="0.25">
      <c r="A588" s="7">
        <v>0.98039215686274506</v>
      </c>
      <c r="B588"/>
      <c r="C588"/>
      <c r="D588"/>
      <c r="E588"/>
      <c r="F588" s="27" t="s">
        <v>7</v>
      </c>
      <c r="Q588" s="27" t="s">
        <v>8</v>
      </c>
    </row>
    <row r="589" spans="1:20" x14ac:dyDescent="0.25">
      <c r="A589" s="7">
        <v>0.96116878123798544</v>
      </c>
      <c r="B589"/>
      <c r="C589"/>
      <c r="D589"/>
      <c r="E589"/>
      <c r="F589" s="27" t="s">
        <v>7</v>
      </c>
      <c r="Q589" s="27" t="s">
        <v>8</v>
      </c>
      <c r="R589" s="27" t="s">
        <v>7</v>
      </c>
    </row>
    <row r="590" spans="1:20" x14ac:dyDescent="0.25">
      <c r="A590" s="7">
        <v>0.94232233454704462</v>
      </c>
      <c r="B590"/>
      <c r="C590"/>
      <c r="D590"/>
      <c r="E590"/>
      <c r="F590" s="27" t="s">
        <v>7</v>
      </c>
      <c r="Q590" s="27" t="s">
        <v>8</v>
      </c>
      <c r="R590" s="27" t="s">
        <v>7</v>
      </c>
    </row>
    <row r="591" spans="1:20" x14ac:dyDescent="0.25">
      <c r="A591" s="7">
        <v>0.92384542602651432</v>
      </c>
      <c r="B591"/>
      <c r="C591"/>
      <c r="D591"/>
      <c r="E591"/>
      <c r="F591" s="27" t="s">
        <v>7</v>
      </c>
      <c r="Q591" s="27" t="s">
        <v>8</v>
      </c>
      <c r="R591" s="27" t="s">
        <v>7</v>
      </c>
      <c r="S591" s="27" t="s">
        <v>8</v>
      </c>
    </row>
    <row r="592" spans="1:20" x14ac:dyDescent="0.25">
      <c r="A592" s="7">
        <v>0.90573080982991594</v>
      </c>
      <c r="B592"/>
      <c r="C592"/>
      <c r="D592"/>
      <c r="E592"/>
      <c r="F592" s="27" t="s">
        <v>7</v>
      </c>
      <c r="Q592" s="27" t="s">
        <v>8</v>
      </c>
      <c r="R592" s="27" t="s">
        <v>7</v>
      </c>
      <c r="S592" s="27" t="s">
        <v>8</v>
      </c>
      <c r="T592" s="27" t="s">
        <v>7</v>
      </c>
    </row>
    <row r="593" spans="1:33" x14ac:dyDescent="0.25">
      <c r="A593" s="7">
        <v>0.8879713821861922</v>
      </c>
      <c r="B593"/>
      <c r="C593"/>
      <c r="D593"/>
      <c r="E593"/>
      <c r="F593" s="27" t="s">
        <v>7</v>
      </c>
      <c r="Q593" s="27" t="s">
        <v>8</v>
      </c>
      <c r="R593" s="27" t="s">
        <v>7</v>
      </c>
      <c r="S593" s="27" t="s">
        <v>8</v>
      </c>
      <c r="T593" s="27" t="s">
        <v>7</v>
      </c>
    </row>
    <row r="594" spans="1:33" x14ac:dyDescent="0.25">
      <c r="A594" s="7">
        <v>0.87056017861391399</v>
      </c>
      <c r="B594"/>
      <c r="C594"/>
      <c r="D594"/>
      <c r="E594"/>
      <c r="F594" s="27" t="s">
        <v>7</v>
      </c>
      <c r="K594" s="27" t="s">
        <v>8</v>
      </c>
      <c r="Q594" s="27" t="s">
        <v>8</v>
      </c>
      <c r="R594" s="27" t="s">
        <v>7</v>
      </c>
      <c r="S594" s="27" t="s">
        <v>8</v>
      </c>
      <c r="T594" s="27" t="s">
        <v>7</v>
      </c>
    </row>
    <row r="595" spans="1:33" x14ac:dyDescent="0.25">
      <c r="A595" s="7">
        <v>0.85349037119011173</v>
      </c>
      <c r="B595"/>
      <c r="C595"/>
      <c r="D595"/>
      <c r="E595"/>
      <c r="F595" s="27" t="s">
        <v>7</v>
      </c>
      <c r="K595" s="27" t="s">
        <v>8</v>
      </c>
      <c r="L595" s="27" t="s">
        <v>7</v>
      </c>
      <c r="Q595" s="27" t="s">
        <v>8</v>
      </c>
      <c r="R595" s="27" t="s">
        <v>7</v>
      </c>
      <c r="S595" s="27" t="s">
        <v>8</v>
      </c>
      <c r="T595" s="27" t="s">
        <v>7</v>
      </c>
    </row>
    <row r="596" spans="1:33" x14ac:dyDescent="0.25">
      <c r="A596" s="7">
        <v>0.83675526587265858</v>
      </c>
      <c r="B596"/>
      <c r="C596"/>
      <c r="D596"/>
      <c r="E596"/>
      <c r="F596" s="27" t="s">
        <v>7</v>
      </c>
      <c r="K596" s="27" t="s">
        <v>8</v>
      </c>
      <c r="L596" s="27" t="s">
        <v>7</v>
      </c>
      <c r="Q596" s="27" t="s">
        <v>8</v>
      </c>
      <c r="R596" s="27" t="s">
        <v>7</v>
      </c>
      <c r="S596" s="27" t="s">
        <v>8</v>
      </c>
      <c r="T596" s="27" t="s">
        <v>7</v>
      </c>
      <c r="U596" s="27" t="s">
        <v>8</v>
      </c>
    </row>
    <row r="597" spans="1:33" x14ac:dyDescent="0.25">
      <c r="A597" s="7">
        <v>0.82034829987515545</v>
      </c>
      <c r="B597"/>
      <c r="C597"/>
      <c r="D597"/>
      <c r="E597"/>
      <c r="F597" s="27" t="s">
        <v>7</v>
      </c>
      <c r="K597" s="27" t="s">
        <v>8</v>
      </c>
      <c r="L597" s="27" t="s">
        <v>7</v>
      </c>
      <c r="Q597" s="27" t="s">
        <v>8</v>
      </c>
      <c r="R597" s="27" t="s">
        <v>7</v>
      </c>
      <c r="S597" s="27" t="s">
        <v>8</v>
      </c>
      <c r="T597" s="27" t="s">
        <v>7</v>
      </c>
      <c r="U597" s="27" t="s">
        <v>8</v>
      </c>
      <c r="V597" s="27" t="s">
        <v>7</v>
      </c>
    </row>
    <row r="598" spans="1:33" x14ac:dyDescent="0.25">
      <c r="A598" s="7">
        <v>0.80426303909328967</v>
      </c>
      <c r="B598"/>
      <c r="C598"/>
      <c r="D598"/>
      <c r="E598"/>
      <c r="F598" s="27" t="s">
        <v>7</v>
      </c>
      <c r="K598" s="27" t="s">
        <v>8</v>
      </c>
      <c r="L598" s="27" t="s">
        <v>7</v>
      </c>
      <c r="Q598" s="27" t="s">
        <v>8</v>
      </c>
      <c r="R598" s="27" t="s">
        <v>7</v>
      </c>
      <c r="S598" s="27" t="s">
        <v>8</v>
      </c>
      <c r="T598" s="27" t="s">
        <v>7</v>
      </c>
      <c r="U598" s="27" t="s">
        <v>8</v>
      </c>
      <c r="V598" s="27" t="s">
        <v>7</v>
      </c>
    </row>
    <row r="599" spans="1:33" x14ac:dyDescent="0.25">
      <c r="A599" s="7">
        <v>0.78849317558165644</v>
      </c>
      <c r="B599"/>
      <c r="C599"/>
      <c r="D599"/>
      <c r="E599"/>
      <c r="F599" s="27" t="s">
        <v>7</v>
      </c>
      <c r="K599" s="27" t="s">
        <v>8</v>
      </c>
      <c r="L599" s="27" t="s">
        <v>7</v>
      </c>
      <c r="Q599" s="27" t="s">
        <v>8</v>
      </c>
      <c r="R599" s="27" t="s">
        <v>7</v>
      </c>
      <c r="S599" s="27" t="s">
        <v>8</v>
      </c>
      <c r="T599" s="27" t="s">
        <v>7</v>
      </c>
      <c r="U599" s="27" t="s">
        <v>8</v>
      </c>
      <c r="V599" s="27" t="s">
        <v>7</v>
      </c>
    </row>
    <row r="600" spans="1:33" x14ac:dyDescent="0.25">
      <c r="A600" s="7">
        <v>0.77303252508005538</v>
      </c>
      <c r="B600"/>
      <c r="C600"/>
      <c r="D600"/>
      <c r="E600"/>
      <c r="F600" s="27" t="s">
        <v>7</v>
      </c>
      <c r="K600" s="27" t="s">
        <v>8</v>
      </c>
      <c r="L600" s="27" t="s">
        <v>7</v>
      </c>
      <c r="Q600" s="27" t="s">
        <v>8</v>
      </c>
      <c r="R600" s="27" t="s">
        <v>7</v>
      </c>
      <c r="T600" s="27" t="s">
        <v>7</v>
      </c>
      <c r="U600" s="27" t="s">
        <v>8</v>
      </c>
      <c r="V600" s="27" t="s">
        <v>7</v>
      </c>
    </row>
    <row r="601" spans="1:33" x14ac:dyDescent="0.25">
      <c r="A601" s="7">
        <v>0.75787502458828959</v>
      </c>
      <c r="B601"/>
      <c r="C601"/>
      <c r="D601"/>
      <c r="E601"/>
      <c r="F601" s="27" t="s">
        <v>7</v>
      </c>
      <c r="I601" s="27" t="s">
        <v>8</v>
      </c>
      <c r="K601" s="27" t="s">
        <v>8</v>
      </c>
      <c r="L601" s="27" t="s">
        <v>7</v>
      </c>
      <c r="Q601" s="27" t="s">
        <v>8</v>
      </c>
      <c r="T601" s="27" t="s">
        <v>7</v>
      </c>
      <c r="U601" s="27" t="s">
        <v>8</v>
      </c>
      <c r="V601" s="27" t="s">
        <v>7</v>
      </c>
    </row>
    <row r="602" spans="1:33" x14ac:dyDescent="0.25">
      <c r="A602" s="7">
        <v>0.74301472998851925</v>
      </c>
      <c r="B602"/>
      <c r="C602"/>
      <c r="D602"/>
      <c r="E602"/>
      <c r="F602" s="27" t="s">
        <v>7</v>
      </c>
      <c r="I602" s="27" t="s">
        <v>8</v>
      </c>
      <c r="J602" s="27" t="s">
        <v>7</v>
      </c>
      <c r="K602" s="27" t="s">
        <v>8</v>
      </c>
      <c r="L602" s="27" t="s">
        <v>7</v>
      </c>
      <c r="Q602" s="27" t="s">
        <v>8</v>
      </c>
      <c r="T602" s="27" t="s">
        <v>7</v>
      </c>
      <c r="U602" s="27" t="s">
        <v>8</v>
      </c>
      <c r="V602" s="27" t="s">
        <v>7</v>
      </c>
    </row>
    <row r="603" spans="1:33" x14ac:dyDescent="0.25">
      <c r="A603" s="7">
        <v>0.72844581371423456</v>
      </c>
      <c r="B603"/>
      <c r="C603"/>
      <c r="D603"/>
      <c r="E603"/>
      <c r="F603" s="27" t="s">
        <v>7</v>
      </c>
      <c r="I603" s="27" t="s">
        <v>8</v>
      </c>
      <c r="J603" s="27" t="s">
        <v>7</v>
      </c>
      <c r="K603" s="27" t="s">
        <v>8</v>
      </c>
      <c r="L603" s="27" t="s">
        <v>7</v>
      </c>
      <c r="M603" s="27" t="s">
        <v>8</v>
      </c>
      <c r="O603" s="27" t="s">
        <v>8</v>
      </c>
      <c r="Q603" s="27" t="s">
        <v>8</v>
      </c>
      <c r="T603" s="27" t="s">
        <v>7</v>
      </c>
      <c r="U603" s="27" t="s">
        <v>8</v>
      </c>
      <c r="V603" s="27" t="s">
        <v>7</v>
      </c>
    </row>
    <row r="604" spans="1:33" x14ac:dyDescent="0.25">
      <c r="A604" s="7">
        <v>0.71416256246493581</v>
      </c>
      <c r="B604"/>
      <c r="C604"/>
      <c r="D604"/>
      <c r="E604"/>
      <c r="F604" s="27" t="s">
        <v>7</v>
      </c>
      <c r="I604" s="27" t="s">
        <v>8</v>
      </c>
      <c r="J604" s="27" t="s">
        <v>7</v>
      </c>
      <c r="K604" s="27" t="s">
        <v>8</v>
      </c>
      <c r="L604" s="27" t="s">
        <v>7</v>
      </c>
      <c r="M604" s="27" t="s">
        <v>8</v>
      </c>
      <c r="N604" s="27" t="s">
        <v>7</v>
      </c>
      <c r="O604" s="27" t="s">
        <v>8</v>
      </c>
      <c r="P604" s="27" t="s">
        <v>7</v>
      </c>
      <c r="Q604" s="27" t="s">
        <v>8</v>
      </c>
      <c r="T604" s="27" t="s">
        <v>7</v>
      </c>
      <c r="U604" s="27" t="s">
        <v>8</v>
      </c>
      <c r="V604" s="27" t="s">
        <v>7</v>
      </c>
    </row>
    <row r="605" spans="1:33" x14ac:dyDescent="0.25">
      <c r="A605" s="7">
        <v>0.7001593749656233</v>
      </c>
      <c r="B605"/>
      <c r="C605"/>
      <c r="D605"/>
      <c r="E605"/>
      <c r="F605" s="27" t="s">
        <v>7</v>
      </c>
      <c r="G605" s="27" t="s">
        <v>8</v>
      </c>
      <c r="I605" s="27" t="s">
        <v>8</v>
      </c>
      <c r="J605" s="27" t="s">
        <v>7</v>
      </c>
      <c r="K605" s="27" t="s">
        <v>8</v>
      </c>
      <c r="L605" s="27" t="s">
        <v>7</v>
      </c>
      <c r="M605" s="27" t="s">
        <v>8</v>
      </c>
      <c r="N605" s="27" t="s">
        <v>7</v>
      </c>
      <c r="O605" s="27" t="s">
        <v>8</v>
      </c>
      <c r="P605" s="27" t="s">
        <v>7</v>
      </c>
      <c r="Q605" s="27" t="s">
        <v>8</v>
      </c>
      <c r="T605" s="27" t="s">
        <v>7</v>
      </c>
      <c r="V605" s="27" t="s">
        <v>7</v>
      </c>
    </row>
    <row r="606" spans="1:33" x14ac:dyDescent="0.25">
      <c r="A606" s="7">
        <v>0.68643075977021883</v>
      </c>
      <c r="B606"/>
      <c r="C606"/>
      <c r="D606"/>
      <c r="E606"/>
      <c r="F606" s="27" t="s">
        <v>7</v>
      </c>
      <c r="G606" s="27" t="s">
        <v>8</v>
      </c>
      <c r="H606" s="27" t="s">
        <v>7</v>
      </c>
      <c r="I606" s="27" t="s">
        <v>8</v>
      </c>
      <c r="J606" s="27" t="s">
        <v>7</v>
      </c>
      <c r="K606" s="27" t="s">
        <v>8</v>
      </c>
      <c r="L606" s="27" t="s">
        <v>7</v>
      </c>
      <c r="N606" s="27" t="s">
        <v>7</v>
      </c>
      <c r="O606" s="27" t="s">
        <v>8</v>
      </c>
      <c r="P606" s="27" t="s">
        <v>7</v>
      </c>
      <c r="Q606" s="27" t="s">
        <v>8</v>
      </c>
      <c r="V606" s="27" t="s">
        <v>7</v>
      </c>
      <c r="AC606" s="27" t="s">
        <v>8</v>
      </c>
      <c r="AE606" s="27" t="s">
        <v>8</v>
      </c>
    </row>
    <row r="607" spans="1:33" x14ac:dyDescent="0.25">
      <c r="A607" s="7">
        <v>0.67297133310805768</v>
      </c>
      <c r="B607"/>
      <c r="C607"/>
      <c r="D607"/>
      <c r="E607"/>
      <c r="F607" s="27" t="s">
        <v>7</v>
      </c>
      <c r="G607" s="27" t="s">
        <v>8</v>
      </c>
      <c r="H607" s="27" t="s">
        <v>7</v>
      </c>
      <c r="I607" s="27" t="s">
        <v>8</v>
      </c>
      <c r="J607" s="27" t="s">
        <v>7</v>
      </c>
      <c r="K607" s="27" t="s">
        <v>8</v>
      </c>
      <c r="N607" s="27" t="s">
        <v>7</v>
      </c>
      <c r="O607" s="27" t="s">
        <v>8</v>
      </c>
      <c r="P607" s="27" t="s">
        <v>7</v>
      </c>
      <c r="Q607" s="27" t="s">
        <v>8</v>
      </c>
      <c r="V607" s="27" t="s">
        <v>7</v>
      </c>
      <c r="AC607" s="27" t="s">
        <v>8</v>
      </c>
      <c r="AD607" s="27" t="s">
        <v>7</v>
      </c>
      <c r="AE607" s="27" t="s">
        <v>8</v>
      </c>
      <c r="AF607" s="27" t="s">
        <v>7</v>
      </c>
    </row>
    <row r="608" spans="1:33" x14ac:dyDescent="0.25">
      <c r="A608" s="7">
        <v>0.65977581677260566</v>
      </c>
      <c r="B608"/>
      <c r="C608"/>
      <c r="D608"/>
      <c r="E608"/>
      <c r="F608" s="27" t="s">
        <v>7</v>
      </c>
      <c r="G608" s="27" t="s">
        <v>8</v>
      </c>
      <c r="H608" s="27" t="s">
        <v>7</v>
      </c>
      <c r="I608" s="27" t="s">
        <v>8</v>
      </c>
      <c r="J608" s="27" t="s">
        <v>7</v>
      </c>
      <c r="K608" s="27" t="s">
        <v>8</v>
      </c>
      <c r="N608" s="27" t="s">
        <v>7</v>
      </c>
      <c r="O608" s="27" t="s">
        <v>8</v>
      </c>
      <c r="P608" s="27" t="s">
        <v>7</v>
      </c>
      <c r="Q608" s="27" t="s">
        <v>8</v>
      </c>
      <c r="V608" s="27" t="s">
        <v>7</v>
      </c>
      <c r="AC608" s="27" t="s">
        <v>8</v>
      </c>
      <c r="AD608" s="27" t="s">
        <v>7</v>
      </c>
      <c r="AE608" s="27" t="s">
        <v>8</v>
      </c>
      <c r="AF608" s="27" t="s">
        <v>7</v>
      </c>
      <c r="AG608" s="27" t="s">
        <v>8</v>
      </c>
    </row>
    <row r="609" spans="1:102" x14ac:dyDescent="0.25">
      <c r="A609" s="7">
        <v>0.64683903605157422</v>
      </c>
      <c r="B609"/>
      <c r="C609"/>
      <c r="D609"/>
      <c r="E609"/>
      <c r="F609" s="27" t="s">
        <v>7</v>
      </c>
      <c r="G609" s="27" t="s">
        <v>8</v>
      </c>
      <c r="H609" s="27" t="s">
        <v>7</v>
      </c>
      <c r="I609" s="27" t="s">
        <v>8</v>
      </c>
      <c r="J609" s="27" t="s">
        <v>7</v>
      </c>
      <c r="N609" s="27" t="s">
        <v>7</v>
      </c>
      <c r="O609" s="27" t="s">
        <v>8</v>
      </c>
      <c r="P609" s="27" t="s">
        <v>7</v>
      </c>
      <c r="Q609" s="27" t="s">
        <v>8</v>
      </c>
      <c r="V609" s="27" t="s">
        <v>7</v>
      </c>
      <c r="W609" s="27" t="s">
        <v>8</v>
      </c>
      <c r="AC609" s="27" t="s">
        <v>8</v>
      </c>
      <c r="AD609" s="27" t="s">
        <v>7</v>
      </c>
      <c r="AE609" s="27" t="s">
        <v>8</v>
      </c>
      <c r="AF609" s="27" t="s">
        <v>7</v>
      </c>
      <c r="AG609" s="27" t="s">
        <v>8</v>
      </c>
      <c r="AH609" s="27" t="s">
        <v>7</v>
      </c>
    </row>
    <row r="610" spans="1:102" x14ac:dyDescent="0.25">
      <c r="A610" s="7">
        <v>0.63415591769762181</v>
      </c>
      <c r="B610"/>
      <c r="C610"/>
      <c r="D610"/>
      <c r="E610"/>
      <c r="F610" s="27" t="s">
        <v>7</v>
      </c>
      <c r="G610" s="27" t="s">
        <v>8</v>
      </c>
      <c r="H610" s="27" t="s">
        <v>7</v>
      </c>
      <c r="I610" s="27" t="s">
        <v>8</v>
      </c>
      <c r="N610" s="27" t="s">
        <v>7</v>
      </c>
      <c r="O610" s="27" t="s">
        <v>8</v>
      </c>
      <c r="P610" s="27" t="s">
        <v>7</v>
      </c>
      <c r="Q610" s="27" t="s">
        <v>8</v>
      </c>
      <c r="V610" s="27" t="s">
        <v>7</v>
      </c>
      <c r="W610" s="27" t="s">
        <v>8</v>
      </c>
      <c r="X610" s="27" t="s">
        <v>7</v>
      </c>
      <c r="AC610" s="27" t="s">
        <v>8</v>
      </c>
      <c r="AD610" s="27" t="s">
        <v>7</v>
      </c>
      <c r="AE610" s="27" t="s">
        <v>8</v>
      </c>
      <c r="AF610" s="27" t="s">
        <v>7</v>
      </c>
      <c r="AG610" s="27" t="s">
        <v>8</v>
      </c>
      <c r="AH610" s="27" t="s">
        <v>7</v>
      </c>
    </row>
    <row r="611" spans="1:102" x14ac:dyDescent="0.25">
      <c r="A611" s="7">
        <v>0.62172148793884496</v>
      </c>
      <c r="B611"/>
      <c r="C611"/>
      <c r="D611"/>
      <c r="E611"/>
      <c r="F611" s="27" t="s">
        <v>7</v>
      </c>
      <c r="G611" s="27" t="s">
        <v>8</v>
      </c>
      <c r="H611" s="27" t="s">
        <v>7</v>
      </c>
      <c r="I611" s="27" t="s">
        <v>8</v>
      </c>
      <c r="N611" s="27" t="s">
        <v>7</v>
      </c>
      <c r="O611" s="27" t="s">
        <v>8</v>
      </c>
      <c r="P611" s="27" t="s">
        <v>7</v>
      </c>
      <c r="Q611" s="27" t="s">
        <v>8</v>
      </c>
      <c r="V611" s="27" t="s">
        <v>7</v>
      </c>
      <c r="W611" s="27" t="s">
        <v>8</v>
      </c>
      <c r="X611" s="27" t="s">
        <v>7</v>
      </c>
      <c r="AC611" s="27" t="s">
        <v>8</v>
      </c>
      <c r="AD611" s="27" t="s">
        <v>7</v>
      </c>
      <c r="AE611" s="27" t="s">
        <v>8</v>
      </c>
      <c r="AF611" s="27" t="s">
        <v>7</v>
      </c>
      <c r="AG611" s="27" t="s">
        <v>8</v>
      </c>
      <c r="AH611" s="27" t="s">
        <v>7</v>
      </c>
    </row>
    <row r="612" spans="1:102" x14ac:dyDescent="0.25">
      <c r="A612" s="7">
        <v>0.60953087052827937</v>
      </c>
      <c r="B612"/>
      <c r="C612"/>
      <c r="D612"/>
      <c r="E612"/>
      <c r="F612" s="27" t="s">
        <v>7</v>
      </c>
      <c r="G612" s="27" t="s">
        <v>8</v>
      </c>
      <c r="H612" s="27" t="s">
        <v>7</v>
      </c>
      <c r="I612" s="27" t="s">
        <v>8</v>
      </c>
      <c r="N612" s="27" t="s">
        <v>7</v>
      </c>
      <c r="O612" s="27" t="s">
        <v>8</v>
      </c>
      <c r="P612" s="27" t="s">
        <v>7</v>
      </c>
      <c r="Q612" s="27" t="s">
        <v>8</v>
      </c>
      <c r="V612" s="27" t="s">
        <v>7</v>
      </c>
      <c r="W612" s="27" t="s">
        <v>8</v>
      </c>
      <c r="X612" s="27" t="s">
        <v>7</v>
      </c>
      <c r="Y612" s="27" t="s">
        <v>8</v>
      </c>
      <c r="AC612" s="27" t="s">
        <v>8</v>
      </c>
      <c r="AD612" s="27" t="s">
        <v>7</v>
      </c>
      <c r="AE612" s="27" t="s">
        <v>8</v>
      </c>
      <c r="AF612" s="27" t="s">
        <v>7</v>
      </c>
      <c r="AG612" s="27" t="s">
        <v>8</v>
      </c>
      <c r="AH612" s="27" t="s">
        <v>7</v>
      </c>
    </row>
    <row r="613" spans="1:102" x14ac:dyDescent="0.25">
      <c r="A613" s="7">
        <v>0.59757928483164646</v>
      </c>
      <c r="B613"/>
      <c r="C613"/>
      <c r="D613"/>
      <c r="E613"/>
      <c r="F613" s="27" t="s">
        <v>7</v>
      </c>
      <c r="G613" s="27" t="s">
        <v>8</v>
      </c>
      <c r="H613" s="27" t="s">
        <v>7</v>
      </c>
      <c r="I613" s="27" t="s">
        <v>8</v>
      </c>
      <c r="N613" s="27" t="s">
        <v>7</v>
      </c>
      <c r="P613" s="27" t="s">
        <v>7</v>
      </c>
      <c r="V613" s="27" t="s">
        <v>7</v>
      </c>
      <c r="W613" s="27" t="s">
        <v>8</v>
      </c>
      <c r="X613" s="27" t="s">
        <v>7</v>
      </c>
      <c r="Y613" s="27" t="s">
        <v>8</v>
      </c>
      <c r="Z613" s="27" t="s">
        <v>7</v>
      </c>
      <c r="AC613" s="27" t="s">
        <v>8</v>
      </c>
      <c r="AD613" s="27" t="s">
        <v>7</v>
      </c>
      <c r="AE613" s="27" t="s">
        <v>8</v>
      </c>
      <c r="AF613" s="27" t="s">
        <v>7</v>
      </c>
      <c r="AH613" s="27" t="s">
        <v>7</v>
      </c>
    </row>
    <row r="614" spans="1:102" x14ac:dyDescent="0.25">
      <c r="A614" s="7">
        <v>0.58586204395259456</v>
      </c>
      <c r="B614"/>
      <c r="C614"/>
      <c r="D614"/>
      <c r="E614"/>
      <c r="F614" s="27" t="s">
        <v>7</v>
      </c>
      <c r="G614" s="27" t="s">
        <v>8</v>
      </c>
      <c r="H614" s="27" t="s">
        <v>7</v>
      </c>
      <c r="I614" s="27" t="s">
        <v>8</v>
      </c>
      <c r="V614" s="27" t="s">
        <v>7</v>
      </c>
      <c r="W614" s="27" t="s">
        <v>8</v>
      </c>
      <c r="X614" s="27" t="s">
        <v>7</v>
      </c>
      <c r="Y614" s="27" t="s">
        <v>8</v>
      </c>
      <c r="Z614" s="27" t="s">
        <v>7</v>
      </c>
      <c r="AC614" s="27" t="s">
        <v>8</v>
      </c>
      <c r="AD614" s="27" t="s">
        <v>7</v>
      </c>
      <c r="AE614" s="27" t="s">
        <v>8</v>
      </c>
      <c r="AH614" s="27" t="s">
        <v>7</v>
      </c>
      <c r="AI614" s="27" t="s">
        <v>8</v>
      </c>
    </row>
    <row r="615" spans="1:102" x14ac:dyDescent="0.25">
      <c r="A615" s="7">
        <v>0.57437455289470052</v>
      </c>
      <c r="B615"/>
      <c r="C615"/>
      <c r="D615"/>
      <c r="E615"/>
      <c r="F615" s="27" t="s">
        <v>7</v>
      </c>
      <c r="G615" s="27" t="s">
        <v>8</v>
      </c>
      <c r="H615" s="27" t="s">
        <v>7</v>
      </c>
      <c r="I615" s="27" t="s">
        <v>8</v>
      </c>
      <c r="V615" s="27" t="s">
        <v>7</v>
      </c>
      <c r="W615" s="27" t="s">
        <v>8</v>
      </c>
      <c r="X615" s="27" t="s">
        <v>7</v>
      </c>
      <c r="Y615" s="27" t="s">
        <v>8</v>
      </c>
      <c r="Z615" s="27" t="s">
        <v>7</v>
      </c>
      <c r="AA615" s="27" t="s">
        <v>8</v>
      </c>
      <c r="AC615" s="27" t="s">
        <v>8</v>
      </c>
      <c r="AD615" s="27" t="s">
        <v>7</v>
      </c>
      <c r="AE615" s="27" t="s">
        <v>8</v>
      </c>
      <c r="AH615" s="27" t="s">
        <v>7</v>
      </c>
      <c r="AI615" s="27" t="s">
        <v>8</v>
      </c>
      <c r="AJ615" s="27" t="s">
        <v>7</v>
      </c>
    </row>
    <row r="616" spans="1:102" x14ac:dyDescent="0.25">
      <c r="A616" s="7">
        <v>0.56311230675951029</v>
      </c>
      <c r="B616"/>
      <c r="C616"/>
      <c r="D616"/>
      <c r="E616"/>
      <c r="F616" s="27" t="s">
        <v>7</v>
      </c>
      <c r="G616" s="27" t="s">
        <v>8</v>
      </c>
      <c r="H616" s="27" t="s">
        <v>7</v>
      </c>
      <c r="V616" s="27" t="s">
        <v>7</v>
      </c>
      <c r="W616" s="27" t="s">
        <v>8</v>
      </c>
      <c r="X616" s="27" t="s">
        <v>7</v>
      </c>
      <c r="Y616" s="27" t="s">
        <v>8</v>
      </c>
      <c r="Z616" s="27" t="s">
        <v>7</v>
      </c>
      <c r="AA616" s="27" t="s">
        <v>8</v>
      </c>
      <c r="AB616" s="27" t="s">
        <v>7</v>
      </c>
      <c r="AC616" s="27" t="s">
        <v>8</v>
      </c>
      <c r="AD616" s="27" t="s">
        <v>7</v>
      </c>
      <c r="AH616" s="27" t="s">
        <v>7</v>
      </c>
      <c r="AI616" s="27" t="s">
        <v>8</v>
      </c>
      <c r="AJ616" s="27" t="s">
        <v>7</v>
      </c>
      <c r="CU616" s="27" t="s">
        <v>8</v>
      </c>
    </row>
    <row r="617" spans="1:102" x14ac:dyDescent="0.25">
      <c r="A617" s="7">
        <v>0.55207088897991208</v>
      </c>
      <c r="B617"/>
      <c r="C617"/>
      <c r="D617"/>
      <c r="E617"/>
      <c r="F617" s="27" t="s">
        <v>7</v>
      </c>
      <c r="G617" s="27" t="s">
        <v>8</v>
      </c>
      <c r="V617" s="27" t="s">
        <v>7</v>
      </c>
      <c r="W617" s="27" t="s">
        <v>8</v>
      </c>
      <c r="X617" s="27" t="s">
        <v>7</v>
      </c>
      <c r="Y617" s="27" t="s">
        <v>8</v>
      </c>
      <c r="Z617" s="27" t="s">
        <v>7</v>
      </c>
      <c r="AA617" s="27" t="s">
        <v>8</v>
      </c>
      <c r="AB617" s="27" t="s">
        <v>7</v>
      </c>
      <c r="AC617" s="27" t="s">
        <v>8</v>
      </c>
      <c r="AH617" s="27" t="s">
        <v>7</v>
      </c>
      <c r="AI617" s="27" t="s">
        <v>8</v>
      </c>
      <c r="AJ617" s="27" t="s">
        <v>7</v>
      </c>
      <c r="CU617" s="27" t="s">
        <v>8</v>
      </c>
      <c r="CV617" s="27" t="s">
        <v>7</v>
      </c>
    </row>
    <row r="618" spans="1:102" x14ac:dyDescent="0.25">
      <c r="A618" s="7">
        <v>0.54124596958814908</v>
      </c>
      <c r="B618"/>
      <c r="C618"/>
      <c r="D618"/>
      <c r="E618"/>
      <c r="F618" s="27" t="s">
        <v>7</v>
      </c>
      <c r="G618" s="27" t="s">
        <v>8</v>
      </c>
      <c r="V618" s="27" t="s">
        <v>7</v>
      </c>
      <c r="W618" s="27" t="s">
        <v>8</v>
      </c>
      <c r="X618" s="27" t="s">
        <v>7</v>
      </c>
      <c r="Y618" s="27" t="s">
        <v>8</v>
      </c>
      <c r="Z618" s="27" t="s">
        <v>7</v>
      </c>
      <c r="AA618" s="27" t="s">
        <v>8</v>
      </c>
      <c r="AB618" s="27" t="s">
        <v>7</v>
      </c>
      <c r="AC618" s="27" t="s">
        <v>8</v>
      </c>
      <c r="AH618" s="27" t="s">
        <v>7</v>
      </c>
      <c r="AI618" s="27" t="s">
        <v>8</v>
      </c>
      <c r="AJ618" s="27" t="s">
        <v>7</v>
      </c>
      <c r="CU618" s="27" t="s">
        <v>8</v>
      </c>
      <c r="CV618" s="27" t="s">
        <v>7</v>
      </c>
    </row>
    <row r="619" spans="1:102" x14ac:dyDescent="0.25">
      <c r="A619" s="7">
        <v>0.53063330351779314</v>
      </c>
      <c r="B619"/>
      <c r="C619"/>
      <c r="D619"/>
      <c r="E619"/>
      <c r="F619" s="27" t="s">
        <v>7</v>
      </c>
      <c r="G619" s="27" t="s">
        <v>8</v>
      </c>
      <c r="V619" s="27" t="s">
        <v>7</v>
      </c>
      <c r="X619" s="27" t="s">
        <v>7</v>
      </c>
      <c r="Y619" s="27" t="s">
        <v>8</v>
      </c>
      <c r="Z619" s="27" t="s">
        <v>7</v>
      </c>
      <c r="AA619" s="27" t="s">
        <v>8</v>
      </c>
      <c r="AB619" s="27" t="s">
        <v>7</v>
      </c>
      <c r="AC619" s="27" t="s">
        <v>8</v>
      </c>
      <c r="AH619" s="27" t="s">
        <v>7</v>
      </c>
      <c r="AI619" s="27" t="s">
        <v>8</v>
      </c>
      <c r="AJ619" s="27" t="s">
        <v>7</v>
      </c>
      <c r="CU619" s="27" t="s">
        <v>8</v>
      </c>
      <c r="CV619" s="27" t="s">
        <v>7</v>
      </c>
    </row>
    <row r="620" spans="1:102" x14ac:dyDescent="0.25">
      <c r="A620" s="7">
        <v>0.52022872893901284</v>
      </c>
      <c r="B620"/>
      <c r="C620"/>
      <c r="D620"/>
      <c r="E620"/>
      <c r="F620" s="27" t="s">
        <v>7</v>
      </c>
      <c r="X620" s="27" t="s">
        <v>7</v>
      </c>
      <c r="Y620" s="27" t="s">
        <v>8</v>
      </c>
      <c r="Z620" s="27" t="s">
        <v>7</v>
      </c>
      <c r="AA620" s="27" t="s">
        <v>8</v>
      </c>
      <c r="AB620" s="27" t="s">
        <v>7</v>
      </c>
      <c r="AC620" s="27" t="s">
        <v>8</v>
      </c>
      <c r="AH620" s="27" t="s">
        <v>7</v>
      </c>
      <c r="AI620" s="27" t="s">
        <v>8</v>
      </c>
      <c r="AJ620" s="27" t="s">
        <v>7</v>
      </c>
      <c r="CU620" s="27" t="s">
        <v>8</v>
      </c>
      <c r="CV620" s="27" t="s">
        <v>7</v>
      </c>
    </row>
    <row r="621" spans="1:102" x14ac:dyDescent="0.25">
      <c r="A621" s="7">
        <v>0.51002816562648323</v>
      </c>
      <c r="B621"/>
      <c r="C621"/>
      <c r="D621"/>
      <c r="E621"/>
      <c r="X621" s="27" t="s">
        <v>7</v>
      </c>
      <c r="Y621" s="27" t="s">
        <v>8</v>
      </c>
      <c r="Z621" s="27" t="s">
        <v>7</v>
      </c>
      <c r="AA621" s="27" t="s">
        <v>8</v>
      </c>
      <c r="AB621" s="27" t="s">
        <v>7</v>
      </c>
      <c r="AC621" s="27" t="s">
        <v>8</v>
      </c>
      <c r="AH621" s="27" t="s">
        <v>7</v>
      </c>
      <c r="AJ621" s="27" t="s">
        <v>7</v>
      </c>
      <c r="CU621" s="27" t="s">
        <v>8</v>
      </c>
      <c r="CV621" s="27" t="s">
        <v>7</v>
      </c>
    </row>
    <row r="622" spans="1:102" x14ac:dyDescent="0.25">
      <c r="A622" s="7">
        <v>0.50002761335929735</v>
      </c>
      <c r="B622"/>
      <c r="C622"/>
      <c r="D622"/>
      <c r="E622"/>
      <c r="X622" s="27" t="s">
        <v>7</v>
      </c>
      <c r="Y622" s="27" t="s">
        <v>8</v>
      </c>
      <c r="Z622" s="27" t="s">
        <v>7</v>
      </c>
      <c r="AA622" s="27" t="s">
        <v>8</v>
      </c>
      <c r="AB622" s="27" t="s">
        <v>7</v>
      </c>
      <c r="AC622" s="27" t="s">
        <v>8</v>
      </c>
      <c r="AJ622" s="27" t="s">
        <v>7</v>
      </c>
      <c r="CU622" s="27" t="s">
        <v>8</v>
      </c>
      <c r="CV622" s="27" t="s">
        <v>7</v>
      </c>
      <c r="CW622" s="27" t="s">
        <v>8</v>
      </c>
    </row>
    <row r="623" spans="1:102" x14ac:dyDescent="0.25">
      <c r="A623" s="7">
        <v>0.49022315035225228</v>
      </c>
      <c r="B623"/>
      <c r="C623"/>
      <c r="D623"/>
      <c r="E623"/>
      <c r="X623" s="27" t="s">
        <v>7</v>
      </c>
      <c r="Z623" s="27" t="s">
        <v>7</v>
      </c>
      <c r="AA623" s="27" t="s">
        <v>8</v>
      </c>
      <c r="AB623" s="27" t="s">
        <v>7</v>
      </c>
      <c r="AJ623" s="27" t="s">
        <v>7</v>
      </c>
      <c r="CU623" s="27" t="s">
        <v>8</v>
      </c>
      <c r="CV623" s="27" t="s">
        <v>7</v>
      </c>
      <c r="CW623" s="27" t="s">
        <v>8</v>
      </c>
      <c r="CX623" s="27" t="s">
        <v>7</v>
      </c>
    </row>
    <row r="624" spans="1:102" x14ac:dyDescent="0.25">
      <c r="A624" s="7">
        <v>0.48061093171789437</v>
      </c>
      <c r="B624"/>
      <c r="C624"/>
      <c r="D624"/>
      <c r="E624"/>
      <c r="Z624" s="27" t="s">
        <v>7</v>
      </c>
      <c r="AA624" s="27" t="s">
        <v>8</v>
      </c>
      <c r="AJ624" s="27" t="s">
        <v>7</v>
      </c>
      <c r="AK624" s="27" t="s">
        <v>8</v>
      </c>
      <c r="CS624" s="27" t="s">
        <v>8</v>
      </c>
      <c r="CU624" s="27" t="s">
        <v>8</v>
      </c>
      <c r="CV624" s="27" t="s">
        <v>7</v>
      </c>
      <c r="CW624" s="27" t="s">
        <v>8</v>
      </c>
      <c r="CX624" s="27" t="s">
        <v>7</v>
      </c>
    </row>
    <row r="625" spans="1:142" x14ac:dyDescent="0.25">
      <c r="A625" s="7">
        <v>0.47118718795871994</v>
      </c>
      <c r="B625"/>
      <c r="C625"/>
      <c r="D625"/>
      <c r="E625"/>
      <c r="Z625" s="27" t="s">
        <v>7</v>
      </c>
      <c r="AA625" s="27" t="s">
        <v>8</v>
      </c>
      <c r="AJ625" s="27" t="s">
        <v>7</v>
      </c>
      <c r="AK625" s="27" t="s">
        <v>8</v>
      </c>
      <c r="AL625" s="27" t="s">
        <v>7</v>
      </c>
      <c r="CS625" s="27" t="s">
        <v>8</v>
      </c>
      <c r="CT625" s="27" t="s">
        <v>7</v>
      </c>
      <c r="CU625" s="27" t="s">
        <v>8</v>
      </c>
      <c r="CV625" s="27" t="s">
        <v>7</v>
      </c>
      <c r="CW625" s="27" t="s">
        <v>8</v>
      </c>
      <c r="CX625" s="27" t="s">
        <v>7</v>
      </c>
    </row>
    <row r="626" spans="1:142" x14ac:dyDescent="0.25">
      <c r="A626" s="7">
        <v>0.46194822348894116</v>
      </c>
      <c r="B626"/>
      <c r="C626"/>
      <c r="D626"/>
      <c r="E626"/>
      <c r="Z626" s="27" t="s">
        <v>7</v>
      </c>
      <c r="AA626" s="27" t="s">
        <v>8</v>
      </c>
      <c r="AJ626" s="27" t="s">
        <v>7</v>
      </c>
      <c r="AK626" s="27" t="s">
        <v>8</v>
      </c>
      <c r="AL626" s="27" t="s">
        <v>7</v>
      </c>
      <c r="CS626" s="27" t="s">
        <v>8</v>
      </c>
      <c r="CT626" s="27" t="s">
        <v>7</v>
      </c>
      <c r="CU626" s="27" t="s">
        <v>8</v>
      </c>
      <c r="CV626" s="27" t="s">
        <v>7</v>
      </c>
      <c r="CW626" s="27" t="s">
        <v>8</v>
      </c>
      <c r="CX626" s="27" t="s">
        <v>7</v>
      </c>
      <c r="EK626" s="27" t="s">
        <v>8</v>
      </c>
    </row>
    <row r="627" spans="1:142" x14ac:dyDescent="0.25">
      <c r="A627" s="7">
        <v>0.45289041518523643</v>
      </c>
      <c r="B627"/>
      <c r="C627"/>
      <c r="D627"/>
      <c r="E627"/>
      <c r="Z627" s="27" t="s">
        <v>7</v>
      </c>
      <c r="AA627" s="27" t="s">
        <v>8</v>
      </c>
      <c r="AJ627" s="27" t="s">
        <v>7</v>
      </c>
      <c r="AK627" s="27" t="s">
        <v>8</v>
      </c>
      <c r="AL627" s="27" t="s">
        <v>7</v>
      </c>
      <c r="AQ627" s="27" t="s">
        <v>8</v>
      </c>
      <c r="CS627" s="27" t="s">
        <v>8</v>
      </c>
      <c r="CT627" s="27" t="s">
        <v>7</v>
      </c>
      <c r="CU627" s="27" t="s">
        <v>8</v>
      </c>
      <c r="CV627" s="27" t="s">
        <v>7</v>
      </c>
      <c r="CW627" s="27" t="s">
        <v>8</v>
      </c>
      <c r="CX627" s="27" t="s">
        <v>7</v>
      </c>
      <c r="EK627" s="27" t="s">
        <v>8</v>
      </c>
      <c r="EL627" s="27" t="s">
        <v>7</v>
      </c>
    </row>
    <row r="628" spans="1:142" x14ac:dyDescent="0.25">
      <c r="A628" s="7">
        <v>0.44401021096591808</v>
      </c>
      <c r="B628"/>
      <c r="C628"/>
      <c r="D628"/>
      <c r="E628"/>
      <c r="Z628" s="27" t="s">
        <v>7</v>
      </c>
      <c r="AA628" s="27" t="s">
        <v>8</v>
      </c>
      <c r="AJ628" s="27" t="s">
        <v>7</v>
      </c>
      <c r="AK628" s="27" t="s">
        <v>8</v>
      </c>
      <c r="AL628" s="27" t="s">
        <v>7</v>
      </c>
      <c r="AQ628" s="27" t="s">
        <v>8</v>
      </c>
      <c r="AR628" s="27" t="s">
        <v>7</v>
      </c>
      <c r="CS628" s="27" t="s">
        <v>8</v>
      </c>
      <c r="CT628" s="27" t="s">
        <v>7</v>
      </c>
      <c r="CU628" s="27" t="s">
        <v>8</v>
      </c>
      <c r="CV628" s="27" t="s">
        <v>7</v>
      </c>
      <c r="CW628" s="27" t="s">
        <v>8</v>
      </c>
      <c r="CX628" s="27" t="s">
        <v>7</v>
      </c>
      <c r="EK628" s="27" t="s">
        <v>8</v>
      </c>
      <c r="EL628" s="27" t="s">
        <v>7</v>
      </c>
    </row>
    <row r="629" spans="1:142" x14ac:dyDescent="0.25">
      <c r="A629" s="7">
        <v>0.4353041283979589</v>
      </c>
      <c r="B629"/>
      <c r="C629"/>
      <c r="D629"/>
      <c r="E629"/>
      <c r="Z629" s="27" t="s">
        <v>7</v>
      </c>
      <c r="AA629" s="27" t="s">
        <v>8</v>
      </c>
      <c r="AJ629" s="27" t="s">
        <v>7</v>
      </c>
      <c r="AL629" s="27" t="s">
        <v>7</v>
      </c>
      <c r="AQ629" s="27" t="s">
        <v>8</v>
      </c>
      <c r="AR629" s="27" t="s">
        <v>7</v>
      </c>
      <c r="CS629" s="27" t="s">
        <v>8</v>
      </c>
      <c r="CT629" s="27" t="s">
        <v>7</v>
      </c>
      <c r="CU629" s="27" t="s">
        <v>8</v>
      </c>
      <c r="CV629" s="27" t="s">
        <v>7</v>
      </c>
      <c r="CW629" s="27" t="s">
        <v>8</v>
      </c>
      <c r="CX629" s="27" t="s">
        <v>7</v>
      </c>
      <c r="DA629" s="27" t="s">
        <v>8</v>
      </c>
      <c r="EK629" s="27" t="s">
        <v>8</v>
      </c>
      <c r="EL629" s="27" t="s">
        <v>7</v>
      </c>
    </row>
    <row r="630" spans="1:142" x14ac:dyDescent="0.25">
      <c r="A630" s="7">
        <v>0.4267687533313323</v>
      </c>
      <c r="B630"/>
      <c r="C630"/>
      <c r="D630"/>
      <c r="E630"/>
      <c r="Z630" s="27" t="s">
        <v>7</v>
      </c>
      <c r="AA630" s="27" t="s">
        <v>8</v>
      </c>
      <c r="AL630" s="27" t="s">
        <v>7</v>
      </c>
      <c r="AQ630" s="27" t="s">
        <v>8</v>
      </c>
      <c r="AR630" s="27" t="s">
        <v>7</v>
      </c>
      <c r="CS630" s="27" t="s">
        <v>8</v>
      </c>
      <c r="CT630" s="27" t="s">
        <v>7</v>
      </c>
      <c r="CU630" s="27" t="s">
        <v>8</v>
      </c>
      <c r="CV630" s="27" t="s">
        <v>7</v>
      </c>
      <c r="CW630" s="27" t="s">
        <v>8</v>
      </c>
      <c r="CX630" s="27" t="s">
        <v>7</v>
      </c>
      <c r="CY630" s="27" t="s">
        <v>8</v>
      </c>
      <c r="DA630" s="27" t="s">
        <v>8</v>
      </c>
      <c r="DB630" s="27" t="s">
        <v>7</v>
      </c>
      <c r="DC630" s="27" t="s">
        <v>8</v>
      </c>
      <c r="EK630" s="27" t="s">
        <v>8</v>
      </c>
      <c r="EL630" s="27" t="s">
        <v>7</v>
      </c>
    </row>
    <row r="631" spans="1:142" x14ac:dyDescent="0.25">
      <c r="A631" s="7">
        <v>0.41840073856012971</v>
      </c>
      <c r="B631"/>
      <c r="C631"/>
      <c r="D631"/>
      <c r="E631"/>
      <c r="Z631" s="27" t="s">
        <v>7</v>
      </c>
      <c r="AA631" s="27" t="s">
        <v>8</v>
      </c>
      <c r="AL631" s="27" t="s">
        <v>7</v>
      </c>
      <c r="AQ631" s="27" t="s">
        <v>8</v>
      </c>
      <c r="AR631" s="27" t="s">
        <v>7</v>
      </c>
      <c r="CS631" s="27" t="s">
        <v>8</v>
      </c>
      <c r="CT631" s="27" t="s">
        <v>7</v>
      </c>
      <c r="CU631" s="27" t="s">
        <v>8</v>
      </c>
      <c r="CV631" s="27" t="s">
        <v>7</v>
      </c>
      <c r="CW631" s="27" t="s">
        <v>8</v>
      </c>
      <c r="CX631" s="27" t="s">
        <v>7</v>
      </c>
      <c r="CY631" s="27" t="s">
        <v>8</v>
      </c>
      <c r="CZ631" s="27" t="s">
        <v>7</v>
      </c>
      <c r="DA631" s="27" t="s">
        <v>8</v>
      </c>
      <c r="DB631" s="27" t="s">
        <v>7</v>
      </c>
      <c r="DC631" s="27" t="s">
        <v>8</v>
      </c>
      <c r="DD631" s="27" t="s">
        <v>7</v>
      </c>
      <c r="EK631" s="27" t="s">
        <v>8</v>
      </c>
      <c r="EL631" s="27" t="s">
        <v>7</v>
      </c>
    </row>
    <row r="632" spans="1:142" x14ac:dyDescent="0.25">
      <c r="A632" s="7">
        <v>0.41019680250993112</v>
      </c>
      <c r="B632"/>
      <c r="C632"/>
      <c r="D632"/>
      <c r="E632"/>
      <c r="Z632" s="27" t="s">
        <v>7</v>
      </c>
      <c r="AA632" s="27" t="s">
        <v>8</v>
      </c>
      <c r="AL632" s="27" t="s">
        <v>7</v>
      </c>
      <c r="AQ632" s="27" t="s">
        <v>8</v>
      </c>
      <c r="AR632" s="27" t="s">
        <v>7</v>
      </c>
      <c r="CS632" s="27" t="s">
        <v>8</v>
      </c>
      <c r="CT632" s="27" t="s">
        <v>7</v>
      </c>
      <c r="CU632" s="27" t="s">
        <v>8</v>
      </c>
      <c r="CV632" s="27" t="s">
        <v>7</v>
      </c>
      <c r="CW632" s="27" t="s">
        <v>8</v>
      </c>
      <c r="CX632" s="27" t="s">
        <v>7</v>
      </c>
      <c r="CY632" s="27" t="s">
        <v>8</v>
      </c>
      <c r="CZ632" s="27" t="s">
        <v>7</v>
      </c>
      <c r="DA632" s="27" t="s">
        <v>8</v>
      </c>
      <c r="DB632" s="27" t="s">
        <v>7</v>
      </c>
      <c r="DC632" s="27" t="s">
        <v>8</v>
      </c>
      <c r="DD632" s="27" t="s">
        <v>7</v>
      </c>
      <c r="EK632" s="27" t="s">
        <v>8</v>
      </c>
      <c r="EL632" s="27" t="s">
        <v>7</v>
      </c>
    </row>
    <row r="633" spans="1:142" x14ac:dyDescent="0.25">
      <c r="A633" s="7">
        <v>0.40215372795091286</v>
      </c>
      <c r="B633"/>
      <c r="C633"/>
      <c r="D633"/>
      <c r="E633"/>
      <c r="Z633" s="27" t="s">
        <v>7</v>
      </c>
      <c r="AA633" s="27" t="s">
        <v>8</v>
      </c>
      <c r="AL633" s="27" t="s">
        <v>7</v>
      </c>
      <c r="AQ633" s="27" t="s">
        <v>8</v>
      </c>
      <c r="AR633" s="27" t="s">
        <v>7</v>
      </c>
      <c r="CS633" s="27" t="s">
        <v>8</v>
      </c>
      <c r="CT633" s="27" t="s">
        <v>7</v>
      </c>
      <c r="CU633" s="27" t="s">
        <v>8</v>
      </c>
      <c r="CV633" s="27" t="s">
        <v>7</v>
      </c>
      <c r="CW633" s="27" t="s">
        <v>8</v>
      </c>
      <c r="CX633" s="27" t="s">
        <v>7</v>
      </c>
      <c r="CY633" s="27" t="s">
        <v>8</v>
      </c>
      <c r="CZ633" s="27" t="s">
        <v>7</v>
      </c>
      <c r="DA633" s="27" t="s">
        <v>8</v>
      </c>
      <c r="DB633" s="27" t="s">
        <v>7</v>
      </c>
      <c r="DC633" s="27" t="s">
        <v>8</v>
      </c>
      <c r="DD633" s="27" t="s">
        <v>7</v>
      </c>
      <c r="EK633" s="27" t="s">
        <v>8</v>
      </c>
      <c r="EL633" s="27" t="s">
        <v>7</v>
      </c>
    </row>
    <row r="634" spans="1:142" x14ac:dyDescent="0.25">
      <c r="A634" s="7">
        <v>0.39426836073618904</v>
      </c>
      <c r="B634"/>
      <c r="C634"/>
      <c r="D634"/>
      <c r="E634"/>
      <c r="Z634" s="27" t="s">
        <v>7</v>
      </c>
      <c r="AA634" s="27" t="s">
        <v>8</v>
      </c>
      <c r="AL634" s="27" t="s">
        <v>7</v>
      </c>
      <c r="AM634" s="27" t="s">
        <v>8</v>
      </c>
      <c r="AQ634" s="27" t="s">
        <v>8</v>
      </c>
      <c r="AR634" s="27" t="s">
        <v>7</v>
      </c>
      <c r="CS634" s="27" t="s">
        <v>8</v>
      </c>
      <c r="CT634" s="27" t="s">
        <v>7</v>
      </c>
      <c r="CU634" s="27" t="s">
        <v>8</v>
      </c>
      <c r="CV634" s="27" t="s">
        <v>7</v>
      </c>
      <c r="CW634" s="27" t="s">
        <v>8</v>
      </c>
      <c r="CX634" s="27" t="s">
        <v>7</v>
      </c>
      <c r="CY634" s="27" t="s">
        <v>8</v>
      </c>
      <c r="CZ634" s="27" t="s">
        <v>7</v>
      </c>
      <c r="DA634" s="27" t="s">
        <v>8</v>
      </c>
      <c r="DB634" s="27" t="s">
        <v>7</v>
      </c>
      <c r="DC634" s="27" t="s">
        <v>8</v>
      </c>
      <c r="DD634" s="27" t="s">
        <v>7</v>
      </c>
      <c r="EK634" s="27" t="s">
        <v>8</v>
      </c>
      <c r="EL634" s="27" t="s">
        <v>7</v>
      </c>
    </row>
    <row r="635" spans="1:142" x14ac:dyDescent="0.25">
      <c r="A635" s="7">
        <v>0.38653760856489122</v>
      </c>
      <c r="B635"/>
      <c r="C635"/>
      <c r="D635"/>
      <c r="E635"/>
      <c r="Z635" s="27" t="s">
        <v>7</v>
      </c>
      <c r="AL635" s="27" t="s">
        <v>7</v>
      </c>
      <c r="AM635" s="27" t="s">
        <v>8</v>
      </c>
      <c r="AN635" s="27" t="s">
        <v>7</v>
      </c>
      <c r="AQ635" s="27" t="s">
        <v>8</v>
      </c>
      <c r="AR635" s="27" t="s">
        <v>7</v>
      </c>
      <c r="CS635" s="27" t="s">
        <v>8</v>
      </c>
      <c r="CT635" s="27" t="s">
        <v>7</v>
      </c>
      <c r="CU635" s="27" t="s">
        <v>8</v>
      </c>
      <c r="CV635" s="27" t="s">
        <v>7</v>
      </c>
      <c r="CW635" s="27" t="s">
        <v>8</v>
      </c>
      <c r="CX635" s="27" t="s">
        <v>7</v>
      </c>
      <c r="CY635" s="27" t="s">
        <v>8</v>
      </c>
      <c r="CZ635" s="27" t="s">
        <v>7</v>
      </c>
      <c r="DA635" s="27" t="s">
        <v>8</v>
      </c>
      <c r="DB635" s="27" t="s">
        <v>7</v>
      </c>
      <c r="DC635" s="27" t="s">
        <v>8</v>
      </c>
      <c r="DD635" s="27" t="s">
        <v>7</v>
      </c>
      <c r="EK635" s="27" t="s">
        <v>8</v>
      </c>
      <c r="EL635" s="27" t="s">
        <v>7</v>
      </c>
    </row>
    <row r="636" spans="1:142" x14ac:dyDescent="0.25">
      <c r="A636" s="7">
        <v>0.37895843976950117</v>
      </c>
      <c r="B636"/>
      <c r="C636"/>
      <c r="D636"/>
      <c r="E636"/>
      <c r="AL636" s="27" t="s">
        <v>7</v>
      </c>
      <c r="AM636" s="27" t="s">
        <v>8</v>
      </c>
      <c r="AN636" s="27" t="s">
        <v>7</v>
      </c>
      <c r="AQ636" s="27" t="s">
        <v>8</v>
      </c>
      <c r="AR636" s="27" t="s">
        <v>7</v>
      </c>
      <c r="CI636" s="27" t="s">
        <v>8</v>
      </c>
      <c r="CS636" s="27" t="s">
        <v>8</v>
      </c>
      <c r="CT636" s="27" t="s">
        <v>7</v>
      </c>
      <c r="CU636" s="27" t="s">
        <v>8</v>
      </c>
      <c r="CV636" s="27" t="s">
        <v>7</v>
      </c>
      <c r="CW636" s="27" t="s">
        <v>8</v>
      </c>
      <c r="CX636" s="27" t="s">
        <v>7</v>
      </c>
      <c r="CY636" s="27" t="s">
        <v>8</v>
      </c>
      <c r="CZ636" s="27" t="s">
        <v>7</v>
      </c>
      <c r="DA636" s="27" t="s">
        <v>8</v>
      </c>
      <c r="DB636" s="27" t="s">
        <v>7</v>
      </c>
      <c r="DC636" s="27" t="s">
        <v>8</v>
      </c>
      <c r="DD636" s="27" t="s">
        <v>7</v>
      </c>
      <c r="EK636" s="27" t="s">
        <v>8</v>
      </c>
      <c r="EL636" s="27" t="s">
        <v>7</v>
      </c>
    </row>
    <row r="637" spans="1:142" x14ac:dyDescent="0.25">
      <c r="A637" s="7">
        <v>0.37152788212696197</v>
      </c>
      <c r="B637"/>
      <c r="C637"/>
      <c r="D637"/>
      <c r="E637"/>
      <c r="AL637" s="27" t="s">
        <v>7</v>
      </c>
      <c r="AM637" s="27" t="s">
        <v>8</v>
      </c>
      <c r="AN637" s="27" t="s">
        <v>7</v>
      </c>
      <c r="AQ637" s="27" t="s">
        <v>8</v>
      </c>
      <c r="AR637" s="27" t="s">
        <v>7</v>
      </c>
      <c r="CI637" s="27" t="s">
        <v>8</v>
      </c>
      <c r="CJ637" s="27" t="s">
        <v>7</v>
      </c>
      <c r="CS637" s="27" t="s">
        <v>8</v>
      </c>
      <c r="CT637" s="27" t="s">
        <v>7</v>
      </c>
      <c r="CU637" s="27" t="s">
        <v>8</v>
      </c>
      <c r="CV637" s="27" t="s">
        <v>7</v>
      </c>
      <c r="CW637" s="27" t="s">
        <v>8</v>
      </c>
      <c r="CX637" s="27" t="s">
        <v>7</v>
      </c>
      <c r="CZ637" s="27" t="s">
        <v>7</v>
      </c>
      <c r="DA637" s="27" t="s">
        <v>8</v>
      </c>
      <c r="DB637" s="27" t="s">
        <v>7</v>
      </c>
      <c r="DC637" s="27" t="s">
        <v>8</v>
      </c>
      <c r="DD637" s="27" t="s">
        <v>7</v>
      </c>
      <c r="EK637" s="27" t="s">
        <v>8</v>
      </c>
      <c r="EL637" s="27" t="s">
        <v>7</v>
      </c>
    </row>
    <row r="638" spans="1:142" x14ac:dyDescent="0.25">
      <c r="A638" s="7">
        <v>0.36424302169310002</v>
      </c>
      <c r="B638"/>
      <c r="C638"/>
      <c r="D638"/>
      <c r="E638"/>
      <c r="AL638" s="27" t="s">
        <v>7</v>
      </c>
      <c r="AM638" s="27" t="s">
        <v>8</v>
      </c>
      <c r="AN638" s="27" t="s">
        <v>7</v>
      </c>
      <c r="AQ638" s="27" t="s">
        <v>8</v>
      </c>
      <c r="AR638" s="27" t="s">
        <v>7</v>
      </c>
      <c r="CI638" s="27" t="s">
        <v>8</v>
      </c>
      <c r="CJ638" s="27" t="s">
        <v>7</v>
      </c>
      <c r="CM638" s="27" t="s">
        <v>8</v>
      </c>
      <c r="CS638" s="27" t="s">
        <v>8</v>
      </c>
      <c r="CT638" s="27" t="s">
        <v>7</v>
      </c>
      <c r="CV638" s="27" t="s">
        <v>7</v>
      </c>
      <c r="CZ638" s="27" t="s">
        <v>7</v>
      </c>
      <c r="DB638" s="27" t="s">
        <v>7</v>
      </c>
      <c r="DD638" s="27" t="s">
        <v>7</v>
      </c>
      <c r="DS638" s="27" t="s">
        <v>8</v>
      </c>
      <c r="EK638" s="27" t="s">
        <v>8</v>
      </c>
      <c r="EL638" s="27" t="s">
        <v>7</v>
      </c>
    </row>
    <row r="639" spans="1:142" x14ac:dyDescent="0.25">
      <c r="A639" s="7">
        <v>0.35710100165990194</v>
      </c>
      <c r="B639"/>
      <c r="C639"/>
      <c r="D639"/>
      <c r="E639"/>
      <c r="AL639" s="27" t="s">
        <v>7</v>
      </c>
      <c r="AM639" s="27" t="s">
        <v>8</v>
      </c>
      <c r="AN639" s="27" t="s">
        <v>7</v>
      </c>
      <c r="AQ639" s="27" t="s">
        <v>8</v>
      </c>
      <c r="AR639" s="27" t="s">
        <v>7</v>
      </c>
      <c r="CI639" s="27" t="s">
        <v>8</v>
      </c>
      <c r="CJ639" s="27" t="s">
        <v>7</v>
      </c>
      <c r="CM639" s="27" t="s">
        <v>8</v>
      </c>
      <c r="CN639" s="27" t="s">
        <v>7</v>
      </c>
      <c r="CS639" s="27" t="s">
        <v>8</v>
      </c>
      <c r="DD639" s="27" t="s">
        <v>7</v>
      </c>
      <c r="DK639" s="27" t="s">
        <v>8</v>
      </c>
      <c r="DS639" s="27" t="s">
        <v>8</v>
      </c>
      <c r="DT639" s="27" t="s">
        <v>7</v>
      </c>
      <c r="EE639" s="27" t="s">
        <v>8</v>
      </c>
      <c r="EK639" s="27" t="s">
        <v>8</v>
      </c>
      <c r="EL639" s="27" t="s">
        <v>7</v>
      </c>
    </row>
    <row r="640" spans="1:142" x14ac:dyDescent="0.25">
      <c r="A640" s="7">
        <v>0.35009902123519804</v>
      </c>
      <c r="B640"/>
      <c r="C640"/>
      <c r="D640"/>
      <c r="E640"/>
      <c r="AL640" s="27" t="s">
        <v>7</v>
      </c>
      <c r="AM640" s="27" t="s">
        <v>8</v>
      </c>
      <c r="AN640" s="27" t="s">
        <v>7</v>
      </c>
      <c r="AQ640" s="27" t="s">
        <v>8</v>
      </c>
      <c r="AR640" s="27" t="s">
        <v>7</v>
      </c>
      <c r="CI640" s="27" t="s">
        <v>8</v>
      </c>
      <c r="CJ640" s="27" t="s">
        <v>7</v>
      </c>
      <c r="CM640" s="27" t="s">
        <v>8</v>
      </c>
      <c r="CN640" s="27" t="s">
        <v>7</v>
      </c>
      <c r="CS640" s="27" t="s">
        <v>8</v>
      </c>
      <c r="DD640" s="27" t="s">
        <v>7</v>
      </c>
      <c r="DK640" s="27" t="s">
        <v>8</v>
      </c>
      <c r="DL640" s="27" t="s">
        <v>7</v>
      </c>
      <c r="DS640" s="27" t="s">
        <v>8</v>
      </c>
      <c r="DT640" s="27" t="s">
        <v>7</v>
      </c>
      <c r="EE640" s="27" t="s">
        <v>8</v>
      </c>
      <c r="EF640" s="27" t="s">
        <v>7</v>
      </c>
      <c r="EI640" s="27" t="s">
        <v>8</v>
      </c>
      <c r="EK640" s="27" t="s">
        <v>8</v>
      </c>
      <c r="EL640" s="27" t="s">
        <v>7</v>
      </c>
    </row>
    <row r="641" spans="1:154" x14ac:dyDescent="0.25">
      <c r="A641" s="7">
        <v>0.34323433454431179</v>
      </c>
      <c r="B641"/>
      <c r="C641"/>
      <c r="D641"/>
      <c r="E641"/>
      <c r="AL641" s="27" t="s">
        <v>7</v>
      </c>
      <c r="AM641" s="27" t="s">
        <v>8</v>
      </c>
      <c r="AN641" s="27" t="s">
        <v>7</v>
      </c>
      <c r="AQ641" s="27" t="s">
        <v>8</v>
      </c>
      <c r="AR641" s="27" t="s">
        <v>7</v>
      </c>
      <c r="CI641" s="27" t="s">
        <v>8</v>
      </c>
      <c r="CJ641" s="27" t="s">
        <v>7</v>
      </c>
      <c r="CM641" s="27" t="s">
        <v>8</v>
      </c>
      <c r="CN641" s="27" t="s">
        <v>7</v>
      </c>
      <c r="CS641" s="27" t="s">
        <v>8</v>
      </c>
      <c r="DD641" s="27" t="s">
        <v>7</v>
      </c>
      <c r="DK641" s="27" t="s">
        <v>8</v>
      </c>
      <c r="DL641" s="27" t="s">
        <v>7</v>
      </c>
      <c r="DO641" s="27" t="s">
        <v>8</v>
      </c>
      <c r="DS641" s="27" t="s">
        <v>8</v>
      </c>
      <c r="DT641" s="27" t="s">
        <v>7</v>
      </c>
      <c r="EE641" s="27" t="s">
        <v>8</v>
      </c>
      <c r="EF641" s="27" t="s">
        <v>7</v>
      </c>
      <c r="EI641" s="27" t="s">
        <v>8</v>
      </c>
      <c r="EJ641" s="27" t="s">
        <v>7</v>
      </c>
      <c r="EK641" s="27" t="s">
        <v>8</v>
      </c>
      <c r="EL641" s="27" t="s">
        <v>7</v>
      </c>
    </row>
    <row r="642" spans="1:154" x14ac:dyDescent="0.25">
      <c r="A642" s="7">
        <v>0.33650424955324681</v>
      </c>
      <c r="B642"/>
      <c r="C642"/>
      <c r="D642"/>
      <c r="E642"/>
      <c r="AL642" s="27" t="s">
        <v>7</v>
      </c>
      <c r="AM642" s="27" t="s">
        <v>8</v>
      </c>
      <c r="AN642" s="27" t="s">
        <v>7</v>
      </c>
      <c r="AQ642" s="27" t="s">
        <v>8</v>
      </c>
      <c r="AR642" s="27" t="s">
        <v>7</v>
      </c>
      <c r="CI642" s="27" t="s">
        <v>8</v>
      </c>
      <c r="CJ642" s="27" t="s">
        <v>7</v>
      </c>
      <c r="CK642" s="27" t="s">
        <v>8</v>
      </c>
      <c r="CM642" s="27" t="s">
        <v>8</v>
      </c>
      <c r="CN642" s="27" t="s">
        <v>7</v>
      </c>
      <c r="CS642" s="27" t="s">
        <v>8</v>
      </c>
      <c r="DD642" s="27" t="s">
        <v>7</v>
      </c>
      <c r="DK642" s="27" t="s">
        <v>8</v>
      </c>
      <c r="DL642" s="27" t="s">
        <v>7</v>
      </c>
      <c r="DO642" s="27" t="s">
        <v>8</v>
      </c>
      <c r="DP642" s="27" t="s">
        <v>7</v>
      </c>
      <c r="DS642" s="27" t="s">
        <v>8</v>
      </c>
      <c r="DT642" s="27" t="s">
        <v>7</v>
      </c>
      <c r="DU642" s="27" t="s">
        <v>8</v>
      </c>
      <c r="EE642" s="27" t="s">
        <v>8</v>
      </c>
      <c r="EF642" s="27" t="s">
        <v>7</v>
      </c>
      <c r="EG642" s="27" t="s">
        <v>8</v>
      </c>
      <c r="EI642" s="27" t="s">
        <v>8</v>
      </c>
      <c r="EJ642" s="27" t="s">
        <v>7</v>
      </c>
      <c r="EK642" s="27" t="s">
        <v>8</v>
      </c>
      <c r="EL642" s="27" t="s">
        <v>7</v>
      </c>
      <c r="EO642" s="27" t="s">
        <v>8</v>
      </c>
    </row>
    <row r="643" spans="1:154" x14ac:dyDescent="0.25">
      <c r="A643" s="7">
        <v>0.3299061270129871</v>
      </c>
      <c r="B643"/>
      <c r="C643"/>
      <c r="D643"/>
      <c r="E643"/>
      <c r="AL643" s="27" t="s">
        <v>7</v>
      </c>
      <c r="AM643" s="27" t="s">
        <v>8</v>
      </c>
      <c r="AN643" s="27" t="s">
        <v>7</v>
      </c>
      <c r="AQ643" s="27" t="s">
        <v>8</v>
      </c>
      <c r="AR643" s="27" t="s">
        <v>7</v>
      </c>
      <c r="CI643" s="27" t="s">
        <v>8</v>
      </c>
      <c r="CJ643" s="27" t="s">
        <v>7</v>
      </c>
      <c r="CK643" s="27" t="s">
        <v>8</v>
      </c>
      <c r="CL643" s="27" t="s">
        <v>7</v>
      </c>
      <c r="CM643" s="27" t="s">
        <v>8</v>
      </c>
      <c r="CN643" s="27" t="s">
        <v>7</v>
      </c>
      <c r="CO643" s="27" t="s">
        <v>8</v>
      </c>
      <c r="CS643" s="27" t="s">
        <v>8</v>
      </c>
      <c r="DD643" s="27" t="s">
        <v>7</v>
      </c>
      <c r="DK643" s="27" t="s">
        <v>8</v>
      </c>
      <c r="DL643" s="27" t="s">
        <v>7</v>
      </c>
      <c r="DO643" s="27" t="s">
        <v>8</v>
      </c>
      <c r="DP643" s="27" t="s">
        <v>7</v>
      </c>
      <c r="DS643" s="27" t="s">
        <v>8</v>
      </c>
      <c r="DT643" s="27" t="s">
        <v>7</v>
      </c>
      <c r="DU643" s="27" t="s">
        <v>8</v>
      </c>
      <c r="DV643" s="27" t="s">
        <v>7</v>
      </c>
      <c r="EE643" s="27" t="s">
        <v>8</v>
      </c>
      <c r="EF643" s="27" t="s">
        <v>7</v>
      </c>
      <c r="EG643" s="27" t="s">
        <v>8</v>
      </c>
      <c r="EH643" s="27" t="s">
        <v>7</v>
      </c>
      <c r="EI643" s="27" t="s">
        <v>8</v>
      </c>
      <c r="EJ643" s="27" t="s">
        <v>7</v>
      </c>
      <c r="EK643" s="27" t="s">
        <v>8</v>
      </c>
      <c r="EL643" s="27" t="s">
        <v>7</v>
      </c>
      <c r="EO643" s="27" t="s">
        <v>8</v>
      </c>
      <c r="EP643" s="27" t="s">
        <v>7</v>
      </c>
    </row>
    <row r="644" spans="1:154" x14ac:dyDescent="0.25">
      <c r="A644" s="7">
        <v>0.32343737942449713</v>
      </c>
      <c r="B644"/>
      <c r="C644"/>
      <c r="D644"/>
      <c r="E644"/>
      <c r="AL644" s="27" t="s">
        <v>7</v>
      </c>
      <c r="AM644" s="27" t="s">
        <v>8</v>
      </c>
      <c r="AN644" s="27" t="s">
        <v>7</v>
      </c>
      <c r="AQ644" s="27" t="s">
        <v>8</v>
      </c>
      <c r="AR644" s="27" t="s">
        <v>7</v>
      </c>
      <c r="CI644" s="27" t="s">
        <v>8</v>
      </c>
      <c r="CJ644" s="27" t="s">
        <v>7</v>
      </c>
      <c r="CK644" s="27" t="s">
        <v>8</v>
      </c>
      <c r="CL644" s="27" t="s">
        <v>7</v>
      </c>
      <c r="CM644" s="27" t="s">
        <v>8</v>
      </c>
      <c r="CN644" s="27" t="s">
        <v>7</v>
      </c>
      <c r="CO644" s="27" t="s">
        <v>8</v>
      </c>
      <c r="CP644" s="27" t="s">
        <v>7</v>
      </c>
      <c r="CQ644" s="27" t="s">
        <v>8</v>
      </c>
      <c r="CS644" s="27" t="s">
        <v>8</v>
      </c>
      <c r="DD644" s="27" t="s">
        <v>7</v>
      </c>
      <c r="DK644" s="27" t="s">
        <v>8</v>
      </c>
      <c r="DL644" s="27" t="s">
        <v>7</v>
      </c>
      <c r="DO644" s="27" t="s">
        <v>8</v>
      </c>
      <c r="DP644" s="27" t="s">
        <v>7</v>
      </c>
      <c r="DS644" s="27" t="s">
        <v>8</v>
      </c>
      <c r="DT644" s="27" t="s">
        <v>7</v>
      </c>
      <c r="DU644" s="27" t="s">
        <v>8</v>
      </c>
      <c r="DV644" s="27" t="s">
        <v>7</v>
      </c>
      <c r="EE644" s="27" t="s">
        <v>8</v>
      </c>
      <c r="EF644" s="27" t="s">
        <v>7</v>
      </c>
      <c r="EG644" s="27" t="s">
        <v>8</v>
      </c>
      <c r="EH644" s="27" t="s">
        <v>7</v>
      </c>
      <c r="EI644" s="27" t="s">
        <v>8</v>
      </c>
      <c r="EJ644" s="27" t="s">
        <v>7</v>
      </c>
      <c r="EK644" s="27" t="s">
        <v>8</v>
      </c>
      <c r="EL644" s="27" t="s">
        <v>7</v>
      </c>
      <c r="EO644" s="27" t="s">
        <v>8</v>
      </c>
      <c r="EP644" s="27" t="s">
        <v>7</v>
      </c>
    </row>
    <row r="645" spans="1:154" x14ac:dyDescent="0.25">
      <c r="A645" s="7">
        <v>0.31709547002401678</v>
      </c>
      <c r="B645"/>
      <c r="C645"/>
      <c r="D645"/>
      <c r="E645"/>
      <c r="AL645" s="27" t="s">
        <v>7</v>
      </c>
      <c r="AM645" s="27" t="s">
        <v>8</v>
      </c>
      <c r="AN645" s="27" t="s">
        <v>7</v>
      </c>
      <c r="AQ645" s="27" t="s">
        <v>8</v>
      </c>
      <c r="AR645" s="27" t="s">
        <v>7</v>
      </c>
      <c r="CI645" s="27" t="s">
        <v>8</v>
      </c>
      <c r="CJ645" s="27" t="s">
        <v>7</v>
      </c>
      <c r="CK645" s="27" t="s">
        <v>8</v>
      </c>
      <c r="CL645" s="27" t="s">
        <v>7</v>
      </c>
      <c r="CM645" s="27" t="s">
        <v>8</v>
      </c>
      <c r="CN645" s="27" t="s">
        <v>7</v>
      </c>
      <c r="CO645" s="27" t="s">
        <v>8</v>
      </c>
      <c r="CP645" s="27" t="s">
        <v>7</v>
      </c>
      <c r="CQ645" s="27" t="s">
        <v>8</v>
      </c>
      <c r="CR645" s="27" t="s">
        <v>7</v>
      </c>
      <c r="CS645" s="27" t="s">
        <v>8</v>
      </c>
      <c r="DD645" s="27" t="s">
        <v>7</v>
      </c>
      <c r="DE645" s="27" t="s">
        <v>8</v>
      </c>
      <c r="DI645" s="27" t="s">
        <v>8</v>
      </c>
      <c r="DK645" s="27" t="s">
        <v>8</v>
      </c>
      <c r="DL645" s="27" t="s">
        <v>7</v>
      </c>
      <c r="DM645" s="27" t="s">
        <v>8</v>
      </c>
      <c r="DO645" s="27" t="s">
        <v>8</v>
      </c>
      <c r="DP645" s="27" t="s">
        <v>7</v>
      </c>
      <c r="DQ645" s="27" t="s">
        <v>8</v>
      </c>
      <c r="DS645" s="27" t="s">
        <v>8</v>
      </c>
      <c r="DT645" s="27" t="s">
        <v>7</v>
      </c>
      <c r="DU645" s="27" t="s">
        <v>8</v>
      </c>
      <c r="DV645" s="27" t="s">
        <v>7</v>
      </c>
      <c r="EE645" s="27" t="s">
        <v>8</v>
      </c>
      <c r="EF645" s="27" t="s">
        <v>7</v>
      </c>
      <c r="EG645" s="27" t="s">
        <v>8</v>
      </c>
      <c r="EH645" s="27" t="s">
        <v>7</v>
      </c>
      <c r="EI645" s="27" t="s">
        <v>8</v>
      </c>
      <c r="EJ645" s="27" t="s">
        <v>7</v>
      </c>
      <c r="EK645" s="27" t="s">
        <v>8</v>
      </c>
      <c r="EL645" s="27" t="s">
        <v>7</v>
      </c>
      <c r="EO645" s="27" t="s">
        <v>8</v>
      </c>
      <c r="EP645" s="27" t="s">
        <v>7</v>
      </c>
    </row>
    <row r="646" spans="1:154" x14ac:dyDescent="0.25">
      <c r="A646" s="7">
        <v>0.31087791178825175</v>
      </c>
      <c r="B646"/>
      <c r="C646"/>
      <c r="D646"/>
      <c r="E646"/>
      <c r="AL646" s="27" t="s">
        <v>7</v>
      </c>
      <c r="AM646" s="27" t="s">
        <v>8</v>
      </c>
      <c r="AN646" s="27" t="s">
        <v>7</v>
      </c>
      <c r="AQ646" s="27" t="s">
        <v>8</v>
      </c>
      <c r="AR646" s="27" t="s">
        <v>7</v>
      </c>
      <c r="CI646" s="27" t="s">
        <v>8</v>
      </c>
      <c r="CJ646" s="27" t="s">
        <v>7</v>
      </c>
      <c r="CK646" s="27" t="s">
        <v>8</v>
      </c>
      <c r="CL646" s="27" t="s">
        <v>7</v>
      </c>
      <c r="CN646" s="27" t="s">
        <v>7</v>
      </c>
      <c r="CO646" s="27" t="s">
        <v>8</v>
      </c>
      <c r="CP646" s="27" t="s">
        <v>7</v>
      </c>
      <c r="CQ646" s="27" t="s">
        <v>8</v>
      </c>
      <c r="CR646" s="27" t="s">
        <v>7</v>
      </c>
      <c r="CS646" s="27" t="s">
        <v>8</v>
      </c>
      <c r="DD646" s="27" t="s">
        <v>7</v>
      </c>
      <c r="DE646" s="27" t="s">
        <v>8</v>
      </c>
      <c r="DF646" s="27" t="s">
        <v>7</v>
      </c>
      <c r="DI646" s="27" t="s">
        <v>8</v>
      </c>
      <c r="DJ646" s="27" t="s">
        <v>7</v>
      </c>
      <c r="DK646" s="27" t="s">
        <v>8</v>
      </c>
      <c r="DL646" s="27" t="s">
        <v>7</v>
      </c>
      <c r="DM646" s="27" t="s">
        <v>8</v>
      </c>
      <c r="DN646" s="27" t="s">
        <v>7</v>
      </c>
      <c r="DO646" s="27" t="s">
        <v>8</v>
      </c>
      <c r="DP646" s="27" t="s">
        <v>7</v>
      </c>
      <c r="DQ646" s="27" t="s">
        <v>8</v>
      </c>
      <c r="DR646" s="27" t="s">
        <v>7</v>
      </c>
      <c r="DS646" s="27" t="s">
        <v>8</v>
      </c>
      <c r="DT646" s="27" t="s">
        <v>7</v>
      </c>
      <c r="DU646" s="27" t="s">
        <v>8</v>
      </c>
      <c r="DV646" s="27" t="s">
        <v>7</v>
      </c>
      <c r="EA646" s="27" t="s">
        <v>8</v>
      </c>
      <c r="EE646" s="27" t="s">
        <v>8</v>
      </c>
      <c r="EF646" s="27" t="s">
        <v>7</v>
      </c>
      <c r="EG646" s="27" t="s">
        <v>8</v>
      </c>
      <c r="EH646" s="27" t="s">
        <v>7</v>
      </c>
      <c r="EI646" s="27" t="s">
        <v>8</v>
      </c>
      <c r="EJ646" s="27" t="s">
        <v>7</v>
      </c>
      <c r="EK646" s="27" t="s">
        <v>8</v>
      </c>
      <c r="EL646" s="27" t="s">
        <v>7</v>
      </c>
      <c r="EO646" s="27" t="s">
        <v>8</v>
      </c>
      <c r="EP646" s="27" t="s">
        <v>7</v>
      </c>
    </row>
    <row r="647" spans="1:154" x14ac:dyDescent="0.25">
      <c r="A647" s="7">
        <v>0.30478226645907036</v>
      </c>
      <c r="B647"/>
      <c r="C647"/>
      <c r="D647"/>
      <c r="E647"/>
      <c r="AL647" s="27" t="s">
        <v>7</v>
      </c>
      <c r="AM647" s="27" t="s">
        <v>8</v>
      </c>
      <c r="AN647" s="27" t="s">
        <v>7</v>
      </c>
      <c r="AQ647" s="27" t="s">
        <v>8</v>
      </c>
      <c r="AR647" s="27" t="s">
        <v>7</v>
      </c>
      <c r="AU647" s="27" t="s">
        <v>8</v>
      </c>
      <c r="CI647" s="27" t="s">
        <v>8</v>
      </c>
      <c r="CJ647" s="27" t="s">
        <v>7</v>
      </c>
      <c r="CK647" s="27" t="s">
        <v>8</v>
      </c>
      <c r="CN647" s="27" t="s">
        <v>7</v>
      </c>
      <c r="CO647" s="27" t="s">
        <v>8</v>
      </c>
      <c r="CP647" s="27" t="s">
        <v>7</v>
      </c>
      <c r="CQ647" s="27" t="s">
        <v>8</v>
      </c>
      <c r="CR647" s="27" t="s">
        <v>7</v>
      </c>
      <c r="CS647" s="27" t="s">
        <v>8</v>
      </c>
      <c r="DD647" s="27" t="s">
        <v>7</v>
      </c>
      <c r="DE647" s="27" t="s">
        <v>8</v>
      </c>
      <c r="DF647" s="27" t="s">
        <v>7</v>
      </c>
      <c r="DI647" s="27" t="s">
        <v>8</v>
      </c>
      <c r="DJ647" s="27" t="s">
        <v>7</v>
      </c>
      <c r="DK647" s="27" t="s">
        <v>8</v>
      </c>
      <c r="DL647" s="27" t="s">
        <v>7</v>
      </c>
      <c r="DM647" s="27" t="s">
        <v>8</v>
      </c>
      <c r="DN647" s="27" t="s">
        <v>7</v>
      </c>
      <c r="DO647" s="27" t="s">
        <v>8</v>
      </c>
      <c r="DP647" s="27" t="s">
        <v>7</v>
      </c>
      <c r="DQ647" s="27" t="s">
        <v>8</v>
      </c>
      <c r="DR647" s="27" t="s">
        <v>7</v>
      </c>
      <c r="DS647" s="27" t="s">
        <v>8</v>
      </c>
      <c r="DT647" s="27" t="s">
        <v>7</v>
      </c>
      <c r="DU647" s="27" t="s">
        <v>8</v>
      </c>
      <c r="DV647" s="27" t="s">
        <v>7</v>
      </c>
      <c r="EA647" s="27" t="s">
        <v>8</v>
      </c>
      <c r="EB647" s="27" t="s">
        <v>7</v>
      </c>
      <c r="EC647" s="27" t="s">
        <v>8</v>
      </c>
      <c r="EE647" s="27" t="s">
        <v>8</v>
      </c>
      <c r="EF647" s="27" t="s">
        <v>7</v>
      </c>
      <c r="EG647" s="27" t="s">
        <v>8</v>
      </c>
      <c r="EH647" s="27" t="s">
        <v>7</v>
      </c>
      <c r="EI647" s="27" t="s">
        <v>8</v>
      </c>
      <c r="EJ647" s="27" t="s">
        <v>7</v>
      </c>
      <c r="EK647" s="27" t="s">
        <v>8</v>
      </c>
      <c r="EL647" s="27" t="s">
        <v>7</v>
      </c>
      <c r="EM647" s="27" t="s">
        <v>8</v>
      </c>
      <c r="EO647" s="27" t="s">
        <v>8</v>
      </c>
      <c r="EP647" s="27" t="s">
        <v>7</v>
      </c>
      <c r="EQ647" s="27" t="s">
        <v>8</v>
      </c>
    </row>
    <row r="648" spans="1:154" x14ac:dyDescent="0.25">
      <c r="A648" s="7">
        <v>0.29880614358732388</v>
      </c>
      <c r="B648"/>
      <c r="C648"/>
      <c r="D648"/>
      <c r="E648"/>
      <c r="AL648" s="27" t="s">
        <v>7</v>
      </c>
      <c r="AM648" s="27" t="s">
        <v>8</v>
      </c>
      <c r="AN648" s="27" t="s">
        <v>7</v>
      </c>
      <c r="AQ648" s="27" t="s">
        <v>8</v>
      </c>
      <c r="AR648" s="27" t="s">
        <v>7</v>
      </c>
      <c r="AU648" s="27" t="s">
        <v>8</v>
      </c>
      <c r="AV648" s="27" t="s">
        <v>7</v>
      </c>
      <c r="CE648" s="27" t="s">
        <v>8</v>
      </c>
      <c r="CI648" s="27" t="s">
        <v>8</v>
      </c>
      <c r="CJ648" s="27" t="s">
        <v>7</v>
      </c>
      <c r="CK648" s="27" t="s">
        <v>8</v>
      </c>
      <c r="CN648" s="27" t="s">
        <v>7</v>
      </c>
      <c r="CP648" s="27" t="s">
        <v>7</v>
      </c>
      <c r="CQ648" s="27" t="s">
        <v>8</v>
      </c>
      <c r="CR648" s="27" t="s">
        <v>7</v>
      </c>
      <c r="DD648" s="27" t="s">
        <v>7</v>
      </c>
      <c r="DE648" s="27" t="s">
        <v>8</v>
      </c>
      <c r="DF648" s="27" t="s">
        <v>7</v>
      </c>
      <c r="DI648" s="27" t="s">
        <v>8</v>
      </c>
      <c r="DJ648" s="27" t="s">
        <v>7</v>
      </c>
      <c r="DK648" s="27" t="s">
        <v>8</v>
      </c>
      <c r="DL648" s="27" t="s">
        <v>7</v>
      </c>
      <c r="DM648" s="27" t="s">
        <v>8</v>
      </c>
      <c r="DN648" s="27" t="s">
        <v>7</v>
      </c>
      <c r="DO648" s="27" t="s">
        <v>8</v>
      </c>
      <c r="DP648" s="27" t="s">
        <v>7</v>
      </c>
      <c r="DR648" s="27" t="s">
        <v>7</v>
      </c>
      <c r="DS648" s="27" t="s">
        <v>8</v>
      </c>
      <c r="DT648" s="27" t="s">
        <v>7</v>
      </c>
      <c r="DV648" s="27" t="s">
        <v>7</v>
      </c>
      <c r="DW648" s="27" t="s">
        <v>8</v>
      </c>
      <c r="EA648" s="27" t="s">
        <v>8</v>
      </c>
      <c r="EB648" s="27" t="s">
        <v>7</v>
      </c>
      <c r="EC648" s="27" t="s">
        <v>8</v>
      </c>
      <c r="ED648" s="27" t="s">
        <v>7</v>
      </c>
      <c r="EE648" s="27" t="s">
        <v>8</v>
      </c>
      <c r="EF648" s="27" t="s">
        <v>7</v>
      </c>
      <c r="EG648" s="27" t="s">
        <v>8</v>
      </c>
      <c r="EH648" s="27" t="s">
        <v>7</v>
      </c>
      <c r="EI648" s="27" t="s">
        <v>8</v>
      </c>
      <c r="EJ648" s="27" t="s">
        <v>7</v>
      </c>
      <c r="EK648" s="27" t="s">
        <v>8</v>
      </c>
      <c r="EL648" s="27" t="s">
        <v>7</v>
      </c>
      <c r="EM648" s="27" t="s">
        <v>8</v>
      </c>
      <c r="EN648" s="27" t="s">
        <v>7</v>
      </c>
      <c r="EO648" s="27" t="s">
        <v>8</v>
      </c>
      <c r="EP648" s="27" t="s">
        <v>7</v>
      </c>
      <c r="EQ648" s="27" t="s">
        <v>8</v>
      </c>
      <c r="ER648" s="27" t="s">
        <v>7</v>
      </c>
    </row>
    <row r="649" spans="1:154" x14ac:dyDescent="0.25">
      <c r="A649" s="7">
        <v>0.2929471995954156</v>
      </c>
      <c r="B649"/>
      <c r="C649"/>
      <c r="D649"/>
      <c r="E649"/>
      <c r="AL649" s="27" t="s">
        <v>7</v>
      </c>
      <c r="AM649" s="27" t="s">
        <v>8</v>
      </c>
      <c r="AN649" s="27" t="s">
        <v>7</v>
      </c>
      <c r="AQ649" s="27" t="s">
        <v>8</v>
      </c>
      <c r="AR649" s="27" t="s">
        <v>7</v>
      </c>
      <c r="AU649" s="27" t="s">
        <v>8</v>
      </c>
      <c r="AV649" s="27" t="s">
        <v>7</v>
      </c>
      <c r="CE649" s="27" t="s">
        <v>8</v>
      </c>
      <c r="CF649" s="27" t="s">
        <v>7</v>
      </c>
      <c r="CG649" s="27" t="s">
        <v>8</v>
      </c>
      <c r="CI649" s="27" t="s">
        <v>8</v>
      </c>
      <c r="CJ649" s="27" t="s">
        <v>7</v>
      </c>
      <c r="CK649" s="27" t="s">
        <v>8</v>
      </c>
      <c r="CP649" s="27" t="s">
        <v>7</v>
      </c>
      <c r="DD649" s="27" t="s">
        <v>7</v>
      </c>
      <c r="DE649" s="27" t="s">
        <v>8</v>
      </c>
      <c r="DF649" s="27" t="s">
        <v>7</v>
      </c>
      <c r="DG649" s="27" t="s">
        <v>8</v>
      </c>
      <c r="DI649" s="27" t="s">
        <v>8</v>
      </c>
      <c r="DJ649" s="27" t="s">
        <v>7</v>
      </c>
      <c r="DK649" s="27" t="s">
        <v>8</v>
      </c>
      <c r="DL649" s="27" t="s">
        <v>7</v>
      </c>
      <c r="DM649" s="27" t="s">
        <v>8</v>
      </c>
      <c r="DN649" s="27" t="s">
        <v>7</v>
      </c>
      <c r="DO649" s="27" t="s">
        <v>8</v>
      </c>
      <c r="DR649" s="27" t="s">
        <v>7</v>
      </c>
      <c r="DS649" s="27" t="s">
        <v>8</v>
      </c>
      <c r="DV649" s="27" t="s">
        <v>7</v>
      </c>
      <c r="DW649" s="27" t="s">
        <v>8</v>
      </c>
      <c r="DX649" s="27" t="s">
        <v>7</v>
      </c>
      <c r="DY649" s="27" t="s">
        <v>8</v>
      </c>
      <c r="EA649" s="27" t="s">
        <v>8</v>
      </c>
      <c r="EB649" s="27" t="s">
        <v>7</v>
      </c>
      <c r="EC649" s="27" t="s">
        <v>8</v>
      </c>
      <c r="ED649" s="27" t="s">
        <v>7</v>
      </c>
      <c r="EE649" s="27" t="s">
        <v>8</v>
      </c>
      <c r="EF649" s="27" t="s">
        <v>7</v>
      </c>
      <c r="EG649" s="27" t="s">
        <v>8</v>
      </c>
      <c r="EH649" s="27" t="s">
        <v>7</v>
      </c>
      <c r="EI649" s="27" t="s">
        <v>8</v>
      </c>
      <c r="EJ649" s="27" t="s">
        <v>7</v>
      </c>
      <c r="EK649" s="27" t="s">
        <v>8</v>
      </c>
      <c r="EL649" s="27" t="s">
        <v>7</v>
      </c>
      <c r="EM649" s="27" t="s">
        <v>8</v>
      </c>
      <c r="EN649" s="27" t="s">
        <v>7</v>
      </c>
      <c r="EO649" s="27" t="s">
        <v>8</v>
      </c>
      <c r="EP649" s="27" t="s">
        <v>7</v>
      </c>
      <c r="EQ649" s="27" t="s">
        <v>8</v>
      </c>
      <c r="ER649" s="27" t="s">
        <v>7</v>
      </c>
    </row>
    <row r="650" spans="1:154" x14ac:dyDescent="0.25">
      <c r="A650" s="7">
        <v>0.28720313685825055</v>
      </c>
      <c r="B650"/>
      <c r="C650"/>
      <c r="D650"/>
      <c r="E650"/>
      <c r="AL650" s="27" t="s">
        <v>7</v>
      </c>
      <c r="AM650" s="27" t="s">
        <v>8</v>
      </c>
      <c r="AN650" s="27" t="s">
        <v>7</v>
      </c>
      <c r="AO650" s="27" t="s">
        <v>8</v>
      </c>
      <c r="AQ650" s="27" t="s">
        <v>8</v>
      </c>
      <c r="AR650" s="27" t="s">
        <v>7</v>
      </c>
      <c r="AU650" s="27" t="s">
        <v>8</v>
      </c>
      <c r="AV650" s="27" t="s">
        <v>7</v>
      </c>
      <c r="CE650" s="27" t="s">
        <v>8</v>
      </c>
      <c r="CF650" s="27" t="s">
        <v>7</v>
      </c>
      <c r="CG650" s="27" t="s">
        <v>8</v>
      </c>
      <c r="CH650" s="27" t="s">
        <v>7</v>
      </c>
      <c r="CI650" s="27" t="s">
        <v>8</v>
      </c>
      <c r="CJ650" s="27" t="s">
        <v>7</v>
      </c>
      <c r="CK650" s="27" t="s">
        <v>8</v>
      </c>
      <c r="DD650" s="27" t="s">
        <v>7</v>
      </c>
      <c r="DE650" s="27" t="s">
        <v>8</v>
      </c>
      <c r="DF650" s="27" t="s">
        <v>7</v>
      </c>
      <c r="DG650" s="27" t="s">
        <v>8</v>
      </c>
      <c r="DH650" s="27" t="s">
        <v>7</v>
      </c>
      <c r="DI650" s="27" t="s">
        <v>8</v>
      </c>
      <c r="DJ650" s="27" t="s">
        <v>7</v>
      </c>
      <c r="DK650" s="27" t="s">
        <v>8</v>
      </c>
      <c r="DL650" s="27" t="s">
        <v>7</v>
      </c>
      <c r="DN650" s="27" t="s">
        <v>7</v>
      </c>
      <c r="DO650" s="27" t="s">
        <v>8</v>
      </c>
      <c r="DR650" s="27" t="s">
        <v>7</v>
      </c>
      <c r="DS650" s="27" t="s">
        <v>8</v>
      </c>
      <c r="DV650" s="27" t="s">
        <v>7</v>
      </c>
      <c r="DW650" s="27" t="s">
        <v>8</v>
      </c>
      <c r="DX650" s="27" t="s">
        <v>7</v>
      </c>
      <c r="DY650" s="27" t="s">
        <v>8</v>
      </c>
      <c r="DZ650" s="27" t="s">
        <v>7</v>
      </c>
      <c r="EA650" s="27" t="s">
        <v>8</v>
      </c>
      <c r="EB650" s="27" t="s">
        <v>7</v>
      </c>
      <c r="EC650" s="27" t="s">
        <v>8</v>
      </c>
      <c r="ED650" s="27" t="s">
        <v>7</v>
      </c>
      <c r="EE650" s="27" t="s">
        <v>8</v>
      </c>
      <c r="EF650" s="27" t="s">
        <v>7</v>
      </c>
      <c r="EH650" s="27" t="s">
        <v>7</v>
      </c>
      <c r="EI650" s="27" t="s">
        <v>8</v>
      </c>
      <c r="EJ650" s="27" t="s">
        <v>7</v>
      </c>
      <c r="EK650" s="27" t="s">
        <v>8</v>
      </c>
      <c r="EL650" s="27" t="s">
        <v>7</v>
      </c>
      <c r="EM650" s="27" t="s">
        <v>8</v>
      </c>
      <c r="EN650" s="27" t="s">
        <v>7</v>
      </c>
      <c r="EO650" s="27" t="s">
        <v>8</v>
      </c>
      <c r="EP650" s="27" t="s">
        <v>7</v>
      </c>
      <c r="EQ650" s="27" t="s">
        <v>8</v>
      </c>
      <c r="ER650" s="27" t="s">
        <v>7</v>
      </c>
    </row>
    <row r="651" spans="1:154" x14ac:dyDescent="0.25">
      <c r="A651" s="7">
        <v>0.28157170280220645</v>
      </c>
      <c r="B651"/>
      <c r="C651"/>
      <c r="D651"/>
      <c r="E651"/>
      <c r="AL651" s="27" t="s">
        <v>7</v>
      </c>
      <c r="AM651" s="27" t="s">
        <v>8</v>
      </c>
      <c r="AN651" s="27" t="s">
        <v>7</v>
      </c>
      <c r="AO651" s="27" t="s">
        <v>8</v>
      </c>
      <c r="AP651" s="27" t="s">
        <v>7</v>
      </c>
      <c r="AQ651" s="27" t="s">
        <v>8</v>
      </c>
      <c r="AR651" s="27" t="s">
        <v>7</v>
      </c>
      <c r="AU651" s="27" t="s">
        <v>8</v>
      </c>
      <c r="AV651" s="27" t="s">
        <v>7</v>
      </c>
      <c r="CE651" s="27" t="s">
        <v>8</v>
      </c>
      <c r="CF651" s="27" t="s">
        <v>7</v>
      </c>
      <c r="CG651" s="27" t="s">
        <v>8</v>
      </c>
      <c r="CH651" s="27" t="s">
        <v>7</v>
      </c>
      <c r="CI651" s="27" t="s">
        <v>8</v>
      </c>
      <c r="CJ651" s="27" t="s">
        <v>7</v>
      </c>
      <c r="CK651" s="27" t="s">
        <v>8</v>
      </c>
      <c r="DD651" s="27" t="s">
        <v>7</v>
      </c>
      <c r="DE651" s="27" t="s">
        <v>8</v>
      </c>
      <c r="DF651" s="27" t="s">
        <v>7</v>
      </c>
      <c r="DG651" s="27" t="s">
        <v>8</v>
      </c>
      <c r="DH651" s="27" t="s">
        <v>7</v>
      </c>
      <c r="DI651" s="27" t="s">
        <v>8</v>
      </c>
      <c r="DJ651" s="27" t="s">
        <v>7</v>
      </c>
      <c r="DK651" s="27" t="s">
        <v>8</v>
      </c>
      <c r="DN651" s="27" t="s">
        <v>7</v>
      </c>
      <c r="DR651" s="27" t="s">
        <v>7</v>
      </c>
      <c r="DS651" s="27" t="s">
        <v>8</v>
      </c>
      <c r="DV651" s="27" t="s">
        <v>7</v>
      </c>
      <c r="DX651" s="27" t="s">
        <v>7</v>
      </c>
      <c r="DY651" s="27" t="s">
        <v>8</v>
      </c>
      <c r="DZ651" s="27" t="s">
        <v>7</v>
      </c>
      <c r="EA651" s="27" t="s">
        <v>8</v>
      </c>
      <c r="EB651" s="27" t="s">
        <v>7</v>
      </c>
      <c r="ED651" s="27" t="s">
        <v>7</v>
      </c>
      <c r="EE651" s="27" t="s">
        <v>8</v>
      </c>
      <c r="EH651" s="27" t="s">
        <v>7</v>
      </c>
      <c r="EJ651" s="27" t="s">
        <v>7</v>
      </c>
      <c r="EK651" s="27" t="s">
        <v>8</v>
      </c>
      <c r="EL651" s="27" t="s">
        <v>7</v>
      </c>
      <c r="EN651" s="27" t="s">
        <v>7</v>
      </c>
      <c r="EP651" s="27" t="s">
        <v>7</v>
      </c>
      <c r="ER651" s="27" t="s">
        <v>7</v>
      </c>
    </row>
    <row r="652" spans="1:154" x14ac:dyDescent="0.25">
      <c r="A652" s="7">
        <v>0.27605068902177105</v>
      </c>
      <c r="B652"/>
      <c r="C652"/>
      <c r="D652"/>
      <c r="E652"/>
      <c r="AL652" s="27" t="s">
        <v>7</v>
      </c>
      <c r="AM652" s="27" t="s">
        <v>8</v>
      </c>
      <c r="AN652" s="27" t="s">
        <v>7</v>
      </c>
      <c r="AO652" s="27" t="s">
        <v>8</v>
      </c>
      <c r="AP652" s="27" t="s">
        <v>7</v>
      </c>
      <c r="AQ652" s="27" t="s">
        <v>8</v>
      </c>
      <c r="AR652" s="27" t="s">
        <v>7</v>
      </c>
      <c r="AU652" s="27" t="s">
        <v>8</v>
      </c>
      <c r="AV652" s="27" t="s">
        <v>7</v>
      </c>
      <c r="CE652" s="27" t="s">
        <v>8</v>
      </c>
      <c r="CF652" s="27" t="s">
        <v>7</v>
      </c>
      <c r="CG652" s="27" t="s">
        <v>8</v>
      </c>
      <c r="CH652" s="27" t="s">
        <v>7</v>
      </c>
      <c r="CI652" s="27" t="s">
        <v>8</v>
      </c>
      <c r="CJ652" s="27" t="s">
        <v>7</v>
      </c>
      <c r="CK652" s="27" t="s">
        <v>8</v>
      </c>
      <c r="DD652" s="27" t="s">
        <v>7</v>
      </c>
      <c r="DE652" s="27" t="s">
        <v>8</v>
      </c>
      <c r="DF652" s="27" t="s">
        <v>7</v>
      </c>
      <c r="DG652" s="27" t="s">
        <v>8</v>
      </c>
      <c r="DH652" s="27" t="s">
        <v>7</v>
      </c>
      <c r="DI652" s="27" t="s">
        <v>8</v>
      </c>
      <c r="DJ652" s="27" t="s">
        <v>7</v>
      </c>
      <c r="DK652" s="27" t="s">
        <v>8</v>
      </c>
      <c r="DR652" s="27" t="s">
        <v>7</v>
      </c>
      <c r="DS652" s="27" t="s">
        <v>8</v>
      </c>
      <c r="DX652" s="27" t="s">
        <v>7</v>
      </c>
      <c r="DY652" s="27" t="s">
        <v>8</v>
      </c>
      <c r="DZ652" s="27" t="s">
        <v>7</v>
      </c>
      <c r="ED652" s="27" t="s">
        <v>7</v>
      </c>
      <c r="EE652" s="27" t="s">
        <v>8</v>
      </c>
      <c r="EJ652" s="27" t="s">
        <v>7</v>
      </c>
      <c r="EK652" s="27" t="s">
        <v>8</v>
      </c>
      <c r="ER652" s="27" t="s">
        <v>7</v>
      </c>
    </row>
    <row r="653" spans="1:154" x14ac:dyDescent="0.25">
      <c r="A653" s="7">
        <v>0.27063793041350104</v>
      </c>
      <c r="B653"/>
      <c r="C653"/>
      <c r="D653"/>
      <c r="E653"/>
      <c r="AL653" s="27" t="s">
        <v>7</v>
      </c>
      <c r="AM653" s="27" t="s">
        <v>8</v>
      </c>
      <c r="AN653" s="27" t="s">
        <v>7</v>
      </c>
      <c r="AO653" s="27" t="s">
        <v>8</v>
      </c>
      <c r="AP653" s="27" t="s">
        <v>7</v>
      </c>
      <c r="AQ653" s="27" t="s">
        <v>8</v>
      </c>
      <c r="AR653" s="27" t="s">
        <v>7</v>
      </c>
      <c r="AU653" s="27" t="s">
        <v>8</v>
      </c>
      <c r="AV653" s="27" t="s">
        <v>7</v>
      </c>
      <c r="CE653" s="27" t="s">
        <v>8</v>
      </c>
      <c r="CF653" s="27" t="s">
        <v>7</v>
      </c>
      <c r="CG653" s="27" t="s">
        <v>8</v>
      </c>
      <c r="CH653" s="27" t="s">
        <v>7</v>
      </c>
      <c r="CI653" s="27" t="s">
        <v>8</v>
      </c>
      <c r="CJ653" s="27" t="s">
        <v>7</v>
      </c>
      <c r="DD653" s="27" t="s">
        <v>7</v>
      </c>
      <c r="DE653" s="27" t="s">
        <v>8</v>
      </c>
      <c r="DF653" s="27" t="s">
        <v>7</v>
      </c>
      <c r="DG653" s="27" t="s">
        <v>8</v>
      </c>
      <c r="DH653" s="27" t="s">
        <v>7</v>
      </c>
      <c r="DI653" s="27" t="s">
        <v>8</v>
      </c>
      <c r="DJ653" s="27" t="s">
        <v>7</v>
      </c>
      <c r="DK653" s="27" t="s">
        <v>8</v>
      </c>
      <c r="DR653" s="27" t="s">
        <v>7</v>
      </c>
      <c r="DS653" s="27" t="s">
        <v>8</v>
      </c>
      <c r="DX653" s="27" t="s">
        <v>7</v>
      </c>
      <c r="DY653" s="27" t="s">
        <v>8</v>
      </c>
      <c r="ED653" s="27" t="s">
        <v>7</v>
      </c>
      <c r="EE653" s="27" t="s">
        <v>8</v>
      </c>
      <c r="EJ653" s="27" t="s">
        <v>7</v>
      </c>
      <c r="ER653" s="27" t="s">
        <v>7</v>
      </c>
      <c r="EW653" s="27" t="s">
        <v>8</v>
      </c>
    </row>
    <row r="654" spans="1:154" x14ac:dyDescent="0.25">
      <c r="A654" s="7">
        <v>0.26533130432696184</v>
      </c>
      <c r="B654"/>
      <c r="C654"/>
      <c r="D654"/>
      <c r="E654"/>
      <c r="AL654" s="27" t="s">
        <v>7</v>
      </c>
      <c r="AM654" s="27" t="s">
        <v>8</v>
      </c>
      <c r="AN654" s="27" t="s">
        <v>7</v>
      </c>
      <c r="AO654" s="27" t="s">
        <v>8</v>
      </c>
      <c r="AP654" s="27" t="s">
        <v>7</v>
      </c>
      <c r="AQ654" s="27" t="s">
        <v>8</v>
      </c>
      <c r="AR654" s="27" t="s">
        <v>7</v>
      </c>
      <c r="AU654" s="27" t="s">
        <v>8</v>
      </c>
      <c r="AV654" s="27" t="s">
        <v>7</v>
      </c>
      <c r="CE654" s="27" t="s">
        <v>8</v>
      </c>
      <c r="CF654" s="27" t="s">
        <v>7</v>
      </c>
      <c r="CG654" s="27" t="s">
        <v>8</v>
      </c>
      <c r="CH654" s="27" t="s">
        <v>7</v>
      </c>
      <c r="DD654" s="27" t="s">
        <v>7</v>
      </c>
      <c r="DE654" s="27" t="s">
        <v>8</v>
      </c>
      <c r="DF654" s="27" t="s">
        <v>7</v>
      </c>
      <c r="DH654" s="27" t="s">
        <v>7</v>
      </c>
      <c r="DI654" s="27" t="s">
        <v>8</v>
      </c>
      <c r="DJ654" s="27" t="s">
        <v>7</v>
      </c>
      <c r="DK654" s="27" t="s">
        <v>8</v>
      </c>
      <c r="DR654" s="27" t="s">
        <v>7</v>
      </c>
      <c r="DS654" s="27" t="s">
        <v>8</v>
      </c>
      <c r="DX654" s="27" t="s">
        <v>7</v>
      </c>
      <c r="DY654" s="27" t="s">
        <v>8</v>
      </c>
      <c r="ED654" s="27" t="s">
        <v>7</v>
      </c>
      <c r="EE654" s="27" t="s">
        <v>8</v>
      </c>
      <c r="ER654" s="27" t="s">
        <v>7</v>
      </c>
      <c r="EW654" s="27" t="s">
        <v>8</v>
      </c>
      <c r="EX654" s="27" t="s">
        <v>7</v>
      </c>
    </row>
    <row r="655" spans="1:154" x14ac:dyDescent="0.25">
      <c r="A655" s="7">
        <v>0.26012872973231554</v>
      </c>
      <c r="B655"/>
      <c r="C655"/>
      <c r="D655"/>
      <c r="E655"/>
      <c r="AL655" s="27" t="s">
        <v>7</v>
      </c>
      <c r="AN655" s="27" t="s">
        <v>7</v>
      </c>
      <c r="AO655" s="27" t="s">
        <v>8</v>
      </c>
      <c r="AP655" s="27" t="s">
        <v>7</v>
      </c>
      <c r="AQ655" s="27" t="s">
        <v>8</v>
      </c>
      <c r="AR655" s="27" t="s">
        <v>7</v>
      </c>
      <c r="AU655" s="27" t="s">
        <v>8</v>
      </c>
      <c r="AV655" s="27" t="s">
        <v>7</v>
      </c>
      <c r="AY655" s="27" t="s">
        <v>8</v>
      </c>
      <c r="CE655" s="27" t="s">
        <v>8</v>
      </c>
      <c r="CF655" s="27" t="s">
        <v>7</v>
      </c>
      <c r="CG655" s="27" t="s">
        <v>8</v>
      </c>
      <c r="DD655" s="27" t="s">
        <v>7</v>
      </c>
      <c r="DE655" s="27" t="s">
        <v>8</v>
      </c>
      <c r="DH655" s="27" t="s">
        <v>7</v>
      </c>
      <c r="DI655" s="27" t="s">
        <v>8</v>
      </c>
      <c r="DJ655" s="27" t="s">
        <v>7</v>
      </c>
      <c r="DK655" s="27" t="s">
        <v>8</v>
      </c>
      <c r="DR655" s="27" t="s">
        <v>7</v>
      </c>
      <c r="DX655" s="27" t="s">
        <v>7</v>
      </c>
      <c r="ED655" s="27" t="s">
        <v>7</v>
      </c>
      <c r="ER655" s="27" t="s">
        <v>7</v>
      </c>
      <c r="EW655" s="27" t="s">
        <v>8</v>
      </c>
      <c r="EX655" s="27" t="s">
        <v>7</v>
      </c>
    </row>
    <row r="656" spans="1:154" x14ac:dyDescent="0.25">
      <c r="A656" s="7">
        <v>0.25502816640423093</v>
      </c>
      <c r="B656"/>
      <c r="C656"/>
      <c r="D656"/>
      <c r="E656"/>
      <c r="AN656" s="27" t="s">
        <v>7</v>
      </c>
      <c r="AO656" s="27" t="s">
        <v>8</v>
      </c>
      <c r="AP656" s="27" t="s">
        <v>7</v>
      </c>
      <c r="AQ656" s="27" t="s">
        <v>8</v>
      </c>
      <c r="AR656" s="27" t="s">
        <v>7</v>
      </c>
      <c r="AU656" s="27" t="s">
        <v>8</v>
      </c>
      <c r="AV656" s="27" t="s">
        <v>7</v>
      </c>
      <c r="AY656" s="27" t="s">
        <v>8</v>
      </c>
      <c r="AZ656" s="27" t="s">
        <v>7</v>
      </c>
      <c r="BA656" s="27" t="s">
        <v>8</v>
      </c>
      <c r="CE656" s="27" t="s">
        <v>8</v>
      </c>
      <c r="CF656" s="27" t="s">
        <v>7</v>
      </c>
      <c r="CG656" s="27" t="s">
        <v>8</v>
      </c>
      <c r="DD656" s="27" t="s">
        <v>7</v>
      </c>
      <c r="DH656" s="27" t="s">
        <v>7</v>
      </c>
      <c r="DI656" s="27" t="s">
        <v>8</v>
      </c>
      <c r="DJ656" s="27" t="s">
        <v>7</v>
      </c>
      <c r="DK656" s="27" t="s">
        <v>8</v>
      </c>
      <c r="ER656" s="27" t="s">
        <v>7</v>
      </c>
      <c r="EW656" s="27" t="s">
        <v>8</v>
      </c>
      <c r="EX656" s="27" t="s">
        <v>7</v>
      </c>
    </row>
    <row r="657" spans="1:160" x14ac:dyDescent="0.25">
      <c r="A657" s="7">
        <v>0.25002761412179503</v>
      </c>
      <c r="B657"/>
      <c r="C657"/>
      <c r="D657"/>
      <c r="E657"/>
      <c r="AN657" s="27" t="s">
        <v>7</v>
      </c>
      <c r="AO657" s="27" t="s">
        <v>8</v>
      </c>
      <c r="AP657" s="27" t="s">
        <v>7</v>
      </c>
      <c r="AQ657" s="27" t="s">
        <v>8</v>
      </c>
      <c r="AR657" s="27" t="s">
        <v>7</v>
      </c>
      <c r="AU657" s="27" t="s">
        <v>8</v>
      </c>
      <c r="AV657" s="27" t="s">
        <v>7</v>
      </c>
      <c r="AY657" s="27" t="s">
        <v>8</v>
      </c>
      <c r="AZ657" s="27" t="s">
        <v>7</v>
      </c>
      <c r="BA657" s="27" t="s">
        <v>8</v>
      </c>
      <c r="BB657" s="27" t="s">
        <v>7</v>
      </c>
      <c r="CA657" s="27" t="s">
        <v>8</v>
      </c>
      <c r="CE657" s="27" t="s">
        <v>8</v>
      </c>
      <c r="CF657" s="27" t="s">
        <v>7</v>
      </c>
      <c r="DH657" s="27" t="s">
        <v>7</v>
      </c>
      <c r="DJ657" s="27" t="s">
        <v>7</v>
      </c>
      <c r="ER657" s="27" t="s">
        <v>7</v>
      </c>
      <c r="EW657" s="27" t="s">
        <v>8</v>
      </c>
      <c r="EX657" s="27" t="s">
        <v>7</v>
      </c>
    </row>
    <row r="658" spans="1:160" x14ac:dyDescent="0.25">
      <c r="A658" s="7">
        <v>0.24512511188411276</v>
      </c>
      <c r="B658"/>
      <c r="C658"/>
      <c r="D658"/>
      <c r="E658"/>
      <c r="AN658" s="27" t="s">
        <v>7</v>
      </c>
      <c r="AO658" s="27" t="s">
        <v>8</v>
      </c>
      <c r="AP658" s="27" t="s">
        <v>7</v>
      </c>
      <c r="AQ658" s="27" t="s">
        <v>8</v>
      </c>
      <c r="AR658" s="27" t="s">
        <v>7</v>
      </c>
      <c r="AS658" s="27" t="s">
        <v>8</v>
      </c>
      <c r="AU658" s="27" t="s">
        <v>8</v>
      </c>
      <c r="AV658" s="27" t="s">
        <v>7</v>
      </c>
      <c r="AW658" s="27" t="s">
        <v>8</v>
      </c>
      <c r="AY658" s="27" t="s">
        <v>8</v>
      </c>
      <c r="AZ658" s="27" t="s">
        <v>7</v>
      </c>
      <c r="BA658" s="27" t="s">
        <v>8</v>
      </c>
      <c r="BB658" s="27" t="s">
        <v>7</v>
      </c>
      <c r="CA658" s="27" t="s">
        <v>8</v>
      </c>
      <c r="CB658" s="27" t="s">
        <v>7</v>
      </c>
      <c r="CC658" s="27" t="s">
        <v>8</v>
      </c>
      <c r="CE658" s="27" t="s">
        <v>8</v>
      </c>
      <c r="ER658" s="27" t="s">
        <v>7</v>
      </c>
      <c r="EW658" s="27" t="s">
        <v>8</v>
      </c>
      <c r="EX658" s="27" t="s">
        <v>7</v>
      </c>
    </row>
    <row r="659" spans="1:160" x14ac:dyDescent="0.25">
      <c r="A659" s="7">
        <v>0.24031873714128701</v>
      </c>
      <c r="B659"/>
      <c r="C659"/>
      <c r="D659"/>
      <c r="E659"/>
      <c r="AN659" s="27" t="s">
        <v>7</v>
      </c>
      <c r="AO659" s="27" t="s">
        <v>8</v>
      </c>
      <c r="AP659" s="27" t="s">
        <v>7</v>
      </c>
      <c r="AQ659" s="27" t="s">
        <v>8</v>
      </c>
      <c r="AR659" s="27" t="s">
        <v>7</v>
      </c>
      <c r="AS659" s="27" t="s">
        <v>8</v>
      </c>
      <c r="AT659" s="27" t="s">
        <v>7</v>
      </c>
      <c r="AU659" s="27" t="s">
        <v>8</v>
      </c>
      <c r="AV659" s="27" t="s">
        <v>7</v>
      </c>
      <c r="AW659" s="27" t="s">
        <v>8</v>
      </c>
      <c r="AX659" s="27" t="s">
        <v>7</v>
      </c>
      <c r="AY659" s="27" t="s">
        <v>8</v>
      </c>
      <c r="AZ659" s="27" t="s">
        <v>7</v>
      </c>
      <c r="BA659" s="27" t="s">
        <v>8</v>
      </c>
      <c r="BB659" s="27" t="s">
        <v>7</v>
      </c>
      <c r="CA659" s="27" t="s">
        <v>8</v>
      </c>
      <c r="CB659" s="27" t="s">
        <v>7</v>
      </c>
      <c r="CC659" s="27" t="s">
        <v>8</v>
      </c>
      <c r="CD659" s="27" t="s">
        <v>7</v>
      </c>
      <c r="CE659" s="27" t="s">
        <v>8</v>
      </c>
      <c r="ER659" s="27" t="s">
        <v>7</v>
      </c>
      <c r="ES659" s="27" t="s">
        <v>8</v>
      </c>
      <c r="EW659" s="27" t="s">
        <v>8</v>
      </c>
      <c r="EX659" s="27" t="s">
        <v>7</v>
      </c>
    </row>
    <row r="660" spans="1:160" x14ac:dyDescent="0.25">
      <c r="A660" s="7">
        <v>0.23560660504047748</v>
      </c>
      <c r="B660"/>
      <c r="C660"/>
      <c r="D660"/>
      <c r="E660"/>
      <c r="AN660" s="27" t="s">
        <v>7</v>
      </c>
      <c r="AO660" s="27" t="s">
        <v>8</v>
      </c>
      <c r="AP660" s="27" t="s">
        <v>7</v>
      </c>
      <c r="AQ660" s="27" t="s">
        <v>8</v>
      </c>
      <c r="AR660" s="27" t="s">
        <v>7</v>
      </c>
      <c r="AS660" s="27" t="s">
        <v>8</v>
      </c>
      <c r="AT660" s="27" t="s">
        <v>7</v>
      </c>
      <c r="AU660" s="27" t="s">
        <v>8</v>
      </c>
      <c r="AV660" s="27" t="s">
        <v>7</v>
      </c>
      <c r="AW660" s="27" t="s">
        <v>8</v>
      </c>
      <c r="AX660" s="27" t="s">
        <v>7</v>
      </c>
      <c r="AY660" s="27" t="s">
        <v>8</v>
      </c>
      <c r="AZ660" s="27" t="s">
        <v>7</v>
      </c>
      <c r="BA660" s="27" t="s">
        <v>8</v>
      </c>
      <c r="BB660" s="27" t="s">
        <v>7</v>
      </c>
      <c r="CA660" s="27" t="s">
        <v>8</v>
      </c>
      <c r="CB660" s="27" t="s">
        <v>7</v>
      </c>
      <c r="CC660" s="27" t="s">
        <v>8</v>
      </c>
      <c r="CD660" s="27" t="s">
        <v>7</v>
      </c>
      <c r="CE660" s="27" t="s">
        <v>8</v>
      </c>
      <c r="ER660" s="27" t="s">
        <v>7</v>
      </c>
      <c r="ES660" s="27" t="s">
        <v>8</v>
      </c>
      <c r="ET660" s="27" t="s">
        <v>7</v>
      </c>
      <c r="EW660" s="27" t="s">
        <v>8</v>
      </c>
      <c r="EX660" s="27" t="s">
        <v>7</v>
      </c>
      <c r="FC660" s="27" t="s">
        <v>8</v>
      </c>
    </row>
    <row r="661" spans="1:160" x14ac:dyDescent="0.25">
      <c r="A661" s="7">
        <v>0.23098686768674265</v>
      </c>
      <c r="B661"/>
      <c r="C661"/>
      <c r="D661"/>
      <c r="E661"/>
      <c r="AN661" s="27" t="s">
        <v>7</v>
      </c>
      <c r="AO661" s="27" t="s">
        <v>8</v>
      </c>
      <c r="AP661" s="27" t="s">
        <v>7</v>
      </c>
      <c r="AQ661" s="27" t="s">
        <v>8</v>
      </c>
      <c r="AR661" s="27" t="s">
        <v>7</v>
      </c>
      <c r="AS661" s="27" t="s">
        <v>8</v>
      </c>
      <c r="AT661" s="27" t="s">
        <v>7</v>
      </c>
      <c r="AU661" s="27" t="s">
        <v>8</v>
      </c>
      <c r="AV661" s="27" t="s">
        <v>7</v>
      </c>
      <c r="AW661" s="27" t="s">
        <v>8</v>
      </c>
      <c r="AX661" s="27" t="s">
        <v>7</v>
      </c>
      <c r="AY661" s="27" t="s">
        <v>8</v>
      </c>
      <c r="AZ661" s="27" t="s">
        <v>7</v>
      </c>
      <c r="BA661" s="27" t="s">
        <v>8</v>
      </c>
      <c r="BB661" s="27" t="s">
        <v>7</v>
      </c>
      <c r="BY661" s="27" t="s">
        <v>8</v>
      </c>
      <c r="CA661" s="27" t="s">
        <v>8</v>
      </c>
      <c r="CB661" s="27" t="s">
        <v>7</v>
      </c>
      <c r="CC661" s="27" t="s">
        <v>8</v>
      </c>
      <c r="CD661" s="27" t="s">
        <v>7</v>
      </c>
      <c r="CE661" s="27" t="s">
        <v>8</v>
      </c>
      <c r="ER661" s="27" t="s">
        <v>7</v>
      </c>
      <c r="ES661" s="27" t="s">
        <v>8</v>
      </c>
      <c r="ET661" s="27" t="s">
        <v>7</v>
      </c>
      <c r="EW661" s="27" t="s">
        <v>8</v>
      </c>
      <c r="EX661" s="27" t="s">
        <v>7</v>
      </c>
      <c r="FC661" s="27" t="s">
        <v>8</v>
      </c>
      <c r="FD661" s="27" t="s">
        <v>7</v>
      </c>
    </row>
    <row r="662" spans="1:160" x14ac:dyDescent="0.25">
      <c r="A662" s="7">
        <v>0.22645771341837515</v>
      </c>
      <c r="B662"/>
      <c r="C662"/>
      <c r="D662"/>
      <c r="E662"/>
      <c r="AN662" s="27" t="s">
        <v>7</v>
      </c>
      <c r="AO662" s="27" t="s">
        <v>8</v>
      </c>
      <c r="AP662" s="27" t="s">
        <v>7</v>
      </c>
      <c r="AQ662" s="27" t="s">
        <v>8</v>
      </c>
      <c r="AR662" s="27" t="s">
        <v>7</v>
      </c>
      <c r="AS662" s="27" t="s">
        <v>8</v>
      </c>
      <c r="AT662" s="27" t="s">
        <v>7</v>
      </c>
      <c r="AV662" s="27" t="s">
        <v>7</v>
      </c>
      <c r="AW662" s="27" t="s">
        <v>8</v>
      </c>
      <c r="AX662" s="27" t="s">
        <v>7</v>
      </c>
      <c r="AY662" s="27" t="s">
        <v>8</v>
      </c>
      <c r="AZ662" s="27" t="s">
        <v>7</v>
      </c>
      <c r="BA662" s="27" t="s">
        <v>8</v>
      </c>
      <c r="BB662" s="27" t="s">
        <v>7</v>
      </c>
      <c r="BY662" s="27" t="s">
        <v>8</v>
      </c>
      <c r="BZ662" s="27" t="s">
        <v>7</v>
      </c>
      <c r="CA662" s="27" t="s">
        <v>8</v>
      </c>
      <c r="CB662" s="27" t="s">
        <v>7</v>
      </c>
      <c r="CC662" s="27" t="s">
        <v>8</v>
      </c>
      <c r="CD662" s="27" t="s">
        <v>7</v>
      </c>
      <c r="CE662" s="27" t="s">
        <v>8</v>
      </c>
      <c r="ER662" s="27" t="s">
        <v>7</v>
      </c>
      <c r="ES662" s="27" t="s">
        <v>8</v>
      </c>
      <c r="ET662" s="27" t="s">
        <v>7</v>
      </c>
      <c r="EW662" s="27" t="s">
        <v>8</v>
      </c>
      <c r="EX662" s="27" t="s">
        <v>7</v>
      </c>
      <c r="FA662" s="27" t="s">
        <v>8</v>
      </c>
      <c r="FC662" s="27" t="s">
        <v>8</v>
      </c>
      <c r="FD662" s="27" t="s">
        <v>7</v>
      </c>
    </row>
    <row r="663" spans="1:160" x14ac:dyDescent="0.25">
      <c r="A663" s="7">
        <v>0.22201736609644623</v>
      </c>
      <c r="B663"/>
      <c r="C663"/>
      <c r="D663"/>
      <c r="E663"/>
      <c r="AN663" s="27" t="s">
        <v>7</v>
      </c>
      <c r="AO663" s="27" t="s">
        <v>8</v>
      </c>
      <c r="AP663" s="27" t="s">
        <v>7</v>
      </c>
      <c r="AQ663" s="27" t="s">
        <v>8</v>
      </c>
      <c r="AR663" s="27" t="s">
        <v>7</v>
      </c>
      <c r="AS663" s="27" t="s">
        <v>8</v>
      </c>
      <c r="AV663" s="27" t="s">
        <v>7</v>
      </c>
      <c r="AX663" s="27" t="s">
        <v>7</v>
      </c>
      <c r="AY663" s="27" t="s">
        <v>8</v>
      </c>
      <c r="AZ663" s="27" t="s">
        <v>7</v>
      </c>
      <c r="BA663" s="27" t="s">
        <v>8</v>
      </c>
      <c r="BB663" s="27" t="s">
        <v>7</v>
      </c>
      <c r="BC663" s="27" t="s">
        <v>8</v>
      </c>
      <c r="BY663" s="27" t="s">
        <v>8</v>
      </c>
      <c r="BZ663" s="27" t="s">
        <v>7</v>
      </c>
      <c r="CA663" s="27" t="s">
        <v>8</v>
      </c>
      <c r="CB663" s="27" t="s">
        <v>7</v>
      </c>
      <c r="CD663" s="27" t="s">
        <v>7</v>
      </c>
      <c r="CE663" s="27" t="s">
        <v>8</v>
      </c>
      <c r="ER663" s="27" t="s">
        <v>7</v>
      </c>
      <c r="ES663" s="27" t="s">
        <v>8</v>
      </c>
      <c r="ET663" s="27" t="s">
        <v>7</v>
      </c>
      <c r="EW663" s="27" t="s">
        <v>8</v>
      </c>
      <c r="EX663" s="27" t="s">
        <v>7</v>
      </c>
      <c r="FA663" s="27" t="s">
        <v>8</v>
      </c>
      <c r="FB663" s="27" t="s">
        <v>7</v>
      </c>
      <c r="FC663" s="27" t="s">
        <v>8</v>
      </c>
      <c r="FD663" s="27" t="s">
        <v>7</v>
      </c>
    </row>
    <row r="664" spans="1:160" x14ac:dyDescent="0.25">
      <c r="A664" s="7">
        <v>0.21766408440828061</v>
      </c>
      <c r="B664"/>
      <c r="C664"/>
      <c r="D664"/>
      <c r="E664"/>
      <c r="AN664" s="27" t="s">
        <v>7</v>
      </c>
      <c r="AO664" s="27" t="s">
        <v>8</v>
      </c>
      <c r="AP664" s="27" t="s">
        <v>7</v>
      </c>
      <c r="AQ664" s="27" t="s">
        <v>8</v>
      </c>
      <c r="AR664" s="27" t="s">
        <v>7</v>
      </c>
      <c r="AS664" s="27" t="s">
        <v>8</v>
      </c>
      <c r="AX664" s="27" t="s">
        <v>7</v>
      </c>
      <c r="AY664" s="27" t="s">
        <v>8</v>
      </c>
      <c r="AZ664" s="27" t="s">
        <v>7</v>
      </c>
      <c r="BA664" s="27" t="s">
        <v>8</v>
      </c>
      <c r="BB664" s="27" t="s">
        <v>7</v>
      </c>
      <c r="BC664" s="27" t="s">
        <v>8</v>
      </c>
      <c r="BD664" s="27" t="s">
        <v>7</v>
      </c>
      <c r="BW664" s="27" t="s">
        <v>8</v>
      </c>
      <c r="BY664" s="27" t="s">
        <v>8</v>
      </c>
      <c r="BZ664" s="27" t="s">
        <v>7</v>
      </c>
      <c r="CA664" s="27" t="s">
        <v>8</v>
      </c>
      <c r="CD664" s="27" t="s">
        <v>7</v>
      </c>
      <c r="ER664" s="27" t="s">
        <v>7</v>
      </c>
      <c r="ES664" s="27" t="s">
        <v>8</v>
      </c>
      <c r="ET664" s="27" t="s">
        <v>7</v>
      </c>
      <c r="EU664" s="27" t="s">
        <v>8</v>
      </c>
      <c r="EW664" s="27" t="s">
        <v>8</v>
      </c>
      <c r="EX664" s="27" t="s">
        <v>7</v>
      </c>
      <c r="FA664" s="27" t="s">
        <v>8</v>
      </c>
      <c r="FB664" s="27" t="s">
        <v>7</v>
      </c>
      <c r="FC664" s="27" t="s">
        <v>8</v>
      </c>
      <c r="FD664" s="27" t="s">
        <v>7</v>
      </c>
    </row>
    <row r="665" spans="1:160" x14ac:dyDescent="0.25">
      <c r="A665" s="7">
        <v>0.21339616118458882</v>
      </c>
      <c r="B665"/>
      <c r="C665"/>
      <c r="D665"/>
      <c r="E665"/>
      <c r="AN665" s="27" t="s">
        <v>7</v>
      </c>
      <c r="AO665" s="27" t="s">
        <v>8</v>
      </c>
      <c r="AP665" s="27" t="s">
        <v>7</v>
      </c>
      <c r="AQ665" s="27" t="s">
        <v>8</v>
      </c>
      <c r="AR665" s="27" t="s">
        <v>7</v>
      </c>
      <c r="AX665" s="27" t="s">
        <v>7</v>
      </c>
      <c r="AY665" s="27" t="s">
        <v>8</v>
      </c>
      <c r="AZ665" s="27" t="s">
        <v>7</v>
      </c>
      <c r="BA665" s="27" t="s">
        <v>8</v>
      </c>
      <c r="BB665" s="27" t="s">
        <v>7</v>
      </c>
      <c r="BC665" s="27" t="s">
        <v>8</v>
      </c>
      <c r="BD665" s="27" t="s">
        <v>7</v>
      </c>
      <c r="BU665" s="27" t="s">
        <v>8</v>
      </c>
      <c r="BW665" s="27" t="s">
        <v>8</v>
      </c>
      <c r="BX665" s="27" t="s">
        <v>7</v>
      </c>
      <c r="BY665" s="27" t="s">
        <v>8</v>
      </c>
      <c r="BZ665" s="27" t="s">
        <v>7</v>
      </c>
      <c r="CA665" s="27" t="s">
        <v>8</v>
      </c>
      <c r="ER665" s="27" t="s">
        <v>7</v>
      </c>
      <c r="ES665" s="27" t="s">
        <v>8</v>
      </c>
      <c r="ET665" s="27" t="s">
        <v>7</v>
      </c>
      <c r="EU665" s="27" t="s">
        <v>8</v>
      </c>
      <c r="EV665" s="27" t="s">
        <v>7</v>
      </c>
      <c r="EW665" s="27" t="s">
        <v>8</v>
      </c>
      <c r="EX665" s="27" t="s">
        <v>7</v>
      </c>
      <c r="FA665" s="27" t="s">
        <v>8</v>
      </c>
      <c r="FB665" s="27" t="s">
        <v>7</v>
      </c>
      <c r="FC665" s="27" t="s">
        <v>8</v>
      </c>
      <c r="FD665" s="27" t="s">
        <v>7</v>
      </c>
    </row>
    <row r="666" spans="1:160" x14ac:dyDescent="0.25">
      <c r="A666" s="7">
        <v>0.20921192272998904</v>
      </c>
      <c r="B666"/>
      <c r="C666"/>
      <c r="D666"/>
      <c r="E666"/>
      <c r="AN666" s="27" t="s">
        <v>7</v>
      </c>
      <c r="AO666" s="27" t="s">
        <v>8</v>
      </c>
      <c r="AP666" s="27" t="s">
        <v>7</v>
      </c>
      <c r="AQ666" s="27" t="s">
        <v>8</v>
      </c>
      <c r="AX666" s="27" t="s">
        <v>7</v>
      </c>
      <c r="AY666" s="27" t="s">
        <v>8</v>
      </c>
      <c r="AZ666" s="27" t="s">
        <v>7</v>
      </c>
      <c r="BA666" s="27" t="s">
        <v>8</v>
      </c>
      <c r="BB666" s="27" t="s">
        <v>7</v>
      </c>
      <c r="BC666" s="27" t="s">
        <v>8</v>
      </c>
      <c r="BD666" s="27" t="s">
        <v>7</v>
      </c>
      <c r="BU666" s="27" t="s">
        <v>8</v>
      </c>
      <c r="BV666" s="27" t="s">
        <v>7</v>
      </c>
      <c r="BW666" s="27" t="s">
        <v>8</v>
      </c>
      <c r="BX666" s="27" t="s">
        <v>7</v>
      </c>
      <c r="BY666" s="27" t="s">
        <v>8</v>
      </c>
      <c r="BZ666" s="27" t="s">
        <v>7</v>
      </c>
      <c r="CA666" s="27" t="s">
        <v>8</v>
      </c>
      <c r="ER666" s="27" t="s">
        <v>7</v>
      </c>
      <c r="ET666" s="27" t="s">
        <v>7</v>
      </c>
      <c r="EU666" s="27" t="s">
        <v>8</v>
      </c>
      <c r="EV666" s="27" t="s">
        <v>7</v>
      </c>
      <c r="EW666" s="27" t="s">
        <v>8</v>
      </c>
      <c r="EX666" s="27" t="s">
        <v>7</v>
      </c>
      <c r="FA666" s="27" t="s">
        <v>8</v>
      </c>
      <c r="FB666" s="27" t="s">
        <v>7</v>
      </c>
      <c r="FC666" s="27" t="s">
        <v>8</v>
      </c>
      <c r="FD666" s="27" t="s">
        <v>7</v>
      </c>
    </row>
    <row r="667" spans="1:160" x14ac:dyDescent="0.25">
      <c r="A667" s="7">
        <v>0.20510972816665593</v>
      </c>
      <c r="B667"/>
      <c r="C667"/>
      <c r="D667"/>
      <c r="E667"/>
      <c r="AN667" s="27" t="s">
        <v>7</v>
      </c>
      <c r="AO667" s="27" t="s">
        <v>8</v>
      </c>
      <c r="AP667" s="27" t="s">
        <v>7</v>
      </c>
      <c r="AQ667" s="27" t="s">
        <v>8</v>
      </c>
      <c r="AX667" s="27" t="s">
        <v>7</v>
      </c>
      <c r="AY667" s="27" t="s">
        <v>8</v>
      </c>
      <c r="AZ667" s="27" t="s">
        <v>7</v>
      </c>
      <c r="BA667" s="27" t="s">
        <v>8</v>
      </c>
      <c r="BB667" s="27" t="s">
        <v>7</v>
      </c>
      <c r="BD667" s="27" t="s">
        <v>7</v>
      </c>
      <c r="BS667" s="27" t="s">
        <v>8</v>
      </c>
      <c r="BU667" s="27" t="s">
        <v>8</v>
      </c>
      <c r="BV667" s="27" t="s">
        <v>7</v>
      </c>
      <c r="BW667" s="27" t="s">
        <v>8</v>
      </c>
      <c r="BX667" s="27" t="s">
        <v>7</v>
      </c>
      <c r="BY667" s="27" t="s">
        <v>8</v>
      </c>
      <c r="BZ667" s="27" t="s">
        <v>7</v>
      </c>
      <c r="CA667" s="27" t="s">
        <v>8</v>
      </c>
      <c r="ET667" s="27" t="s">
        <v>7</v>
      </c>
      <c r="EV667" s="27" t="s">
        <v>7</v>
      </c>
      <c r="EW667" s="27" t="s">
        <v>8</v>
      </c>
      <c r="EX667" s="27" t="s">
        <v>7</v>
      </c>
      <c r="EY667" s="27" t="s">
        <v>8</v>
      </c>
      <c r="FA667" s="27" t="s">
        <v>8</v>
      </c>
      <c r="FB667" s="27" t="s">
        <v>7</v>
      </c>
      <c r="FD667" s="27" t="s">
        <v>7</v>
      </c>
    </row>
    <row r="668" spans="1:160" x14ac:dyDescent="0.25">
      <c r="A668" s="7">
        <v>0.20108796879083912</v>
      </c>
      <c r="B668"/>
      <c r="C668"/>
      <c r="D668"/>
      <c r="E668"/>
      <c r="AN668" s="27" t="s">
        <v>7</v>
      </c>
      <c r="AP668" s="27" t="s">
        <v>7</v>
      </c>
      <c r="AQ668" s="27" t="s">
        <v>8</v>
      </c>
      <c r="AX668" s="27" t="s">
        <v>7</v>
      </c>
      <c r="AY668" s="27" t="s">
        <v>8</v>
      </c>
      <c r="AZ668" s="27" t="s">
        <v>7</v>
      </c>
      <c r="BA668" s="27" t="s">
        <v>8</v>
      </c>
      <c r="BD668" s="27" t="s">
        <v>7</v>
      </c>
      <c r="BS668" s="27" t="s">
        <v>8</v>
      </c>
      <c r="BT668" s="27" t="s">
        <v>7</v>
      </c>
      <c r="BU668" s="27" t="s">
        <v>8</v>
      </c>
      <c r="BV668" s="27" t="s">
        <v>7</v>
      </c>
      <c r="BW668" s="27" t="s">
        <v>8</v>
      </c>
      <c r="BX668" s="27" t="s">
        <v>7</v>
      </c>
      <c r="BY668" s="27" t="s">
        <v>8</v>
      </c>
      <c r="BZ668" s="27" t="s">
        <v>7</v>
      </c>
      <c r="CA668" s="27" t="s">
        <v>8</v>
      </c>
      <c r="EV668" s="27" t="s">
        <v>7</v>
      </c>
      <c r="EW668" s="27" t="s">
        <v>8</v>
      </c>
      <c r="EX668" s="27" t="s">
        <v>7</v>
      </c>
      <c r="EY668" s="27" t="s">
        <v>8</v>
      </c>
      <c r="EZ668" s="27" t="s">
        <v>7</v>
      </c>
      <c r="FA668" s="27" t="s">
        <v>8</v>
      </c>
      <c r="FD668" s="27" t="s">
        <v>7</v>
      </c>
    </row>
    <row r="669" spans="1:160" x14ac:dyDescent="0.25">
      <c r="A669" s="7">
        <v>0.19714506744199917</v>
      </c>
      <c r="B669"/>
      <c r="C669"/>
      <c r="D669"/>
      <c r="E669"/>
      <c r="AP669" s="27" t="s">
        <v>7</v>
      </c>
      <c r="AQ669" s="27" t="s">
        <v>8</v>
      </c>
      <c r="AX669" s="27" t="s">
        <v>7</v>
      </c>
      <c r="AY669" s="27" t="s">
        <v>8</v>
      </c>
      <c r="AZ669" s="27" t="s">
        <v>7</v>
      </c>
      <c r="BA669" s="27" t="s">
        <v>8</v>
      </c>
      <c r="BD669" s="27" t="s">
        <v>7</v>
      </c>
      <c r="BS669" s="27" t="s">
        <v>8</v>
      </c>
      <c r="BT669" s="27" t="s">
        <v>7</v>
      </c>
      <c r="BU669" s="27" t="s">
        <v>8</v>
      </c>
      <c r="BV669" s="27" t="s">
        <v>7</v>
      </c>
      <c r="BW669" s="27" t="s">
        <v>8</v>
      </c>
      <c r="BX669" s="27" t="s">
        <v>7</v>
      </c>
      <c r="BY669" s="27" t="s">
        <v>8</v>
      </c>
      <c r="BZ669" s="27" t="s">
        <v>7</v>
      </c>
      <c r="CA669" s="27" t="s">
        <v>8</v>
      </c>
      <c r="EV669" s="27" t="s">
        <v>7</v>
      </c>
      <c r="EW669" s="27" t="s">
        <v>8</v>
      </c>
      <c r="EX669" s="27" t="s">
        <v>7</v>
      </c>
      <c r="EY669" s="27" t="s">
        <v>8</v>
      </c>
      <c r="EZ669" s="27" t="s">
        <v>7</v>
      </c>
      <c r="FA669" s="27" t="s">
        <v>8</v>
      </c>
      <c r="FD669" s="27" t="s">
        <v>7</v>
      </c>
    </row>
    <row r="670" spans="1:160" x14ac:dyDescent="0.25">
      <c r="A670" s="7">
        <v>0.19327947788431293</v>
      </c>
      <c r="B670"/>
      <c r="C670"/>
      <c r="D670"/>
      <c r="E670"/>
      <c r="AP670" s="27" t="s">
        <v>7</v>
      </c>
      <c r="AQ670" s="27" t="s">
        <v>8</v>
      </c>
      <c r="AX670" s="27" t="s">
        <v>7</v>
      </c>
      <c r="AY670" s="27" t="s">
        <v>8</v>
      </c>
      <c r="AZ670" s="27" t="s">
        <v>7</v>
      </c>
      <c r="BA670" s="27" t="s">
        <v>8</v>
      </c>
      <c r="BD670" s="27" t="s">
        <v>7</v>
      </c>
      <c r="BS670" s="27" t="s">
        <v>8</v>
      </c>
      <c r="BT670" s="27" t="s">
        <v>7</v>
      </c>
      <c r="BU670" s="27" t="s">
        <v>8</v>
      </c>
      <c r="BV670" s="27" t="s">
        <v>7</v>
      </c>
      <c r="BW670" s="27" t="s">
        <v>8</v>
      </c>
      <c r="BX670" s="27" t="s">
        <v>7</v>
      </c>
      <c r="BY670" s="27" t="s">
        <v>8</v>
      </c>
      <c r="BZ670" s="27" t="s">
        <v>7</v>
      </c>
      <c r="CA670" s="27" t="s">
        <v>8</v>
      </c>
      <c r="EV670" s="27" t="s">
        <v>7</v>
      </c>
      <c r="EW670" s="27" t="s">
        <v>8</v>
      </c>
      <c r="EX670" s="27" t="s">
        <v>7</v>
      </c>
      <c r="EZ670" s="27" t="s">
        <v>7</v>
      </c>
      <c r="FA670" s="27" t="s">
        <v>8</v>
      </c>
      <c r="FD670" s="27" t="s">
        <v>7</v>
      </c>
    </row>
    <row r="671" spans="1:160" x14ac:dyDescent="0.25">
      <c r="A671" s="7">
        <v>0.18948968420030682</v>
      </c>
      <c r="B671"/>
      <c r="C671"/>
      <c r="D671"/>
      <c r="E671"/>
      <c r="AP671" s="27" t="s">
        <v>7</v>
      </c>
      <c r="AQ671" s="27" t="s">
        <v>8</v>
      </c>
      <c r="AX671" s="27" t="s">
        <v>7</v>
      </c>
      <c r="AZ671" s="27" t="s">
        <v>7</v>
      </c>
      <c r="BA671" s="27" t="s">
        <v>8</v>
      </c>
      <c r="BD671" s="27" t="s">
        <v>7</v>
      </c>
      <c r="BG671" s="27" t="s">
        <v>8</v>
      </c>
      <c r="BS671" s="27" t="s">
        <v>8</v>
      </c>
      <c r="BT671" s="27" t="s">
        <v>7</v>
      </c>
      <c r="BU671" s="27" t="s">
        <v>8</v>
      </c>
      <c r="BV671" s="27" t="s">
        <v>7</v>
      </c>
      <c r="BW671" s="27" t="s">
        <v>8</v>
      </c>
      <c r="BX671" s="27" t="s">
        <v>7</v>
      </c>
      <c r="BY671" s="27" t="s">
        <v>8</v>
      </c>
      <c r="BZ671" s="27" t="s">
        <v>7</v>
      </c>
      <c r="EV671" s="27" t="s">
        <v>7</v>
      </c>
      <c r="EW671" s="27" t="s">
        <v>8</v>
      </c>
      <c r="EZ671" s="27" t="s">
        <v>7</v>
      </c>
      <c r="FD671" s="27" t="s">
        <v>7</v>
      </c>
    </row>
    <row r="672" spans="1:160" x14ac:dyDescent="0.25">
      <c r="A672" s="7">
        <v>0.18577420019637925</v>
      </c>
      <c r="B672"/>
      <c r="C672"/>
      <c r="D672"/>
      <c r="E672"/>
      <c r="AP672" s="27" t="s">
        <v>7</v>
      </c>
      <c r="AQ672" s="27" t="s">
        <v>8</v>
      </c>
      <c r="AZ672" s="27" t="s">
        <v>7</v>
      </c>
      <c r="BD672" s="27" t="s">
        <v>7</v>
      </c>
      <c r="BG672" s="27" t="s">
        <v>8</v>
      </c>
      <c r="BH672" s="27" t="s">
        <v>7</v>
      </c>
      <c r="BM672" s="27" t="s">
        <v>8</v>
      </c>
      <c r="BQ672" s="27" t="s">
        <v>8</v>
      </c>
      <c r="BS672" s="27" t="s">
        <v>8</v>
      </c>
      <c r="BT672" s="27" t="s">
        <v>7</v>
      </c>
      <c r="BU672" s="27" t="s">
        <v>8</v>
      </c>
      <c r="BV672" s="27" t="s">
        <v>7</v>
      </c>
      <c r="BW672" s="27" t="s">
        <v>8</v>
      </c>
      <c r="BX672" s="27" t="s">
        <v>7</v>
      </c>
      <c r="EV672" s="27" t="s">
        <v>7</v>
      </c>
      <c r="EW672" s="27" t="s">
        <v>8</v>
      </c>
      <c r="FD672" s="27" t="s">
        <v>7</v>
      </c>
    </row>
    <row r="673" spans="1:168" x14ac:dyDescent="0.25">
      <c r="A673" s="7">
        <v>0.18213156881997963</v>
      </c>
      <c r="B673"/>
      <c r="C673"/>
      <c r="D673"/>
      <c r="E673"/>
      <c r="AP673" s="27" t="s">
        <v>7</v>
      </c>
      <c r="AQ673" s="27" t="s">
        <v>8</v>
      </c>
      <c r="BD673" s="27" t="s">
        <v>7</v>
      </c>
      <c r="BG673" s="27" t="s">
        <v>8</v>
      </c>
      <c r="BH673" s="27" t="s">
        <v>7</v>
      </c>
      <c r="BM673" s="27" t="s">
        <v>8</v>
      </c>
      <c r="BN673" s="27" t="s">
        <v>7</v>
      </c>
      <c r="BO673" s="27" t="s">
        <v>8</v>
      </c>
      <c r="BQ673" s="27" t="s">
        <v>8</v>
      </c>
      <c r="BR673" s="27" t="s">
        <v>7</v>
      </c>
      <c r="BS673" s="27" t="s">
        <v>8</v>
      </c>
      <c r="BT673" s="27" t="s">
        <v>7</v>
      </c>
      <c r="BU673" s="27" t="s">
        <v>8</v>
      </c>
      <c r="BV673" s="27" t="s">
        <v>7</v>
      </c>
      <c r="BW673" s="27" t="s">
        <v>8</v>
      </c>
      <c r="EV673" s="27" t="s">
        <v>7</v>
      </c>
      <c r="FD673" s="27" t="s">
        <v>7</v>
      </c>
    </row>
    <row r="674" spans="1:168" x14ac:dyDescent="0.25">
      <c r="A674" s="7">
        <v>0.17856036158821534</v>
      </c>
      <c r="B674"/>
      <c r="C674"/>
      <c r="D674"/>
      <c r="E674"/>
      <c r="AP674" s="27" t="s">
        <v>7</v>
      </c>
      <c r="AQ674" s="27" t="s">
        <v>8</v>
      </c>
      <c r="BD674" s="27" t="s">
        <v>7</v>
      </c>
      <c r="BG674" s="27" t="s">
        <v>8</v>
      </c>
      <c r="BH674" s="27" t="s">
        <v>7</v>
      </c>
      <c r="BM674" s="27" t="s">
        <v>8</v>
      </c>
      <c r="BN674" s="27" t="s">
        <v>7</v>
      </c>
      <c r="BO674" s="27" t="s">
        <v>8</v>
      </c>
      <c r="BP674" s="27" t="s">
        <v>7</v>
      </c>
      <c r="BQ674" s="27" t="s">
        <v>8</v>
      </c>
      <c r="BR674" s="27" t="s">
        <v>7</v>
      </c>
      <c r="BS674" s="27" t="s">
        <v>8</v>
      </c>
      <c r="BT674" s="27" t="s">
        <v>7</v>
      </c>
      <c r="BU674" s="27" t="s">
        <v>8</v>
      </c>
      <c r="BV674" s="27" t="s">
        <v>7</v>
      </c>
      <c r="BW674" s="27" t="s">
        <v>8</v>
      </c>
      <c r="FD674" s="27" t="s">
        <v>7</v>
      </c>
      <c r="FE674" s="27" t="s">
        <v>8</v>
      </c>
    </row>
    <row r="675" spans="1:168" x14ac:dyDescent="0.25">
      <c r="A675" s="7">
        <v>0.17505917802766208</v>
      </c>
      <c r="B675"/>
      <c r="C675"/>
      <c r="D675"/>
      <c r="E675"/>
      <c r="AP675" s="27" t="s">
        <v>7</v>
      </c>
      <c r="AQ675" s="27" t="s">
        <v>8</v>
      </c>
      <c r="BD675" s="27" t="s">
        <v>7</v>
      </c>
      <c r="BG675" s="27" t="s">
        <v>8</v>
      </c>
      <c r="BH675" s="27" t="s">
        <v>7</v>
      </c>
      <c r="BM675" s="27" t="s">
        <v>8</v>
      </c>
      <c r="BN675" s="27" t="s">
        <v>7</v>
      </c>
      <c r="BO675" s="27" t="s">
        <v>8</v>
      </c>
      <c r="BP675" s="27" t="s">
        <v>7</v>
      </c>
      <c r="BQ675" s="27" t="s">
        <v>8</v>
      </c>
      <c r="BR675" s="27" t="s">
        <v>7</v>
      </c>
      <c r="BS675" s="27" t="s">
        <v>8</v>
      </c>
      <c r="BT675" s="27" t="s">
        <v>7</v>
      </c>
      <c r="BU675" s="27" t="s">
        <v>8</v>
      </c>
      <c r="BV675" s="27" t="s">
        <v>7</v>
      </c>
      <c r="BW675" s="27" t="s">
        <v>8</v>
      </c>
      <c r="FD675" s="27" t="s">
        <v>7</v>
      </c>
      <c r="FE675" s="27" t="s">
        <v>8</v>
      </c>
      <c r="FF675" s="27" t="s">
        <v>7</v>
      </c>
      <c r="FI675" s="27" t="s">
        <v>8</v>
      </c>
    </row>
    <row r="676" spans="1:168" x14ac:dyDescent="0.25">
      <c r="A676" s="7">
        <v>0.17162664512515888</v>
      </c>
      <c r="B676"/>
      <c r="C676"/>
      <c r="D676"/>
      <c r="E676"/>
      <c r="AP676" s="27" t="s">
        <v>7</v>
      </c>
      <c r="AQ676" s="27" t="s">
        <v>8</v>
      </c>
      <c r="BD676" s="27" t="s">
        <v>7</v>
      </c>
      <c r="BG676" s="27" t="s">
        <v>8</v>
      </c>
      <c r="BH676" s="27" t="s">
        <v>7</v>
      </c>
      <c r="BK676" s="27" t="s">
        <v>8</v>
      </c>
      <c r="BM676" s="27" t="s">
        <v>8</v>
      </c>
      <c r="BN676" s="27" t="s">
        <v>7</v>
      </c>
      <c r="BO676" s="27" t="s">
        <v>8</v>
      </c>
      <c r="BP676" s="27" t="s">
        <v>7</v>
      </c>
      <c r="BQ676" s="27" t="s">
        <v>8</v>
      </c>
      <c r="BR676" s="27" t="s">
        <v>7</v>
      </c>
      <c r="BS676" s="27" t="s">
        <v>8</v>
      </c>
      <c r="BT676" s="27" t="s">
        <v>7</v>
      </c>
      <c r="BU676" s="27" t="s">
        <v>8</v>
      </c>
      <c r="BV676" s="27" t="s">
        <v>7</v>
      </c>
      <c r="BW676" s="27" t="s">
        <v>8</v>
      </c>
      <c r="FD676" s="27" t="s">
        <v>7</v>
      </c>
      <c r="FE676" s="27" t="s">
        <v>8</v>
      </c>
      <c r="FF676" s="27" t="s">
        <v>7</v>
      </c>
      <c r="FI676" s="27" t="s">
        <v>8</v>
      </c>
      <c r="FJ676" s="27" t="s">
        <v>7</v>
      </c>
    </row>
    <row r="677" spans="1:168" x14ac:dyDescent="0.25">
      <c r="A677" s="7">
        <v>0.16826141678937145</v>
      </c>
      <c r="B677"/>
      <c r="C677"/>
      <c r="D677"/>
      <c r="E677"/>
      <c r="AP677" s="27" t="s">
        <v>7</v>
      </c>
      <c r="AQ677" s="27" t="s">
        <v>8</v>
      </c>
      <c r="BD677" s="27" t="s">
        <v>7</v>
      </c>
      <c r="BG677" s="27" t="s">
        <v>8</v>
      </c>
      <c r="BH677" s="27" t="s">
        <v>7</v>
      </c>
      <c r="BI677" s="27" t="s">
        <v>8</v>
      </c>
      <c r="BK677" s="27" t="s">
        <v>8</v>
      </c>
      <c r="BL677" s="27" t="s">
        <v>7</v>
      </c>
      <c r="BM677" s="27" t="s">
        <v>8</v>
      </c>
      <c r="BN677" s="27" t="s">
        <v>7</v>
      </c>
      <c r="BO677" s="27" t="s">
        <v>8</v>
      </c>
      <c r="BP677" s="27" t="s">
        <v>7</v>
      </c>
      <c r="BR677" s="27" t="s">
        <v>7</v>
      </c>
      <c r="BS677" s="27" t="s">
        <v>8</v>
      </c>
      <c r="BT677" s="27" t="s">
        <v>7</v>
      </c>
      <c r="BU677" s="27" t="s">
        <v>8</v>
      </c>
      <c r="BV677" s="27" t="s">
        <v>7</v>
      </c>
      <c r="FD677" s="27" t="s">
        <v>7</v>
      </c>
      <c r="FE677" s="27" t="s">
        <v>8</v>
      </c>
      <c r="FF677" s="27" t="s">
        <v>7</v>
      </c>
      <c r="FI677" s="27" t="s">
        <v>8</v>
      </c>
      <c r="FJ677" s="27" t="s">
        <v>7</v>
      </c>
      <c r="FK677" s="27" t="s">
        <v>8</v>
      </c>
    </row>
    <row r="678" spans="1:168" x14ac:dyDescent="0.25">
      <c r="A678" s="7">
        <v>0.16496217332291319</v>
      </c>
      <c r="B678"/>
      <c r="C678"/>
      <c r="D678"/>
      <c r="E678"/>
      <c r="AP678" s="27" t="s">
        <v>7</v>
      </c>
      <c r="AQ678" s="27" t="s">
        <v>8</v>
      </c>
      <c r="BD678" s="27" t="s">
        <v>7</v>
      </c>
      <c r="BE678" s="27" t="s">
        <v>8</v>
      </c>
      <c r="BG678" s="27" t="s">
        <v>8</v>
      </c>
      <c r="BH678" s="27" t="s">
        <v>7</v>
      </c>
      <c r="BI678" s="27" t="s">
        <v>8</v>
      </c>
      <c r="BJ678" s="27" t="s">
        <v>7</v>
      </c>
      <c r="BK678" s="27" t="s">
        <v>8</v>
      </c>
      <c r="BL678" s="27" t="s">
        <v>7</v>
      </c>
      <c r="BM678" s="27" t="s">
        <v>8</v>
      </c>
      <c r="BN678" s="27" t="s">
        <v>7</v>
      </c>
      <c r="BO678" s="27" t="s">
        <v>8</v>
      </c>
      <c r="BR678" s="27" t="s">
        <v>7</v>
      </c>
      <c r="BS678" s="27" t="s">
        <v>8</v>
      </c>
      <c r="BT678" s="27" t="s">
        <v>7</v>
      </c>
      <c r="BU678" s="27" t="s">
        <v>8</v>
      </c>
      <c r="FD678" s="27" t="s">
        <v>7</v>
      </c>
      <c r="FE678" s="27" t="s">
        <v>8</v>
      </c>
      <c r="FF678" s="27" t="s">
        <v>7</v>
      </c>
      <c r="FI678" s="27" t="s">
        <v>8</v>
      </c>
      <c r="FJ678" s="27" t="s">
        <v>7</v>
      </c>
      <c r="FK678" s="27" t="s">
        <v>8</v>
      </c>
      <c r="FL678" s="27" t="s">
        <v>7</v>
      </c>
    </row>
    <row r="679" spans="1:168" x14ac:dyDescent="0.25">
      <c r="A679" s="7">
        <v>0.16172762090481685</v>
      </c>
      <c r="B679"/>
      <c r="C679"/>
      <c r="D679"/>
      <c r="E679"/>
      <c r="AP679" s="27" t="s">
        <v>7</v>
      </c>
      <c r="AQ679" s="27" t="s">
        <v>8</v>
      </c>
      <c r="BD679" s="27" t="s">
        <v>7</v>
      </c>
      <c r="BE679" s="27" t="s">
        <v>8</v>
      </c>
      <c r="BF679" s="27" t="s">
        <v>7</v>
      </c>
      <c r="BG679" s="27" t="s">
        <v>8</v>
      </c>
      <c r="BH679" s="27" t="s">
        <v>7</v>
      </c>
      <c r="BI679" s="27" t="s">
        <v>8</v>
      </c>
      <c r="BJ679" s="27" t="s">
        <v>7</v>
      </c>
      <c r="BK679" s="27" t="s">
        <v>8</v>
      </c>
      <c r="BL679" s="27" t="s">
        <v>7</v>
      </c>
      <c r="BN679" s="27" t="s">
        <v>7</v>
      </c>
      <c r="BO679" s="27" t="s">
        <v>8</v>
      </c>
      <c r="BR679" s="27" t="s">
        <v>7</v>
      </c>
      <c r="BS679" s="27" t="s">
        <v>8</v>
      </c>
      <c r="BT679" s="27" t="s">
        <v>7</v>
      </c>
      <c r="BU679" s="27" t="s">
        <v>8</v>
      </c>
      <c r="FD679" s="27" t="s">
        <v>7</v>
      </c>
      <c r="FE679" s="27" t="s">
        <v>8</v>
      </c>
      <c r="FF679" s="27" t="s">
        <v>7</v>
      </c>
      <c r="FG679" s="27" t="s">
        <v>8</v>
      </c>
      <c r="FI679" s="27" t="s">
        <v>8</v>
      </c>
      <c r="FJ679" s="27" t="s">
        <v>7</v>
      </c>
      <c r="FK679" s="27" t="s">
        <v>8</v>
      </c>
      <c r="FL679" s="27" t="s">
        <v>7</v>
      </c>
    </row>
    <row r="680" spans="1:168" x14ac:dyDescent="0.25">
      <c r="A680" s="7">
        <v>0.15855649108315376</v>
      </c>
      <c r="B680"/>
      <c r="C680"/>
      <c r="D680"/>
      <c r="E680"/>
      <c r="AP680" s="27" t="s">
        <v>7</v>
      </c>
      <c r="AQ680" s="27" t="s">
        <v>8</v>
      </c>
      <c r="BD680" s="27" t="s">
        <v>7</v>
      </c>
      <c r="BE680" s="27" t="s">
        <v>8</v>
      </c>
      <c r="BF680" s="27" t="s">
        <v>7</v>
      </c>
      <c r="BG680" s="27" t="s">
        <v>8</v>
      </c>
      <c r="BH680" s="27" t="s">
        <v>7</v>
      </c>
      <c r="BI680" s="27" t="s">
        <v>8</v>
      </c>
      <c r="BJ680" s="27" t="s">
        <v>7</v>
      </c>
      <c r="BK680" s="27" t="s">
        <v>8</v>
      </c>
      <c r="BN680" s="27" t="s">
        <v>7</v>
      </c>
      <c r="BO680" s="27" t="s">
        <v>8</v>
      </c>
      <c r="BR680" s="27" t="s">
        <v>7</v>
      </c>
      <c r="BS680" s="27" t="s">
        <v>8</v>
      </c>
      <c r="BT680" s="27" t="s">
        <v>7</v>
      </c>
      <c r="BU680" s="27" t="s">
        <v>8</v>
      </c>
      <c r="FD680" s="27" t="s">
        <v>7</v>
      </c>
      <c r="FE680" s="27" t="s">
        <v>8</v>
      </c>
      <c r="FF680" s="27" t="s">
        <v>7</v>
      </c>
      <c r="FG680" s="27" t="s">
        <v>8</v>
      </c>
      <c r="FH680" s="27" t="s">
        <v>7</v>
      </c>
      <c r="FI680" s="27" t="s">
        <v>8</v>
      </c>
      <c r="FJ680" s="27" t="s">
        <v>7</v>
      </c>
      <c r="FK680" s="27" t="s">
        <v>8</v>
      </c>
      <c r="FL680" s="27" t="s">
        <v>7</v>
      </c>
    </row>
    <row r="681" spans="1:168" x14ac:dyDescent="0.25">
      <c r="A681" s="7">
        <v>0.15544754027760171</v>
      </c>
      <c r="B681"/>
      <c r="C681"/>
      <c r="D681"/>
      <c r="E681"/>
      <c r="AP681" s="27" t="s">
        <v>7</v>
      </c>
      <c r="AQ681" s="27" t="s">
        <v>8</v>
      </c>
      <c r="BD681" s="27" t="s">
        <v>7</v>
      </c>
      <c r="BE681" s="27" t="s">
        <v>8</v>
      </c>
      <c r="BF681" s="27" t="s">
        <v>7</v>
      </c>
      <c r="BG681" s="27" t="s">
        <v>8</v>
      </c>
      <c r="BH681" s="27" t="s">
        <v>7</v>
      </c>
      <c r="BI681" s="27" t="s">
        <v>8</v>
      </c>
      <c r="BJ681" s="27" t="s">
        <v>7</v>
      </c>
      <c r="BN681" s="27" t="s">
        <v>7</v>
      </c>
      <c r="BO681" s="27" t="s">
        <v>8</v>
      </c>
      <c r="BR681" s="27" t="s">
        <v>7</v>
      </c>
      <c r="BS681" s="27" t="s">
        <v>8</v>
      </c>
      <c r="BT681" s="27" t="s">
        <v>7</v>
      </c>
      <c r="BU681" s="27" t="s">
        <v>8</v>
      </c>
      <c r="FD681" s="27" t="s">
        <v>7</v>
      </c>
      <c r="FF681" s="27" t="s">
        <v>7</v>
      </c>
      <c r="FG681" s="27" t="s">
        <v>8</v>
      </c>
      <c r="FH681" s="27" t="s">
        <v>7</v>
      </c>
      <c r="FI681" s="27" t="s">
        <v>8</v>
      </c>
      <c r="FJ681" s="27" t="s">
        <v>7</v>
      </c>
      <c r="FL681" s="27" t="s">
        <v>7</v>
      </c>
    </row>
    <row r="682" spans="1:168" x14ac:dyDescent="0.25">
      <c r="A682" s="7">
        <v>0.15239954929176638</v>
      </c>
      <c r="B682"/>
      <c r="C682"/>
      <c r="D682"/>
      <c r="E682"/>
      <c r="AP682" s="27" t="s">
        <v>7</v>
      </c>
      <c r="AQ682" s="27" t="s">
        <v>8</v>
      </c>
      <c r="BD682" s="27" t="s">
        <v>7</v>
      </c>
      <c r="BE682" s="27" t="s">
        <v>8</v>
      </c>
      <c r="BF682" s="27" t="s">
        <v>7</v>
      </c>
      <c r="BG682" s="27" t="s">
        <v>8</v>
      </c>
      <c r="BH682" s="27" t="s">
        <v>7</v>
      </c>
      <c r="BN682" s="27" t="s">
        <v>7</v>
      </c>
      <c r="BR682" s="27" t="s">
        <v>7</v>
      </c>
      <c r="BS682" s="27" t="s">
        <v>8</v>
      </c>
      <c r="BT682" s="27" t="s">
        <v>7</v>
      </c>
      <c r="FF682" s="27" t="s">
        <v>7</v>
      </c>
      <c r="FG682" s="27" t="s">
        <v>8</v>
      </c>
      <c r="FH682" s="27" t="s">
        <v>7</v>
      </c>
      <c r="FI682" s="27" t="s">
        <v>8</v>
      </c>
      <c r="FL682" s="27" t="s">
        <v>7</v>
      </c>
    </row>
    <row r="683" spans="1:168" x14ac:dyDescent="0.25">
      <c r="A683" s="7">
        <v>0.14941132283506509</v>
      </c>
      <c r="B683"/>
      <c r="C683"/>
      <c r="D683"/>
      <c r="E683"/>
      <c r="AP683" s="27" t="s">
        <v>7</v>
      </c>
      <c r="AQ683" s="27" t="s">
        <v>8</v>
      </c>
      <c r="BD683" s="27" t="s">
        <v>7</v>
      </c>
      <c r="BE683" s="27" t="s">
        <v>8</v>
      </c>
      <c r="BF683" s="27" t="s">
        <v>7</v>
      </c>
      <c r="BG683" s="27" t="s">
        <v>8</v>
      </c>
      <c r="BR683" s="27" t="s">
        <v>7</v>
      </c>
      <c r="BS683" s="27" t="s">
        <v>8</v>
      </c>
      <c r="FF683" s="27" t="s">
        <v>7</v>
      </c>
      <c r="FG683" s="27" t="s">
        <v>8</v>
      </c>
      <c r="FH683" s="27" t="s">
        <v>7</v>
      </c>
      <c r="FL683" s="27" t="s">
        <v>7</v>
      </c>
    </row>
    <row r="684" spans="1:168" x14ac:dyDescent="0.25">
      <c r="A684" s="7">
        <v>0.14648168905398537</v>
      </c>
      <c r="B684"/>
      <c r="C684"/>
      <c r="D684"/>
      <c r="E684"/>
      <c r="AP684" s="27" t="s">
        <v>7</v>
      </c>
      <c r="AQ684" s="27" t="s">
        <v>8</v>
      </c>
      <c r="BD684" s="27" t="s">
        <v>7</v>
      </c>
      <c r="BE684" s="27" t="s">
        <v>8</v>
      </c>
      <c r="BF684" s="27" t="s">
        <v>7</v>
      </c>
      <c r="BG684" s="27" t="s">
        <v>8</v>
      </c>
      <c r="BR684" s="27" t="s">
        <v>7</v>
      </c>
      <c r="BS684" s="27" t="s">
        <v>8</v>
      </c>
      <c r="FF684" s="27" t="s">
        <v>7</v>
      </c>
      <c r="FG684" s="27" t="s">
        <v>8</v>
      </c>
      <c r="FL684" s="27" t="s">
        <v>7</v>
      </c>
    </row>
    <row r="685" spans="1:168" x14ac:dyDescent="0.25">
      <c r="A685" s="7">
        <v>0.14360949907253467</v>
      </c>
      <c r="B685"/>
      <c r="C685"/>
      <c r="D685"/>
      <c r="E685"/>
      <c r="AP685" s="27" t="s">
        <v>7</v>
      </c>
      <c r="AQ685" s="27" t="s">
        <v>8</v>
      </c>
      <c r="BD685" s="27" t="s">
        <v>7</v>
      </c>
      <c r="BE685" s="27" t="s">
        <v>8</v>
      </c>
      <c r="BF685" s="27" t="s">
        <v>7</v>
      </c>
      <c r="BG685" s="27" t="s">
        <v>8</v>
      </c>
      <c r="BR685" s="27" t="s">
        <v>7</v>
      </c>
      <c r="BS685" s="27" t="s">
        <v>8</v>
      </c>
      <c r="FF685" s="27" t="s">
        <v>7</v>
      </c>
      <c r="FL685" s="27" t="s">
        <v>7</v>
      </c>
    </row>
    <row r="686" spans="1:168" x14ac:dyDescent="0.25">
      <c r="A686" s="7">
        <v>0.14079362654170066</v>
      </c>
      <c r="B686"/>
      <c r="C686"/>
      <c r="D686"/>
      <c r="E686"/>
      <c r="AP686" s="27" t="s">
        <v>7</v>
      </c>
      <c r="AQ686" s="27" t="s">
        <v>8</v>
      </c>
      <c r="BD686" s="27" t="s">
        <v>7</v>
      </c>
      <c r="BE686" s="27" t="s">
        <v>8</v>
      </c>
      <c r="BF686" s="27" t="s">
        <v>7</v>
      </c>
      <c r="BG686" s="27" t="s">
        <v>8</v>
      </c>
      <c r="BR686" s="27" t="s">
        <v>7</v>
      </c>
      <c r="BS686" s="27" t="s">
        <v>8</v>
      </c>
      <c r="FL686" s="27" t="s">
        <v>7</v>
      </c>
    </row>
    <row r="687" spans="1:168" x14ac:dyDescent="0.25">
      <c r="A687" s="7">
        <v>0.13803296719774574</v>
      </c>
      <c r="B687"/>
      <c r="C687"/>
      <c r="D687"/>
      <c r="E687"/>
      <c r="AP687" s="27" t="s">
        <v>7</v>
      </c>
      <c r="AQ687" s="27" t="s">
        <v>8</v>
      </c>
      <c r="BD687" s="27" t="s">
        <v>7</v>
      </c>
      <c r="BE687" s="27" t="s">
        <v>8</v>
      </c>
      <c r="BF687" s="27" t="s">
        <v>7</v>
      </c>
      <c r="BR687" s="18" t="s">
        <v>7</v>
      </c>
      <c r="BS687" s="27" t="s">
        <v>8</v>
      </c>
      <c r="FL687" s="27" t="s">
        <v>7</v>
      </c>
    </row>
    <row r="688" spans="1:168" x14ac:dyDescent="0.25">
      <c r="A688" s="7">
        <v>0.1353264384291625</v>
      </c>
      <c r="B688"/>
      <c r="C688"/>
      <c r="D688"/>
      <c r="E688"/>
      <c r="AP688" s="27" t="s">
        <v>7</v>
      </c>
      <c r="AQ688" s="27" t="s">
        <v>8</v>
      </c>
      <c r="BD688" s="27" t="s">
        <v>7</v>
      </c>
      <c r="BR688" s="27" t="s">
        <v>7</v>
      </c>
      <c r="BS688" s="27" t="s">
        <v>8</v>
      </c>
      <c r="FL688" s="27" t="s">
        <v>7</v>
      </c>
    </row>
    <row r="689" spans="1:172" x14ac:dyDescent="0.25">
      <c r="A689" s="7">
        <v>0.13267297885212009</v>
      </c>
      <c r="B689"/>
      <c r="C689"/>
      <c r="D689"/>
      <c r="E689"/>
      <c r="AP689" s="27" t="s">
        <v>7</v>
      </c>
      <c r="AQ689" s="27" t="s">
        <v>8</v>
      </c>
      <c r="BR689" s="27" t="s">
        <v>7</v>
      </c>
      <c r="BS689" s="27" t="s">
        <v>8</v>
      </c>
      <c r="FL689" s="27" t="s">
        <v>7</v>
      </c>
    </row>
    <row r="690" spans="1:172" x14ac:dyDescent="0.25">
      <c r="A690" s="7">
        <v>0.13007154789423539</v>
      </c>
      <c r="B690"/>
      <c r="C690"/>
      <c r="D690"/>
      <c r="E690"/>
      <c r="AP690" s="27" t="s">
        <v>7</v>
      </c>
      <c r="AQ690" s="27" t="s">
        <v>8</v>
      </c>
      <c r="BR690" s="27" t="s">
        <v>7</v>
      </c>
      <c r="BS690" s="27" t="s">
        <v>8</v>
      </c>
      <c r="FL690" s="27" t="s">
        <v>7</v>
      </c>
    </row>
    <row r="691" spans="1:172" x14ac:dyDescent="0.25">
      <c r="A691" s="7">
        <v>0.12752112538650529</v>
      </c>
      <c r="B691"/>
      <c r="C691"/>
      <c r="D691"/>
      <c r="E691"/>
      <c r="AP691" s="27" t="s">
        <v>7</v>
      </c>
      <c r="AQ691" s="27" t="s">
        <v>8</v>
      </c>
      <c r="BR691" s="27" t="s">
        <v>7</v>
      </c>
      <c r="BS691" s="27" t="s">
        <v>8</v>
      </c>
      <c r="FL691" s="27" t="s">
        <v>7</v>
      </c>
    </row>
    <row r="692" spans="1:172" x14ac:dyDescent="0.25">
      <c r="A692" s="7">
        <v>0.12502071116324048</v>
      </c>
      <c r="B692"/>
      <c r="C692"/>
      <c r="D692"/>
      <c r="E692"/>
      <c r="AP692" s="27" t="s">
        <v>7</v>
      </c>
      <c r="BR692" s="27" t="s">
        <v>7</v>
      </c>
      <c r="FL692" s="27" t="s">
        <v>7</v>
      </c>
    </row>
    <row r="693" spans="1:172" x14ac:dyDescent="0.25">
      <c r="A693" s="7">
        <v>0.1225693246698436</v>
      </c>
      <c r="B693"/>
      <c r="C693"/>
      <c r="D693"/>
      <c r="E693"/>
      <c r="FL693" s="27" t="s">
        <v>7</v>
      </c>
    </row>
    <row r="694" spans="1:172" x14ac:dyDescent="0.25">
      <c r="A694" s="7">
        <v>0.12016600457827803</v>
      </c>
      <c r="B694"/>
      <c r="C694"/>
      <c r="D694"/>
      <c r="E694"/>
      <c r="FL694" s="27" t="s">
        <v>7</v>
      </c>
    </row>
    <row r="695" spans="1:172" x14ac:dyDescent="0.25">
      <c r="A695" s="7">
        <v>0.1178098084100765</v>
      </c>
      <c r="B695"/>
      <c r="C695"/>
      <c r="D695"/>
      <c r="E695"/>
      <c r="FL695" s="27" t="s">
        <v>7</v>
      </c>
    </row>
    <row r="696" spans="1:172" x14ac:dyDescent="0.25">
      <c r="A696" s="7">
        <v>0.11549981216674166</v>
      </c>
      <c r="B696"/>
      <c r="C696"/>
      <c r="D696"/>
      <c r="E696"/>
      <c r="FL696" s="27" t="s">
        <v>7</v>
      </c>
    </row>
    <row r="697" spans="1:172" x14ac:dyDescent="0.25">
      <c r="A697" s="7">
        <v>0.11323510996739378</v>
      </c>
      <c r="B697"/>
      <c r="C697"/>
      <c r="D697"/>
      <c r="E697"/>
      <c r="FL697" s="27" t="s">
        <v>7</v>
      </c>
      <c r="FM697" s="27" t="s">
        <v>8</v>
      </c>
    </row>
    <row r="698" spans="1:172" x14ac:dyDescent="0.25">
      <c r="A698" s="7">
        <v>0.11101481369352331</v>
      </c>
      <c r="B698"/>
      <c r="C698"/>
      <c r="D698"/>
      <c r="E698"/>
      <c r="FL698" s="27" t="s">
        <v>7</v>
      </c>
      <c r="FM698" s="27" t="s">
        <v>8</v>
      </c>
      <c r="FN698" s="27" t="s">
        <v>7</v>
      </c>
    </row>
    <row r="699" spans="1:172" x14ac:dyDescent="0.25">
      <c r="A699" s="7">
        <v>0.10883805264070913</v>
      </c>
      <c r="B699"/>
      <c r="C699"/>
      <c r="D699"/>
      <c r="E699"/>
      <c r="FL699" s="27" t="s">
        <v>7</v>
      </c>
      <c r="FM699" s="27" t="s">
        <v>8</v>
      </c>
      <c r="FN699" s="27" t="s">
        <v>7</v>
      </c>
      <c r="FO699" s="27" t="s">
        <v>8</v>
      </c>
    </row>
    <row r="700" spans="1:172" x14ac:dyDescent="0.25">
      <c r="A700" s="7">
        <v>0.10670397317716582</v>
      </c>
      <c r="B700"/>
      <c r="C700"/>
      <c r="D700"/>
      <c r="E700"/>
      <c r="FL700" s="27" t="s">
        <v>7</v>
      </c>
      <c r="FM700" s="27" t="s">
        <v>8</v>
      </c>
      <c r="FN700" s="27" t="s">
        <v>7</v>
      </c>
      <c r="FO700" s="27" t="s">
        <v>8</v>
      </c>
      <c r="FP700" s="27" t="s">
        <v>7</v>
      </c>
    </row>
    <row r="701" spans="1:172" x14ac:dyDescent="0.25">
      <c r="A701" s="7">
        <v>0.1046117384089861</v>
      </c>
      <c r="B701"/>
      <c r="C701"/>
      <c r="D701"/>
      <c r="E701"/>
      <c r="FL701" s="27" t="s">
        <v>7</v>
      </c>
      <c r="FM701" s="27" t="s">
        <v>8</v>
      </c>
      <c r="FN701" s="27" t="s">
        <v>7</v>
      </c>
      <c r="FO701" s="27" t="s">
        <v>8</v>
      </c>
      <c r="FP701" s="27" t="s">
        <v>7</v>
      </c>
    </row>
    <row r="702" spans="1:172" x14ac:dyDescent="0.25">
      <c r="A702" s="7">
        <v>0.10256052785194716</v>
      </c>
      <c r="B702"/>
      <c r="C702"/>
      <c r="D702"/>
      <c r="E702"/>
      <c r="FL702" s="27" t="s">
        <v>7</v>
      </c>
      <c r="FM702" s="27" t="s">
        <v>8</v>
      </c>
      <c r="FN702" s="27" t="s">
        <v>7</v>
      </c>
      <c r="FO702" s="27" t="s">
        <v>8</v>
      </c>
      <c r="FP702" s="27" t="s">
        <v>7</v>
      </c>
    </row>
    <row r="703" spans="1:172" x14ac:dyDescent="0.25">
      <c r="A703" s="7">
        <v>0.10054953710975212</v>
      </c>
      <c r="B703"/>
      <c r="C703"/>
      <c r="D703"/>
      <c r="E703"/>
      <c r="FL703" s="27" t="s">
        <v>7</v>
      </c>
      <c r="FM703" s="27" t="s">
        <v>8</v>
      </c>
      <c r="FN703" s="27" t="s">
        <v>7</v>
      </c>
      <c r="FO703" s="27" t="s">
        <v>8</v>
      </c>
      <c r="FP703" s="27" t="s">
        <v>7</v>
      </c>
    </row>
    <row r="704" spans="1:172" x14ac:dyDescent="0.25">
      <c r="A704" s="7">
        <v>9.8577977558580512E-2</v>
      </c>
      <c r="B704"/>
      <c r="C704"/>
      <c r="D704"/>
      <c r="E704"/>
      <c r="FL704" s="27" t="s">
        <v>7</v>
      </c>
      <c r="FM704" s="27" t="s">
        <v>8</v>
      </c>
      <c r="FN704" s="27" t="s">
        <v>7</v>
      </c>
      <c r="FO704" s="27" t="s">
        <v>8</v>
      </c>
    </row>
    <row r="705" spans="1:171" x14ac:dyDescent="0.25">
      <c r="A705" s="7">
        <v>9.6645076037824032E-2</v>
      </c>
      <c r="B705"/>
      <c r="C705"/>
      <c r="D705"/>
      <c r="E705"/>
      <c r="FL705" s="27" t="s">
        <v>7</v>
      </c>
      <c r="FM705" s="27" t="s">
        <v>8</v>
      </c>
      <c r="FN705" s="27" t="s">
        <v>7</v>
      </c>
      <c r="FO705" s="27" t="s">
        <v>8</v>
      </c>
    </row>
    <row r="706" spans="1:171" x14ac:dyDescent="0.25">
      <c r="A706" s="7">
        <v>9.4750074546886304E-2</v>
      </c>
      <c r="B706"/>
      <c r="C706"/>
      <c r="D706"/>
      <c r="E706"/>
      <c r="FL706" s="27" t="s">
        <v>7</v>
      </c>
      <c r="FM706" s="27" t="s">
        <v>8</v>
      </c>
      <c r="FN706" s="27" t="s">
        <v>7</v>
      </c>
      <c r="FO706" s="27" t="s">
        <v>8</v>
      </c>
    </row>
    <row r="707" spans="1:171" x14ac:dyDescent="0.25">
      <c r="A707" s="7">
        <v>9.2892229947927743E-2</v>
      </c>
      <c r="B707"/>
      <c r="C707"/>
      <c r="D707"/>
      <c r="E707"/>
      <c r="FL707" s="27" t="s">
        <v>7</v>
      </c>
      <c r="FN707" s="27" t="s">
        <v>7</v>
      </c>
      <c r="FO707" s="27" t="s">
        <v>8</v>
      </c>
    </row>
    <row r="708" spans="1:171" x14ac:dyDescent="0.25">
      <c r="A708" s="7">
        <v>9.1070813674438963E-2</v>
      </c>
      <c r="B708"/>
      <c r="C708"/>
      <c r="D708"/>
      <c r="E708"/>
      <c r="FN708" s="27" t="s">
        <v>7</v>
      </c>
    </row>
    <row r="709" spans="1:171" x14ac:dyDescent="0.25">
      <c r="A709" s="7">
        <v>8.9285111445528392E-2</v>
      </c>
      <c r="B709"/>
      <c r="C709"/>
      <c r="D709"/>
      <c r="E709"/>
    </row>
    <row r="710" spans="1:171" x14ac:dyDescent="0.25">
      <c r="A710" s="7">
        <v>8.7534422985812155E-2</v>
      </c>
      <c r="B710"/>
      <c r="C710"/>
      <c r="D710"/>
      <c r="E710"/>
    </row>
    <row r="711" spans="1:171" x14ac:dyDescent="0.25">
      <c r="A711" s="7">
        <v>8.5818061750796232E-2</v>
      </c>
      <c r="B711"/>
      <c r="C711"/>
      <c r="D711"/>
      <c r="E711"/>
    </row>
    <row r="712" spans="1:171" x14ac:dyDescent="0.25">
      <c r="A712" s="7">
        <v>8.4135354657643366E-2</v>
      </c>
      <c r="B712"/>
      <c r="C712"/>
      <c r="D712"/>
      <c r="E712"/>
    </row>
    <row r="713" spans="1:171" x14ac:dyDescent="0.25">
      <c r="A713" s="7">
        <v>8.248564182121898E-2</v>
      </c>
      <c r="B713"/>
      <c r="C713"/>
      <c r="D713"/>
      <c r="E713"/>
    </row>
    <row r="714" spans="1:171" x14ac:dyDescent="0.25">
      <c r="A714" s="7">
        <v>8.0868276295312735E-2</v>
      </c>
      <c r="B714"/>
      <c r="C714"/>
      <c r="D714"/>
      <c r="E714"/>
    </row>
    <row r="715" spans="1:171" x14ac:dyDescent="0.25">
      <c r="A715" s="7">
        <v>7.9282623818934056E-2</v>
      </c>
      <c r="B715"/>
      <c r="C715"/>
      <c r="D715"/>
      <c r="E715"/>
    </row>
    <row r="716" spans="1:171" x14ac:dyDescent="0.25">
      <c r="A716" s="7">
        <v>7.7728062567582412E-2</v>
      </c>
      <c r="B716"/>
      <c r="C716"/>
      <c r="D716"/>
      <c r="E716"/>
    </row>
    <row r="717" spans="1:171" x14ac:dyDescent="0.25">
      <c r="A717" s="7">
        <v>7.6203982909394521E-2</v>
      </c>
      <c r="B717"/>
      <c r="C717"/>
      <c r="D717"/>
      <c r="E717"/>
    </row>
    <row r="718" spans="1:171" x14ac:dyDescent="0.25">
      <c r="A718" s="7">
        <v>7.4709787166073058E-2</v>
      </c>
      <c r="B718"/>
      <c r="C718"/>
      <c r="D718"/>
      <c r="E718"/>
    </row>
    <row r="719" spans="1:171" x14ac:dyDescent="0.25">
      <c r="A719" s="7">
        <v>7.3244889378503E-2</v>
      </c>
      <c r="B719"/>
      <c r="C719"/>
      <c r="D719"/>
      <c r="E719"/>
    </row>
    <row r="720" spans="1:171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17" operator="equal">
      <formula>$U$1</formula>
    </cfRule>
    <cfRule type="cellIs" dxfId="89" priority="718" operator="equal">
      <formula>$S$1</formula>
    </cfRule>
  </conditionalFormatting>
  <conditionalFormatting sqref="D27">
    <cfRule type="cellIs" dxfId="88" priority="715" operator="equal">
      <formula>$S$1</formula>
    </cfRule>
    <cfRule type="cellIs" dxfId="87" priority="716" operator="equal">
      <formula>$U$1</formula>
    </cfRule>
  </conditionalFormatting>
  <conditionalFormatting sqref="C164">
    <cfRule type="cellIs" dxfId="86" priority="713" operator="equal">
      <formula>$U$1</formula>
    </cfRule>
    <cfRule type="cellIs" dxfId="85" priority="714" operator="equal">
      <formula>$S$1</formula>
    </cfRule>
  </conditionalFormatting>
  <conditionalFormatting sqref="D164">
    <cfRule type="cellIs" dxfId="84" priority="711" operator="equal">
      <formula>$S$1</formula>
    </cfRule>
    <cfRule type="cellIs" dxfId="83" priority="712" operator="equal">
      <formula>$U$1</formula>
    </cfRule>
  </conditionalFormatting>
  <conditionalFormatting sqref="C55">
    <cfRule type="cellIs" dxfId="82" priority="709" operator="equal">
      <formula>$U$1</formula>
    </cfRule>
    <cfRule type="cellIs" dxfId="81" priority="710" operator="equal">
      <formula>$S$1</formula>
    </cfRule>
  </conditionalFormatting>
  <conditionalFormatting sqref="D55">
    <cfRule type="cellIs" dxfId="80" priority="707" operator="equal">
      <formula>$S$1</formula>
    </cfRule>
    <cfRule type="cellIs" dxfId="79" priority="708" operator="equal">
      <formula>$U$1</formula>
    </cfRule>
  </conditionalFormatting>
  <conditionalFormatting sqref="C89">
    <cfRule type="cellIs" dxfId="78" priority="705" operator="equal">
      <formula>$U$1</formula>
    </cfRule>
    <cfRule type="cellIs" dxfId="77" priority="706" operator="equal">
      <formula>$S$1</formula>
    </cfRule>
  </conditionalFormatting>
  <conditionalFormatting sqref="D89">
    <cfRule type="cellIs" dxfId="76" priority="703" operator="equal">
      <formula>$S$1</formula>
    </cfRule>
    <cfRule type="cellIs" dxfId="75" priority="704" operator="equal">
      <formula>$U$1</formula>
    </cfRule>
  </conditionalFormatting>
  <conditionalFormatting sqref="C136">
    <cfRule type="cellIs" dxfId="74" priority="701" operator="equal">
      <formula>$U$1</formula>
    </cfRule>
    <cfRule type="cellIs" dxfId="73" priority="702" operator="equal">
      <formula>$S$1</formula>
    </cfRule>
  </conditionalFormatting>
  <conditionalFormatting sqref="D136">
    <cfRule type="cellIs" dxfId="72" priority="699" operator="equal">
      <formula>$S$1</formula>
    </cfRule>
    <cfRule type="cellIs" dxfId="71" priority="700" operator="equal">
      <formula>$U$1</formula>
    </cfRule>
  </conditionalFormatting>
  <conditionalFormatting sqref="C1">
    <cfRule type="cellIs" dxfId="70" priority="698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DA286" sqref="DA286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$A$285</v>
      </c>
      <c r="D111" s="1" t="str">
        <f>ADDRESS(C121-1,D121,1,1)</f>
        <v>$DA$285</v>
      </c>
      <c r="E111"/>
    </row>
    <row r="112" spans="1:5" x14ac:dyDescent="0.25">
      <c r="A112" s="30">
        <v>515.50191262726139</v>
      </c>
      <c r="C112" s="1" t="str">
        <f>ADDRESS(C121,1,1,1)</f>
        <v>$A$286</v>
      </c>
      <c r="D112" s="1" t="str">
        <f>ADDRESS(C121,D121-1,1,1)</f>
        <v>$CZ$286</v>
      </c>
      <c r="E112"/>
    </row>
    <row r="113" spans="1:5" x14ac:dyDescent="0.25">
      <c r="A113" s="30">
        <v>490.95420250215363</v>
      </c>
      <c r="C113" s="1" t="str">
        <f>ADDRESS(C121+1,1,1,1)</f>
        <v>$A$287</v>
      </c>
      <c r="D113" s="1" t="str">
        <f>ADDRESS(C121-1,D121+1,1,1)</f>
        <v>$DB$285</v>
      </c>
    </row>
    <row r="114" spans="1:5" x14ac:dyDescent="0.25">
      <c r="A114" s="30">
        <v>467.57543095443202</v>
      </c>
      <c r="C114" s="1" t="str">
        <f>ADDRESS(C121,D121,1,1)</f>
        <v>$DA$286</v>
      </c>
      <c r="D114" s="1" t="str">
        <f>ADDRESS(C121+1,D121+1,1,1)</f>
        <v>$DB$287</v>
      </c>
    </row>
    <row r="115" spans="1:5" x14ac:dyDescent="0.25">
      <c r="A115" s="30">
        <v>445.30993424231622</v>
      </c>
      <c r="C115" s="1" t="str">
        <f>ADDRESS(C121+1,D121,1,1)</f>
        <v>$DA$287</v>
      </c>
    </row>
    <row r="116" spans="1:5" x14ac:dyDescent="0.25">
      <c r="A116" s="30">
        <v>424.10469927839637</v>
      </c>
      <c r="C116" s="1">
        <f>C117-1</f>
        <v>285</v>
      </c>
    </row>
    <row r="117" spans="1:5" x14ac:dyDescent="0.25">
      <c r="A117" s="30">
        <v>403.9092374079965</v>
      </c>
      <c r="C117" s="1">
        <f>C121</f>
        <v>286</v>
      </c>
      <c r="D117" s="1">
        <f>D121</f>
        <v>105</v>
      </c>
    </row>
    <row r="118" spans="1:5" x14ac:dyDescent="0.25">
      <c r="A118" s="30">
        <v>384.6754641980919</v>
      </c>
      <c r="C118" s="1">
        <f>C117+1</f>
        <v>287</v>
      </c>
      <c r="D118" s="1">
        <f>D117+1</f>
        <v>106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286</v>
      </c>
      <c r="D121" s="19">
        <v>105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R286</v>
      </c>
      <c r="D123" s="1" t="str">
        <f>"C"&amp;D121</f>
        <v>C105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0.10599667515822032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91" x14ac:dyDescent="0.25">
      <c r="A241" s="30">
        <v>0.952380952380952</v>
      </c>
      <c r="B241"/>
      <c r="C241"/>
      <c r="D241"/>
      <c r="E241"/>
      <c r="F241" s="27" t="s">
        <v>7</v>
      </c>
      <c r="O241" s="27" t="s">
        <v>8</v>
      </c>
    </row>
    <row r="242" spans="1:91" x14ac:dyDescent="0.25">
      <c r="A242" s="30">
        <v>0.90702947845804915</v>
      </c>
      <c r="B242"/>
      <c r="C242"/>
      <c r="D242"/>
      <c r="E242"/>
      <c r="F242" s="27" t="s">
        <v>7</v>
      </c>
      <c r="O242" s="27" t="s">
        <v>8</v>
      </c>
      <c r="P242" s="27" t="s">
        <v>7</v>
      </c>
      <c r="Q242" s="27" t="s">
        <v>8</v>
      </c>
    </row>
    <row r="243" spans="1:91" x14ac:dyDescent="0.25">
      <c r="A243" s="30">
        <v>0.86383759853147501</v>
      </c>
      <c r="B243"/>
      <c r="C243"/>
      <c r="D243"/>
      <c r="E243"/>
      <c r="F243" s="27" t="s">
        <v>7</v>
      </c>
      <c r="K243" s="27" t="s">
        <v>8</v>
      </c>
      <c r="O243" s="27" t="s">
        <v>8</v>
      </c>
      <c r="P243" s="27" t="s">
        <v>7</v>
      </c>
      <c r="Q243" s="27" t="s">
        <v>8</v>
      </c>
      <c r="R243" s="27" t="s">
        <v>7</v>
      </c>
    </row>
    <row r="244" spans="1:91" x14ac:dyDescent="0.25">
      <c r="A244" s="30">
        <v>0.82270247479188063</v>
      </c>
      <c r="B244"/>
      <c r="C244"/>
      <c r="D244"/>
      <c r="E244"/>
      <c r="F244" s="27" t="s">
        <v>7</v>
      </c>
      <c r="G244" s="27" t="s">
        <v>8</v>
      </c>
      <c r="K244" s="27" t="s">
        <v>8</v>
      </c>
      <c r="L244" s="27" t="s">
        <v>7</v>
      </c>
      <c r="O244" s="27" t="s">
        <v>8</v>
      </c>
      <c r="P244" s="27" t="s">
        <v>7</v>
      </c>
      <c r="Q244" s="27" t="s">
        <v>8</v>
      </c>
      <c r="R244" s="27" t="s">
        <v>7</v>
      </c>
      <c r="S244" s="27" t="s">
        <v>8</v>
      </c>
    </row>
    <row r="245" spans="1:91" x14ac:dyDescent="0.25">
      <c r="A245" s="30">
        <v>0.78352616646845741</v>
      </c>
      <c r="B245"/>
      <c r="C245"/>
      <c r="D245"/>
      <c r="E245"/>
      <c r="F245" s="27" t="s">
        <v>7</v>
      </c>
      <c r="G245" s="27" t="s">
        <v>8</v>
      </c>
      <c r="H245" s="27" t="s">
        <v>7</v>
      </c>
      <c r="K245" s="27" t="s">
        <v>8</v>
      </c>
      <c r="L245" s="27" t="s">
        <v>7</v>
      </c>
      <c r="O245" s="27" t="s">
        <v>8</v>
      </c>
      <c r="P245" s="27" t="s">
        <v>7</v>
      </c>
      <c r="R245" s="27" t="s">
        <v>7</v>
      </c>
      <c r="S245" s="27" t="s">
        <v>8</v>
      </c>
      <c r="T245" s="27" t="s">
        <v>7</v>
      </c>
    </row>
    <row r="246" spans="1:91" x14ac:dyDescent="0.25">
      <c r="A246" s="30">
        <v>0.74621539663662584</v>
      </c>
      <c r="B246"/>
      <c r="C246"/>
      <c r="D246"/>
      <c r="E246"/>
      <c r="F246" s="27" t="s">
        <v>7</v>
      </c>
      <c r="G246" s="27" t="s">
        <v>8</v>
      </c>
      <c r="H246" s="27" t="s">
        <v>7</v>
      </c>
      <c r="I246" s="27" t="s">
        <v>8</v>
      </c>
      <c r="K246" s="27" t="s">
        <v>8</v>
      </c>
      <c r="L246" s="27" t="s">
        <v>7</v>
      </c>
      <c r="O246" s="27" t="s">
        <v>8</v>
      </c>
      <c r="R246" s="27" t="s">
        <v>7</v>
      </c>
      <c r="S246" s="27" t="s">
        <v>8</v>
      </c>
      <c r="T246" s="27" t="s">
        <v>7</v>
      </c>
    </row>
    <row r="247" spans="1:91" x14ac:dyDescent="0.25">
      <c r="A247" s="30">
        <v>0.71068133013011958</v>
      </c>
      <c r="B247"/>
      <c r="C247"/>
      <c r="D247"/>
      <c r="E247"/>
      <c r="F247" s="27" t="s">
        <v>7</v>
      </c>
      <c r="G247" s="27" t="s">
        <v>8</v>
      </c>
      <c r="H247" s="27" t="s">
        <v>7</v>
      </c>
      <c r="I247" s="27" t="s">
        <v>8</v>
      </c>
      <c r="J247" s="27" t="s">
        <v>7</v>
      </c>
      <c r="K247" s="27" t="s">
        <v>8</v>
      </c>
      <c r="L247" s="27" t="s">
        <v>7</v>
      </c>
      <c r="M247" s="27" t="s">
        <v>8</v>
      </c>
      <c r="O247" s="27" t="s">
        <v>8</v>
      </c>
      <c r="R247" s="27" t="s">
        <v>7</v>
      </c>
      <c r="T247" s="27" t="s">
        <v>7</v>
      </c>
    </row>
    <row r="248" spans="1:91" x14ac:dyDescent="0.25">
      <c r="A248" s="30">
        <v>0.676839362028685</v>
      </c>
      <c r="B248"/>
      <c r="C248"/>
      <c r="D248"/>
      <c r="E248"/>
      <c r="F248" s="27" t="s">
        <v>7</v>
      </c>
      <c r="G248" s="27" t="s">
        <v>8</v>
      </c>
      <c r="H248" s="27" t="s">
        <v>7</v>
      </c>
      <c r="I248" s="27" t="s">
        <v>8</v>
      </c>
      <c r="J248" s="27" t="s">
        <v>7</v>
      </c>
      <c r="K248" s="27" t="s">
        <v>8</v>
      </c>
      <c r="L248" s="27" t="s">
        <v>7</v>
      </c>
      <c r="M248" s="27" t="s">
        <v>8</v>
      </c>
      <c r="N248" s="27" t="s">
        <v>7</v>
      </c>
      <c r="O248" s="27" t="s">
        <v>8</v>
      </c>
      <c r="T248" s="27" t="s">
        <v>7</v>
      </c>
      <c r="AA248" s="27" t="s">
        <v>8</v>
      </c>
      <c r="AC248" s="27" t="s">
        <v>8</v>
      </c>
    </row>
    <row r="249" spans="1:91" x14ac:dyDescent="0.25">
      <c r="A249" s="30">
        <v>0.64460891621779492</v>
      </c>
      <c r="B249"/>
      <c r="C249"/>
      <c r="D249"/>
      <c r="E249"/>
      <c r="F249" s="27" t="s">
        <v>7</v>
      </c>
      <c r="G249" s="27" t="s">
        <v>8</v>
      </c>
      <c r="H249" s="27" t="s">
        <v>7</v>
      </c>
      <c r="I249" s="27" t="s">
        <v>8</v>
      </c>
      <c r="J249" s="27" t="s">
        <v>7</v>
      </c>
      <c r="L249" s="27" t="s">
        <v>7</v>
      </c>
      <c r="M249" s="27" t="s">
        <v>8</v>
      </c>
      <c r="N249" s="27" t="s">
        <v>7</v>
      </c>
      <c r="O249" s="27" t="s">
        <v>8</v>
      </c>
      <c r="T249" s="27" t="s">
        <v>7</v>
      </c>
      <c r="U249" s="27" t="s">
        <v>8</v>
      </c>
      <c r="AA249" s="27" t="s">
        <v>8</v>
      </c>
      <c r="AB249" s="27" t="s">
        <v>7</v>
      </c>
      <c r="AC249" s="27" t="s">
        <v>8</v>
      </c>
      <c r="AD249" s="27" t="s">
        <v>7</v>
      </c>
    </row>
    <row r="250" spans="1:91" x14ac:dyDescent="0.25">
      <c r="A250" s="30">
        <v>0.61391325354075688</v>
      </c>
      <c r="B250"/>
      <c r="C250"/>
      <c r="D250"/>
      <c r="E250"/>
      <c r="F250" s="27" t="s">
        <v>7</v>
      </c>
      <c r="G250" s="27" t="s">
        <v>8</v>
      </c>
      <c r="H250" s="27" t="s">
        <v>7</v>
      </c>
      <c r="I250" s="27" t="s">
        <v>8</v>
      </c>
      <c r="L250" s="27" t="s">
        <v>7</v>
      </c>
      <c r="N250" s="27" t="s">
        <v>7</v>
      </c>
      <c r="T250" s="27" t="s">
        <v>7</v>
      </c>
      <c r="U250" s="27" t="s">
        <v>8</v>
      </c>
      <c r="V250" s="27" t="s">
        <v>7</v>
      </c>
      <c r="W250" s="27" t="s">
        <v>8</v>
      </c>
      <c r="AA250" s="27" t="s">
        <v>8</v>
      </c>
      <c r="AB250" s="27" t="s">
        <v>7</v>
      </c>
      <c r="AC250" s="27" t="s">
        <v>8</v>
      </c>
      <c r="AD250" s="27" t="s">
        <v>7</v>
      </c>
    </row>
    <row r="251" spans="1:91" x14ac:dyDescent="0.25">
      <c r="A251" s="30">
        <v>0.58467928908643485</v>
      </c>
      <c r="B251"/>
      <c r="C251"/>
      <c r="D251"/>
      <c r="E251"/>
      <c r="F251" s="27" t="s">
        <v>7</v>
      </c>
      <c r="G251" s="27" t="s">
        <v>8</v>
      </c>
      <c r="H251" s="27" t="s">
        <v>7</v>
      </c>
      <c r="I251" s="27" t="s">
        <v>8</v>
      </c>
      <c r="T251" s="27" t="s">
        <v>7</v>
      </c>
      <c r="U251" s="27" t="s">
        <v>8</v>
      </c>
      <c r="V251" s="27" t="s">
        <v>7</v>
      </c>
      <c r="W251" s="27" t="s">
        <v>8</v>
      </c>
      <c r="X251" s="27" t="s">
        <v>7</v>
      </c>
      <c r="AA251" s="27" t="s">
        <v>8</v>
      </c>
      <c r="AB251" s="27" t="s">
        <v>7</v>
      </c>
      <c r="AD251" s="27" t="s">
        <v>7</v>
      </c>
    </row>
    <row r="252" spans="1:91" x14ac:dyDescent="0.25">
      <c r="A252" s="30">
        <v>0.55683741817755672</v>
      </c>
      <c r="B252"/>
      <c r="C252"/>
      <c r="D252"/>
      <c r="E252"/>
      <c r="F252" s="27" t="s">
        <v>7</v>
      </c>
      <c r="G252" s="27" t="s">
        <v>8</v>
      </c>
      <c r="H252" s="27" t="s">
        <v>7</v>
      </c>
      <c r="I252" s="27" t="s">
        <v>8</v>
      </c>
      <c r="T252" s="27" t="s">
        <v>7</v>
      </c>
      <c r="U252" s="27" t="s">
        <v>8</v>
      </c>
      <c r="V252" s="27" t="s">
        <v>7</v>
      </c>
      <c r="W252" s="27" t="s">
        <v>8</v>
      </c>
      <c r="X252" s="27" t="s">
        <v>7</v>
      </c>
      <c r="Y252" s="27" t="s">
        <v>8</v>
      </c>
      <c r="AA252" s="27" t="s">
        <v>8</v>
      </c>
      <c r="AD252" s="27" t="s">
        <v>7</v>
      </c>
      <c r="BQ252" s="27" t="s">
        <v>8</v>
      </c>
    </row>
    <row r="253" spans="1:91" x14ac:dyDescent="0.25">
      <c r="A253" s="30">
        <v>0.53032135064529184</v>
      </c>
      <c r="B253"/>
      <c r="C253"/>
      <c r="D253"/>
      <c r="E253"/>
      <c r="F253" s="27" t="s">
        <v>7</v>
      </c>
      <c r="H253" s="27" t="s">
        <v>7</v>
      </c>
      <c r="T253" s="27" t="s">
        <v>7</v>
      </c>
      <c r="V253" s="27" t="s">
        <v>7</v>
      </c>
      <c r="W253" s="27" t="s">
        <v>8</v>
      </c>
      <c r="X253" s="27" t="s">
        <v>7</v>
      </c>
      <c r="Y253" s="27" t="s">
        <v>8</v>
      </c>
      <c r="Z253" s="27" t="s">
        <v>7</v>
      </c>
      <c r="AA253" s="27" t="s">
        <v>8</v>
      </c>
      <c r="AD253" s="27" t="s">
        <v>7</v>
      </c>
      <c r="BQ253" s="27" t="s">
        <v>8</v>
      </c>
      <c r="BR253" s="27" t="s">
        <v>7</v>
      </c>
    </row>
    <row r="254" spans="1:91" x14ac:dyDescent="0.25">
      <c r="A254" s="30">
        <v>0.50506795299551588</v>
      </c>
      <c r="B254"/>
      <c r="C254"/>
      <c r="D254"/>
      <c r="E254"/>
      <c r="V254" s="27" t="s">
        <v>7</v>
      </c>
      <c r="X254" s="27" t="s">
        <v>7</v>
      </c>
      <c r="Y254" s="27" t="s">
        <v>8</v>
      </c>
      <c r="Z254" s="27" t="s">
        <v>7</v>
      </c>
      <c r="AA254" s="27" t="s">
        <v>8</v>
      </c>
      <c r="AD254" s="27" t="s">
        <v>7</v>
      </c>
      <c r="BQ254" s="27" t="s">
        <v>8</v>
      </c>
      <c r="BR254" s="27" t="s">
        <v>7</v>
      </c>
      <c r="BS254" s="27" t="s">
        <v>8</v>
      </c>
    </row>
    <row r="255" spans="1:91" x14ac:dyDescent="0.25">
      <c r="A255" s="30">
        <v>0.48101709809096732</v>
      </c>
      <c r="E255"/>
      <c r="X255" s="27" t="s">
        <v>7</v>
      </c>
      <c r="Y255" s="27" t="s">
        <v>8</v>
      </c>
      <c r="Z255" s="27" t="s">
        <v>7</v>
      </c>
      <c r="AD255" s="27" t="s">
        <v>7</v>
      </c>
      <c r="AE255" s="27" t="s">
        <v>8</v>
      </c>
      <c r="BO255" s="27" t="s">
        <v>8</v>
      </c>
      <c r="BQ255" s="27" t="s">
        <v>8</v>
      </c>
      <c r="BR255" s="27" t="s">
        <v>7</v>
      </c>
      <c r="BS255" s="27" t="s">
        <v>8</v>
      </c>
      <c r="BT255" s="27" t="s">
        <v>7</v>
      </c>
    </row>
    <row r="256" spans="1:91" x14ac:dyDescent="0.25">
      <c r="A256" s="30">
        <v>0.45811152199139726</v>
      </c>
      <c r="E256"/>
      <c r="X256" s="27" t="s">
        <v>7</v>
      </c>
      <c r="Y256" s="27" t="s">
        <v>8</v>
      </c>
      <c r="AD256" s="27" t="s">
        <v>7</v>
      </c>
      <c r="AE256" s="27" t="s">
        <v>8</v>
      </c>
      <c r="AF256" s="27" t="s">
        <v>7</v>
      </c>
      <c r="AK256" s="27" t="s">
        <v>8</v>
      </c>
      <c r="BO256" s="27" t="s">
        <v>8</v>
      </c>
      <c r="BP256" s="27" t="s">
        <v>7</v>
      </c>
      <c r="BQ256" s="27" t="s">
        <v>8</v>
      </c>
      <c r="BR256" s="27" t="s">
        <v>7</v>
      </c>
      <c r="BS256" s="27" t="s">
        <v>8</v>
      </c>
      <c r="BT256" s="27" t="s">
        <v>7</v>
      </c>
      <c r="CM256" s="27" t="s">
        <v>8</v>
      </c>
    </row>
    <row r="257" spans="1:100" x14ac:dyDescent="0.25">
      <c r="A257" s="30">
        <v>0.43629668761085438</v>
      </c>
      <c r="B257"/>
      <c r="C257"/>
      <c r="D257"/>
      <c r="E257"/>
      <c r="X257" s="27" t="s">
        <v>7</v>
      </c>
      <c r="Y257" s="27" t="s">
        <v>8</v>
      </c>
      <c r="AD257" s="27" t="s">
        <v>7</v>
      </c>
      <c r="AE257" s="27" t="s">
        <v>8</v>
      </c>
      <c r="AF257" s="27" t="s">
        <v>7</v>
      </c>
      <c r="AK257" s="27" t="s">
        <v>8</v>
      </c>
      <c r="AL257" s="27" t="s">
        <v>7</v>
      </c>
      <c r="BO257" s="27" t="s">
        <v>8</v>
      </c>
      <c r="BP257" s="27" t="s">
        <v>7</v>
      </c>
      <c r="BQ257" s="27" t="s">
        <v>8</v>
      </c>
      <c r="BR257" s="27" t="s">
        <v>7</v>
      </c>
      <c r="BS257" s="27" t="s">
        <v>8</v>
      </c>
      <c r="BT257" s="27" t="s">
        <v>7</v>
      </c>
      <c r="BU257" s="27" t="s">
        <v>8</v>
      </c>
      <c r="CM257" s="27" t="s">
        <v>8</v>
      </c>
      <c r="CN257" s="27" t="s">
        <v>7</v>
      </c>
    </row>
    <row r="258" spans="1:100" x14ac:dyDescent="0.25">
      <c r="A258" s="30">
        <v>0.41552065486748019</v>
      </c>
      <c r="B258"/>
      <c r="C258"/>
      <c r="D258"/>
      <c r="E258"/>
      <c r="X258" s="27" t="s">
        <v>7</v>
      </c>
      <c r="Y258" s="27" t="s">
        <v>8</v>
      </c>
      <c r="AD258" s="27" t="s">
        <v>7</v>
      </c>
      <c r="AF258" s="27" t="s">
        <v>7</v>
      </c>
      <c r="AK258" s="27" t="s">
        <v>8</v>
      </c>
      <c r="AL258" s="27" t="s">
        <v>7</v>
      </c>
      <c r="BO258" s="27" t="s">
        <v>8</v>
      </c>
      <c r="BP258" s="27" t="s">
        <v>7</v>
      </c>
      <c r="BQ258" s="27" t="s">
        <v>8</v>
      </c>
      <c r="BR258" s="27" t="s">
        <v>7</v>
      </c>
      <c r="BS258" s="27" t="s">
        <v>8</v>
      </c>
      <c r="BT258" s="27" t="s">
        <v>7</v>
      </c>
      <c r="BU258" s="27" t="s">
        <v>8</v>
      </c>
      <c r="BV258" s="27" t="s">
        <v>7</v>
      </c>
      <c r="CM258" s="27" t="s">
        <v>8</v>
      </c>
      <c r="CN258" s="27" t="s">
        <v>7</v>
      </c>
    </row>
    <row r="259" spans="1:100" x14ac:dyDescent="0.25">
      <c r="A259" s="30">
        <v>0.39573395701664765</v>
      </c>
      <c r="B259"/>
      <c r="C259"/>
      <c r="D259"/>
      <c r="E259"/>
      <c r="X259" s="27" t="s">
        <v>7</v>
      </c>
      <c r="AF259" s="27" t="s">
        <v>7</v>
      </c>
      <c r="AG259" s="27" t="s">
        <v>8</v>
      </c>
      <c r="AK259" s="27" t="s">
        <v>8</v>
      </c>
      <c r="AL259" s="27" t="s">
        <v>7</v>
      </c>
      <c r="BO259" s="27" t="s">
        <v>8</v>
      </c>
      <c r="BP259" s="27" t="s">
        <v>7</v>
      </c>
      <c r="BQ259" s="27" t="s">
        <v>8</v>
      </c>
      <c r="BR259" s="27" t="s">
        <v>7</v>
      </c>
      <c r="BS259" s="27" t="s">
        <v>8</v>
      </c>
      <c r="BT259" s="27" t="s">
        <v>7</v>
      </c>
      <c r="BU259" s="27" t="s">
        <v>8</v>
      </c>
      <c r="BV259" s="27" t="s">
        <v>7</v>
      </c>
      <c r="CM259" s="27" t="s">
        <v>8</v>
      </c>
      <c r="CN259" s="27" t="s">
        <v>7</v>
      </c>
    </row>
    <row r="260" spans="1:100" x14ac:dyDescent="0.25">
      <c r="A260" s="30">
        <v>0.37688948287299762</v>
      </c>
      <c r="B260"/>
      <c r="C260"/>
      <c r="D260"/>
      <c r="E260"/>
      <c r="AF260" s="27" t="s">
        <v>7</v>
      </c>
      <c r="AG260" s="27" t="s">
        <v>8</v>
      </c>
      <c r="AH260" s="27" t="s">
        <v>7</v>
      </c>
      <c r="AK260" s="27" t="s">
        <v>8</v>
      </c>
      <c r="AL260" s="27" t="s">
        <v>7</v>
      </c>
      <c r="BK260" s="27" t="s">
        <v>8</v>
      </c>
      <c r="BO260" s="27" t="s">
        <v>8</v>
      </c>
      <c r="BP260" s="27" t="s">
        <v>7</v>
      </c>
      <c r="BR260" s="27" t="s">
        <v>7</v>
      </c>
      <c r="BS260" s="27" t="s">
        <v>8</v>
      </c>
      <c r="BT260" s="27" t="s">
        <v>7</v>
      </c>
      <c r="BV260" s="27" t="s">
        <v>7</v>
      </c>
      <c r="CM260" s="27" t="s">
        <v>8</v>
      </c>
      <c r="CN260" s="27" t="s">
        <v>7</v>
      </c>
    </row>
    <row r="261" spans="1:100" x14ac:dyDescent="0.25">
      <c r="A261" s="30">
        <v>0.35894236464094997</v>
      </c>
      <c r="B261"/>
      <c r="C261"/>
      <c r="D261"/>
      <c r="E261"/>
      <c r="AF261" s="27" t="s">
        <v>7</v>
      </c>
      <c r="AG261" s="27" t="s">
        <v>8</v>
      </c>
      <c r="AH261" s="27" t="s">
        <v>7</v>
      </c>
      <c r="AK261" s="27" t="s">
        <v>8</v>
      </c>
      <c r="AL261" s="27" t="s">
        <v>7</v>
      </c>
      <c r="BK261" s="27" t="s">
        <v>8</v>
      </c>
      <c r="BL261" s="27" t="s">
        <v>7</v>
      </c>
      <c r="BM261" s="27" t="s">
        <v>8</v>
      </c>
      <c r="BO261" s="27" t="s">
        <v>8</v>
      </c>
      <c r="BR261" s="27" t="s">
        <v>7</v>
      </c>
      <c r="BV261" s="27" t="s">
        <v>7</v>
      </c>
      <c r="CA261" s="27" t="s">
        <v>8</v>
      </c>
      <c r="CE261" s="27" t="s">
        <v>8</v>
      </c>
      <c r="CI261" s="27" t="s">
        <v>8</v>
      </c>
      <c r="CM261" s="27" t="s">
        <v>8</v>
      </c>
      <c r="CN261" s="27" t="s">
        <v>7</v>
      </c>
    </row>
    <row r="262" spans="1:100" x14ac:dyDescent="0.25">
      <c r="A262" s="30">
        <v>0.34184987108661891</v>
      </c>
      <c r="B262"/>
      <c r="C262"/>
      <c r="D262"/>
      <c r="E262"/>
      <c r="AF262" s="27" t="s">
        <v>7</v>
      </c>
      <c r="AG262" s="27" t="s">
        <v>8</v>
      </c>
      <c r="AH262" s="27" t="s">
        <v>7</v>
      </c>
      <c r="AK262" s="27" t="s">
        <v>8</v>
      </c>
      <c r="AL262" s="27" t="s">
        <v>7</v>
      </c>
      <c r="BK262" s="27" t="s">
        <v>8</v>
      </c>
      <c r="BL262" s="27" t="s">
        <v>7</v>
      </c>
      <c r="BM262" s="27" t="s">
        <v>8</v>
      </c>
      <c r="BN262" s="27" t="s">
        <v>7</v>
      </c>
      <c r="BO262" s="27" t="s">
        <v>8</v>
      </c>
      <c r="BV262" s="27" t="s">
        <v>7</v>
      </c>
      <c r="CA262" s="27" t="s">
        <v>8</v>
      </c>
      <c r="CB262" s="27" t="s">
        <v>7</v>
      </c>
      <c r="CC262" s="27" t="s">
        <v>8</v>
      </c>
      <c r="CE262" s="27" t="s">
        <v>8</v>
      </c>
      <c r="CF262" s="27" t="s">
        <v>7</v>
      </c>
      <c r="CI262" s="27" t="s">
        <v>8</v>
      </c>
      <c r="CJ262" s="27" t="s">
        <v>7</v>
      </c>
      <c r="CK262" s="27" t="s">
        <v>8</v>
      </c>
      <c r="CM262" s="27" t="s">
        <v>8</v>
      </c>
      <c r="CN262" s="27" t="s">
        <v>7</v>
      </c>
    </row>
    <row r="263" spans="1:100" x14ac:dyDescent="0.25">
      <c r="A263" s="30">
        <v>0.32557130579677979</v>
      </c>
      <c r="B263"/>
      <c r="C263"/>
      <c r="D263"/>
      <c r="E263"/>
      <c r="AF263" s="27" t="s">
        <v>7</v>
      </c>
      <c r="AG263" s="27" t="s">
        <v>8</v>
      </c>
      <c r="AH263" s="27" t="s">
        <v>7</v>
      </c>
      <c r="AK263" s="27" t="s">
        <v>8</v>
      </c>
      <c r="AL263" s="27" t="s">
        <v>7</v>
      </c>
      <c r="BK263" s="27" t="s">
        <v>8</v>
      </c>
      <c r="BL263" s="27" t="s">
        <v>7</v>
      </c>
      <c r="BM263" s="27" t="s">
        <v>8</v>
      </c>
      <c r="BN263" s="27" t="s">
        <v>7</v>
      </c>
      <c r="BO263" s="27" t="s">
        <v>8</v>
      </c>
      <c r="BV263" s="27" t="s">
        <v>7</v>
      </c>
      <c r="CA263" s="27" t="s">
        <v>8</v>
      </c>
      <c r="CB263" s="27" t="s">
        <v>7</v>
      </c>
      <c r="CC263" s="27" t="s">
        <v>8</v>
      </c>
      <c r="CD263" s="27" t="s">
        <v>7</v>
      </c>
      <c r="CE263" s="27" t="s">
        <v>8</v>
      </c>
      <c r="CF263" s="27" t="s">
        <v>7</v>
      </c>
      <c r="CI263" s="27" t="s">
        <v>8</v>
      </c>
      <c r="CJ263" s="27" t="s">
        <v>7</v>
      </c>
      <c r="CK263" s="27" t="s">
        <v>8</v>
      </c>
      <c r="CL263" s="27" t="s">
        <v>7</v>
      </c>
      <c r="CM263" s="27" t="s">
        <v>8</v>
      </c>
      <c r="CN263" s="27" t="s">
        <v>7</v>
      </c>
      <c r="CO263" s="27" t="s">
        <v>8</v>
      </c>
    </row>
    <row r="264" spans="1:100" x14ac:dyDescent="0.25">
      <c r="A264" s="30">
        <v>0.3100679102826473</v>
      </c>
      <c r="B264"/>
      <c r="C264"/>
      <c r="D264"/>
      <c r="E264"/>
      <c r="AF264" s="27" t="s">
        <v>7</v>
      </c>
      <c r="AG264" s="27" t="s">
        <v>8</v>
      </c>
      <c r="AH264" s="27" t="s">
        <v>7</v>
      </c>
      <c r="AK264" s="27" t="s">
        <v>8</v>
      </c>
      <c r="AL264" s="27" t="s">
        <v>7</v>
      </c>
      <c r="BK264" s="27" t="s">
        <v>8</v>
      </c>
      <c r="BL264" s="27" t="s">
        <v>7</v>
      </c>
      <c r="BM264" s="27" t="s">
        <v>8</v>
      </c>
      <c r="BN264" s="27" t="s">
        <v>7</v>
      </c>
      <c r="BO264" s="27" t="s">
        <v>8</v>
      </c>
      <c r="BV264" s="27" t="s">
        <v>7</v>
      </c>
      <c r="BW264" s="27" t="s">
        <v>8</v>
      </c>
      <c r="BY264" s="27" t="s">
        <v>8</v>
      </c>
      <c r="CA264" s="27" t="s">
        <v>8</v>
      </c>
      <c r="CB264" s="27" t="s">
        <v>7</v>
      </c>
      <c r="CC264" s="27" t="s">
        <v>8</v>
      </c>
      <c r="CD264" s="27" t="s">
        <v>7</v>
      </c>
      <c r="CE264" s="27" t="s">
        <v>8</v>
      </c>
      <c r="CF264" s="27" t="s">
        <v>7</v>
      </c>
      <c r="CG264" s="27" t="s">
        <v>8</v>
      </c>
      <c r="CI264" s="27" t="s">
        <v>8</v>
      </c>
      <c r="CJ264" s="27" t="s">
        <v>7</v>
      </c>
      <c r="CK264" s="27" t="s">
        <v>8</v>
      </c>
      <c r="CL264" s="27" t="s">
        <v>7</v>
      </c>
      <c r="CM264" s="27" t="s">
        <v>8</v>
      </c>
      <c r="CN264" s="27" t="s">
        <v>7</v>
      </c>
      <c r="CO264" s="27" t="s">
        <v>8</v>
      </c>
      <c r="CP264" s="27" t="s">
        <v>7</v>
      </c>
    </row>
    <row r="265" spans="1:100" x14ac:dyDescent="0.25">
      <c r="A265" s="30">
        <v>0.2953027716977592</v>
      </c>
      <c r="B265"/>
      <c r="C265"/>
      <c r="D265"/>
      <c r="E265"/>
      <c r="AF265" s="27" t="s">
        <v>7</v>
      </c>
      <c r="AG265" s="27" t="s">
        <v>8</v>
      </c>
      <c r="AH265" s="27" t="s">
        <v>7</v>
      </c>
      <c r="AK265" s="27" t="s">
        <v>8</v>
      </c>
      <c r="AL265" s="27" t="s">
        <v>7</v>
      </c>
      <c r="AM265" s="27" t="s">
        <v>8</v>
      </c>
      <c r="BI265" s="27" t="s">
        <v>8</v>
      </c>
      <c r="BK265" s="27" t="s">
        <v>8</v>
      </c>
      <c r="BL265" s="27" t="s">
        <v>7</v>
      </c>
      <c r="BM265" s="27" t="s">
        <v>8</v>
      </c>
      <c r="BN265" s="27" t="s">
        <v>7</v>
      </c>
      <c r="BV265" s="27" t="s">
        <v>7</v>
      </c>
      <c r="BW265" s="27" t="s">
        <v>8</v>
      </c>
      <c r="BX265" s="27" t="s">
        <v>7</v>
      </c>
      <c r="BY265" s="27" t="s">
        <v>8</v>
      </c>
      <c r="BZ265" s="27" t="s">
        <v>7</v>
      </c>
      <c r="CA265" s="27" t="s">
        <v>8</v>
      </c>
      <c r="CB265" s="27" t="s">
        <v>7</v>
      </c>
      <c r="CD265" s="27" t="s">
        <v>7</v>
      </c>
      <c r="CE265" s="27" t="s">
        <v>8</v>
      </c>
      <c r="CF265" s="27" t="s">
        <v>7</v>
      </c>
      <c r="CG265" s="27" t="s">
        <v>8</v>
      </c>
      <c r="CH265" s="27" t="s">
        <v>7</v>
      </c>
      <c r="CI265" s="27" t="s">
        <v>8</v>
      </c>
      <c r="CJ265" s="27" t="s">
        <v>7</v>
      </c>
      <c r="CK265" s="27" t="s">
        <v>8</v>
      </c>
      <c r="CL265" s="27" t="s">
        <v>7</v>
      </c>
      <c r="CM265" s="27" t="s">
        <v>8</v>
      </c>
      <c r="CN265" s="27" t="s">
        <v>7</v>
      </c>
      <c r="CO265" s="27" t="s">
        <v>8</v>
      </c>
      <c r="CP265" s="27" t="s">
        <v>7</v>
      </c>
    </row>
    <row r="266" spans="1:100" x14ac:dyDescent="0.25">
      <c r="A266" s="30">
        <v>0.28124073495024676</v>
      </c>
      <c r="B266"/>
      <c r="C266"/>
      <c r="D266"/>
      <c r="E266"/>
      <c r="AF266" s="27" t="s">
        <v>7</v>
      </c>
      <c r="AG266" s="27" t="s">
        <v>8</v>
      </c>
      <c r="AH266" s="27" t="s">
        <v>7</v>
      </c>
      <c r="AI266" s="27" t="s">
        <v>8</v>
      </c>
      <c r="AK266" s="27" t="s">
        <v>8</v>
      </c>
      <c r="AL266" s="27" t="s">
        <v>7</v>
      </c>
      <c r="AM266" s="27" t="s">
        <v>8</v>
      </c>
      <c r="AN266" s="27" t="s">
        <v>7</v>
      </c>
      <c r="BI266" s="27" t="s">
        <v>8</v>
      </c>
      <c r="BJ266" s="27" t="s">
        <v>7</v>
      </c>
      <c r="BK266" s="27" t="s">
        <v>8</v>
      </c>
      <c r="BL266" s="27" t="s">
        <v>7</v>
      </c>
      <c r="BM266" s="27" t="s">
        <v>8</v>
      </c>
      <c r="BV266" s="27" t="s">
        <v>7</v>
      </c>
      <c r="BW266" s="27" t="s">
        <v>8</v>
      </c>
      <c r="BX266" s="27" t="s">
        <v>7</v>
      </c>
      <c r="BY266" s="27" t="s">
        <v>8</v>
      </c>
      <c r="BZ266" s="27" t="s">
        <v>7</v>
      </c>
      <c r="CA266" s="27" t="s">
        <v>8</v>
      </c>
      <c r="CD266" s="27" t="s">
        <v>7</v>
      </c>
      <c r="CE266" s="27" t="s">
        <v>8</v>
      </c>
      <c r="CF266" s="27" t="s">
        <v>7</v>
      </c>
      <c r="CG266" s="27" t="s">
        <v>8</v>
      </c>
      <c r="CH266" s="27" t="s">
        <v>7</v>
      </c>
      <c r="CI266" s="27" t="s">
        <v>8</v>
      </c>
      <c r="CJ266" s="27" t="s">
        <v>7</v>
      </c>
      <c r="CL266" s="27" t="s">
        <v>7</v>
      </c>
      <c r="CN266" s="27" t="s">
        <v>7</v>
      </c>
      <c r="CP266" s="27" t="s">
        <v>7</v>
      </c>
    </row>
    <row r="267" spans="1:100" x14ac:dyDescent="0.25">
      <c r="A267" s="30">
        <v>0.26784831900023492</v>
      </c>
      <c r="B267"/>
      <c r="C267"/>
      <c r="D267"/>
      <c r="E267"/>
      <c r="AF267" s="27" t="s">
        <v>7</v>
      </c>
      <c r="AH267" s="27" t="s">
        <v>7</v>
      </c>
      <c r="AI267" s="27" t="s">
        <v>8</v>
      </c>
      <c r="AJ267" s="27" t="s">
        <v>7</v>
      </c>
      <c r="AK267" s="27" t="s">
        <v>8</v>
      </c>
      <c r="AL267" s="27" t="s">
        <v>7</v>
      </c>
      <c r="AM267" s="27" t="s">
        <v>8</v>
      </c>
      <c r="AN267" s="27" t="s">
        <v>7</v>
      </c>
      <c r="BI267" s="27" t="s">
        <v>8</v>
      </c>
      <c r="BJ267" s="27" t="s">
        <v>7</v>
      </c>
      <c r="BK267" s="27" t="s">
        <v>8</v>
      </c>
      <c r="BL267" s="27" t="s">
        <v>7</v>
      </c>
      <c r="BV267" s="27" t="s">
        <v>7</v>
      </c>
      <c r="BW267" s="27" t="s">
        <v>8</v>
      </c>
      <c r="BX267" s="27" t="s">
        <v>7</v>
      </c>
      <c r="BY267" s="27" t="s">
        <v>8</v>
      </c>
      <c r="BZ267" s="27" t="s">
        <v>7</v>
      </c>
      <c r="CA267" s="27" t="s">
        <v>8</v>
      </c>
      <c r="CD267" s="27" t="s">
        <v>7</v>
      </c>
      <c r="CF267" s="27" t="s">
        <v>7</v>
      </c>
      <c r="CH267" s="27" t="s">
        <v>7</v>
      </c>
      <c r="CP267" s="27" t="s">
        <v>7</v>
      </c>
      <c r="CS267" s="27" t="s">
        <v>8</v>
      </c>
    </row>
    <row r="268" spans="1:100" x14ac:dyDescent="0.25">
      <c r="A268" s="30">
        <v>0.25509363714308075</v>
      </c>
      <c r="B268"/>
      <c r="C268"/>
      <c r="D268"/>
      <c r="E268"/>
      <c r="AH268" s="27" t="s">
        <v>7</v>
      </c>
      <c r="AI268" s="27" t="s">
        <v>8</v>
      </c>
      <c r="AJ268" s="27" t="s">
        <v>7</v>
      </c>
      <c r="AK268" s="27" t="s">
        <v>8</v>
      </c>
      <c r="AL268" s="27" t="s">
        <v>7</v>
      </c>
      <c r="AM268" s="27" t="s">
        <v>8</v>
      </c>
      <c r="AN268" s="27" t="s">
        <v>7</v>
      </c>
      <c r="AO268" s="27" t="s">
        <v>8</v>
      </c>
      <c r="AQ268" s="27" t="s">
        <v>8</v>
      </c>
      <c r="BI268" s="27" t="s">
        <v>8</v>
      </c>
      <c r="BJ268" s="27" t="s">
        <v>7</v>
      </c>
      <c r="BV268" s="27" t="s">
        <v>7</v>
      </c>
      <c r="BX268" s="27" t="s">
        <v>7</v>
      </c>
      <c r="BZ268" s="27" t="s">
        <v>7</v>
      </c>
      <c r="CP268" s="27" t="s">
        <v>7</v>
      </c>
      <c r="CS268" s="27" t="s">
        <v>8</v>
      </c>
      <c r="CT268" s="27" t="s">
        <v>7</v>
      </c>
    </row>
    <row r="269" spans="1:100" x14ac:dyDescent="0.25">
      <c r="A269" s="30">
        <v>0.24294632108864825</v>
      </c>
      <c r="B269"/>
      <c r="C269"/>
      <c r="D269"/>
      <c r="E269"/>
      <c r="AH269" s="27" t="s">
        <v>7</v>
      </c>
      <c r="AI269" s="27" t="s">
        <v>8</v>
      </c>
      <c r="AJ269" s="27" t="s">
        <v>7</v>
      </c>
      <c r="AK269" s="27" t="s">
        <v>8</v>
      </c>
      <c r="AL269" s="27" t="s">
        <v>7</v>
      </c>
      <c r="AM269" s="27" t="s">
        <v>8</v>
      </c>
      <c r="AN269" s="27" t="s">
        <v>7</v>
      </c>
      <c r="AO269" s="27" t="s">
        <v>8</v>
      </c>
      <c r="AP269" s="27" t="s">
        <v>7</v>
      </c>
      <c r="AQ269" s="27" t="s">
        <v>8</v>
      </c>
      <c r="AR269" s="27" t="s">
        <v>7</v>
      </c>
      <c r="BI269" s="27" t="s">
        <v>8</v>
      </c>
      <c r="CP269" s="27" t="s">
        <v>7</v>
      </c>
      <c r="CQ269" s="27" t="s">
        <v>8</v>
      </c>
      <c r="CS269" s="27" t="s">
        <v>8</v>
      </c>
      <c r="CT269" s="27" t="s">
        <v>7</v>
      </c>
    </row>
    <row r="270" spans="1:100" x14ac:dyDescent="0.25">
      <c r="A270" s="30">
        <v>0.23137744865585538</v>
      </c>
      <c r="B270"/>
      <c r="C270"/>
      <c r="D270"/>
      <c r="E270"/>
      <c r="AH270" s="27" t="s">
        <v>7</v>
      </c>
      <c r="AI270" s="27" t="s">
        <v>8</v>
      </c>
      <c r="AJ270" s="27" t="s">
        <v>7</v>
      </c>
      <c r="AK270" s="27" t="s">
        <v>8</v>
      </c>
      <c r="AL270" s="27" t="s">
        <v>7</v>
      </c>
      <c r="AM270" s="27" t="s">
        <v>8</v>
      </c>
      <c r="AN270" s="27" t="s">
        <v>7</v>
      </c>
      <c r="AO270" s="27" t="s">
        <v>8</v>
      </c>
      <c r="AP270" s="27" t="s">
        <v>7</v>
      </c>
      <c r="AQ270" s="27" t="s">
        <v>8</v>
      </c>
      <c r="AR270" s="27" t="s">
        <v>7</v>
      </c>
      <c r="BE270" s="27" t="s">
        <v>8</v>
      </c>
      <c r="BG270" s="27" t="s">
        <v>8</v>
      </c>
      <c r="BI270" s="27" t="s">
        <v>8</v>
      </c>
      <c r="CP270" s="27" t="s">
        <v>7</v>
      </c>
      <c r="CQ270" s="27" t="s">
        <v>8</v>
      </c>
      <c r="CR270" s="27" t="s">
        <v>7</v>
      </c>
      <c r="CS270" s="27" t="s">
        <v>8</v>
      </c>
      <c r="CT270" s="27" t="s">
        <v>7</v>
      </c>
      <c r="CU270" s="27" t="s">
        <v>8</v>
      </c>
    </row>
    <row r="271" spans="1:100" x14ac:dyDescent="0.25">
      <c r="A271" s="30">
        <v>0.22035947491033836</v>
      </c>
      <c r="B271"/>
      <c r="C271"/>
      <c r="D271"/>
      <c r="E271"/>
      <c r="AH271" s="27" t="s">
        <v>7</v>
      </c>
      <c r="AI271" s="27" t="s">
        <v>8</v>
      </c>
      <c r="AJ271" s="27" t="s">
        <v>7</v>
      </c>
      <c r="AK271" s="27" t="s">
        <v>8</v>
      </c>
      <c r="AL271" s="27" t="s">
        <v>7</v>
      </c>
      <c r="AN271" s="27" t="s">
        <v>7</v>
      </c>
      <c r="AO271" s="27" t="s">
        <v>8</v>
      </c>
      <c r="AP271" s="27" t="s">
        <v>7</v>
      </c>
      <c r="AQ271" s="27" t="s">
        <v>8</v>
      </c>
      <c r="AR271" s="27" t="s">
        <v>7</v>
      </c>
      <c r="BE271" s="27" t="s">
        <v>8</v>
      </c>
      <c r="BF271" s="27" t="s">
        <v>7</v>
      </c>
      <c r="BG271" s="27" t="s">
        <v>8</v>
      </c>
      <c r="BH271" s="27" t="s">
        <v>7</v>
      </c>
      <c r="BI271" s="27" t="s">
        <v>8</v>
      </c>
      <c r="CP271" s="27" t="s">
        <v>7</v>
      </c>
      <c r="CQ271" s="27" t="s">
        <v>8</v>
      </c>
      <c r="CR271" s="27" t="s">
        <v>7</v>
      </c>
      <c r="CS271" s="27" t="s">
        <v>8</v>
      </c>
      <c r="CT271" s="27" t="s">
        <v>7</v>
      </c>
      <c r="CU271" s="27" t="s">
        <v>8</v>
      </c>
      <c r="CV271" s="27" t="s">
        <v>7</v>
      </c>
    </row>
    <row r="272" spans="1:100" x14ac:dyDescent="0.25">
      <c r="A272" s="30">
        <v>0.20986616658127455</v>
      </c>
      <c r="B272"/>
      <c r="C272"/>
      <c r="D272"/>
      <c r="E272"/>
      <c r="AH272" s="27" t="s">
        <v>7</v>
      </c>
      <c r="AJ272" s="27" t="s">
        <v>7</v>
      </c>
      <c r="AK272" s="27" t="s">
        <v>8</v>
      </c>
      <c r="AN272" s="27" t="s">
        <v>7</v>
      </c>
      <c r="AO272" s="27" t="s">
        <v>8</v>
      </c>
      <c r="AP272" s="27" t="s">
        <v>7</v>
      </c>
      <c r="AQ272" s="27" t="s">
        <v>8</v>
      </c>
      <c r="AR272" s="27" t="s">
        <v>7</v>
      </c>
      <c r="BC272" s="27" t="s">
        <v>8</v>
      </c>
      <c r="BE272" s="27" t="s">
        <v>8</v>
      </c>
      <c r="BF272" s="27" t="s">
        <v>7</v>
      </c>
      <c r="BG272" s="27" t="s">
        <v>8</v>
      </c>
      <c r="BH272" s="27" t="s">
        <v>7</v>
      </c>
      <c r="BI272" s="27" t="s">
        <v>8</v>
      </c>
      <c r="CP272" s="27" t="s">
        <v>7</v>
      </c>
      <c r="CR272" s="27" t="s">
        <v>7</v>
      </c>
      <c r="CS272" s="27" t="s">
        <v>8</v>
      </c>
      <c r="CT272" s="27" t="s">
        <v>7</v>
      </c>
      <c r="CU272" s="27" t="s">
        <v>8</v>
      </c>
      <c r="CV272" s="27" t="s">
        <v>7</v>
      </c>
    </row>
    <row r="273" spans="1:105" x14ac:dyDescent="0.25">
      <c r="A273" s="30">
        <v>0.19987253960121379</v>
      </c>
      <c r="B273"/>
      <c r="C273"/>
      <c r="D273"/>
      <c r="E273"/>
      <c r="AJ273" s="27" t="s">
        <v>7</v>
      </c>
      <c r="AK273" s="27" t="s">
        <v>8</v>
      </c>
      <c r="AN273" s="27" t="s">
        <v>7</v>
      </c>
      <c r="AO273" s="27" t="s">
        <v>8</v>
      </c>
      <c r="AP273" s="27" t="s">
        <v>7</v>
      </c>
      <c r="AQ273" s="27" t="s">
        <v>8</v>
      </c>
      <c r="AR273" s="27" t="s">
        <v>7</v>
      </c>
      <c r="BA273" s="27" t="s">
        <v>8</v>
      </c>
      <c r="BC273" s="27" t="s">
        <v>8</v>
      </c>
      <c r="BD273" s="27" t="s">
        <v>7</v>
      </c>
      <c r="BE273" s="27" t="s">
        <v>8</v>
      </c>
      <c r="BF273" s="27" t="s">
        <v>7</v>
      </c>
      <c r="BG273" s="27" t="s">
        <v>8</v>
      </c>
      <c r="BH273" s="27" t="s">
        <v>7</v>
      </c>
      <c r="BI273" s="27" t="s">
        <v>8</v>
      </c>
      <c r="CR273" s="27" t="s">
        <v>7</v>
      </c>
      <c r="CS273" s="27" t="s">
        <v>8</v>
      </c>
      <c r="CT273" s="27" t="s">
        <v>7</v>
      </c>
      <c r="CU273" s="27" t="s">
        <v>8</v>
      </c>
      <c r="CV273" s="27" t="s">
        <v>7</v>
      </c>
    </row>
    <row r="274" spans="1:105" x14ac:dyDescent="0.25">
      <c r="A274" s="30">
        <v>0.19035479962020352</v>
      </c>
      <c r="B274"/>
      <c r="C274"/>
      <c r="D274"/>
      <c r="E274"/>
      <c r="AJ274" s="27" t="s">
        <v>7</v>
      </c>
      <c r="AK274" s="27" t="s">
        <v>8</v>
      </c>
      <c r="AN274" s="27" t="s">
        <v>7</v>
      </c>
      <c r="AP274" s="27" t="s">
        <v>7</v>
      </c>
      <c r="AR274" s="27" t="s">
        <v>7</v>
      </c>
      <c r="BA274" s="27" t="s">
        <v>8</v>
      </c>
      <c r="BB274" s="27" t="s">
        <v>7</v>
      </c>
      <c r="BC274" s="27" t="s">
        <v>8</v>
      </c>
      <c r="BD274" s="27" t="s">
        <v>7</v>
      </c>
      <c r="BE274" s="27" t="s">
        <v>8</v>
      </c>
      <c r="BF274" s="27" t="s">
        <v>7</v>
      </c>
      <c r="BH274" s="27" t="s">
        <v>7</v>
      </c>
      <c r="CR274" s="27" t="s">
        <v>7</v>
      </c>
      <c r="CS274" s="27" t="s">
        <v>8</v>
      </c>
      <c r="CT274" s="27" t="s">
        <v>7</v>
      </c>
      <c r="CV274" s="27" t="s">
        <v>7</v>
      </c>
    </row>
    <row r="275" spans="1:105" x14ac:dyDescent="0.25">
      <c r="A275" s="30">
        <v>0.18129028535257471</v>
      </c>
      <c r="B275"/>
      <c r="C275"/>
      <c r="D275"/>
      <c r="E275"/>
      <c r="AJ275" s="27" t="s">
        <v>7</v>
      </c>
      <c r="AK275" s="27" t="s">
        <v>8</v>
      </c>
      <c r="AR275" s="27" t="s">
        <v>7</v>
      </c>
      <c r="AU275" s="27" t="s">
        <v>8</v>
      </c>
      <c r="AW275" s="27" t="s">
        <v>8</v>
      </c>
      <c r="AY275" s="27" t="s">
        <v>8</v>
      </c>
      <c r="BA275" s="27" t="s">
        <v>8</v>
      </c>
      <c r="BB275" s="27" t="s">
        <v>7</v>
      </c>
      <c r="BC275" s="27" t="s">
        <v>8</v>
      </c>
      <c r="BD275" s="27" t="s">
        <v>7</v>
      </c>
      <c r="BE275" s="27" t="s">
        <v>8</v>
      </c>
      <c r="CR275" s="27" t="s">
        <v>7</v>
      </c>
      <c r="CV275" s="27" t="s">
        <v>7</v>
      </c>
    </row>
    <row r="276" spans="1:105" x14ac:dyDescent="0.25">
      <c r="A276" s="30">
        <v>0.17265741462149967</v>
      </c>
      <c r="B276"/>
      <c r="C276"/>
      <c r="D276"/>
      <c r="E276"/>
      <c r="AJ276" s="27" t="s">
        <v>7</v>
      </c>
      <c r="AK276" s="27" t="s">
        <v>8</v>
      </c>
      <c r="AR276" s="27" t="s">
        <v>7</v>
      </c>
      <c r="AU276" s="27" t="s">
        <v>8</v>
      </c>
      <c r="AV276" s="27" t="s">
        <v>7</v>
      </c>
      <c r="AW276" s="27" t="s">
        <v>8</v>
      </c>
      <c r="AX276" s="27" t="s">
        <v>7</v>
      </c>
      <c r="AY276" s="27" t="s">
        <v>8</v>
      </c>
      <c r="AZ276" s="27" t="s">
        <v>7</v>
      </c>
      <c r="BA276" s="27" t="s">
        <v>8</v>
      </c>
      <c r="BB276" s="27" t="s">
        <v>7</v>
      </c>
      <c r="BC276" s="27" t="s">
        <v>8</v>
      </c>
      <c r="BD276" s="27" t="s">
        <v>7</v>
      </c>
      <c r="CV276" s="27" t="s">
        <v>7</v>
      </c>
      <c r="CW276" s="27" t="s">
        <v>8</v>
      </c>
    </row>
    <row r="277" spans="1:105" x14ac:dyDescent="0.25">
      <c r="A277" s="30">
        <v>0.16443563297285677</v>
      </c>
      <c r="B277"/>
      <c r="C277"/>
      <c r="D277"/>
      <c r="E277"/>
      <c r="AJ277" s="27" t="s">
        <v>7</v>
      </c>
      <c r="AK277" s="27" t="s">
        <v>8</v>
      </c>
      <c r="AR277" s="27" t="s">
        <v>7</v>
      </c>
      <c r="AS277" s="27" t="s">
        <v>8</v>
      </c>
      <c r="AU277" s="27" t="s">
        <v>8</v>
      </c>
      <c r="AV277" s="27" t="s">
        <v>7</v>
      </c>
      <c r="AW277" s="27" t="s">
        <v>8</v>
      </c>
      <c r="AX277" s="27" t="s">
        <v>7</v>
      </c>
      <c r="AY277" s="27" t="s">
        <v>8</v>
      </c>
      <c r="AZ277" s="27" t="s">
        <v>7</v>
      </c>
      <c r="BA277" s="27" t="s">
        <v>8</v>
      </c>
      <c r="BB277" s="27" t="s">
        <v>7</v>
      </c>
      <c r="BC277" s="27" t="s">
        <v>8</v>
      </c>
      <c r="CV277" s="27" t="s">
        <v>7</v>
      </c>
      <c r="CW277" s="27" t="s">
        <v>8</v>
      </c>
      <c r="CX277" s="27" t="s">
        <v>7</v>
      </c>
    </row>
    <row r="278" spans="1:105" x14ac:dyDescent="0.25">
      <c r="A278" s="30">
        <v>0.15660536473605399</v>
      </c>
      <c r="B278"/>
      <c r="C278"/>
      <c r="D278"/>
      <c r="E278"/>
      <c r="AJ278" s="27" t="s">
        <v>7</v>
      </c>
      <c r="AK278" s="27" t="s">
        <v>8</v>
      </c>
      <c r="AR278" s="27" t="s">
        <v>7</v>
      </c>
      <c r="AS278" s="27" t="s">
        <v>8</v>
      </c>
      <c r="AT278" s="27" t="s">
        <v>7</v>
      </c>
      <c r="AU278" s="27" t="s">
        <v>8</v>
      </c>
      <c r="AV278" s="27" t="s">
        <v>7</v>
      </c>
      <c r="AX278" s="27" t="s">
        <v>7</v>
      </c>
      <c r="AZ278" s="27" t="s">
        <v>7</v>
      </c>
      <c r="BA278" s="27" t="s">
        <v>8</v>
      </c>
      <c r="BB278" s="27" t="s">
        <v>7</v>
      </c>
      <c r="CV278" s="27" t="s">
        <v>7</v>
      </c>
      <c r="CW278" s="27" t="s">
        <v>8</v>
      </c>
      <c r="CX278" s="27" t="s">
        <v>7</v>
      </c>
    </row>
    <row r="279" spans="1:105" x14ac:dyDescent="0.25">
      <c r="A279" s="30">
        <v>0.14914796641528946</v>
      </c>
      <c r="B279"/>
      <c r="C279"/>
      <c r="D279"/>
      <c r="E279"/>
      <c r="AJ279" s="27" t="s">
        <v>7</v>
      </c>
      <c r="AK279" s="27" t="s">
        <v>8</v>
      </c>
      <c r="AR279" s="27" t="s">
        <v>7</v>
      </c>
      <c r="AS279" s="27" t="s">
        <v>8</v>
      </c>
      <c r="AT279" s="27" t="s">
        <v>7</v>
      </c>
      <c r="AU279" s="27" t="s">
        <v>8</v>
      </c>
      <c r="AZ279" s="27" t="s">
        <v>7</v>
      </c>
      <c r="BA279" s="27" t="s">
        <v>8</v>
      </c>
      <c r="CV279" s="27" t="s">
        <v>7</v>
      </c>
      <c r="CW279" s="27" t="s">
        <v>8</v>
      </c>
      <c r="CX279" s="27" t="s">
        <v>7</v>
      </c>
    </row>
    <row r="280" spans="1:105" x14ac:dyDescent="0.25">
      <c r="A280" s="30">
        <v>0.14204568230027562</v>
      </c>
      <c r="B280"/>
      <c r="C280"/>
      <c r="D280"/>
      <c r="E280"/>
      <c r="AJ280" s="27" t="s">
        <v>7</v>
      </c>
      <c r="AK280" s="27" t="s">
        <v>8</v>
      </c>
      <c r="AR280" s="27" t="s">
        <v>7</v>
      </c>
      <c r="AS280" s="27" t="s">
        <v>8</v>
      </c>
      <c r="AT280" s="27" t="s">
        <v>7</v>
      </c>
      <c r="AZ280" s="18" t="s">
        <v>7</v>
      </c>
      <c r="BA280" s="27" t="s">
        <v>8</v>
      </c>
      <c r="CV280" s="27" t="s">
        <v>7</v>
      </c>
      <c r="CX280" s="27" t="s">
        <v>7</v>
      </c>
    </row>
    <row r="281" spans="1:105" x14ac:dyDescent="0.25">
      <c r="A281" s="30">
        <v>0.13528160219073862</v>
      </c>
      <c r="B281"/>
      <c r="C281"/>
      <c r="D281"/>
      <c r="E281"/>
      <c r="AJ281" s="27" t="s">
        <v>7</v>
      </c>
      <c r="AK281" s="27" t="s">
        <v>8</v>
      </c>
      <c r="AR281" s="27" t="s">
        <v>7</v>
      </c>
      <c r="AZ281" s="27" t="s">
        <v>7</v>
      </c>
      <c r="BA281" s="27" t="s">
        <v>8</v>
      </c>
      <c r="CX281" s="27" t="s">
        <v>7</v>
      </c>
    </row>
    <row r="282" spans="1:105" x14ac:dyDescent="0.25">
      <c r="A282" s="30">
        <v>0.12883962113403674</v>
      </c>
      <c r="B282"/>
      <c r="C282"/>
      <c r="D282"/>
      <c r="E282"/>
      <c r="AJ282" s="27" t="s">
        <v>7</v>
      </c>
      <c r="AZ282" s="27" t="s">
        <v>7</v>
      </c>
      <c r="CX282" s="27" t="s">
        <v>7</v>
      </c>
    </row>
    <row r="283" spans="1:105" x14ac:dyDescent="0.25">
      <c r="A283" s="30">
        <v>0.12270440108003494</v>
      </c>
      <c r="B283"/>
      <c r="C283"/>
      <c r="D283"/>
      <c r="E283"/>
      <c r="CX283" s="27" t="s">
        <v>7</v>
      </c>
    </row>
    <row r="284" spans="1:105" x14ac:dyDescent="0.25">
      <c r="A284" s="30">
        <v>0.11686133436193799</v>
      </c>
      <c r="B284"/>
      <c r="C284"/>
      <c r="D284"/>
      <c r="E284"/>
      <c r="CX284" s="27" t="s">
        <v>7</v>
      </c>
    </row>
    <row r="285" spans="1:105" x14ac:dyDescent="0.25">
      <c r="A285" s="30">
        <v>0.11129650891613138</v>
      </c>
      <c r="B285"/>
      <c r="C285"/>
      <c r="D285"/>
      <c r="E285"/>
      <c r="CX285" s="27" t="s">
        <v>7</v>
      </c>
      <c r="CY285" s="27" t="s">
        <v>8</v>
      </c>
    </row>
    <row r="286" spans="1:105" x14ac:dyDescent="0.25">
      <c r="A286" s="30">
        <v>0.10599667515822032</v>
      </c>
      <c r="B286"/>
      <c r="C286"/>
      <c r="D286"/>
      <c r="E286"/>
      <c r="CX286" s="27" t="s">
        <v>7</v>
      </c>
      <c r="CY286" s="27" t="s">
        <v>8</v>
      </c>
      <c r="CZ286" s="27" t="s">
        <v>7</v>
      </c>
      <c r="DA286" s="27" t="s">
        <v>8</v>
      </c>
    </row>
    <row r="287" spans="1:105" x14ac:dyDescent="0.25">
      <c r="A287" s="30">
        <v>0.10094921443640027</v>
      </c>
      <c r="B287"/>
      <c r="C287"/>
      <c r="D287"/>
      <c r="E287"/>
      <c r="CX287" s="27" t="s">
        <v>7</v>
      </c>
      <c r="CY287" s="27" t="s">
        <v>8</v>
      </c>
      <c r="CZ287" s="27" t="s">
        <v>7</v>
      </c>
      <c r="DA287" s="27" t="s">
        <v>8</v>
      </c>
    </row>
    <row r="288" spans="1:105" x14ac:dyDescent="0.25">
      <c r="A288" s="30">
        <v>9.6142108987047836E-2</v>
      </c>
      <c r="B288"/>
      <c r="C288"/>
      <c r="D288"/>
      <c r="E288"/>
      <c r="CX288" s="27" t="s">
        <v>7</v>
      </c>
      <c r="CZ288" s="27" t="s">
        <v>7</v>
      </c>
      <c r="DA288" s="27" t="s">
        <v>8</v>
      </c>
    </row>
    <row r="289" spans="1:104" x14ac:dyDescent="0.25">
      <c r="A289" s="30">
        <v>9.1563913320997906E-2</v>
      </c>
      <c r="B289"/>
      <c r="C289"/>
      <c r="D289"/>
      <c r="E289"/>
      <c r="CZ289" s="27" t="s">
        <v>7</v>
      </c>
    </row>
    <row r="290" spans="1:104" x14ac:dyDescent="0.25">
      <c r="A290" s="30">
        <v>8.7203726972378923E-2</v>
      </c>
      <c r="B290"/>
      <c r="C290"/>
      <c r="D290"/>
      <c r="E290"/>
    </row>
    <row r="291" spans="1:104" x14ac:dyDescent="0.25">
      <c r="A291" s="30">
        <v>8.3051168545122747E-2</v>
      </c>
      <c r="B291"/>
      <c r="C291"/>
      <c r="D291"/>
      <c r="E291"/>
    </row>
    <row r="292" spans="1:104" x14ac:dyDescent="0.25">
      <c r="A292" s="30">
        <v>7.9096350995354961E-2</v>
      </c>
      <c r="B292"/>
      <c r="C292"/>
      <c r="D292"/>
      <c r="E292"/>
    </row>
    <row r="293" spans="1:104" x14ac:dyDescent="0.25">
      <c r="A293" s="30">
        <v>7.5329858090814217E-2</v>
      </c>
      <c r="B293"/>
      <c r="C293"/>
      <c r="D293"/>
      <c r="E293"/>
    </row>
    <row r="294" spans="1:104" x14ac:dyDescent="0.25">
      <c r="A294" s="30">
        <v>7.1742721991251604E-2</v>
      </c>
      <c r="B294"/>
      <c r="C294"/>
      <c r="D294"/>
      <c r="E294"/>
    </row>
    <row r="295" spans="1:104" x14ac:dyDescent="0.25">
      <c r="A295" s="30">
        <v>6.8326401896430078E-2</v>
      </c>
      <c r="B295"/>
      <c r="C295"/>
      <c r="D295"/>
      <c r="E295"/>
    </row>
    <row r="296" spans="1:104" x14ac:dyDescent="0.25">
      <c r="A296" s="30">
        <v>6.5072763710885759E-2</v>
      </c>
      <c r="B296"/>
      <c r="C296"/>
      <c r="D296"/>
      <c r="E296"/>
    </row>
    <row r="297" spans="1:104" x14ac:dyDescent="0.25">
      <c r="A297" s="30">
        <v>6.197406067703403E-2</v>
      </c>
      <c r="B297"/>
      <c r="C297"/>
      <c r="D297"/>
      <c r="E297"/>
    </row>
    <row r="298" spans="1:104" x14ac:dyDescent="0.25">
      <c r="A298" s="30">
        <v>5.9022914930508576E-2</v>
      </c>
      <c r="B298"/>
      <c r="C298"/>
      <c r="D298"/>
      <c r="E298"/>
    </row>
    <row r="299" spans="1:104" x14ac:dyDescent="0.25">
      <c r="A299" s="30">
        <v>5.6212299933817669E-2</v>
      </c>
      <c r="B299"/>
      <c r="C299"/>
      <c r="D299"/>
      <c r="E299"/>
    </row>
    <row r="300" spans="1:104" x14ac:dyDescent="0.25">
      <c r="A300" s="30">
        <v>5.3535523746492994E-2</v>
      </c>
      <c r="B300"/>
      <c r="C300"/>
      <c r="D300"/>
      <c r="E300"/>
    </row>
    <row r="301" spans="1:104" x14ac:dyDescent="0.25">
      <c r="A301" s="30">
        <v>5.0986213091898068E-2</v>
      </c>
      <c r="B301"/>
      <c r="C301"/>
      <c r="D301"/>
      <c r="E301"/>
    </row>
    <row r="302" spans="1:104" x14ac:dyDescent="0.25">
      <c r="A302" s="30">
        <v>4.8558298182760043E-2</v>
      </c>
      <c r="B302"/>
      <c r="C302"/>
      <c r="D302"/>
      <c r="E302"/>
    </row>
    <row r="303" spans="1:104" x14ac:dyDescent="0.25">
      <c r="A303" s="30">
        <v>4.6245998269295263E-2</v>
      </c>
      <c r="B303"/>
      <c r="C303"/>
      <c r="D303"/>
      <c r="E303"/>
    </row>
    <row r="304" spans="1:104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32" operator="equal">
      <formula>$U$1</formula>
    </cfRule>
    <cfRule type="cellIs" dxfId="67" priority="733" operator="equal">
      <formula>$S$1</formula>
    </cfRule>
  </conditionalFormatting>
  <conditionalFormatting sqref="D136">
    <cfRule type="cellIs" dxfId="66" priority="730" operator="equal">
      <formula>$S$1</formula>
    </cfRule>
    <cfRule type="cellIs" dxfId="65" priority="731" operator="equal">
      <formula>$U$1</formula>
    </cfRule>
  </conditionalFormatting>
  <conditionalFormatting sqref="C162">
    <cfRule type="cellIs" dxfId="64" priority="728" operator="equal">
      <formula>$U$1</formula>
    </cfRule>
    <cfRule type="cellIs" dxfId="63" priority="729" operator="equal">
      <formula>$S$1</formula>
    </cfRule>
  </conditionalFormatting>
  <conditionalFormatting sqref="D162">
    <cfRule type="cellIs" dxfId="62" priority="726" operator="equal">
      <formula>$S$1</formula>
    </cfRule>
    <cfRule type="cellIs" dxfId="61" priority="727" operator="equal">
      <formula>$U$1</formula>
    </cfRule>
  </conditionalFormatting>
  <conditionalFormatting sqref="C187">
    <cfRule type="cellIs" dxfId="60" priority="724" operator="equal">
      <formula>$U$1</formula>
    </cfRule>
    <cfRule type="cellIs" dxfId="59" priority="725" operator="equal">
      <formula>$S$1</formula>
    </cfRule>
  </conditionalFormatting>
  <conditionalFormatting sqref="D187">
    <cfRule type="cellIs" dxfId="58" priority="722" operator="equal">
      <formula>$S$1</formula>
    </cfRule>
    <cfRule type="cellIs" dxfId="57" priority="723" operator="equal">
      <formula>$U$1</formula>
    </cfRule>
  </conditionalFormatting>
  <conditionalFormatting sqref="C212">
    <cfRule type="cellIs" dxfId="56" priority="720" operator="equal">
      <formula>$U$1</formula>
    </cfRule>
    <cfRule type="cellIs" dxfId="55" priority="721" operator="equal">
      <formula>$S$1</formula>
    </cfRule>
  </conditionalFormatting>
  <conditionalFormatting sqref="D212">
    <cfRule type="cellIs" dxfId="54" priority="718" operator="equal">
      <formula>$S$1</formula>
    </cfRule>
    <cfRule type="cellIs" dxfId="53" priority="719" operator="equal">
      <formula>$U$1</formula>
    </cfRule>
  </conditionalFormatting>
  <conditionalFormatting sqref="C237">
    <cfRule type="cellIs" dxfId="52" priority="716" operator="equal">
      <formula>$U$1</formula>
    </cfRule>
    <cfRule type="cellIs" dxfId="51" priority="717" operator="equal">
      <formula>$S$1</formula>
    </cfRule>
  </conditionalFormatting>
  <conditionalFormatting sqref="D237">
    <cfRule type="cellIs" dxfId="50" priority="714" operator="equal">
      <formula>$S$1</formula>
    </cfRule>
    <cfRule type="cellIs" dxfId="49" priority="715" operator="equal">
      <formula>$U$1</formula>
    </cfRule>
  </conditionalFormatting>
  <conditionalFormatting sqref="C106">
    <cfRule type="cellIs" dxfId="48" priority="712" operator="equal">
      <formula>$U$1</formula>
    </cfRule>
    <cfRule type="cellIs" dxfId="47" priority="713" operator="equal">
      <formula>$S$1</formula>
    </cfRule>
  </conditionalFormatting>
  <conditionalFormatting sqref="D106">
    <cfRule type="cellIs" dxfId="46" priority="710" operator="equal">
      <formula>$S$1</formula>
    </cfRule>
    <cfRule type="cellIs" dxfId="45" priority="711" operator="equal">
      <formula>$U$1</formula>
    </cfRule>
  </conditionalFormatting>
  <conditionalFormatting sqref="C81">
    <cfRule type="cellIs" dxfId="44" priority="708" operator="equal">
      <formula>$U$1</formula>
    </cfRule>
    <cfRule type="cellIs" dxfId="43" priority="709" operator="equal">
      <formula>$S$1</formula>
    </cfRule>
  </conditionalFormatting>
  <conditionalFormatting sqref="D81">
    <cfRule type="cellIs" dxfId="42" priority="706" operator="equal">
      <formula>$S$1</formula>
    </cfRule>
    <cfRule type="cellIs" dxfId="41" priority="707" operator="equal">
      <formula>$U$1</formula>
    </cfRule>
  </conditionalFormatting>
  <conditionalFormatting sqref="C56">
    <cfRule type="cellIs" dxfId="40" priority="704" operator="equal">
      <formula>$U$1</formula>
    </cfRule>
    <cfRule type="cellIs" dxfId="39" priority="705" operator="equal">
      <formula>$S$1</formula>
    </cfRule>
  </conditionalFormatting>
  <conditionalFormatting sqref="D56">
    <cfRule type="cellIs" dxfId="38" priority="702" operator="equal">
      <formula>$S$1</formula>
    </cfRule>
    <cfRule type="cellIs" dxfId="37" priority="703" operator="equal">
      <formula>$U$1</formula>
    </cfRule>
  </conditionalFormatting>
  <conditionalFormatting sqref="C31">
    <cfRule type="cellIs" dxfId="36" priority="700" operator="equal">
      <formula>$U$1</formula>
    </cfRule>
    <cfRule type="cellIs" dxfId="35" priority="701" operator="equal">
      <formula>$S$1</formula>
    </cfRule>
  </conditionalFormatting>
  <conditionalFormatting sqref="D31">
    <cfRule type="cellIs" dxfId="34" priority="698" operator="equal">
      <formula>$S$1</formula>
    </cfRule>
    <cfRule type="cellIs" dxfId="33" priority="699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F146" sqref="AF14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$A$145</v>
      </c>
      <c r="D111" s="1" t="str">
        <f>ADDRESS(C121-1,D121,1,1)</f>
        <v>$AF$145</v>
      </c>
      <c r="E111"/>
    </row>
    <row r="112" spans="1:5" x14ac:dyDescent="0.25">
      <c r="A112" s="30">
        <v>2.3579476910000019</v>
      </c>
      <c r="C112" s="1" t="str">
        <f>ADDRESS(C121,1,1,1)</f>
        <v>$A$146</v>
      </c>
      <c r="D112" s="1" t="str">
        <f>ADDRESS(C121,D121-1,1,1)</f>
        <v>$AE$146</v>
      </c>
      <c r="E112"/>
    </row>
    <row r="113" spans="1:24" x14ac:dyDescent="0.25">
      <c r="A113" s="30">
        <v>2.1435888100000016</v>
      </c>
      <c r="C113" s="1" t="str">
        <f>ADDRESS(C121+1,1,1,1)</f>
        <v>$A$147</v>
      </c>
      <c r="D113" s="1" t="str">
        <f>ADDRESS(C121-1,D121+1,1,1)</f>
        <v>$AG$145</v>
      </c>
    </row>
    <row r="114" spans="1:24" x14ac:dyDescent="0.25">
      <c r="A114" s="30">
        <v>1.9487171000000014</v>
      </c>
      <c r="C114" s="1" t="str">
        <f>ADDRESS(C121,D121,1,1)</f>
        <v>$AF$146</v>
      </c>
      <c r="D114" s="1" t="str">
        <f>ADDRESS(C121+1,D121+1,1,1)</f>
        <v>$AG$147</v>
      </c>
    </row>
    <row r="115" spans="1:24" x14ac:dyDescent="0.25">
      <c r="A115" s="30">
        <v>1.7715610000000011</v>
      </c>
      <c r="C115" s="1" t="str">
        <f>ADDRESS(C121+1,D121,1,1)</f>
        <v>$AF$147</v>
      </c>
    </row>
    <row r="116" spans="1:24" x14ac:dyDescent="0.25">
      <c r="A116" s="30">
        <v>1.6105100000000008</v>
      </c>
      <c r="C116" s="1">
        <f>C117-1</f>
        <v>145</v>
      </c>
    </row>
    <row r="117" spans="1:24" x14ac:dyDescent="0.25">
      <c r="A117" s="30">
        <v>1.4641000000000006</v>
      </c>
      <c r="C117" s="1">
        <f>C121</f>
        <v>146</v>
      </c>
      <c r="D117" s="1">
        <f>D121</f>
        <v>32</v>
      </c>
    </row>
    <row r="118" spans="1:24" x14ac:dyDescent="0.25">
      <c r="A118" s="30">
        <v>1.3310000000000004</v>
      </c>
      <c r="C118" s="1">
        <f>C117+1</f>
        <v>147</v>
      </c>
      <c r="D118" s="1">
        <f>D117+1</f>
        <v>33</v>
      </c>
    </row>
    <row r="119" spans="1:24" x14ac:dyDescent="0.25">
      <c r="A119" s="30">
        <v>1.2100000000000002</v>
      </c>
    </row>
    <row r="120" spans="1:24" x14ac:dyDescent="0.25">
      <c r="A120" s="30">
        <v>1.1000000000000001</v>
      </c>
      <c r="C120" s="1" t="s">
        <v>9</v>
      </c>
    </row>
    <row r="121" spans="1:24" x14ac:dyDescent="0.25">
      <c r="A121" s="30">
        <v>1</v>
      </c>
      <c r="C121" s="18">
        <v>146</v>
      </c>
      <c r="D121" s="19">
        <v>32</v>
      </c>
      <c r="E121" s="18" t="s">
        <v>8</v>
      </c>
    </row>
    <row r="122" spans="1:24" x14ac:dyDescent="0.25">
      <c r="A122" s="30">
        <v>0.90909090909090895</v>
      </c>
      <c r="C122" s="1" t="str">
        <f>INDEX(1:1048576,C117,D117)</f>
        <v>O</v>
      </c>
      <c r="F122" s="27" t="s">
        <v>7</v>
      </c>
      <c r="K122" s="27" t="s">
        <v>8</v>
      </c>
    </row>
    <row r="123" spans="1:24" x14ac:dyDescent="0.25">
      <c r="A123" s="30">
        <v>0.82644628099173523</v>
      </c>
      <c r="C123" s="1" t="str">
        <f>"R"&amp;C121</f>
        <v>R146</v>
      </c>
      <c r="D123" s="1" t="str">
        <f>"C"&amp;D121</f>
        <v>C32</v>
      </c>
      <c r="F123" s="27" t="s">
        <v>7</v>
      </c>
      <c r="G123" s="27" t="s">
        <v>8</v>
      </c>
      <c r="I123" s="27" t="s">
        <v>8</v>
      </c>
      <c r="K123" s="27" t="s">
        <v>8</v>
      </c>
      <c r="L123" s="27" t="s">
        <v>7</v>
      </c>
    </row>
    <row r="124" spans="1:24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  <c r="H124" s="27" t="s">
        <v>7</v>
      </c>
      <c r="I124" s="27" t="s">
        <v>8</v>
      </c>
      <c r="J124" s="27" t="s">
        <v>7</v>
      </c>
      <c r="K124" s="27" t="s">
        <v>8</v>
      </c>
      <c r="L124" s="27" t="s">
        <v>7</v>
      </c>
    </row>
    <row r="125" spans="1:24" x14ac:dyDescent="0.25">
      <c r="A125" s="30">
        <v>0.68301345536507019</v>
      </c>
      <c r="F125" s="27" t="s">
        <v>7</v>
      </c>
      <c r="G125" s="27" t="s">
        <v>8</v>
      </c>
      <c r="H125" s="27" t="s">
        <v>7</v>
      </c>
      <c r="I125" s="27" t="s">
        <v>8</v>
      </c>
      <c r="J125" s="27" t="s">
        <v>7</v>
      </c>
      <c r="K125" s="27" t="s">
        <v>8</v>
      </c>
      <c r="L125" s="27" t="s">
        <v>7</v>
      </c>
      <c r="M125" s="27" t="s">
        <v>8</v>
      </c>
    </row>
    <row r="126" spans="1:24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H126" s="27" t="s">
        <v>7</v>
      </c>
      <c r="I126" s="27" t="s">
        <v>8</v>
      </c>
      <c r="J126" s="27" t="s">
        <v>7</v>
      </c>
      <c r="L126" s="27" t="s">
        <v>7</v>
      </c>
      <c r="M126" s="27" t="s">
        <v>8</v>
      </c>
      <c r="N126" s="27" t="s">
        <v>7</v>
      </c>
    </row>
    <row r="127" spans="1:24" x14ac:dyDescent="0.25">
      <c r="A127" s="30">
        <v>0.56447393005377677</v>
      </c>
      <c r="C127" s="30">
        <v>9.2295998177063854E-2</v>
      </c>
      <c r="D127"/>
      <c r="F127" s="27" t="s">
        <v>7</v>
      </c>
      <c r="H127" s="27" t="s">
        <v>7</v>
      </c>
      <c r="L127" s="27" t="s">
        <v>7</v>
      </c>
      <c r="M127" s="27" t="s">
        <v>8</v>
      </c>
      <c r="N127" s="27" t="s">
        <v>7</v>
      </c>
      <c r="W127" s="27" t="s">
        <v>8</v>
      </c>
    </row>
    <row r="128" spans="1:24" x14ac:dyDescent="0.25">
      <c r="A128" s="30">
        <v>0.51315811823070612</v>
      </c>
      <c r="L128" s="27" t="s">
        <v>7</v>
      </c>
      <c r="M128" s="27" t="s">
        <v>8</v>
      </c>
      <c r="N128" s="27" t="s">
        <v>7</v>
      </c>
      <c r="W128" s="27" t="s">
        <v>8</v>
      </c>
      <c r="X128" s="27" t="s">
        <v>7</v>
      </c>
    </row>
    <row r="129" spans="1:32" x14ac:dyDescent="0.25">
      <c r="A129" s="30">
        <v>0.46650738020973276</v>
      </c>
      <c r="C129" s="1" t="s">
        <v>11</v>
      </c>
      <c r="D129" s="1" t="s">
        <v>12</v>
      </c>
      <c r="E129"/>
      <c r="L129" s="27" t="s">
        <v>7</v>
      </c>
      <c r="M129" s="27" t="s">
        <v>8</v>
      </c>
      <c r="N129" s="27" t="s">
        <v>7</v>
      </c>
      <c r="W129" s="27" t="s">
        <v>8</v>
      </c>
      <c r="X129" s="27" t="s">
        <v>7</v>
      </c>
    </row>
    <row r="130" spans="1:32" x14ac:dyDescent="0.25">
      <c r="A130" s="30">
        <v>0.42409761837248428</v>
      </c>
      <c r="C130" s="6"/>
      <c r="D130" s="6"/>
      <c r="E130"/>
      <c r="L130" s="27" t="s">
        <v>7</v>
      </c>
      <c r="M130" s="27" t="s">
        <v>8</v>
      </c>
      <c r="N130" s="27" t="s">
        <v>7</v>
      </c>
      <c r="Q130" s="27" t="s">
        <v>8</v>
      </c>
      <c r="W130" s="27" t="s">
        <v>8</v>
      </c>
      <c r="X130" s="27" t="s">
        <v>7</v>
      </c>
      <c r="AC130" s="27" t="s">
        <v>8</v>
      </c>
    </row>
    <row r="131" spans="1:32" x14ac:dyDescent="0.25">
      <c r="A131" s="30">
        <v>0.38554328942953109</v>
      </c>
      <c r="E131"/>
      <c r="L131" s="27" t="s">
        <v>7</v>
      </c>
      <c r="N131" s="27" t="s">
        <v>7</v>
      </c>
      <c r="O131" s="27" t="s">
        <v>8</v>
      </c>
      <c r="Q131" s="27" t="s">
        <v>8</v>
      </c>
      <c r="R131" s="27" t="s">
        <v>7</v>
      </c>
      <c r="W131" s="27" t="s">
        <v>8</v>
      </c>
      <c r="X131" s="27" t="s">
        <v>7</v>
      </c>
      <c r="AC131" s="27" t="s">
        <v>8</v>
      </c>
      <c r="AD131" s="27" t="s">
        <v>7</v>
      </c>
    </row>
    <row r="132" spans="1:32" x14ac:dyDescent="0.25">
      <c r="A132" s="30">
        <v>0.35049389948139187</v>
      </c>
      <c r="C132" s="1" t="s">
        <v>13</v>
      </c>
      <c r="E132"/>
      <c r="N132" s="27" t="s">
        <v>7</v>
      </c>
      <c r="O132" s="27" t="s">
        <v>8</v>
      </c>
      <c r="P132" s="27" t="s">
        <v>7</v>
      </c>
      <c r="Q132" s="27" t="s">
        <v>8</v>
      </c>
      <c r="R132" s="27" t="s">
        <v>7</v>
      </c>
      <c r="W132" s="27" t="s">
        <v>8</v>
      </c>
      <c r="X132" s="27" t="s">
        <v>7</v>
      </c>
      <c r="Y132" s="27" t="s">
        <v>8</v>
      </c>
      <c r="AA132" s="27" t="s">
        <v>8</v>
      </c>
      <c r="AC132" s="27" t="s">
        <v>8</v>
      </c>
      <c r="AD132" s="27" t="s">
        <v>7</v>
      </c>
    </row>
    <row r="133" spans="1:32" x14ac:dyDescent="0.25">
      <c r="A133" s="30">
        <v>0.31863081771035617</v>
      </c>
      <c r="C133" s="1" t="str">
        <f>C122</f>
        <v>O</v>
      </c>
      <c r="E133"/>
      <c r="N133" s="27" t="s">
        <v>7</v>
      </c>
      <c r="O133" s="27" t="s">
        <v>8</v>
      </c>
      <c r="P133" s="27" t="s">
        <v>7</v>
      </c>
      <c r="Q133" s="27" t="s">
        <v>8</v>
      </c>
      <c r="R133" s="27" t="s">
        <v>7</v>
      </c>
      <c r="W133" s="27" t="s">
        <v>8</v>
      </c>
      <c r="X133" s="27" t="s">
        <v>7</v>
      </c>
      <c r="Y133" s="27" t="s">
        <v>8</v>
      </c>
      <c r="Z133" s="27" t="s">
        <v>7</v>
      </c>
      <c r="AA133" s="27" t="s">
        <v>8</v>
      </c>
      <c r="AB133" s="27" t="s">
        <v>7</v>
      </c>
      <c r="AC133" s="27" t="s">
        <v>8</v>
      </c>
      <c r="AD133" s="27" t="s">
        <v>7</v>
      </c>
    </row>
    <row r="134" spans="1:32" x14ac:dyDescent="0.25">
      <c r="A134" s="30">
        <v>0.28966437973668741</v>
      </c>
      <c r="C134"/>
      <c r="D134"/>
      <c r="E134"/>
      <c r="N134" s="27" t="s">
        <v>7</v>
      </c>
      <c r="O134" s="27" t="s">
        <v>8</v>
      </c>
      <c r="P134" s="27" t="s">
        <v>7</v>
      </c>
      <c r="Q134" s="27" t="s">
        <v>8</v>
      </c>
      <c r="R134" s="27" t="s">
        <v>7</v>
      </c>
      <c r="S134" s="27" t="s">
        <v>8</v>
      </c>
      <c r="W134" s="27" t="s">
        <v>8</v>
      </c>
      <c r="X134" s="27" t="s">
        <v>7</v>
      </c>
      <c r="Y134" s="27" t="s">
        <v>8</v>
      </c>
      <c r="Z134" s="27" t="s">
        <v>7</v>
      </c>
      <c r="AA134" s="27" t="s">
        <v>8</v>
      </c>
      <c r="AB134" s="27" t="s">
        <v>7</v>
      </c>
      <c r="AC134" s="27" t="s">
        <v>8</v>
      </c>
      <c r="AD134" s="27" t="s">
        <v>7</v>
      </c>
    </row>
    <row r="135" spans="1:32" x14ac:dyDescent="0.25">
      <c r="A135" s="30">
        <v>0.2633312543060794</v>
      </c>
      <c r="C135" s="1" t="s">
        <v>14</v>
      </c>
      <c r="E135"/>
      <c r="N135" s="27" t="s">
        <v>7</v>
      </c>
      <c r="P135" s="27" t="s">
        <v>7</v>
      </c>
      <c r="Q135" s="27" t="s">
        <v>8</v>
      </c>
      <c r="R135" s="27" t="s">
        <v>7</v>
      </c>
      <c r="S135" s="27" t="s">
        <v>8</v>
      </c>
      <c r="T135" s="27" t="s">
        <v>7</v>
      </c>
      <c r="W135" s="27" t="s">
        <v>8</v>
      </c>
      <c r="X135" s="27" t="s">
        <v>7</v>
      </c>
      <c r="Z135" s="27" t="s">
        <v>7</v>
      </c>
      <c r="AB135" s="27" t="s">
        <v>7</v>
      </c>
      <c r="AD135" s="27" t="s">
        <v>7</v>
      </c>
      <c r="AE135" s="27" t="s">
        <v>8</v>
      </c>
    </row>
    <row r="136" spans="1:32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P136" s="27" t="s">
        <v>7</v>
      </c>
      <c r="Q136" s="27" t="s">
        <v>8</v>
      </c>
      <c r="R136" s="27" t="s">
        <v>7</v>
      </c>
      <c r="S136" s="27" t="s">
        <v>8</v>
      </c>
      <c r="T136" s="27" t="s">
        <v>7</v>
      </c>
      <c r="W136" s="27" t="s">
        <v>8</v>
      </c>
      <c r="AD136" s="27" t="s">
        <v>7</v>
      </c>
      <c r="AE136" s="27" t="s">
        <v>8</v>
      </c>
      <c r="AF136" s="27" t="s">
        <v>7</v>
      </c>
    </row>
    <row r="137" spans="1:32" x14ac:dyDescent="0.25">
      <c r="A137" s="30">
        <v>0.2176291357901482</v>
      </c>
      <c r="E137"/>
      <c r="P137" s="27" t="s">
        <v>7</v>
      </c>
      <c r="Q137" s="27" t="s">
        <v>8</v>
      </c>
      <c r="R137" s="27" t="s">
        <v>7</v>
      </c>
      <c r="T137" s="27" t="s">
        <v>7</v>
      </c>
      <c r="W137" s="27" t="s">
        <v>8</v>
      </c>
      <c r="AD137" s="27" t="s">
        <v>7</v>
      </c>
      <c r="AE137" s="27" t="s">
        <v>8</v>
      </c>
      <c r="AF137" s="27" t="s">
        <v>7</v>
      </c>
    </row>
    <row r="138" spans="1:32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P138" s="27" t="s">
        <v>7</v>
      </c>
      <c r="Q138" s="27" t="s">
        <v>8</v>
      </c>
      <c r="T138" s="27" t="s">
        <v>7</v>
      </c>
      <c r="W138" s="27" t="s">
        <v>8</v>
      </c>
      <c r="AD138" s="27" t="s">
        <v>7</v>
      </c>
      <c r="AF138" s="27" t="s">
        <v>7</v>
      </c>
    </row>
    <row r="139" spans="1:32" x14ac:dyDescent="0.25">
      <c r="A139" s="30">
        <v>0.17985878990921333</v>
      </c>
      <c r="E139"/>
      <c r="P139" s="27" t="s">
        <v>7</v>
      </c>
      <c r="Q139" s="27" t="s">
        <v>8</v>
      </c>
      <c r="T139" s="27" t="s">
        <v>7</v>
      </c>
      <c r="U139" s="18" t="s">
        <v>8</v>
      </c>
      <c r="W139" s="27" t="s">
        <v>8</v>
      </c>
      <c r="AF139" s="27" t="s">
        <v>7</v>
      </c>
    </row>
    <row r="140" spans="1:32" x14ac:dyDescent="0.25">
      <c r="A140" s="30">
        <v>0.16350799082655756</v>
      </c>
      <c r="C140" s="1">
        <v>0</v>
      </c>
      <c r="E140"/>
      <c r="P140" s="27" t="s">
        <v>7</v>
      </c>
      <c r="Q140" s="27" t="s">
        <v>8</v>
      </c>
      <c r="T140" s="27" t="s">
        <v>7</v>
      </c>
      <c r="U140" s="27" t="s">
        <v>8</v>
      </c>
      <c r="V140" s="27" t="s">
        <v>7</v>
      </c>
      <c r="W140" s="27" t="s">
        <v>8</v>
      </c>
      <c r="AF140" s="27" t="s">
        <v>7</v>
      </c>
    </row>
    <row r="141" spans="1:32" x14ac:dyDescent="0.25">
      <c r="A141" s="30">
        <v>0.14864362802414322</v>
      </c>
      <c r="C141" s="1">
        <v>1</v>
      </c>
      <c r="E141"/>
      <c r="P141" s="27" t="s">
        <v>7</v>
      </c>
      <c r="Q141" s="27" t="s">
        <v>8</v>
      </c>
      <c r="T141" s="27" t="s">
        <v>7</v>
      </c>
      <c r="U141" s="27" t="s">
        <v>8</v>
      </c>
      <c r="V141" s="27" t="s">
        <v>7</v>
      </c>
      <c r="W141" s="27" t="s">
        <v>8</v>
      </c>
      <c r="AF141" s="27" t="s">
        <v>7</v>
      </c>
    </row>
    <row r="142" spans="1:32" x14ac:dyDescent="0.25">
      <c r="A142" s="30">
        <v>0.13513057093103928</v>
      </c>
      <c r="C142" s="1">
        <v>2</v>
      </c>
      <c r="E142"/>
      <c r="P142" s="27" t="s">
        <v>7</v>
      </c>
      <c r="T142" s="27" t="s">
        <v>7</v>
      </c>
      <c r="V142" s="27" t="s">
        <v>7</v>
      </c>
      <c r="AF142" s="27" t="s">
        <v>7</v>
      </c>
    </row>
    <row r="143" spans="1:32" x14ac:dyDescent="0.25">
      <c r="A143" s="30">
        <v>0.12284597357367205</v>
      </c>
      <c r="C143" s="1">
        <v>3</v>
      </c>
      <c r="E143"/>
      <c r="AF143" s="27" t="s">
        <v>7</v>
      </c>
    </row>
    <row r="144" spans="1:32" x14ac:dyDescent="0.25">
      <c r="A144" s="30">
        <v>0.11167815779424731</v>
      </c>
      <c r="C144" s="1">
        <v>4</v>
      </c>
      <c r="E144"/>
      <c r="AF144" s="27" t="s">
        <v>7</v>
      </c>
    </row>
    <row r="145" spans="1:32" x14ac:dyDescent="0.25">
      <c r="A145" s="30">
        <v>0.10152559799477026</v>
      </c>
      <c r="B145"/>
      <c r="C145"/>
      <c r="D145"/>
      <c r="E145"/>
      <c r="AF145" s="27" t="s">
        <v>7</v>
      </c>
    </row>
    <row r="146" spans="1:32" x14ac:dyDescent="0.25">
      <c r="A146" s="30">
        <v>9.2295998177063854E-2</v>
      </c>
      <c r="B146"/>
      <c r="C146"/>
      <c r="D146"/>
      <c r="E146"/>
      <c r="AF146" s="27" t="s">
        <v>7</v>
      </c>
    </row>
    <row r="147" spans="1:32" x14ac:dyDescent="0.25">
      <c r="A147" s="30">
        <v>8.3905452888239848E-2</v>
      </c>
      <c r="B147"/>
      <c r="C147"/>
      <c r="D147"/>
      <c r="E147"/>
    </row>
    <row r="148" spans="1:32" x14ac:dyDescent="0.25">
      <c r="A148" s="30">
        <v>7.6277684443854396E-2</v>
      </c>
      <c r="B148"/>
      <c r="C148"/>
      <c r="D148"/>
      <c r="E148"/>
    </row>
    <row r="149" spans="1:32" x14ac:dyDescent="0.25">
      <c r="A149" s="30">
        <v>6.9343349494413078E-2</v>
      </c>
      <c r="B149"/>
      <c r="C149"/>
      <c r="D149"/>
      <c r="E149"/>
    </row>
    <row r="150" spans="1:32" x14ac:dyDescent="0.25">
      <c r="A150" s="30">
        <v>6.3039408631284613E-2</v>
      </c>
      <c r="B150"/>
      <c r="C150"/>
      <c r="D150"/>
      <c r="E150"/>
    </row>
    <row r="151" spans="1:32" x14ac:dyDescent="0.25">
      <c r="A151" s="30">
        <v>5.7308553301167818E-2</v>
      </c>
      <c r="B151"/>
      <c r="C151"/>
      <c r="D151"/>
      <c r="E151"/>
    </row>
    <row r="152" spans="1:32" x14ac:dyDescent="0.25">
      <c r="A152" s="30">
        <v>5.2098684819243464E-2</v>
      </c>
      <c r="B152"/>
      <c r="C152"/>
      <c r="D152"/>
      <c r="E152"/>
    </row>
    <row r="153" spans="1:32" x14ac:dyDescent="0.25">
      <c r="A153" s="30">
        <v>4.7362440744766775E-2</v>
      </c>
      <c r="B153"/>
      <c r="C153"/>
      <c r="D153"/>
      <c r="E153"/>
    </row>
    <row r="154" spans="1:32" x14ac:dyDescent="0.25">
      <c r="A154" s="30">
        <v>4.3056764313424332E-2</v>
      </c>
      <c r="B154"/>
      <c r="C154"/>
      <c r="D154"/>
      <c r="E154"/>
    </row>
    <row r="155" spans="1:32" x14ac:dyDescent="0.25">
      <c r="A155" s="30">
        <v>3.9142513012203929E-2</v>
      </c>
      <c r="B155"/>
      <c r="C155"/>
      <c r="D155"/>
      <c r="E155"/>
    </row>
    <row r="156" spans="1:32" x14ac:dyDescent="0.25">
      <c r="A156" s="30">
        <v>3.55841027383672E-2</v>
      </c>
      <c r="B156"/>
      <c r="C156"/>
      <c r="D156"/>
      <c r="E156"/>
    </row>
    <row r="157" spans="1:32" x14ac:dyDescent="0.25">
      <c r="A157" s="30">
        <v>3.2349184307606541E-2</v>
      </c>
      <c r="B157"/>
      <c r="C157"/>
      <c r="D157"/>
      <c r="E157"/>
    </row>
    <row r="158" spans="1:32" x14ac:dyDescent="0.25">
      <c r="A158" s="30">
        <v>2.9408349370551395E-2</v>
      </c>
      <c r="B158"/>
      <c r="C158"/>
      <c r="D158"/>
      <c r="E158"/>
    </row>
    <row r="159" spans="1:32" x14ac:dyDescent="0.25">
      <c r="A159" s="30">
        <v>2.6734863064137627E-2</v>
      </c>
      <c r="B159"/>
      <c r="C159"/>
      <c r="D159"/>
      <c r="E159"/>
    </row>
    <row r="160" spans="1:32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16" operator="equal">
      <formula>$U$1</formula>
    </cfRule>
    <cfRule type="cellIs" dxfId="30" priority="717" operator="equal">
      <formula>$S$1</formula>
    </cfRule>
  </conditionalFormatting>
  <conditionalFormatting sqref="D136">
    <cfRule type="cellIs" dxfId="29" priority="714" operator="equal">
      <formula>$S$1</formula>
    </cfRule>
    <cfRule type="cellIs" dxfId="28" priority="715" operator="equal">
      <formula>$U$1</formula>
    </cfRule>
  </conditionalFormatting>
  <conditionalFormatting sqref="C102">
    <cfRule type="cellIs" dxfId="27" priority="712" operator="equal">
      <formula>$U$1</formula>
    </cfRule>
    <cfRule type="cellIs" dxfId="26" priority="713" operator="equal">
      <formula>$S$1</formula>
    </cfRule>
  </conditionalFormatting>
  <conditionalFormatting sqref="D102">
    <cfRule type="cellIs" dxfId="25" priority="710" operator="equal">
      <formula>$S$1</formula>
    </cfRule>
    <cfRule type="cellIs" dxfId="24" priority="711" operator="equal">
      <formula>$U$1</formula>
    </cfRule>
  </conditionalFormatting>
  <conditionalFormatting sqref="C77">
    <cfRule type="cellIs" dxfId="23" priority="708" operator="equal">
      <formula>$U$1</formula>
    </cfRule>
    <cfRule type="cellIs" dxfId="22" priority="709" operator="equal">
      <formula>$S$1</formula>
    </cfRule>
  </conditionalFormatting>
  <conditionalFormatting sqref="D77">
    <cfRule type="cellIs" dxfId="21" priority="706" operator="equal">
      <formula>$S$1</formula>
    </cfRule>
    <cfRule type="cellIs" dxfId="20" priority="707" operator="equal">
      <formula>$U$1</formula>
    </cfRule>
  </conditionalFormatting>
  <conditionalFormatting sqref="C52">
    <cfRule type="cellIs" dxfId="19" priority="704" operator="equal">
      <formula>$U$1</formula>
    </cfRule>
    <cfRule type="cellIs" dxfId="18" priority="705" operator="equal">
      <formula>$S$1</formula>
    </cfRule>
  </conditionalFormatting>
  <conditionalFormatting sqref="D52">
    <cfRule type="cellIs" dxfId="17" priority="702" operator="equal">
      <formula>$S$1</formula>
    </cfRule>
    <cfRule type="cellIs" dxfId="16" priority="703" operator="equal">
      <formula>$U$1</formula>
    </cfRule>
  </conditionalFormatting>
  <conditionalFormatting sqref="C26">
    <cfRule type="cellIs" dxfId="15" priority="700" operator="equal">
      <formula>$U$1</formula>
    </cfRule>
    <cfRule type="cellIs" dxfId="14" priority="701" operator="equal">
      <formula>$S$1</formula>
    </cfRule>
  </conditionalFormatting>
  <conditionalFormatting sqref="D26">
    <cfRule type="cellIs" dxfId="13" priority="698" operator="equal">
      <formula>$S$1</formula>
    </cfRule>
    <cfRule type="cellIs" dxfId="12" priority="699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2022-01-28T01:20:35Z</dcterms:modified>
</cp:coreProperties>
</file>