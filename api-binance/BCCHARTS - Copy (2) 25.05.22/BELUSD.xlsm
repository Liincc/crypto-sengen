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159941F-5DED-463F-ADB5-76CF0827C18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22" i="4"/>
  <c r="C133" i="4" s="1"/>
  <c r="C136" i="4" s="1"/>
  <c r="R765" i="1"/>
  <c r="C122" i="3"/>
  <c r="C133" i="3" s="1"/>
  <c r="D136" i="3" s="1"/>
  <c r="C116" i="3"/>
  <c r="C136" i="5" l="1"/>
  <c r="C138" i="5" s="1"/>
  <c r="D136" i="4"/>
  <c r="C138" i="4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S723" i="1" l="1"/>
  <c r="T723" i="1" s="1"/>
  <c r="R722" i="1"/>
  <c r="S722" i="1" l="1"/>
  <c r="T722" i="1" s="1"/>
  <c r="R721" i="1"/>
  <c r="S721" i="1" l="1"/>
  <c r="T721" i="1" s="1"/>
  <c r="R720" i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S704" i="1" l="1"/>
  <c r="T704" i="1" s="1"/>
  <c r="R703" i="1"/>
  <c r="S703" i="1" l="1"/>
  <c r="T703" i="1" s="1"/>
  <c r="R702" i="1"/>
  <c r="S702" i="1" l="1"/>
  <c r="T702" i="1" s="1"/>
  <c r="R701" i="1"/>
  <c r="S701" i="1" l="1"/>
  <c r="T701" i="1" s="1"/>
  <c r="R700" i="1"/>
  <c r="S700" i="1" l="1"/>
  <c r="T700" i="1" s="1"/>
  <c r="R699" i="1"/>
  <c r="R698" i="1" l="1"/>
  <c r="S699" i="1"/>
  <c r="T699" i="1" s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R687" i="1" l="1"/>
  <c r="S688" i="1"/>
  <c r="T688" i="1" s="1"/>
  <c r="S687" i="1" l="1"/>
  <c r="T687" i="1" s="1"/>
  <c r="R686" i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S678" i="1" l="1"/>
  <c r="T678" i="1" s="1"/>
  <c r="R677" i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R671" i="1" l="1"/>
  <c r="S672" i="1"/>
  <c r="T672" i="1" s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S658" i="1" l="1"/>
  <c r="T658" i="1" s="1"/>
  <c r="R657" i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R647" i="1" l="1"/>
  <c r="S648" i="1"/>
  <c r="T648" i="1" s="1"/>
  <c r="R646" i="1" l="1"/>
  <c r="S647" i="1"/>
  <c r="T647" i="1" s="1"/>
  <c r="R645" i="1" l="1"/>
  <c r="S646" i="1"/>
  <c r="T646" i="1" s="1"/>
  <c r="S645" i="1" l="1"/>
  <c r="T645" i="1" s="1"/>
  <c r="R644" i="1"/>
  <c r="R643" i="1" l="1"/>
  <c r="S644" i="1"/>
  <c r="T644" i="1" s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S616" i="1" l="1"/>
  <c r="T616" i="1" s="1"/>
  <c r="R615" i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S607" i="1" l="1"/>
  <c r="T607" i="1" s="1"/>
  <c r="R606" i="1"/>
  <c r="R605" i="1" l="1"/>
  <c r="S606" i="1"/>
  <c r="T606" i="1" s="1"/>
  <c r="S605" i="1" l="1"/>
  <c r="T605" i="1" s="1"/>
  <c r="R604" i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S596" i="1" l="1"/>
  <c r="T596" i="1" s="1"/>
  <c r="R595" i="1"/>
  <c r="R594" i="1" l="1"/>
  <c r="S595" i="1"/>
  <c r="T595" i="1" s="1"/>
  <c r="S594" i="1" l="1"/>
  <c r="T594" i="1" s="1"/>
  <c r="R593" i="1"/>
  <c r="S593" i="1" l="1"/>
  <c r="T593" i="1" s="1"/>
  <c r="R592" i="1"/>
  <c r="S592" i="1" l="1"/>
  <c r="T592" i="1" s="1"/>
  <c r="R591" i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R578" i="1" l="1"/>
  <c r="S579" i="1"/>
  <c r="T579" i="1" s="1"/>
  <c r="S578" i="1" l="1"/>
  <c r="T578" i="1" s="1"/>
  <c r="R577" i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R572" i="1" l="1"/>
  <c r="S573" i="1"/>
  <c r="T573" i="1" s="1"/>
  <c r="S572" i="1" l="1"/>
  <c r="T572" i="1" s="1"/>
  <c r="R571" i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S567" i="1" l="1"/>
  <c r="T567" i="1" s="1"/>
  <c r="R566" i="1"/>
  <c r="R565" i="1" l="1"/>
  <c r="S566" i="1"/>
  <c r="T566" i="1" s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S556" i="1" l="1"/>
  <c r="T556" i="1" s="1"/>
  <c r="R555" i="1"/>
  <c r="S555" i="1" l="1"/>
  <c r="T555" i="1" s="1"/>
  <c r="R554" i="1"/>
  <c r="S554" i="1" l="1"/>
  <c r="T554" i="1" s="1"/>
  <c r="R553" i="1"/>
  <c r="S553" i="1" l="1"/>
  <c r="T553" i="1" s="1"/>
  <c r="R552" i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R542" i="1" l="1"/>
  <c r="S543" i="1"/>
  <c r="T543" i="1" s="1"/>
  <c r="R541" i="1" l="1"/>
  <c r="S542" i="1"/>
  <c r="T542" i="1" s="1"/>
  <c r="S541" i="1" l="1"/>
  <c r="T541" i="1" s="1"/>
  <c r="R540" i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R533" i="1" l="1"/>
  <c r="S534" i="1"/>
  <c r="T534" i="1" s="1"/>
  <c r="S533" i="1" l="1"/>
  <c r="T533" i="1" s="1"/>
  <c r="R532" i="1"/>
  <c r="R531" i="1" l="1"/>
  <c r="S532" i="1"/>
  <c r="T532" i="1" s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R522" i="1" l="1"/>
  <c r="S523" i="1"/>
  <c r="T523" i="1" s="1"/>
  <c r="S522" i="1" l="1"/>
  <c r="T522" i="1" s="1"/>
  <c r="R521" i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S513" i="1" l="1"/>
  <c r="T513" i="1" s="1"/>
  <c r="R512" i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S502" i="1" l="1"/>
  <c r="T502" i="1" s="1"/>
  <c r="R501" i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S482" i="1" l="1"/>
  <c r="T482" i="1" s="1"/>
  <c r="R481" i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R447" i="1" l="1"/>
  <c r="S448" i="1"/>
  <c r="T448" i="1" s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S431" i="1" l="1"/>
  <c r="T431" i="1" s="1"/>
  <c r="R430" i="1"/>
  <c r="R429" i="1" l="1"/>
  <c r="S430" i="1"/>
  <c r="T430" i="1" s="1"/>
  <c r="S429" i="1" l="1"/>
  <c r="T429" i="1" s="1"/>
  <c r="R428" i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S409" i="1" l="1"/>
  <c r="T409" i="1" s="1"/>
  <c r="R408" i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R400" i="1" l="1"/>
  <c r="S401" i="1"/>
  <c r="T401" i="1" s="1"/>
  <c r="S400" i="1" l="1"/>
  <c r="T400" i="1" s="1"/>
  <c r="R399" i="1"/>
  <c r="R398" i="1" l="1"/>
  <c r="S399" i="1"/>
  <c r="T399" i="1" s="1"/>
  <c r="S398" i="1" l="1"/>
  <c r="T398" i="1" s="1"/>
  <c r="R397" i="1"/>
  <c r="R396" i="1" l="1"/>
  <c r="S397" i="1"/>
  <c r="T397" i="1" s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R362" i="1" l="1"/>
  <c r="S363" i="1"/>
  <c r="T363" i="1" s="1"/>
  <c r="S362" i="1" l="1"/>
  <c r="T362" i="1" s="1"/>
  <c r="R361" i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S355" i="1" l="1"/>
  <c r="T355" i="1" s="1"/>
  <c r="R354" i="1"/>
  <c r="R353" i="1" l="1"/>
  <c r="S354" i="1"/>
  <c r="T354" i="1" s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R302" i="1" l="1"/>
  <c r="S303" i="1"/>
  <c r="T303" i="1" s="1"/>
  <c r="S302" i="1" l="1"/>
  <c r="T302" i="1" s="1"/>
  <c r="R301" i="1"/>
  <c r="S301" i="1" l="1"/>
  <c r="T301" i="1" s="1"/>
  <c r="R300" i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R258" i="1" l="1"/>
  <c r="S259" i="1"/>
  <c r="T259" i="1" s="1"/>
  <c r="S258" i="1" l="1"/>
  <c r="T258" i="1" s="1"/>
  <c r="R257" i="1"/>
  <c r="R256" i="1" l="1"/>
  <c r="S257" i="1"/>
  <c r="T257" i="1" s="1"/>
  <c r="S256" i="1" l="1"/>
  <c r="T256" i="1" s="1"/>
  <c r="R255" i="1"/>
  <c r="S255" i="1" l="1"/>
  <c r="T255" i="1" s="1"/>
  <c r="R254" i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S222" i="1" l="1"/>
  <c r="T222" i="1" s="1"/>
  <c r="R221" i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S213" i="1" l="1"/>
  <c r="T213" i="1" s="1"/>
  <c r="R212" i="1"/>
  <c r="R211" i="1" l="1"/>
  <c r="S212" i="1"/>
  <c r="T212" i="1" s="1"/>
  <c r="S211" i="1" l="1"/>
  <c r="T211" i="1" s="1"/>
  <c r="R210" i="1"/>
  <c r="R209" i="1" l="1"/>
  <c r="S210" i="1"/>
  <c r="T210" i="1" s="1"/>
  <c r="S209" i="1" l="1"/>
  <c r="T209" i="1" s="1"/>
  <c r="R208" i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S161" i="1" l="1"/>
  <c r="T161" i="1" s="1"/>
  <c r="R160" i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S141" i="1" l="1"/>
  <c r="T141" i="1" s="1"/>
  <c r="R140" i="1"/>
  <c r="S140" i="1" l="1"/>
  <c r="T140" i="1" s="1"/>
  <c r="R139" i="1"/>
  <c r="R138" i="1" l="1"/>
  <c r="S139" i="1"/>
  <c r="T139" i="1" s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S129" i="1" l="1"/>
  <c r="T129" i="1" s="1"/>
  <c r="R128" i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S104" i="1" l="1"/>
  <c r="T104" i="1" s="1"/>
  <c r="R103" i="1"/>
  <c r="S103" i="1" l="1"/>
  <c r="T103" i="1" s="1"/>
  <c r="R102" i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S76" i="1" l="1"/>
  <c r="T76" i="1" s="1"/>
  <c r="R75" i="1"/>
  <c r="S75" i="1" l="1"/>
  <c r="T75" i="1" s="1"/>
  <c r="R74" i="1"/>
  <c r="R73" i="1" l="1"/>
  <c r="S74" i="1"/>
  <c r="T74" i="1" s="1"/>
  <c r="S73" i="1" l="1"/>
  <c r="T73" i="1" s="1"/>
  <c r="R72" i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S29" i="1" l="1"/>
  <c r="T29" i="1" s="1"/>
  <c r="R28" i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<sst xmlns="http://schemas.openxmlformats.org/spreadsheetml/2006/main" count="5945" uniqueCount="34">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</sst>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0.83599999999999997</c:v>
                </c:pt>
                <c:pt idx="1">
                  <c:v>0.85599999999999998</c:v>
                </c:pt>
                <c:pt idx="2">
                  <c:v>0.85199999999999998</c:v>
                </c:pt>
                <c:pt idx="3">
                  <c:v>0.82</c:v>
                </c:pt>
                <c:pt idx="4">
                  <c:v>0.88100000000000001</c:v>
                </c:pt>
                <c:pt idx="5">
                  <c:v>0.87</c:v>
                </c:pt>
                <c:pt idx="6">
                  <c:v>0.98399999999999999</c:v>
                </c:pt>
                <c:pt idx="7">
                  <c:v>1.143</c:v>
                </c:pt>
                <c:pt idx="8">
                  <c:v>1.222</c:v>
                </c:pt>
                <c:pt idx="9">
                  <c:v>1.2729999999999999</c:v>
                </c:pt>
                <c:pt idx="10">
                  <c:v>1.246</c:v>
                </c:pt>
                <c:pt idx="11">
                  <c:v>1.3460000000000001</c:v>
                </c:pt>
                <c:pt idx="12">
                  <c:v>1.3240000000000001</c:v>
                </c:pt>
                <c:pt idx="13">
                  <c:v>1.3080000000000001</c:v>
                </c:pt>
                <c:pt idx="14">
                  <c:v>1.3009999999999999</c:v>
                </c:pt>
                <c:pt idx="15">
                  <c:v>1.363</c:v>
                </c:pt>
                <c:pt idx="16">
                  <c:v>1.2729999999999999</c:v>
                </c:pt>
                <c:pt idx="17">
                  <c:v>1.1879999999999999</c:v>
                </c:pt>
                <c:pt idx="18">
                  <c:v>1.2609999999999999</c:v>
                </c:pt>
                <c:pt idx="19">
                  <c:v>1.23</c:v>
                </c:pt>
                <c:pt idx="20">
                  <c:v>1.306</c:v>
                </c:pt>
                <c:pt idx="21">
                  <c:v>1.42</c:v>
                </c:pt>
                <c:pt idx="22">
                  <c:v>1.4650000000000001</c:v>
                </c:pt>
                <c:pt idx="23">
                  <c:v>1.6459999999999999</c:v>
                </c:pt>
                <c:pt idx="24">
                  <c:v>1.6160000000000001</c:v>
                </c:pt>
                <c:pt idx="25">
                  <c:v>1.667</c:v>
                </c:pt>
                <c:pt idx="26">
                  <c:v>1.651</c:v>
                </c:pt>
                <c:pt idx="27">
                  <c:v>1.542</c:v>
                </c:pt>
                <c:pt idx="28">
                  <c:v>1.5329999999999999</c:v>
                </c:pt>
                <c:pt idx="29">
                  <c:v>1.5760000000000001</c:v>
                </c:pt>
                <c:pt idx="30">
                  <c:v>1.5369999999999999</c:v>
                </c:pt>
                <c:pt idx="31">
                  <c:v>1.6859999999999999</c:v>
                </c:pt>
                <c:pt idx="32">
                  <c:v>1.6679999999999999</c:v>
                </c:pt>
                <c:pt idx="33">
                  <c:v>1.639</c:v>
                </c:pt>
                <c:pt idx="34">
                  <c:v>1.593</c:v>
                </c:pt>
                <c:pt idx="35">
                  <c:v>1.645</c:v>
                </c:pt>
                <c:pt idx="36">
                  <c:v>1.569</c:v>
                </c:pt>
                <c:pt idx="37">
                  <c:v>1.482</c:v>
                </c:pt>
                <c:pt idx="38">
                  <c:v>1.409</c:v>
                </c:pt>
                <c:pt idx="39">
                  <c:v>1.4530000000000001</c:v>
                </c:pt>
                <c:pt idx="40">
                  <c:v>1.4490000000000001</c:v>
                </c:pt>
                <c:pt idx="41">
                  <c:v>1.43</c:v>
                </c:pt>
                <c:pt idx="42">
                  <c:v>1.464</c:v>
                </c:pt>
                <c:pt idx="43">
                  <c:v>1.516</c:v>
                </c:pt>
                <c:pt idx="44">
                  <c:v>1.454</c:v>
                </c:pt>
                <c:pt idx="45">
                  <c:v>1.4279999999999999</c:v>
                </c:pt>
                <c:pt idx="46">
                  <c:v>1.635</c:v>
                </c:pt>
                <c:pt idx="47">
                  <c:v>1.6910000000000001</c:v>
                </c:pt>
                <c:pt idx="48">
                  <c:v>1.68</c:v>
                </c:pt>
                <c:pt idx="49">
                  <c:v>1.554</c:v>
                </c:pt>
                <c:pt idx="50">
                  <c:v>1.718</c:v>
                </c:pt>
                <c:pt idx="51">
                  <c:v>1.659</c:v>
                </c:pt>
                <c:pt idx="52">
                  <c:v>1.6619999999999999</c:v>
                </c:pt>
                <c:pt idx="53">
                  <c:v>1.673</c:v>
                </c:pt>
                <c:pt idx="54">
                  <c:v>1.915</c:v>
                </c:pt>
                <c:pt idx="55">
                  <c:v>2.5019999999999998</c:v>
                </c:pt>
                <c:pt idx="56">
                  <c:v>2.2240000000000002</c:v>
                </c:pt>
                <c:pt idx="57">
                  <c:v>2.1589999999999998</c:v>
                </c:pt>
                <c:pt idx="58">
                  <c:v>2.173</c:v>
                </c:pt>
                <c:pt idx="59">
                  <c:v>2.242</c:v>
                </c:pt>
                <c:pt idx="60">
                  <c:v>2.2010000000000001</c:v>
                </c:pt>
                <c:pt idx="61">
                  <c:v>2.242</c:v>
                </c:pt>
                <c:pt idx="62">
                  <c:v>2.1440000000000001</c:v>
                </c:pt>
                <c:pt idx="63">
                  <c:v>2.4670000000000001</c:v>
                </c:pt>
                <c:pt idx="64">
                  <c:v>2.3519999999999999</c:v>
                </c:pt>
                <c:pt idx="65">
                  <c:v>2.3199999999999998</c:v>
                </c:pt>
                <c:pt idx="66">
                  <c:v>2.1230000000000002</c:v>
                </c:pt>
                <c:pt idx="67">
                  <c:v>2.133</c:v>
                </c:pt>
                <c:pt idx="68">
                  <c:v>2.157</c:v>
                </c:pt>
                <c:pt idx="69">
                  <c:v>2.0430000000000001</c:v>
                </c:pt>
                <c:pt idx="70">
                  <c:v>1.9179999999999999</c:v>
                </c:pt>
                <c:pt idx="71">
                  <c:v>2.1509999999999998</c:v>
                </c:pt>
                <c:pt idx="72">
                  <c:v>2.11</c:v>
                </c:pt>
                <c:pt idx="73">
                  <c:v>2.4009999999999998</c:v>
                </c:pt>
                <c:pt idx="74">
                  <c:v>2.4460000000000002</c:v>
                </c:pt>
                <c:pt idx="75">
                  <c:v>2.4409999999999998</c:v>
                </c:pt>
                <c:pt idx="76">
                  <c:v>2.38</c:v>
                </c:pt>
                <c:pt idx="77">
                  <c:v>2.4489999999999998</c:v>
                </c:pt>
                <c:pt idx="78">
                  <c:v>2.3239999999999998</c:v>
                </c:pt>
                <c:pt idx="79">
                  <c:v>2.5739999999999998</c:v>
                </c:pt>
                <c:pt idx="80">
                  <c:v>2.7050000000000001</c:v>
                </c:pt>
                <c:pt idx="81">
                  <c:v>2.6139999999999999</c:v>
                </c:pt>
                <c:pt idx="82">
                  <c:v>2.5299999999999998</c:v>
                </c:pt>
                <c:pt idx="83">
                  <c:v>2.64</c:v>
                </c:pt>
                <c:pt idx="84">
                  <c:v>2.71</c:v>
                </c:pt>
                <c:pt idx="85">
                  <c:v>2.7570000000000001</c:v>
                </c:pt>
                <c:pt idx="86">
                  <c:v>2.6920000000000002</c:v>
                </c:pt>
                <c:pt idx="87">
                  <c:v>2.5470000000000002</c:v>
                </c:pt>
                <c:pt idx="88">
                  <c:v>2.5539999999999998</c:v>
                </c:pt>
                <c:pt idx="89">
                  <c:v>2.3140000000000001</c:v>
                </c:pt>
                <c:pt idx="90">
                  <c:v>2.2799999999999998</c:v>
                </c:pt>
                <c:pt idx="91">
                  <c:v>2.1459999999999999</c:v>
                </c:pt>
                <c:pt idx="92">
                  <c:v>2.0489999999999999</c:v>
                </c:pt>
                <c:pt idx="93">
                  <c:v>2.484</c:v>
                </c:pt>
                <c:pt idx="94">
                  <c:v>2.3849999999999998</c:v>
                </c:pt>
                <c:pt idx="95">
                  <c:v>2.2480000000000002</c:v>
                </c:pt>
                <c:pt idx="96">
                  <c:v>2.371</c:v>
                </c:pt>
                <c:pt idx="97">
                  <c:v>2.2669999999999999</c:v>
                </c:pt>
                <c:pt idx="98">
                  <c:v>2.2210000000000001</c:v>
                </c:pt>
                <c:pt idx="99">
                  <c:v>2.3719999999999999</c:v>
                </c:pt>
                <c:pt idx="100">
                  <c:v>2.347</c:v>
                </c:pt>
                <c:pt idx="101">
                  <c:v>2.423</c:v>
                </c:pt>
                <c:pt idx="102">
                  <c:v>2.4409999999999998</c:v>
                </c:pt>
                <c:pt idx="103">
                  <c:v>2.7149999999999999</c:v>
                </c:pt>
                <c:pt idx="104">
                  <c:v>2.6</c:v>
                </c:pt>
                <c:pt idx="105">
                  <c:v>2.855</c:v>
                </c:pt>
                <c:pt idx="106">
                  <c:v>2.19</c:v>
                </c:pt>
                <c:pt idx="107">
                  <c:v>1.907</c:v>
                </c:pt>
                <c:pt idx="108">
                  <c:v>1.7769999999999999</c:v>
                </c:pt>
                <c:pt idx="109">
                  <c:v>1.784</c:v>
                </c:pt>
                <c:pt idx="110">
                  <c:v>1.9059999999999999</c:v>
                </c:pt>
                <c:pt idx="111">
                  <c:v>1.9219999999999999</c:v>
                </c:pt>
                <c:pt idx="112">
                  <c:v>1.9670000000000001</c:v>
                </c:pt>
                <c:pt idx="113">
                  <c:v>1.9059999999999999</c:v>
                </c:pt>
                <c:pt idx="114">
                  <c:v>1.895</c:v>
                </c:pt>
                <c:pt idx="115">
                  <c:v>1.8320000000000001</c:v>
                </c:pt>
                <c:pt idx="116">
                  <c:v>1.89</c:v>
                </c:pt>
                <c:pt idx="117">
                  <c:v>1.7949999999999999</c:v>
                </c:pt>
                <c:pt idx="118">
                  <c:v>1.7929999999999999</c:v>
                </c:pt>
                <c:pt idx="119">
                  <c:v>1.6619999999999999</c:v>
                </c:pt>
                <c:pt idx="120">
                  <c:v>1.581</c:v>
                </c:pt>
                <c:pt idx="121">
                  <c:v>1.512</c:v>
                </c:pt>
                <c:pt idx="122">
                  <c:v>1.544</c:v>
                </c:pt>
                <c:pt idx="123">
                  <c:v>1.5669999999999999</c:v>
                </c:pt>
                <c:pt idx="124">
                  <c:v>1.603</c:v>
                </c:pt>
                <c:pt idx="125">
                  <c:v>1.5720000000000001</c:v>
                </c:pt>
                <c:pt idx="126">
                  <c:v>1.736</c:v>
                </c:pt>
                <c:pt idx="127">
                  <c:v>1.6359999999999999</c:v>
                </c:pt>
                <c:pt idx="128">
                  <c:v>1.4730000000000001</c:v>
                </c:pt>
                <c:pt idx="129">
                  <c:v>1.716</c:v>
                </c:pt>
                <c:pt idx="130">
                  <c:v>1.9179999999999999</c:v>
                </c:pt>
                <c:pt idx="131">
                  <c:v>1.982</c:v>
                </c:pt>
                <c:pt idx="132">
                  <c:v>1.9750000000000001</c:v>
                </c:pt>
                <c:pt idx="133">
                  <c:v>2.1819999999999999</c:v>
                </c:pt>
                <c:pt idx="134">
                  <c:v>2.16</c:v>
                </c:pt>
                <c:pt idx="135">
                  <c:v>2.101</c:v>
                </c:pt>
                <c:pt idx="136">
                  <c:v>2.0209999999999999</c:v>
                </c:pt>
                <c:pt idx="137">
                  <c:v>1.9910000000000001</c:v>
                </c:pt>
                <c:pt idx="138">
                  <c:v>1.877</c:v>
                </c:pt>
                <c:pt idx="139">
                  <c:v>1.8440000000000001</c:v>
                </c:pt>
                <c:pt idx="140">
                  <c:v>1.9930000000000001</c:v>
                </c:pt>
                <c:pt idx="141">
                  <c:v>1.91</c:v>
                </c:pt>
                <c:pt idx="142">
                  <c:v>1.9830000000000001</c:v>
                </c:pt>
                <c:pt idx="143">
                  <c:v>2.6520000000000001</c:v>
                </c:pt>
                <c:pt idx="144">
                  <c:v>2.8</c:v>
                </c:pt>
                <c:pt idx="145">
                  <c:v>2.7210000000000001</c:v>
                </c:pt>
                <c:pt idx="146">
                  <c:v>2.62</c:v>
                </c:pt>
                <c:pt idx="147">
                  <c:v>2.5209999999999999</c:v>
                </c:pt>
                <c:pt idx="148">
                  <c:v>2.5089999999999999</c:v>
                </c:pt>
                <c:pt idx="149">
                  <c:v>2.3450000000000002</c:v>
                </c:pt>
                <c:pt idx="150">
                  <c:v>2.319</c:v>
                </c:pt>
                <c:pt idx="151">
                  <c:v>2.4769999999999999</c:v>
                </c:pt>
                <c:pt idx="152">
                  <c:v>2.544</c:v>
                </c:pt>
                <c:pt idx="153">
                  <c:v>2.6379999999999999</c:v>
                </c:pt>
                <c:pt idx="154">
                  <c:v>2.4830000000000001</c:v>
                </c:pt>
                <c:pt idx="155">
                  <c:v>2.6747999999999998</c:v>
                </c:pt>
                <c:pt idx="156">
                  <c:v>2.5952999999999999</c:v>
                </c:pt>
                <c:pt idx="157">
                  <c:v>2.5697000000000001</c:v>
                </c:pt>
                <c:pt idx="158">
                  <c:v>2.4716999999999998</c:v>
                </c:pt>
                <c:pt idx="159">
                  <c:v>2.3325</c:v>
                </c:pt>
                <c:pt idx="160">
                  <c:v>2.3868</c:v>
                </c:pt>
                <c:pt idx="161">
                  <c:v>2.1941000000000002</c:v>
                </c:pt>
                <c:pt idx="162">
                  <c:v>2.0230000000000001</c:v>
                </c:pt>
                <c:pt idx="163">
                  <c:v>2.1192000000000002</c:v>
                </c:pt>
                <c:pt idx="164">
                  <c:v>2.1212</c:v>
                </c:pt>
                <c:pt idx="165">
                  <c:v>2.1692999999999998</c:v>
                </c:pt>
                <c:pt idx="166">
                  <c:v>2.0787</c:v>
                </c:pt>
                <c:pt idx="167">
                  <c:v>2.0714999999999999</c:v>
                </c:pt>
                <c:pt idx="168">
                  <c:v>1.8927</c:v>
                </c:pt>
                <c:pt idx="169">
                  <c:v>1.9622999999999999</c:v>
                </c:pt>
                <c:pt idx="170">
                  <c:v>1.9137</c:v>
                </c:pt>
                <c:pt idx="171">
                  <c:v>1.8755999999999999</c:v>
                </c:pt>
                <c:pt idx="172">
                  <c:v>1.8286</c:v>
                </c:pt>
                <c:pt idx="173">
                  <c:v>1.9416</c:v>
                </c:pt>
                <c:pt idx="174">
                  <c:v>1.9782999999999999</c:v>
                </c:pt>
                <c:pt idx="175">
                  <c:v>1.8127</c:v>
                </c:pt>
                <c:pt idx="176">
                  <c:v>1.8081</c:v>
                </c:pt>
                <c:pt idx="177">
                  <c:v>1.8097000000000001</c:v>
                </c:pt>
                <c:pt idx="178">
                  <c:v>1.7225999999999999</c:v>
                </c:pt>
                <c:pt idx="179">
                  <c:v>1.6828000000000001</c:v>
                </c:pt>
                <c:pt idx="180">
                  <c:v>1.7515000000000001</c:v>
                </c:pt>
                <c:pt idx="181">
                  <c:v>1.6736</c:v>
                </c:pt>
                <c:pt idx="182">
                  <c:v>1.7363</c:v>
                </c:pt>
                <c:pt idx="183">
                  <c:v>1.7076</c:v>
                </c:pt>
                <c:pt idx="184">
                  <c:v>1.8242</c:v>
                </c:pt>
                <c:pt idx="185">
                  <c:v>1.6875</c:v>
                </c:pt>
                <c:pt idx="186">
                  <c:v>1.6456999999999999</c:v>
                </c:pt>
                <c:pt idx="187">
                  <c:v>1.5803</c:v>
                </c:pt>
                <c:pt idx="188">
                  <c:v>1.4544999999999999</c:v>
                </c:pt>
                <c:pt idx="189">
                  <c:v>1.4706999999999999</c:v>
                </c:pt>
                <c:pt idx="190">
                  <c:v>1.3240000000000001</c:v>
                </c:pt>
                <c:pt idx="191">
                  <c:v>1.1910000000000001</c:v>
                </c:pt>
                <c:pt idx="192">
                  <c:v>1.3089</c:v>
                </c:pt>
                <c:pt idx="193">
                  <c:v>1.4905999999999999</c:v>
                </c:pt>
                <c:pt idx="194">
                  <c:v>1.6901999999999999</c:v>
                </c:pt>
                <c:pt idx="195">
                  <c:v>1.3543000000000001</c:v>
                </c:pt>
                <c:pt idx="196">
                  <c:v>1.3116000000000001</c:v>
                </c:pt>
                <c:pt idx="197">
                  <c:v>1.3221000000000001</c:v>
                </c:pt>
                <c:pt idx="198">
                  <c:v>1.2452000000000001</c:v>
                </c:pt>
                <c:pt idx="199">
                  <c:v>1.2231000000000001</c:v>
                </c:pt>
                <c:pt idx="200">
                  <c:v>1.246</c:v>
                </c:pt>
                <c:pt idx="201">
                  <c:v>1.2442</c:v>
                </c:pt>
                <c:pt idx="202">
                  <c:v>1.1711</c:v>
                </c:pt>
                <c:pt idx="203">
                  <c:v>1.163</c:v>
                </c:pt>
                <c:pt idx="204">
                  <c:v>1.2639</c:v>
                </c:pt>
                <c:pt idx="205">
                  <c:v>1.2709999999999999</c:v>
                </c:pt>
                <c:pt idx="206">
                  <c:v>1.1833</c:v>
                </c:pt>
                <c:pt idx="207">
                  <c:v>1.1895</c:v>
                </c:pt>
                <c:pt idx="208">
                  <c:v>1.1738999999999999</c:v>
                </c:pt>
                <c:pt idx="209">
                  <c:v>1.1418999999999999</c:v>
                </c:pt>
                <c:pt idx="210">
                  <c:v>1.0929</c:v>
                </c:pt>
                <c:pt idx="211">
                  <c:v>1.177</c:v>
                </c:pt>
                <c:pt idx="212">
                  <c:v>1.1619999999999999</c:v>
                </c:pt>
                <c:pt idx="213">
                  <c:v>1.1278999999999999</c:v>
                </c:pt>
                <c:pt idx="214">
                  <c:v>1.0624</c:v>
                </c:pt>
                <c:pt idx="215">
                  <c:v>1.0176000000000001</c:v>
                </c:pt>
                <c:pt idx="216">
                  <c:v>1.0015000000000001</c:v>
                </c:pt>
                <c:pt idx="217">
                  <c:v>1.1276999999999999</c:v>
                </c:pt>
                <c:pt idx="218">
                  <c:v>1.0774999999999999</c:v>
                </c:pt>
                <c:pt idx="219">
                  <c:v>1.0175000000000001</c:v>
                </c:pt>
                <c:pt idx="220">
                  <c:v>1.0315000000000001</c:v>
                </c:pt>
                <c:pt idx="221">
                  <c:v>1.4378</c:v>
                </c:pt>
                <c:pt idx="222">
                  <c:v>1.4278999999999999</c:v>
                </c:pt>
                <c:pt idx="223">
                  <c:v>1.51</c:v>
                </c:pt>
                <c:pt idx="224">
                  <c:v>1.6982999999999999</c:v>
                </c:pt>
                <c:pt idx="225">
                  <c:v>1.6235999999999999</c:v>
                </c:pt>
                <c:pt idx="226">
                  <c:v>1.7838000000000001</c:v>
                </c:pt>
                <c:pt idx="227">
                  <c:v>1.7934000000000001</c:v>
                </c:pt>
                <c:pt idx="228">
                  <c:v>1.7396</c:v>
                </c:pt>
                <c:pt idx="229">
                  <c:v>1.7317</c:v>
                </c:pt>
                <c:pt idx="230">
                  <c:v>1.6057999999999999</c:v>
                </c:pt>
                <c:pt idx="231">
                  <c:v>1.6372</c:v>
                </c:pt>
                <c:pt idx="232">
                  <c:v>1.7233000000000001</c:v>
                </c:pt>
                <c:pt idx="233">
                  <c:v>1.5733999999999999</c:v>
                </c:pt>
                <c:pt idx="234">
                  <c:v>1.6329</c:v>
                </c:pt>
                <c:pt idx="235">
                  <c:v>1.7869999999999999</c:v>
                </c:pt>
                <c:pt idx="236">
                  <c:v>1.6861999999999999</c:v>
                </c:pt>
                <c:pt idx="237">
                  <c:v>1.7642</c:v>
                </c:pt>
                <c:pt idx="238">
                  <c:v>1.9933000000000001</c:v>
                </c:pt>
                <c:pt idx="239">
                  <c:v>2.0038</c:v>
                </c:pt>
                <c:pt idx="240">
                  <c:v>1.9975000000000001</c:v>
                </c:pt>
                <c:pt idx="241">
                  <c:v>2.1743999999999999</c:v>
                </c:pt>
                <c:pt idx="242">
                  <c:v>1.6628000000000001</c:v>
                </c:pt>
                <c:pt idx="243">
                  <c:v>1.6152</c:v>
                </c:pt>
                <c:pt idx="244">
                  <c:v>1.7884</c:v>
                </c:pt>
                <c:pt idx="245">
                  <c:v>2.2345999999999999</c:v>
                </c:pt>
                <c:pt idx="246">
                  <c:v>1.7818000000000001</c:v>
                </c:pt>
                <c:pt idx="247">
                  <c:v>1.6496999999999999</c:v>
                </c:pt>
                <c:pt idx="248">
                  <c:v>1.4919</c:v>
                </c:pt>
                <c:pt idx="249">
                  <c:v>1.2390000000000001</c:v>
                </c:pt>
                <c:pt idx="250">
                  <c:v>1.4403999999999999</c:v>
                </c:pt>
                <c:pt idx="251">
                  <c:v>1.4730000000000001</c:v>
                </c:pt>
                <c:pt idx="252">
                  <c:v>1.7821</c:v>
                </c:pt>
                <c:pt idx="253">
                  <c:v>1.5517000000000001</c:v>
                </c:pt>
                <c:pt idx="254">
                  <c:v>2.7198000000000002</c:v>
                </c:pt>
                <c:pt idx="255">
                  <c:v>2.7427999999999999</c:v>
                </c:pt>
                <c:pt idx="256">
                  <c:v>2.9838</c:v>
                </c:pt>
                <c:pt idx="257">
                  <c:v>3.0341999999999998</c:v>
                </c:pt>
                <c:pt idx="258">
                  <c:v>3.3502000000000001</c:v>
                </c:pt>
                <c:pt idx="259">
                  <c:v>3.1556999999999999</c:v>
                </c:pt>
                <c:pt idx="260">
                  <c:v>3.1846000000000001</c:v>
                </c:pt>
                <c:pt idx="261">
                  <c:v>3.92</c:v>
                </c:pt>
                <c:pt idx="262">
                  <c:v>3.5268999999999999</c:v>
                </c:pt>
                <c:pt idx="263">
                  <c:v>3.9727000000000001</c:v>
                </c:pt>
                <c:pt idx="264">
                  <c:v>4.0837000000000003</c:v>
                </c:pt>
                <c:pt idx="265">
                  <c:v>4.2552000000000003</c:v>
                </c:pt>
                <c:pt idx="266">
                  <c:v>4.3612000000000002</c:v>
                </c:pt>
                <c:pt idx="267">
                  <c:v>4.1923000000000004</c:v>
                </c:pt>
                <c:pt idx="268">
                  <c:v>3.89</c:v>
                </c:pt>
                <c:pt idx="269">
                  <c:v>4.2648999999999999</c:v>
                </c:pt>
                <c:pt idx="270">
                  <c:v>4.3212000000000002</c:v>
                </c:pt>
                <c:pt idx="271">
                  <c:v>4.1405000000000003</c:v>
                </c:pt>
                <c:pt idx="272">
                  <c:v>4.0658000000000003</c:v>
                </c:pt>
                <c:pt idx="273">
                  <c:v>3.8269000000000002</c:v>
                </c:pt>
                <c:pt idx="274">
                  <c:v>3.7012</c:v>
                </c:pt>
                <c:pt idx="275">
                  <c:v>3.8700999999999999</c:v>
                </c:pt>
                <c:pt idx="276">
                  <c:v>3.6848999999999998</c:v>
                </c:pt>
                <c:pt idx="277">
                  <c:v>3.0314999999999999</c:v>
                </c:pt>
                <c:pt idx="278">
                  <c:v>2.9851999999999999</c:v>
                </c:pt>
                <c:pt idx="279">
                  <c:v>3.4302000000000001</c:v>
                </c:pt>
                <c:pt idx="280">
                  <c:v>3.8944000000000001</c:v>
                </c:pt>
                <c:pt idx="281">
                  <c:v>3.9121999999999999</c:v>
                </c:pt>
                <c:pt idx="282">
                  <c:v>3.923</c:v>
                </c:pt>
                <c:pt idx="283">
                  <c:v>3.9</c:v>
                </c:pt>
                <c:pt idx="284">
                  <c:v>4.0194999999999999</c:v>
                </c:pt>
                <c:pt idx="285">
                  <c:v>4.7114000000000003</c:v>
                </c:pt>
                <c:pt idx="286">
                  <c:v>4.5202999999999998</c:v>
                </c:pt>
                <c:pt idx="287">
                  <c:v>4.5740999999999996</c:v>
                </c:pt>
                <c:pt idx="288">
                  <c:v>4.5484999999999998</c:v>
                </c:pt>
                <c:pt idx="289">
                  <c:v>4.6349999999999998</c:v>
                </c:pt>
                <c:pt idx="290">
                  <c:v>4.9151999999999996</c:v>
                </c:pt>
                <c:pt idx="291">
                  <c:v>5.0991999999999997</c:v>
                </c:pt>
                <c:pt idx="292">
                  <c:v>4.9599000000000002</c:v>
                </c:pt>
                <c:pt idx="293">
                  <c:v>5.1387999999999998</c:v>
                </c:pt>
                <c:pt idx="294">
                  <c:v>5.4</c:v>
                </c:pt>
                <c:pt idx="295">
                  <c:v>5.4881000000000002</c:v>
                </c:pt>
                <c:pt idx="296">
                  <c:v>5.0970000000000004</c:v>
                </c:pt>
                <c:pt idx="297">
                  <c:v>4.7698</c:v>
                </c:pt>
                <c:pt idx="298">
                  <c:v>5.0968999999999998</c:v>
                </c:pt>
                <c:pt idx="299">
                  <c:v>4.9753999999999996</c:v>
                </c:pt>
                <c:pt idx="300">
                  <c:v>4.6525999999999996</c:v>
                </c:pt>
                <c:pt idx="301">
                  <c:v>4.8582000000000001</c:v>
                </c:pt>
                <c:pt idx="302">
                  <c:v>4.8022999999999998</c:v>
                </c:pt>
                <c:pt idx="303">
                  <c:v>4.2835000000000001</c:v>
                </c:pt>
                <c:pt idx="304">
                  <c:v>3.8502000000000001</c:v>
                </c:pt>
                <c:pt idx="305">
                  <c:v>3.3946999999999998</c:v>
                </c:pt>
                <c:pt idx="306">
                  <c:v>3.4222999999999999</c:v>
                </c:pt>
                <c:pt idx="307">
                  <c:v>3.0185</c:v>
                </c:pt>
                <c:pt idx="308">
                  <c:v>2.6698</c:v>
                </c:pt>
                <c:pt idx="309">
                  <c:v>2.7707999999999999</c:v>
                </c:pt>
                <c:pt idx="310">
                  <c:v>3.0985999999999998</c:v>
                </c:pt>
                <c:pt idx="311">
                  <c:v>3.4032</c:v>
                </c:pt>
                <c:pt idx="312">
                  <c:v>3.4775</c:v>
                </c:pt>
                <c:pt idx="313">
                  <c:v>3.4388999999999998</c:v>
                </c:pt>
                <c:pt idx="314">
                  <c:v>3.7149999999999999</c:v>
                </c:pt>
                <c:pt idx="315">
                  <c:v>3.9674</c:v>
                </c:pt>
                <c:pt idx="316">
                  <c:v>3.7698</c:v>
                </c:pt>
                <c:pt idx="317">
                  <c:v>3.8892000000000002</c:v>
                </c:pt>
                <c:pt idx="318">
                  <c:v>3.2738</c:v>
                </c:pt>
                <c:pt idx="319">
                  <c:v>3.4354</c:v>
                </c:pt>
                <c:pt idx="320">
                  <c:v>2.9689000000000001</c:v>
                </c:pt>
                <c:pt idx="321">
                  <c:v>2.5205000000000002</c:v>
                </c:pt>
                <c:pt idx="322">
                  <c:v>2.7307999999999999</c:v>
                </c:pt>
                <c:pt idx="323">
                  <c:v>2.7334999999999998</c:v>
                </c:pt>
                <c:pt idx="324">
                  <c:v>3.0992000000000002</c:v>
                </c:pt>
                <c:pt idx="325">
                  <c:v>2.6579999999999999</c:v>
                </c:pt>
                <c:pt idx="326">
                  <c:v>2.7397999999999998</c:v>
                </c:pt>
                <c:pt idx="327">
                  <c:v>2.8651</c:v>
                </c:pt>
                <c:pt idx="328">
                  <c:v>2.4464000000000001</c:v>
                </c:pt>
                <c:pt idx="329">
                  <c:v>2.1890999999999998</c:v>
                </c:pt>
                <c:pt idx="330">
                  <c:v>2.2534999999999998</c:v>
                </c:pt>
                <c:pt idx="331">
                  <c:v>2.0701000000000001</c:v>
                </c:pt>
                <c:pt idx="332">
                  <c:v>2.1467999999999998</c:v>
                </c:pt>
                <c:pt idx="333">
                  <c:v>1.9204000000000001</c:v>
                </c:pt>
                <c:pt idx="334">
                  <c:v>2.0331000000000001</c:v>
                </c:pt>
                <c:pt idx="335">
                  <c:v>1.9139999999999999</c:v>
                </c:pt>
                <c:pt idx="336">
                  <c:v>1.95</c:v>
                </c:pt>
                <c:pt idx="337">
                  <c:v>2.2157</c:v>
                </c:pt>
                <c:pt idx="338">
                  <c:v>1.98</c:v>
                </c:pt>
                <c:pt idx="339">
                  <c:v>2.5524</c:v>
                </c:pt>
                <c:pt idx="340">
                  <c:v>2.9455</c:v>
                </c:pt>
                <c:pt idx="341">
                  <c:v>2.9832000000000001</c:v>
                </c:pt>
                <c:pt idx="342">
                  <c:v>3.3216999999999999</c:v>
                </c:pt>
                <c:pt idx="343">
                  <c:v>3.2831999999999999</c:v>
                </c:pt>
                <c:pt idx="344">
                  <c:v>3.1335999999999999</c:v>
                </c:pt>
                <c:pt idx="345">
                  <c:v>3.0918000000000001</c:v>
                </c:pt>
                <c:pt idx="346">
                  <c:v>2.5847000000000002</c:v>
                </c:pt>
                <c:pt idx="347">
                  <c:v>2.8795999999999999</c:v>
                </c:pt>
                <c:pt idx="348">
                  <c:v>3.3317999999999999</c:v>
                </c:pt>
                <c:pt idx="349">
                  <c:v>3.4740000000000002</c:v>
                </c:pt>
                <c:pt idx="350">
                  <c:v>3.1840999999999999</c:v>
                </c:pt>
                <c:pt idx="351">
                  <c:v>2.7589999999999999</c:v>
                </c:pt>
                <c:pt idx="352">
                  <c:v>2.9659</c:v>
                </c:pt>
                <c:pt idx="353">
                  <c:v>2.4605999999999999</c:v>
                </c:pt>
                <c:pt idx="354">
                  <c:v>2.2808000000000002</c:v>
                </c:pt>
                <c:pt idx="355">
                  <c:v>2.1057000000000001</c:v>
                </c:pt>
                <c:pt idx="356">
                  <c:v>2.2949000000000002</c:v>
                </c:pt>
                <c:pt idx="357">
                  <c:v>2.177</c:v>
                </c:pt>
                <c:pt idx="358">
                  <c:v>2.15</c:v>
                </c:pt>
                <c:pt idx="359">
                  <c:v>2.2519999999999998</c:v>
                </c:pt>
                <c:pt idx="360">
                  <c:v>2.1303000000000001</c:v>
                </c:pt>
                <c:pt idx="361">
                  <c:v>1.6194</c:v>
                </c:pt>
                <c:pt idx="362">
                  <c:v>1.5556000000000001</c:v>
                </c:pt>
                <c:pt idx="363">
                  <c:v>1.4749000000000001</c:v>
                </c:pt>
                <c:pt idx="364">
                  <c:v>1.5441</c:v>
                </c:pt>
                <c:pt idx="365">
                  <c:v>1.3301000000000001</c:v>
                </c:pt>
                <c:pt idx="366">
                  <c:v>1.5497000000000001</c:v>
                </c:pt>
                <c:pt idx="367">
                  <c:v>1.5307999999999999</c:v>
                </c:pt>
                <c:pt idx="368">
                  <c:v>1.6514</c:v>
                </c:pt>
                <c:pt idx="369">
                  <c:v>1.6851</c:v>
                </c:pt>
                <c:pt idx="370">
                  <c:v>1.6992</c:v>
                </c:pt>
                <c:pt idx="371">
                  <c:v>1.4424999999999999</c:v>
                </c:pt>
                <c:pt idx="372">
                  <c:v>1.3521000000000001</c:v>
                </c:pt>
                <c:pt idx="373">
                  <c:v>1.2454000000000001</c:v>
                </c:pt>
                <c:pt idx="374">
                  <c:v>1.4137999999999999</c:v>
                </c:pt>
                <c:pt idx="375">
                  <c:v>1.3191999999999999</c:v>
                </c:pt>
                <c:pt idx="376">
                  <c:v>1.1193</c:v>
                </c:pt>
                <c:pt idx="377">
                  <c:v>1.0021</c:v>
                </c:pt>
                <c:pt idx="378">
                  <c:v>0.98640000000000005</c:v>
                </c:pt>
                <c:pt idx="379">
                  <c:v>0.95830000000000004</c:v>
                </c:pt>
                <c:pt idx="380">
                  <c:v>0.86519999999999997</c:v>
                </c:pt>
                <c:pt idx="381">
                  <c:v>0.90359999999999996</c:v>
                </c:pt>
                <c:pt idx="382">
                  <c:v>1.0327999999999999</c:v>
                </c:pt>
                <c:pt idx="383">
                  <c:v>1.0967</c:v>
                </c:pt>
                <c:pt idx="384">
                  <c:v>1.0168999999999999</c:v>
                </c:pt>
                <c:pt idx="385">
                  <c:v>0.95120000000000005</c:v>
                </c:pt>
                <c:pt idx="386">
                  <c:v>0.97560000000000002</c:v>
                </c:pt>
                <c:pt idx="387">
                  <c:v>0.9325</c:v>
                </c:pt>
                <c:pt idx="388">
                  <c:v>0.871</c:v>
                </c:pt>
                <c:pt idx="389">
                  <c:v>0.89470000000000005</c:v>
                </c:pt>
                <c:pt idx="390">
                  <c:v>0.83730000000000004</c:v>
                </c:pt>
                <c:pt idx="391">
                  <c:v>0.89959999999999996</c:v>
                </c:pt>
                <c:pt idx="392">
                  <c:v>0.86219999999999997</c:v>
                </c:pt>
                <c:pt idx="393">
                  <c:v>0.87839999999999996</c:v>
                </c:pt>
                <c:pt idx="394">
                  <c:v>0.83799999999999997</c:v>
                </c:pt>
                <c:pt idx="395">
                  <c:v>0.89470000000000005</c:v>
                </c:pt>
                <c:pt idx="396">
                  <c:v>0.83120000000000005</c:v>
                </c:pt>
                <c:pt idx="397">
                  <c:v>0.83220000000000005</c:v>
                </c:pt>
                <c:pt idx="398">
                  <c:v>0.84240000000000004</c:v>
                </c:pt>
                <c:pt idx="399">
                  <c:v>0.89600000000000002</c:v>
                </c:pt>
                <c:pt idx="400">
                  <c:v>0.83779999999999999</c:v>
                </c:pt>
                <c:pt idx="401">
                  <c:v>1.0270999999999999</c:v>
                </c:pt>
                <c:pt idx="402">
                  <c:v>1.0508999999999999</c:v>
                </c:pt>
                <c:pt idx="403">
                  <c:v>1.095</c:v>
                </c:pt>
                <c:pt idx="404">
                  <c:v>1.1933</c:v>
                </c:pt>
                <c:pt idx="405">
                  <c:v>1.2755000000000001</c:v>
                </c:pt>
                <c:pt idx="406">
                  <c:v>1.1819999999999999</c:v>
                </c:pt>
                <c:pt idx="407">
                  <c:v>1.1344000000000001</c:v>
                </c:pt>
                <c:pt idx="408">
                  <c:v>1.1114999999999999</c:v>
                </c:pt>
                <c:pt idx="409">
                  <c:v>1.1104000000000001</c:v>
                </c:pt>
                <c:pt idx="410">
                  <c:v>1.1684000000000001</c:v>
                </c:pt>
                <c:pt idx="411">
                  <c:v>1.1226</c:v>
                </c:pt>
                <c:pt idx="412">
                  <c:v>1.1498999999999999</c:v>
                </c:pt>
                <c:pt idx="413">
                  <c:v>1.2985</c:v>
                </c:pt>
                <c:pt idx="414">
                  <c:v>1.3962000000000001</c:v>
                </c:pt>
                <c:pt idx="415">
                  <c:v>1.3673</c:v>
                </c:pt>
                <c:pt idx="416">
                  <c:v>1.2088000000000001</c:v>
                </c:pt>
                <c:pt idx="417">
                  <c:v>1.2032</c:v>
                </c:pt>
                <c:pt idx="418">
                  <c:v>1.0689</c:v>
                </c:pt>
                <c:pt idx="419">
                  <c:v>1.0251999999999999</c:v>
                </c:pt>
                <c:pt idx="420">
                  <c:v>1.1319999999999999</c:v>
                </c:pt>
                <c:pt idx="421">
                  <c:v>1.1738</c:v>
                </c:pt>
                <c:pt idx="422">
                  <c:v>1.0484</c:v>
                </c:pt>
                <c:pt idx="423">
                  <c:v>1.0366</c:v>
                </c:pt>
                <c:pt idx="424">
                  <c:v>0.91900000000000004</c:v>
                </c:pt>
                <c:pt idx="425">
                  <c:v>0.90410000000000001</c:v>
                </c:pt>
                <c:pt idx="426">
                  <c:v>0.88239999999999996</c:v>
                </c:pt>
                <c:pt idx="427">
                  <c:v>0.89890000000000003</c:v>
                </c:pt>
                <c:pt idx="428">
                  <c:v>1.0922000000000001</c:v>
                </c:pt>
                <c:pt idx="429">
                  <c:v>1.1383000000000001</c:v>
                </c:pt>
                <c:pt idx="430">
                  <c:v>1.1974</c:v>
                </c:pt>
                <c:pt idx="431">
                  <c:v>1.1744000000000001</c:v>
                </c:pt>
                <c:pt idx="432">
                  <c:v>1.3064</c:v>
                </c:pt>
                <c:pt idx="433">
                  <c:v>1.4006000000000001</c:v>
                </c:pt>
                <c:pt idx="434">
                  <c:v>1.33</c:v>
                </c:pt>
                <c:pt idx="435">
                  <c:v>1.3119000000000001</c:v>
                </c:pt>
                <c:pt idx="436">
                  <c:v>1.2302999999999999</c:v>
                </c:pt>
                <c:pt idx="437">
                  <c:v>1.1556</c:v>
                </c:pt>
                <c:pt idx="438">
                  <c:v>0.96609999999999996</c:v>
                </c:pt>
                <c:pt idx="439">
                  <c:v>1.0507</c:v>
                </c:pt>
                <c:pt idx="440">
                  <c:v>0.8347</c:v>
                </c:pt>
                <c:pt idx="441">
                  <c:v>0.79849999999999999</c:v>
                </c:pt>
                <c:pt idx="442">
                  <c:v>0.8135</c:v>
                </c:pt>
                <c:pt idx="443">
                  <c:v>0.78920000000000001</c:v>
                </c:pt>
                <c:pt idx="444">
                  <c:v>0.7157</c:v>
                </c:pt>
                <c:pt idx="445">
                  <c:v>0.75700000000000001</c:v>
                </c:pt>
                <c:pt idx="446">
                  <c:v>0.73360000000000003</c:v>
                </c:pt>
                <c:pt idx="447">
                  <c:v>0.71409999999999996</c:v>
                </c:pt>
                <c:pt idx="448">
                  <c:v>0.66279999999999994</c:v>
                </c:pt>
                <c:pt idx="449">
                  <c:v>0.67889999999999995</c:v>
                </c:pt>
                <c:pt idx="450">
                  <c:v>0.71819999999999995</c:v>
                </c:pt>
                <c:pt idx="451">
                  <c:v>0.78879999999999995</c:v>
                </c:pt>
                <c:pt idx="452">
                  <c:v>0.79379999999999995</c:v>
                </c:pt>
                <c:pt idx="453">
                  <c:v>0.79039999999999999</c:v>
                </c:pt>
                <c:pt idx="454">
                  <c:v>0.79220000000000002</c:v>
                </c:pt>
                <c:pt idx="455">
                  <c:v>0.78410000000000002</c:v>
                </c:pt>
                <c:pt idx="456">
                  <c:v>0.81779999999999997</c:v>
                </c:pt>
                <c:pt idx="457">
                  <c:v>0.83730000000000004</c:v>
                </c:pt>
                <c:pt idx="458">
                  <c:v>0.84109999999999996</c:v>
                </c:pt>
                <c:pt idx="459">
                  <c:v>0.8921</c:v>
                </c:pt>
                <c:pt idx="460">
                  <c:v>0.91990000000000005</c:v>
                </c:pt>
                <c:pt idx="461">
                  <c:v>0.91620000000000001</c:v>
                </c:pt>
                <c:pt idx="462">
                  <c:v>0.94679999999999997</c:v>
                </c:pt>
                <c:pt idx="463">
                  <c:v>0.92579999999999996</c:v>
                </c:pt>
                <c:pt idx="464">
                  <c:v>0.93430000000000002</c:v>
                </c:pt>
                <c:pt idx="465">
                  <c:v>1.0533999999999999</c:v>
                </c:pt>
                <c:pt idx="466">
                  <c:v>0.95230000000000004</c:v>
                </c:pt>
                <c:pt idx="467">
                  <c:v>0.92889999999999995</c:v>
                </c:pt>
                <c:pt idx="468">
                  <c:v>0.92159999999999997</c:v>
                </c:pt>
                <c:pt idx="469">
                  <c:v>1.0138</c:v>
                </c:pt>
                <c:pt idx="470">
                  <c:v>1.0206999999999999</c:v>
                </c:pt>
                <c:pt idx="471">
                  <c:v>1.0782</c:v>
                </c:pt>
                <c:pt idx="472">
                  <c:v>1.0496000000000001</c:v>
                </c:pt>
                <c:pt idx="473">
                  <c:v>1.0720000000000001</c:v>
                </c:pt>
                <c:pt idx="474">
                  <c:v>1.0374000000000001</c:v>
                </c:pt>
                <c:pt idx="475">
                  <c:v>1.1759999999999999</c:v>
                </c:pt>
                <c:pt idx="476">
                  <c:v>1.1299999999999999</c:v>
                </c:pt>
                <c:pt idx="477">
                  <c:v>1.0564</c:v>
                </c:pt>
                <c:pt idx="478">
                  <c:v>1.0716000000000001</c:v>
                </c:pt>
                <c:pt idx="479">
                  <c:v>1.0841000000000001</c:v>
                </c:pt>
                <c:pt idx="480">
                  <c:v>1.2393000000000001</c:v>
                </c:pt>
                <c:pt idx="481">
                  <c:v>1.39</c:v>
                </c:pt>
                <c:pt idx="482">
                  <c:v>1.488</c:v>
                </c:pt>
                <c:pt idx="483">
                  <c:v>1.3103</c:v>
                </c:pt>
                <c:pt idx="484">
                  <c:v>1.4274</c:v>
                </c:pt>
                <c:pt idx="485">
                  <c:v>1.375</c:v>
                </c:pt>
                <c:pt idx="486">
                  <c:v>1.6039000000000001</c:v>
                </c:pt>
                <c:pt idx="487">
                  <c:v>2.0312999999999999</c:v>
                </c:pt>
                <c:pt idx="488">
                  <c:v>2.3285</c:v>
                </c:pt>
                <c:pt idx="489">
                  <c:v>2.4712000000000001</c:v>
                </c:pt>
                <c:pt idx="490">
                  <c:v>2.5834999999999999</c:v>
                </c:pt>
                <c:pt idx="491">
                  <c:v>2.415</c:v>
                </c:pt>
                <c:pt idx="492">
                  <c:v>2.6309999999999998</c:v>
                </c:pt>
                <c:pt idx="493">
                  <c:v>3.0028000000000001</c:v>
                </c:pt>
                <c:pt idx="494">
                  <c:v>3.6979000000000002</c:v>
                </c:pt>
                <c:pt idx="495">
                  <c:v>4.6153000000000004</c:v>
                </c:pt>
                <c:pt idx="496">
                  <c:v>3.0152000000000001</c:v>
                </c:pt>
                <c:pt idx="497">
                  <c:v>3.0305</c:v>
                </c:pt>
                <c:pt idx="498">
                  <c:v>4.5697000000000001</c:v>
                </c:pt>
                <c:pt idx="499">
                  <c:v>6.2073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7-423D-9A4B-CDFB6B9BB1E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-0.85091619399478469</c:v>
                </c:pt>
                <c:pt idx="1">
                  <c:v>-0.84976788424478467</c:v>
                </c:pt>
                <c:pt idx="2">
                  <c:v>-0.82615897781621339</c:v>
                </c:pt>
                <c:pt idx="3">
                  <c:v>-0.83185366723974274</c:v>
                </c:pt>
                <c:pt idx="4">
                  <c:v>-0.84045158249948293</c:v>
                </c:pt>
                <c:pt idx="5">
                  <c:v>-0.84447275849948289</c:v>
                </c:pt>
                <c:pt idx="6">
                  <c:v>-0.83061713453819253</c:v>
                </c:pt>
                <c:pt idx="7">
                  <c:v>-0.80357520477348665</c:v>
                </c:pt>
                <c:pt idx="8">
                  <c:v>-0.78640874077348677</c:v>
                </c:pt>
                <c:pt idx="9">
                  <c:v>-0.78287070492443023</c:v>
                </c:pt>
                <c:pt idx="10">
                  <c:v>-0.79456160366911111</c:v>
                </c:pt>
                <c:pt idx="11">
                  <c:v>-0.78248368994603423</c:v>
                </c:pt>
                <c:pt idx="12">
                  <c:v>-0.78106742819603425</c:v>
                </c:pt>
                <c:pt idx="13">
                  <c:v>-0.77827296143239799</c:v>
                </c:pt>
                <c:pt idx="14">
                  <c:v>-0.78339671320382653</c:v>
                </c:pt>
                <c:pt idx="15">
                  <c:v>-0.76765174514827106</c:v>
                </c:pt>
                <c:pt idx="16">
                  <c:v>-0.77866292046785857</c:v>
                </c:pt>
                <c:pt idx="17">
                  <c:v>-0.78903364446785851</c:v>
                </c:pt>
                <c:pt idx="18">
                  <c:v>-0.78026020209199654</c:v>
                </c:pt>
                <c:pt idx="19">
                  <c:v>-0.78422557128377746</c:v>
                </c:pt>
                <c:pt idx="20">
                  <c:v>-0.76214022408610282</c:v>
                </c:pt>
                <c:pt idx="21">
                  <c:v>-0.74865525774399755</c:v>
                </c:pt>
                <c:pt idx="22">
                  <c:v>-0.74820577803490662</c:v>
                </c:pt>
                <c:pt idx="23">
                  <c:v>-0.73584919567695217</c:v>
                </c:pt>
                <c:pt idx="24">
                  <c:v>-0.7326845599420122</c:v>
                </c:pt>
                <c:pt idx="25">
                  <c:v>-0.72888630519201225</c:v>
                </c:pt>
                <c:pt idx="26">
                  <c:v>-0.73932513421903934</c:v>
                </c:pt>
                <c:pt idx="27">
                  <c:v>-0.75463484800303937</c:v>
                </c:pt>
                <c:pt idx="28">
                  <c:v>-0.75246165371271689</c:v>
                </c:pt>
                <c:pt idx="29">
                  <c:v>-0.74912640260855012</c:v>
                </c:pt>
                <c:pt idx="30">
                  <c:v>-0.75466543788954199</c:v>
                </c:pt>
                <c:pt idx="31">
                  <c:v>-0.74395279503239919</c:v>
                </c:pt>
                <c:pt idx="32">
                  <c:v>-0.72976986168340574</c:v>
                </c:pt>
                <c:pt idx="33">
                  <c:v>-0.73717893017036229</c:v>
                </c:pt>
                <c:pt idx="34">
                  <c:v>-0.74252863652330359</c:v>
                </c:pt>
                <c:pt idx="35">
                  <c:v>-0.73337784321421273</c:v>
                </c:pt>
                <c:pt idx="36">
                  <c:v>-0.73426463629543093</c:v>
                </c:pt>
                <c:pt idx="37">
                  <c:v>-0.74383125342043077</c:v>
                </c:pt>
                <c:pt idx="38">
                  <c:v>-0.75995394257137439</c:v>
                </c:pt>
                <c:pt idx="39">
                  <c:v>-0.76596223959171328</c:v>
                </c:pt>
                <c:pt idx="40">
                  <c:v>-0.72715376598020232</c:v>
                </c:pt>
                <c:pt idx="41">
                  <c:v>-0.72049483874707354</c:v>
                </c:pt>
                <c:pt idx="42">
                  <c:v>-0.72022422700059463</c:v>
                </c:pt>
                <c:pt idx="43">
                  <c:v>-0.70565962106442437</c:v>
                </c:pt>
                <c:pt idx="44">
                  <c:v>-0.72439966412800827</c:v>
                </c:pt>
                <c:pt idx="45">
                  <c:v>-0.73341936072583414</c:v>
                </c:pt>
                <c:pt idx="46">
                  <c:v>-0.71679329395274194</c:v>
                </c:pt>
                <c:pt idx="47">
                  <c:v>-0.72461823058910568</c:v>
                </c:pt>
                <c:pt idx="48">
                  <c:v>-0.72628945927481992</c:v>
                </c:pt>
                <c:pt idx="49">
                  <c:v>-0.74360182467481994</c:v>
                </c:pt>
                <c:pt idx="50">
                  <c:v>-0.71193776749673776</c:v>
                </c:pt>
                <c:pt idx="51">
                  <c:v>-0.72074308099673756</c:v>
                </c:pt>
                <c:pt idx="52">
                  <c:v>-0.71947729243673753</c:v>
                </c:pt>
                <c:pt idx="53">
                  <c:v>-0.75599689009298754</c:v>
                </c:pt>
                <c:pt idx="54">
                  <c:v>-0.69167100104854318</c:v>
                </c:pt>
                <c:pt idx="55">
                  <c:v>-0.64124801818022115</c:v>
                </c:pt>
                <c:pt idx="56">
                  <c:v>-0.54868160099742513</c:v>
                </c:pt>
                <c:pt idx="57">
                  <c:v>-0.55892410946516702</c:v>
                </c:pt>
                <c:pt idx="58">
                  <c:v>-0.53175687510296232</c:v>
                </c:pt>
                <c:pt idx="59">
                  <c:v>-0.51625712606186647</c:v>
                </c:pt>
                <c:pt idx="60">
                  <c:v>-0.5122918108481912</c:v>
                </c:pt>
                <c:pt idx="61">
                  <c:v>-0.52225045035277828</c:v>
                </c:pt>
                <c:pt idx="62">
                  <c:v>-0.52098554021718524</c:v>
                </c:pt>
                <c:pt idx="63">
                  <c:v>-0.497479804478826</c:v>
                </c:pt>
                <c:pt idx="64">
                  <c:v>-0.51299966566930222</c:v>
                </c:pt>
                <c:pt idx="65">
                  <c:v>-0.52351568066930221</c:v>
                </c:pt>
                <c:pt idx="66">
                  <c:v>-0.53622021894202943</c:v>
                </c:pt>
                <c:pt idx="67">
                  <c:v>-0.53428581704632394</c:v>
                </c:pt>
                <c:pt idx="68">
                  <c:v>-0.52543866750086943</c:v>
                </c:pt>
                <c:pt idx="69">
                  <c:v>-0.5378729069251118</c:v>
                </c:pt>
                <c:pt idx="70">
                  <c:v>-0.54813353025844513</c:v>
                </c:pt>
                <c:pt idx="71">
                  <c:v>-0.53610002515572608</c:v>
                </c:pt>
                <c:pt idx="72">
                  <c:v>-0.54130556736530688</c:v>
                </c:pt>
                <c:pt idx="73">
                  <c:v>-0.5309660117458378</c:v>
                </c:pt>
                <c:pt idx="74">
                  <c:v>-0.51869589017630147</c:v>
                </c:pt>
                <c:pt idx="75">
                  <c:v>-0.51740882791314358</c:v>
                </c:pt>
                <c:pt idx="76">
                  <c:v>-0.5243533214920908</c:v>
                </c:pt>
                <c:pt idx="77">
                  <c:v>-0.5224231999895782</c:v>
                </c:pt>
                <c:pt idx="78">
                  <c:v>-0.53718501804267549</c:v>
                </c:pt>
                <c:pt idx="79">
                  <c:v>-0.52659708084932821</c:v>
                </c:pt>
                <c:pt idx="80">
                  <c:v>-0.50815528223046025</c:v>
                </c:pt>
                <c:pt idx="81">
                  <c:v>-0.53367967560910112</c:v>
                </c:pt>
                <c:pt idx="82">
                  <c:v>-0.54089283790967913</c:v>
                </c:pt>
                <c:pt idx="83">
                  <c:v>-0.53723116104052016</c:v>
                </c:pt>
                <c:pt idx="84">
                  <c:v>-0.52177245434007968</c:v>
                </c:pt>
                <c:pt idx="85">
                  <c:v>-0.51837930189940162</c:v>
                </c:pt>
                <c:pt idx="86">
                  <c:v>-0.5045932582635636</c:v>
                </c:pt>
                <c:pt idx="87">
                  <c:v>-0.51461898006646223</c:v>
                </c:pt>
                <c:pt idx="88">
                  <c:v>-0.53129399264802257</c:v>
                </c:pt>
                <c:pt idx="89">
                  <c:v>-0.57529731352180891</c:v>
                </c:pt>
                <c:pt idx="90">
                  <c:v>-0.58295487308702632</c:v>
                </c:pt>
                <c:pt idx="91">
                  <c:v>-0.60468872272452634</c:v>
                </c:pt>
                <c:pt idx="92">
                  <c:v>-0.60921055981754957</c:v>
                </c:pt>
                <c:pt idx="93">
                  <c:v>-0.57165360374940644</c:v>
                </c:pt>
                <c:pt idx="94">
                  <c:v>-0.57335114337750559</c:v>
                </c:pt>
                <c:pt idx="95">
                  <c:v>-0.59111738716460227</c:v>
                </c:pt>
                <c:pt idx="96">
                  <c:v>-0.58124924049260229</c:v>
                </c:pt>
                <c:pt idx="97">
                  <c:v>-0.58873388412896599</c:v>
                </c:pt>
                <c:pt idx="98">
                  <c:v>-0.58570003379563274</c:v>
                </c:pt>
                <c:pt idx="99">
                  <c:v>-0.56285552972290553</c:v>
                </c:pt>
                <c:pt idx="100">
                  <c:v>-0.56395614143401651</c:v>
                </c:pt>
                <c:pt idx="101">
                  <c:v>-0.50571939787782061</c:v>
                </c:pt>
                <c:pt idx="102">
                  <c:v>-0.505342845782076</c:v>
                </c:pt>
                <c:pt idx="103">
                  <c:v>-0.48098378404672631</c:v>
                </c:pt>
                <c:pt idx="104">
                  <c:v>-0.52376625309935776</c:v>
                </c:pt>
                <c:pt idx="105">
                  <c:v>-0.40053675373703918</c:v>
                </c:pt>
                <c:pt idx="106">
                  <c:v>-0.37774657727018229</c:v>
                </c:pt>
                <c:pt idx="107">
                  <c:v>-0.47362396358446801</c:v>
                </c:pt>
                <c:pt idx="108">
                  <c:v>-0.52149985924484532</c:v>
                </c:pt>
                <c:pt idx="109">
                  <c:v>-0.51745169092484533</c:v>
                </c:pt>
                <c:pt idx="110">
                  <c:v>-0.50075228181144327</c:v>
                </c:pt>
                <c:pt idx="111">
                  <c:v>-0.50032566715519322</c:v>
                </c:pt>
                <c:pt idx="112">
                  <c:v>-0.47938984952271457</c:v>
                </c:pt>
                <c:pt idx="113">
                  <c:v>-0.48112328774761426</c:v>
                </c:pt>
                <c:pt idx="114">
                  <c:v>-0.49675458394761418</c:v>
                </c:pt>
                <c:pt idx="115">
                  <c:v>-0.50646668546669826</c:v>
                </c:pt>
                <c:pt idx="116">
                  <c:v>-0.50132835785800256</c:v>
                </c:pt>
                <c:pt idx="117">
                  <c:v>-0.51389417961800254</c:v>
                </c:pt>
                <c:pt idx="118">
                  <c:v>-0.50551216102645324</c:v>
                </c:pt>
                <c:pt idx="119">
                  <c:v>-0.52671466739008954</c:v>
                </c:pt>
                <c:pt idx="120">
                  <c:v>-0.53947341719401121</c:v>
                </c:pt>
                <c:pt idx="121">
                  <c:v>-0.53199628851821201</c:v>
                </c:pt>
                <c:pt idx="122">
                  <c:v>-0.52072824055424816</c:v>
                </c:pt>
                <c:pt idx="123">
                  <c:v>-0.49753130669150303</c:v>
                </c:pt>
                <c:pt idx="124">
                  <c:v>-0.50767183077150302</c:v>
                </c:pt>
                <c:pt idx="125">
                  <c:v>-0.49600446326279224</c:v>
                </c:pt>
                <c:pt idx="126">
                  <c:v>-0.48358192459612553</c:v>
                </c:pt>
                <c:pt idx="127">
                  <c:v>-0.49597185526970067</c:v>
                </c:pt>
                <c:pt idx="128">
                  <c:v>-0.50994785496849582</c:v>
                </c:pt>
                <c:pt idx="129">
                  <c:v>-0.49204105170308704</c:v>
                </c:pt>
                <c:pt idx="130">
                  <c:v>-0.48187476693698533</c:v>
                </c:pt>
                <c:pt idx="131">
                  <c:v>-0.47598348615010005</c:v>
                </c:pt>
                <c:pt idx="132">
                  <c:v>-0.4729375499897947</c:v>
                </c:pt>
                <c:pt idx="133">
                  <c:v>-0.451133466539413</c:v>
                </c:pt>
                <c:pt idx="134">
                  <c:v>-0.46362235246533889</c:v>
                </c:pt>
                <c:pt idx="135">
                  <c:v>-0.47040763029867244</c:v>
                </c:pt>
                <c:pt idx="136">
                  <c:v>-0.47569821016168601</c:v>
                </c:pt>
                <c:pt idx="137">
                  <c:v>-0.49356457354743533</c:v>
                </c:pt>
                <c:pt idx="138">
                  <c:v>-0.51681569550763451</c:v>
                </c:pt>
                <c:pt idx="139">
                  <c:v>-0.51636772054356261</c:v>
                </c:pt>
                <c:pt idx="140">
                  <c:v>-0.50023015745297028</c:v>
                </c:pt>
                <c:pt idx="141">
                  <c:v>-0.50173292340497033</c:v>
                </c:pt>
                <c:pt idx="142">
                  <c:v>-0.51275561233304057</c:v>
                </c:pt>
                <c:pt idx="143">
                  <c:v>-0.4693379259824717</c:v>
                </c:pt>
                <c:pt idx="144">
                  <c:v>-0.47172048184599524</c:v>
                </c:pt>
                <c:pt idx="145">
                  <c:v>-0.48452655244599518</c:v>
                </c:pt>
                <c:pt idx="146">
                  <c:v>-0.47617738188023245</c:v>
                </c:pt>
                <c:pt idx="147">
                  <c:v>-0.49099064280042026</c:v>
                </c:pt>
                <c:pt idx="148">
                  <c:v>-0.45056326488552667</c:v>
                </c:pt>
                <c:pt idx="149">
                  <c:v>-0.47268515858117888</c:v>
                </c:pt>
                <c:pt idx="150">
                  <c:v>-0.46559038689664284</c:v>
                </c:pt>
                <c:pt idx="151">
                  <c:v>-0.45119627480140478</c:v>
                </c:pt>
                <c:pt idx="152">
                  <c:v>-0.44859121201193108</c:v>
                </c:pt>
                <c:pt idx="153">
                  <c:v>-0.43654686019859773</c:v>
                </c:pt>
                <c:pt idx="154">
                  <c:v>-0.45657006398966399</c:v>
                </c:pt>
                <c:pt idx="155">
                  <c:v>-0.43608340865515705</c:v>
                </c:pt>
                <c:pt idx="156">
                  <c:v>-0.46580925755488128</c:v>
                </c:pt>
                <c:pt idx="157">
                  <c:v>-0.44746771953552006</c:v>
                </c:pt>
                <c:pt idx="158">
                  <c:v>-0.45311602705249809</c:v>
                </c:pt>
                <c:pt idx="159">
                  <c:v>-0.45840737963976519</c:v>
                </c:pt>
                <c:pt idx="160">
                  <c:v>-0.42045585551351505</c:v>
                </c:pt>
                <c:pt idx="161">
                  <c:v>-0.45252726053681719</c:v>
                </c:pt>
                <c:pt idx="162">
                  <c:v>-0.47450976421854912</c:v>
                </c:pt>
                <c:pt idx="163">
                  <c:v>-0.45415064196240201</c:v>
                </c:pt>
                <c:pt idx="164">
                  <c:v>-0.42206900593945473</c:v>
                </c:pt>
                <c:pt idx="165">
                  <c:v>-0.39224955657637922</c:v>
                </c:pt>
                <c:pt idx="166">
                  <c:v>-0.41585102065908336</c:v>
                </c:pt>
                <c:pt idx="167">
                  <c:v>-0.42200504386224347</c:v>
                </c:pt>
                <c:pt idx="168">
                  <c:v>-0.44953375384218874</c:v>
                </c:pt>
                <c:pt idx="169">
                  <c:v>-0.43391169776218869</c:v>
                </c:pt>
                <c:pt idx="170">
                  <c:v>-0.41503191864023747</c:v>
                </c:pt>
                <c:pt idx="171">
                  <c:v>-0.42359721804531603</c:v>
                </c:pt>
                <c:pt idx="172">
                  <c:v>-0.44254216838556526</c:v>
                </c:pt>
                <c:pt idx="173">
                  <c:v>-0.43716408097929849</c:v>
                </c:pt>
                <c:pt idx="174">
                  <c:v>-0.41857669432786992</c:v>
                </c:pt>
                <c:pt idx="175">
                  <c:v>-0.45145470038207314</c:v>
                </c:pt>
                <c:pt idx="176">
                  <c:v>-0.47566347777207307</c:v>
                </c:pt>
                <c:pt idx="177">
                  <c:v>-0.45790639258097027</c:v>
                </c:pt>
                <c:pt idx="178">
                  <c:v>-0.50463294411264004</c:v>
                </c:pt>
                <c:pt idx="179">
                  <c:v>-0.50849632075208162</c:v>
                </c:pt>
                <c:pt idx="180">
                  <c:v>-0.47703284040062538</c:v>
                </c:pt>
                <c:pt idx="181">
                  <c:v>-0.48729049073126968</c:v>
                </c:pt>
                <c:pt idx="182">
                  <c:v>-0.48320691155892204</c:v>
                </c:pt>
                <c:pt idx="183">
                  <c:v>-0.49940830379773393</c:v>
                </c:pt>
                <c:pt idx="184">
                  <c:v>-0.48187170755277436</c:v>
                </c:pt>
                <c:pt idx="185">
                  <c:v>-0.51183823920569127</c:v>
                </c:pt>
                <c:pt idx="186">
                  <c:v>-0.42893885619802302</c:v>
                </c:pt>
                <c:pt idx="187">
                  <c:v>-0.42981263364992173</c:v>
                </c:pt>
                <c:pt idx="188">
                  <c:v>-0.43426211354018418</c:v>
                </c:pt>
                <c:pt idx="189">
                  <c:v>-0.43703534992035709</c:v>
                </c:pt>
                <c:pt idx="190">
                  <c:v>-0.46577375142316985</c:v>
                </c:pt>
                <c:pt idx="191">
                  <c:v>-0.48948646219702885</c:v>
                </c:pt>
                <c:pt idx="192">
                  <c:v>-0.46705812107307576</c:v>
                </c:pt>
                <c:pt idx="193">
                  <c:v>-0.42874953790015596</c:v>
                </c:pt>
                <c:pt idx="194">
                  <c:v>-0.37013734248376251</c:v>
                </c:pt>
                <c:pt idx="195">
                  <c:v>-0.47457557967368108</c:v>
                </c:pt>
                <c:pt idx="196">
                  <c:v>-0.42375436324526816</c:v>
                </c:pt>
                <c:pt idx="197">
                  <c:v>-0.3918483187954987</c:v>
                </c:pt>
                <c:pt idx="198">
                  <c:v>-0.42156877827544798</c:v>
                </c:pt>
                <c:pt idx="199">
                  <c:v>-0.4382703483348333</c:v>
                </c:pt>
                <c:pt idx="200">
                  <c:v>-0.42564615891650115</c:v>
                </c:pt>
                <c:pt idx="201">
                  <c:v>-0.41914221016744202</c:v>
                </c:pt>
                <c:pt idx="202">
                  <c:v>-0.43870258061289658</c:v>
                </c:pt>
                <c:pt idx="203">
                  <c:v>-0.45031423690203681</c:v>
                </c:pt>
                <c:pt idx="204">
                  <c:v>-0.43713558603325853</c:v>
                </c:pt>
                <c:pt idx="205">
                  <c:v>-0.40338305755082715</c:v>
                </c:pt>
                <c:pt idx="206">
                  <c:v>-0.43131380283575094</c:v>
                </c:pt>
                <c:pt idx="207">
                  <c:v>-0.44553934572983095</c:v>
                </c:pt>
                <c:pt idx="208">
                  <c:v>-0.44910649813897729</c:v>
                </c:pt>
                <c:pt idx="209">
                  <c:v>-0.45412466480460228</c:v>
                </c:pt>
                <c:pt idx="210">
                  <c:v>-0.47898707932580298</c:v>
                </c:pt>
                <c:pt idx="211">
                  <c:v>-0.46905081074127064</c:v>
                </c:pt>
                <c:pt idx="212">
                  <c:v>-0.48215912492702462</c:v>
                </c:pt>
                <c:pt idx="213">
                  <c:v>-0.47494036608327456</c:v>
                </c:pt>
                <c:pt idx="214">
                  <c:v>-0.47763208701197024</c:v>
                </c:pt>
                <c:pt idx="215">
                  <c:v>-0.49355280941632851</c:v>
                </c:pt>
                <c:pt idx="216">
                  <c:v>-0.50447210412388566</c:v>
                </c:pt>
                <c:pt idx="217">
                  <c:v>-0.48181209732485153</c:v>
                </c:pt>
                <c:pt idx="218">
                  <c:v>-0.49763302622857819</c:v>
                </c:pt>
                <c:pt idx="219">
                  <c:v>-0.50117543373102602</c:v>
                </c:pt>
                <c:pt idx="220">
                  <c:v>-0.5064920473462875</c:v>
                </c:pt>
                <c:pt idx="221">
                  <c:v>-0.45111478237766572</c:v>
                </c:pt>
                <c:pt idx="222">
                  <c:v>-0.4667569465978248</c:v>
                </c:pt>
                <c:pt idx="223">
                  <c:v>-0.4539231699469774</c:v>
                </c:pt>
                <c:pt idx="224">
                  <c:v>-0.43586835580666677</c:v>
                </c:pt>
                <c:pt idx="225">
                  <c:v>-0.43946224002667961</c:v>
                </c:pt>
                <c:pt idx="226">
                  <c:v>-0.41897441660044543</c:v>
                </c:pt>
                <c:pt idx="227">
                  <c:v>-0.41003485855667865</c:v>
                </c:pt>
                <c:pt idx="228">
                  <c:v>-0.40887592702894948</c:v>
                </c:pt>
                <c:pt idx="229">
                  <c:v>-0.43156098332910448</c:v>
                </c:pt>
                <c:pt idx="230">
                  <c:v>-0.4688451808725827</c:v>
                </c:pt>
                <c:pt idx="231">
                  <c:v>-0.43354381699861416</c:v>
                </c:pt>
                <c:pt idx="232">
                  <c:v>-0.42526948564812395</c:v>
                </c:pt>
                <c:pt idx="233">
                  <c:v>-0.45549554790902058</c:v>
                </c:pt>
                <c:pt idx="234">
                  <c:v>-0.46187559566078523</c:v>
                </c:pt>
                <c:pt idx="235">
                  <c:v>-0.43920346597996751</c:v>
                </c:pt>
                <c:pt idx="236">
                  <c:v>-0.45983945787683606</c:v>
                </c:pt>
                <c:pt idx="237">
                  <c:v>-0.41195375354734676</c:v>
                </c:pt>
                <c:pt idx="238">
                  <c:v>-0.38019507790000723</c:v>
                </c:pt>
                <c:pt idx="239">
                  <c:v>-0.34134957190623127</c:v>
                </c:pt>
                <c:pt idx="240">
                  <c:v>-0.33906225723344913</c:v>
                </c:pt>
                <c:pt idx="241">
                  <c:v>-0.31700189123234213</c:v>
                </c:pt>
                <c:pt idx="242">
                  <c:v>-0.38886509044491574</c:v>
                </c:pt>
                <c:pt idx="243">
                  <c:v>-0.39670674604774153</c:v>
                </c:pt>
                <c:pt idx="244">
                  <c:v>-0.35526565870927351</c:v>
                </c:pt>
                <c:pt idx="245">
                  <c:v>-0.28176628796372244</c:v>
                </c:pt>
                <c:pt idx="246">
                  <c:v>-0.35617871597917933</c:v>
                </c:pt>
                <c:pt idx="247">
                  <c:v>-0.35659480203970495</c:v>
                </c:pt>
                <c:pt idx="248">
                  <c:v>-0.39398707685660989</c:v>
                </c:pt>
                <c:pt idx="249">
                  <c:v>-0.42251678758100164</c:v>
                </c:pt>
                <c:pt idx="250">
                  <c:v>-0.41801443269891553</c:v>
                </c:pt>
                <c:pt idx="251">
                  <c:v>-0.42278828652568712</c:v>
                </c:pt>
                <c:pt idx="252">
                  <c:v>-0.40932939985702815</c:v>
                </c:pt>
                <c:pt idx="253">
                  <c:v>-0.42687697103006161</c:v>
                </c:pt>
                <c:pt idx="254">
                  <c:v>-0.37787845939345277</c:v>
                </c:pt>
                <c:pt idx="255">
                  <c:v>-0.35880164966424144</c:v>
                </c:pt>
                <c:pt idx="256">
                  <c:v>-0.3408646527062239</c:v>
                </c:pt>
                <c:pt idx="257">
                  <c:v>-0.33997092231258291</c:v>
                </c:pt>
                <c:pt idx="258">
                  <c:v>-0.31278496716041204</c:v>
                </c:pt>
                <c:pt idx="259">
                  <c:v>-0.31628166301613941</c:v>
                </c:pt>
                <c:pt idx="260">
                  <c:v>-0.31660668998042513</c:v>
                </c:pt>
                <c:pt idx="261">
                  <c:v>-0.29432809407567284</c:v>
                </c:pt>
                <c:pt idx="262">
                  <c:v>-0.31263551442530418</c:v>
                </c:pt>
                <c:pt idx="263">
                  <c:v>-0.3037619920630043</c:v>
                </c:pt>
                <c:pt idx="264">
                  <c:v>-0.30409548900325989</c:v>
                </c:pt>
                <c:pt idx="265">
                  <c:v>-0.29218822053187182</c:v>
                </c:pt>
                <c:pt idx="266">
                  <c:v>-0.2841874006383881</c:v>
                </c:pt>
                <c:pt idx="267">
                  <c:v>-0.2831972088978818</c:v>
                </c:pt>
                <c:pt idx="268">
                  <c:v>-0.29886381259598804</c:v>
                </c:pt>
                <c:pt idx="269">
                  <c:v>-0.26862822322602004</c:v>
                </c:pt>
                <c:pt idx="270">
                  <c:v>-0.25875588414726142</c:v>
                </c:pt>
                <c:pt idx="271">
                  <c:v>-0.27870590309018634</c:v>
                </c:pt>
                <c:pt idx="272">
                  <c:v>-0.29031311000175092</c:v>
                </c:pt>
                <c:pt idx="273">
                  <c:v>-0.30009140589982625</c:v>
                </c:pt>
                <c:pt idx="274">
                  <c:v>-0.29960174200036566</c:v>
                </c:pt>
                <c:pt idx="275">
                  <c:v>-0.29311796475576241</c:v>
                </c:pt>
                <c:pt idx="276">
                  <c:v>-0.30558681665384774</c:v>
                </c:pt>
                <c:pt idx="277">
                  <c:v>-0.34080621768841174</c:v>
                </c:pt>
                <c:pt idx="278">
                  <c:v>-0.33177221566255666</c:v>
                </c:pt>
                <c:pt idx="279">
                  <c:v>-0.30819801924291984</c:v>
                </c:pt>
                <c:pt idx="280">
                  <c:v>-0.30064903535661996</c:v>
                </c:pt>
                <c:pt idx="281">
                  <c:v>-0.2562820583918361</c:v>
                </c:pt>
                <c:pt idx="282">
                  <c:v>-0.25056507206364925</c:v>
                </c:pt>
                <c:pt idx="283">
                  <c:v>-0.27501732000811185</c:v>
                </c:pt>
                <c:pt idx="284">
                  <c:v>-0.26228893320000379</c:v>
                </c:pt>
                <c:pt idx="285">
                  <c:v>-0.26434431553640275</c:v>
                </c:pt>
                <c:pt idx="286">
                  <c:v>-0.25941730543440361</c:v>
                </c:pt>
                <c:pt idx="287">
                  <c:v>-0.2703448539525482</c:v>
                </c:pt>
                <c:pt idx="288">
                  <c:v>-0.26598406345254816</c:v>
                </c:pt>
                <c:pt idx="289">
                  <c:v>-0.26374287082545789</c:v>
                </c:pt>
                <c:pt idx="290">
                  <c:v>-0.2523460336154395</c:v>
                </c:pt>
                <c:pt idx="291">
                  <c:v>-0.23370702226298304</c:v>
                </c:pt>
                <c:pt idx="292">
                  <c:v>-0.24966666798464965</c:v>
                </c:pt>
                <c:pt idx="293">
                  <c:v>-0.22770670089012085</c:v>
                </c:pt>
                <c:pt idx="294">
                  <c:v>-0.21544660927006809</c:v>
                </c:pt>
                <c:pt idx="295">
                  <c:v>-0.20955128636527051</c:v>
                </c:pt>
                <c:pt idx="296">
                  <c:v>-0.23970917395213931</c:v>
                </c:pt>
                <c:pt idx="297">
                  <c:v>-0.2645997075165189</c:v>
                </c:pt>
                <c:pt idx="298">
                  <c:v>-0.24121589309690147</c:v>
                </c:pt>
                <c:pt idx="299">
                  <c:v>-0.22182680754130144</c:v>
                </c:pt>
                <c:pt idx="300">
                  <c:v>-0.2245312623457372</c:v>
                </c:pt>
                <c:pt idx="301">
                  <c:v>-0.19823738317451733</c:v>
                </c:pt>
                <c:pt idx="302">
                  <c:v>-0.20904916997977047</c:v>
                </c:pt>
                <c:pt idx="303">
                  <c:v>-0.25758312765239177</c:v>
                </c:pt>
                <c:pt idx="304">
                  <c:v>-0.2930429061732599</c:v>
                </c:pt>
                <c:pt idx="305">
                  <c:v>-0.32103436176728972</c:v>
                </c:pt>
                <c:pt idx="306">
                  <c:v>-0.3074324006388664</c:v>
                </c:pt>
                <c:pt idx="307">
                  <c:v>-0.33313226641980703</c:v>
                </c:pt>
                <c:pt idx="308">
                  <c:v>-0.35074825961160333</c:v>
                </c:pt>
                <c:pt idx="309">
                  <c:v>-0.3267886789550733</c:v>
                </c:pt>
                <c:pt idx="310">
                  <c:v>-0.30989298066399268</c:v>
                </c:pt>
                <c:pt idx="311">
                  <c:v>-0.27674583453432938</c:v>
                </c:pt>
                <c:pt idx="312">
                  <c:v>-0.24877828503569829</c:v>
                </c:pt>
                <c:pt idx="313">
                  <c:v>-0.26080298773875171</c:v>
                </c:pt>
                <c:pt idx="314">
                  <c:v>-0.23429011052386925</c:v>
                </c:pt>
                <c:pt idx="315">
                  <c:v>-0.20480269626339984</c:v>
                </c:pt>
                <c:pt idx="316">
                  <c:v>-0.20000765374685295</c:v>
                </c:pt>
                <c:pt idx="317">
                  <c:v>-0.21087116204865658</c:v>
                </c:pt>
                <c:pt idx="318">
                  <c:v>-0.24864175616517972</c:v>
                </c:pt>
                <c:pt idx="319">
                  <c:v>-0.24324705689390547</c:v>
                </c:pt>
                <c:pt idx="320">
                  <c:v>-0.27047317494944989</c:v>
                </c:pt>
                <c:pt idx="321">
                  <c:v>-0.31047039968549489</c:v>
                </c:pt>
                <c:pt idx="322">
                  <c:v>-0.2944234016449821</c:v>
                </c:pt>
                <c:pt idx="323">
                  <c:v>-0.29360878919792327</c:v>
                </c:pt>
                <c:pt idx="324">
                  <c:v>-0.2747023454247764</c:v>
                </c:pt>
                <c:pt idx="325">
                  <c:v>-0.31007840427597266</c:v>
                </c:pt>
                <c:pt idx="326">
                  <c:v>-0.30599778687448015</c:v>
                </c:pt>
                <c:pt idx="327">
                  <c:v>-0.28500024764625487</c:v>
                </c:pt>
                <c:pt idx="328">
                  <c:v>-0.33124940848134266</c:v>
                </c:pt>
                <c:pt idx="329">
                  <c:v>-0.35703219631683164</c:v>
                </c:pt>
                <c:pt idx="330">
                  <c:v>-0.33957543529497813</c:v>
                </c:pt>
                <c:pt idx="331">
                  <c:v>-0.34567420741140797</c:v>
                </c:pt>
                <c:pt idx="332">
                  <c:v>-0.3373844773691313</c:v>
                </c:pt>
                <c:pt idx="333">
                  <c:v>-0.34807302258261447</c:v>
                </c:pt>
                <c:pt idx="334">
                  <c:v>-0.34974214042935775</c:v>
                </c:pt>
                <c:pt idx="335">
                  <c:v>-0.34486045009244459</c:v>
                </c:pt>
                <c:pt idx="336">
                  <c:v>-0.34375902311847195</c:v>
                </c:pt>
                <c:pt idx="337">
                  <c:v>-0.31439864426870251</c:v>
                </c:pt>
                <c:pt idx="338">
                  <c:v>-0.34466476959663334</c:v>
                </c:pt>
                <c:pt idx="339">
                  <c:v>-0.3334816210547431</c:v>
                </c:pt>
                <c:pt idx="340">
                  <c:v>-0.34084404327894047</c:v>
                </c:pt>
                <c:pt idx="341">
                  <c:v>-0.33054325093430331</c:v>
                </c:pt>
                <c:pt idx="342">
                  <c:v>-0.31473325154195259</c:v>
                </c:pt>
                <c:pt idx="343">
                  <c:v>-0.30122141843384448</c:v>
                </c:pt>
                <c:pt idx="344">
                  <c:v>-0.31554484517595222</c:v>
                </c:pt>
                <c:pt idx="345">
                  <c:v>-0.3294102672521021</c:v>
                </c:pt>
                <c:pt idx="346">
                  <c:v>-0.36821765982367399</c:v>
                </c:pt>
                <c:pt idx="347">
                  <c:v>-0.36607393425515555</c:v>
                </c:pt>
                <c:pt idx="348">
                  <c:v>-0.34203628967222033</c:v>
                </c:pt>
                <c:pt idx="349">
                  <c:v>-0.34240238603898643</c:v>
                </c:pt>
                <c:pt idx="350">
                  <c:v>-0.36616517380104585</c:v>
                </c:pt>
                <c:pt idx="351">
                  <c:v>-0.38718491638055885</c:v>
                </c:pt>
                <c:pt idx="352">
                  <c:v>-0.39448355755309944</c:v>
                </c:pt>
                <c:pt idx="353">
                  <c:v>-0.45639867302339404</c:v>
                </c:pt>
                <c:pt idx="354">
                  <c:v>-0.45015720349178523</c:v>
                </c:pt>
                <c:pt idx="355">
                  <c:v>-0.48408542339726734</c:v>
                </c:pt>
                <c:pt idx="356">
                  <c:v>-0.45636808276884266</c:v>
                </c:pt>
                <c:pt idx="357">
                  <c:v>-0.46635606982182853</c:v>
                </c:pt>
                <c:pt idx="358">
                  <c:v>-0.47636581986894694</c:v>
                </c:pt>
                <c:pt idx="359">
                  <c:v>-0.45895781227624116</c:v>
                </c:pt>
                <c:pt idx="360">
                  <c:v>-0.47322927070063137</c:v>
                </c:pt>
                <c:pt idx="361">
                  <c:v>-0.52417176904840534</c:v>
                </c:pt>
                <c:pt idx="362">
                  <c:v>-0.5109441429731808</c:v>
                </c:pt>
                <c:pt idx="363">
                  <c:v>-0.5150170089115409</c:v>
                </c:pt>
                <c:pt idx="364">
                  <c:v>-0.50314521411971935</c:v>
                </c:pt>
                <c:pt idx="365">
                  <c:v>-0.4900307470234449</c:v>
                </c:pt>
                <c:pt idx="366">
                  <c:v>-0.47290380256464076</c:v>
                </c:pt>
                <c:pt idx="367">
                  <c:v>-0.48918017082823684</c:v>
                </c:pt>
                <c:pt idx="368">
                  <c:v>-0.46750722552657248</c:v>
                </c:pt>
                <c:pt idx="369">
                  <c:v>-0.4657913949784685</c:v>
                </c:pt>
                <c:pt idx="370">
                  <c:v>-0.44164163117606337</c:v>
                </c:pt>
                <c:pt idx="371">
                  <c:v>-0.50165657520014972</c:v>
                </c:pt>
                <c:pt idx="372">
                  <c:v>-0.4886358761081025</c:v>
                </c:pt>
                <c:pt idx="373">
                  <c:v>-0.52728884796973974</c:v>
                </c:pt>
                <c:pt idx="374">
                  <c:v>-0.4989698154270944</c:v>
                </c:pt>
                <c:pt idx="375">
                  <c:v>-0.48065038215225159</c:v>
                </c:pt>
                <c:pt idx="376">
                  <c:v>-0.5274307101398884</c:v>
                </c:pt>
                <c:pt idx="377">
                  <c:v>-0.55301193092038847</c:v>
                </c:pt>
                <c:pt idx="378">
                  <c:v>-0.55490758258388051</c:v>
                </c:pt>
                <c:pt idx="379">
                  <c:v>-0.56473047978950663</c:v>
                </c:pt>
                <c:pt idx="380">
                  <c:v>-0.58315805894571315</c:v>
                </c:pt>
                <c:pt idx="381">
                  <c:v>-0.57186490264690837</c:v>
                </c:pt>
                <c:pt idx="382">
                  <c:v>-0.56373636651945747</c:v>
                </c:pt>
                <c:pt idx="383">
                  <c:v>-0.55379580315945731</c:v>
                </c:pt>
                <c:pt idx="384">
                  <c:v>-0.56642113636359848</c:v>
                </c:pt>
                <c:pt idx="385">
                  <c:v>-0.58186602987240865</c:v>
                </c:pt>
                <c:pt idx="386">
                  <c:v>-0.55170743686970602</c:v>
                </c:pt>
                <c:pt idx="387">
                  <c:v>-0.55332834382554796</c:v>
                </c:pt>
                <c:pt idx="388">
                  <c:v>-0.56222631720992311</c:v>
                </c:pt>
                <c:pt idx="389">
                  <c:v>-0.55634817538949599</c:v>
                </c:pt>
                <c:pt idx="390">
                  <c:v>-0.57296442177770657</c:v>
                </c:pt>
                <c:pt idx="391">
                  <c:v>-0.56648768361139068</c:v>
                </c:pt>
                <c:pt idx="392">
                  <c:v>-0.56889406695211364</c:v>
                </c:pt>
                <c:pt idx="393">
                  <c:v>-0.56989965342211357</c:v>
                </c:pt>
                <c:pt idx="394">
                  <c:v>-0.58249811628831083</c:v>
                </c:pt>
                <c:pt idx="395">
                  <c:v>-0.57643454785925752</c:v>
                </c:pt>
                <c:pt idx="396">
                  <c:v>-0.57921014152932659</c:v>
                </c:pt>
                <c:pt idx="397">
                  <c:v>-0.57615627713325424</c:v>
                </c:pt>
                <c:pt idx="398">
                  <c:v>-0.57470225355177851</c:v>
                </c:pt>
                <c:pt idx="399">
                  <c:v>-0.56620959829908579</c:v>
                </c:pt>
                <c:pt idx="400">
                  <c:v>-0.5851723074496632</c:v>
                </c:pt>
                <c:pt idx="401">
                  <c:v>-0.56617897048559973</c:v>
                </c:pt>
                <c:pt idx="402">
                  <c:v>-0.56812669292602824</c:v>
                </c:pt>
                <c:pt idx="403">
                  <c:v>-0.56223405972744367</c:v>
                </c:pt>
                <c:pt idx="404">
                  <c:v>-0.54681160149435015</c:v>
                </c:pt>
                <c:pt idx="405">
                  <c:v>-0.52680575754690984</c:v>
                </c:pt>
                <c:pt idx="406">
                  <c:v>-0.54194924783711185</c:v>
                </c:pt>
                <c:pt idx="407">
                  <c:v>-0.54084679764508103</c:v>
                </c:pt>
                <c:pt idx="408">
                  <c:v>-0.55575602635371413</c:v>
                </c:pt>
                <c:pt idx="409">
                  <c:v>-0.54947805513851733</c:v>
                </c:pt>
                <c:pt idx="410">
                  <c:v>-0.54331744384326852</c:v>
                </c:pt>
                <c:pt idx="411">
                  <c:v>-0.55624903471377696</c:v>
                </c:pt>
                <c:pt idx="412">
                  <c:v>-0.5410194352288743</c:v>
                </c:pt>
                <c:pt idx="413">
                  <c:v>-0.52108292291618541</c:v>
                </c:pt>
                <c:pt idx="414">
                  <c:v>-0.49775216490838309</c:v>
                </c:pt>
                <c:pt idx="415">
                  <c:v>-0.43378056189952025</c:v>
                </c:pt>
                <c:pt idx="416">
                  <c:v>-0.46643300014494288</c:v>
                </c:pt>
                <c:pt idx="417">
                  <c:v>-0.43184107687409051</c:v>
                </c:pt>
                <c:pt idx="418">
                  <c:v>-0.48655950223037397</c:v>
                </c:pt>
                <c:pt idx="419">
                  <c:v>-0.49871783180442802</c:v>
                </c:pt>
                <c:pt idx="420">
                  <c:v>-0.46564390781057652</c:v>
                </c:pt>
                <c:pt idx="421">
                  <c:v>-0.44785817770346736</c:v>
                </c:pt>
                <c:pt idx="422">
                  <c:v>-0.47820817854883774</c:v>
                </c:pt>
                <c:pt idx="423">
                  <c:v>-0.47174508988530534</c:v>
                </c:pt>
                <c:pt idx="424">
                  <c:v>-0.49090156178855093</c:v>
                </c:pt>
                <c:pt idx="425">
                  <c:v>-0.49567729345196548</c:v>
                </c:pt>
                <c:pt idx="426">
                  <c:v>-0.49646821109996553</c:v>
                </c:pt>
                <c:pt idx="427">
                  <c:v>-0.49529278856069608</c:v>
                </c:pt>
                <c:pt idx="428">
                  <c:v>-0.479679472959056</c:v>
                </c:pt>
                <c:pt idx="429">
                  <c:v>-0.46592186327642959</c:v>
                </c:pt>
                <c:pt idx="430">
                  <c:v>-0.44854317301583335</c:v>
                </c:pt>
                <c:pt idx="431">
                  <c:v>-0.44472018305886007</c:v>
                </c:pt>
                <c:pt idx="432">
                  <c:v>-0.43634085982499426</c:v>
                </c:pt>
                <c:pt idx="433">
                  <c:v>-0.41523172786763729</c:v>
                </c:pt>
                <c:pt idx="434">
                  <c:v>-0.41611165905963543</c:v>
                </c:pt>
                <c:pt idx="435">
                  <c:v>-0.40707054499046802</c:v>
                </c:pt>
                <c:pt idx="436">
                  <c:v>-0.44610069294040033</c:v>
                </c:pt>
                <c:pt idx="437">
                  <c:v>-0.42633020664389887</c:v>
                </c:pt>
                <c:pt idx="438">
                  <c:v>-0.45992298199635528</c:v>
                </c:pt>
                <c:pt idx="439">
                  <c:v>-0.44038414319942881</c:v>
                </c:pt>
                <c:pt idx="440">
                  <c:v>-0.4829502544415919</c:v>
                </c:pt>
                <c:pt idx="441">
                  <c:v>-0.48484087044299051</c:v>
                </c:pt>
                <c:pt idx="442">
                  <c:v>-0.46832581716564242</c:v>
                </c:pt>
                <c:pt idx="443">
                  <c:v>-0.45332039208779434</c:v>
                </c:pt>
                <c:pt idx="444">
                  <c:v>-0.45536286126836528</c:v>
                </c:pt>
                <c:pt idx="445">
                  <c:v>-0.4530320079568676</c:v>
                </c:pt>
                <c:pt idx="446">
                  <c:v>-0.45420420810788803</c:v>
                </c:pt>
                <c:pt idx="447">
                  <c:v>-0.43199336103907765</c:v>
                </c:pt>
                <c:pt idx="448">
                  <c:v>-0.43334860876045694</c:v>
                </c:pt>
                <c:pt idx="449">
                  <c:v>-0.42985711758293838</c:v>
                </c:pt>
                <c:pt idx="450">
                  <c:v>-0.42786707175955124</c:v>
                </c:pt>
                <c:pt idx="451">
                  <c:v>-0.42643604150076342</c:v>
                </c:pt>
                <c:pt idx="452">
                  <c:v>-0.42536571559600145</c:v>
                </c:pt>
                <c:pt idx="453">
                  <c:v>-0.42564146083649734</c:v>
                </c:pt>
                <c:pt idx="454">
                  <c:v>-0.42021819242408592</c:v>
                </c:pt>
                <c:pt idx="455">
                  <c:v>-0.42393395932873712</c:v>
                </c:pt>
                <c:pt idx="456">
                  <c:v>-0.42061671548831159</c:v>
                </c:pt>
                <c:pt idx="457">
                  <c:v>-0.41744322995531358</c:v>
                </c:pt>
                <c:pt idx="458">
                  <c:v>-0.41430495293443215</c:v>
                </c:pt>
                <c:pt idx="459">
                  <c:v>-0.41174877630425677</c:v>
                </c:pt>
                <c:pt idx="460">
                  <c:v>-0.41079221840951996</c:v>
                </c:pt>
                <c:pt idx="461">
                  <c:v>-0.41102948409166284</c:v>
                </c:pt>
                <c:pt idx="462">
                  <c:v>-0.40998118797731858</c:v>
                </c:pt>
                <c:pt idx="463">
                  <c:v>-0.41028694879205968</c:v>
                </c:pt>
                <c:pt idx="464">
                  <c:v>-0.40945159880121218</c:v>
                </c:pt>
                <c:pt idx="465">
                  <c:v>-0.3937616796271054</c:v>
                </c:pt>
                <c:pt idx="466">
                  <c:v>-0.39042412923236858</c:v>
                </c:pt>
                <c:pt idx="467">
                  <c:v>-0.3899221919626269</c:v>
                </c:pt>
                <c:pt idx="468">
                  <c:v>-0.3872122389758344</c:v>
                </c:pt>
                <c:pt idx="469">
                  <c:v>-0.37485836589126531</c:v>
                </c:pt>
                <c:pt idx="470">
                  <c:v>-0.37122975809743813</c:v>
                </c:pt>
                <c:pt idx="471">
                  <c:v>-0.36368309636178242</c:v>
                </c:pt>
                <c:pt idx="472">
                  <c:v>-0.36604464241806378</c:v>
                </c:pt>
                <c:pt idx="473">
                  <c:v>-0.35486124649373951</c:v>
                </c:pt>
                <c:pt idx="474">
                  <c:v>-0.35973964611239523</c:v>
                </c:pt>
                <c:pt idx="475">
                  <c:v>-0.34440415034559502</c:v>
                </c:pt>
                <c:pt idx="476">
                  <c:v>-0.34596777430206849</c:v>
                </c:pt>
                <c:pt idx="477">
                  <c:v>-0.35602790513876198</c:v>
                </c:pt>
                <c:pt idx="478">
                  <c:v>-0.35874110415732963</c:v>
                </c:pt>
                <c:pt idx="479">
                  <c:v>-0.33474406561709613</c:v>
                </c:pt>
                <c:pt idx="480">
                  <c:v>-0.32046165863309417</c:v>
                </c:pt>
                <c:pt idx="481">
                  <c:v>-0.30429727896279113</c:v>
                </c:pt>
                <c:pt idx="482">
                  <c:v>-0.25938686219463464</c:v>
                </c:pt>
                <c:pt idx="483">
                  <c:v>-0.29070662026179889</c:v>
                </c:pt>
                <c:pt idx="484">
                  <c:v>-0.26917601407786962</c:v>
                </c:pt>
                <c:pt idx="485">
                  <c:v>-0.26885104639166274</c:v>
                </c:pt>
                <c:pt idx="486">
                  <c:v>-0.25260298658384606</c:v>
                </c:pt>
                <c:pt idx="487">
                  <c:v>-0.23447918657587796</c:v>
                </c:pt>
                <c:pt idx="488">
                  <c:v>-0.22523399732024821</c:v>
                </c:pt>
                <c:pt idx="489">
                  <c:v>-0.21788031744739111</c:v>
                </c:pt>
                <c:pt idx="490">
                  <c:v>-0.21355196571370505</c:v>
                </c:pt>
                <c:pt idx="491">
                  <c:v>-0.22309388793520166</c:v>
                </c:pt>
                <c:pt idx="492">
                  <c:v>-0.20946998751976006</c:v>
                </c:pt>
                <c:pt idx="493">
                  <c:v>-0.19941734680135687</c:v>
                </c:pt>
                <c:pt idx="494">
                  <c:v>-0.17611634715596425</c:v>
                </c:pt>
                <c:pt idx="495">
                  <c:v>-0.14958575658550971</c:v>
                </c:pt>
                <c:pt idx="496">
                  <c:v>-0.17383678124444804</c:v>
                </c:pt>
                <c:pt idx="497">
                  <c:v>-0.15172120041795906</c:v>
                </c:pt>
                <c:pt idx="498">
                  <c:v>-0.10825545004080799</c:v>
                </c:pt>
                <c:pt idx="499">
                  <c:v>-6.6608878150823017E-2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37-423D-9A4B-CDFB6B9BB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6041567"/>
        <c:axId val="1946042815"/>
      </c:lineChart>
      <c:dateAx>
        <c:axId val="19460415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042815"/>
        <c:crosses val="autoZero"/>
        <c:auto val="1"/>
        <c:lblOffset val="100"/>
        <c:baseTimeUnit val="days"/>
      </c:dateAx>
      <c:valAx>
        <c:axId val="194604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04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60179B-BDF7-4D9D-94FE-F4F6A5642E44}">
  <sheetPr/>
  <sheetViews>
    <sheetView zoomScale="5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630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B71D5-62FE-4ACE-ADDE-24770815399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19</v>
      </c>
      <c r="D2" s="4">
        <f>MIN(D3:D1912)</f>
        <v>0.60060000000000002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0.85599999999999998</v>
      </c>
      <c r="C5">
        <v>0.86599999999999999</v>
      </c>
      <c r="D5">
        <v>0.83399999999999996</v>
      </c>
      <c r="E5">
        <v>0.83599999999999997</v>
      </c>
      <c r="F5">
        <v>131235.4</v>
      </c>
      <c r="G5">
        <v>0.83599999999999997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-0.875</v>
      </c>
      <c r="Q5">
        <f t="shared" ref="Q5" si="1">F5*P5</f>
        <v>-114830.97499999999</v>
      </c>
      <c r="R5">
        <f t="shared" ref="R5" si="2">R6+Q5</f>
        <v>-85091619.399478465</v>
      </c>
      <c r="S5">
        <f t="shared" ref="S5" si="3">R5/100000</f>
        <v>-850.91619399478463</v>
      </c>
      <c r="T5">
        <f t="shared" ref="T5" si="4">S5/1000</f>
        <v>-0.85091619399478469</v>
      </c>
    </row>
    <row r="6" spans="1:20" x14ac:dyDescent="0.25">
      <c r="A6" s="5">
        <v>44587</v>
      </c>
      <c r="B6">
        <v>0.85199999999999998</v>
      </c>
      <c r="C6">
        <v>0.94</v>
      </c>
      <c r="D6">
        <v>0.84199999999999997</v>
      </c>
      <c r="E6">
        <v>0.85599999999999998</v>
      </c>
      <c r="F6">
        <v>3305246.9</v>
      </c>
      <c r="G6">
        <v>0.85599999999999998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-0.71428571428571397</v>
      </c>
      <c r="Q6">
        <f t="shared" ref="Q6" si="6">F6*P6</f>
        <v>-2360890.6428571418</v>
      </c>
      <c r="R6">
        <f t="shared" ref="R6" si="7">R7+Q6</f>
        <v>-84976788.424478471</v>
      </c>
      <c r="S6">
        <f t="shared" ref="S6" si="8">R6/100000</f>
        <v>-849.76788424478468</v>
      </c>
      <c r="T6">
        <f t="shared" ref="T6" si="9">S6/1000</f>
        <v>-0.84976788424478467</v>
      </c>
    </row>
    <row r="7" spans="1:20" x14ac:dyDescent="0.25">
      <c r="A7" s="5">
        <v>44586</v>
      </c>
      <c r="B7">
        <v>0.81899999999999995</v>
      </c>
      <c r="C7">
        <v>0.879</v>
      </c>
      <c r="D7">
        <v>0.79400000000000004</v>
      </c>
      <c r="E7">
        <v>0.85199999999999998</v>
      </c>
      <c r="F7">
        <v>1561447.1</v>
      </c>
      <c r="G7">
        <v>0.85199999999999998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0.36470588235294032</v>
      </c>
      <c r="Q7">
        <f t="shared" ref="Q7" si="11">F7*P7</f>
        <v>569468.94235293986</v>
      </c>
      <c r="R7">
        <f t="shared" ref="R7" si="12">R8+Q7</f>
        <v>-82615897.781621337</v>
      </c>
      <c r="S7">
        <f t="shared" ref="S7" si="13">R7/100000</f>
        <v>-826.15897781621334</v>
      </c>
      <c r="T7">
        <f t="shared" ref="T7" si="14">S7/1000</f>
        <v>-0.82615897781621339</v>
      </c>
    </row>
    <row r="8" spans="1:20" x14ac:dyDescent="0.25">
      <c r="A8" s="5">
        <v>44585</v>
      </c>
      <c r="B8">
        <v>0.88100000000000001</v>
      </c>
      <c r="C8">
        <v>0.88200000000000001</v>
      </c>
      <c r="D8">
        <v>0.72799999999999998</v>
      </c>
      <c r="E8">
        <v>0.82</v>
      </c>
      <c r="F8">
        <v>4413596.5</v>
      </c>
      <c r="G8">
        <v>0.82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0.19480519480519423</v>
      </c>
      <c r="Q8">
        <f t="shared" ref="Q8" si="16">F8*P8</f>
        <v>859791.52597402339</v>
      </c>
      <c r="R8">
        <f t="shared" ref="R8" si="17">R9+Q8</f>
        <v>-83185366.723974273</v>
      </c>
      <c r="S8">
        <f t="shared" ref="S8" si="18">R8/100000</f>
        <v>-831.85366723974278</v>
      </c>
      <c r="T8">
        <f t="shared" ref="T8" si="19">S8/1000</f>
        <v>-0.83185366723974274</v>
      </c>
    </row>
    <row r="9" spans="1:20" x14ac:dyDescent="0.25">
      <c r="A9" s="5">
        <v>44584</v>
      </c>
      <c r="B9">
        <v>0.87</v>
      </c>
      <c r="C9">
        <v>0.91900000000000004</v>
      </c>
      <c r="D9">
        <v>0.83099999999999996</v>
      </c>
      <c r="E9">
        <v>0.88100000000000001</v>
      </c>
      <c r="F9">
        <v>2948862.4</v>
      </c>
      <c r="G9">
        <v>0.88100000000000001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0.13636363636363635</v>
      </c>
      <c r="Q9">
        <f t="shared" ref="Q9" si="21">F9*P9</f>
        <v>402117.6</v>
      </c>
      <c r="R9">
        <f t="shared" ref="R9" si="22">R10+Q9</f>
        <v>-84045158.249948293</v>
      </c>
      <c r="S9">
        <f t="shared" ref="S9" si="23">R9/100000</f>
        <v>-840.45158249948292</v>
      </c>
      <c r="T9">
        <f t="shared" ref="T9" si="24">S9/1000</f>
        <v>-0.84045158249948293</v>
      </c>
    </row>
    <row r="10" spans="1:20" x14ac:dyDescent="0.25">
      <c r="A10" s="5">
        <v>44583</v>
      </c>
      <c r="B10">
        <v>0.98299999999999998</v>
      </c>
      <c r="C10">
        <v>1.0029999999999999</v>
      </c>
      <c r="D10">
        <v>0.78600000000000003</v>
      </c>
      <c r="E10">
        <v>0.87</v>
      </c>
      <c r="F10">
        <v>6136062.04</v>
      </c>
      <c r="G10">
        <v>0.87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-0.22580645161290305</v>
      </c>
      <c r="Q10">
        <f t="shared" ref="Q10" si="26">F10*P10</f>
        <v>-1385562.3961290312</v>
      </c>
      <c r="R10">
        <f t="shared" ref="R10" si="27">R11+Q10</f>
        <v>-84447275.849948287</v>
      </c>
      <c r="S10">
        <f t="shared" ref="S10" si="28">R10/100000</f>
        <v>-844.47275849948289</v>
      </c>
      <c r="T10">
        <f t="shared" ref="T10" si="29">S10/1000</f>
        <v>-0.84447275849948289</v>
      </c>
    </row>
    <row r="11" spans="1:20" x14ac:dyDescent="0.25">
      <c r="A11" s="5">
        <v>44582</v>
      </c>
      <c r="B11">
        <v>1.1419999999999999</v>
      </c>
      <c r="C11">
        <v>1.1559999999999999</v>
      </c>
      <c r="D11">
        <v>0.95199999999999996</v>
      </c>
      <c r="E11">
        <v>0.98399999999999999</v>
      </c>
      <c r="F11">
        <v>3940395.48</v>
      </c>
      <c r="G11">
        <v>0.98399999999999999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-0.68627450980392124</v>
      </c>
      <c r="Q11">
        <f t="shared" ref="Q11" si="31">F11*P11</f>
        <v>-2704192.9764705868</v>
      </c>
      <c r="R11">
        <f t="shared" ref="R11" si="32">R12+Q11</f>
        <v>-83061713.45381926</v>
      </c>
      <c r="S11">
        <f t="shared" ref="S11" si="33">R11/100000</f>
        <v>-830.61713453819254</v>
      </c>
      <c r="T11">
        <f t="shared" ref="T11" si="34">S11/1000</f>
        <v>-0.83061713453819253</v>
      </c>
    </row>
    <row r="12" spans="1:20" x14ac:dyDescent="0.25">
      <c r="A12" s="5">
        <v>44581</v>
      </c>
      <c r="B12">
        <v>1.2230000000000001</v>
      </c>
      <c r="C12">
        <v>1.282</v>
      </c>
      <c r="D12">
        <v>1.1319999999999999</v>
      </c>
      <c r="E12">
        <v>1.143</v>
      </c>
      <c r="F12">
        <v>2011695</v>
      </c>
      <c r="G12">
        <v>1.143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-0.85333333333333183</v>
      </c>
      <c r="Q12">
        <f t="shared" ref="Q12" si="36">F12*P12</f>
        <v>-1716646.3999999969</v>
      </c>
      <c r="R12">
        <f t="shared" ref="R12" si="37">R13+Q12</f>
        <v>-80357520.47734867</v>
      </c>
      <c r="S12">
        <f t="shared" ref="S12" si="38">R12/100000</f>
        <v>-803.57520477348669</v>
      </c>
      <c r="T12">
        <f t="shared" ref="T12" si="39">S12/1000</f>
        <v>-0.80357520477348665</v>
      </c>
    </row>
    <row r="13" spans="1:20" x14ac:dyDescent="0.25">
      <c r="A13" s="5">
        <v>44580</v>
      </c>
      <c r="B13">
        <v>1.274</v>
      </c>
      <c r="C13">
        <v>1.288</v>
      </c>
      <c r="D13">
        <v>1.1819999999999999</v>
      </c>
      <c r="E13">
        <v>1.222</v>
      </c>
      <c r="F13">
        <v>1442430</v>
      </c>
      <c r="G13">
        <v>1.222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-0.24528301886792453</v>
      </c>
      <c r="Q13">
        <f t="shared" ref="Q13" si="41">F13*P13</f>
        <v>-353803.58490566036</v>
      </c>
      <c r="R13">
        <f t="shared" ref="R13" si="42">R14+Q13</f>
        <v>-78640874.077348679</v>
      </c>
      <c r="S13">
        <f t="shared" ref="S13" si="43">R13/100000</f>
        <v>-786.40874077348678</v>
      </c>
      <c r="T13">
        <f t="shared" ref="T13" si="44">S13/1000</f>
        <v>-0.78640874077348677</v>
      </c>
    </row>
    <row r="14" spans="1:20" x14ac:dyDescent="0.25">
      <c r="A14" s="5">
        <v>44579</v>
      </c>
      <c r="B14">
        <v>1.2470000000000001</v>
      </c>
      <c r="C14">
        <v>1.2889999999999999</v>
      </c>
      <c r="D14">
        <v>1.1950000000000001</v>
      </c>
      <c r="E14">
        <v>1.2729999999999999</v>
      </c>
      <c r="F14">
        <v>1772491.1</v>
      </c>
      <c r="G14">
        <v>1.2729999999999999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0.65957446808510556</v>
      </c>
      <c r="Q14">
        <f t="shared" ref="Q14" si="46">F14*P14</f>
        <v>1169089.8744680837</v>
      </c>
      <c r="R14">
        <f t="shared" ref="R14" si="47">R15+Q14</f>
        <v>-78287070.492443025</v>
      </c>
      <c r="S14">
        <f t="shared" ref="S14" si="48">R14/100000</f>
        <v>-782.87070492443024</v>
      </c>
      <c r="T14">
        <f t="shared" ref="T14" si="49">S14/1000</f>
        <v>-0.78287070492443023</v>
      </c>
    </row>
    <row r="15" spans="1:20" x14ac:dyDescent="0.25">
      <c r="A15" s="5">
        <v>44578</v>
      </c>
      <c r="B15">
        <v>1.35</v>
      </c>
      <c r="C15">
        <v>1.3520000000000001</v>
      </c>
      <c r="D15">
        <v>1.222</v>
      </c>
      <c r="E15">
        <v>1.246</v>
      </c>
      <c r="F15">
        <v>1914791.2</v>
      </c>
      <c r="G15">
        <v>1.246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-0.63076923076923075</v>
      </c>
      <c r="Q15">
        <f t="shared" ref="Q15" si="51">F15*P15</f>
        <v>-1207791.3723076922</v>
      </c>
      <c r="R15">
        <f t="shared" ref="R15" si="52">R16+Q15</f>
        <v>-79456160.366911113</v>
      </c>
      <c r="S15">
        <f t="shared" ref="S15" si="53">R15/100000</f>
        <v>-794.56160366911115</v>
      </c>
      <c r="T15">
        <f t="shared" ref="T15" si="54">S15/1000</f>
        <v>-0.79456160366911111</v>
      </c>
    </row>
    <row r="16" spans="1:20" x14ac:dyDescent="0.25">
      <c r="A16" s="5">
        <v>44577</v>
      </c>
      <c r="B16">
        <v>1.3240000000000001</v>
      </c>
      <c r="C16">
        <v>1.385</v>
      </c>
      <c r="D16">
        <v>1.3129999999999999</v>
      </c>
      <c r="E16">
        <v>1.3460000000000001</v>
      </c>
      <c r="F16">
        <v>1699514.1</v>
      </c>
      <c r="G16">
        <v>1.3460000000000001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-8.3333333333330248E-2</v>
      </c>
      <c r="Q16">
        <f t="shared" ref="Q16" si="56">F16*P16</f>
        <v>-141626.17499999475</v>
      </c>
      <c r="R16">
        <f t="shared" ref="R16" si="57">R17+Q16</f>
        <v>-78248368.994603425</v>
      </c>
      <c r="S16">
        <f t="shared" ref="S16" si="58">R16/100000</f>
        <v>-782.48368994603425</v>
      </c>
      <c r="T16">
        <f t="shared" ref="T16" si="59">S16/1000</f>
        <v>-0.78248368994603423</v>
      </c>
    </row>
    <row r="17" spans="1:20" x14ac:dyDescent="0.25">
      <c r="A17" s="5">
        <v>44576</v>
      </c>
      <c r="B17">
        <v>1.3089999999999999</v>
      </c>
      <c r="C17">
        <v>1.3580000000000001</v>
      </c>
      <c r="D17">
        <v>1.3029999999999999</v>
      </c>
      <c r="E17">
        <v>1.3240000000000001</v>
      </c>
      <c r="F17">
        <v>1182274.3999999999</v>
      </c>
      <c r="G17">
        <v>1.3240000000000001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-0.23636363636363386</v>
      </c>
      <c r="Q17">
        <f t="shared" ref="Q17" si="61">F17*P17</f>
        <v>-279446.67636363336</v>
      </c>
      <c r="R17">
        <f t="shared" ref="R17" si="62">R18+Q17</f>
        <v>-78106742.819603428</v>
      </c>
      <c r="S17">
        <f t="shared" ref="S17" si="63">R17/100000</f>
        <v>-781.06742819603426</v>
      </c>
      <c r="T17">
        <f t="shared" ref="T17" si="64">S17/1000</f>
        <v>-0.78106742819603425</v>
      </c>
    </row>
    <row r="18" spans="1:20" x14ac:dyDescent="0.25">
      <c r="A18" s="5">
        <v>44575</v>
      </c>
      <c r="B18">
        <v>1.3009999999999999</v>
      </c>
      <c r="C18">
        <v>1.331</v>
      </c>
      <c r="D18">
        <v>1.2609999999999999</v>
      </c>
      <c r="E18">
        <v>1.3080000000000001</v>
      </c>
      <c r="F18">
        <v>1494427.6</v>
      </c>
      <c r="G18">
        <v>1.3080000000000001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0.34285714285714602</v>
      </c>
      <c r="Q18">
        <f t="shared" ref="Q18" si="66">F18*P18</f>
        <v>512375.17714286188</v>
      </c>
      <c r="R18">
        <f t="shared" ref="R18" si="67">R19+Q18</f>
        <v>-77827296.143239796</v>
      </c>
      <c r="S18">
        <f t="shared" ref="S18" si="68">R18/100000</f>
        <v>-778.27296143239801</v>
      </c>
      <c r="T18">
        <f t="shared" ref="T18" si="69">S18/1000</f>
        <v>-0.77827296143239799</v>
      </c>
    </row>
    <row r="19" spans="1:20" x14ac:dyDescent="0.25">
      <c r="A19" s="5">
        <v>44574</v>
      </c>
      <c r="B19">
        <v>1.363</v>
      </c>
      <c r="C19">
        <v>1.4379999999999999</v>
      </c>
      <c r="D19">
        <v>1.294</v>
      </c>
      <c r="E19">
        <v>1.3009999999999999</v>
      </c>
      <c r="F19">
        <v>1744058</v>
      </c>
      <c r="G19">
        <v>1.3009999999999999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-0.90277777777777912</v>
      </c>
      <c r="Q19">
        <f t="shared" ref="Q19" si="71">F19*P19</f>
        <v>-1574496.8055555578</v>
      </c>
      <c r="R19">
        <f t="shared" ref="R19" si="72">R20+Q19</f>
        <v>-78339671.320382655</v>
      </c>
      <c r="S19">
        <f t="shared" ref="S19" si="73">R19/100000</f>
        <v>-783.39671320382649</v>
      </c>
      <c r="T19">
        <f t="shared" ref="T19" si="74">S19/1000</f>
        <v>-0.78339671320382653</v>
      </c>
    </row>
    <row r="20" spans="1:20" x14ac:dyDescent="0.25">
      <c r="A20" s="5">
        <v>44573</v>
      </c>
      <c r="B20">
        <v>1.274</v>
      </c>
      <c r="C20">
        <v>1.37</v>
      </c>
      <c r="D20">
        <v>1.2729999999999999</v>
      </c>
      <c r="E20">
        <v>1.363</v>
      </c>
      <c r="F20">
        <v>1286848.2</v>
      </c>
      <c r="G20">
        <v>1.363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0.85567010309278135</v>
      </c>
      <c r="Q20">
        <f t="shared" ref="Q20" si="76">F20*P20</f>
        <v>1101117.53195876</v>
      </c>
      <c r="R20">
        <f t="shared" ref="R20" si="77">R21+Q20</f>
        <v>-76765174.514827102</v>
      </c>
      <c r="S20">
        <f t="shared" ref="S20" si="78">R20/100000</f>
        <v>-767.65174514827106</v>
      </c>
      <c r="T20">
        <f t="shared" ref="T20" si="79">S20/1000</f>
        <v>-0.76765174514827106</v>
      </c>
    </row>
    <row r="21" spans="1:20" x14ac:dyDescent="0.25">
      <c r="A21" s="5">
        <v>44572</v>
      </c>
      <c r="B21">
        <v>1.1879999999999999</v>
      </c>
      <c r="C21">
        <v>1.28</v>
      </c>
      <c r="D21">
        <v>1.175</v>
      </c>
      <c r="E21">
        <v>1.2729999999999999</v>
      </c>
      <c r="F21">
        <v>1196622</v>
      </c>
      <c r="G21">
        <v>1.2729999999999999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0.86666666666666436</v>
      </c>
      <c r="Q21">
        <f t="shared" ref="Q21" si="81">F21*P21</f>
        <v>1037072.3999999972</v>
      </c>
      <c r="R21">
        <f t="shared" ref="R21" si="82">R22+Q21</f>
        <v>-77866292.046785861</v>
      </c>
      <c r="S21">
        <f t="shared" ref="S21" si="83">R21/100000</f>
        <v>-778.66292046785861</v>
      </c>
      <c r="T21">
        <f t="shared" ref="T21" si="84">S21/1000</f>
        <v>-0.77866292046785857</v>
      </c>
    </row>
    <row r="22" spans="1:20" x14ac:dyDescent="0.25">
      <c r="A22" s="5">
        <v>44571</v>
      </c>
      <c r="B22">
        <v>1.2589999999999999</v>
      </c>
      <c r="C22">
        <v>1.2929999999999999</v>
      </c>
      <c r="D22">
        <v>1.1479999999999999</v>
      </c>
      <c r="E22">
        <v>1.1879999999999999</v>
      </c>
      <c r="F22">
        <v>1957152.53</v>
      </c>
      <c r="G22">
        <v>1.1879999999999999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-0.44827586206896508</v>
      </c>
      <c r="Q22">
        <f t="shared" ref="Q22" si="86">F22*P22</f>
        <v>-877344.23758620606</v>
      </c>
      <c r="R22">
        <f t="shared" ref="R22" si="87">R23+Q22</f>
        <v>-78903364.446785852</v>
      </c>
      <c r="S22">
        <f t="shared" ref="S22" si="88">R22/100000</f>
        <v>-789.03364446785849</v>
      </c>
      <c r="T22">
        <f t="shared" ref="T22" si="89">S22/1000</f>
        <v>-0.78903364446785851</v>
      </c>
    </row>
    <row r="23" spans="1:20" x14ac:dyDescent="0.25">
      <c r="A23" s="5">
        <v>44570</v>
      </c>
      <c r="B23">
        <v>1.2290000000000001</v>
      </c>
      <c r="C23">
        <v>1.286</v>
      </c>
      <c r="D23">
        <v>1.2130000000000001</v>
      </c>
      <c r="E23">
        <v>1.2609999999999999</v>
      </c>
      <c r="F23">
        <v>1258573.7</v>
      </c>
      <c r="G23">
        <v>1.2609999999999999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0.31506849315068086</v>
      </c>
      <c r="Q23">
        <f t="shared" ref="Q23" si="91">F23*P23</f>
        <v>396536.91917807708</v>
      </c>
      <c r="R23">
        <f t="shared" ref="R23" si="92">R24+Q23</f>
        <v>-78026020.209199652</v>
      </c>
      <c r="S23">
        <f t="shared" ref="S23" si="93">R23/100000</f>
        <v>-780.26020209199658</v>
      </c>
      <c r="T23">
        <f t="shared" ref="T23" si="94">S23/1000</f>
        <v>-0.78026020209199654</v>
      </c>
    </row>
    <row r="24" spans="1:20" x14ac:dyDescent="0.25">
      <c r="A24" s="5">
        <v>44569</v>
      </c>
      <c r="B24">
        <v>1.3089999999999999</v>
      </c>
      <c r="C24">
        <v>1.375</v>
      </c>
      <c r="D24">
        <v>1.2030000000000001</v>
      </c>
      <c r="E24">
        <v>1.23</v>
      </c>
      <c r="F24">
        <v>3219220.1</v>
      </c>
      <c r="G24">
        <v>1.23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-0.68604651162790786</v>
      </c>
      <c r="Q24">
        <f t="shared" ref="Q24" si="96">F24*P24</f>
        <v>-2208534.7197674448</v>
      </c>
      <c r="R24">
        <f t="shared" ref="R24" si="97">R25+Q24</f>
        <v>-78422557.128377736</v>
      </c>
      <c r="S24">
        <f t="shared" ref="S24" si="98">R24/100000</f>
        <v>-784.22557128377741</v>
      </c>
      <c r="T24">
        <f t="shared" ref="T24" si="99">S24/1000</f>
        <v>-0.78422557128377746</v>
      </c>
    </row>
    <row r="25" spans="1:20" x14ac:dyDescent="0.25">
      <c r="A25" s="5">
        <v>44568</v>
      </c>
      <c r="B25">
        <v>1.419</v>
      </c>
      <c r="C25">
        <v>1.425</v>
      </c>
      <c r="D25">
        <v>1.2729999999999999</v>
      </c>
      <c r="E25">
        <v>1.306</v>
      </c>
      <c r="F25">
        <v>2383389.4</v>
      </c>
      <c r="G25">
        <v>1.306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-0.56578947368420907</v>
      </c>
      <c r="Q25">
        <f t="shared" ref="Q25" si="101">F25*P25</f>
        <v>-1348496.6342105228</v>
      </c>
      <c r="R25">
        <f t="shared" ref="R25" si="102">R26+Q25</f>
        <v>-76214022.408610284</v>
      </c>
      <c r="S25">
        <f t="shared" ref="S25" si="103">R25/100000</f>
        <v>-762.14022408610288</v>
      </c>
      <c r="T25">
        <f t="shared" ref="T25" si="104">S25/1000</f>
        <v>-0.76214022408610282</v>
      </c>
    </row>
    <row r="26" spans="1:20" x14ac:dyDescent="0.25">
      <c r="A26" s="5">
        <v>44567</v>
      </c>
      <c r="B26">
        <v>1.4630000000000001</v>
      </c>
      <c r="C26">
        <v>1.476</v>
      </c>
      <c r="D26">
        <v>1.3660000000000001</v>
      </c>
      <c r="E26">
        <v>1.42</v>
      </c>
      <c r="F26">
        <v>2472138.4</v>
      </c>
      <c r="G26">
        <v>1.42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-1.8181818181820238E-2</v>
      </c>
      <c r="Q26">
        <f t="shared" ref="Q26" si="106">F26*P26</f>
        <v>-44947.970909095988</v>
      </c>
      <c r="R26">
        <f t="shared" ref="R26" si="107">R27+Q26</f>
        <v>-74865525.774399757</v>
      </c>
      <c r="S26">
        <f t="shared" ref="S26" si="108">R26/100000</f>
        <v>-748.65525774399759</v>
      </c>
      <c r="T26">
        <f t="shared" ref="T26" si="109">S26/1000</f>
        <v>-0.74865525774399755</v>
      </c>
    </row>
    <row r="27" spans="1:20" x14ac:dyDescent="0.25">
      <c r="A27" s="5">
        <v>44566</v>
      </c>
      <c r="B27">
        <v>1.651</v>
      </c>
      <c r="C27">
        <v>1.732</v>
      </c>
      <c r="D27">
        <v>1.38</v>
      </c>
      <c r="E27">
        <v>1.4650000000000001</v>
      </c>
      <c r="F27">
        <v>2389844.5</v>
      </c>
      <c r="G27">
        <v>1.4650000000000001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-0.51704545454545359</v>
      </c>
      <c r="Q27">
        <f t="shared" ref="Q27" si="111">F27*P27</f>
        <v>-1235658.2357954523</v>
      </c>
      <c r="R27">
        <f t="shared" ref="R27" si="112">R28+Q27</f>
        <v>-74820577.803490669</v>
      </c>
      <c r="S27">
        <f t="shared" ref="S27" si="113">R27/100000</f>
        <v>-748.20577803490664</v>
      </c>
      <c r="T27">
        <f t="shared" ref="T27" si="114">S27/1000</f>
        <v>-0.74820577803490662</v>
      </c>
    </row>
    <row r="28" spans="1:20" x14ac:dyDescent="0.25">
      <c r="A28" s="5">
        <v>44565</v>
      </c>
      <c r="B28">
        <v>1.6180000000000001</v>
      </c>
      <c r="C28">
        <v>1.738</v>
      </c>
      <c r="D28">
        <v>1.5720000000000001</v>
      </c>
      <c r="E28">
        <v>1.6459999999999999</v>
      </c>
      <c r="F28">
        <v>2918497.4</v>
      </c>
      <c r="G28">
        <v>1.6459999999999999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-0.10843373493976052</v>
      </c>
      <c r="Q28">
        <f t="shared" ref="Q28" si="116">F28*P28</f>
        <v>-316463.57349398022</v>
      </c>
      <c r="R28">
        <f t="shared" ref="R28" si="117">R29+Q28</f>
        <v>-73584919.567695215</v>
      </c>
      <c r="S28">
        <f t="shared" ref="S28" si="118">R28/100000</f>
        <v>-735.84919567695215</v>
      </c>
      <c r="T28">
        <f t="shared" ref="T28" si="119">S28/1000</f>
        <v>-0.73584919567695217</v>
      </c>
    </row>
    <row r="29" spans="1:20" x14ac:dyDescent="0.25">
      <c r="A29" s="5">
        <v>44564</v>
      </c>
      <c r="B29">
        <v>1.667</v>
      </c>
      <c r="C29">
        <v>1.6970000000000001</v>
      </c>
      <c r="D29">
        <v>1.569</v>
      </c>
      <c r="E29">
        <v>1.6160000000000001</v>
      </c>
      <c r="F29">
        <v>1429931.2</v>
      </c>
      <c r="G29">
        <v>1.6160000000000001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-0.26562499999999828</v>
      </c>
      <c r="Q29">
        <f t="shared" ref="Q29" si="121">F29*P29</f>
        <v>-379825.47499999753</v>
      </c>
      <c r="R29">
        <f t="shared" ref="R29" si="122">R30+Q29</f>
        <v>-73268455.994201228</v>
      </c>
      <c r="S29">
        <f t="shared" ref="S29" si="123">R29/100000</f>
        <v>-732.68455994201224</v>
      </c>
      <c r="T29">
        <f t="shared" ref="T29" si="124">S29/1000</f>
        <v>-0.7326845599420122</v>
      </c>
    </row>
    <row r="30" spans="1:20" x14ac:dyDescent="0.25">
      <c r="A30" s="5">
        <v>44563</v>
      </c>
      <c r="B30">
        <v>1.6519999999999999</v>
      </c>
      <c r="C30">
        <v>1.677</v>
      </c>
      <c r="D30">
        <v>1.603</v>
      </c>
      <c r="E30">
        <v>1.667</v>
      </c>
      <c r="F30">
        <v>1430506.2</v>
      </c>
      <c r="G30">
        <v>1.667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0.72972972972972971</v>
      </c>
      <c r="Q30">
        <f t="shared" ref="Q30" si="126">F30*P30</f>
        <v>1043882.9027027027</v>
      </c>
      <c r="R30">
        <f t="shared" ref="R30" si="127">R31+Q30</f>
        <v>-72888630.519201234</v>
      </c>
      <c r="S30">
        <f t="shared" ref="S30" si="128">R30/100000</f>
        <v>-728.88630519201229</v>
      </c>
      <c r="T30">
        <f t="shared" ref="T30" si="129">S30/1000</f>
        <v>-0.72888630519201225</v>
      </c>
    </row>
    <row r="31" spans="1:20" x14ac:dyDescent="0.25">
      <c r="A31" s="5">
        <v>44562</v>
      </c>
      <c r="B31">
        <v>1.5449999999999999</v>
      </c>
      <c r="C31">
        <v>1.669</v>
      </c>
      <c r="D31">
        <v>1.544</v>
      </c>
      <c r="E31">
        <v>1.651</v>
      </c>
      <c r="F31">
        <v>2150240.7000000002</v>
      </c>
      <c r="G31">
        <v>1.651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0.71199999999999974</v>
      </c>
      <c r="Q31">
        <f t="shared" ref="Q31" si="131">F31*P31</f>
        <v>1530971.3783999996</v>
      </c>
      <c r="R31">
        <f t="shared" ref="R31" si="132">R32+Q31</f>
        <v>-73932513.421903938</v>
      </c>
      <c r="S31">
        <f t="shared" ref="S31" si="133">R31/100000</f>
        <v>-739.32513421903934</v>
      </c>
      <c r="T31">
        <f t="shared" ref="T31" si="134">S31/1000</f>
        <v>-0.73932513421903934</v>
      </c>
    </row>
    <row r="32" spans="1:20" x14ac:dyDescent="0.25">
      <c r="A32" s="5">
        <v>44561</v>
      </c>
      <c r="B32">
        <v>1.532</v>
      </c>
      <c r="C32">
        <v>1.61</v>
      </c>
      <c r="D32">
        <v>1.486</v>
      </c>
      <c r="E32">
        <v>1.542</v>
      </c>
      <c r="F32">
        <v>2245634.1</v>
      </c>
      <c r="G32">
        <v>1.542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-9.6774193548387094E-2</v>
      </c>
      <c r="Q32">
        <f t="shared" ref="Q32" si="136">F32*P32</f>
        <v>-217319.42903225808</v>
      </c>
      <c r="R32">
        <f t="shared" ref="R32" si="137">R33+Q32</f>
        <v>-75463484.800303936</v>
      </c>
      <c r="S32">
        <f t="shared" ref="S32" si="138">R32/100000</f>
        <v>-754.63484800303934</v>
      </c>
      <c r="T32">
        <f t="shared" ref="T32" si="139">S32/1000</f>
        <v>-0.75463484800303937</v>
      </c>
    </row>
    <row r="33" spans="1:20" x14ac:dyDescent="0.25">
      <c r="A33" s="5">
        <v>44560</v>
      </c>
      <c r="B33">
        <v>1.5780000000000001</v>
      </c>
      <c r="C33">
        <v>1.5920000000000001</v>
      </c>
      <c r="D33">
        <v>1.496</v>
      </c>
      <c r="E33">
        <v>1.5329999999999999</v>
      </c>
      <c r="F33">
        <v>1455382.3</v>
      </c>
      <c r="G33">
        <v>1.5329999999999999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-0.22916666666666899</v>
      </c>
      <c r="Q33">
        <f t="shared" ref="Q33" si="141">F33*P33</f>
        <v>-333525.11041667004</v>
      </c>
      <c r="R33">
        <f t="shared" ref="R33" si="142">R34+Q33</f>
        <v>-75246165.371271685</v>
      </c>
      <c r="S33">
        <f t="shared" ref="S33" si="143">R33/100000</f>
        <v>-752.46165371271684</v>
      </c>
      <c r="T33">
        <f t="shared" ref="T33" si="144">S33/1000</f>
        <v>-0.75246165371271689</v>
      </c>
    </row>
    <row r="34" spans="1:20" x14ac:dyDescent="0.25">
      <c r="A34" s="5">
        <v>44559</v>
      </c>
      <c r="B34">
        <v>1.538</v>
      </c>
      <c r="C34">
        <v>1.6160000000000001</v>
      </c>
      <c r="D34">
        <v>1.4950000000000001</v>
      </c>
      <c r="E34">
        <v>1.5760000000000001</v>
      </c>
      <c r="F34">
        <v>1634690.9</v>
      </c>
      <c r="G34">
        <v>1.5760000000000001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0.33884297520661094</v>
      </c>
      <c r="Q34">
        <f t="shared" ref="Q34" si="146">F34*P34</f>
        <v>553903.52809917252</v>
      </c>
      <c r="R34">
        <f t="shared" ref="R34" si="147">R35+Q34</f>
        <v>-74912640.260855019</v>
      </c>
      <c r="S34">
        <f t="shared" ref="S34" si="148">R34/100000</f>
        <v>-749.12640260855017</v>
      </c>
      <c r="T34">
        <f t="shared" ref="T34" si="149">S34/1000</f>
        <v>-0.74912640260855012</v>
      </c>
    </row>
    <row r="35" spans="1:20" x14ac:dyDescent="0.25">
      <c r="A35" s="5">
        <v>44558</v>
      </c>
      <c r="B35">
        <v>1.6850000000000001</v>
      </c>
      <c r="C35">
        <v>1.6870000000000001</v>
      </c>
      <c r="D35">
        <v>1.512</v>
      </c>
      <c r="E35">
        <v>1.5369999999999999</v>
      </c>
      <c r="F35">
        <v>1499770</v>
      </c>
      <c r="G35">
        <v>1.5369999999999999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-0.71428571428571541</v>
      </c>
      <c r="Q35">
        <f t="shared" ref="Q35" si="151">F35*P35</f>
        <v>-1071264.2857142873</v>
      </c>
      <c r="R35">
        <f t="shared" ref="R35" si="152">R36+Q35</f>
        <v>-75466543.788954198</v>
      </c>
      <c r="S35">
        <f t="shared" ref="S35" si="153">R35/100000</f>
        <v>-754.66543788954198</v>
      </c>
      <c r="T35">
        <f t="shared" ref="T35" si="154">S35/1000</f>
        <v>-0.75466543788954199</v>
      </c>
    </row>
    <row r="36" spans="1:20" x14ac:dyDescent="0.25">
      <c r="A36" s="5">
        <v>44557</v>
      </c>
      <c r="B36">
        <v>1.669</v>
      </c>
      <c r="C36">
        <v>1.81</v>
      </c>
      <c r="D36">
        <v>1.661</v>
      </c>
      <c r="E36">
        <v>1.6859999999999999</v>
      </c>
      <c r="F36">
        <v>2134603.1</v>
      </c>
      <c r="G36">
        <v>1.6859999999999999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-0.66442953020134354</v>
      </c>
      <c r="Q36">
        <f t="shared" ref="Q36" si="156">F36*P36</f>
        <v>-1418293.3348993317</v>
      </c>
      <c r="R36">
        <f t="shared" ref="R36" si="157">R37+Q36</f>
        <v>-74395279.503239915</v>
      </c>
      <c r="S36">
        <f t="shared" ref="S36" si="158">R36/100000</f>
        <v>-743.95279503239919</v>
      </c>
      <c r="T36">
        <f t="shared" ref="T36" si="159">S36/1000</f>
        <v>-0.74395279503239919</v>
      </c>
    </row>
    <row r="37" spans="1:20" x14ac:dyDescent="0.25">
      <c r="A37" s="5">
        <v>44556</v>
      </c>
      <c r="B37">
        <v>1.6379999999999999</v>
      </c>
      <c r="C37">
        <v>1.6950000000000001</v>
      </c>
      <c r="D37">
        <v>1.58</v>
      </c>
      <c r="E37">
        <v>1.6679999999999999</v>
      </c>
      <c r="F37">
        <v>1396791.6</v>
      </c>
      <c r="G37">
        <v>1.6679999999999999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0.53043478260869326</v>
      </c>
      <c r="Q37">
        <f t="shared" ref="Q37" si="161">F37*P37</f>
        <v>740906.84869564883</v>
      </c>
      <c r="R37">
        <f t="shared" ref="R37" si="162">R38+Q37</f>
        <v>-72976986.168340579</v>
      </c>
      <c r="S37">
        <f t="shared" ref="S37" si="163">R37/100000</f>
        <v>-729.76986168340579</v>
      </c>
      <c r="T37">
        <f t="shared" ref="T37" si="164">S37/1000</f>
        <v>-0.72976986168340574</v>
      </c>
    </row>
    <row r="38" spans="1:20" x14ac:dyDescent="0.25">
      <c r="A38" s="5">
        <v>44555</v>
      </c>
      <c r="B38">
        <v>1.591</v>
      </c>
      <c r="C38">
        <v>1.6639999999999999</v>
      </c>
      <c r="D38">
        <v>1.579</v>
      </c>
      <c r="E38">
        <v>1.639</v>
      </c>
      <c r="F38">
        <v>1299214.3999999999</v>
      </c>
      <c r="G38">
        <v>1.639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0.41176470588235481</v>
      </c>
      <c r="Q38">
        <f t="shared" ref="Q38" si="166">F38*P38</f>
        <v>534970.63529412006</v>
      </c>
      <c r="R38">
        <f t="shared" ref="R38" si="167">R39+Q38</f>
        <v>-73717893.017036229</v>
      </c>
      <c r="S38">
        <f t="shared" ref="S38" si="168">R38/100000</f>
        <v>-737.17893017036226</v>
      </c>
      <c r="T38">
        <f t="shared" ref="T38" si="169">S38/1000</f>
        <v>-0.73717893017036229</v>
      </c>
    </row>
    <row r="39" spans="1:20" x14ac:dyDescent="0.25">
      <c r="A39" s="5">
        <v>44554</v>
      </c>
      <c r="B39">
        <v>1.645</v>
      </c>
      <c r="C39">
        <v>1.68</v>
      </c>
      <c r="D39">
        <v>1.57</v>
      </c>
      <c r="E39">
        <v>1.593</v>
      </c>
      <c r="F39">
        <v>1572792.6</v>
      </c>
      <c r="G39">
        <v>1.593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-0.58181818181818301</v>
      </c>
      <c r="Q39">
        <f t="shared" ref="Q39" si="171">F39*P39</f>
        <v>-915079.33090909279</v>
      </c>
      <c r="R39">
        <f t="shared" ref="R39" si="172">R40+Q39</f>
        <v>-74252863.652330354</v>
      </c>
      <c r="S39">
        <f t="shared" ref="S39" si="173">R39/100000</f>
        <v>-742.52863652330359</v>
      </c>
      <c r="T39">
        <f t="shared" ref="T39" si="174">S39/1000</f>
        <v>-0.74252863652330359</v>
      </c>
    </row>
    <row r="40" spans="1:20" x14ac:dyDescent="0.25">
      <c r="A40" s="5">
        <v>44553</v>
      </c>
      <c r="B40">
        <v>1.57</v>
      </c>
      <c r="C40">
        <v>1.74</v>
      </c>
      <c r="D40">
        <v>1.5429999999999999</v>
      </c>
      <c r="E40">
        <v>1.645</v>
      </c>
      <c r="F40">
        <v>2495689.1</v>
      </c>
      <c r="G40">
        <v>1.645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3.5532994923858453E-2</v>
      </c>
      <c r="Q40">
        <f t="shared" ref="Q40" si="176">F40*P40</f>
        <v>88679.308121828872</v>
      </c>
      <c r="R40">
        <f t="shared" ref="R40" si="177">R41+Q40</f>
        <v>-73337784.321421266</v>
      </c>
      <c r="S40">
        <f t="shared" ref="S40" si="178">R40/100000</f>
        <v>-733.3778432142127</v>
      </c>
      <c r="T40">
        <f t="shared" ref="T40" si="179">S40/1000</f>
        <v>-0.73337784321421273</v>
      </c>
    </row>
    <row r="41" spans="1:20" x14ac:dyDescent="0.25">
      <c r="A41" s="5">
        <v>44552</v>
      </c>
      <c r="B41">
        <v>1.482</v>
      </c>
      <c r="C41">
        <v>1.61</v>
      </c>
      <c r="D41">
        <v>1.482</v>
      </c>
      <c r="E41">
        <v>1.569</v>
      </c>
      <c r="F41">
        <v>2662015.2000000002</v>
      </c>
      <c r="G41">
        <v>1.569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0.35937499999999828</v>
      </c>
      <c r="Q41">
        <f t="shared" ref="Q41" si="181">F41*P41</f>
        <v>956661.71249999548</v>
      </c>
      <c r="R41">
        <f t="shared" ref="R41" si="182">R42+Q41</f>
        <v>-73426463.629543096</v>
      </c>
      <c r="S41">
        <f t="shared" ref="S41" si="183">R41/100000</f>
        <v>-734.26463629543093</v>
      </c>
      <c r="T41">
        <f t="shared" ref="T41" si="184">S41/1000</f>
        <v>-0.73426463629543093</v>
      </c>
    </row>
    <row r="42" spans="1:20" x14ac:dyDescent="0.25">
      <c r="A42" s="5">
        <v>44551</v>
      </c>
      <c r="B42">
        <v>1.409</v>
      </c>
      <c r="C42">
        <v>1.49</v>
      </c>
      <c r="D42">
        <v>1.3839999999999999</v>
      </c>
      <c r="E42">
        <v>1.482</v>
      </c>
      <c r="F42">
        <v>1898894.5</v>
      </c>
      <c r="G42">
        <v>1.482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0.84905660377358494</v>
      </c>
      <c r="Q42">
        <f t="shared" ref="Q42" si="186">F42*P42</f>
        <v>1612268.9150943398</v>
      </c>
      <c r="R42">
        <f t="shared" ref="R42" si="187">R43+Q42</f>
        <v>-74383125.342043087</v>
      </c>
      <c r="S42">
        <f t="shared" ref="S42" si="188">R42/100000</f>
        <v>-743.83125342043081</v>
      </c>
      <c r="T42">
        <f t="shared" ref="T42" si="189">S42/1000</f>
        <v>-0.74383125342043077</v>
      </c>
    </row>
    <row r="43" spans="1:20" x14ac:dyDescent="0.25">
      <c r="A43" s="5">
        <v>44550</v>
      </c>
      <c r="B43">
        <v>1.4530000000000001</v>
      </c>
      <c r="C43">
        <v>1.454</v>
      </c>
      <c r="D43">
        <v>1.3360000000000001</v>
      </c>
      <c r="E43">
        <v>1.409</v>
      </c>
      <c r="F43">
        <v>2532068.0299999998</v>
      </c>
      <c r="G43">
        <v>1.409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0.23728813559322079</v>
      </c>
      <c r="Q43">
        <f t="shared" ref="Q43" si="191">F43*P43</f>
        <v>600829.70203389938</v>
      </c>
      <c r="R43">
        <f t="shared" ref="R43" si="192">R44+Q43</f>
        <v>-75995394.257137433</v>
      </c>
      <c r="S43">
        <f t="shared" ref="S43" si="193">R43/100000</f>
        <v>-759.95394257137434</v>
      </c>
      <c r="T43">
        <f t="shared" ref="T43" si="194">S43/1000</f>
        <v>-0.75995394257137439</v>
      </c>
    </row>
    <row r="44" spans="1:20" x14ac:dyDescent="0.25">
      <c r="A44" s="5">
        <v>44549</v>
      </c>
      <c r="B44">
        <v>1.448</v>
      </c>
      <c r="C44">
        <v>1.5860000000000001</v>
      </c>
      <c r="D44">
        <v>1.4470000000000001</v>
      </c>
      <c r="E44">
        <v>1.4530000000000001</v>
      </c>
      <c r="F44">
        <v>4247541.5999999996</v>
      </c>
      <c r="G44">
        <v>1.4530000000000001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-0.91366906474820142</v>
      </c>
      <c r="Q44">
        <f t="shared" ref="Q44" si="196">F44*P44</f>
        <v>-3880847.3611510787</v>
      </c>
      <c r="R44">
        <f t="shared" ref="R44" si="197">R45+Q44</f>
        <v>-76596223.959171325</v>
      </c>
      <c r="S44">
        <f t="shared" ref="S44" si="198">R44/100000</f>
        <v>-765.96223959171323</v>
      </c>
      <c r="T44">
        <f t="shared" ref="T44" si="199">S44/1000</f>
        <v>-0.76596223959171328</v>
      </c>
    </row>
    <row r="45" spans="1:20" x14ac:dyDescent="0.25">
      <c r="A45" s="5">
        <v>44548</v>
      </c>
      <c r="B45">
        <v>1.43</v>
      </c>
      <c r="C45">
        <v>1.55</v>
      </c>
      <c r="D45">
        <v>1.387</v>
      </c>
      <c r="E45">
        <v>1.4490000000000001</v>
      </c>
      <c r="F45">
        <v>2783090.1</v>
      </c>
      <c r="G45">
        <v>1.4490000000000001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-0.23926380368098107</v>
      </c>
      <c r="Q45">
        <f t="shared" ref="Q45" si="201">F45*P45</f>
        <v>-665892.72331288201</v>
      </c>
      <c r="R45">
        <f t="shared" ref="R45" si="202">R46+Q45</f>
        <v>-72715376.598020241</v>
      </c>
      <c r="S45">
        <f t="shared" ref="S45" si="203">R45/100000</f>
        <v>-727.15376598020237</v>
      </c>
      <c r="T45">
        <f t="shared" ref="T45" si="204">S45/1000</f>
        <v>-0.72715376598020232</v>
      </c>
    </row>
    <row r="46" spans="1:20" x14ac:dyDescent="0.25">
      <c r="A46" s="5">
        <v>44547</v>
      </c>
      <c r="B46">
        <v>1.464</v>
      </c>
      <c r="C46">
        <v>1.502</v>
      </c>
      <c r="D46">
        <v>1.36</v>
      </c>
      <c r="E46">
        <v>1.43</v>
      </c>
      <c r="F46">
        <v>1921343.4</v>
      </c>
      <c r="G46">
        <v>1.43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-1.4084507042255107E-2</v>
      </c>
      <c r="Q46">
        <f t="shared" ref="Q46" si="206">F46*P46</f>
        <v>-27061.17464789037</v>
      </c>
      <c r="R46">
        <f t="shared" ref="R46" si="207">R47+Q46</f>
        <v>-72049483.874707356</v>
      </c>
      <c r="S46">
        <f t="shared" ref="S46" si="208">R46/100000</f>
        <v>-720.49483874707357</v>
      </c>
      <c r="T46">
        <f t="shared" ref="T46" si="209">S46/1000</f>
        <v>-0.72049483874707354</v>
      </c>
    </row>
    <row r="47" spans="1:20" x14ac:dyDescent="0.25">
      <c r="A47" s="5">
        <v>44546</v>
      </c>
      <c r="B47">
        <v>1.5189999999999999</v>
      </c>
      <c r="C47">
        <v>1.554</v>
      </c>
      <c r="D47">
        <v>1.46</v>
      </c>
      <c r="E47">
        <v>1.464</v>
      </c>
      <c r="F47">
        <v>1591945.3</v>
      </c>
      <c r="G47">
        <v>1.464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-0.91489361702127658</v>
      </c>
      <c r="Q47">
        <f t="shared" ref="Q47" si="211">F47*P47</f>
        <v>-1456460.5936170213</v>
      </c>
      <c r="R47">
        <f t="shared" ref="R47" si="212">R48+Q47</f>
        <v>-72022422.700059459</v>
      </c>
      <c r="S47">
        <f t="shared" ref="S47" si="213">R47/100000</f>
        <v>-720.22422700059462</v>
      </c>
      <c r="T47">
        <f t="shared" ref="T47" si="214">S47/1000</f>
        <v>-0.72022422700059463</v>
      </c>
    </row>
    <row r="48" spans="1:20" x14ac:dyDescent="0.25">
      <c r="A48" s="5">
        <v>44545</v>
      </c>
      <c r="B48">
        <v>1.4530000000000001</v>
      </c>
      <c r="C48">
        <v>1.53</v>
      </c>
      <c r="D48">
        <v>1.357</v>
      </c>
      <c r="E48">
        <v>1.516</v>
      </c>
      <c r="F48">
        <v>2235881</v>
      </c>
      <c r="G48">
        <v>1.516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0.8381502890173409</v>
      </c>
      <c r="Q48">
        <f t="shared" ref="Q48" si="216">F48*P48</f>
        <v>1874004.3063583812</v>
      </c>
      <c r="R48">
        <f t="shared" ref="R48" si="217">R49+Q48</f>
        <v>-70565962.106442437</v>
      </c>
      <c r="S48">
        <f t="shared" ref="S48" si="218">R48/100000</f>
        <v>-705.65962106442441</v>
      </c>
      <c r="T48">
        <f t="shared" ref="T48" si="219">S48/1000</f>
        <v>-0.70565962106442437</v>
      </c>
    </row>
    <row r="49" spans="1:20" x14ac:dyDescent="0.25">
      <c r="A49" s="5">
        <v>44544</v>
      </c>
      <c r="B49">
        <v>1.429</v>
      </c>
      <c r="C49">
        <v>1.4730000000000001</v>
      </c>
      <c r="D49">
        <v>1.381</v>
      </c>
      <c r="E49">
        <v>1.454</v>
      </c>
      <c r="F49">
        <v>1536689.05</v>
      </c>
      <c r="G49">
        <v>1.454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0.58695652173912805</v>
      </c>
      <c r="Q49">
        <f t="shared" ref="Q49" si="221">F49*P49</f>
        <v>901969.65978260501</v>
      </c>
      <c r="R49">
        <f t="shared" ref="R49" si="222">R50+Q49</f>
        <v>-72439966.412800819</v>
      </c>
      <c r="S49">
        <f t="shared" ref="S49" si="223">R49/100000</f>
        <v>-724.39966412800823</v>
      </c>
      <c r="T49">
        <f t="shared" ref="T49" si="224">S49/1000</f>
        <v>-0.72439966412800827</v>
      </c>
    </row>
    <row r="50" spans="1:20" x14ac:dyDescent="0.25">
      <c r="A50" s="5">
        <v>44543</v>
      </c>
      <c r="B50">
        <v>1.6339999999999999</v>
      </c>
      <c r="C50">
        <v>1.649</v>
      </c>
      <c r="D50">
        <v>1.4</v>
      </c>
      <c r="E50">
        <v>1.4279999999999999</v>
      </c>
      <c r="F50">
        <v>2145021.0499999998</v>
      </c>
      <c r="G50">
        <v>1.4279999999999999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-0.77510040160642557</v>
      </c>
      <c r="Q50">
        <f t="shared" ref="Q50" si="226">F50*P50</f>
        <v>-1662606.6773092365</v>
      </c>
      <c r="R50">
        <f t="shared" ref="R50" si="227">R51+Q50</f>
        <v>-73341936.072583422</v>
      </c>
      <c r="S50">
        <f t="shared" ref="S50" si="228">R50/100000</f>
        <v>-733.41936072583417</v>
      </c>
      <c r="T50">
        <f t="shared" ref="T50" si="229">S50/1000</f>
        <v>-0.73341936072583414</v>
      </c>
    </row>
    <row r="51" spans="1:20" x14ac:dyDescent="0.25">
      <c r="A51" s="5">
        <v>44542</v>
      </c>
      <c r="B51">
        <v>1.6439999999999999</v>
      </c>
      <c r="C51">
        <v>1.6559999999999999</v>
      </c>
      <c r="D51">
        <v>1.5680000000000001</v>
      </c>
      <c r="E51">
        <v>1.635</v>
      </c>
      <c r="F51">
        <v>1496944.4</v>
      </c>
      <c r="G51">
        <v>1.635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0.52272727272727404</v>
      </c>
      <c r="Q51">
        <f t="shared" ref="Q51" si="231">F51*P51</f>
        <v>782493.66363636556</v>
      </c>
      <c r="R51">
        <f t="shared" ref="R51" si="232">R52+Q51</f>
        <v>-71679329.395274192</v>
      </c>
      <c r="S51">
        <f t="shared" ref="S51" si="233">R51/100000</f>
        <v>-716.79329395274192</v>
      </c>
      <c r="T51">
        <f t="shared" ref="T51" si="234">S51/1000</f>
        <v>-0.71679329395274194</v>
      </c>
    </row>
    <row r="52" spans="1:20" x14ac:dyDescent="0.25">
      <c r="A52" s="5">
        <v>44541</v>
      </c>
      <c r="B52">
        <v>1.677</v>
      </c>
      <c r="C52">
        <v>1.72</v>
      </c>
      <c r="D52">
        <v>1.615</v>
      </c>
      <c r="E52">
        <v>1.6910000000000001</v>
      </c>
      <c r="F52">
        <v>373359.6</v>
      </c>
      <c r="G52">
        <v>1.6910000000000001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0.44761904761904914</v>
      </c>
      <c r="Q52">
        <f t="shared" ref="Q52" si="236">F52*P52</f>
        <v>167122.86857142914</v>
      </c>
      <c r="R52">
        <f t="shared" ref="R52" si="237">R53+Q52</f>
        <v>-72461823.058910564</v>
      </c>
      <c r="S52">
        <f t="shared" ref="S52" si="238">R52/100000</f>
        <v>-724.61823058910568</v>
      </c>
      <c r="T52">
        <f t="shared" ref="T52" si="239">S52/1000</f>
        <v>-0.72461823058910568</v>
      </c>
    </row>
    <row r="53" spans="1:20" x14ac:dyDescent="0.25">
      <c r="A53" s="5">
        <v>44540</v>
      </c>
      <c r="B53">
        <v>1.5529999999999999</v>
      </c>
      <c r="C53">
        <v>1.766</v>
      </c>
      <c r="D53">
        <v>1.5509999999999999</v>
      </c>
      <c r="E53">
        <v>1.68</v>
      </c>
      <c r="F53">
        <v>8656182.6999999993</v>
      </c>
      <c r="G53">
        <v>1.68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0.19999999999999959</v>
      </c>
      <c r="Q53">
        <f t="shared" ref="Q53" si="241">F53*P53</f>
        <v>1731236.5399999963</v>
      </c>
      <c r="R53">
        <f t="shared" ref="R53" si="242">R54+Q53</f>
        <v>-72628945.927481994</v>
      </c>
      <c r="S53">
        <f t="shared" ref="S53" si="243">R53/100000</f>
        <v>-726.28945927481993</v>
      </c>
      <c r="T53">
        <f t="shared" ref="T53" si="244">S53/1000</f>
        <v>-0.72628945927481992</v>
      </c>
    </row>
    <row r="54" spans="1:20" x14ac:dyDescent="0.25">
      <c r="A54" s="5">
        <v>44539</v>
      </c>
      <c r="B54">
        <v>1.72</v>
      </c>
      <c r="C54">
        <v>1.758</v>
      </c>
      <c r="D54">
        <v>1.5389999999999999</v>
      </c>
      <c r="E54">
        <v>1.554</v>
      </c>
      <c r="F54">
        <v>3669009.8</v>
      </c>
      <c r="G54">
        <v>1.554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-0.86301369863013588</v>
      </c>
      <c r="Q54">
        <f t="shared" ref="Q54" si="246">F54*P54</f>
        <v>-3166405.7178082149</v>
      </c>
      <c r="R54">
        <f t="shared" ref="R54" si="247">R55+Q54</f>
        <v>-74360182.467481986</v>
      </c>
      <c r="S54">
        <f t="shared" ref="S54" si="248">R54/100000</f>
        <v>-743.60182467481991</v>
      </c>
      <c r="T54">
        <f t="shared" ref="T54" si="249">S54/1000</f>
        <v>-0.74360182467481994</v>
      </c>
    </row>
    <row r="55" spans="1:20" x14ac:dyDescent="0.25">
      <c r="A55" s="5">
        <v>44538</v>
      </c>
      <c r="B55">
        <v>1.659</v>
      </c>
      <c r="C55">
        <v>1.8129999999999999</v>
      </c>
      <c r="D55">
        <v>1.585</v>
      </c>
      <c r="E55">
        <v>1.718</v>
      </c>
      <c r="F55">
        <v>5283188.0999999996</v>
      </c>
      <c r="G55">
        <v>1.718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0.16666666666666682</v>
      </c>
      <c r="Q55">
        <f t="shared" ref="Q55" si="251">F55*P55</f>
        <v>880531.35000000079</v>
      </c>
      <c r="R55">
        <f t="shared" ref="R55" si="252">R56+Q55</f>
        <v>-71193776.749673769</v>
      </c>
      <c r="S55">
        <f t="shared" ref="S55" si="253">R55/100000</f>
        <v>-711.93776749673771</v>
      </c>
      <c r="T55">
        <f t="shared" ref="T55" si="254">S55/1000</f>
        <v>-0.71193776749673776</v>
      </c>
    </row>
    <row r="56" spans="1:20" x14ac:dyDescent="0.25">
      <c r="A56" s="5">
        <v>44537</v>
      </c>
      <c r="B56">
        <v>1.661</v>
      </c>
      <c r="C56">
        <v>1.7370000000000001</v>
      </c>
      <c r="D56">
        <v>1.587</v>
      </c>
      <c r="E56">
        <v>1.659</v>
      </c>
      <c r="F56">
        <v>3164471.4</v>
      </c>
      <c r="G56">
        <v>1.659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-0.04</v>
      </c>
      <c r="Q56">
        <f t="shared" ref="Q56" si="256">F56*P56</f>
        <v>-126578.856</v>
      </c>
      <c r="R56">
        <f t="shared" ref="R56" si="257">R57+Q56</f>
        <v>-72074308.099673763</v>
      </c>
      <c r="S56">
        <f t="shared" ref="S56" si="258">R56/100000</f>
        <v>-720.7430809967376</v>
      </c>
      <c r="T56">
        <f t="shared" ref="T56" si="259">S56/1000</f>
        <v>-0.72074308099673756</v>
      </c>
    </row>
    <row r="57" spans="1:20" x14ac:dyDescent="0.25">
      <c r="A57" s="5">
        <v>44536</v>
      </c>
      <c r="B57">
        <v>1.6739999999999999</v>
      </c>
      <c r="C57">
        <v>1.69</v>
      </c>
      <c r="D57">
        <v>1.4339999999999999</v>
      </c>
      <c r="E57">
        <v>1.6619999999999999</v>
      </c>
      <c r="F57">
        <v>4674508.5</v>
      </c>
      <c r="G57">
        <v>1.6619999999999999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0.78124999999999978</v>
      </c>
      <c r="Q57">
        <f t="shared" ref="Q57" si="261">F57*P57</f>
        <v>3651959.7656249991</v>
      </c>
      <c r="R57">
        <f t="shared" ref="R57" si="262">R58+Q57</f>
        <v>-71947729.243673757</v>
      </c>
      <c r="S57">
        <f t="shared" ref="S57" si="263">R57/100000</f>
        <v>-719.47729243673757</v>
      </c>
      <c r="T57">
        <f t="shared" ref="T57" si="264">S57/1000</f>
        <v>-0.71947729243673753</v>
      </c>
    </row>
    <row r="58" spans="1:20" x14ac:dyDescent="0.25">
      <c r="A58" s="5">
        <v>44535</v>
      </c>
      <c r="B58">
        <v>1.915</v>
      </c>
      <c r="C58">
        <v>1.929</v>
      </c>
      <c r="D58">
        <v>1.6140000000000001</v>
      </c>
      <c r="E58">
        <v>1.673</v>
      </c>
      <c r="F58">
        <v>10285611.699999999</v>
      </c>
      <c r="G58">
        <v>1.673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-0.62539682539682573</v>
      </c>
      <c r="Q58">
        <f t="shared" ref="Q58" si="266">F58*P58</f>
        <v>-6432588.9044444477</v>
      </c>
      <c r="R58">
        <f t="shared" ref="R58" si="267">R59+Q58</f>
        <v>-75599689.009298757</v>
      </c>
      <c r="S58">
        <f t="shared" ref="S58" si="268">R58/100000</f>
        <v>-755.99689009298754</v>
      </c>
      <c r="T58">
        <f t="shared" ref="T58" si="269">S58/1000</f>
        <v>-0.75599689009298754</v>
      </c>
    </row>
    <row r="59" spans="1:20" x14ac:dyDescent="0.25">
      <c r="A59" s="5">
        <v>44534</v>
      </c>
      <c r="B59">
        <v>2.5019999999999998</v>
      </c>
      <c r="C59">
        <v>2.75</v>
      </c>
      <c r="D59">
        <v>1.421</v>
      </c>
      <c r="E59">
        <v>1.915</v>
      </c>
      <c r="F59">
        <v>19651655.199999999</v>
      </c>
      <c r="G59">
        <v>1.915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-0.25658389766741907</v>
      </c>
      <c r="Q59">
        <f t="shared" ref="Q59" si="271">F59*P59</f>
        <v>-5042298.2868322041</v>
      </c>
      <c r="R59">
        <f t="shared" ref="R59" si="272">R60+Q59</f>
        <v>-69167100.104854316</v>
      </c>
      <c r="S59">
        <f t="shared" ref="S59" si="273">R59/100000</f>
        <v>-691.67100104854319</v>
      </c>
      <c r="T59">
        <f t="shared" ref="T59" si="274">S59/1000</f>
        <v>-0.69167100104854318</v>
      </c>
    </row>
    <row r="60" spans="1:20" x14ac:dyDescent="0.25">
      <c r="A60" s="5">
        <v>44533</v>
      </c>
      <c r="B60">
        <v>2.226</v>
      </c>
      <c r="C60">
        <v>2.96</v>
      </c>
      <c r="D60">
        <v>2.2160000000000002</v>
      </c>
      <c r="E60">
        <v>2.5019999999999998</v>
      </c>
      <c r="F60">
        <v>40040357.200000003</v>
      </c>
      <c r="G60">
        <v>2.5019999999999998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-0.23118279569892561</v>
      </c>
      <c r="Q60">
        <f t="shared" ref="Q60" si="276">F60*P60</f>
        <v>-9256641.7182796057</v>
      </c>
      <c r="R60">
        <f t="shared" ref="R60" si="277">R61+Q60</f>
        <v>-64124801.818022117</v>
      </c>
      <c r="S60">
        <f t="shared" ref="S60" si="278">R60/100000</f>
        <v>-641.24801818022115</v>
      </c>
      <c r="T60">
        <f t="shared" ref="T60" si="279">S60/1000</f>
        <v>-0.64124801818022115</v>
      </c>
    </row>
    <row r="61" spans="1:20" x14ac:dyDescent="0.25">
      <c r="A61" s="5">
        <v>44532</v>
      </c>
      <c r="B61">
        <v>2.1589999999999998</v>
      </c>
      <c r="C61">
        <v>2.298</v>
      </c>
      <c r="D61">
        <v>2.0499999999999998</v>
      </c>
      <c r="E61">
        <v>2.2240000000000002</v>
      </c>
      <c r="F61">
        <v>2540142.1</v>
      </c>
      <c r="G61">
        <v>2.2240000000000002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0.40322580645161471</v>
      </c>
      <c r="Q61">
        <f t="shared" ref="Q61" si="281">F61*P61</f>
        <v>1024250.8467741982</v>
      </c>
      <c r="R61">
        <f t="shared" ref="R61" si="282">R62+Q61</f>
        <v>-54868160.099742509</v>
      </c>
      <c r="S61">
        <f t="shared" ref="S61" si="283">R61/100000</f>
        <v>-548.68160099742511</v>
      </c>
      <c r="T61">
        <f t="shared" ref="T61" si="284">S61/1000</f>
        <v>-0.54868160099742513</v>
      </c>
    </row>
    <row r="62" spans="1:20" x14ac:dyDescent="0.25">
      <c r="A62" s="5">
        <v>44531</v>
      </c>
      <c r="B62">
        <v>2.1760000000000002</v>
      </c>
      <c r="C62">
        <v>2.3839999999999999</v>
      </c>
      <c r="D62">
        <v>2.13</v>
      </c>
      <c r="E62">
        <v>2.1589999999999998</v>
      </c>
      <c r="F62">
        <v>3520651.8</v>
      </c>
      <c r="G62">
        <v>2.1589999999999998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-0.77165354330708724</v>
      </c>
      <c r="Q62">
        <f t="shared" ref="Q62" si="286">F62*P62</f>
        <v>-2716723.4362204745</v>
      </c>
      <c r="R62">
        <f t="shared" ref="R62" si="287">R63+Q62</f>
        <v>-55892410.946516708</v>
      </c>
      <c r="S62">
        <f t="shared" ref="S62" si="288">R62/100000</f>
        <v>-558.92410946516702</v>
      </c>
      <c r="T62">
        <f t="shared" ref="T62" si="289">S62/1000</f>
        <v>-0.55892410946516702</v>
      </c>
    </row>
    <row r="63" spans="1:20" x14ac:dyDescent="0.25">
      <c r="A63" s="5">
        <v>44530</v>
      </c>
      <c r="B63">
        <v>2.2450000000000001</v>
      </c>
      <c r="C63">
        <v>2.294</v>
      </c>
      <c r="D63">
        <v>2.1480000000000001</v>
      </c>
      <c r="E63">
        <v>2.173</v>
      </c>
      <c r="F63">
        <v>2357253.5</v>
      </c>
      <c r="G63">
        <v>2.173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-0.65753424657534343</v>
      </c>
      <c r="Q63">
        <f t="shared" ref="Q63" si="291">F63*P63</f>
        <v>-1549974.9041095914</v>
      </c>
      <c r="R63">
        <f t="shared" ref="R63" si="292">R64+Q63</f>
        <v>-53175687.510296233</v>
      </c>
      <c r="S63">
        <f t="shared" ref="S63" si="293">R63/100000</f>
        <v>-531.75687510296234</v>
      </c>
      <c r="T63">
        <f t="shared" ref="T63" si="294">S63/1000</f>
        <v>-0.53175687510296232</v>
      </c>
    </row>
    <row r="64" spans="1:20" x14ac:dyDescent="0.25">
      <c r="A64" s="5">
        <v>44529</v>
      </c>
      <c r="B64">
        <v>2.1970000000000001</v>
      </c>
      <c r="C64">
        <v>2.379</v>
      </c>
      <c r="D64">
        <v>2.145</v>
      </c>
      <c r="E64">
        <v>2.242</v>
      </c>
      <c r="F64">
        <v>2319709.4</v>
      </c>
      <c r="G64">
        <v>2.242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-0.17094017094017111</v>
      </c>
      <c r="Q64">
        <f t="shared" ref="Q64" si="296">F64*P64</f>
        <v>-396531.52136752172</v>
      </c>
      <c r="R64">
        <f t="shared" ref="R64" si="297">R65+Q64</f>
        <v>-51625712.606186643</v>
      </c>
      <c r="S64">
        <f t="shared" ref="S64" si="298">R64/100000</f>
        <v>-516.25712606186642</v>
      </c>
      <c r="T64">
        <f t="shared" ref="T64" si="299">S64/1000</f>
        <v>-0.51625712606186647</v>
      </c>
    </row>
    <row r="65" spans="1:20" x14ac:dyDescent="0.25">
      <c r="A65" s="5">
        <v>44528</v>
      </c>
      <c r="B65">
        <v>2.2410000000000001</v>
      </c>
      <c r="C65">
        <v>2.2490000000000001</v>
      </c>
      <c r="D65">
        <v>2.0310000000000001</v>
      </c>
      <c r="E65">
        <v>2.2010000000000001</v>
      </c>
      <c r="F65">
        <v>1779494.6</v>
      </c>
      <c r="G65">
        <v>2.2010000000000001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0.55963302752293531</v>
      </c>
      <c r="Q65">
        <f t="shared" ref="Q65" si="301">F65*P65</f>
        <v>995863.95045871485</v>
      </c>
      <c r="R65">
        <f t="shared" ref="R65" si="302">R66+Q65</f>
        <v>-51229181.084819123</v>
      </c>
      <c r="S65">
        <f t="shared" ref="S65" si="303">R65/100000</f>
        <v>-512.29181084819118</v>
      </c>
      <c r="T65">
        <f t="shared" ref="T65" si="304">S65/1000</f>
        <v>-0.5122918108481912</v>
      </c>
    </row>
    <row r="66" spans="1:20" x14ac:dyDescent="0.25">
      <c r="A66" s="5">
        <v>44527</v>
      </c>
      <c r="B66">
        <v>2.1429999999999998</v>
      </c>
      <c r="C66">
        <v>2.3660000000000001</v>
      </c>
      <c r="D66">
        <v>2.13</v>
      </c>
      <c r="E66">
        <v>2.242</v>
      </c>
      <c r="F66">
        <v>2487656.6</v>
      </c>
      <c r="G66">
        <v>2.242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-5.0847457627118647E-2</v>
      </c>
      <c r="Q66">
        <f t="shared" ref="Q66" si="306">F66*P66</f>
        <v>-126491.01355932205</v>
      </c>
      <c r="R66">
        <f t="shared" ref="R66" si="307">R67+Q66</f>
        <v>-52225045.035277836</v>
      </c>
      <c r="S66">
        <f t="shared" ref="S66" si="308">R66/100000</f>
        <v>-522.25045035277833</v>
      </c>
      <c r="T66">
        <f t="shared" ref="T66" si="309">S66/1000</f>
        <v>-0.52225045035277828</v>
      </c>
    </row>
    <row r="67" spans="1:20" x14ac:dyDescent="0.25">
      <c r="A67" s="5">
        <v>44526</v>
      </c>
      <c r="B67">
        <v>2.4700000000000002</v>
      </c>
      <c r="C67">
        <v>2.5550000000000002</v>
      </c>
      <c r="D67">
        <v>2.1040000000000001</v>
      </c>
      <c r="E67">
        <v>2.1440000000000001</v>
      </c>
      <c r="F67">
        <v>2857435.8</v>
      </c>
      <c r="G67">
        <v>2.1440000000000001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-0.82261640798226154</v>
      </c>
      <c r="Q67">
        <f t="shared" ref="Q67" si="311">F67*P67</f>
        <v>-2350573.5738359196</v>
      </c>
      <c r="R67">
        <f t="shared" ref="R67" si="312">R68+Q67</f>
        <v>-52098554.021718517</v>
      </c>
      <c r="S67">
        <f t="shared" ref="S67" si="313">R67/100000</f>
        <v>-520.98554021718519</v>
      </c>
      <c r="T67">
        <f t="shared" ref="T67" si="314">S67/1000</f>
        <v>-0.52098554021718524</v>
      </c>
    </row>
    <row r="68" spans="1:20" x14ac:dyDescent="0.25">
      <c r="A68" s="5">
        <v>44525</v>
      </c>
      <c r="B68">
        <v>2.3479999999999999</v>
      </c>
      <c r="C68">
        <v>2.4990000000000001</v>
      </c>
      <c r="D68">
        <v>2.331</v>
      </c>
      <c r="E68">
        <v>2.4670000000000001</v>
      </c>
      <c r="F68">
        <v>2507054.5</v>
      </c>
      <c r="G68">
        <v>2.4670000000000001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0.61904761904761907</v>
      </c>
      <c r="Q68">
        <f t="shared" ref="Q68" si="316">F68*P68</f>
        <v>1551986.1190476192</v>
      </c>
      <c r="R68">
        <f t="shared" ref="R68" si="317">R69+Q68</f>
        <v>-49747980.4478826</v>
      </c>
      <c r="S68">
        <f t="shared" ref="S68" si="318">R68/100000</f>
        <v>-497.479804478826</v>
      </c>
      <c r="T68">
        <f t="shared" ref="T68" si="319">S68/1000</f>
        <v>-0.497479804478826</v>
      </c>
    </row>
    <row r="69" spans="1:20" x14ac:dyDescent="0.25">
      <c r="A69" s="5">
        <v>44524</v>
      </c>
      <c r="B69">
        <v>2.3220000000000001</v>
      </c>
      <c r="C69">
        <v>2.3519999999999999</v>
      </c>
      <c r="D69">
        <v>2.2149999999999999</v>
      </c>
      <c r="E69">
        <v>2.3519999999999999</v>
      </c>
      <c r="F69">
        <v>1051601.5</v>
      </c>
      <c r="G69">
        <v>2.3519999999999999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1</v>
      </c>
      <c r="Q69">
        <f t="shared" ref="Q69" si="321">F69*P69</f>
        <v>1051601.5</v>
      </c>
      <c r="R69">
        <f t="shared" ref="R69" si="322">R70+Q69</f>
        <v>-51299966.56693022</v>
      </c>
      <c r="S69">
        <f t="shared" ref="S69" si="323">R69/100000</f>
        <v>-512.9996656693022</v>
      </c>
      <c r="T69">
        <f t="shared" ref="T69" si="324">S69/1000</f>
        <v>-0.51299966566930222</v>
      </c>
    </row>
    <row r="70" spans="1:20" x14ac:dyDescent="0.25">
      <c r="A70" s="5">
        <v>44523</v>
      </c>
      <c r="B70">
        <v>2.1219999999999999</v>
      </c>
      <c r="C70">
        <v>2.46</v>
      </c>
      <c r="D70">
        <v>2.1080000000000001</v>
      </c>
      <c r="E70">
        <v>2.3199999999999998</v>
      </c>
      <c r="F70">
        <v>6211107.5999999996</v>
      </c>
      <c r="G70">
        <v>2.3199999999999998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0.20454545454545353</v>
      </c>
      <c r="Q70">
        <f t="shared" ref="Q70" si="326">F70*P70</f>
        <v>1270453.8272727209</v>
      </c>
      <c r="R70">
        <f t="shared" ref="R70" si="327">R71+Q70</f>
        <v>-52351568.06693022</v>
      </c>
      <c r="S70">
        <f t="shared" ref="S70" si="328">R70/100000</f>
        <v>-523.51568066930224</v>
      </c>
      <c r="T70">
        <f t="shared" ref="T70" si="329">S70/1000</f>
        <v>-0.52351568066930221</v>
      </c>
    </row>
    <row r="71" spans="1:20" x14ac:dyDescent="0.25">
      <c r="A71" s="5">
        <v>44522</v>
      </c>
      <c r="B71">
        <v>2.133</v>
      </c>
      <c r="C71">
        <v>2.21</v>
      </c>
      <c r="D71">
        <v>2.0470000000000002</v>
      </c>
      <c r="E71">
        <v>2.1230000000000002</v>
      </c>
      <c r="F71">
        <v>2866431.9</v>
      </c>
      <c r="G71">
        <v>2.1230000000000002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-6.7484662576685214E-2</v>
      </c>
      <c r="Q71">
        <f t="shared" ref="Q71" si="331">F71*P71</f>
        <v>-193440.18957054667</v>
      </c>
      <c r="R71">
        <f t="shared" ref="R71" si="332">R72+Q71</f>
        <v>-53622021.89420294</v>
      </c>
      <c r="S71">
        <f t="shared" ref="S71" si="333">R71/100000</f>
        <v>-536.22021894202942</v>
      </c>
      <c r="T71">
        <f t="shared" ref="T71" si="334">S71/1000</f>
        <v>-0.53622021894202943</v>
      </c>
    </row>
    <row r="72" spans="1:20" x14ac:dyDescent="0.25">
      <c r="A72" s="5">
        <v>44521</v>
      </c>
      <c r="B72">
        <v>2.157</v>
      </c>
      <c r="C72">
        <v>2.2290000000000001</v>
      </c>
      <c r="D72">
        <v>2.097</v>
      </c>
      <c r="E72">
        <v>2.133</v>
      </c>
      <c r="F72">
        <v>1946372.9</v>
      </c>
      <c r="G72">
        <v>2.133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-0.45454545454545453</v>
      </c>
      <c r="Q72">
        <f t="shared" ref="Q72" si="336">F72*P72</f>
        <v>-884714.95454545447</v>
      </c>
      <c r="R72">
        <f t="shared" ref="R72" si="337">R73+Q72</f>
        <v>-53428581.704632394</v>
      </c>
      <c r="S72">
        <f t="shared" ref="S72" si="338">R72/100000</f>
        <v>-534.28581704632393</v>
      </c>
      <c r="T72">
        <f t="shared" ref="T72" si="339">S72/1000</f>
        <v>-0.53428581704632394</v>
      </c>
    </row>
    <row r="73" spans="1:20" x14ac:dyDescent="0.25">
      <c r="A73" s="5">
        <v>44520</v>
      </c>
      <c r="B73">
        <v>2.0449999999999999</v>
      </c>
      <c r="C73">
        <v>2.2050000000000001</v>
      </c>
      <c r="D73">
        <v>2.0070000000000001</v>
      </c>
      <c r="E73">
        <v>2.157</v>
      </c>
      <c r="F73">
        <v>2413705.2999999998</v>
      </c>
      <c r="G73">
        <v>2.157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0.51515151515151458</v>
      </c>
      <c r="Q73">
        <f t="shared" ref="Q73" si="341">F73*P73</f>
        <v>1243423.942424241</v>
      </c>
      <c r="R73">
        <f t="shared" ref="R73" si="342">R74+Q73</f>
        <v>-52543866.750086941</v>
      </c>
      <c r="S73">
        <f t="shared" ref="S73" si="343">R73/100000</f>
        <v>-525.43866750086943</v>
      </c>
      <c r="T73">
        <f t="shared" ref="T73" si="344">S73/1000</f>
        <v>-0.52543866750086943</v>
      </c>
    </row>
    <row r="74" spans="1:20" x14ac:dyDescent="0.25">
      <c r="A74" s="5">
        <v>44519</v>
      </c>
      <c r="B74">
        <v>1.9179999999999999</v>
      </c>
      <c r="C74">
        <v>2.089</v>
      </c>
      <c r="D74">
        <v>1.8819999999999999</v>
      </c>
      <c r="E74">
        <v>2.0430000000000001</v>
      </c>
      <c r="F74">
        <v>1846912.2</v>
      </c>
      <c r="G74">
        <v>2.0430000000000001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0.55555555555555747</v>
      </c>
      <c r="Q74">
        <f t="shared" ref="Q74" si="346">F74*P74</f>
        <v>1026062.3333333369</v>
      </c>
      <c r="R74">
        <f t="shared" ref="R74" si="347">R75+Q74</f>
        <v>-53787290.692511179</v>
      </c>
      <c r="S74">
        <f t="shared" ref="S74" si="348">R74/100000</f>
        <v>-537.87290692511181</v>
      </c>
      <c r="T74">
        <f t="shared" ref="T74" si="349">S74/1000</f>
        <v>-0.5378729069251118</v>
      </c>
    </row>
    <row r="75" spans="1:20" x14ac:dyDescent="0.25">
      <c r="A75" s="5">
        <v>44518</v>
      </c>
      <c r="B75">
        <v>2.15</v>
      </c>
      <c r="C75">
        <v>2.1800000000000002</v>
      </c>
      <c r="D75">
        <v>1.849</v>
      </c>
      <c r="E75">
        <v>1.9179999999999999</v>
      </c>
      <c r="F75">
        <v>2063777.3</v>
      </c>
      <c r="G75">
        <v>1.9179999999999999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-0.58308157099697944</v>
      </c>
      <c r="Q75">
        <f t="shared" ref="Q75" si="351">F75*P75</f>
        <v>-1203350.5102719045</v>
      </c>
      <c r="R75">
        <f t="shared" ref="R75" si="352">R76+Q75</f>
        <v>-54813353.025844514</v>
      </c>
      <c r="S75">
        <f t="shared" ref="S75" si="353">R75/100000</f>
        <v>-548.13353025844515</v>
      </c>
      <c r="T75">
        <f t="shared" ref="T75" si="354">S75/1000</f>
        <v>-0.54813353025844513</v>
      </c>
    </row>
    <row r="76" spans="1:20" x14ac:dyDescent="0.25">
      <c r="A76" s="5">
        <v>44517</v>
      </c>
      <c r="B76">
        <v>2.1080000000000001</v>
      </c>
      <c r="C76">
        <v>2.2000000000000002</v>
      </c>
      <c r="D76">
        <v>2.0329999999999999</v>
      </c>
      <c r="E76">
        <v>2.1509999999999998</v>
      </c>
      <c r="F76">
        <v>1259892.1000000001</v>
      </c>
      <c r="G76">
        <v>2.1509999999999998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0.41317365269460721</v>
      </c>
      <c r="Q76">
        <f t="shared" ref="Q76" si="356">F76*P76</f>
        <v>520554.22095807939</v>
      </c>
      <c r="R76">
        <f t="shared" ref="R76" si="357">R77+Q76</f>
        <v>-53610002.515572608</v>
      </c>
      <c r="S76">
        <f t="shared" ref="S76" si="358">R76/100000</f>
        <v>-536.10002515572603</v>
      </c>
      <c r="T76">
        <f t="shared" ref="T76" si="359">S76/1000</f>
        <v>-0.53610002515572608</v>
      </c>
    </row>
    <row r="77" spans="1:20" x14ac:dyDescent="0.25">
      <c r="A77" s="5">
        <v>44516</v>
      </c>
      <c r="B77">
        <v>2.4020000000000001</v>
      </c>
      <c r="C77">
        <v>2.4020000000000001</v>
      </c>
      <c r="D77">
        <v>1.95</v>
      </c>
      <c r="E77">
        <v>2.11</v>
      </c>
      <c r="F77">
        <v>3540514.5</v>
      </c>
      <c r="G77">
        <v>2.11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-0.29203539823008912</v>
      </c>
      <c r="Q77">
        <f t="shared" ref="Q77" si="361">F77*P77</f>
        <v>-1033955.5619469049</v>
      </c>
      <c r="R77">
        <f t="shared" ref="R77" si="362">R78+Q77</f>
        <v>-54130556.736530684</v>
      </c>
      <c r="S77">
        <f t="shared" ref="S77" si="363">R77/100000</f>
        <v>-541.30556736530684</v>
      </c>
      <c r="T77">
        <f t="shared" ref="T77" si="364">S77/1000</f>
        <v>-0.54130556736530688</v>
      </c>
    </row>
    <row r="78" spans="1:20" x14ac:dyDescent="0.25">
      <c r="A78" s="5">
        <v>44515</v>
      </c>
      <c r="B78">
        <v>2.448</v>
      </c>
      <c r="C78">
        <v>2.532</v>
      </c>
      <c r="D78">
        <v>2.3809999999999998</v>
      </c>
      <c r="E78">
        <v>2.4009999999999998</v>
      </c>
      <c r="F78">
        <v>1669178.7</v>
      </c>
      <c r="G78">
        <v>2.4009999999999998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-0.73509933774834457</v>
      </c>
      <c r="Q78">
        <f t="shared" ref="Q78" si="366">F78*P78</f>
        <v>-1227012.1569536426</v>
      </c>
      <c r="R78">
        <f t="shared" ref="R78" si="367">R79+Q78</f>
        <v>-53096601.174583778</v>
      </c>
      <c r="S78">
        <f t="shared" ref="S78" si="368">R78/100000</f>
        <v>-530.96601174583782</v>
      </c>
      <c r="T78">
        <f t="shared" ref="T78" si="369">S78/1000</f>
        <v>-0.5309660117458378</v>
      </c>
    </row>
    <row r="79" spans="1:20" x14ac:dyDescent="0.25">
      <c r="A79" s="5">
        <v>44514</v>
      </c>
      <c r="B79">
        <v>2.4390000000000001</v>
      </c>
      <c r="C79">
        <v>2.5379999999999998</v>
      </c>
      <c r="D79">
        <v>2.367</v>
      </c>
      <c r="E79">
        <v>2.4460000000000002</v>
      </c>
      <c r="F79">
        <v>1692981.9</v>
      </c>
      <c r="G79">
        <v>2.4460000000000002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-7.6023391812862398E-2</v>
      </c>
      <c r="Q79">
        <f t="shared" ref="Q79" si="371">F79*P79</f>
        <v>-128706.22631578422</v>
      </c>
      <c r="R79">
        <f t="shared" ref="R79" si="372">R80+Q79</f>
        <v>-51869589.017630138</v>
      </c>
      <c r="S79">
        <f t="shared" ref="S79" si="373">R79/100000</f>
        <v>-518.69589017630142</v>
      </c>
      <c r="T79">
        <f t="shared" ref="T79" si="374">S79/1000</f>
        <v>-0.51869589017630147</v>
      </c>
    </row>
    <row r="80" spans="1:20" x14ac:dyDescent="0.25">
      <c r="A80" s="5">
        <v>44513</v>
      </c>
      <c r="B80">
        <v>2.38</v>
      </c>
      <c r="C80">
        <v>2.4740000000000002</v>
      </c>
      <c r="D80">
        <v>2.3410000000000002</v>
      </c>
      <c r="E80">
        <v>2.4409999999999998</v>
      </c>
      <c r="F80">
        <v>1378533.8</v>
      </c>
      <c r="G80">
        <v>2.4409999999999998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0.50375939849623519</v>
      </c>
      <c r="Q80">
        <f t="shared" ref="Q80" si="376">F80*P80</f>
        <v>694449.35789472936</v>
      </c>
      <c r="R80">
        <f t="shared" ref="R80" si="377">R81+Q80</f>
        <v>-51740882.791314356</v>
      </c>
      <c r="S80">
        <f t="shared" ref="S80" si="378">R80/100000</f>
        <v>-517.40882791314357</v>
      </c>
      <c r="T80">
        <f t="shared" ref="T80" si="379">S80/1000</f>
        <v>-0.51740882791314358</v>
      </c>
    </row>
    <row r="81" spans="1:20" x14ac:dyDescent="0.25">
      <c r="A81" s="5">
        <v>44512</v>
      </c>
      <c r="B81">
        <v>2.448</v>
      </c>
      <c r="C81">
        <v>2.4900000000000002</v>
      </c>
      <c r="D81">
        <v>2.2909999999999999</v>
      </c>
      <c r="E81">
        <v>2.38</v>
      </c>
      <c r="F81">
        <v>1829019.9</v>
      </c>
      <c r="G81">
        <v>2.38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-0.10552763819095638</v>
      </c>
      <c r="Q81">
        <f t="shared" ref="Q81" si="381">F81*P81</f>
        <v>-193012.15025125921</v>
      </c>
      <c r="R81">
        <f t="shared" ref="R81" si="382">R82+Q81</f>
        <v>-52435332.149209082</v>
      </c>
      <c r="S81">
        <f t="shared" ref="S81" si="383">R81/100000</f>
        <v>-524.3533214920908</v>
      </c>
      <c r="T81">
        <f t="shared" ref="T81" si="384">S81/1000</f>
        <v>-0.5243533214920908</v>
      </c>
    </row>
    <row r="82" spans="1:20" x14ac:dyDescent="0.25">
      <c r="A82" s="5">
        <v>44511</v>
      </c>
      <c r="B82">
        <v>2.3239999999999998</v>
      </c>
      <c r="C82">
        <v>2.4980000000000002</v>
      </c>
      <c r="D82">
        <v>2.2719999999999998</v>
      </c>
      <c r="E82">
        <v>2.4489999999999998</v>
      </c>
      <c r="F82">
        <v>2606383.5</v>
      </c>
      <c r="G82">
        <v>2.4489999999999998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0.56637168141592664</v>
      </c>
      <c r="Q82">
        <f t="shared" ref="Q82" si="386">F82*P82</f>
        <v>1476181.8053097278</v>
      </c>
      <c r="R82">
        <f t="shared" ref="R82" si="387">R83+Q82</f>
        <v>-52242319.99895782</v>
      </c>
      <c r="S82">
        <f t="shared" ref="S82" si="388">R82/100000</f>
        <v>-522.42319998957817</v>
      </c>
      <c r="T82">
        <f t="shared" ref="T82" si="389">S82/1000</f>
        <v>-0.5224231999895782</v>
      </c>
    </row>
    <row r="83" spans="1:20" x14ac:dyDescent="0.25">
      <c r="A83" s="5">
        <v>44510</v>
      </c>
      <c r="B83">
        <v>2.5720000000000001</v>
      </c>
      <c r="C83">
        <v>2.6280000000000001</v>
      </c>
      <c r="D83">
        <v>2.1469999999999998</v>
      </c>
      <c r="E83">
        <v>2.3239999999999998</v>
      </c>
      <c r="F83">
        <v>4010077</v>
      </c>
      <c r="G83">
        <v>2.3239999999999998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-0.26403326403326433</v>
      </c>
      <c r="Q83">
        <f t="shared" ref="Q83" si="391">F83*P83</f>
        <v>-1058793.7193347204</v>
      </c>
      <c r="R83">
        <f t="shared" ref="R83" si="392">R84+Q83</f>
        <v>-53718501.804267548</v>
      </c>
      <c r="S83">
        <f t="shared" ref="S83" si="393">R83/100000</f>
        <v>-537.18501804267544</v>
      </c>
      <c r="T83">
        <f t="shared" ref="T83" si="394">S83/1000</f>
        <v>-0.53718501804267549</v>
      </c>
    </row>
    <row r="84" spans="1:20" x14ac:dyDescent="0.25">
      <c r="A84" s="5">
        <v>44509</v>
      </c>
      <c r="B84">
        <v>2.7029999999999998</v>
      </c>
      <c r="C84">
        <v>2.8210000000000002</v>
      </c>
      <c r="D84">
        <v>2.556</v>
      </c>
      <c r="E84">
        <v>2.5739999999999998</v>
      </c>
      <c r="F84">
        <v>2134094.6</v>
      </c>
      <c r="G84">
        <v>2.5739999999999998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-0.864150943396228</v>
      </c>
      <c r="Q84">
        <f t="shared" ref="Q84" si="396">F84*P84</f>
        <v>-1844179.8618867958</v>
      </c>
      <c r="R84">
        <f t="shared" ref="R84" si="397">R85+Q84</f>
        <v>-52659708.084932826</v>
      </c>
      <c r="S84">
        <f t="shared" ref="S84" si="398">R84/100000</f>
        <v>-526.59708084932822</v>
      </c>
      <c r="T84">
        <f t="shared" ref="T84" si="399">S84/1000</f>
        <v>-0.52659708084932821</v>
      </c>
    </row>
    <row r="85" spans="1:20" x14ac:dyDescent="0.25">
      <c r="A85" s="5">
        <v>44508</v>
      </c>
      <c r="B85">
        <v>2.617</v>
      </c>
      <c r="C85">
        <v>2.7090000000000001</v>
      </c>
      <c r="D85">
        <v>2.5030000000000001</v>
      </c>
      <c r="E85">
        <v>2.7050000000000001</v>
      </c>
      <c r="F85">
        <v>2655568.2000000002</v>
      </c>
      <c r="G85">
        <v>2.7050000000000001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0.96116504854368923</v>
      </c>
      <c r="Q85">
        <f t="shared" ref="Q85" si="401">F85*P85</f>
        <v>2552439.3378640777</v>
      </c>
      <c r="R85">
        <f t="shared" ref="R85" si="402">R86+Q85</f>
        <v>-50815528.223046027</v>
      </c>
      <c r="S85">
        <f t="shared" ref="S85" si="403">R85/100000</f>
        <v>-508.15528223046027</v>
      </c>
      <c r="T85">
        <f t="shared" ref="T85" si="404">S85/1000</f>
        <v>-0.50815528223046025</v>
      </c>
    </row>
    <row r="86" spans="1:20" x14ac:dyDescent="0.25">
      <c r="A86" s="5">
        <v>44507</v>
      </c>
      <c r="B86">
        <v>2.5299999999999998</v>
      </c>
      <c r="C86">
        <v>2.6749999999999998</v>
      </c>
      <c r="D86">
        <v>2.5019999999999998</v>
      </c>
      <c r="E86">
        <v>2.6139999999999999</v>
      </c>
      <c r="F86">
        <v>2446817.7999999998</v>
      </c>
      <c r="G86">
        <v>2.6139999999999999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0.29479768786127253</v>
      </c>
      <c r="Q86">
        <f t="shared" ref="Q86" si="406">F86*P86</f>
        <v>721316.23005780554</v>
      </c>
      <c r="R86">
        <f t="shared" ref="R86" si="407">R87+Q86</f>
        <v>-53367967.560910106</v>
      </c>
      <c r="S86">
        <f t="shared" ref="S86" si="408">R86/100000</f>
        <v>-533.67967560910108</v>
      </c>
      <c r="T86">
        <f t="shared" ref="T86" si="409">S86/1000</f>
        <v>-0.53367967560910112</v>
      </c>
    </row>
    <row r="87" spans="1:20" x14ac:dyDescent="0.25">
      <c r="A87" s="5">
        <v>44506</v>
      </c>
      <c r="B87">
        <v>2.6389999999999998</v>
      </c>
      <c r="C87">
        <v>2.6619999999999999</v>
      </c>
      <c r="D87">
        <v>2.448</v>
      </c>
      <c r="E87">
        <v>2.5299999999999998</v>
      </c>
      <c r="F87">
        <v>1567197.7</v>
      </c>
      <c r="G87">
        <v>2.5299999999999998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-0.23364485981308539</v>
      </c>
      <c r="Q87">
        <f t="shared" ref="Q87" si="411">F87*P87</f>
        <v>-366167.68691588985</v>
      </c>
      <c r="R87">
        <f t="shared" ref="R87" si="412">R88+Q87</f>
        <v>-54089283.790967911</v>
      </c>
      <c r="S87">
        <f t="shared" ref="S87" si="413">R87/100000</f>
        <v>-540.89283790967909</v>
      </c>
      <c r="T87">
        <f t="shared" ref="T87" si="414">S87/1000</f>
        <v>-0.54089283790967913</v>
      </c>
    </row>
    <row r="88" spans="1:20" x14ac:dyDescent="0.25">
      <c r="A88" s="5">
        <v>44505</v>
      </c>
      <c r="B88">
        <v>2.7090000000000001</v>
      </c>
      <c r="C88">
        <v>2.8420000000000001</v>
      </c>
      <c r="D88">
        <v>2.6150000000000002</v>
      </c>
      <c r="E88">
        <v>2.64</v>
      </c>
      <c r="F88">
        <v>1982557.3</v>
      </c>
      <c r="G88">
        <v>2.64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-0.77973568281938388</v>
      </c>
      <c r="Q88">
        <f t="shared" ref="Q88" si="416">F88*P88</f>
        <v>-1545870.670044054</v>
      </c>
      <c r="R88">
        <f t="shared" ref="R88" si="417">R89+Q88</f>
        <v>-53723116.104052022</v>
      </c>
      <c r="S88">
        <f t="shared" ref="S88" si="418">R88/100000</f>
        <v>-537.23116104052019</v>
      </c>
      <c r="T88">
        <f t="shared" ref="T88" si="419">S88/1000</f>
        <v>-0.53723116104052016</v>
      </c>
    </row>
    <row r="89" spans="1:20" x14ac:dyDescent="0.25">
      <c r="A89" s="5">
        <v>44504</v>
      </c>
      <c r="B89">
        <v>2.7610000000000001</v>
      </c>
      <c r="C89">
        <v>2.84</v>
      </c>
      <c r="D89">
        <v>2.6040000000000001</v>
      </c>
      <c r="E89">
        <v>2.71</v>
      </c>
      <c r="F89">
        <v>3336599.9</v>
      </c>
      <c r="G89">
        <v>2.71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-0.10169491525423748</v>
      </c>
      <c r="Q89">
        <f t="shared" ref="Q89" si="421">F89*P89</f>
        <v>-339315.2440677972</v>
      </c>
      <c r="R89">
        <f t="shared" ref="R89" si="422">R90+Q89</f>
        <v>-52177245.434007965</v>
      </c>
      <c r="S89">
        <f t="shared" ref="S89" si="423">R89/100000</f>
        <v>-521.77245434007966</v>
      </c>
      <c r="T89">
        <f t="shared" ref="T89" si="424">S89/1000</f>
        <v>-0.52177245434007968</v>
      </c>
    </row>
    <row r="90" spans="1:20" x14ac:dyDescent="0.25">
      <c r="A90" s="5">
        <v>44503</v>
      </c>
      <c r="B90">
        <v>2.69</v>
      </c>
      <c r="C90">
        <v>2.9590000000000001</v>
      </c>
      <c r="D90">
        <v>2.613</v>
      </c>
      <c r="E90">
        <v>2.7570000000000001</v>
      </c>
      <c r="F90">
        <v>8224088.0999999996</v>
      </c>
      <c r="G90">
        <v>2.7570000000000001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-0.16763005780346768</v>
      </c>
      <c r="Q90">
        <f t="shared" ref="Q90" si="426">F90*P90</f>
        <v>-1378604.3635838106</v>
      </c>
      <c r="R90">
        <f t="shared" ref="R90" si="427">R91+Q90</f>
        <v>-51837930.189940169</v>
      </c>
      <c r="S90">
        <f t="shared" ref="S90" si="428">R90/100000</f>
        <v>-518.37930189940164</v>
      </c>
      <c r="T90">
        <f t="shared" ref="T90" si="429">S90/1000</f>
        <v>-0.51837930189940162</v>
      </c>
    </row>
    <row r="91" spans="1:20" x14ac:dyDescent="0.25">
      <c r="A91" s="5">
        <v>44502</v>
      </c>
      <c r="B91">
        <v>2.5430000000000001</v>
      </c>
      <c r="C91">
        <v>2.8380000000000001</v>
      </c>
      <c r="D91">
        <v>2.4929999999999999</v>
      </c>
      <c r="E91">
        <v>2.6920000000000002</v>
      </c>
      <c r="F91">
        <v>6526177.4000000004</v>
      </c>
      <c r="G91">
        <v>2.6920000000000002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0.15362318840579811</v>
      </c>
      <c r="Q91">
        <f t="shared" ref="Q91" si="431">F91*P91</f>
        <v>1002572.1802898617</v>
      </c>
      <c r="R91">
        <f t="shared" ref="R91" si="432">R92+Q91</f>
        <v>-50459325.826356359</v>
      </c>
      <c r="S91">
        <f t="shared" ref="S91" si="433">R91/100000</f>
        <v>-504.5932582635636</v>
      </c>
      <c r="T91">
        <f t="shared" ref="T91" si="434">S91/1000</f>
        <v>-0.5045932582635636</v>
      </c>
    </row>
    <row r="92" spans="1:20" x14ac:dyDescent="0.25">
      <c r="A92" s="5">
        <v>44501</v>
      </c>
      <c r="B92">
        <v>2.5590000000000002</v>
      </c>
      <c r="C92">
        <v>2.65</v>
      </c>
      <c r="D92">
        <v>2.3679999999999999</v>
      </c>
      <c r="E92">
        <v>2.5470000000000002</v>
      </c>
      <c r="F92">
        <v>6187307.2999999998</v>
      </c>
      <c r="G92">
        <v>2.5470000000000002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0.26950354609929256</v>
      </c>
      <c r="Q92">
        <f t="shared" ref="Q92" si="436">F92*P92</f>
        <v>1667501.2581560393</v>
      </c>
      <c r="R92">
        <f t="shared" ref="R92" si="437">R93+Q92</f>
        <v>-51461898.006646223</v>
      </c>
      <c r="S92">
        <f t="shared" ref="S92" si="438">R92/100000</f>
        <v>-514.6189800664622</v>
      </c>
      <c r="T92">
        <f t="shared" ref="T92" si="439">S92/1000</f>
        <v>-0.51461898006646223</v>
      </c>
    </row>
    <row r="93" spans="1:20" x14ac:dyDescent="0.25">
      <c r="A93" s="5">
        <v>44500</v>
      </c>
      <c r="B93">
        <v>2.3109999999999999</v>
      </c>
      <c r="C93">
        <v>2.66</v>
      </c>
      <c r="D93">
        <v>2.2480000000000002</v>
      </c>
      <c r="E93">
        <v>2.5539999999999998</v>
      </c>
      <c r="F93">
        <v>9064684.0999999996</v>
      </c>
      <c r="G93">
        <v>2.5539999999999998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0.48543689320388184</v>
      </c>
      <c r="Q93">
        <f t="shared" ref="Q93" si="441">F93*P93</f>
        <v>4400332.0873786258</v>
      </c>
      <c r="R93">
        <f t="shared" ref="R93" si="442">R94+Q93</f>
        <v>-53129399.264802262</v>
      </c>
      <c r="S93">
        <f t="shared" ref="S93" si="443">R93/100000</f>
        <v>-531.29399264802259</v>
      </c>
      <c r="T93">
        <f t="shared" ref="T93" si="444">S93/1000</f>
        <v>-0.53129399264802257</v>
      </c>
    </row>
    <row r="94" spans="1:20" x14ac:dyDescent="0.25">
      <c r="A94" s="5">
        <v>44499</v>
      </c>
      <c r="B94">
        <v>2.2810000000000001</v>
      </c>
      <c r="C94">
        <v>2.4129999999999998</v>
      </c>
      <c r="D94">
        <v>2.16</v>
      </c>
      <c r="E94">
        <v>2.3140000000000001</v>
      </c>
      <c r="F94">
        <v>3522477.4</v>
      </c>
      <c r="G94">
        <v>2.3140000000000001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0.217391304347827</v>
      </c>
      <c r="Q94">
        <f t="shared" ref="Q94" si="446">F94*P94</f>
        <v>765755.95652174228</v>
      </c>
      <c r="R94">
        <f t="shared" ref="R94" si="447">R95+Q94</f>
        <v>-57529731.352180891</v>
      </c>
      <c r="S94">
        <f t="shared" ref="S94" si="448">R94/100000</f>
        <v>-575.29731352180886</v>
      </c>
      <c r="T94">
        <f t="shared" ref="T94" si="449">S94/1000</f>
        <v>-0.57529731352180891</v>
      </c>
    </row>
    <row r="95" spans="1:20" x14ac:dyDescent="0.25">
      <c r="A95" s="5">
        <v>44498</v>
      </c>
      <c r="B95">
        <v>2.1459999999999999</v>
      </c>
      <c r="C95">
        <v>2.2829999999999999</v>
      </c>
      <c r="D95">
        <v>2.1230000000000002</v>
      </c>
      <c r="E95">
        <v>2.2799999999999998</v>
      </c>
      <c r="F95">
        <v>2258062.2999999998</v>
      </c>
      <c r="G95">
        <v>2.2799999999999998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0.96249999999999847</v>
      </c>
      <c r="Q95">
        <f t="shared" ref="Q95" si="451">F95*P95</f>
        <v>2173384.9637499964</v>
      </c>
      <c r="R95">
        <f t="shared" ref="R95" si="452">R96+Q95</f>
        <v>-58295487.308702633</v>
      </c>
      <c r="S95">
        <f t="shared" ref="S95" si="453">R95/100000</f>
        <v>-582.95487308702627</v>
      </c>
      <c r="T95">
        <f t="shared" ref="T95" si="454">S95/1000</f>
        <v>-0.58295487308702632</v>
      </c>
    </row>
    <row r="96" spans="1:20" x14ac:dyDescent="0.25">
      <c r="A96" s="5">
        <v>44497</v>
      </c>
      <c r="B96">
        <v>2.0499999999999998</v>
      </c>
      <c r="C96">
        <v>2.2410000000000001</v>
      </c>
      <c r="D96">
        <v>2.0259999999999998</v>
      </c>
      <c r="E96">
        <v>2.1459999999999999</v>
      </c>
      <c r="F96">
        <v>3888779.9</v>
      </c>
      <c r="G96">
        <v>2.1459999999999999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0.11627906976744129</v>
      </c>
      <c r="Q96">
        <f t="shared" ref="Q96" si="456">F96*P96</f>
        <v>452183.70930232335</v>
      </c>
      <c r="R96">
        <f t="shared" ref="R96" si="457">R97+Q96</f>
        <v>-60468872.27245263</v>
      </c>
      <c r="S96">
        <f t="shared" ref="S96" si="458">R96/100000</f>
        <v>-604.68872272452631</v>
      </c>
      <c r="T96">
        <f t="shared" ref="T96" si="459">S96/1000</f>
        <v>-0.60468872272452634</v>
      </c>
    </row>
    <row r="97" spans="1:20" x14ac:dyDescent="0.25">
      <c r="A97" s="5">
        <v>44496</v>
      </c>
      <c r="B97">
        <v>2.4860000000000002</v>
      </c>
      <c r="C97">
        <v>2.5870000000000002</v>
      </c>
      <c r="D97">
        <v>2</v>
      </c>
      <c r="E97">
        <v>2.0489999999999999</v>
      </c>
      <c r="F97">
        <v>4508370.8</v>
      </c>
      <c r="G97">
        <v>2.0489999999999999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-0.83304940374787084</v>
      </c>
      <c r="Q97">
        <f t="shared" ref="Q97" si="461">F97*P97</f>
        <v>-3755695.6068143114</v>
      </c>
      <c r="R97">
        <f t="shared" ref="R97" si="462">R98+Q97</f>
        <v>-60921055.981754951</v>
      </c>
      <c r="S97">
        <f t="shared" ref="S97" si="463">R97/100000</f>
        <v>-609.21055981754955</v>
      </c>
      <c r="T97">
        <f t="shared" ref="T97" si="464">S97/1000</f>
        <v>-0.60921055981754957</v>
      </c>
    </row>
    <row r="98" spans="1:20" x14ac:dyDescent="0.25">
      <c r="A98" s="5">
        <v>44495</v>
      </c>
      <c r="B98">
        <v>2.3860000000000001</v>
      </c>
      <c r="C98">
        <v>2.6</v>
      </c>
      <c r="D98">
        <v>2.3580000000000001</v>
      </c>
      <c r="E98">
        <v>2.484</v>
      </c>
      <c r="F98">
        <v>4108045.9</v>
      </c>
      <c r="G98">
        <v>2.484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4.1322314049585897E-2</v>
      </c>
      <c r="Q98">
        <f t="shared" ref="Q98" si="466">F98*P98</f>
        <v>169753.96280991373</v>
      </c>
      <c r="R98">
        <f t="shared" ref="R98" si="467">R99+Q98</f>
        <v>-57165360.374940641</v>
      </c>
      <c r="S98">
        <f t="shared" ref="S98" si="468">R98/100000</f>
        <v>-571.65360374940644</v>
      </c>
      <c r="T98">
        <f t="shared" ref="T98" si="469">S98/1000</f>
        <v>-0.57165360374940644</v>
      </c>
    </row>
    <row r="99" spans="1:20" x14ac:dyDescent="0.25">
      <c r="A99" s="5">
        <v>44494</v>
      </c>
      <c r="B99">
        <v>2.25</v>
      </c>
      <c r="C99">
        <v>2.3879999999999999</v>
      </c>
      <c r="D99">
        <v>2.2330000000000001</v>
      </c>
      <c r="E99">
        <v>2.3849999999999998</v>
      </c>
      <c r="F99">
        <v>1848166.3</v>
      </c>
      <c r="G99">
        <v>2.3849999999999998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0.96129032258064362</v>
      </c>
      <c r="Q99">
        <f t="shared" ref="Q99" si="471">F99*P99</f>
        <v>1776624.3787096746</v>
      </c>
      <c r="R99">
        <f t="shared" ref="R99" si="472">R100+Q99</f>
        <v>-57335114.337750554</v>
      </c>
      <c r="S99">
        <f t="shared" ref="S99" si="473">R99/100000</f>
        <v>-573.35114337750554</v>
      </c>
      <c r="T99">
        <f t="shared" ref="T99" si="474">S99/1000</f>
        <v>-0.57335114337750559</v>
      </c>
    </row>
    <row r="100" spans="1:20" x14ac:dyDescent="0.25">
      <c r="A100" s="5">
        <v>44493</v>
      </c>
      <c r="B100">
        <v>2.3719999999999999</v>
      </c>
      <c r="C100">
        <v>2.4239999999999999</v>
      </c>
      <c r="D100">
        <v>2.1739999999999999</v>
      </c>
      <c r="E100">
        <v>2.2480000000000002</v>
      </c>
      <c r="F100">
        <v>2418663.4</v>
      </c>
      <c r="G100">
        <v>2.2480000000000002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-0.4079999999999977</v>
      </c>
      <c r="Q100">
        <f t="shared" ref="Q100" si="476">F100*P100</f>
        <v>-986814.66719999444</v>
      </c>
      <c r="R100">
        <f t="shared" ref="R100" si="477">R101+Q100</f>
        <v>-59111738.716460228</v>
      </c>
      <c r="S100">
        <f t="shared" ref="S100" si="478">R100/100000</f>
        <v>-591.11738716460229</v>
      </c>
      <c r="T100">
        <f t="shared" ref="T100" si="479">S100/1000</f>
        <v>-0.59111738716460227</v>
      </c>
    </row>
    <row r="101" spans="1:20" x14ac:dyDescent="0.25">
      <c r="A101" s="5">
        <v>44492</v>
      </c>
      <c r="B101">
        <v>2.2679999999999998</v>
      </c>
      <c r="C101">
        <v>2.4689999999999999</v>
      </c>
      <c r="D101">
        <v>2.238</v>
      </c>
      <c r="E101">
        <v>2.371</v>
      </c>
      <c r="F101">
        <v>4939864.8</v>
      </c>
      <c r="G101">
        <v>2.371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0.15151515151515221</v>
      </c>
      <c r="Q101">
        <f t="shared" ref="Q101" si="481">F101*P101</f>
        <v>748464.36363636702</v>
      </c>
      <c r="R101">
        <f t="shared" ref="R101" si="482">R102+Q101</f>
        <v>-58124924.049260236</v>
      </c>
      <c r="S101">
        <f t="shared" ref="S101" si="483">R101/100000</f>
        <v>-581.24924049260233</v>
      </c>
      <c r="T101">
        <f t="shared" ref="T101" si="484">S101/1000</f>
        <v>-0.58124924049260229</v>
      </c>
    </row>
    <row r="102" spans="1:20" x14ac:dyDescent="0.25">
      <c r="A102" s="5">
        <v>44491</v>
      </c>
      <c r="B102">
        <v>2.2210000000000001</v>
      </c>
      <c r="C102">
        <v>2.347</v>
      </c>
      <c r="D102">
        <v>2.2029999999999998</v>
      </c>
      <c r="E102">
        <v>2.2669999999999999</v>
      </c>
      <c r="F102">
        <v>2730465.3</v>
      </c>
      <c r="G102">
        <v>2.2669999999999999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-0.1111111111111111</v>
      </c>
      <c r="Q102">
        <f t="shared" ref="Q102" si="486">F102*P102</f>
        <v>-303385.03333333327</v>
      </c>
      <c r="R102">
        <f t="shared" ref="R102" si="487">R103+Q102</f>
        <v>-58873388.412896603</v>
      </c>
      <c r="S102">
        <f t="shared" ref="S102" si="488">R102/100000</f>
        <v>-588.733884128966</v>
      </c>
      <c r="T102">
        <f t="shared" ref="T102" si="489">S102/1000</f>
        <v>-0.58873388412896599</v>
      </c>
    </row>
    <row r="103" spans="1:20" x14ac:dyDescent="0.25">
      <c r="A103" s="5">
        <v>44490</v>
      </c>
      <c r="B103">
        <v>2.3730000000000002</v>
      </c>
      <c r="C103">
        <v>2.415</v>
      </c>
      <c r="D103">
        <v>2.1949999999999998</v>
      </c>
      <c r="E103">
        <v>2.2210000000000001</v>
      </c>
      <c r="F103">
        <v>2991542.2</v>
      </c>
      <c r="G103">
        <v>2.2210000000000001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-0.76363636363636167</v>
      </c>
      <c r="Q103">
        <f t="shared" ref="Q103" si="491">F103*P103</f>
        <v>-2284450.4072727216</v>
      </c>
      <c r="R103">
        <f t="shared" ref="R103" si="492">R104+Q103</f>
        <v>-58570003.379563272</v>
      </c>
      <c r="S103">
        <f t="shared" ref="S103" si="493">R103/100000</f>
        <v>-585.70003379563275</v>
      </c>
      <c r="T103">
        <f t="shared" ref="T103" si="494">S103/1000</f>
        <v>-0.58570003379563274</v>
      </c>
    </row>
    <row r="104" spans="1:20" x14ac:dyDescent="0.25">
      <c r="A104" s="5">
        <v>44489</v>
      </c>
      <c r="B104">
        <v>2.347</v>
      </c>
      <c r="C104">
        <v>2.4359999999999999</v>
      </c>
      <c r="D104">
        <v>2.3010000000000002</v>
      </c>
      <c r="E104">
        <v>2.3719999999999999</v>
      </c>
      <c r="F104">
        <v>2122608.2999999998</v>
      </c>
      <c r="G104">
        <v>2.3719999999999999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5.1851851851849512E-2</v>
      </c>
      <c r="Q104">
        <f t="shared" ref="Q104" si="496">F104*P104</f>
        <v>110061.17111110613</v>
      </c>
      <c r="R104">
        <f t="shared" ref="R104" si="497">R105+Q104</f>
        <v>-56285552.972290553</v>
      </c>
      <c r="S104">
        <f t="shared" ref="S104" si="498">R104/100000</f>
        <v>-562.85552972290554</v>
      </c>
      <c r="T104">
        <f t="shared" ref="T104" si="499">S104/1000</f>
        <v>-0.56285552972290553</v>
      </c>
    </row>
    <row r="105" spans="1:20" x14ac:dyDescent="0.25">
      <c r="A105" s="5">
        <v>44488</v>
      </c>
      <c r="B105">
        <v>2.419</v>
      </c>
      <c r="C105">
        <v>2.67</v>
      </c>
      <c r="D105">
        <v>2.323</v>
      </c>
      <c r="E105">
        <v>2.347</v>
      </c>
      <c r="F105">
        <v>6758578.5999999996</v>
      </c>
      <c r="G105">
        <v>2.347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-0.86167146974063391</v>
      </c>
      <c r="Q105">
        <f t="shared" ref="Q105" si="501">F105*P105</f>
        <v>-5823674.3556195954</v>
      </c>
      <c r="R105">
        <f t="shared" ref="R105" si="502">R106+Q105</f>
        <v>-56395614.14340166</v>
      </c>
      <c r="S105">
        <f t="shared" ref="S105" si="503">R105/100000</f>
        <v>-563.95614143401656</v>
      </c>
      <c r="T105">
        <f t="shared" ref="T105" si="504">S105/1000</f>
        <v>-0.56395614143401651</v>
      </c>
    </row>
    <row r="106" spans="1:20" x14ac:dyDescent="0.25">
      <c r="A106" s="5">
        <v>44487</v>
      </c>
      <c r="B106">
        <v>2.4449999999999998</v>
      </c>
      <c r="C106">
        <v>2.5179999999999998</v>
      </c>
      <c r="D106">
        <v>2.33</v>
      </c>
      <c r="E106">
        <v>2.423</v>
      </c>
      <c r="F106">
        <v>3539589.7</v>
      </c>
      <c r="G106">
        <v>2.423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-1.063829787233927E-2</v>
      </c>
      <c r="Q106">
        <f t="shared" ref="Q106" si="506">F106*P106</f>
        <v>-37655.209574463996</v>
      </c>
      <c r="R106">
        <f t="shared" ref="R106" si="507">R107+Q106</f>
        <v>-50571939.787782066</v>
      </c>
      <c r="S106">
        <f t="shared" ref="S106" si="508">R106/100000</f>
        <v>-505.71939787782065</v>
      </c>
      <c r="T106">
        <f t="shared" ref="T106" si="509">S106/1000</f>
        <v>-0.50571939787782061</v>
      </c>
    </row>
    <row r="107" spans="1:20" x14ac:dyDescent="0.25">
      <c r="A107" s="5">
        <v>44486</v>
      </c>
      <c r="B107">
        <v>2.7160000000000002</v>
      </c>
      <c r="C107">
        <v>2.87</v>
      </c>
      <c r="D107">
        <v>2.3410000000000002</v>
      </c>
      <c r="E107">
        <v>2.4409999999999998</v>
      </c>
      <c r="F107">
        <v>3916700.2</v>
      </c>
      <c r="G107">
        <v>2.4409999999999998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-0.62192816635160808</v>
      </c>
      <c r="Q107">
        <f t="shared" ref="Q107" si="511">F107*P107</f>
        <v>-2435906.1735349768</v>
      </c>
      <c r="R107">
        <f t="shared" ref="R107" si="512">R108+Q107</f>
        <v>-50534284.578207605</v>
      </c>
      <c r="S107">
        <f t="shared" ref="S107" si="513">R107/100000</f>
        <v>-505.34284578207604</v>
      </c>
      <c r="T107">
        <f t="shared" ref="T107" si="514">S107/1000</f>
        <v>-0.505342845782076</v>
      </c>
    </row>
    <row r="108" spans="1:20" x14ac:dyDescent="0.25">
      <c r="A108" s="5">
        <v>44485</v>
      </c>
      <c r="B108">
        <v>2.601</v>
      </c>
      <c r="C108">
        <v>2.7410000000000001</v>
      </c>
      <c r="D108">
        <v>2.5129999999999999</v>
      </c>
      <c r="E108">
        <v>2.7149999999999999</v>
      </c>
      <c r="F108">
        <v>5542274.4000000004</v>
      </c>
      <c r="G108">
        <v>2.7149999999999999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0.77192982456140158</v>
      </c>
      <c r="Q108">
        <f t="shared" ref="Q108" si="516">F108*P108</f>
        <v>4278246.9052631473</v>
      </c>
      <c r="R108">
        <f t="shared" ref="R108" si="517">R109+Q108</f>
        <v>-48098378.40467263</v>
      </c>
      <c r="S108">
        <f t="shared" ref="S108" si="518">R108/100000</f>
        <v>-480.98378404672633</v>
      </c>
      <c r="T108">
        <f t="shared" ref="T108" si="519">S108/1000</f>
        <v>-0.48098378404672631</v>
      </c>
    </row>
    <row r="109" spans="1:20" x14ac:dyDescent="0.25">
      <c r="A109" s="5">
        <v>44484</v>
      </c>
      <c r="B109">
        <v>2.855</v>
      </c>
      <c r="C109">
        <v>2.8660000000000001</v>
      </c>
      <c r="D109">
        <v>2.59</v>
      </c>
      <c r="E109">
        <v>2.6</v>
      </c>
      <c r="F109">
        <v>13285680.4</v>
      </c>
      <c r="G109">
        <v>2.6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-0.92753623188405632</v>
      </c>
      <c r="Q109">
        <f t="shared" ref="Q109" si="521">F109*P109</f>
        <v>-12322949.936231863</v>
      </c>
      <c r="R109">
        <f t="shared" ref="R109" si="522">R110+Q109</f>
        <v>-52376625.309935778</v>
      </c>
      <c r="S109">
        <f t="shared" ref="S109" si="523">R109/100000</f>
        <v>-523.76625309935775</v>
      </c>
      <c r="T109">
        <f t="shared" ref="T109" si="524">S109/1000</f>
        <v>-0.52376625309935776</v>
      </c>
    </row>
    <row r="110" spans="1:20" x14ac:dyDescent="0.25">
      <c r="A110" s="5">
        <v>44483</v>
      </c>
      <c r="B110">
        <v>2.1930000000000001</v>
      </c>
      <c r="C110">
        <v>3.5790000000000002</v>
      </c>
      <c r="D110">
        <v>2.1760000000000002</v>
      </c>
      <c r="E110">
        <v>2.855</v>
      </c>
      <c r="F110">
        <v>71054705.739999995</v>
      </c>
      <c r="G110">
        <v>2.855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-3.2074126870990996E-2</v>
      </c>
      <c r="Q110">
        <f t="shared" ref="Q110" si="526">F110*P110</f>
        <v>-2279017.646685692</v>
      </c>
      <c r="R110">
        <f t="shared" ref="R110" si="527">R111+Q110</f>
        <v>-40053675.373703919</v>
      </c>
      <c r="S110">
        <f t="shared" ref="S110" si="528">R110/100000</f>
        <v>-400.53675373703919</v>
      </c>
      <c r="T110">
        <f t="shared" ref="T110" si="529">S110/1000</f>
        <v>-0.40053675373703918</v>
      </c>
    </row>
    <row r="111" spans="1:20" x14ac:dyDescent="0.25">
      <c r="A111" s="5">
        <v>44482</v>
      </c>
      <c r="B111">
        <v>1.9079999999999999</v>
      </c>
      <c r="C111">
        <v>2.198</v>
      </c>
      <c r="D111">
        <v>1.8480000000000001</v>
      </c>
      <c r="E111">
        <v>2.19</v>
      </c>
      <c r="F111">
        <v>10047031.5</v>
      </c>
      <c r="G111">
        <v>2.19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0.95428571428571418</v>
      </c>
      <c r="Q111">
        <f t="shared" ref="Q111" si="531">F111*P111</f>
        <v>9587738.6314285696</v>
      </c>
      <c r="R111">
        <f t="shared" ref="R111" si="532">R112+Q111</f>
        <v>-37774657.72701823</v>
      </c>
      <c r="S111">
        <f t="shared" ref="S111" si="533">R111/100000</f>
        <v>-377.74657727018229</v>
      </c>
      <c r="T111">
        <f t="shared" ref="T111" si="534">S111/1000</f>
        <v>-0.37774657727018229</v>
      </c>
    </row>
    <row r="112" spans="1:20" x14ac:dyDescent="0.25">
      <c r="A112" s="5">
        <v>44481</v>
      </c>
      <c r="B112">
        <v>1.776</v>
      </c>
      <c r="C112">
        <v>1.956</v>
      </c>
      <c r="D112">
        <v>1.6379999999999999</v>
      </c>
      <c r="E112">
        <v>1.907</v>
      </c>
      <c r="F112">
        <v>6920243.0999999996</v>
      </c>
      <c r="G112">
        <v>1.907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0.69182389937106969</v>
      </c>
      <c r="Q112">
        <f t="shared" ref="Q112" si="536">F112*P112</f>
        <v>4787589.5660377387</v>
      </c>
      <c r="R112">
        <f t="shared" ref="R112" si="537">R113+Q112</f>
        <v>-47362396.358446799</v>
      </c>
      <c r="S112">
        <f t="shared" ref="S112" si="538">R112/100000</f>
        <v>-473.62396358446802</v>
      </c>
      <c r="T112">
        <f t="shared" ref="T112" si="539">S112/1000</f>
        <v>-0.47362396358446801</v>
      </c>
    </row>
    <row r="113" spans="1:20" x14ac:dyDescent="0.25">
      <c r="A113" s="5">
        <v>44480</v>
      </c>
      <c r="B113">
        <v>1.7829999999999999</v>
      </c>
      <c r="C113">
        <v>1.857</v>
      </c>
      <c r="D113">
        <v>1.732</v>
      </c>
      <c r="E113">
        <v>1.7769999999999999</v>
      </c>
      <c r="F113">
        <v>1445774.4</v>
      </c>
      <c r="G113">
        <v>1.7769999999999999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-0.28000000000000114</v>
      </c>
      <c r="Q113">
        <f t="shared" ref="Q113" si="541">F113*P113</f>
        <v>-404816.83200000162</v>
      </c>
      <c r="R113">
        <f t="shared" ref="R113" si="542">R114+Q113</f>
        <v>-52149985.924484536</v>
      </c>
      <c r="S113">
        <f t="shared" ref="S113" si="543">R113/100000</f>
        <v>-521.49985924484531</v>
      </c>
      <c r="T113">
        <f t="shared" ref="T113" si="544">S113/1000</f>
        <v>-0.52149985924484532</v>
      </c>
    </row>
    <row r="114" spans="1:20" x14ac:dyDescent="0.25">
      <c r="A114" s="5">
        <v>44479</v>
      </c>
      <c r="B114">
        <v>1.9059999999999999</v>
      </c>
      <c r="C114">
        <v>1.9550000000000001</v>
      </c>
      <c r="D114">
        <v>1.7609999999999999</v>
      </c>
      <c r="E114">
        <v>1.784</v>
      </c>
      <c r="F114">
        <v>2188976.6</v>
      </c>
      <c r="G114">
        <v>1.784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-0.76288659793814317</v>
      </c>
      <c r="Q114">
        <f t="shared" ref="Q114" si="546">F114*P114</f>
        <v>-1669940.9113402038</v>
      </c>
      <c r="R114">
        <f t="shared" ref="R114" si="547">R115+Q114</f>
        <v>-51745169.092484534</v>
      </c>
      <c r="S114">
        <f t="shared" ref="S114" si="548">R114/100000</f>
        <v>-517.45169092484537</v>
      </c>
      <c r="T114">
        <f t="shared" ref="T114" si="549">S114/1000</f>
        <v>-0.51745169092484533</v>
      </c>
    </row>
    <row r="115" spans="1:20" x14ac:dyDescent="0.25">
      <c r="A115" s="5">
        <v>44478</v>
      </c>
      <c r="B115">
        <v>1.9239999999999999</v>
      </c>
      <c r="C115">
        <v>1.9390000000000001</v>
      </c>
      <c r="D115">
        <v>1.875</v>
      </c>
      <c r="E115">
        <v>1.9059999999999999</v>
      </c>
      <c r="F115">
        <v>1365166.9</v>
      </c>
      <c r="G115">
        <v>1.9059999999999999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-3.1250000000003469E-2</v>
      </c>
      <c r="Q115">
        <f t="shared" ref="Q115" si="551">F115*P115</f>
        <v>-42661.465625004734</v>
      </c>
      <c r="R115">
        <f t="shared" ref="R115" si="552">R116+Q115</f>
        <v>-50075228.181144327</v>
      </c>
      <c r="S115">
        <f t="shared" ref="S115" si="553">R115/100000</f>
        <v>-500.75228181144325</v>
      </c>
      <c r="T115">
        <f t="shared" ref="T115" si="554">S115/1000</f>
        <v>-0.50075228181144327</v>
      </c>
    </row>
    <row r="116" spans="1:20" x14ac:dyDescent="0.25">
      <c r="A116" s="5">
        <v>44477</v>
      </c>
      <c r="B116">
        <v>1.968</v>
      </c>
      <c r="C116">
        <v>2.0249999999999999</v>
      </c>
      <c r="D116">
        <v>1.9079999999999999</v>
      </c>
      <c r="E116">
        <v>1.9219999999999999</v>
      </c>
      <c r="F116">
        <v>2752236.7</v>
      </c>
      <c r="G116">
        <v>1.9219999999999999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-0.76068376068376042</v>
      </c>
      <c r="Q116">
        <f t="shared" ref="Q116" si="556">F116*P116</f>
        <v>-2093581.7632478627</v>
      </c>
      <c r="R116">
        <f t="shared" ref="R116" si="557">R117+Q116</f>
        <v>-50032566.715519324</v>
      </c>
      <c r="S116">
        <f t="shared" ref="S116" si="558">R116/100000</f>
        <v>-500.32566715519323</v>
      </c>
      <c r="T116">
        <f t="shared" ref="T116" si="559">S116/1000</f>
        <v>-0.50032566715519322</v>
      </c>
    </row>
    <row r="117" spans="1:20" x14ac:dyDescent="0.25">
      <c r="A117" s="5">
        <v>44476</v>
      </c>
      <c r="B117">
        <v>1.907</v>
      </c>
      <c r="C117">
        <v>2.0859999999999999</v>
      </c>
      <c r="D117">
        <v>1.837</v>
      </c>
      <c r="E117">
        <v>1.9670000000000001</v>
      </c>
      <c r="F117">
        <v>3923873.8</v>
      </c>
      <c r="G117">
        <v>1.9670000000000001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4.4176706827310633E-2</v>
      </c>
      <c r="Q117">
        <f t="shared" ref="Q117" si="561">F117*P117</f>
        <v>173343.8224899653</v>
      </c>
      <c r="R117">
        <f t="shared" ref="R117" si="562">R118+Q117</f>
        <v>-47938984.952271461</v>
      </c>
      <c r="S117">
        <f t="shared" ref="S117" si="563">R117/100000</f>
        <v>-479.3898495227146</v>
      </c>
      <c r="T117">
        <f t="shared" ref="T117" si="564">S117/1000</f>
        <v>-0.47938984952271457</v>
      </c>
    </row>
    <row r="118" spans="1:20" x14ac:dyDescent="0.25">
      <c r="A118" s="5">
        <v>44475</v>
      </c>
      <c r="B118">
        <v>1.8959999999999999</v>
      </c>
      <c r="C118">
        <v>1.954</v>
      </c>
      <c r="D118">
        <v>1.754</v>
      </c>
      <c r="E118">
        <v>1.9059999999999999</v>
      </c>
      <c r="F118">
        <v>3006018.5</v>
      </c>
      <c r="G118">
        <v>1.9059999999999999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0.51999999999999946</v>
      </c>
      <c r="Q118">
        <f t="shared" ref="Q118" si="566">F118*P118</f>
        <v>1563129.6199999985</v>
      </c>
      <c r="R118">
        <f t="shared" ref="R118" si="567">R119+Q118</f>
        <v>-48112328.774761423</v>
      </c>
      <c r="S118">
        <f t="shared" ref="S118" si="568">R118/100000</f>
        <v>-481.12328774761426</v>
      </c>
      <c r="T118">
        <f t="shared" ref="T118" si="569">S118/1000</f>
        <v>-0.48112328774761426</v>
      </c>
    </row>
    <row r="119" spans="1:20" x14ac:dyDescent="0.25">
      <c r="A119" s="5">
        <v>44474</v>
      </c>
      <c r="B119">
        <v>1.823</v>
      </c>
      <c r="C119">
        <v>1.9339999999999999</v>
      </c>
      <c r="D119">
        <v>1.8029999999999999</v>
      </c>
      <c r="E119">
        <v>1.895</v>
      </c>
      <c r="F119">
        <v>2400538.2999999998</v>
      </c>
      <c r="G119">
        <v>1.895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0.4045801526717569</v>
      </c>
      <c r="Q119">
        <f t="shared" ref="Q119" si="571">F119*P119</f>
        <v>971210.15190839965</v>
      </c>
      <c r="R119">
        <f t="shared" ref="R119" si="572">R120+Q119</f>
        <v>-49675458.394761421</v>
      </c>
      <c r="S119">
        <f t="shared" ref="S119" si="573">R119/100000</f>
        <v>-496.75458394761421</v>
      </c>
      <c r="T119">
        <f t="shared" ref="T119" si="574">S119/1000</f>
        <v>-0.49675458394761418</v>
      </c>
    </row>
    <row r="120" spans="1:20" x14ac:dyDescent="0.25">
      <c r="A120" s="5">
        <v>44473</v>
      </c>
      <c r="B120">
        <v>1.9139999999999999</v>
      </c>
      <c r="C120">
        <v>1.923</v>
      </c>
      <c r="D120">
        <v>1.762</v>
      </c>
      <c r="E120">
        <v>1.8320000000000001</v>
      </c>
      <c r="F120">
        <v>3939384.5</v>
      </c>
      <c r="G120">
        <v>1.8320000000000001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-0.13043478260869507</v>
      </c>
      <c r="Q120">
        <f t="shared" ref="Q120" si="576">F120*P120</f>
        <v>-513832.76086956292</v>
      </c>
      <c r="R120">
        <f t="shared" ref="R120" si="577">R121+Q120</f>
        <v>-50646668.546669818</v>
      </c>
      <c r="S120">
        <f t="shared" ref="S120" si="578">R120/100000</f>
        <v>-506.46668546669821</v>
      </c>
      <c r="T120">
        <f t="shared" ref="T120" si="579">S120/1000</f>
        <v>-0.50646668546669826</v>
      </c>
    </row>
    <row r="121" spans="1:20" x14ac:dyDescent="0.25">
      <c r="A121" s="5">
        <v>44472</v>
      </c>
      <c r="B121">
        <v>1.796</v>
      </c>
      <c r="C121">
        <v>1.9079999999999999</v>
      </c>
      <c r="D121">
        <v>1.758</v>
      </c>
      <c r="E121">
        <v>1.89</v>
      </c>
      <c r="F121">
        <v>1653397.6</v>
      </c>
      <c r="G121">
        <v>1.89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0.75999999999999968</v>
      </c>
      <c r="Q121">
        <f t="shared" ref="Q121" si="581">F121*P121</f>
        <v>1256582.1759999995</v>
      </c>
      <c r="R121">
        <f t="shared" ref="R121" si="582">R122+Q121</f>
        <v>-50132835.785800256</v>
      </c>
      <c r="S121">
        <f t="shared" ref="S121" si="583">R121/100000</f>
        <v>-501.32835785800256</v>
      </c>
      <c r="T121">
        <f t="shared" ref="T121" si="584">S121/1000</f>
        <v>-0.50132835785800256</v>
      </c>
    </row>
    <row r="122" spans="1:20" x14ac:dyDescent="0.25">
      <c r="A122" s="5">
        <v>44471</v>
      </c>
      <c r="B122">
        <v>1.794</v>
      </c>
      <c r="C122">
        <v>1.8959999999999999</v>
      </c>
      <c r="D122">
        <v>1.754</v>
      </c>
      <c r="E122">
        <v>1.7949999999999999</v>
      </c>
      <c r="F122">
        <v>1983744.4</v>
      </c>
      <c r="G122">
        <v>1.7949999999999999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-0.42253521126760629</v>
      </c>
      <c r="Q122">
        <f t="shared" ref="Q122" si="586">F122*P122</f>
        <v>-838201.8591549308</v>
      </c>
      <c r="R122">
        <f t="shared" ref="R122" si="587">R123+Q122</f>
        <v>-51389417.961800255</v>
      </c>
      <c r="S122">
        <f t="shared" ref="S122" si="588">R122/100000</f>
        <v>-513.89417961800257</v>
      </c>
      <c r="T122">
        <f t="shared" ref="T122" si="589">S122/1000</f>
        <v>-0.51389417961800254</v>
      </c>
    </row>
    <row r="123" spans="1:20" x14ac:dyDescent="0.25">
      <c r="A123" s="5">
        <v>44470</v>
      </c>
      <c r="B123">
        <v>1.6619999999999999</v>
      </c>
      <c r="C123">
        <v>1.798</v>
      </c>
      <c r="D123">
        <v>1.633</v>
      </c>
      <c r="E123">
        <v>1.7929999999999999</v>
      </c>
      <c r="F123">
        <v>2257041</v>
      </c>
      <c r="G123">
        <v>1.7929999999999999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0.939393939393938</v>
      </c>
      <c r="Q123">
        <f t="shared" ref="Q123" si="591">F123*P123</f>
        <v>2120250.6363636334</v>
      </c>
      <c r="R123">
        <f t="shared" ref="R123" si="592">R124+Q123</f>
        <v>-50551216.102645323</v>
      </c>
      <c r="S123">
        <f t="shared" ref="S123" si="593">R123/100000</f>
        <v>-505.51216102645321</v>
      </c>
      <c r="T123">
        <f t="shared" ref="T123" si="594">S123/1000</f>
        <v>-0.50551216102645324</v>
      </c>
    </row>
    <row r="124" spans="1:20" x14ac:dyDescent="0.25">
      <c r="A124" s="5">
        <v>44469</v>
      </c>
      <c r="B124">
        <v>1.58</v>
      </c>
      <c r="C124">
        <v>1.6719999999999999</v>
      </c>
      <c r="D124">
        <v>1.57</v>
      </c>
      <c r="E124">
        <v>1.6619999999999999</v>
      </c>
      <c r="F124">
        <v>1587064</v>
      </c>
      <c r="G124">
        <v>1.6619999999999999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0.80392156862745057</v>
      </c>
      <c r="Q124">
        <f t="shared" ref="Q124" si="596">F124*P124</f>
        <v>1275874.9803921562</v>
      </c>
      <c r="R124">
        <f t="shared" ref="R124" si="597">R125+Q124</f>
        <v>-52671466.739008956</v>
      </c>
      <c r="S124">
        <f t="shared" ref="S124" si="598">R124/100000</f>
        <v>-526.71466739008952</v>
      </c>
      <c r="T124">
        <f t="shared" ref="T124" si="599">S124/1000</f>
        <v>-0.52671466739008954</v>
      </c>
    </row>
    <row r="125" spans="1:20" x14ac:dyDescent="0.25">
      <c r="A125" s="5">
        <v>44468</v>
      </c>
      <c r="B125">
        <v>1.5069999999999999</v>
      </c>
      <c r="C125">
        <v>1.7170000000000001</v>
      </c>
      <c r="D125">
        <v>1.498</v>
      </c>
      <c r="E125">
        <v>1.581</v>
      </c>
      <c r="F125">
        <v>3089606</v>
      </c>
      <c r="G125">
        <v>1.581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-0.24200913242009195</v>
      </c>
      <c r="Q125">
        <f t="shared" ref="Q125" si="601">F125*P125</f>
        <v>-747712.86757991055</v>
      </c>
      <c r="R125">
        <f t="shared" ref="R125" si="602">R126+Q125</f>
        <v>-53947341.719401114</v>
      </c>
      <c r="S125">
        <f t="shared" ref="S125" si="603">R125/100000</f>
        <v>-539.47341719401118</v>
      </c>
      <c r="T125">
        <f t="shared" ref="T125" si="604">S125/1000</f>
        <v>-0.53947341719401121</v>
      </c>
    </row>
    <row r="126" spans="1:20" x14ac:dyDescent="0.25">
      <c r="A126" s="5">
        <v>44467</v>
      </c>
      <c r="B126">
        <v>1.5409999999999999</v>
      </c>
      <c r="C126">
        <v>1.603</v>
      </c>
      <c r="D126">
        <v>1.492</v>
      </c>
      <c r="E126">
        <v>1.512</v>
      </c>
      <c r="F126">
        <v>1761624.4</v>
      </c>
      <c r="G126">
        <v>1.512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-0.63963963963963932</v>
      </c>
      <c r="Q126">
        <f t="shared" ref="Q126" si="606">F126*P126</f>
        <v>-1126804.7963963959</v>
      </c>
      <c r="R126">
        <f t="shared" ref="R126" si="607">R127+Q126</f>
        <v>-53199628.851821207</v>
      </c>
      <c r="S126">
        <f t="shared" ref="S126" si="608">R126/100000</f>
        <v>-531.99628851821205</v>
      </c>
      <c r="T126">
        <f t="shared" ref="T126" si="609">S126/1000</f>
        <v>-0.53199628851821201</v>
      </c>
    </row>
    <row r="127" spans="1:20" x14ac:dyDescent="0.25">
      <c r="A127" s="5">
        <v>44466</v>
      </c>
      <c r="B127">
        <v>1.5640000000000001</v>
      </c>
      <c r="C127">
        <v>1.6910000000000001</v>
      </c>
      <c r="D127">
        <v>1.538</v>
      </c>
      <c r="E127">
        <v>1.544</v>
      </c>
      <c r="F127">
        <v>2517114.1</v>
      </c>
      <c r="G127">
        <v>1.544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-0.92156862745098034</v>
      </c>
      <c r="Q127">
        <f t="shared" ref="Q127" si="611">F127*P127</f>
        <v>-2319693.3862745096</v>
      </c>
      <c r="R127">
        <f t="shared" ref="R127" si="612">R128+Q127</f>
        <v>-52072824.055424809</v>
      </c>
      <c r="S127">
        <f t="shared" ref="S127" si="613">R127/100000</f>
        <v>-520.72824055424815</v>
      </c>
      <c r="T127">
        <f t="shared" ref="T127" si="614">S127/1000</f>
        <v>-0.52072824055424816</v>
      </c>
    </row>
    <row r="128" spans="1:20" x14ac:dyDescent="0.25">
      <c r="A128" s="5">
        <v>44465</v>
      </c>
      <c r="B128">
        <v>1.603</v>
      </c>
      <c r="C128">
        <v>1.611</v>
      </c>
      <c r="D128">
        <v>1.4610000000000001</v>
      </c>
      <c r="E128">
        <v>1.5669999999999999</v>
      </c>
      <c r="F128">
        <v>2453352.6</v>
      </c>
      <c r="G128">
        <v>1.5669999999999999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0.41333333333333244</v>
      </c>
      <c r="Q128">
        <f t="shared" ref="Q128" si="616">F128*P128</f>
        <v>1014052.4079999978</v>
      </c>
      <c r="R128">
        <f t="shared" ref="R128" si="617">R129+Q128</f>
        <v>-49753130.6691503</v>
      </c>
      <c r="S128">
        <f t="shared" ref="S128" si="618">R128/100000</f>
        <v>-497.531306691503</v>
      </c>
      <c r="T128">
        <f t="shared" ref="T128" si="619">S128/1000</f>
        <v>-0.49753130669150303</v>
      </c>
    </row>
    <row r="129" spans="1:20" x14ac:dyDescent="0.25">
      <c r="A129" s="5">
        <v>44464</v>
      </c>
      <c r="B129">
        <v>1.571</v>
      </c>
      <c r="C129">
        <v>1.7789999999999999</v>
      </c>
      <c r="D129">
        <v>1.492</v>
      </c>
      <c r="E129">
        <v>1.603</v>
      </c>
      <c r="F129">
        <v>5151591.5</v>
      </c>
      <c r="G129">
        <v>1.603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-0.22648083623693369</v>
      </c>
      <c r="Q129">
        <f t="shared" ref="Q129" si="621">F129*P129</f>
        <v>-1166736.7508710795</v>
      </c>
      <c r="R129">
        <f t="shared" ref="R129" si="622">R130+Q129</f>
        <v>-50767183.0771503</v>
      </c>
      <c r="S129">
        <f t="shared" ref="S129" si="623">R129/100000</f>
        <v>-507.67183077150298</v>
      </c>
      <c r="T129">
        <f t="shared" ref="T129" si="624">S129/1000</f>
        <v>-0.50767183077150302</v>
      </c>
    </row>
    <row r="130" spans="1:20" x14ac:dyDescent="0.25">
      <c r="A130" s="5">
        <v>44463</v>
      </c>
      <c r="B130">
        <v>1.736</v>
      </c>
      <c r="C130">
        <v>1.7430000000000001</v>
      </c>
      <c r="D130">
        <v>1.4730000000000001</v>
      </c>
      <c r="E130">
        <v>1.5720000000000001</v>
      </c>
      <c r="F130">
        <v>4658452</v>
      </c>
      <c r="G130">
        <v>1.5720000000000001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-0.26666666666666689</v>
      </c>
      <c r="Q130">
        <f t="shared" ref="Q130" si="626">F130*P130</f>
        <v>-1242253.8666666676</v>
      </c>
      <c r="R130">
        <f t="shared" ref="R130" si="627">R131+Q130</f>
        <v>-49600446.326279223</v>
      </c>
      <c r="S130">
        <f t="shared" ref="S130" si="628">R130/100000</f>
        <v>-496.00446326279223</v>
      </c>
      <c r="T130">
        <f t="shared" ref="T130" si="629">S130/1000</f>
        <v>-0.49600446326279224</v>
      </c>
    </row>
    <row r="131" spans="1:20" x14ac:dyDescent="0.25">
      <c r="A131" s="5">
        <v>44462</v>
      </c>
      <c r="B131">
        <v>1.637</v>
      </c>
      <c r="C131">
        <v>1.796</v>
      </c>
      <c r="D131">
        <v>1.603</v>
      </c>
      <c r="E131">
        <v>1.736</v>
      </c>
      <c r="F131">
        <v>3275694</v>
      </c>
      <c r="G131">
        <v>1.736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0.37823834196891154</v>
      </c>
      <c r="Q131">
        <f t="shared" ref="Q131" si="631">F131*P131</f>
        <v>1238993.0673575117</v>
      </c>
      <c r="R131">
        <f t="shared" ref="R131" si="632">R132+Q131</f>
        <v>-48358192.459612556</v>
      </c>
      <c r="S131">
        <f t="shared" ref="S131" si="633">R131/100000</f>
        <v>-483.58192459612553</v>
      </c>
      <c r="T131">
        <f t="shared" ref="T131" si="634">S131/1000</f>
        <v>-0.48358192459612553</v>
      </c>
    </row>
    <row r="132" spans="1:20" x14ac:dyDescent="0.25">
      <c r="A132" s="5">
        <v>44461</v>
      </c>
      <c r="B132">
        <v>1.4710000000000001</v>
      </c>
      <c r="C132">
        <v>1.6879999999999999</v>
      </c>
      <c r="D132">
        <v>1.4390000000000001</v>
      </c>
      <c r="E132">
        <v>1.6359999999999999</v>
      </c>
      <c r="F132">
        <v>2400016.5</v>
      </c>
      <c r="G132">
        <v>1.6359999999999999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0.58232931726907577</v>
      </c>
      <c r="Q132">
        <f t="shared" ref="Q132" si="636">F132*P132</f>
        <v>1397599.9698795169</v>
      </c>
      <c r="R132">
        <f t="shared" ref="R132" si="637">R133+Q132</f>
        <v>-49597185.526970066</v>
      </c>
      <c r="S132">
        <f t="shared" ref="S132" si="638">R132/100000</f>
        <v>-495.97185526970065</v>
      </c>
      <c r="T132">
        <f t="shared" ref="T132" si="639">S132/1000</f>
        <v>-0.49597185526970067</v>
      </c>
    </row>
    <row r="133" spans="1:20" x14ac:dyDescent="0.25">
      <c r="A133" s="5">
        <v>44460</v>
      </c>
      <c r="B133">
        <v>1.6140000000000001</v>
      </c>
      <c r="C133">
        <v>1.736</v>
      </c>
      <c r="D133">
        <v>1.4179999999999999</v>
      </c>
      <c r="E133">
        <v>1.4730000000000001</v>
      </c>
      <c r="F133">
        <v>2737674.73</v>
      </c>
      <c r="G133">
        <v>1.4730000000000001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-0.65408805031446449</v>
      </c>
      <c r="Q133">
        <f t="shared" ref="Q133" si="641">F133*P133</f>
        <v>-1790680.326540878</v>
      </c>
      <c r="R133">
        <f t="shared" ref="R133" si="642">R134+Q133</f>
        <v>-50994785.496849582</v>
      </c>
      <c r="S133">
        <f t="shared" ref="S133" si="643">R133/100000</f>
        <v>-509.94785496849579</v>
      </c>
      <c r="T133">
        <f t="shared" ref="T133" si="644">S133/1000</f>
        <v>-0.50994785496849582</v>
      </c>
    </row>
    <row r="134" spans="1:20" x14ac:dyDescent="0.25">
      <c r="A134" s="5">
        <v>44459</v>
      </c>
      <c r="B134">
        <v>1.9179999999999999</v>
      </c>
      <c r="C134">
        <v>1.92</v>
      </c>
      <c r="D134">
        <v>1.6839999999999999</v>
      </c>
      <c r="E134">
        <v>1.716</v>
      </c>
      <c r="F134">
        <v>1394908.84</v>
      </c>
      <c r="G134">
        <v>1.716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-0.72881355932203362</v>
      </c>
      <c r="Q134">
        <f t="shared" ref="Q134" si="646">F134*P134</f>
        <v>-1016628.4766101692</v>
      </c>
      <c r="R134">
        <f t="shared" ref="R134" si="647">R135+Q134</f>
        <v>-49204105.170308702</v>
      </c>
      <c r="S134">
        <f t="shared" ref="S134" si="648">R134/100000</f>
        <v>-492.04105170308702</v>
      </c>
      <c r="T134">
        <f t="shared" ref="T134" si="649">S134/1000</f>
        <v>-0.49204105170308704</v>
      </c>
    </row>
    <row r="135" spans="1:20" x14ac:dyDescent="0.25">
      <c r="A135" s="5">
        <v>44458</v>
      </c>
      <c r="B135">
        <v>1.982</v>
      </c>
      <c r="C135">
        <v>2</v>
      </c>
      <c r="D135">
        <v>1.8779999999999999</v>
      </c>
      <c r="E135">
        <v>1.9179999999999999</v>
      </c>
      <c r="F135">
        <v>1711276.8</v>
      </c>
      <c r="G135">
        <v>1.9179999999999999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-0.34426229508196721</v>
      </c>
      <c r="Q135">
        <f t="shared" ref="Q135" si="651">F135*P135</f>
        <v>-589128.07868852455</v>
      </c>
      <c r="R135">
        <f t="shared" ref="R135" si="652">R136+Q135</f>
        <v>-48187476.693698533</v>
      </c>
      <c r="S135">
        <f t="shared" ref="S135" si="653">R135/100000</f>
        <v>-481.87476693698534</v>
      </c>
      <c r="T135">
        <f t="shared" ref="T135" si="654">S135/1000</f>
        <v>-0.48187476693698533</v>
      </c>
    </row>
    <row r="136" spans="1:20" x14ac:dyDescent="0.25">
      <c r="A136" s="5">
        <v>44457</v>
      </c>
      <c r="B136">
        <v>1.9790000000000001</v>
      </c>
      <c r="C136">
        <v>2.0609999999999999</v>
      </c>
      <c r="D136">
        <v>1.93</v>
      </c>
      <c r="E136">
        <v>1.982</v>
      </c>
      <c r="F136">
        <v>1477843.1</v>
      </c>
      <c r="G136">
        <v>1.982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-0.20610687022900695</v>
      </c>
      <c r="Q136">
        <f t="shared" ref="Q136" si="656">F136*P136</f>
        <v>-304593.61603053333</v>
      </c>
      <c r="R136">
        <f t="shared" ref="R136" si="657">R137+Q136</f>
        <v>-47598348.615010008</v>
      </c>
      <c r="S136">
        <f t="shared" ref="S136" si="658">R136/100000</f>
        <v>-475.98348615010008</v>
      </c>
      <c r="T136">
        <f t="shared" ref="T136" si="659">S136/1000</f>
        <v>-0.47598348615010005</v>
      </c>
    </row>
    <row r="137" spans="1:20" x14ac:dyDescent="0.25">
      <c r="A137" s="5">
        <v>44456</v>
      </c>
      <c r="B137">
        <v>2.1829999999999998</v>
      </c>
      <c r="C137">
        <v>2.2050000000000001</v>
      </c>
      <c r="D137">
        <v>1.9430000000000001</v>
      </c>
      <c r="E137">
        <v>1.9750000000000001</v>
      </c>
      <c r="F137">
        <v>2885186.8</v>
      </c>
      <c r="G137">
        <v>1.9750000000000001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-0.75572519083969447</v>
      </c>
      <c r="Q137">
        <f t="shared" ref="Q137" si="661">F137*P137</f>
        <v>-2180408.3450381672</v>
      </c>
      <c r="R137">
        <f t="shared" ref="R137" si="662">R138+Q137</f>
        <v>-47293754.998979472</v>
      </c>
      <c r="S137">
        <f t="shared" ref="S137" si="663">R137/100000</f>
        <v>-472.93754998979472</v>
      </c>
      <c r="T137">
        <f t="shared" ref="T137" si="664">S137/1000</f>
        <v>-0.4729375499897947</v>
      </c>
    </row>
    <row r="138" spans="1:20" x14ac:dyDescent="0.25">
      <c r="A138" s="5">
        <v>44455</v>
      </c>
      <c r="B138">
        <v>2.161</v>
      </c>
      <c r="C138">
        <v>2.25</v>
      </c>
      <c r="D138">
        <v>2.0339999999999998</v>
      </c>
      <c r="E138">
        <v>2.1819999999999999</v>
      </c>
      <c r="F138">
        <v>3371999.2</v>
      </c>
      <c r="G138">
        <v>2.1819999999999999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0.37037037037037035</v>
      </c>
      <c r="Q138">
        <f t="shared" ref="Q138" si="666">F138*P138</f>
        <v>1248888.5925925926</v>
      </c>
      <c r="R138">
        <f t="shared" ref="R138" si="667">R139+Q138</f>
        <v>-45113346.653941303</v>
      </c>
      <c r="S138">
        <f t="shared" ref="S138" si="668">R138/100000</f>
        <v>-451.13346653941301</v>
      </c>
      <c r="T138">
        <f t="shared" ref="T138" si="669">S138/1000</f>
        <v>-0.451133466539413</v>
      </c>
    </row>
    <row r="139" spans="1:20" x14ac:dyDescent="0.25">
      <c r="A139" s="5">
        <v>44454</v>
      </c>
      <c r="B139">
        <v>2.1030000000000002</v>
      </c>
      <c r="C139">
        <v>2.23</v>
      </c>
      <c r="D139">
        <v>2.0619999999999998</v>
      </c>
      <c r="E139">
        <v>2.16</v>
      </c>
      <c r="F139">
        <v>4071166.7</v>
      </c>
      <c r="G139">
        <v>2.16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0.16666666666666932</v>
      </c>
      <c r="Q139">
        <f t="shared" ref="Q139" si="671">F139*P139</f>
        <v>678527.78333334415</v>
      </c>
      <c r="R139">
        <f t="shared" ref="R139" si="672">R140+Q139</f>
        <v>-46362235.246533893</v>
      </c>
      <c r="S139">
        <f t="shared" ref="S139" si="673">R139/100000</f>
        <v>-463.62235246533891</v>
      </c>
      <c r="T139">
        <f t="shared" ref="T139" si="674">S139/1000</f>
        <v>-0.46362235246533889</v>
      </c>
    </row>
    <row r="140" spans="1:20" x14ac:dyDescent="0.25">
      <c r="A140" s="5">
        <v>44453</v>
      </c>
      <c r="B140">
        <v>2.0219999999999998</v>
      </c>
      <c r="C140">
        <v>2.2000000000000002</v>
      </c>
      <c r="D140">
        <v>1.9810000000000001</v>
      </c>
      <c r="E140">
        <v>2.101</v>
      </c>
      <c r="F140">
        <v>5517319</v>
      </c>
      <c r="G140">
        <v>2.101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9.5890410958902633E-2</v>
      </c>
      <c r="Q140">
        <f t="shared" ref="Q140" si="676">F140*P140</f>
        <v>529057.9863013617</v>
      </c>
      <c r="R140">
        <f t="shared" ref="R140" si="677">R141+Q140</f>
        <v>-47040763.029867239</v>
      </c>
      <c r="S140">
        <f t="shared" ref="S140" si="678">R140/100000</f>
        <v>-470.40763029867242</v>
      </c>
      <c r="T140">
        <f t="shared" ref="T140" si="679">S140/1000</f>
        <v>-0.47040763029867244</v>
      </c>
    </row>
    <row r="141" spans="1:20" x14ac:dyDescent="0.25">
      <c r="A141" s="5">
        <v>44452</v>
      </c>
      <c r="B141">
        <v>1.9910000000000001</v>
      </c>
      <c r="C141">
        <v>2.1800000000000002</v>
      </c>
      <c r="D141">
        <v>1.7729999999999999</v>
      </c>
      <c r="E141">
        <v>2.0209999999999999</v>
      </c>
      <c r="F141">
        <v>8170348.2000000002</v>
      </c>
      <c r="G141">
        <v>2.0209999999999999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0.21867321867321793</v>
      </c>
      <c r="Q141">
        <f t="shared" ref="Q141" si="681">F141*P141</f>
        <v>1786636.3385749324</v>
      </c>
      <c r="R141">
        <f t="shared" ref="R141" si="682">R142+Q141</f>
        <v>-47569821.016168602</v>
      </c>
      <c r="S141">
        <f t="shared" ref="S141" si="683">R141/100000</f>
        <v>-475.69821016168601</v>
      </c>
      <c r="T141">
        <f t="shared" ref="T141" si="684">S141/1000</f>
        <v>-0.47569821016168601</v>
      </c>
    </row>
    <row r="142" spans="1:20" x14ac:dyDescent="0.25">
      <c r="A142" s="5">
        <v>44451</v>
      </c>
      <c r="B142">
        <v>1.8779999999999999</v>
      </c>
      <c r="C142">
        <v>2.0219999999999998</v>
      </c>
      <c r="D142">
        <v>1.821</v>
      </c>
      <c r="E142">
        <v>1.9910000000000001</v>
      </c>
      <c r="F142">
        <v>3362212.6</v>
      </c>
      <c r="G142">
        <v>1.9910000000000001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0.69154228855721678</v>
      </c>
      <c r="Q142">
        <f t="shared" ref="Q142" si="686">F142*P142</f>
        <v>2325112.1960199103</v>
      </c>
      <c r="R142">
        <f t="shared" ref="R142" si="687">R143+Q142</f>
        <v>-49356457.354743533</v>
      </c>
      <c r="S142">
        <f t="shared" ref="S142" si="688">R142/100000</f>
        <v>-493.56457354743532</v>
      </c>
      <c r="T142">
        <f t="shared" ref="T142" si="689">S142/1000</f>
        <v>-0.49356457354743533</v>
      </c>
    </row>
    <row r="143" spans="1:20" x14ac:dyDescent="0.25">
      <c r="A143" s="5">
        <v>44450</v>
      </c>
      <c r="B143">
        <v>1.8440000000000001</v>
      </c>
      <c r="C143">
        <v>1.962</v>
      </c>
      <c r="D143">
        <v>1.7949999999999999</v>
      </c>
      <c r="E143">
        <v>1.877</v>
      </c>
      <c r="F143">
        <v>2493727.2999999998</v>
      </c>
      <c r="G143">
        <v>1.877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-1.7964071856286772E-2</v>
      </c>
      <c r="Q143">
        <f t="shared" ref="Q143" si="691">F143*P143</f>
        <v>-44797.496407184</v>
      </c>
      <c r="R143">
        <f t="shared" ref="R143" si="692">R144+Q143</f>
        <v>-51681569.550763443</v>
      </c>
      <c r="S143">
        <f t="shared" ref="S143" si="693">R143/100000</f>
        <v>-516.81569550763447</v>
      </c>
      <c r="T143">
        <f t="shared" ref="T143" si="694">S143/1000</f>
        <v>-0.51681569550763451</v>
      </c>
    </row>
    <row r="144" spans="1:20" x14ac:dyDescent="0.25">
      <c r="A144" s="5">
        <v>44449</v>
      </c>
      <c r="B144">
        <v>1.994</v>
      </c>
      <c r="C144">
        <v>2.0630000000000002</v>
      </c>
      <c r="D144">
        <v>1.776</v>
      </c>
      <c r="E144">
        <v>1.8440000000000001</v>
      </c>
      <c r="F144">
        <v>3067205.7</v>
      </c>
      <c r="G144">
        <v>1.8440000000000001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-0.52613240418118445</v>
      </c>
      <c r="Q144">
        <f t="shared" ref="Q144" si="696">F144*P144</f>
        <v>-1613756.3090592329</v>
      </c>
      <c r="R144">
        <f t="shared" ref="R144" si="697">R145+Q144</f>
        <v>-51636772.054356262</v>
      </c>
      <c r="S144">
        <f t="shared" ref="S144" si="698">R144/100000</f>
        <v>-516.36772054356265</v>
      </c>
      <c r="T144">
        <f t="shared" ref="T144" si="699">S144/1000</f>
        <v>-0.51636772054356261</v>
      </c>
    </row>
    <row r="145" spans="1:20" x14ac:dyDescent="0.25">
      <c r="A145" s="5">
        <v>44448</v>
      </c>
      <c r="B145">
        <v>1.9079999999999999</v>
      </c>
      <c r="C145">
        <v>2.1150000000000002</v>
      </c>
      <c r="D145">
        <v>1.865</v>
      </c>
      <c r="E145">
        <v>1.9930000000000001</v>
      </c>
      <c r="F145">
        <v>6261524.7999999998</v>
      </c>
      <c r="G145">
        <v>1.9930000000000001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2.4E-2</v>
      </c>
      <c r="Q145">
        <f t="shared" ref="Q145" si="701">F145*P145</f>
        <v>150276.59520000001</v>
      </c>
      <c r="R145">
        <f t="shared" ref="R145" si="702">R146+Q145</f>
        <v>-50023015.74529703</v>
      </c>
      <c r="S145">
        <f t="shared" ref="S145" si="703">R145/100000</f>
        <v>-500.23015745297027</v>
      </c>
      <c r="T145">
        <f t="shared" ref="T145" si="704">S145/1000</f>
        <v>-0.50023015745297028</v>
      </c>
    </row>
    <row r="146" spans="1:20" x14ac:dyDescent="0.25">
      <c r="A146" s="5">
        <v>44447</v>
      </c>
      <c r="B146">
        <v>1.984</v>
      </c>
      <c r="C146">
        <v>2.0249999999999999</v>
      </c>
      <c r="D146">
        <v>1.74</v>
      </c>
      <c r="E146">
        <v>1.91</v>
      </c>
      <c r="F146">
        <v>5711756.9900000002</v>
      </c>
      <c r="G146">
        <v>1.91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0.1929824561403507</v>
      </c>
      <c r="Q146">
        <f t="shared" ref="Q146" si="706">F146*P146</f>
        <v>1102268.8928070166</v>
      </c>
      <c r="R146">
        <f t="shared" ref="R146" si="707">R147+Q146</f>
        <v>-50173292.340497032</v>
      </c>
      <c r="S146">
        <f t="shared" ref="S146" si="708">R146/100000</f>
        <v>-501.73292340497034</v>
      </c>
      <c r="T146">
        <f t="shared" ref="T146" si="709">S146/1000</f>
        <v>-0.50173292340497033</v>
      </c>
    </row>
    <row r="147" spans="1:20" x14ac:dyDescent="0.25">
      <c r="A147" s="5">
        <v>44446</v>
      </c>
      <c r="B147">
        <v>2.6520000000000001</v>
      </c>
      <c r="C147">
        <v>2.7170000000000001</v>
      </c>
      <c r="D147">
        <v>1.75</v>
      </c>
      <c r="E147">
        <v>1.9830000000000001</v>
      </c>
      <c r="F147">
        <v>8380220.0999999996</v>
      </c>
      <c r="G147">
        <v>1.9830000000000001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-0.51809720785935864</v>
      </c>
      <c r="Q147">
        <f t="shared" ref="Q147" si="711">F147*P147</f>
        <v>-4341768.6350568747</v>
      </c>
      <c r="R147">
        <f t="shared" ref="R147" si="712">R148+Q147</f>
        <v>-51275561.233304046</v>
      </c>
      <c r="S147">
        <f t="shared" ref="S147" si="713">R147/100000</f>
        <v>-512.75561233304052</v>
      </c>
      <c r="T147">
        <f t="shared" ref="T147" si="714">S147/1000</f>
        <v>-0.51275561233304057</v>
      </c>
    </row>
    <row r="148" spans="1:20" x14ac:dyDescent="0.25">
      <c r="A148" s="5">
        <v>44445</v>
      </c>
      <c r="B148">
        <v>2.8</v>
      </c>
      <c r="C148">
        <v>2.8370000000000002</v>
      </c>
      <c r="D148">
        <v>2.4340000000000002</v>
      </c>
      <c r="E148">
        <v>2.6520000000000001</v>
      </c>
      <c r="F148">
        <v>2909606.1</v>
      </c>
      <c r="G148">
        <v>2.6520000000000001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8.1885856079404254E-2</v>
      </c>
      <c r="Q148">
        <f t="shared" ref="Q148" si="716">F148*P148</f>
        <v>238255.58635235671</v>
      </c>
      <c r="R148">
        <f t="shared" ref="R148" si="717">R149+Q148</f>
        <v>-46933792.59824717</v>
      </c>
      <c r="S148">
        <f t="shared" ref="S148" si="718">R148/100000</f>
        <v>-469.33792598247169</v>
      </c>
      <c r="T148">
        <f t="shared" ref="T148" si="719">S148/1000</f>
        <v>-0.4693379259824717</v>
      </c>
    </row>
    <row r="149" spans="1:20" x14ac:dyDescent="0.25">
      <c r="A149" s="5">
        <v>44444</v>
      </c>
      <c r="B149">
        <v>2.7229999999999999</v>
      </c>
      <c r="C149">
        <v>2.831</v>
      </c>
      <c r="D149">
        <v>2.6760000000000002</v>
      </c>
      <c r="E149">
        <v>2.8</v>
      </c>
      <c r="F149">
        <v>2134345.1</v>
      </c>
      <c r="G149">
        <v>2.8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0.59999999999999776</v>
      </c>
      <c r="Q149">
        <f t="shared" ref="Q149" si="721">F149*P149</f>
        <v>1280607.0599999952</v>
      </c>
      <c r="R149">
        <f t="shared" ref="R149" si="722">R150+Q149</f>
        <v>-47172048.184599526</v>
      </c>
      <c r="S149">
        <f t="shared" ref="S149" si="723">R149/100000</f>
        <v>-471.72048184599527</v>
      </c>
      <c r="T149">
        <f t="shared" ref="T149" si="724">S149/1000</f>
        <v>-0.47172048184599524</v>
      </c>
    </row>
    <row r="150" spans="1:20" x14ac:dyDescent="0.25">
      <c r="A150" s="5">
        <v>44443</v>
      </c>
      <c r="B150">
        <v>2.62</v>
      </c>
      <c r="C150">
        <v>2.8940000000000001</v>
      </c>
      <c r="D150">
        <v>2.5990000000000002</v>
      </c>
      <c r="E150">
        <v>2.7210000000000001</v>
      </c>
      <c r="F150">
        <v>4829422.1900000004</v>
      </c>
      <c r="G150">
        <v>2.7210000000000001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-0.17288135593220397</v>
      </c>
      <c r="Q150">
        <f t="shared" ref="Q150" si="726">F150*P150</f>
        <v>-834917.0565762741</v>
      </c>
      <c r="R150">
        <f t="shared" ref="R150" si="727">R151+Q150</f>
        <v>-48452655.244599521</v>
      </c>
      <c r="S150">
        <f t="shared" ref="S150" si="728">R150/100000</f>
        <v>-484.52655244599521</v>
      </c>
      <c r="T150">
        <f t="shared" ref="T150" si="729">S150/1000</f>
        <v>-0.48452655244599518</v>
      </c>
    </row>
    <row r="151" spans="1:20" x14ac:dyDescent="0.25">
      <c r="A151" s="5">
        <v>44442</v>
      </c>
      <c r="B151">
        <v>2.5219999999999998</v>
      </c>
      <c r="C151">
        <v>2.6629999999999998</v>
      </c>
      <c r="D151">
        <v>2.4500000000000002</v>
      </c>
      <c r="E151">
        <v>2.62</v>
      </c>
      <c r="F151">
        <v>2484428.7999999998</v>
      </c>
      <c r="G151">
        <v>2.62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0.59624413145540112</v>
      </c>
      <c r="Q151">
        <f t="shared" ref="Q151" si="731">F151*P151</f>
        <v>1481326.0920187843</v>
      </c>
      <c r="R151">
        <f t="shared" ref="R151" si="732">R152+Q151</f>
        <v>-47617738.188023247</v>
      </c>
      <c r="S151">
        <f t="shared" ref="S151" si="733">R151/100000</f>
        <v>-476.17738188023247</v>
      </c>
      <c r="T151">
        <f t="shared" ref="T151" si="734">S151/1000</f>
        <v>-0.47617738188023245</v>
      </c>
    </row>
    <row r="152" spans="1:20" x14ac:dyDescent="0.25">
      <c r="A152" s="5">
        <v>44441</v>
      </c>
      <c r="B152">
        <v>2.5059999999999998</v>
      </c>
      <c r="C152">
        <v>2.72</v>
      </c>
      <c r="D152">
        <v>2.4849999999999999</v>
      </c>
      <c r="E152">
        <v>2.5209999999999999</v>
      </c>
      <c r="F152">
        <v>5828487</v>
      </c>
      <c r="G152">
        <v>2.5209999999999999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-0.69361702127659586</v>
      </c>
      <c r="Q152">
        <f t="shared" ref="Q152" si="736">F152*P152</f>
        <v>-4042737.7914893623</v>
      </c>
      <c r="R152">
        <f t="shared" ref="R152" si="737">R153+Q152</f>
        <v>-49099064.28004203</v>
      </c>
      <c r="S152">
        <f t="shared" ref="S152" si="738">R152/100000</f>
        <v>-490.99064280042029</v>
      </c>
      <c r="T152">
        <f t="shared" ref="T152" si="739">S152/1000</f>
        <v>-0.49099064280042026</v>
      </c>
    </row>
    <row r="153" spans="1:20" x14ac:dyDescent="0.25">
      <c r="A153" s="5">
        <v>44440</v>
      </c>
      <c r="B153">
        <v>2.3410000000000002</v>
      </c>
      <c r="C153">
        <v>2.5379999999999998</v>
      </c>
      <c r="D153">
        <v>2.2850000000000001</v>
      </c>
      <c r="E153">
        <v>2.5089999999999999</v>
      </c>
      <c r="F153">
        <v>2870173.9</v>
      </c>
      <c r="G153">
        <v>2.5089999999999999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0.77075098814229281</v>
      </c>
      <c r="Q153">
        <f t="shared" ref="Q153" si="741">F153*P153</f>
        <v>2212189.3695652182</v>
      </c>
      <c r="R153">
        <f t="shared" ref="R153" si="742">R154+Q153</f>
        <v>-45056326.488552667</v>
      </c>
      <c r="S153">
        <f t="shared" ref="S153" si="743">R153/100000</f>
        <v>-450.56326488552668</v>
      </c>
      <c r="T153">
        <f t="shared" ref="T153" si="744">S153/1000</f>
        <v>-0.45056326488552667</v>
      </c>
    </row>
    <row r="154" spans="1:20" x14ac:dyDescent="0.25">
      <c r="A154" s="5">
        <v>44439</v>
      </c>
      <c r="B154">
        <v>2.319</v>
      </c>
      <c r="C154">
        <v>2.468</v>
      </c>
      <c r="D154">
        <v>2.274</v>
      </c>
      <c r="E154">
        <v>2.3450000000000002</v>
      </c>
      <c r="F154">
        <v>2646895.59</v>
      </c>
      <c r="G154">
        <v>2.3450000000000002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-0.26804123711340005</v>
      </c>
      <c r="Q154">
        <f t="shared" ref="Q154" si="746">F154*P154</f>
        <v>-709477.16845360294</v>
      </c>
      <c r="R154">
        <f t="shared" ref="R154" si="747">R155+Q154</f>
        <v>-47268515.858117886</v>
      </c>
      <c r="S154">
        <f t="shared" ref="S154" si="748">R154/100000</f>
        <v>-472.68515858117888</v>
      </c>
      <c r="T154">
        <f t="shared" ref="T154" si="749">S154/1000</f>
        <v>-0.47268515858117888</v>
      </c>
    </row>
    <row r="155" spans="1:20" x14ac:dyDescent="0.25">
      <c r="A155" s="5">
        <v>44438</v>
      </c>
      <c r="B155">
        <v>2.4740000000000002</v>
      </c>
      <c r="C155">
        <v>2.5059999999999998</v>
      </c>
      <c r="D155">
        <v>2.2959999999999998</v>
      </c>
      <c r="E155">
        <v>2.319</v>
      </c>
      <c r="F155">
        <v>1843148.5</v>
      </c>
      <c r="G155">
        <v>2.319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-0.78095238095237962</v>
      </c>
      <c r="Q155">
        <f t="shared" ref="Q155" si="751">F155*P155</f>
        <v>-1439411.209523807</v>
      </c>
      <c r="R155">
        <f t="shared" ref="R155" si="752">R156+Q155</f>
        <v>-46559038.689664282</v>
      </c>
      <c r="S155">
        <f t="shared" ref="S155" si="753">R155/100000</f>
        <v>-465.59038689664283</v>
      </c>
      <c r="T155">
        <f t="shared" ref="T155" si="754">S155/1000</f>
        <v>-0.46559038689664284</v>
      </c>
    </row>
    <row r="156" spans="1:20" x14ac:dyDescent="0.25">
      <c r="A156" s="5">
        <v>44437</v>
      </c>
      <c r="B156">
        <v>2.548</v>
      </c>
      <c r="C156">
        <v>2.5649999999999999</v>
      </c>
      <c r="D156">
        <v>2.4129999999999998</v>
      </c>
      <c r="E156">
        <v>2.4769999999999999</v>
      </c>
      <c r="F156">
        <v>1649873.1</v>
      </c>
      <c r="G156">
        <v>2.4769999999999999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-0.15789473684210525</v>
      </c>
      <c r="Q156">
        <f t="shared" ref="Q156" si="756">F156*P156</f>
        <v>-260506.27894736841</v>
      </c>
      <c r="R156">
        <f t="shared" ref="R156" si="757">R157+Q156</f>
        <v>-45119627.480140477</v>
      </c>
      <c r="S156">
        <f t="shared" ref="S156" si="758">R156/100000</f>
        <v>-451.1962748014048</v>
      </c>
      <c r="T156">
        <f t="shared" ref="T156" si="759">S156/1000</f>
        <v>-0.45119627480140478</v>
      </c>
    </row>
    <row r="157" spans="1:20" x14ac:dyDescent="0.25">
      <c r="A157" s="5">
        <v>44436</v>
      </c>
      <c r="B157">
        <v>2.637</v>
      </c>
      <c r="C157">
        <v>2.657</v>
      </c>
      <c r="D157">
        <v>2.5070000000000001</v>
      </c>
      <c r="E157">
        <v>2.544</v>
      </c>
      <c r="F157">
        <v>2377174.7000000002</v>
      </c>
      <c r="G157">
        <v>2.544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-0.50666666666666738</v>
      </c>
      <c r="Q157">
        <f t="shared" ref="Q157" si="761">F157*P157</f>
        <v>-1204435.1813333351</v>
      </c>
      <c r="R157">
        <f t="shared" ref="R157" si="762">R158+Q157</f>
        <v>-44859121.201193109</v>
      </c>
      <c r="S157">
        <f t="shared" ref="S157" si="763">R157/100000</f>
        <v>-448.59121201193108</v>
      </c>
      <c r="T157">
        <f t="shared" ref="T157" si="764">S157/1000</f>
        <v>-0.44859121201193108</v>
      </c>
    </row>
    <row r="158" spans="1:20" x14ac:dyDescent="0.25">
      <c r="A158" s="5">
        <v>44435</v>
      </c>
      <c r="B158">
        <v>2.488</v>
      </c>
      <c r="C158">
        <v>2.7189999999999999</v>
      </c>
      <c r="D158">
        <v>2.3719999999999999</v>
      </c>
      <c r="E158">
        <v>2.6379999999999999</v>
      </c>
      <c r="F158">
        <v>3755703.63</v>
      </c>
      <c r="G158">
        <v>2.6379999999999999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0.53314121037463991</v>
      </c>
      <c r="Q158">
        <f t="shared" ref="Q158" si="766">F158*P158</f>
        <v>2002320.3791066287</v>
      </c>
      <c r="R158">
        <f t="shared" ref="R158" si="767">R159+Q158</f>
        <v>-43654686.019859776</v>
      </c>
      <c r="S158">
        <f t="shared" ref="S158" si="768">R158/100000</f>
        <v>-436.54686019859776</v>
      </c>
      <c r="T158">
        <f t="shared" ref="T158" si="769">S158/1000</f>
        <v>-0.43654686019859773</v>
      </c>
    </row>
    <row r="159" spans="1:20" x14ac:dyDescent="0.25">
      <c r="A159" s="5">
        <v>44434</v>
      </c>
      <c r="B159">
        <v>2.6762000000000001</v>
      </c>
      <c r="C159">
        <v>2.72</v>
      </c>
      <c r="D159">
        <v>2.4359999999999999</v>
      </c>
      <c r="E159">
        <v>2.4830000000000001</v>
      </c>
      <c r="F159">
        <v>3062215.85</v>
      </c>
      <c r="G159">
        <v>2.4830000000000001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-0.66901408450704147</v>
      </c>
      <c r="Q159">
        <f t="shared" ref="Q159" si="771">F159*P159</f>
        <v>-2048665.533450702</v>
      </c>
      <c r="R159">
        <f t="shared" ref="R159" si="772">R160+Q159</f>
        <v>-45657006.398966402</v>
      </c>
      <c r="S159">
        <f t="shared" ref="S159" si="773">R159/100000</f>
        <v>-456.57006398966399</v>
      </c>
      <c r="T159">
        <f t="shared" ref="T159" si="774">S159/1000</f>
        <v>-0.45657006398966399</v>
      </c>
    </row>
    <row r="160" spans="1:20" x14ac:dyDescent="0.25">
      <c r="A160" s="5">
        <v>44433</v>
      </c>
      <c r="B160">
        <v>2.5951</v>
      </c>
      <c r="C160">
        <v>2.7467000000000001</v>
      </c>
      <c r="D160">
        <v>2.4201999999999999</v>
      </c>
      <c r="E160">
        <v>2.6747999999999998</v>
      </c>
      <c r="F160">
        <v>5312254.88</v>
      </c>
      <c r="G160">
        <v>2.6747999999999998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0.55957120980091735</v>
      </c>
      <c r="Q160">
        <f t="shared" ref="Q160" si="776">F160*P160</f>
        <v>2972584.8899724269</v>
      </c>
      <c r="R160">
        <f t="shared" ref="R160" si="777">R161+Q160</f>
        <v>-43608340.865515701</v>
      </c>
      <c r="S160">
        <f t="shared" ref="S160" si="778">R160/100000</f>
        <v>-436.08340865515703</v>
      </c>
      <c r="T160">
        <f t="shared" ref="T160" si="779">S160/1000</f>
        <v>-0.43608340865515705</v>
      </c>
    </row>
    <row r="161" spans="1:20" x14ac:dyDescent="0.25">
      <c r="A161" s="5">
        <v>44432</v>
      </c>
      <c r="B161">
        <v>2.5628000000000002</v>
      </c>
      <c r="C161">
        <v>2.7845</v>
      </c>
      <c r="D161">
        <v>2.4807999999999999</v>
      </c>
      <c r="E161">
        <v>2.5952999999999999</v>
      </c>
      <c r="F161">
        <v>7456927.8399999999</v>
      </c>
      <c r="G161">
        <v>2.5952999999999999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-0.24596641422456361</v>
      </c>
      <c r="Q161">
        <f t="shared" ref="Q161" si="781">F161*P161</f>
        <v>-1834153.8019361203</v>
      </c>
      <c r="R161">
        <f t="shared" ref="R161" si="782">R162+Q161</f>
        <v>-46580925.755488127</v>
      </c>
      <c r="S161">
        <f t="shared" ref="S161" si="783">R161/100000</f>
        <v>-465.8092575548813</v>
      </c>
      <c r="T161">
        <f t="shared" ref="T161" si="784">S161/1000</f>
        <v>-0.46580925755488128</v>
      </c>
    </row>
    <row r="162" spans="1:20" x14ac:dyDescent="0.25">
      <c r="A162" s="5">
        <v>44431</v>
      </c>
      <c r="B162">
        <v>2.6183999999999998</v>
      </c>
      <c r="C162">
        <v>2.6467999999999998</v>
      </c>
      <c r="D162">
        <v>2.4701</v>
      </c>
      <c r="E162">
        <v>2.5697000000000001</v>
      </c>
      <c r="F162">
        <v>4435804.17</v>
      </c>
      <c r="G162">
        <v>2.5697000000000001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0.1273344651952486</v>
      </c>
      <c r="Q162">
        <f t="shared" ref="Q162" si="786">F162*P162</f>
        <v>564830.75169780361</v>
      </c>
      <c r="R162">
        <f t="shared" ref="R162" si="787">R163+Q162</f>
        <v>-44746771.953552008</v>
      </c>
      <c r="S162">
        <f t="shared" ref="S162" si="788">R162/100000</f>
        <v>-447.46771953552008</v>
      </c>
      <c r="T162">
        <f t="shared" ref="T162" si="789">S162/1000</f>
        <v>-0.44746771953552006</v>
      </c>
    </row>
    <row r="163" spans="1:20" x14ac:dyDescent="0.25">
      <c r="A163" s="5">
        <v>44430</v>
      </c>
      <c r="B163">
        <v>2.3307000000000002</v>
      </c>
      <c r="C163">
        <v>2.5164</v>
      </c>
      <c r="D163">
        <v>2.3231999999999999</v>
      </c>
      <c r="E163">
        <v>2.4716999999999998</v>
      </c>
      <c r="F163">
        <v>984864.47</v>
      </c>
      <c r="G163">
        <v>2.4716999999999998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0.5372670807453398</v>
      </c>
      <c r="Q163">
        <f t="shared" ref="Q163" si="791">F163*P163</f>
        <v>529135.25872670626</v>
      </c>
      <c r="R163">
        <f t="shared" ref="R163" si="792">R164+Q163</f>
        <v>-45311602.705249809</v>
      </c>
      <c r="S163">
        <f t="shared" ref="S163" si="793">R163/100000</f>
        <v>-453.11602705249811</v>
      </c>
      <c r="T163">
        <f t="shared" ref="T163" si="794">S163/1000</f>
        <v>-0.45311602705249809</v>
      </c>
    </row>
    <row r="164" spans="1:20" x14ac:dyDescent="0.25">
      <c r="A164" s="5">
        <v>44429</v>
      </c>
      <c r="B164">
        <v>2.3862999999999999</v>
      </c>
      <c r="C164">
        <v>2.5609999999999999</v>
      </c>
      <c r="D164">
        <v>2.3210000000000002</v>
      </c>
      <c r="E164">
        <v>2.3325</v>
      </c>
      <c r="F164">
        <v>4197403.59</v>
      </c>
      <c r="G164">
        <v>2.3325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-0.9041666666666679</v>
      </c>
      <c r="Q164">
        <f t="shared" ref="Q164" si="796">F164*P164</f>
        <v>-3795152.412625005</v>
      </c>
      <c r="R164">
        <f t="shared" ref="R164" si="797">R165+Q164</f>
        <v>-45840737.963976517</v>
      </c>
      <c r="S164">
        <f t="shared" ref="S164" si="798">R164/100000</f>
        <v>-458.40737963976517</v>
      </c>
      <c r="T164">
        <f t="shared" ref="T164" si="799">S164/1000</f>
        <v>-0.45840737963976519</v>
      </c>
    </row>
    <row r="165" spans="1:20" x14ac:dyDescent="0.25">
      <c r="A165" s="5">
        <v>44428</v>
      </c>
      <c r="B165">
        <v>2.1981000000000002</v>
      </c>
      <c r="C165">
        <v>2.4131999999999998</v>
      </c>
      <c r="D165">
        <v>2.1467000000000001</v>
      </c>
      <c r="E165">
        <v>2.3868</v>
      </c>
      <c r="F165">
        <v>3999545.83</v>
      </c>
      <c r="G165">
        <v>2.3868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0.80187617260788158</v>
      </c>
      <c r="Q165">
        <f t="shared" ref="Q165" si="801">F165*P165</f>
        <v>3207140.5023302129</v>
      </c>
      <c r="R165">
        <f t="shared" ref="R165" si="802">R166+Q165</f>
        <v>-42045585.55135151</v>
      </c>
      <c r="S165">
        <f t="shared" ref="S165" si="803">R165/100000</f>
        <v>-420.45585551351508</v>
      </c>
      <c r="T165">
        <f t="shared" ref="T165" si="804">S165/1000</f>
        <v>-0.42045585551351505</v>
      </c>
    </row>
    <row r="166" spans="1:20" x14ac:dyDescent="0.25">
      <c r="A166" s="5">
        <v>44427</v>
      </c>
      <c r="B166">
        <v>2.0318999999999998</v>
      </c>
      <c r="C166">
        <v>2.2400000000000002</v>
      </c>
      <c r="D166">
        <v>1.9766999999999999</v>
      </c>
      <c r="E166">
        <v>2.1941000000000002</v>
      </c>
      <c r="F166">
        <v>3374923.16</v>
      </c>
      <c r="G166">
        <v>2.1941000000000002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0.65134827193315614</v>
      </c>
      <c r="Q166">
        <f t="shared" ref="Q166" si="806">F166*P166</f>
        <v>2198250.3681731867</v>
      </c>
      <c r="R166">
        <f t="shared" ref="R166" si="807">R167+Q166</f>
        <v>-45252726.053681724</v>
      </c>
      <c r="S166">
        <f t="shared" ref="S166" si="808">R166/100000</f>
        <v>-452.52726053681721</v>
      </c>
      <c r="T166">
        <f t="shared" ref="T166" si="809">S166/1000</f>
        <v>-0.45252726053681719</v>
      </c>
    </row>
    <row r="167" spans="1:20" x14ac:dyDescent="0.25">
      <c r="A167" s="5">
        <v>44426</v>
      </c>
      <c r="B167">
        <v>2.1198000000000001</v>
      </c>
      <c r="C167">
        <v>2.2364000000000002</v>
      </c>
      <c r="D167">
        <v>1.9265000000000001</v>
      </c>
      <c r="E167">
        <v>2.0230000000000001</v>
      </c>
      <c r="F167">
        <v>5397170.2199999997</v>
      </c>
      <c r="G167">
        <v>2.0230000000000001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-0.37721845756695704</v>
      </c>
      <c r="Q167">
        <f t="shared" ref="Q167" si="811">F167*P167</f>
        <v>-2035912.2256147142</v>
      </c>
      <c r="R167">
        <f t="shared" ref="R167" si="812">R168+Q167</f>
        <v>-47450976.421854913</v>
      </c>
      <c r="S167">
        <f t="shared" ref="S167" si="813">R167/100000</f>
        <v>-474.50976421854915</v>
      </c>
      <c r="T167">
        <f t="shared" ref="T167" si="814">S167/1000</f>
        <v>-0.47450976421854912</v>
      </c>
    </row>
    <row r="168" spans="1:20" x14ac:dyDescent="0.25">
      <c r="A168" s="5">
        <v>44425</v>
      </c>
      <c r="B168">
        <v>2.1246999999999998</v>
      </c>
      <c r="C168">
        <v>2.4</v>
      </c>
      <c r="D168">
        <v>2.02</v>
      </c>
      <c r="E168">
        <v>2.1192000000000002</v>
      </c>
      <c r="F168">
        <v>6713117.6699999999</v>
      </c>
      <c r="G168">
        <v>2.1192000000000002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-0.47789473684210421</v>
      </c>
      <c r="Q168">
        <f t="shared" ref="Q168" si="816">F168*P168</f>
        <v>-3208163.6022947296</v>
      </c>
      <c r="R168">
        <f t="shared" ref="R168" si="817">R169+Q168</f>
        <v>-45415064.196240202</v>
      </c>
      <c r="S168">
        <f t="shared" ref="S168" si="818">R168/100000</f>
        <v>-454.15064196240201</v>
      </c>
      <c r="T168">
        <f t="shared" ref="T168" si="819">S168/1000</f>
        <v>-0.45415064196240201</v>
      </c>
    </row>
    <row r="169" spans="1:20" x14ac:dyDescent="0.25">
      <c r="A169" s="5">
        <v>44424</v>
      </c>
      <c r="B169">
        <v>2.1657000000000002</v>
      </c>
      <c r="C169">
        <v>2.2999999999999998</v>
      </c>
      <c r="D169">
        <v>2.0958000000000001</v>
      </c>
      <c r="E169">
        <v>2.1212</v>
      </c>
      <c r="F169">
        <v>3969446.91</v>
      </c>
      <c r="G169">
        <v>2.1212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-0.75122428991185208</v>
      </c>
      <c r="Q169">
        <f t="shared" ref="Q169" si="821">F169*P169</f>
        <v>-2981944.9363075458</v>
      </c>
      <c r="R169">
        <f t="shared" ref="R169" si="822">R170+Q169</f>
        <v>-42206900.593945473</v>
      </c>
      <c r="S169">
        <f t="shared" ref="S169" si="823">R169/100000</f>
        <v>-422.06900593945471</v>
      </c>
      <c r="T169">
        <f t="shared" ref="T169" si="824">S169/1000</f>
        <v>-0.42206900593945473</v>
      </c>
    </row>
    <row r="170" spans="1:20" x14ac:dyDescent="0.25">
      <c r="A170" s="5">
        <v>44423</v>
      </c>
      <c r="B170">
        <v>2.0771000000000002</v>
      </c>
      <c r="C170">
        <v>2.194</v>
      </c>
      <c r="D170">
        <v>2.0482999999999998</v>
      </c>
      <c r="E170">
        <v>2.1692999999999998</v>
      </c>
      <c r="F170">
        <v>3570854.95</v>
      </c>
      <c r="G170">
        <v>2.1692999999999998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0.66094715168153551</v>
      </c>
      <c r="Q170">
        <f t="shared" ref="Q170" si="826">F170*P170</f>
        <v>2360146.4082704121</v>
      </c>
      <c r="R170">
        <f t="shared" ref="R170" si="827">R171+Q170</f>
        <v>-39224955.657637924</v>
      </c>
      <c r="S170">
        <f t="shared" ref="S170" si="828">R170/100000</f>
        <v>-392.24955657637923</v>
      </c>
      <c r="T170">
        <f t="shared" ref="T170" si="829">S170/1000</f>
        <v>-0.39224955657637922</v>
      </c>
    </row>
    <row r="171" spans="1:20" x14ac:dyDescent="0.25">
      <c r="A171" s="5">
        <v>44422</v>
      </c>
      <c r="B171">
        <v>2.0746000000000002</v>
      </c>
      <c r="C171">
        <v>2.16</v>
      </c>
      <c r="D171">
        <v>1.9733000000000001</v>
      </c>
      <c r="E171">
        <v>2.0787</v>
      </c>
      <c r="F171">
        <v>4767452.83</v>
      </c>
      <c r="G171">
        <v>2.0787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0.12908409212640481</v>
      </c>
      <c r="Q171">
        <f t="shared" ref="Q171" si="831">F171*P171</f>
        <v>615402.32031600934</v>
      </c>
      <c r="R171">
        <f t="shared" ref="R171" si="832">R172+Q171</f>
        <v>-41585102.065908335</v>
      </c>
      <c r="S171">
        <f t="shared" ref="S171" si="833">R171/100000</f>
        <v>-415.85102065908336</v>
      </c>
      <c r="T171">
        <f t="shared" ref="T171" si="834">S171/1000</f>
        <v>-0.41585102065908336</v>
      </c>
    </row>
    <row r="172" spans="1:20" x14ac:dyDescent="0.25">
      <c r="A172" s="5">
        <v>44421</v>
      </c>
      <c r="B172">
        <v>1.8926000000000001</v>
      </c>
      <c r="C172">
        <v>2.08</v>
      </c>
      <c r="D172">
        <v>1.8606</v>
      </c>
      <c r="E172">
        <v>2.0714999999999999</v>
      </c>
      <c r="F172">
        <v>2984090.4</v>
      </c>
      <c r="G172">
        <v>2.0714999999999999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0.92251595259799291</v>
      </c>
      <c r="Q172">
        <f t="shared" ref="Q172" si="836">F172*P172</f>
        <v>2752870.9979945258</v>
      </c>
      <c r="R172">
        <f t="shared" ref="R172" si="837">R173+Q172</f>
        <v>-42200504.386224344</v>
      </c>
      <c r="S172">
        <f t="shared" ref="S172" si="838">R172/100000</f>
        <v>-422.00504386224344</v>
      </c>
      <c r="T172">
        <f t="shared" ref="T172" si="839">S172/1000</f>
        <v>-0.42200504386224347</v>
      </c>
    </row>
    <row r="173" spans="1:20" x14ac:dyDescent="0.25">
      <c r="A173" s="5">
        <v>44420</v>
      </c>
      <c r="B173">
        <v>1.9618</v>
      </c>
      <c r="C173">
        <v>2.0950000000000002</v>
      </c>
      <c r="D173">
        <v>1.8149999999999999</v>
      </c>
      <c r="E173">
        <v>1.8927</v>
      </c>
      <c r="F173">
        <v>3510574.4</v>
      </c>
      <c r="G173">
        <v>1.8927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-0.44499999999999978</v>
      </c>
      <c r="Q173">
        <f t="shared" ref="Q173" si="841">F173*P173</f>
        <v>-1562205.6079999993</v>
      </c>
      <c r="R173">
        <f t="shared" ref="R173" si="842">R174+Q173</f>
        <v>-44953375.384218872</v>
      </c>
      <c r="S173">
        <f t="shared" ref="S173" si="843">R173/100000</f>
        <v>-449.53375384218873</v>
      </c>
      <c r="T173">
        <f t="shared" ref="T173" si="844">S173/1000</f>
        <v>-0.44953375384218874</v>
      </c>
    </row>
    <row r="174" spans="1:20" x14ac:dyDescent="0.25">
      <c r="A174" s="5">
        <v>44419</v>
      </c>
      <c r="B174">
        <v>1.9142999999999999</v>
      </c>
      <c r="C174">
        <v>2.0876999999999999</v>
      </c>
      <c r="D174">
        <v>1.9073</v>
      </c>
      <c r="E174">
        <v>1.9622999999999999</v>
      </c>
      <c r="F174">
        <v>4837943.4000000004</v>
      </c>
      <c r="G174">
        <v>1.9622999999999999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-0.39024390243902474</v>
      </c>
      <c r="Q174">
        <f t="shared" ref="Q174" si="846">F174*P174</f>
        <v>-1887977.9121951237</v>
      </c>
      <c r="R174">
        <f t="shared" ref="R174" si="847">R175+Q174</f>
        <v>-43391169.776218869</v>
      </c>
      <c r="S174">
        <f t="shared" ref="S174" si="848">R174/100000</f>
        <v>-433.91169776218868</v>
      </c>
      <c r="T174">
        <f t="shared" ref="T174" si="849">S174/1000</f>
        <v>-0.43391169776218869</v>
      </c>
    </row>
    <row r="175" spans="1:20" x14ac:dyDescent="0.25">
      <c r="A175" s="5">
        <v>44418</v>
      </c>
      <c r="B175">
        <v>1.8754</v>
      </c>
      <c r="C175">
        <v>1.9754</v>
      </c>
      <c r="D175">
        <v>1.81</v>
      </c>
      <c r="E175">
        <v>1.9137</v>
      </c>
      <c r="F175">
        <v>3373096.48</v>
      </c>
      <c r="G175">
        <v>1.9137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0.25392986698911618</v>
      </c>
      <c r="Q175">
        <f t="shared" ref="Q175" si="851">F175*P175</f>
        <v>856529.94050785596</v>
      </c>
      <c r="R175">
        <f t="shared" ref="R175" si="852">R176+Q175</f>
        <v>-41503191.864023745</v>
      </c>
      <c r="S175">
        <f t="shared" ref="S175" si="853">R175/100000</f>
        <v>-415.03191864023745</v>
      </c>
      <c r="T175">
        <f t="shared" ref="T175" si="854">S175/1000</f>
        <v>-0.41503191864023747</v>
      </c>
    </row>
    <row r="176" spans="1:20" x14ac:dyDescent="0.25">
      <c r="A176" s="5">
        <v>44417</v>
      </c>
      <c r="B176">
        <v>1.8305</v>
      </c>
      <c r="C176">
        <v>1.9488000000000001</v>
      </c>
      <c r="D176">
        <v>1.7242</v>
      </c>
      <c r="E176">
        <v>1.8755999999999999</v>
      </c>
      <c r="F176">
        <v>5441222.3099999996</v>
      </c>
      <c r="G176">
        <v>1.8755999999999999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0.34817453250222519</v>
      </c>
      <c r="Q176">
        <f t="shared" ref="Q176" si="856">F176*P176</f>
        <v>1894495.0340249278</v>
      </c>
      <c r="R176">
        <f t="shared" ref="R176" si="857">R177+Q176</f>
        <v>-42359721.804531604</v>
      </c>
      <c r="S176">
        <f t="shared" ref="S176" si="858">R176/100000</f>
        <v>-423.59721804531603</v>
      </c>
      <c r="T176">
        <f t="shared" ref="T176" si="859">S176/1000</f>
        <v>-0.42359721804531603</v>
      </c>
    </row>
    <row r="177" spans="1:20" x14ac:dyDescent="0.25">
      <c r="A177" s="5">
        <v>44416</v>
      </c>
      <c r="B177">
        <v>1.9443999999999999</v>
      </c>
      <c r="C177">
        <v>1.9521999999999999</v>
      </c>
      <c r="D177">
        <v>1.7287999999999999</v>
      </c>
      <c r="E177">
        <v>1.8286</v>
      </c>
      <c r="F177">
        <v>5048171.12</v>
      </c>
      <c r="G177">
        <v>1.8286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-0.106535362578334</v>
      </c>
      <c r="Q177">
        <f t="shared" ref="Q177" si="861">F177*P177</f>
        <v>-537808.74062667449</v>
      </c>
      <c r="R177">
        <f t="shared" ref="R177" si="862">R178+Q177</f>
        <v>-44254216.838556528</v>
      </c>
      <c r="S177">
        <f t="shared" ref="S177" si="863">R177/100000</f>
        <v>-442.54216838556528</v>
      </c>
      <c r="T177">
        <f t="shared" ref="T177" si="864">S177/1000</f>
        <v>-0.44254216838556526</v>
      </c>
    </row>
    <row r="178" spans="1:20" x14ac:dyDescent="0.25">
      <c r="A178" s="5">
        <v>44415</v>
      </c>
      <c r="B178">
        <v>1.9804999999999999</v>
      </c>
      <c r="C178">
        <v>2.1749999999999998</v>
      </c>
      <c r="D178">
        <v>1.86</v>
      </c>
      <c r="E178">
        <v>1.9416</v>
      </c>
      <c r="F178">
        <v>3857066.4</v>
      </c>
      <c r="G178">
        <v>1.9416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-0.48190476190476211</v>
      </c>
      <c r="Q178">
        <f t="shared" ref="Q178" si="866">F178*P178</f>
        <v>-1858738.6651428579</v>
      </c>
      <c r="R178">
        <f t="shared" ref="R178" si="867">R179+Q178</f>
        <v>-43716408.09792985</v>
      </c>
      <c r="S178">
        <f t="shared" ref="S178" si="868">R178/100000</f>
        <v>-437.16408097929849</v>
      </c>
      <c r="T178">
        <f t="shared" ref="T178" si="869">S178/1000</f>
        <v>-0.43716408097929849</v>
      </c>
    </row>
    <row r="179" spans="1:20" x14ac:dyDescent="0.25">
      <c r="A179" s="5">
        <v>44414</v>
      </c>
      <c r="B179">
        <v>1.8139000000000001</v>
      </c>
      <c r="C179">
        <v>2.0150000000000001</v>
      </c>
      <c r="D179">
        <v>1.7759</v>
      </c>
      <c r="E179">
        <v>1.9782999999999999</v>
      </c>
      <c r="F179">
        <v>4744195.08</v>
      </c>
      <c r="G179">
        <v>1.9782999999999999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0.69301547469677827</v>
      </c>
      <c r="Q179">
        <f t="shared" ref="Q179" si="871">F179*P179</f>
        <v>3287800.6054203198</v>
      </c>
      <c r="R179">
        <f t="shared" ref="R179" si="872">R180+Q179</f>
        <v>-41857669.432786994</v>
      </c>
      <c r="S179">
        <f t="shared" ref="S179" si="873">R179/100000</f>
        <v>-418.57669432786992</v>
      </c>
      <c r="T179">
        <f t="shared" ref="T179" si="874">S179/1000</f>
        <v>-0.41857669432786992</v>
      </c>
    </row>
    <row r="180" spans="1:20" x14ac:dyDescent="0.25">
      <c r="A180" s="5">
        <v>44413</v>
      </c>
      <c r="B180">
        <v>1.8113999999999999</v>
      </c>
      <c r="C180">
        <v>1.8301000000000001</v>
      </c>
      <c r="D180">
        <v>1.7141</v>
      </c>
      <c r="E180">
        <v>1.8127</v>
      </c>
      <c r="F180">
        <v>3458396.77</v>
      </c>
      <c r="G180">
        <v>1.8127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0.69999999999999885</v>
      </c>
      <c r="Q180">
        <f t="shared" ref="Q180" si="876">F180*P180</f>
        <v>2420877.7389999959</v>
      </c>
      <c r="R180">
        <f t="shared" ref="R180" si="877">R181+Q180</f>
        <v>-45145470.038207315</v>
      </c>
      <c r="S180">
        <f t="shared" ref="S180" si="878">R180/100000</f>
        <v>-451.45470038207316</v>
      </c>
      <c r="T180">
        <f t="shared" ref="T180" si="879">S180/1000</f>
        <v>-0.45145470038207314</v>
      </c>
    </row>
    <row r="181" spans="1:20" x14ac:dyDescent="0.25">
      <c r="A181" s="5">
        <v>44412</v>
      </c>
      <c r="B181">
        <v>1.8115000000000001</v>
      </c>
      <c r="C181">
        <v>1.8844000000000001</v>
      </c>
      <c r="D181">
        <v>1.7765</v>
      </c>
      <c r="E181">
        <v>1.8081</v>
      </c>
      <c r="F181">
        <v>4286329.96</v>
      </c>
      <c r="G181">
        <v>1.8081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-0.41427247451343763</v>
      </c>
      <c r="Q181">
        <f t="shared" ref="Q181" si="881">F181*P181</f>
        <v>-1775708.519110284</v>
      </c>
      <c r="R181">
        <f t="shared" ref="R181" si="882">R182+Q181</f>
        <v>-47566347.777207308</v>
      </c>
      <c r="S181">
        <f t="shared" ref="S181" si="883">R181/100000</f>
        <v>-475.66347777207307</v>
      </c>
      <c r="T181">
        <f t="shared" ref="T181" si="884">S181/1000</f>
        <v>-0.47566347777207307</v>
      </c>
    </row>
    <row r="182" spans="1:20" x14ac:dyDescent="0.25">
      <c r="A182" s="5">
        <v>44411</v>
      </c>
      <c r="B182">
        <v>1.7241</v>
      </c>
      <c r="C182">
        <v>1.8149</v>
      </c>
      <c r="D182">
        <v>1.6526000000000001</v>
      </c>
      <c r="E182">
        <v>1.8097000000000001</v>
      </c>
      <c r="F182">
        <v>4992573.6100000003</v>
      </c>
      <c r="G182">
        <v>1.8097000000000001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0.93592113370302066</v>
      </c>
      <c r="Q182">
        <f t="shared" ref="Q182" si="886">F182*P182</f>
        <v>4672655.1531669833</v>
      </c>
      <c r="R182">
        <f t="shared" ref="R182" si="887">R183+Q182</f>
        <v>-45790639.258097023</v>
      </c>
      <c r="S182">
        <f t="shared" ref="S182" si="888">R182/100000</f>
        <v>-457.90639258097025</v>
      </c>
      <c r="T182">
        <f t="shared" ref="T182" si="889">S182/1000</f>
        <v>-0.45790639258097027</v>
      </c>
    </row>
    <row r="183" spans="1:20" x14ac:dyDescent="0.25">
      <c r="A183" s="5">
        <v>44410</v>
      </c>
      <c r="B183">
        <v>1.6797</v>
      </c>
      <c r="C183">
        <v>1.7683</v>
      </c>
      <c r="D183">
        <v>1.6536999999999999</v>
      </c>
      <c r="E183">
        <v>1.7225999999999999</v>
      </c>
      <c r="F183">
        <v>1908374.84</v>
      </c>
      <c r="G183">
        <v>1.7225999999999999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0.20244328097731135</v>
      </c>
      <c r="Q183">
        <f t="shared" ref="Q183" si="891">F183*P183</f>
        <v>386337.6639441516</v>
      </c>
      <c r="R183">
        <f t="shared" ref="R183" si="892">R184+Q183</f>
        <v>-50463294.41126401</v>
      </c>
      <c r="S183">
        <f t="shared" ref="S183" si="893">R183/100000</f>
        <v>-504.63294411264008</v>
      </c>
      <c r="T183">
        <f t="shared" ref="T183" si="894">S183/1000</f>
        <v>-0.50463294411264004</v>
      </c>
    </row>
    <row r="184" spans="1:20" x14ac:dyDescent="0.25">
      <c r="A184" s="5">
        <v>44409</v>
      </c>
      <c r="B184">
        <v>1.7541</v>
      </c>
      <c r="C184">
        <v>1.8431999999999999</v>
      </c>
      <c r="D184">
        <v>1.6577999999999999</v>
      </c>
      <c r="E184">
        <v>1.6828000000000001</v>
      </c>
      <c r="F184">
        <v>4308219.54</v>
      </c>
      <c r="G184">
        <v>1.6828000000000001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-0.73031283710895223</v>
      </c>
      <c r="Q184">
        <f t="shared" ref="Q184" si="896">F184*P184</f>
        <v>-3146348.035145625</v>
      </c>
      <c r="R184">
        <f t="shared" ref="R184" si="897">R185+Q184</f>
        <v>-50849632.075208165</v>
      </c>
      <c r="S184">
        <f t="shared" ref="S184" si="898">R184/100000</f>
        <v>-508.49632075208166</v>
      </c>
      <c r="T184">
        <f t="shared" ref="T184" si="899">S184/1000</f>
        <v>-0.50849632075208162</v>
      </c>
    </row>
    <row r="185" spans="1:20" x14ac:dyDescent="0.25">
      <c r="A185" s="5">
        <v>44408</v>
      </c>
      <c r="B185">
        <v>1.6769000000000001</v>
      </c>
      <c r="C185">
        <v>1.8299000000000001</v>
      </c>
      <c r="D185">
        <v>1.639</v>
      </c>
      <c r="E185">
        <v>1.7515000000000001</v>
      </c>
      <c r="F185">
        <v>5742479.3200000003</v>
      </c>
      <c r="G185">
        <v>1.7515000000000001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0.17862755369303304</v>
      </c>
      <c r="Q185">
        <f t="shared" ref="Q185" si="901">F185*P185</f>
        <v>1025765.033064432</v>
      </c>
      <c r="R185">
        <f t="shared" ref="R185" si="902">R186+Q185</f>
        <v>-47703284.040062539</v>
      </c>
      <c r="S185">
        <f t="shared" ref="S185" si="903">R185/100000</f>
        <v>-477.03284040062539</v>
      </c>
      <c r="T185">
        <f t="shared" ref="T185" si="904">S185/1000</f>
        <v>-0.47703284040062538</v>
      </c>
    </row>
    <row r="186" spans="1:20" x14ac:dyDescent="0.25">
      <c r="A186" s="5">
        <v>44407</v>
      </c>
      <c r="B186">
        <v>1.7359</v>
      </c>
      <c r="C186">
        <v>1.79</v>
      </c>
      <c r="D186">
        <v>1.5817000000000001</v>
      </c>
      <c r="E186">
        <v>1.6736</v>
      </c>
      <c r="F186">
        <v>3471875.68</v>
      </c>
      <c r="G186">
        <v>1.6736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-0.11761881901104271</v>
      </c>
      <c r="Q186">
        <f t="shared" ref="Q186" si="906">F186*P186</f>
        <v>-408357.91723476083</v>
      </c>
      <c r="R186">
        <f t="shared" ref="R186" si="907">R187+Q186</f>
        <v>-48729049.073126972</v>
      </c>
      <c r="S186">
        <f t="shared" ref="S186" si="908">R186/100000</f>
        <v>-487.2904907312697</v>
      </c>
      <c r="T186">
        <f t="shared" ref="T186" si="909">S186/1000</f>
        <v>-0.48729049073126968</v>
      </c>
    </row>
    <row r="187" spans="1:20" x14ac:dyDescent="0.25">
      <c r="A187" s="5">
        <v>44406</v>
      </c>
      <c r="B187">
        <v>1.7108000000000001</v>
      </c>
      <c r="C187">
        <v>1.8169</v>
      </c>
      <c r="D187">
        <v>1.6149</v>
      </c>
      <c r="E187">
        <v>1.7363</v>
      </c>
      <c r="F187">
        <v>8021277.5300000003</v>
      </c>
      <c r="G187">
        <v>1.7363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0.20198019801980177</v>
      </c>
      <c r="Q187">
        <f t="shared" ref="Q187" si="911">F187*P187</f>
        <v>1620139.2238811865</v>
      </c>
      <c r="R187">
        <f t="shared" ref="R187" si="912">R188+Q187</f>
        <v>-48320691.155892208</v>
      </c>
      <c r="S187">
        <f t="shared" ref="S187" si="913">R187/100000</f>
        <v>-483.20691155892206</v>
      </c>
      <c r="T187">
        <f t="shared" ref="T187" si="914">S187/1000</f>
        <v>-0.48320691155892204</v>
      </c>
    </row>
    <row r="188" spans="1:20" x14ac:dyDescent="0.25">
      <c r="A188" s="5">
        <v>44405</v>
      </c>
      <c r="B188">
        <v>1.819</v>
      </c>
      <c r="C188">
        <v>1.8499000000000001</v>
      </c>
      <c r="D188">
        <v>1.6644000000000001</v>
      </c>
      <c r="E188">
        <v>1.7076</v>
      </c>
      <c r="F188">
        <v>3282581.84</v>
      </c>
      <c r="G188">
        <v>1.7076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-0.53423180592992014</v>
      </c>
      <c r="Q188">
        <f t="shared" ref="Q188" si="916">F188*P188</f>
        <v>-1753659.6244959601</v>
      </c>
      <c r="R188">
        <f t="shared" ref="R188" si="917">R189+Q188</f>
        <v>-49940830.379773393</v>
      </c>
      <c r="S188">
        <f t="shared" ref="S188" si="918">R188/100000</f>
        <v>-499.40830379773394</v>
      </c>
      <c r="T188">
        <f t="shared" ref="T188" si="919">S188/1000</f>
        <v>-0.49940830379773393</v>
      </c>
    </row>
    <row r="189" spans="1:20" x14ac:dyDescent="0.25">
      <c r="A189" s="5">
        <v>44404</v>
      </c>
      <c r="B189">
        <v>1.6901999999999999</v>
      </c>
      <c r="C189">
        <v>1.9079999999999999</v>
      </c>
      <c r="D189">
        <v>1.6166</v>
      </c>
      <c r="E189">
        <v>1.8242</v>
      </c>
      <c r="F189">
        <v>7053511.5700000003</v>
      </c>
      <c r="G189">
        <v>1.8242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0.42484557309540216</v>
      </c>
      <c r="Q189">
        <f t="shared" ref="Q189" si="921">F189*P189</f>
        <v>2996653.1652917</v>
      </c>
      <c r="R189">
        <f t="shared" ref="R189" si="922">R190+Q189</f>
        <v>-48187170.755277433</v>
      </c>
      <c r="S189">
        <f t="shared" ref="S189" si="923">R189/100000</f>
        <v>-481.87170755277435</v>
      </c>
      <c r="T189">
        <f t="shared" ref="T189" si="924">S189/1000</f>
        <v>-0.48187170755277436</v>
      </c>
    </row>
    <row r="190" spans="1:20" x14ac:dyDescent="0.25">
      <c r="A190" s="5">
        <v>44403</v>
      </c>
      <c r="B190">
        <v>1.6456999999999999</v>
      </c>
      <c r="C190">
        <v>2.0165999999999999</v>
      </c>
      <c r="D190">
        <v>1.6318999999999999</v>
      </c>
      <c r="E190">
        <v>1.6875</v>
      </c>
      <c r="F190">
        <v>11660472.630000001</v>
      </c>
      <c r="G190">
        <v>1.6875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-0.71094359240966942</v>
      </c>
      <c r="Q190">
        <f t="shared" ref="Q190" si="926">F190*P190</f>
        <v>-8289938.3007668266</v>
      </c>
      <c r="R190">
        <f t="shared" ref="R190" si="927">R191+Q190</f>
        <v>-51183823.920569129</v>
      </c>
      <c r="S190">
        <f t="shared" ref="S190" si="928">R190/100000</f>
        <v>-511.83823920569131</v>
      </c>
      <c r="T190">
        <f t="shared" ref="T190" si="929">S190/1000</f>
        <v>-0.51183823920569127</v>
      </c>
    </row>
    <row r="191" spans="1:20" x14ac:dyDescent="0.25">
      <c r="A191" s="5">
        <v>44402</v>
      </c>
      <c r="B191">
        <v>1.5780000000000001</v>
      </c>
      <c r="C191">
        <v>1.7626999999999999</v>
      </c>
      <c r="D191">
        <v>1.5257000000000001</v>
      </c>
      <c r="E191">
        <v>1.6456999999999999</v>
      </c>
      <c r="F191">
        <v>6902841.8700000001</v>
      </c>
      <c r="G191">
        <v>1.6456999999999999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1.2658227848100815E-2</v>
      </c>
      <c r="Q191">
        <f t="shared" ref="Q191" si="931">F191*P191</f>
        <v>87377.7451898703</v>
      </c>
      <c r="R191">
        <f t="shared" ref="R191" si="932">R192+Q191</f>
        <v>-42893885.619802304</v>
      </c>
      <c r="S191">
        <f t="shared" ref="S191" si="933">R191/100000</f>
        <v>-428.93885619802302</v>
      </c>
      <c r="T191">
        <f t="shared" ref="T191:T197" si="934">S191/1000</f>
        <v>-0.42893885619802302</v>
      </c>
    </row>
    <row r="192" spans="1:20" x14ac:dyDescent="0.25">
      <c r="A192" s="5">
        <v>44401</v>
      </c>
      <c r="B192">
        <v>1.4575</v>
      </c>
      <c r="C192">
        <v>1.7</v>
      </c>
      <c r="D192">
        <v>1.4371</v>
      </c>
      <c r="E192">
        <v>1.5803</v>
      </c>
      <c r="F192">
        <v>4977737.29</v>
      </c>
      <c r="G192">
        <v>1.5803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8.9387599847851218E-2</v>
      </c>
      <c r="Q192">
        <f t="shared" ref="Q192" si="936">F192*P192</f>
        <v>444947.98902624735</v>
      </c>
      <c r="R192">
        <f t="shared" ref="R192" si="937">R193+Q192</f>
        <v>-42981263.364992172</v>
      </c>
      <c r="S192">
        <f t="shared" ref="S192" si="938">R192/100000</f>
        <v>-429.81263364992174</v>
      </c>
      <c r="T192">
        <f t="shared" si="934"/>
        <v>-0.42981263364992173</v>
      </c>
    </row>
    <row r="193" spans="1:20" x14ac:dyDescent="0.25">
      <c r="A193" s="5">
        <v>44400</v>
      </c>
      <c r="B193">
        <v>1.4734</v>
      </c>
      <c r="C193">
        <v>1.5288999999999999</v>
      </c>
      <c r="D193">
        <v>1.367</v>
      </c>
      <c r="E193">
        <v>1.4544999999999999</v>
      </c>
      <c r="F193">
        <v>3427381.45</v>
      </c>
      <c r="G193">
        <v>1.4544999999999999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8.0914144533662108E-2</v>
      </c>
      <c r="Q193">
        <f t="shared" ref="Q193" si="940">F193*P193</f>
        <v>277323.63801729243</v>
      </c>
      <c r="R193">
        <f t="shared" ref="R193" si="941">R194+Q193</f>
        <v>-43426211.35401842</v>
      </c>
      <c r="S193">
        <f t="shared" ref="S193" si="942">R193/100000</f>
        <v>-434.2621135401842</v>
      </c>
      <c r="T193">
        <f t="shared" si="934"/>
        <v>-0.43426211354018418</v>
      </c>
    </row>
    <row r="194" spans="1:20" x14ac:dyDescent="0.25">
      <c r="A194" s="5">
        <v>44399</v>
      </c>
      <c r="B194">
        <v>1.3225</v>
      </c>
      <c r="C194">
        <v>1.488</v>
      </c>
      <c r="D194">
        <v>1.2818000000000001</v>
      </c>
      <c r="E194">
        <v>1.4706999999999999</v>
      </c>
      <c r="F194">
        <v>3453297.43</v>
      </c>
      <c r="G194">
        <v>1.4706999999999999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0.83220174587778761</v>
      </c>
      <c r="Q194">
        <f t="shared" ref="Q194" si="944">F194*P194</f>
        <v>2873840.150281277</v>
      </c>
      <c r="R194">
        <f t="shared" ref="R194" si="945">R195+Q194</f>
        <v>-43703534.992035709</v>
      </c>
      <c r="S194">
        <f t="shared" ref="S194" si="946">R194/100000</f>
        <v>-437.03534992035708</v>
      </c>
      <c r="T194">
        <f t="shared" si="934"/>
        <v>-0.43703534992035709</v>
      </c>
    </row>
    <row r="195" spans="1:20" x14ac:dyDescent="0.25">
      <c r="A195" s="5">
        <v>44398</v>
      </c>
      <c r="B195">
        <v>1.1908000000000001</v>
      </c>
      <c r="C195">
        <v>1.3535999999999999</v>
      </c>
      <c r="D195">
        <v>1.1608000000000001</v>
      </c>
      <c r="E195">
        <v>1.3240000000000001</v>
      </c>
      <c r="F195">
        <v>3422013.95</v>
      </c>
      <c r="G195">
        <v>1.3240000000000001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0.69294605809128762</v>
      </c>
      <c r="Q195">
        <f t="shared" ref="Q195" si="948">F195*P195</f>
        <v>2371271.0773858968</v>
      </c>
      <c r="R195">
        <f t="shared" ref="R195" si="949">R196+Q195</f>
        <v>-46577375.14231699</v>
      </c>
      <c r="S195">
        <f t="shared" ref="S195" si="950">R195/100000</f>
        <v>-465.77375142316987</v>
      </c>
      <c r="T195">
        <f t="shared" si="934"/>
        <v>-0.46577375142316985</v>
      </c>
    </row>
    <row r="196" spans="1:20" x14ac:dyDescent="0.25">
      <c r="A196" s="5">
        <v>44397</v>
      </c>
      <c r="B196">
        <v>1.3091999999999999</v>
      </c>
      <c r="C196">
        <v>1.3383</v>
      </c>
      <c r="D196">
        <v>1.1592</v>
      </c>
      <c r="E196">
        <v>1.1910000000000001</v>
      </c>
      <c r="F196">
        <v>3477849.26</v>
      </c>
      <c r="G196">
        <v>1.1910000000000001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-0.64489112227805645</v>
      </c>
      <c r="Q196">
        <f t="shared" ref="Q196" si="952">F196*P196</f>
        <v>-2242834.112395308</v>
      </c>
      <c r="R196">
        <f t="shared" ref="R196" si="953">R197+Q196</f>
        <v>-48948646.219702885</v>
      </c>
      <c r="S196">
        <f t="shared" ref="S196" si="954">R196/100000</f>
        <v>-489.48646219702886</v>
      </c>
      <c r="T196">
        <f t="shared" si="934"/>
        <v>-0.48948646219702885</v>
      </c>
    </row>
    <row r="197" spans="1:20" x14ac:dyDescent="0.25">
      <c r="A197" s="5">
        <v>44396</v>
      </c>
      <c r="B197">
        <v>1.4928999999999999</v>
      </c>
      <c r="C197">
        <v>1.4953000000000001</v>
      </c>
      <c r="D197">
        <v>1.2922</v>
      </c>
      <c r="E197">
        <v>1.3089</v>
      </c>
      <c r="F197">
        <v>4584839.8600000003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-0.8355489906450031</v>
      </c>
      <c r="Q197">
        <f t="shared" ref="Q197" si="956">F197*P197</f>
        <v>-3830858.3172919778</v>
      </c>
      <c r="R197">
        <f t="shared" ref="R197" si="957">R198+Q197</f>
        <v>-46705812.107307576</v>
      </c>
      <c r="S197">
        <f t="shared" ref="S197" si="958">R197/100000</f>
        <v>-467.05812107307577</v>
      </c>
      <c r="T197">
        <f t="shared" si="934"/>
        <v>-0.46705812107307576</v>
      </c>
    </row>
    <row r="198" spans="1:20" x14ac:dyDescent="0.25">
      <c r="A198" s="5">
        <v>44395</v>
      </c>
      <c r="B198">
        <v>1.6901999999999999</v>
      </c>
      <c r="C198">
        <v>1.6976</v>
      </c>
      <c r="D198">
        <v>1.478</v>
      </c>
      <c r="E198">
        <v>1.4905999999999999</v>
      </c>
      <c r="F198">
        <v>6621007.2599999998</v>
      </c>
      <c r="G198">
        <v>0</v>
      </c>
      <c r="L198" t="s">
        <v>7</v>
      </c>
      <c r="M198" t="s">
        <v>8</v>
      </c>
      <c r="N198" t="s">
        <v>8</v>
      </c>
      <c r="P198">
        <f t="shared" ref="P198:P261" si="959">IF(C198=D198,0,((E198-D198)-(C198-E198))/(C198-D198))</f>
        <v>-0.8852459016393448</v>
      </c>
      <c r="Q198">
        <f t="shared" ref="Q198:Q261" si="960">F198*P198</f>
        <v>-5861219.5416393476</v>
      </c>
      <c r="R198">
        <f t="shared" ref="R198:R261" si="961">R199+Q198</f>
        <v>-42874953.790015601</v>
      </c>
      <c r="S198">
        <f t="shared" ref="S198:S261" si="962">R198/100000</f>
        <v>-428.74953790015599</v>
      </c>
      <c r="T198">
        <f t="shared" ref="T198:T261" si="963">S198/1000</f>
        <v>-0.42874953790015596</v>
      </c>
    </row>
    <row r="199" spans="1:20" x14ac:dyDescent="0.25">
      <c r="A199" s="5">
        <v>44394</v>
      </c>
      <c r="B199">
        <v>1.3532999999999999</v>
      </c>
      <c r="C199">
        <v>1.7892999999999999</v>
      </c>
      <c r="D199">
        <v>1.335</v>
      </c>
      <c r="E199">
        <v>1.6901999999999999</v>
      </c>
      <c r="F199">
        <v>18526470.579999998</v>
      </c>
      <c r="G199">
        <v>0</v>
      </c>
      <c r="L199" t="s">
        <v>8</v>
      </c>
      <c r="M199" t="s">
        <v>8</v>
      </c>
      <c r="N199" t="s">
        <v>8</v>
      </c>
      <c r="P199">
        <f t="shared" si="959"/>
        <v>0.56372441118203842</v>
      </c>
      <c r="Q199">
        <f t="shared" si="960"/>
        <v>10443823.718991857</v>
      </c>
      <c r="R199">
        <f t="shared" si="961"/>
        <v>-37013734.24837625</v>
      </c>
      <c r="S199">
        <f t="shared" si="962"/>
        <v>-370.1373424837625</v>
      </c>
      <c r="T199">
        <f t="shared" si="963"/>
        <v>-0.37013734248376251</v>
      </c>
    </row>
    <row r="200" spans="1:20" x14ac:dyDescent="0.25">
      <c r="A200" s="5">
        <v>44393</v>
      </c>
      <c r="B200">
        <v>1.3131999999999999</v>
      </c>
      <c r="C200">
        <v>1.5484</v>
      </c>
      <c r="D200">
        <v>1.2868999999999999</v>
      </c>
      <c r="E200">
        <v>1.3543000000000001</v>
      </c>
      <c r="F200">
        <v>10489146.09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-0.48451242829827834</v>
      </c>
      <c r="Q200">
        <f t="shared" si="960"/>
        <v>-5082121.6428412916</v>
      </c>
      <c r="R200">
        <f t="shared" si="961"/>
        <v>-47457557.967368111</v>
      </c>
      <c r="S200">
        <f t="shared" si="962"/>
        <v>-474.57557967368109</v>
      </c>
      <c r="T200">
        <f t="shared" si="963"/>
        <v>-0.47457557967368108</v>
      </c>
    </row>
    <row r="201" spans="1:20" x14ac:dyDescent="0.25">
      <c r="A201" s="5">
        <v>44392</v>
      </c>
      <c r="B201">
        <v>1.323</v>
      </c>
      <c r="C201">
        <v>1.44</v>
      </c>
      <c r="D201">
        <v>1.2664</v>
      </c>
      <c r="E201">
        <v>1.3116000000000001</v>
      </c>
      <c r="F201">
        <v>6657318.8899999997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-0.47926267281105833</v>
      </c>
      <c r="Q201">
        <f t="shared" si="960"/>
        <v>-3190604.4449769477</v>
      </c>
      <c r="R201">
        <f t="shared" si="961"/>
        <v>-42375436.324526817</v>
      </c>
      <c r="S201">
        <f t="shared" si="962"/>
        <v>-423.75436324526817</v>
      </c>
      <c r="T201">
        <f t="shared" si="963"/>
        <v>-0.42375436324526816</v>
      </c>
    </row>
    <row r="202" spans="1:20" x14ac:dyDescent="0.25">
      <c r="A202" s="5">
        <v>44391</v>
      </c>
      <c r="B202">
        <v>1.2461</v>
      </c>
      <c r="C202">
        <v>1.38</v>
      </c>
      <c r="D202">
        <v>1.1435999999999999</v>
      </c>
      <c r="E202">
        <v>1.3221000000000001</v>
      </c>
      <c r="F202">
        <v>5825801.5099999998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0.51015228426396064</v>
      </c>
      <c r="Q202">
        <f t="shared" si="960"/>
        <v>2972045.9479949311</v>
      </c>
      <c r="R202">
        <f t="shared" si="961"/>
        <v>-39184831.879549868</v>
      </c>
      <c r="S202">
        <f t="shared" si="962"/>
        <v>-391.8483187954987</v>
      </c>
      <c r="T202">
        <f t="shared" si="963"/>
        <v>-0.3918483187954987</v>
      </c>
    </row>
    <row r="203" spans="1:20" x14ac:dyDescent="0.25">
      <c r="A203" s="5">
        <v>44390</v>
      </c>
      <c r="B203">
        <v>1.2238</v>
      </c>
      <c r="C203">
        <v>1.2578</v>
      </c>
      <c r="D203">
        <v>1.1667000000000001</v>
      </c>
      <c r="E203">
        <v>1.2452000000000001</v>
      </c>
      <c r="F203">
        <v>2308820.9900000002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0.72338090010977063</v>
      </c>
      <c r="Q203">
        <f t="shared" si="960"/>
        <v>1670157.0059385318</v>
      </c>
      <c r="R203">
        <f t="shared" si="961"/>
        <v>-42156877.827544801</v>
      </c>
      <c r="S203">
        <f t="shared" si="962"/>
        <v>-421.56877827544798</v>
      </c>
      <c r="T203">
        <f t="shared" si="963"/>
        <v>-0.42156877827544798</v>
      </c>
    </row>
    <row r="204" spans="1:20" x14ac:dyDescent="0.25">
      <c r="A204" s="5">
        <v>44389</v>
      </c>
      <c r="B204">
        <v>1.246</v>
      </c>
      <c r="C204">
        <v>1.3391</v>
      </c>
      <c r="D204">
        <v>1.1819999999999999</v>
      </c>
      <c r="E204">
        <v>1.2231000000000001</v>
      </c>
      <c r="F204">
        <v>2647877.38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-0.47676639083386207</v>
      </c>
      <c r="Q204">
        <f t="shared" si="960"/>
        <v>-1262418.9418332228</v>
      </c>
      <c r="R204">
        <f t="shared" si="961"/>
        <v>-43827034.833483331</v>
      </c>
      <c r="S204">
        <f t="shared" si="962"/>
        <v>-438.27034833483333</v>
      </c>
      <c r="T204">
        <f t="shared" si="963"/>
        <v>-0.4382703483348333</v>
      </c>
    </row>
    <row r="205" spans="1:20" x14ac:dyDescent="0.25">
      <c r="A205" s="5">
        <v>44388</v>
      </c>
      <c r="B205">
        <v>1.2442</v>
      </c>
      <c r="C205">
        <v>1.3391</v>
      </c>
      <c r="D205">
        <v>1.1850000000000001</v>
      </c>
      <c r="E205">
        <v>1.246</v>
      </c>
      <c r="F205">
        <v>3122300.63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-0.20830629461388733</v>
      </c>
      <c r="Q205">
        <f t="shared" si="960"/>
        <v>-650394.87490590604</v>
      </c>
      <c r="R205">
        <f t="shared" si="961"/>
        <v>-42564615.89165011</v>
      </c>
      <c r="S205">
        <f t="shared" si="962"/>
        <v>-425.64615891650112</v>
      </c>
      <c r="T205">
        <f t="shared" si="963"/>
        <v>-0.42564615891650115</v>
      </c>
    </row>
    <row r="206" spans="1:20" x14ac:dyDescent="0.25">
      <c r="A206" s="5">
        <v>44387</v>
      </c>
      <c r="B206">
        <v>1.1714</v>
      </c>
      <c r="C206">
        <v>1.2498</v>
      </c>
      <c r="D206">
        <v>1.1453</v>
      </c>
      <c r="E206">
        <v>1.2442</v>
      </c>
      <c r="F206">
        <v>2190845.35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0.89282296650717607</v>
      </c>
      <c r="Q206">
        <f t="shared" si="960"/>
        <v>1956037.0445454526</v>
      </c>
      <c r="R206">
        <f t="shared" si="961"/>
        <v>-41914221.016744204</v>
      </c>
      <c r="S206">
        <f t="shared" si="962"/>
        <v>-419.14221016744204</v>
      </c>
      <c r="T206">
        <f t="shared" si="963"/>
        <v>-0.41914221016744202</v>
      </c>
    </row>
    <row r="207" spans="1:20" x14ac:dyDescent="0.25">
      <c r="A207" s="5">
        <v>44386</v>
      </c>
      <c r="B207">
        <v>1.1607000000000001</v>
      </c>
      <c r="C207">
        <v>1.19</v>
      </c>
      <c r="D207">
        <v>1.1015999999999999</v>
      </c>
      <c r="E207">
        <v>1.1711</v>
      </c>
      <c r="F207">
        <v>2028597.66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0.57239819004525094</v>
      </c>
      <c r="Q207">
        <f t="shared" si="960"/>
        <v>1161165.6289140312</v>
      </c>
      <c r="R207">
        <f t="shared" si="961"/>
        <v>-43870258.061289653</v>
      </c>
      <c r="S207">
        <f t="shared" si="962"/>
        <v>-438.70258061289655</v>
      </c>
      <c r="T207">
        <f t="shared" si="963"/>
        <v>-0.43870258061289658</v>
      </c>
    </row>
    <row r="208" spans="1:20" x14ac:dyDescent="0.25">
      <c r="A208" s="5">
        <v>44385</v>
      </c>
      <c r="B208">
        <v>1.2633000000000001</v>
      </c>
      <c r="C208">
        <v>1.2673000000000001</v>
      </c>
      <c r="D208">
        <v>1.1347</v>
      </c>
      <c r="E208">
        <v>1.163</v>
      </c>
      <c r="F208">
        <v>2299327.77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-0.57315233785822051</v>
      </c>
      <c r="Q208">
        <f t="shared" si="960"/>
        <v>-1317865.0868778287</v>
      </c>
      <c r="R208">
        <f t="shared" si="961"/>
        <v>-45031423.690203682</v>
      </c>
      <c r="S208">
        <f t="shared" si="962"/>
        <v>-450.31423690203684</v>
      </c>
      <c r="T208">
        <f t="shared" si="963"/>
        <v>-0.45031423690203681</v>
      </c>
    </row>
    <row r="209" spans="1:20" x14ac:dyDescent="0.25">
      <c r="A209" s="5">
        <v>44384</v>
      </c>
      <c r="B209">
        <v>1.2702</v>
      </c>
      <c r="C209">
        <v>1.3759999999999999</v>
      </c>
      <c r="D209">
        <v>1.2484999999999999</v>
      </c>
      <c r="E209">
        <v>1.2639</v>
      </c>
      <c r="F209">
        <v>4450307.53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-0.75843137254901827</v>
      </c>
      <c r="Q209">
        <f t="shared" si="960"/>
        <v>-3375252.8482431313</v>
      </c>
      <c r="R209">
        <f t="shared" si="961"/>
        <v>-43713558.603325851</v>
      </c>
      <c r="S209">
        <f t="shared" si="962"/>
        <v>-437.13558603325851</v>
      </c>
      <c r="T209">
        <f t="shared" si="963"/>
        <v>-0.43713558603325853</v>
      </c>
    </row>
    <row r="210" spans="1:20" x14ac:dyDescent="0.25">
      <c r="A210" s="5">
        <v>44383</v>
      </c>
      <c r="B210">
        <v>1.1812</v>
      </c>
      <c r="C210">
        <v>1.2864</v>
      </c>
      <c r="D210">
        <v>1.1617</v>
      </c>
      <c r="E210">
        <v>1.2709999999999999</v>
      </c>
      <c r="F210">
        <v>3709226.77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0.7530072173215705</v>
      </c>
      <c r="Q210">
        <f t="shared" si="960"/>
        <v>2793074.5284923771</v>
      </c>
      <c r="R210">
        <f t="shared" si="961"/>
        <v>-40338305.755082719</v>
      </c>
      <c r="S210">
        <f t="shared" si="962"/>
        <v>-403.38305755082717</v>
      </c>
      <c r="T210">
        <f t="shared" si="963"/>
        <v>-0.40338305755082715</v>
      </c>
    </row>
    <row r="211" spans="1:20" x14ac:dyDescent="0.25">
      <c r="A211" s="5">
        <v>44382</v>
      </c>
      <c r="B211">
        <v>1.1839999999999999</v>
      </c>
      <c r="C211">
        <v>1.2090000000000001</v>
      </c>
      <c r="D211">
        <v>1.0840000000000001</v>
      </c>
      <c r="E211">
        <v>1.1833</v>
      </c>
      <c r="F211">
        <v>2416022.91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0.5887999999999991</v>
      </c>
      <c r="Q211">
        <f t="shared" si="960"/>
        <v>1422554.2894079979</v>
      </c>
      <c r="R211">
        <f t="shared" si="961"/>
        <v>-43131380.283575095</v>
      </c>
      <c r="S211">
        <f t="shared" si="962"/>
        <v>-431.31380283575095</v>
      </c>
      <c r="T211">
        <f t="shared" si="963"/>
        <v>-0.43131380283575094</v>
      </c>
    </row>
    <row r="212" spans="1:20" x14ac:dyDescent="0.25">
      <c r="A212" s="5">
        <v>44381</v>
      </c>
      <c r="B212">
        <v>1.1739999999999999</v>
      </c>
      <c r="C212">
        <v>1.23</v>
      </c>
      <c r="D212">
        <v>1.1315999999999999</v>
      </c>
      <c r="E212">
        <v>1.1895</v>
      </c>
      <c r="F212">
        <v>2017286.19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0.17682926829268369</v>
      </c>
      <c r="Q212">
        <f t="shared" si="960"/>
        <v>356715.24091463571</v>
      </c>
      <c r="R212">
        <f t="shared" si="961"/>
        <v>-44553934.572983094</v>
      </c>
      <c r="S212">
        <f t="shared" si="962"/>
        <v>-445.53934572983093</v>
      </c>
      <c r="T212">
        <f t="shared" si="963"/>
        <v>-0.44553934572983095</v>
      </c>
    </row>
    <row r="213" spans="1:20" x14ac:dyDescent="0.25">
      <c r="A213" s="5">
        <v>44380</v>
      </c>
      <c r="B213">
        <v>1.1439999999999999</v>
      </c>
      <c r="C213">
        <v>1.2103999999999999</v>
      </c>
      <c r="D213">
        <v>1.1144000000000001</v>
      </c>
      <c r="E213">
        <v>1.1738999999999999</v>
      </c>
      <c r="F213">
        <v>2094539.13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0.23958333333333273</v>
      </c>
      <c r="Q213">
        <f t="shared" si="960"/>
        <v>501816.66656249872</v>
      </c>
      <c r="R213">
        <f t="shared" si="961"/>
        <v>-44910649.813897729</v>
      </c>
      <c r="S213">
        <f t="shared" si="962"/>
        <v>-449.10649813897732</v>
      </c>
      <c r="T213">
        <f t="shared" si="963"/>
        <v>-0.44910649813897729</v>
      </c>
    </row>
    <row r="214" spans="1:20" x14ac:dyDescent="0.25">
      <c r="A214" s="5">
        <v>44379</v>
      </c>
      <c r="B214">
        <v>1.0926</v>
      </c>
      <c r="C214">
        <v>1.1497999999999999</v>
      </c>
      <c r="D214">
        <v>1.0431999999999999</v>
      </c>
      <c r="E214">
        <v>1.1418999999999999</v>
      </c>
      <c r="F214">
        <v>2918869.37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0.85178236397748563</v>
      </c>
      <c r="Q214">
        <f t="shared" si="960"/>
        <v>2486241.4521200741</v>
      </c>
      <c r="R214">
        <f t="shared" si="961"/>
        <v>-45412466.480460227</v>
      </c>
      <c r="S214">
        <f t="shared" si="962"/>
        <v>-454.12466480460228</v>
      </c>
      <c r="T214">
        <f t="shared" si="963"/>
        <v>-0.45412466480460228</v>
      </c>
    </row>
    <row r="215" spans="1:20" x14ac:dyDescent="0.25">
      <c r="A215" s="5">
        <v>44378</v>
      </c>
      <c r="B215">
        <v>1.1808000000000001</v>
      </c>
      <c r="C215">
        <v>1.1819999999999999</v>
      </c>
      <c r="D215">
        <v>1.0708</v>
      </c>
      <c r="E215">
        <v>1.0929</v>
      </c>
      <c r="F215">
        <v>1649123.98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-0.60251798561151049</v>
      </c>
      <c r="Q215">
        <f t="shared" si="960"/>
        <v>-993626.85845323687</v>
      </c>
      <c r="R215">
        <f t="shared" si="961"/>
        <v>-47898707.9325803</v>
      </c>
      <c r="S215">
        <f t="shared" si="962"/>
        <v>-478.98707932580299</v>
      </c>
      <c r="T215">
        <f t="shared" si="963"/>
        <v>-0.47898707932580298</v>
      </c>
    </row>
    <row r="216" spans="1:20" x14ac:dyDescent="0.25">
      <c r="A216" s="5">
        <v>44377</v>
      </c>
      <c r="B216">
        <v>1.1600999999999999</v>
      </c>
      <c r="C216">
        <v>1.2094</v>
      </c>
      <c r="D216">
        <v>1.1012999999999999</v>
      </c>
      <c r="E216">
        <v>1.177</v>
      </c>
      <c r="F216">
        <v>3272537.56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0.40055504162812289</v>
      </c>
      <c r="Q216">
        <f t="shared" si="960"/>
        <v>1310831.4185753958</v>
      </c>
      <c r="R216">
        <f t="shared" si="961"/>
        <v>-46905081.074127063</v>
      </c>
      <c r="S216">
        <f t="shared" si="962"/>
        <v>-469.05081074127065</v>
      </c>
      <c r="T216">
        <f t="shared" si="963"/>
        <v>-0.46905081074127064</v>
      </c>
    </row>
    <row r="217" spans="1:20" x14ac:dyDescent="0.25">
      <c r="A217" s="5">
        <v>44376</v>
      </c>
      <c r="B217">
        <v>1.1341000000000001</v>
      </c>
      <c r="C217">
        <v>1.2355</v>
      </c>
      <c r="D217">
        <v>1.1234999999999999</v>
      </c>
      <c r="E217">
        <v>1.1619999999999999</v>
      </c>
      <c r="F217">
        <v>2310002.83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-0.312500000000001</v>
      </c>
      <c r="Q217">
        <f t="shared" si="960"/>
        <v>-721875.88437500235</v>
      </c>
      <c r="R217">
        <f t="shared" si="961"/>
        <v>-48215912.492702462</v>
      </c>
      <c r="S217">
        <f t="shared" si="962"/>
        <v>-482.15912492702461</v>
      </c>
      <c r="T217">
        <f t="shared" si="963"/>
        <v>-0.48215912492702462</v>
      </c>
    </row>
    <row r="218" spans="1:20" x14ac:dyDescent="0.25">
      <c r="A218" s="5">
        <v>44375</v>
      </c>
      <c r="B218">
        <v>1.0632999999999999</v>
      </c>
      <c r="C218">
        <v>1.2</v>
      </c>
      <c r="D218">
        <v>1.0389999999999999</v>
      </c>
      <c r="E218">
        <v>1.1278999999999999</v>
      </c>
      <c r="F218">
        <v>2579565.89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0.10434782608695604</v>
      </c>
      <c r="Q218">
        <f t="shared" si="960"/>
        <v>269172.09286956402</v>
      </c>
      <c r="R218">
        <f t="shared" si="961"/>
        <v>-47494036.608327456</v>
      </c>
      <c r="S218">
        <f t="shared" si="962"/>
        <v>-474.94036608327457</v>
      </c>
      <c r="T218">
        <f t="shared" si="963"/>
        <v>-0.47494036608327456</v>
      </c>
    </row>
    <row r="219" spans="1:20" x14ac:dyDescent="0.25">
      <c r="A219" s="5">
        <v>44374</v>
      </c>
      <c r="B219">
        <v>1.0172000000000001</v>
      </c>
      <c r="C219">
        <v>1.0636000000000001</v>
      </c>
      <c r="D219">
        <v>0.98099999999999998</v>
      </c>
      <c r="E219">
        <v>1.0624</v>
      </c>
      <c r="F219">
        <v>1639715.3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0.9709443099273587</v>
      </c>
      <c r="Q219">
        <f t="shared" si="960"/>
        <v>1592072.2404358319</v>
      </c>
      <c r="R219">
        <f t="shared" si="961"/>
        <v>-47763208.701197021</v>
      </c>
      <c r="S219">
        <f t="shared" si="962"/>
        <v>-477.63208701197021</v>
      </c>
      <c r="T219">
        <f t="shared" si="963"/>
        <v>-0.47763208701197024</v>
      </c>
    </row>
    <row r="220" spans="1:20" x14ac:dyDescent="0.25">
      <c r="A220" s="5">
        <v>44373</v>
      </c>
      <c r="B220">
        <v>1.0009999999999999</v>
      </c>
      <c r="C220">
        <v>1.0458000000000001</v>
      </c>
      <c r="D220">
        <v>0.93200000000000005</v>
      </c>
      <c r="E220">
        <v>1.0176000000000001</v>
      </c>
      <c r="F220">
        <v>2164835.7799999998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0.50439367311072059</v>
      </c>
      <c r="Q220">
        <f t="shared" si="960"/>
        <v>1091929.4707557117</v>
      </c>
      <c r="R220">
        <f t="shared" si="961"/>
        <v>-49355280.941632852</v>
      </c>
      <c r="S220">
        <f t="shared" si="962"/>
        <v>-493.5528094163285</v>
      </c>
      <c r="T220">
        <f t="shared" si="963"/>
        <v>-0.49355280941632851</v>
      </c>
    </row>
    <row r="221" spans="1:20" x14ac:dyDescent="0.25">
      <c r="A221" s="5">
        <v>44372</v>
      </c>
      <c r="B221">
        <v>1.1283000000000001</v>
      </c>
      <c r="C221">
        <v>1.1468</v>
      </c>
      <c r="D221">
        <v>0.99150000000000005</v>
      </c>
      <c r="E221">
        <v>1.0015000000000001</v>
      </c>
      <c r="F221">
        <v>2600960.13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-0.87121699935608488</v>
      </c>
      <c r="Q221">
        <f t="shared" si="960"/>
        <v>-2266000.6799034122</v>
      </c>
      <c r="R221">
        <f t="shared" si="961"/>
        <v>-50447210.412388563</v>
      </c>
      <c r="S221">
        <f t="shared" si="962"/>
        <v>-504.47210412388563</v>
      </c>
      <c r="T221">
        <f t="shared" si="963"/>
        <v>-0.50447210412388566</v>
      </c>
    </row>
    <row r="222" spans="1:20" x14ac:dyDescent="0.25">
      <c r="A222" s="5">
        <v>44371</v>
      </c>
      <c r="B222">
        <v>1.0803</v>
      </c>
      <c r="C222">
        <v>1.1757</v>
      </c>
      <c r="D222">
        <v>1.0146999999999999</v>
      </c>
      <c r="E222">
        <v>1.1276999999999999</v>
      </c>
      <c r="F222">
        <v>3918722.39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0.40372670807453376</v>
      </c>
      <c r="Q222">
        <f t="shared" si="960"/>
        <v>1582092.8903726693</v>
      </c>
      <c r="R222">
        <f t="shared" si="961"/>
        <v>-48181209.732485153</v>
      </c>
      <c r="S222">
        <f t="shared" si="962"/>
        <v>-481.81209732485155</v>
      </c>
      <c r="T222">
        <f t="shared" si="963"/>
        <v>-0.48181209732485153</v>
      </c>
    </row>
    <row r="223" spans="1:20" x14ac:dyDescent="0.25">
      <c r="A223" s="5">
        <v>44370</v>
      </c>
      <c r="B223">
        <v>1.0190999999999999</v>
      </c>
      <c r="C223">
        <v>1.1660999999999999</v>
      </c>
      <c r="D223">
        <v>0.97</v>
      </c>
      <c r="E223">
        <v>1.0774999999999999</v>
      </c>
      <c r="F223">
        <v>3675482.07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9.6379398266190325E-2</v>
      </c>
      <c r="Q223">
        <f t="shared" si="960"/>
        <v>354240.7502447716</v>
      </c>
      <c r="R223">
        <f t="shared" si="961"/>
        <v>-49763302.622857824</v>
      </c>
      <c r="S223">
        <f t="shared" si="962"/>
        <v>-497.63302622857822</v>
      </c>
      <c r="T223">
        <f t="shared" si="963"/>
        <v>-0.49763302622857819</v>
      </c>
    </row>
    <row r="224" spans="1:20" x14ac:dyDescent="0.25">
      <c r="A224" s="5">
        <v>44369</v>
      </c>
      <c r="B224">
        <v>1.0349999999999999</v>
      </c>
      <c r="C224">
        <v>1.1414</v>
      </c>
      <c r="D224">
        <v>0.86029999999999995</v>
      </c>
      <c r="E224">
        <v>1.0175000000000001</v>
      </c>
      <c r="F224">
        <v>4487988.25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0.11846318036286096</v>
      </c>
      <c r="Q224">
        <f t="shared" si="960"/>
        <v>531661.36152615072</v>
      </c>
      <c r="R224">
        <f t="shared" si="961"/>
        <v>-50117543.373102598</v>
      </c>
      <c r="S224">
        <f t="shared" si="962"/>
        <v>-501.17543373102598</v>
      </c>
      <c r="T224">
        <f t="shared" si="963"/>
        <v>-0.50117543373102602</v>
      </c>
    </row>
    <row r="225" spans="1:20" x14ac:dyDescent="0.25">
      <c r="A225" s="5">
        <v>44368</v>
      </c>
      <c r="B225">
        <v>1.4377</v>
      </c>
      <c r="C225">
        <v>1.4466000000000001</v>
      </c>
      <c r="D225">
        <v>1.0271999999999999</v>
      </c>
      <c r="E225">
        <v>1.0315000000000001</v>
      </c>
      <c r="F225">
        <v>5653657.4800000004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-0.97949451597520176</v>
      </c>
      <c r="Q225">
        <f t="shared" si="960"/>
        <v>-5537726.4968621796</v>
      </c>
      <c r="R225">
        <f t="shared" si="961"/>
        <v>-50649204.734628752</v>
      </c>
      <c r="S225">
        <f t="shared" si="962"/>
        <v>-506.49204734628751</v>
      </c>
      <c r="T225">
        <f t="shared" si="963"/>
        <v>-0.5064920473462875</v>
      </c>
    </row>
    <row r="226" spans="1:20" x14ac:dyDescent="0.25">
      <c r="A226" s="5">
        <v>44367</v>
      </c>
      <c r="B226">
        <v>1.4286000000000001</v>
      </c>
      <c r="C226">
        <v>1.4561999999999999</v>
      </c>
      <c r="D226">
        <v>1.3053999999999999</v>
      </c>
      <c r="E226">
        <v>1.4378</v>
      </c>
      <c r="F226">
        <v>2069156.46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0.75596816976127368</v>
      </c>
      <c r="Q226">
        <f t="shared" si="960"/>
        <v>1564216.4220159161</v>
      </c>
      <c r="R226">
        <f t="shared" si="961"/>
        <v>-45111478.237766571</v>
      </c>
      <c r="S226">
        <f t="shared" si="962"/>
        <v>-451.11478237766573</v>
      </c>
      <c r="T226">
        <f t="shared" si="963"/>
        <v>-0.45111478237766572</v>
      </c>
    </row>
    <row r="227" spans="1:20" x14ac:dyDescent="0.25">
      <c r="A227" s="5">
        <v>44366</v>
      </c>
      <c r="B227">
        <v>1.5094000000000001</v>
      </c>
      <c r="C227">
        <v>1.5205</v>
      </c>
      <c r="D227">
        <v>1.4260999999999999</v>
      </c>
      <c r="E227">
        <v>1.4278999999999999</v>
      </c>
      <c r="F227">
        <v>1334260.48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-0.96186440677966056</v>
      </c>
      <c r="Q227">
        <f t="shared" si="960"/>
        <v>-1283377.665084745</v>
      </c>
      <c r="R227">
        <f t="shared" si="961"/>
        <v>-46675694.659782484</v>
      </c>
      <c r="S227">
        <f t="shared" si="962"/>
        <v>-466.75694659782482</v>
      </c>
      <c r="T227">
        <f t="shared" si="963"/>
        <v>-0.4667569465978248</v>
      </c>
    </row>
    <row r="228" spans="1:20" x14ac:dyDescent="0.25">
      <c r="A228" s="5">
        <v>44365</v>
      </c>
      <c r="B228">
        <v>1.6989000000000001</v>
      </c>
      <c r="C228">
        <v>1.7069000000000001</v>
      </c>
      <c r="D228">
        <v>1.4494</v>
      </c>
      <c r="E228">
        <v>1.51</v>
      </c>
      <c r="F228">
        <v>3410942.51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-0.52932038834951478</v>
      </c>
      <c r="Q228">
        <f t="shared" si="960"/>
        <v>-1805481.4140310686</v>
      </c>
      <c r="R228">
        <f t="shared" si="961"/>
        <v>-45392316.994697742</v>
      </c>
      <c r="S228">
        <f t="shared" si="962"/>
        <v>-453.9231699469774</v>
      </c>
      <c r="T228">
        <f t="shared" si="963"/>
        <v>-0.4539231699469774</v>
      </c>
    </row>
    <row r="229" spans="1:20" x14ac:dyDescent="0.25">
      <c r="A229" s="5">
        <v>44364</v>
      </c>
      <c r="B229">
        <v>1.6232</v>
      </c>
      <c r="C229">
        <v>1.7695000000000001</v>
      </c>
      <c r="D229">
        <v>1.6135999999999999</v>
      </c>
      <c r="E229">
        <v>1.6982999999999999</v>
      </c>
      <c r="F229">
        <v>4150270.74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8.659397049390527E-2</v>
      </c>
      <c r="Q229">
        <f t="shared" si="960"/>
        <v>359388.42200127844</v>
      </c>
      <c r="R229">
        <f t="shared" si="961"/>
        <v>-43586835.580666676</v>
      </c>
      <c r="S229">
        <f t="shared" si="962"/>
        <v>-435.86835580666678</v>
      </c>
      <c r="T229">
        <f t="shared" si="963"/>
        <v>-0.43586835580666677</v>
      </c>
    </row>
    <row r="230" spans="1:20" x14ac:dyDescent="0.25">
      <c r="A230" s="5">
        <v>44363</v>
      </c>
      <c r="B230">
        <v>1.7825</v>
      </c>
      <c r="C230">
        <v>1.7825</v>
      </c>
      <c r="D230">
        <v>1.6022000000000001</v>
      </c>
      <c r="E230">
        <v>1.6235999999999999</v>
      </c>
      <c r="F230">
        <v>2686512.41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-0.76261785912368418</v>
      </c>
      <c r="Q230">
        <f t="shared" si="960"/>
        <v>-2048782.3426234093</v>
      </c>
      <c r="R230">
        <f t="shared" si="961"/>
        <v>-43946224.002667956</v>
      </c>
      <c r="S230">
        <f t="shared" si="962"/>
        <v>-439.46224002667958</v>
      </c>
      <c r="T230">
        <f t="shared" si="963"/>
        <v>-0.43946224002667961</v>
      </c>
    </row>
    <row r="231" spans="1:20" x14ac:dyDescent="0.25">
      <c r="A231" s="5">
        <v>44362</v>
      </c>
      <c r="B231">
        <v>1.7930999999999999</v>
      </c>
      <c r="C231">
        <v>1.8573999999999999</v>
      </c>
      <c r="D231">
        <v>1.7459</v>
      </c>
      <c r="E231">
        <v>1.7838000000000001</v>
      </c>
      <c r="F231">
        <v>2792046.84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-0.32017937219730819</v>
      </c>
      <c r="Q231">
        <f t="shared" si="960"/>
        <v>-893955.80437667808</v>
      </c>
      <c r="R231">
        <f t="shared" si="961"/>
        <v>-41897441.660044543</v>
      </c>
      <c r="S231">
        <f t="shared" si="962"/>
        <v>-418.97441660044541</v>
      </c>
      <c r="T231">
        <f t="shared" si="963"/>
        <v>-0.41897441660044543</v>
      </c>
    </row>
    <row r="232" spans="1:20" x14ac:dyDescent="0.25">
      <c r="A232" s="5">
        <v>44361</v>
      </c>
      <c r="B232">
        <v>1.7395</v>
      </c>
      <c r="C232">
        <v>1.8873</v>
      </c>
      <c r="D232">
        <v>1.7040999999999999</v>
      </c>
      <c r="E232">
        <v>1.7934000000000001</v>
      </c>
      <c r="F232">
        <v>4615570.78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-2.5109170305675298E-2</v>
      </c>
      <c r="Q232">
        <f t="shared" si="960"/>
        <v>-115893.15277291858</v>
      </c>
      <c r="R232">
        <f t="shared" si="961"/>
        <v>-41003485.855667867</v>
      </c>
      <c r="S232">
        <f t="shared" si="962"/>
        <v>-410.03485855667867</v>
      </c>
      <c r="T232">
        <f t="shared" si="963"/>
        <v>-0.41003485855667865</v>
      </c>
    </row>
    <row r="233" spans="1:20" x14ac:dyDescent="0.25">
      <c r="A233" s="5">
        <v>44360</v>
      </c>
      <c r="B233">
        <v>1.7327999999999999</v>
      </c>
      <c r="C233">
        <v>1.7673000000000001</v>
      </c>
      <c r="D233">
        <v>1.6383000000000001</v>
      </c>
      <c r="E233">
        <v>1.7396</v>
      </c>
      <c r="F233">
        <v>3976049.27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0.57054263565891383</v>
      </c>
      <c r="Q233">
        <f t="shared" si="960"/>
        <v>2268505.6300155004</v>
      </c>
      <c r="R233">
        <f t="shared" si="961"/>
        <v>-40887592.702894948</v>
      </c>
      <c r="S233">
        <f t="shared" si="962"/>
        <v>-408.87592702894949</v>
      </c>
      <c r="T233">
        <f t="shared" si="963"/>
        <v>-0.40887592702894948</v>
      </c>
    </row>
    <row r="234" spans="1:20" x14ac:dyDescent="0.25">
      <c r="A234" s="5">
        <v>44359</v>
      </c>
      <c r="B234">
        <v>1.6092</v>
      </c>
      <c r="C234">
        <v>1.8</v>
      </c>
      <c r="D234">
        <v>1.4757</v>
      </c>
      <c r="E234">
        <v>1.7317</v>
      </c>
      <c r="F234">
        <v>6441803.5499999998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0.57878507554733261</v>
      </c>
      <c r="Q234">
        <f t="shared" si="960"/>
        <v>3728419.7543478254</v>
      </c>
      <c r="R234">
        <f t="shared" si="961"/>
        <v>-43156098.332910448</v>
      </c>
      <c r="S234">
        <f t="shared" si="962"/>
        <v>-431.56098332910449</v>
      </c>
      <c r="T234">
        <f t="shared" si="963"/>
        <v>-0.43156098332910448</v>
      </c>
    </row>
    <row r="235" spans="1:20" x14ac:dyDescent="0.25">
      <c r="A235" s="5">
        <v>44358</v>
      </c>
      <c r="B235">
        <v>1.6380999999999999</v>
      </c>
      <c r="C235">
        <v>1.8172999999999999</v>
      </c>
      <c r="D235">
        <v>1.5822000000000001</v>
      </c>
      <c r="E235">
        <v>1.6057999999999999</v>
      </c>
      <c r="F235">
        <v>4416897.63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-0.79923436835389317</v>
      </c>
      <c r="Q235">
        <f t="shared" si="960"/>
        <v>-3530136.3873968576</v>
      </c>
      <c r="R235">
        <f t="shared" si="961"/>
        <v>-46884518.087258272</v>
      </c>
      <c r="S235">
        <f t="shared" si="962"/>
        <v>-468.84518087258272</v>
      </c>
      <c r="T235">
        <f t="shared" si="963"/>
        <v>-0.4688451808725827</v>
      </c>
    </row>
    <row r="236" spans="1:20" x14ac:dyDescent="0.25">
      <c r="A236" s="5">
        <v>44357</v>
      </c>
      <c r="B236">
        <v>1.7269000000000001</v>
      </c>
      <c r="C236">
        <v>1.7456</v>
      </c>
      <c r="D236">
        <v>1.5824</v>
      </c>
      <c r="E236">
        <v>1.6372</v>
      </c>
      <c r="F236">
        <v>2519348.65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-0.32843137254902016</v>
      </c>
      <c r="Q236">
        <f t="shared" si="960"/>
        <v>-827433.13504902099</v>
      </c>
      <c r="R236">
        <f t="shared" si="961"/>
        <v>-43354381.699861415</v>
      </c>
      <c r="S236">
        <f t="shared" si="962"/>
        <v>-433.54381699861415</v>
      </c>
      <c r="T236">
        <f t="shared" si="963"/>
        <v>-0.43354381699861416</v>
      </c>
    </row>
    <row r="237" spans="1:20" x14ac:dyDescent="0.25">
      <c r="A237" s="5">
        <v>44356</v>
      </c>
      <c r="B237">
        <v>1.5733999999999999</v>
      </c>
      <c r="C237">
        <v>1.7997000000000001</v>
      </c>
      <c r="D237">
        <v>1.4784999999999999</v>
      </c>
      <c r="E237">
        <v>1.7233000000000001</v>
      </c>
      <c r="F237">
        <v>5765208.5499999998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0.52428393524283945</v>
      </c>
      <c r="Q237">
        <f t="shared" si="960"/>
        <v>3022606.2260896643</v>
      </c>
      <c r="R237">
        <f t="shared" si="961"/>
        <v>-42526948.564812392</v>
      </c>
      <c r="S237">
        <f t="shared" si="962"/>
        <v>-425.26948564812392</v>
      </c>
      <c r="T237">
        <f t="shared" si="963"/>
        <v>-0.42526948564812395</v>
      </c>
    </row>
    <row r="238" spans="1:20" x14ac:dyDescent="0.25">
      <c r="A238" s="5">
        <v>44355</v>
      </c>
      <c r="B238">
        <v>1.633</v>
      </c>
      <c r="C238">
        <v>1.675</v>
      </c>
      <c r="D238">
        <v>1.403</v>
      </c>
      <c r="E238">
        <v>1.5733999999999999</v>
      </c>
      <c r="F238">
        <v>2522344.46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0.25294117647058728</v>
      </c>
      <c r="Q238">
        <f t="shared" si="960"/>
        <v>638004.77517646819</v>
      </c>
      <c r="R238">
        <f t="shared" si="961"/>
        <v>-45549554.790902056</v>
      </c>
      <c r="S238">
        <f t="shared" si="962"/>
        <v>-455.49554790902056</v>
      </c>
      <c r="T238">
        <f t="shared" si="963"/>
        <v>-0.45549554790902058</v>
      </c>
    </row>
    <row r="239" spans="1:20" x14ac:dyDescent="0.25">
      <c r="A239" s="5">
        <v>44354</v>
      </c>
      <c r="B239">
        <v>1.786</v>
      </c>
      <c r="C239">
        <v>1.8783000000000001</v>
      </c>
      <c r="D239">
        <v>1.6166</v>
      </c>
      <c r="E239">
        <v>1.6329</v>
      </c>
      <c r="F239">
        <v>2589828.17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-0.87542988154375256</v>
      </c>
      <c r="Q239">
        <f t="shared" si="960"/>
        <v>-2267212.9680817733</v>
      </c>
      <c r="R239">
        <f t="shared" si="961"/>
        <v>-46187559.566078521</v>
      </c>
      <c r="S239">
        <f t="shared" si="962"/>
        <v>-461.87559566078522</v>
      </c>
      <c r="T239">
        <f t="shared" si="963"/>
        <v>-0.46187559566078523</v>
      </c>
    </row>
    <row r="240" spans="1:20" x14ac:dyDescent="0.25">
      <c r="A240" s="5">
        <v>44353</v>
      </c>
      <c r="B240">
        <v>1.6860999999999999</v>
      </c>
      <c r="C240">
        <v>1.8081</v>
      </c>
      <c r="D240">
        <v>1.6612</v>
      </c>
      <c r="E240">
        <v>1.7869999999999999</v>
      </c>
      <c r="F240">
        <v>2895345.95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0.71272974812797663</v>
      </c>
      <c r="Q240">
        <f t="shared" si="960"/>
        <v>2063599.1896868574</v>
      </c>
      <c r="R240">
        <f t="shared" si="961"/>
        <v>-43920346.597996749</v>
      </c>
      <c r="S240">
        <f t="shared" si="962"/>
        <v>-439.20346597996752</v>
      </c>
      <c r="T240">
        <f t="shared" si="963"/>
        <v>-0.43920346597996751</v>
      </c>
    </row>
    <row r="241" spans="1:20" x14ac:dyDescent="0.25">
      <c r="A241" s="5">
        <v>44352</v>
      </c>
      <c r="B241">
        <v>1.7681</v>
      </c>
      <c r="C241">
        <v>1.9835</v>
      </c>
      <c r="D241">
        <v>1.6193</v>
      </c>
      <c r="E241">
        <v>1.6861999999999999</v>
      </c>
      <c r="F241">
        <v>7569432.9500000002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-0.63261943986820457</v>
      </c>
      <c r="Q241">
        <f t="shared" si="960"/>
        <v>-4788570.4329489311</v>
      </c>
      <c r="R241">
        <f t="shared" si="961"/>
        <v>-45983945.787683606</v>
      </c>
      <c r="S241">
        <f t="shared" si="962"/>
        <v>-459.83945787683604</v>
      </c>
      <c r="T241">
        <f t="shared" si="963"/>
        <v>-0.45983945787683606</v>
      </c>
    </row>
    <row r="242" spans="1:20" x14ac:dyDescent="0.25">
      <c r="A242" s="5">
        <v>44351</v>
      </c>
      <c r="B242">
        <v>1.9932000000000001</v>
      </c>
      <c r="C242">
        <v>2.0038</v>
      </c>
      <c r="D242">
        <v>1.7124999999999999</v>
      </c>
      <c r="E242">
        <v>1.7642</v>
      </c>
      <c r="F242">
        <v>4923524.33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-0.6450394782011668</v>
      </c>
      <c r="Q242">
        <f t="shared" si="960"/>
        <v>-3175867.5647339495</v>
      </c>
      <c r="R242">
        <f t="shared" si="961"/>
        <v>-41195375.354734674</v>
      </c>
      <c r="S242">
        <f t="shared" si="962"/>
        <v>-411.95375354734676</v>
      </c>
      <c r="T242">
        <f t="shared" si="963"/>
        <v>-0.41195375354734676</v>
      </c>
    </row>
    <row r="243" spans="1:20" x14ac:dyDescent="0.25">
      <c r="A243" s="5">
        <v>44350</v>
      </c>
      <c r="B243">
        <v>2.0038</v>
      </c>
      <c r="C243">
        <v>2.1724000000000001</v>
      </c>
      <c r="D243">
        <v>1.9796</v>
      </c>
      <c r="E243">
        <v>1.9933000000000001</v>
      </c>
      <c r="F243">
        <v>4528061.4000000004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-0.85788381742738551</v>
      </c>
      <c r="Q243">
        <f t="shared" si="960"/>
        <v>-3884550.5993775921</v>
      </c>
      <c r="R243">
        <f t="shared" si="961"/>
        <v>-38019507.790000722</v>
      </c>
      <c r="S243">
        <f t="shared" si="962"/>
        <v>-380.19507790000722</v>
      </c>
      <c r="T243">
        <f t="shared" si="963"/>
        <v>-0.38019507790000723</v>
      </c>
    </row>
    <row r="244" spans="1:20" x14ac:dyDescent="0.25">
      <c r="A244" s="5">
        <v>44349</v>
      </c>
      <c r="B244">
        <v>1.9998</v>
      </c>
      <c r="C244">
        <v>2.1168</v>
      </c>
      <c r="D244">
        <v>1.9015</v>
      </c>
      <c r="E244">
        <v>2.0038</v>
      </c>
      <c r="F244">
        <v>4602419.1500000004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-4.9698095680445559E-2</v>
      </c>
      <c r="Q244">
        <f t="shared" si="960"/>
        <v>-228731.46727821493</v>
      </c>
      <c r="R244">
        <f t="shared" si="961"/>
        <v>-34134957.190623127</v>
      </c>
      <c r="S244">
        <f t="shared" si="962"/>
        <v>-341.34957190623129</v>
      </c>
      <c r="T244">
        <f t="shared" si="963"/>
        <v>-0.34134957190623127</v>
      </c>
    </row>
    <row r="245" spans="1:20" x14ac:dyDescent="0.25">
      <c r="A245" s="5">
        <v>44348</v>
      </c>
      <c r="B245">
        <v>2.1749999999999998</v>
      </c>
      <c r="C245">
        <v>2.2465000000000002</v>
      </c>
      <c r="D245">
        <v>1.84</v>
      </c>
      <c r="E245">
        <v>1.9975000000000001</v>
      </c>
      <c r="F245">
        <v>9800588.8300000001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-0.22509225092250951</v>
      </c>
      <c r="Q245">
        <f t="shared" si="960"/>
        <v>-2206036.6001107041</v>
      </c>
      <c r="R245">
        <f t="shared" si="961"/>
        <v>-33906225.723344915</v>
      </c>
      <c r="S245">
        <f t="shared" si="962"/>
        <v>-339.06225723344915</v>
      </c>
      <c r="T245">
        <f t="shared" si="963"/>
        <v>-0.33906225723344913</v>
      </c>
    </row>
    <row r="246" spans="1:20" x14ac:dyDescent="0.25">
      <c r="A246" s="5">
        <v>44347</v>
      </c>
      <c r="B246">
        <v>1.6528</v>
      </c>
      <c r="C246">
        <v>2.1880000000000002</v>
      </c>
      <c r="D246">
        <v>1.5771999999999999</v>
      </c>
      <c r="E246">
        <v>2.1743999999999999</v>
      </c>
      <c r="F246">
        <v>7521254.6399999997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0.95546823837589956</v>
      </c>
      <c r="Q246">
        <f t="shared" si="960"/>
        <v>7186319.9212573599</v>
      </c>
      <c r="R246">
        <f t="shared" si="961"/>
        <v>-31700189.123234212</v>
      </c>
      <c r="S246">
        <f t="shared" si="962"/>
        <v>-317.00189123234213</v>
      </c>
      <c r="T246">
        <f t="shared" si="963"/>
        <v>-0.31700189123234213</v>
      </c>
    </row>
    <row r="247" spans="1:20" x14ac:dyDescent="0.25">
      <c r="A247" s="5">
        <v>44346</v>
      </c>
      <c r="B247">
        <v>1.6153</v>
      </c>
      <c r="C247">
        <v>1.7548999999999999</v>
      </c>
      <c r="D247">
        <v>1.5001</v>
      </c>
      <c r="E247">
        <v>1.6628000000000001</v>
      </c>
      <c r="F247">
        <v>2830104.6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0.27708006279434944</v>
      </c>
      <c r="Q247">
        <f t="shared" si="960"/>
        <v>784165.56028257718</v>
      </c>
      <c r="R247">
        <f t="shared" si="961"/>
        <v>-38886509.044491574</v>
      </c>
      <c r="S247">
        <f t="shared" si="962"/>
        <v>-388.86509044491572</v>
      </c>
      <c r="T247">
        <f t="shared" si="963"/>
        <v>-0.38886509044491574</v>
      </c>
    </row>
    <row r="248" spans="1:20" x14ac:dyDescent="0.25">
      <c r="A248" s="5">
        <v>44345</v>
      </c>
      <c r="B248">
        <v>1.7808999999999999</v>
      </c>
      <c r="C248">
        <v>1.8971</v>
      </c>
      <c r="D248">
        <v>1.5446</v>
      </c>
      <c r="E248">
        <v>1.6152</v>
      </c>
      <c r="F248">
        <v>6913385.3700000001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-0.5994326241134752</v>
      </c>
      <c r="Q248">
        <f t="shared" si="960"/>
        <v>-4144108.7338468088</v>
      </c>
      <c r="R248">
        <f t="shared" si="961"/>
        <v>-39670674.604774155</v>
      </c>
      <c r="S248">
        <f t="shared" si="962"/>
        <v>-396.70674604774155</v>
      </c>
      <c r="T248">
        <f t="shared" si="963"/>
        <v>-0.39670674604774153</v>
      </c>
    </row>
    <row r="249" spans="1:20" x14ac:dyDescent="0.25">
      <c r="A249" s="5">
        <v>44344</v>
      </c>
      <c r="B249">
        <v>2.2363</v>
      </c>
      <c r="C249">
        <v>2.3597000000000001</v>
      </c>
      <c r="D249">
        <v>1.7</v>
      </c>
      <c r="E249">
        <v>1.7884</v>
      </c>
      <c r="F249">
        <v>10040905.960000001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-0.73199939366378652</v>
      </c>
      <c r="Q249">
        <f t="shared" si="960"/>
        <v>-7349937.0745551009</v>
      </c>
      <c r="R249">
        <f t="shared" si="961"/>
        <v>-35526565.870927349</v>
      </c>
      <c r="S249">
        <f t="shared" si="962"/>
        <v>-355.26565870927351</v>
      </c>
      <c r="T249">
        <f t="shared" si="963"/>
        <v>-0.35526565870927351</v>
      </c>
    </row>
    <row r="250" spans="1:20" x14ac:dyDescent="0.25">
      <c r="A250" s="5">
        <v>44343</v>
      </c>
      <c r="B250">
        <v>1.7786</v>
      </c>
      <c r="C250">
        <v>2.4700000000000002</v>
      </c>
      <c r="D250">
        <v>1.5771999999999999</v>
      </c>
      <c r="E250">
        <v>2.2345999999999999</v>
      </c>
      <c r="F250">
        <v>15742989.51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0.47267025089605691</v>
      </c>
      <c r="Q250">
        <f t="shared" si="960"/>
        <v>7441242.8015456917</v>
      </c>
      <c r="R250">
        <f t="shared" si="961"/>
        <v>-28176628.796372246</v>
      </c>
      <c r="S250">
        <f t="shared" si="962"/>
        <v>-281.76628796372245</v>
      </c>
      <c r="T250">
        <f t="shared" si="963"/>
        <v>-0.28176628796372244</v>
      </c>
    </row>
    <row r="251" spans="1:20" x14ac:dyDescent="0.25">
      <c r="A251" s="5">
        <v>44342</v>
      </c>
      <c r="B251">
        <v>1.6497999999999999</v>
      </c>
      <c r="C251">
        <v>1.9625999999999999</v>
      </c>
      <c r="D251">
        <v>1.5972999999999999</v>
      </c>
      <c r="E251">
        <v>1.7818000000000001</v>
      </c>
      <c r="F251">
        <v>4108006.43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1.0128661374213685E-2</v>
      </c>
      <c r="Q251">
        <f t="shared" si="960"/>
        <v>41608.606052562456</v>
      </c>
      <c r="R251">
        <f t="shared" si="961"/>
        <v>-35617871.597917937</v>
      </c>
      <c r="S251">
        <f t="shared" si="962"/>
        <v>-356.17871597917934</v>
      </c>
      <c r="T251">
        <f t="shared" si="963"/>
        <v>-0.35617871597917933</v>
      </c>
    </row>
    <row r="252" spans="1:20" x14ac:dyDescent="0.25">
      <c r="A252" s="5">
        <v>44341</v>
      </c>
      <c r="B252">
        <v>1.4937</v>
      </c>
      <c r="C252">
        <v>1.65</v>
      </c>
      <c r="D252">
        <v>1.3282</v>
      </c>
      <c r="E252">
        <v>1.6496999999999999</v>
      </c>
      <c r="F252">
        <v>3746212.34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0.99813548788067141</v>
      </c>
      <c r="Q252">
        <f t="shared" si="960"/>
        <v>3739227.4816904915</v>
      </c>
      <c r="R252">
        <f t="shared" si="961"/>
        <v>-35659480.203970499</v>
      </c>
      <c r="S252">
        <f t="shared" si="962"/>
        <v>-356.59480203970497</v>
      </c>
      <c r="T252">
        <f t="shared" si="963"/>
        <v>-0.35659480203970495</v>
      </c>
    </row>
    <row r="253" spans="1:20" x14ac:dyDescent="0.25">
      <c r="A253" s="5">
        <v>44340</v>
      </c>
      <c r="B253">
        <v>1.2423</v>
      </c>
      <c r="C253">
        <v>1.5258</v>
      </c>
      <c r="D253">
        <v>1.2052</v>
      </c>
      <c r="E253">
        <v>1.4919</v>
      </c>
      <c r="F253">
        <v>3618127.08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0.78852152214597604</v>
      </c>
      <c r="Q253">
        <f t="shared" si="960"/>
        <v>2852971.0724391756</v>
      </c>
      <c r="R253">
        <f t="shared" si="961"/>
        <v>-39398707.685660988</v>
      </c>
      <c r="S253">
        <f t="shared" si="962"/>
        <v>-393.98707685660986</v>
      </c>
      <c r="T253">
        <f t="shared" si="963"/>
        <v>-0.39398707685660989</v>
      </c>
    </row>
    <row r="254" spans="1:20" x14ac:dyDescent="0.25">
      <c r="A254" s="5">
        <v>44339</v>
      </c>
      <c r="B254">
        <v>1.4410000000000001</v>
      </c>
      <c r="C254">
        <v>1.5311999999999999</v>
      </c>
      <c r="D254">
        <v>1.002</v>
      </c>
      <c r="E254">
        <v>1.2390000000000001</v>
      </c>
      <c r="F254">
        <v>4316388.05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-0.10430839002267518</v>
      </c>
      <c r="Q254">
        <f t="shared" si="960"/>
        <v>-450235.48820861435</v>
      </c>
      <c r="R254">
        <f t="shared" si="961"/>
        <v>-42251678.758100167</v>
      </c>
      <c r="S254">
        <f t="shared" si="962"/>
        <v>-422.51678758100167</v>
      </c>
      <c r="T254">
        <f t="shared" si="963"/>
        <v>-0.42251678758100164</v>
      </c>
    </row>
    <row r="255" spans="1:20" x14ac:dyDescent="0.25">
      <c r="A255" s="5">
        <v>44338</v>
      </c>
      <c r="B255">
        <v>1.4655</v>
      </c>
      <c r="C255">
        <v>1.5591999999999999</v>
      </c>
      <c r="D255">
        <v>1.2798</v>
      </c>
      <c r="E255">
        <v>1.4403999999999999</v>
      </c>
      <c r="F255">
        <v>3190944.4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0.14960629921259791</v>
      </c>
      <c r="Q255">
        <f t="shared" si="960"/>
        <v>477385.3826771637</v>
      </c>
      <c r="R255">
        <f t="shared" si="961"/>
        <v>-41801443.269891553</v>
      </c>
      <c r="S255">
        <f t="shared" si="962"/>
        <v>-418.01443269891553</v>
      </c>
      <c r="T255">
        <f t="shared" si="963"/>
        <v>-0.41801443269891553</v>
      </c>
    </row>
    <row r="256" spans="1:20" x14ac:dyDescent="0.25">
      <c r="A256" s="5">
        <v>44337</v>
      </c>
      <c r="B256">
        <v>1.776</v>
      </c>
      <c r="C256">
        <v>1.8908</v>
      </c>
      <c r="D256">
        <v>1.2450000000000001</v>
      </c>
      <c r="E256">
        <v>1.4730000000000001</v>
      </c>
      <c r="F256">
        <v>4579425.1900000004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-0.29389903995044903</v>
      </c>
      <c r="Q256">
        <f t="shared" si="960"/>
        <v>-1345888.6668659027</v>
      </c>
      <c r="R256">
        <f t="shared" si="961"/>
        <v>-42278828.652568713</v>
      </c>
      <c r="S256">
        <f t="shared" si="962"/>
        <v>-422.78828652568711</v>
      </c>
      <c r="T256">
        <f t="shared" si="963"/>
        <v>-0.42278828652568712</v>
      </c>
    </row>
    <row r="257" spans="1:20" x14ac:dyDescent="0.25">
      <c r="A257" s="5">
        <v>44336</v>
      </c>
      <c r="B257">
        <v>1.55</v>
      </c>
      <c r="C257">
        <v>1.9582999999999999</v>
      </c>
      <c r="D257">
        <v>1.4001999999999999</v>
      </c>
      <c r="E257">
        <v>1.7821</v>
      </c>
      <c r="F257">
        <v>4760962.3099999996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0.36857194051245334</v>
      </c>
      <c r="Q257">
        <f t="shared" si="960"/>
        <v>1754757.1173033523</v>
      </c>
      <c r="R257">
        <f t="shared" si="961"/>
        <v>-40932939.985702813</v>
      </c>
      <c r="S257">
        <f t="shared" si="962"/>
        <v>-409.32939985702814</v>
      </c>
      <c r="T257">
        <f t="shared" si="963"/>
        <v>-0.40932939985702815</v>
      </c>
    </row>
    <row r="258" spans="1:20" x14ac:dyDescent="0.25">
      <c r="A258" s="5">
        <v>44335</v>
      </c>
      <c r="B258">
        <v>2.7254999999999998</v>
      </c>
      <c r="C258">
        <v>2.7755999999999998</v>
      </c>
      <c r="D258">
        <v>1.3</v>
      </c>
      <c r="E258">
        <v>1.5517000000000001</v>
      </c>
      <c r="F258">
        <v>7436968.0899999999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-0.65885063702900504</v>
      </c>
      <c r="Q258">
        <f t="shared" si="960"/>
        <v>-4899851.163660883</v>
      </c>
      <c r="R258">
        <f t="shared" si="961"/>
        <v>-42687697.103006162</v>
      </c>
      <c r="S258">
        <f t="shared" si="962"/>
        <v>-426.87697103006161</v>
      </c>
      <c r="T258">
        <f t="shared" si="963"/>
        <v>-0.42687697103006161</v>
      </c>
    </row>
    <row r="259" spans="1:20" x14ac:dyDescent="0.25">
      <c r="A259" s="5">
        <v>44334</v>
      </c>
      <c r="B259">
        <v>2.7433000000000001</v>
      </c>
      <c r="C259">
        <v>2.9769999999999999</v>
      </c>
      <c r="D259">
        <v>2.66</v>
      </c>
      <c r="E259">
        <v>2.7198000000000002</v>
      </c>
      <c r="F259">
        <v>3063499.84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-0.62271293375394243</v>
      </c>
      <c r="Q259">
        <f t="shared" si="960"/>
        <v>-1907680.972921133</v>
      </c>
      <c r="R259">
        <f t="shared" si="961"/>
        <v>-37787845.939345278</v>
      </c>
      <c r="S259">
        <f t="shared" si="962"/>
        <v>-377.87845939345277</v>
      </c>
      <c r="T259">
        <f t="shared" si="963"/>
        <v>-0.37787845939345277</v>
      </c>
    </row>
    <row r="260" spans="1:20" x14ac:dyDescent="0.25">
      <c r="A260" s="5">
        <v>44333</v>
      </c>
      <c r="B260">
        <v>2.9799000000000002</v>
      </c>
      <c r="C260">
        <v>3.15</v>
      </c>
      <c r="D260">
        <v>2.6012</v>
      </c>
      <c r="E260">
        <v>2.7427999999999999</v>
      </c>
      <c r="F260">
        <v>3706259.01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-0.4839650145772596</v>
      </c>
      <c r="Q260">
        <f t="shared" si="960"/>
        <v>-1793699.6958017496</v>
      </c>
      <c r="R260">
        <f t="shared" si="961"/>
        <v>-35880164.966424145</v>
      </c>
      <c r="S260">
        <f t="shared" si="962"/>
        <v>-358.80164966424144</v>
      </c>
      <c r="T260">
        <f t="shared" si="963"/>
        <v>-0.35880164966424144</v>
      </c>
    </row>
    <row r="261" spans="1:20" x14ac:dyDescent="0.25">
      <c r="A261" s="5">
        <v>44332</v>
      </c>
      <c r="B261">
        <v>3.0396000000000001</v>
      </c>
      <c r="C261">
        <v>3.2946</v>
      </c>
      <c r="D261">
        <v>2.6922999999999999</v>
      </c>
      <c r="E261">
        <v>2.9838</v>
      </c>
      <c r="F261">
        <v>2789087.13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-3.2043831977419675E-2</v>
      </c>
      <c r="Q261">
        <f t="shared" si="960"/>
        <v>-89373.039364103664</v>
      </c>
      <c r="R261">
        <f t="shared" si="961"/>
        <v>-34086465.270622395</v>
      </c>
      <c r="S261">
        <f t="shared" si="962"/>
        <v>-340.86465270622392</v>
      </c>
      <c r="T261">
        <f t="shared" si="963"/>
        <v>-0.3408646527062239</v>
      </c>
    </row>
    <row r="262" spans="1:20" x14ac:dyDescent="0.25">
      <c r="A262" s="5">
        <v>44331</v>
      </c>
      <c r="B262">
        <v>3.3506999999999998</v>
      </c>
      <c r="C262">
        <v>3.4293</v>
      </c>
      <c r="D262">
        <v>3.0169999999999999</v>
      </c>
      <c r="E262">
        <v>3.0341999999999998</v>
      </c>
      <c r="F262">
        <v>2966067.56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-0.91656560756730598</v>
      </c>
      <c r="Q262">
        <f t="shared" ref="Q262:Q325" si="965">F262*P262</f>
        <v>-2718595.515217077</v>
      </c>
      <c r="R262">
        <f t="shared" ref="R262:R325" si="966">R263+Q262</f>
        <v>-33997092.231258288</v>
      </c>
      <c r="S262">
        <f t="shared" ref="S262:S325" si="967">R262/100000</f>
        <v>-339.9709223125829</v>
      </c>
      <c r="T262">
        <f t="shared" ref="T262:T325" si="968">S262/1000</f>
        <v>-0.33997092231258291</v>
      </c>
    </row>
    <row r="263" spans="1:20" x14ac:dyDescent="0.25">
      <c r="A263" s="5">
        <v>44330</v>
      </c>
      <c r="B263">
        <v>3.1577000000000002</v>
      </c>
      <c r="C263">
        <v>3.5779999999999998</v>
      </c>
      <c r="D263">
        <v>3.0733999999999999</v>
      </c>
      <c r="E263">
        <v>3.3502000000000001</v>
      </c>
      <c r="F263">
        <v>3600883.12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9.7106619104241745E-2</v>
      </c>
      <c r="Q263">
        <f t="shared" si="965"/>
        <v>349669.58557273366</v>
      </c>
      <c r="R263">
        <f t="shared" si="966"/>
        <v>-31278496.716041207</v>
      </c>
      <c r="S263">
        <f t="shared" si="967"/>
        <v>-312.78496716041207</v>
      </c>
      <c r="T263">
        <f t="shared" si="968"/>
        <v>-0.31278496716041204</v>
      </c>
    </row>
    <row r="264" spans="1:20" x14ac:dyDescent="0.25">
      <c r="A264" s="5">
        <v>44329</v>
      </c>
      <c r="B264">
        <v>3.2136999999999998</v>
      </c>
      <c r="C264">
        <v>3.4148000000000001</v>
      </c>
      <c r="D264">
        <v>2.8912</v>
      </c>
      <c r="E264">
        <v>3.1556999999999999</v>
      </c>
      <c r="F264">
        <v>3151557.75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1.0313216195568848E-2</v>
      </c>
      <c r="Q264">
        <f t="shared" si="965"/>
        <v>32502.696428570518</v>
      </c>
      <c r="R264">
        <f t="shared" si="966"/>
        <v>-31628166.301613942</v>
      </c>
      <c r="S264">
        <f t="shared" si="967"/>
        <v>-316.28166301613942</v>
      </c>
      <c r="T264">
        <f t="shared" si="968"/>
        <v>-0.31628166301613941</v>
      </c>
    </row>
    <row r="265" spans="1:20" x14ac:dyDescent="0.25">
      <c r="A265" s="5">
        <v>44328</v>
      </c>
      <c r="B265">
        <v>3.92</v>
      </c>
      <c r="C265">
        <v>4.0350999999999999</v>
      </c>
      <c r="D265">
        <v>3.145</v>
      </c>
      <c r="E265">
        <v>3.1846000000000001</v>
      </c>
      <c r="F265">
        <v>2445452.98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-0.91102123356926168</v>
      </c>
      <c r="Q265">
        <f t="shared" si="965"/>
        <v>-2227859.5904752272</v>
      </c>
      <c r="R265">
        <f t="shared" si="966"/>
        <v>-31660668.998042513</v>
      </c>
      <c r="S265">
        <f t="shared" si="967"/>
        <v>-316.60668998042513</v>
      </c>
      <c r="T265">
        <f t="shared" si="968"/>
        <v>-0.31660668998042513</v>
      </c>
    </row>
    <row r="266" spans="1:20" x14ac:dyDescent="0.25">
      <c r="A266" s="5">
        <v>44327</v>
      </c>
      <c r="B266">
        <v>3.5154999999999998</v>
      </c>
      <c r="C266">
        <v>4.0940000000000003</v>
      </c>
      <c r="D266">
        <v>3.4022999999999999</v>
      </c>
      <c r="E266">
        <v>3.92</v>
      </c>
      <c r="F266">
        <v>3684388.32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0.49689171606187577</v>
      </c>
      <c r="Q266">
        <f t="shared" si="965"/>
        <v>1830742.0349631314</v>
      </c>
      <c r="R266">
        <f t="shared" si="966"/>
        <v>-29432809.407567285</v>
      </c>
      <c r="S266">
        <f t="shared" si="967"/>
        <v>-294.32809407567282</v>
      </c>
      <c r="T266">
        <f t="shared" si="968"/>
        <v>-0.29432809407567284</v>
      </c>
    </row>
    <row r="267" spans="1:20" x14ac:dyDescent="0.25">
      <c r="A267" s="5">
        <v>44326</v>
      </c>
      <c r="B267">
        <v>3.9759000000000002</v>
      </c>
      <c r="C267">
        <v>4.0738000000000003</v>
      </c>
      <c r="D267">
        <v>3.2494000000000001</v>
      </c>
      <c r="E267">
        <v>3.5268999999999999</v>
      </c>
      <c r="F267">
        <v>2715416.42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-0.3267831149927225</v>
      </c>
      <c r="Q267">
        <f t="shared" si="965"/>
        <v>-887352.23622998688</v>
      </c>
      <c r="R267">
        <f t="shared" si="966"/>
        <v>-31263551.442530416</v>
      </c>
      <c r="S267">
        <f t="shared" si="967"/>
        <v>-312.63551442530417</v>
      </c>
      <c r="T267">
        <f t="shared" si="968"/>
        <v>-0.31263551442530418</v>
      </c>
    </row>
    <row r="268" spans="1:20" x14ac:dyDescent="0.25">
      <c r="A268" s="5">
        <v>44325</v>
      </c>
      <c r="B268">
        <v>4.0808</v>
      </c>
      <c r="C268">
        <v>4.1261000000000001</v>
      </c>
      <c r="D268">
        <v>3.8130999999999999</v>
      </c>
      <c r="E268">
        <v>3.9727000000000001</v>
      </c>
      <c r="F268">
        <v>1683621.65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1.9808306709265821E-2</v>
      </c>
      <c r="Q268">
        <f t="shared" si="965"/>
        <v>33349.694025560188</v>
      </c>
      <c r="R268">
        <f t="shared" si="966"/>
        <v>-30376199.20630043</v>
      </c>
      <c r="S268">
        <f t="shared" si="967"/>
        <v>-303.7619920630043</v>
      </c>
      <c r="T268">
        <f t="shared" si="968"/>
        <v>-0.3037619920630043</v>
      </c>
    </row>
    <row r="269" spans="1:20" x14ac:dyDescent="0.25">
      <c r="A269" s="5">
        <v>44324</v>
      </c>
      <c r="B269">
        <v>4.2587000000000002</v>
      </c>
      <c r="C269">
        <v>4.3841999999999999</v>
      </c>
      <c r="D269">
        <v>4.0312000000000001</v>
      </c>
      <c r="E269">
        <v>4.0837000000000003</v>
      </c>
      <c r="F269">
        <v>1694865.23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-0.70254957507082016</v>
      </c>
      <c r="Q269">
        <f t="shared" si="965"/>
        <v>-1190726.8471388079</v>
      </c>
      <c r="R269">
        <f t="shared" si="966"/>
        <v>-30409548.900325991</v>
      </c>
      <c r="S269">
        <f t="shared" si="967"/>
        <v>-304.0954890032599</v>
      </c>
      <c r="T269">
        <f t="shared" si="968"/>
        <v>-0.30409548900325989</v>
      </c>
    </row>
    <row r="270" spans="1:20" x14ac:dyDescent="0.25">
      <c r="A270" s="5">
        <v>44323</v>
      </c>
      <c r="B270">
        <v>4.3784999999999998</v>
      </c>
      <c r="C270">
        <v>4.5358000000000001</v>
      </c>
      <c r="D270">
        <v>4.1014999999999997</v>
      </c>
      <c r="E270">
        <v>4.2552000000000003</v>
      </c>
      <c r="F270">
        <v>2738184.46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-0.29219433571263875</v>
      </c>
      <c r="Q270">
        <f t="shared" si="965"/>
        <v>-800081.98934837047</v>
      </c>
      <c r="R270">
        <f t="shared" si="966"/>
        <v>-29218822.053187184</v>
      </c>
      <c r="S270">
        <f t="shared" si="967"/>
        <v>-292.18822053187182</v>
      </c>
      <c r="T270">
        <f t="shared" si="968"/>
        <v>-0.29218822053187182</v>
      </c>
    </row>
    <row r="271" spans="1:20" x14ac:dyDescent="0.25">
      <c r="A271" s="5">
        <v>44322</v>
      </c>
      <c r="B271">
        <v>4.1923000000000004</v>
      </c>
      <c r="C271">
        <v>4.7</v>
      </c>
      <c r="D271">
        <v>4.0364000000000004</v>
      </c>
      <c r="E271">
        <v>4.3612000000000002</v>
      </c>
      <c r="F271">
        <v>4693508.8499999996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-2.109704641350247E-2</v>
      </c>
      <c r="Q271">
        <f t="shared" si="965"/>
        <v>-99019.174050634596</v>
      </c>
      <c r="R271">
        <f t="shared" si="966"/>
        <v>-28418740.063838813</v>
      </c>
      <c r="S271">
        <f t="shared" si="967"/>
        <v>-284.18740063838811</v>
      </c>
      <c r="T271">
        <f t="shared" si="968"/>
        <v>-0.2841874006383881</v>
      </c>
    </row>
    <row r="272" spans="1:20" x14ac:dyDescent="0.25">
      <c r="A272" s="5">
        <v>44321</v>
      </c>
      <c r="B272">
        <v>3.8881000000000001</v>
      </c>
      <c r="C272">
        <v>4.2830000000000004</v>
      </c>
      <c r="D272">
        <v>3.85</v>
      </c>
      <c r="E272">
        <v>4.1923000000000004</v>
      </c>
      <c r="F272">
        <v>2696200.08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0.58106235565819886</v>
      </c>
      <c r="Q272">
        <f t="shared" si="965"/>
        <v>1566660.3698106243</v>
      </c>
      <c r="R272">
        <f t="shared" si="966"/>
        <v>-28319720.889788181</v>
      </c>
      <c r="S272">
        <f t="shared" si="967"/>
        <v>-283.19720889788181</v>
      </c>
      <c r="T272">
        <f t="shared" si="968"/>
        <v>-0.2831972088978818</v>
      </c>
    </row>
    <row r="273" spans="1:20" x14ac:dyDescent="0.25">
      <c r="A273" s="5">
        <v>44320</v>
      </c>
      <c r="B273">
        <v>4.2747000000000002</v>
      </c>
      <c r="C273">
        <v>4.4260000000000002</v>
      </c>
      <c r="D273">
        <v>3.8</v>
      </c>
      <c r="E273">
        <v>3.89</v>
      </c>
      <c r="F273">
        <v>4243829.3600000003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-0.71246006389776273</v>
      </c>
      <c r="Q273">
        <f t="shared" si="965"/>
        <v>-3023558.9369968018</v>
      </c>
      <c r="R273">
        <f t="shared" si="966"/>
        <v>-29886381.259598807</v>
      </c>
      <c r="S273">
        <f t="shared" si="967"/>
        <v>-298.86381259598807</v>
      </c>
      <c r="T273">
        <f t="shared" si="968"/>
        <v>-0.29886381259598804</v>
      </c>
    </row>
    <row r="274" spans="1:20" x14ac:dyDescent="0.25">
      <c r="A274" s="5">
        <v>44319</v>
      </c>
      <c r="B274">
        <v>4.3148</v>
      </c>
      <c r="C274">
        <v>4.55</v>
      </c>
      <c r="D274">
        <v>4.1569000000000003</v>
      </c>
      <c r="E274">
        <v>4.2648999999999999</v>
      </c>
      <c r="F274">
        <v>2191313.66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-0.45052149580259593</v>
      </c>
      <c r="Q274">
        <f t="shared" si="965"/>
        <v>-987233.90787586116</v>
      </c>
      <c r="R274">
        <f t="shared" si="966"/>
        <v>-26862822.322602004</v>
      </c>
      <c r="S274">
        <f t="shared" si="967"/>
        <v>-268.62822322602005</v>
      </c>
      <c r="T274">
        <f t="shared" si="968"/>
        <v>-0.26862822322602004</v>
      </c>
    </row>
    <row r="275" spans="1:20" x14ac:dyDescent="0.25">
      <c r="A275" s="5">
        <v>44318</v>
      </c>
      <c r="B275">
        <v>4.1456</v>
      </c>
      <c r="C275">
        <v>4.5370999999999997</v>
      </c>
      <c r="D275">
        <v>3.7774000000000001</v>
      </c>
      <c r="E275">
        <v>4.3212000000000002</v>
      </c>
      <c r="F275">
        <v>4622149.8600000003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0.43161774384625601</v>
      </c>
      <c r="Q275">
        <f t="shared" si="965"/>
        <v>1995001.8942924882</v>
      </c>
      <c r="R275">
        <f t="shared" si="966"/>
        <v>-25875588.414726142</v>
      </c>
      <c r="S275">
        <f t="shared" si="967"/>
        <v>-258.75588414726144</v>
      </c>
      <c r="T275">
        <f t="shared" si="968"/>
        <v>-0.25875588414726142</v>
      </c>
    </row>
    <row r="276" spans="1:20" x14ac:dyDescent="0.25">
      <c r="A276" s="5">
        <v>44317</v>
      </c>
      <c r="B276">
        <v>4.0648999999999997</v>
      </c>
      <c r="C276">
        <v>4.1900000000000004</v>
      </c>
      <c r="D276">
        <v>3.9253999999999998</v>
      </c>
      <c r="E276">
        <v>4.1405000000000003</v>
      </c>
      <c r="F276">
        <v>1854629.8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0.62585034013605456</v>
      </c>
      <c r="Q276">
        <f t="shared" si="965"/>
        <v>1160720.6911564628</v>
      </c>
      <c r="R276">
        <f t="shared" si="966"/>
        <v>-27870590.309018631</v>
      </c>
      <c r="S276">
        <f t="shared" si="967"/>
        <v>-278.70590309018633</v>
      </c>
      <c r="T276">
        <f t="shared" si="968"/>
        <v>-0.27870590309018634</v>
      </c>
    </row>
    <row r="277" spans="1:20" x14ac:dyDescent="0.25">
      <c r="A277" s="5">
        <v>44316</v>
      </c>
      <c r="B277">
        <v>3.8365999999999998</v>
      </c>
      <c r="C277">
        <v>4.2430000000000003</v>
      </c>
      <c r="D277">
        <v>3.7650000000000001</v>
      </c>
      <c r="E277">
        <v>4.0658000000000003</v>
      </c>
      <c r="F277">
        <v>3781573.98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0.25857740585774081</v>
      </c>
      <c r="Q277">
        <f t="shared" si="965"/>
        <v>977829.58980753226</v>
      </c>
      <c r="R277">
        <f t="shared" si="966"/>
        <v>-29031311.000175092</v>
      </c>
      <c r="S277">
        <f t="shared" si="967"/>
        <v>-290.31311000175094</v>
      </c>
      <c r="T277">
        <f t="shared" si="968"/>
        <v>-0.29031311000175092</v>
      </c>
    </row>
    <row r="278" spans="1:20" x14ac:dyDescent="0.25">
      <c r="A278" s="5">
        <v>44315</v>
      </c>
      <c r="B278">
        <v>3.7054999999999998</v>
      </c>
      <c r="C278">
        <v>4.1083999999999996</v>
      </c>
      <c r="D278">
        <v>3.5522</v>
      </c>
      <c r="E278">
        <v>3.8269000000000002</v>
      </c>
      <c r="F278">
        <v>4005162.66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-1.2225818051059432E-2</v>
      </c>
      <c r="Q278">
        <f t="shared" si="965"/>
        <v>-48966.389946057214</v>
      </c>
      <c r="R278">
        <f t="shared" si="966"/>
        <v>-30009140.589982625</v>
      </c>
      <c r="S278">
        <f t="shared" si="967"/>
        <v>-300.09140589982627</v>
      </c>
      <c r="T278">
        <f t="shared" si="968"/>
        <v>-0.30009140589982625</v>
      </c>
    </row>
    <row r="279" spans="1:20" x14ac:dyDescent="0.25">
      <c r="A279" s="5">
        <v>44314</v>
      </c>
      <c r="B279">
        <v>3.8767999999999998</v>
      </c>
      <c r="C279">
        <v>4.05</v>
      </c>
      <c r="D279">
        <v>3.4765000000000001</v>
      </c>
      <c r="E279">
        <v>3.7012</v>
      </c>
      <c r="F279">
        <v>2996330.58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-0.21639058413251952</v>
      </c>
      <c r="Q279">
        <f t="shared" si="965"/>
        <v>-648377.72446033102</v>
      </c>
      <c r="R279">
        <f t="shared" si="966"/>
        <v>-29960174.200036567</v>
      </c>
      <c r="S279">
        <f t="shared" si="967"/>
        <v>-299.60174200036568</v>
      </c>
      <c r="T279">
        <f t="shared" si="968"/>
        <v>-0.29960174200036566</v>
      </c>
    </row>
    <row r="280" spans="1:20" x14ac:dyDescent="0.25">
      <c r="A280" s="5">
        <v>44313</v>
      </c>
      <c r="B280">
        <v>3.6793999999999998</v>
      </c>
      <c r="C280">
        <v>3.9887999999999999</v>
      </c>
      <c r="D280">
        <v>3.6023000000000001</v>
      </c>
      <c r="E280">
        <v>3.8700999999999999</v>
      </c>
      <c r="F280">
        <v>3232200.71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0.38576972833117684</v>
      </c>
      <c r="Q280">
        <f t="shared" si="965"/>
        <v>1246885.1898085368</v>
      </c>
      <c r="R280">
        <f t="shared" si="966"/>
        <v>-29311796.475576237</v>
      </c>
      <c r="S280">
        <f t="shared" si="967"/>
        <v>-293.11796475576239</v>
      </c>
      <c r="T280">
        <f t="shared" si="968"/>
        <v>-0.29311796475576241</v>
      </c>
    </row>
    <row r="281" spans="1:20" x14ac:dyDescent="0.25">
      <c r="A281" s="5">
        <v>44312</v>
      </c>
      <c r="B281">
        <v>3.0398999999999998</v>
      </c>
      <c r="C281">
        <v>3.7456999999999998</v>
      </c>
      <c r="D281">
        <v>2.99</v>
      </c>
      <c r="E281">
        <v>3.6848999999999998</v>
      </c>
      <c r="F281">
        <v>4197335.0199999996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0.83908958581447668</v>
      </c>
      <c r="Q281">
        <f t="shared" si="965"/>
        <v>3521940.103456398</v>
      </c>
      <c r="R281">
        <f t="shared" si="966"/>
        <v>-30558681.665384773</v>
      </c>
      <c r="S281">
        <f t="shared" si="967"/>
        <v>-305.58681665384773</v>
      </c>
      <c r="T281">
        <f t="shared" si="968"/>
        <v>-0.30558681665384774</v>
      </c>
    </row>
    <row r="282" spans="1:20" x14ac:dyDescent="0.25">
      <c r="A282" s="5">
        <v>44311</v>
      </c>
      <c r="B282">
        <v>2.9841000000000002</v>
      </c>
      <c r="C282">
        <v>3.3472</v>
      </c>
      <c r="D282">
        <v>2.8355000000000001</v>
      </c>
      <c r="E282">
        <v>3.0314999999999999</v>
      </c>
      <c r="F282">
        <v>3861903.79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-0.23392612859097206</v>
      </c>
      <c r="Q282">
        <f t="shared" si="965"/>
        <v>-903400.20258550241</v>
      </c>
      <c r="R282">
        <f t="shared" si="966"/>
        <v>-34080621.76884117</v>
      </c>
      <c r="S282">
        <f t="shared" si="967"/>
        <v>-340.80621768841172</v>
      </c>
      <c r="T282">
        <f t="shared" si="968"/>
        <v>-0.34080621768841174</v>
      </c>
    </row>
    <row r="283" spans="1:20" x14ac:dyDescent="0.25">
      <c r="A283" s="5">
        <v>44310</v>
      </c>
      <c r="B283">
        <v>3.4306999999999999</v>
      </c>
      <c r="C283">
        <v>3.4468999999999999</v>
      </c>
      <c r="D283">
        <v>2.9458000000000002</v>
      </c>
      <c r="E283">
        <v>2.9851999999999999</v>
      </c>
      <c r="F283">
        <v>2797307.56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-0.84274595889044224</v>
      </c>
      <c r="Q283">
        <f t="shared" si="965"/>
        <v>-2357419.6419636835</v>
      </c>
      <c r="R283">
        <f t="shared" si="966"/>
        <v>-33177221.566255666</v>
      </c>
      <c r="S283">
        <f t="shared" si="967"/>
        <v>-331.77221566255668</v>
      </c>
      <c r="T283">
        <f t="shared" si="968"/>
        <v>-0.33177221566255666</v>
      </c>
    </row>
    <row r="284" spans="1:20" x14ac:dyDescent="0.25">
      <c r="A284" s="5">
        <v>44309</v>
      </c>
      <c r="B284">
        <v>3.8944000000000001</v>
      </c>
      <c r="C284">
        <v>4</v>
      </c>
      <c r="D284">
        <v>2.9803000000000002</v>
      </c>
      <c r="E284">
        <v>3.4302000000000001</v>
      </c>
      <c r="F284">
        <v>6420099.1399999997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-0.11758360302049614</v>
      </c>
      <c r="Q284">
        <f t="shared" si="965"/>
        <v>-754898.38862998865</v>
      </c>
      <c r="R284">
        <f t="shared" si="966"/>
        <v>-30819801.924291983</v>
      </c>
      <c r="S284">
        <f t="shared" si="967"/>
        <v>-308.19801924291983</v>
      </c>
      <c r="T284">
        <f t="shared" si="968"/>
        <v>-0.30819801924291984</v>
      </c>
    </row>
    <row r="285" spans="1:20" x14ac:dyDescent="0.25">
      <c r="A285" s="5">
        <v>44308</v>
      </c>
      <c r="B285">
        <v>3.9207000000000001</v>
      </c>
      <c r="C285">
        <v>4.5555000000000003</v>
      </c>
      <c r="D285">
        <v>3.7410999999999999</v>
      </c>
      <c r="E285">
        <v>3.8944000000000001</v>
      </c>
      <c r="F285">
        <v>7115491.54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-0.62352652259331998</v>
      </c>
      <c r="Q285">
        <f t="shared" si="965"/>
        <v>-4436697.6964783873</v>
      </c>
      <c r="R285">
        <f t="shared" si="966"/>
        <v>-30064903.535661995</v>
      </c>
      <c r="S285">
        <f t="shared" si="967"/>
        <v>-300.64903535661995</v>
      </c>
      <c r="T285">
        <f t="shared" si="968"/>
        <v>-0.30064903535661996</v>
      </c>
    </row>
    <row r="286" spans="1:20" x14ac:dyDescent="0.25">
      <c r="A286" s="5">
        <v>44307</v>
      </c>
      <c r="B286">
        <v>3.9165999999999999</v>
      </c>
      <c r="C286">
        <v>4.2590000000000003</v>
      </c>
      <c r="D286">
        <v>3.6573000000000002</v>
      </c>
      <c r="E286">
        <v>3.9121999999999999</v>
      </c>
      <c r="F286">
        <v>3743101.93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-0.15273392055841906</v>
      </c>
      <c r="Q286">
        <f t="shared" si="965"/>
        <v>-571698.63281868503</v>
      </c>
      <c r="R286">
        <f t="shared" si="966"/>
        <v>-25628205.83918361</v>
      </c>
      <c r="S286">
        <f t="shared" si="967"/>
        <v>-256.28205839183607</v>
      </c>
      <c r="T286">
        <f t="shared" si="968"/>
        <v>-0.2562820583918361</v>
      </c>
    </row>
    <row r="287" spans="1:20" x14ac:dyDescent="0.25">
      <c r="A287" s="5">
        <v>44306</v>
      </c>
      <c r="B287">
        <v>3.8995000000000002</v>
      </c>
      <c r="C287">
        <v>4</v>
      </c>
      <c r="D287">
        <v>3.4500999999999999</v>
      </c>
      <c r="E287">
        <v>3.923</v>
      </c>
      <c r="F287">
        <v>3396385.74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0.71994908165120952</v>
      </c>
      <c r="Q287">
        <f t="shared" si="965"/>
        <v>2445224.7944462639</v>
      </c>
      <c r="R287">
        <f t="shared" si="966"/>
        <v>-25056507.206364926</v>
      </c>
      <c r="S287">
        <f t="shared" si="967"/>
        <v>-250.56507206364927</v>
      </c>
      <c r="T287">
        <f t="shared" si="968"/>
        <v>-0.25056507206364925</v>
      </c>
    </row>
    <row r="288" spans="1:20" x14ac:dyDescent="0.25">
      <c r="A288" s="5">
        <v>44305</v>
      </c>
      <c r="B288">
        <v>4.0167000000000002</v>
      </c>
      <c r="C288">
        <v>4.2561999999999998</v>
      </c>
      <c r="D288">
        <v>3.6827000000000001</v>
      </c>
      <c r="E288">
        <v>3.9</v>
      </c>
      <c r="F288">
        <v>5255385.05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-0.24219703574542301</v>
      </c>
      <c r="Q288">
        <f t="shared" si="965"/>
        <v>-1272838.6808108117</v>
      </c>
      <c r="R288">
        <f t="shared" si="966"/>
        <v>-27501732.000811189</v>
      </c>
      <c r="S288">
        <f t="shared" si="967"/>
        <v>-275.01732000811188</v>
      </c>
      <c r="T288">
        <f t="shared" si="968"/>
        <v>-0.27501732000811185</v>
      </c>
    </row>
    <row r="289" spans="1:20" x14ac:dyDescent="0.25">
      <c r="A289" s="5">
        <v>44304</v>
      </c>
      <c r="B289">
        <v>4.7202000000000002</v>
      </c>
      <c r="C289">
        <v>4.76</v>
      </c>
      <c r="D289">
        <v>3.2160000000000002</v>
      </c>
      <c r="E289">
        <v>4.0194999999999999</v>
      </c>
      <c r="F289">
        <v>5037317.9800000004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4.0803108808289988E-2</v>
      </c>
      <c r="Q289">
        <f t="shared" si="965"/>
        <v>205538.23363989554</v>
      </c>
      <c r="R289">
        <f t="shared" si="966"/>
        <v>-26228893.320000377</v>
      </c>
      <c r="S289">
        <f t="shared" si="967"/>
        <v>-262.28893320000378</v>
      </c>
      <c r="T289">
        <f t="shared" si="968"/>
        <v>-0.26228893320000379</v>
      </c>
    </row>
    <row r="290" spans="1:20" x14ac:dyDescent="0.25">
      <c r="A290" s="5">
        <v>44303</v>
      </c>
      <c r="B290">
        <v>4.5202999999999998</v>
      </c>
      <c r="C290">
        <v>4.9917999999999996</v>
      </c>
      <c r="D290">
        <v>4.5015999999999998</v>
      </c>
      <c r="E290">
        <v>4.7114000000000003</v>
      </c>
      <c r="F290">
        <v>3420992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-0.14402284781721528</v>
      </c>
      <c r="Q290">
        <f t="shared" si="965"/>
        <v>-492701.0101999109</v>
      </c>
      <c r="R290">
        <f t="shared" si="966"/>
        <v>-26434431.553640272</v>
      </c>
      <c r="S290">
        <f t="shared" si="967"/>
        <v>-264.34431553640275</v>
      </c>
      <c r="T290">
        <f t="shared" si="968"/>
        <v>-0.26434431553640275</v>
      </c>
    </row>
    <row r="291" spans="1:20" x14ac:dyDescent="0.25">
      <c r="A291" s="5">
        <v>44302</v>
      </c>
      <c r="B291">
        <v>4.5812999999999997</v>
      </c>
      <c r="C291">
        <v>4.6166999999999998</v>
      </c>
      <c r="D291">
        <v>4.2502000000000004</v>
      </c>
      <c r="E291">
        <v>4.5202999999999998</v>
      </c>
      <c r="F291">
        <v>2305668.7000000002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0.47394270122782972</v>
      </c>
      <c r="Q291">
        <f t="shared" si="965"/>
        <v>1092754.8518144586</v>
      </c>
      <c r="R291">
        <f t="shared" si="966"/>
        <v>-25941730.543440361</v>
      </c>
      <c r="S291">
        <f t="shared" si="967"/>
        <v>-259.4173054344036</v>
      </c>
      <c r="T291">
        <f t="shared" si="968"/>
        <v>-0.25941730543440361</v>
      </c>
    </row>
    <row r="292" spans="1:20" x14ac:dyDescent="0.25">
      <c r="A292" s="5">
        <v>44301</v>
      </c>
      <c r="B292">
        <v>4.5475000000000003</v>
      </c>
      <c r="C292">
        <v>4.76</v>
      </c>
      <c r="D292">
        <v>4.4596999999999998</v>
      </c>
      <c r="E292">
        <v>4.5740999999999996</v>
      </c>
      <c r="F292">
        <v>1831532.01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-0.23809523809523922</v>
      </c>
      <c r="Q292">
        <f t="shared" si="965"/>
        <v>-436079.05000000208</v>
      </c>
      <c r="R292">
        <f t="shared" si="966"/>
        <v>-27034485.395254821</v>
      </c>
      <c r="S292">
        <f t="shared" si="967"/>
        <v>-270.34485395254819</v>
      </c>
      <c r="T292">
        <f t="shared" si="968"/>
        <v>-0.2703448539525482</v>
      </c>
    </row>
    <row r="293" spans="1:20" x14ac:dyDescent="0.25">
      <c r="A293" s="5">
        <v>44300</v>
      </c>
      <c r="B293">
        <v>4.6439000000000004</v>
      </c>
      <c r="C293">
        <v>4.87</v>
      </c>
      <c r="D293">
        <v>4.2720000000000002</v>
      </c>
      <c r="E293">
        <v>4.5484999999999998</v>
      </c>
      <c r="F293">
        <v>2978295.98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-7.5250836120402717E-2</v>
      </c>
      <c r="Q293">
        <f t="shared" si="965"/>
        <v>-224119.2627090342</v>
      </c>
      <c r="R293">
        <f t="shared" si="966"/>
        <v>-26598406.34525482</v>
      </c>
      <c r="S293">
        <f t="shared" si="967"/>
        <v>-265.98406345254818</v>
      </c>
      <c r="T293">
        <f t="shared" si="968"/>
        <v>-0.26598406345254816</v>
      </c>
    </row>
    <row r="294" spans="1:20" x14ac:dyDescent="0.25">
      <c r="A294" s="5">
        <v>44299</v>
      </c>
      <c r="B294">
        <v>4.9097</v>
      </c>
      <c r="C294">
        <v>4.9707999999999997</v>
      </c>
      <c r="D294">
        <v>4.5355999999999996</v>
      </c>
      <c r="E294">
        <v>4.6349999999999998</v>
      </c>
      <c r="F294">
        <v>2098097.9500000002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-0.54319852941176405</v>
      </c>
      <c r="Q294">
        <f t="shared" si="965"/>
        <v>-1139683.7210018369</v>
      </c>
      <c r="R294">
        <f t="shared" si="966"/>
        <v>-26374287.082545787</v>
      </c>
      <c r="S294">
        <f t="shared" si="967"/>
        <v>-263.74287082545789</v>
      </c>
      <c r="T294">
        <f t="shared" si="968"/>
        <v>-0.26374287082545789</v>
      </c>
    </row>
    <row r="295" spans="1:20" x14ac:dyDescent="0.25">
      <c r="A295" s="5">
        <v>44298</v>
      </c>
      <c r="B295">
        <v>5.1138000000000003</v>
      </c>
      <c r="C295">
        <v>5.3879999999999999</v>
      </c>
      <c r="D295">
        <v>4.8201000000000001</v>
      </c>
      <c r="E295">
        <v>4.9151999999999996</v>
      </c>
      <c r="F295">
        <v>2802513.78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-0.6650818806127855</v>
      </c>
      <c r="Q295">
        <f t="shared" si="965"/>
        <v>-1863901.1352456461</v>
      </c>
      <c r="R295">
        <f t="shared" si="966"/>
        <v>-25234603.36154395</v>
      </c>
      <c r="S295">
        <f t="shared" si="967"/>
        <v>-252.3460336154395</v>
      </c>
      <c r="T295">
        <f t="shared" si="968"/>
        <v>-0.2523460336154395</v>
      </c>
    </row>
    <row r="296" spans="1:20" x14ac:dyDescent="0.25">
      <c r="A296" s="5">
        <v>44297</v>
      </c>
      <c r="B296">
        <v>4.9598000000000004</v>
      </c>
      <c r="C296">
        <v>5.1467999999999998</v>
      </c>
      <c r="D296">
        <v>4.8108000000000004</v>
      </c>
      <c r="E296">
        <v>5.0991999999999997</v>
      </c>
      <c r="F296">
        <v>2226927.31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0.71666666666666567</v>
      </c>
      <c r="Q296">
        <f t="shared" si="965"/>
        <v>1595964.5721666645</v>
      </c>
      <c r="R296">
        <f t="shared" si="966"/>
        <v>-23370702.226298302</v>
      </c>
      <c r="S296">
        <f t="shared" si="967"/>
        <v>-233.70702226298303</v>
      </c>
      <c r="T296">
        <f t="shared" si="968"/>
        <v>-0.23370702226298304</v>
      </c>
    </row>
    <row r="297" spans="1:20" x14ac:dyDescent="0.25">
      <c r="A297" s="5">
        <v>44296</v>
      </c>
      <c r="B297">
        <v>5.1387</v>
      </c>
      <c r="C297">
        <v>5.53</v>
      </c>
      <c r="D297">
        <v>4.8318000000000003</v>
      </c>
      <c r="E297">
        <v>4.9599000000000002</v>
      </c>
      <c r="F297">
        <v>3468879.87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-0.63305643082211427</v>
      </c>
      <c r="Q297">
        <f t="shared" si="965"/>
        <v>-2195996.7094528796</v>
      </c>
      <c r="R297">
        <f t="shared" si="966"/>
        <v>-24966666.798464965</v>
      </c>
      <c r="S297">
        <f t="shared" si="967"/>
        <v>-249.66666798464965</v>
      </c>
      <c r="T297">
        <f t="shared" si="968"/>
        <v>-0.24966666798464965</v>
      </c>
    </row>
    <row r="298" spans="1:20" x14ac:dyDescent="0.25">
      <c r="A298" s="5">
        <v>44295</v>
      </c>
      <c r="B298">
        <v>5.3932000000000002</v>
      </c>
      <c r="C298">
        <v>5.4317000000000002</v>
      </c>
      <c r="D298">
        <v>5.0526999999999997</v>
      </c>
      <c r="E298">
        <v>5.1387999999999998</v>
      </c>
      <c r="F298">
        <v>2246893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-0.54564643799472312</v>
      </c>
      <c r="Q298">
        <f t="shared" si="965"/>
        <v>-1226009.1620052774</v>
      </c>
      <c r="R298">
        <f t="shared" si="966"/>
        <v>-22770670.089012086</v>
      </c>
      <c r="S298">
        <f t="shared" si="967"/>
        <v>-227.70670089012086</v>
      </c>
      <c r="T298">
        <f t="shared" si="968"/>
        <v>-0.22770670089012085</v>
      </c>
    </row>
    <row r="299" spans="1:20" x14ac:dyDescent="0.25">
      <c r="A299" s="5">
        <v>44294</v>
      </c>
      <c r="B299">
        <v>5.4877000000000002</v>
      </c>
      <c r="C299">
        <v>5.6803999999999997</v>
      </c>
      <c r="D299">
        <v>5.2009999999999996</v>
      </c>
      <c r="E299">
        <v>5.4</v>
      </c>
      <c r="F299">
        <v>3472012.04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-0.16979557780558735</v>
      </c>
      <c r="Q299">
        <f t="shared" si="965"/>
        <v>-589532.29047975608</v>
      </c>
      <c r="R299">
        <f t="shared" si="966"/>
        <v>-21544660.927006807</v>
      </c>
      <c r="S299">
        <f t="shared" si="967"/>
        <v>-215.44660927006808</v>
      </c>
      <c r="T299">
        <f t="shared" si="968"/>
        <v>-0.21544660927006809</v>
      </c>
    </row>
    <row r="300" spans="1:20" x14ac:dyDescent="0.25">
      <c r="A300" s="5">
        <v>44293</v>
      </c>
      <c r="B300">
        <v>5.0959000000000003</v>
      </c>
      <c r="C300">
        <v>5.8472999999999997</v>
      </c>
      <c r="D300">
        <v>4.7324000000000002</v>
      </c>
      <c r="E300">
        <v>5.4881000000000002</v>
      </c>
      <c r="F300">
        <v>8479956.8399999999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0.35563727688581998</v>
      </c>
      <c r="Q300">
        <f t="shared" si="965"/>
        <v>3015788.7586868829</v>
      </c>
      <c r="R300">
        <f t="shared" si="966"/>
        <v>-20955128.63652705</v>
      </c>
      <c r="S300">
        <f t="shared" si="967"/>
        <v>-209.5512863652705</v>
      </c>
      <c r="T300">
        <f t="shared" si="968"/>
        <v>-0.20955128636527051</v>
      </c>
    </row>
    <row r="301" spans="1:20" x14ac:dyDescent="0.25">
      <c r="A301" s="5">
        <v>44292</v>
      </c>
      <c r="B301">
        <v>4.7699999999999996</v>
      </c>
      <c r="C301">
        <v>5.2114000000000003</v>
      </c>
      <c r="D301">
        <v>4.6634000000000002</v>
      </c>
      <c r="E301">
        <v>5.0970000000000004</v>
      </c>
      <c r="F301">
        <v>4273186.84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0.58248175182481821</v>
      </c>
      <c r="Q301">
        <f t="shared" si="965"/>
        <v>2489053.3564379592</v>
      </c>
      <c r="R301">
        <f t="shared" si="966"/>
        <v>-23970917.395213932</v>
      </c>
      <c r="S301">
        <f t="shared" si="967"/>
        <v>-239.70917395213931</v>
      </c>
      <c r="T301">
        <f t="shared" si="968"/>
        <v>-0.23970917395213931</v>
      </c>
    </row>
    <row r="302" spans="1:20" x14ac:dyDescent="0.25">
      <c r="A302" s="5">
        <v>44291</v>
      </c>
      <c r="B302">
        <v>5.1039000000000003</v>
      </c>
      <c r="C302">
        <v>5.1772999999999998</v>
      </c>
      <c r="D302">
        <v>4.6859000000000002</v>
      </c>
      <c r="E302">
        <v>4.7698</v>
      </c>
      <c r="F302">
        <v>3550929.05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-0.65852665852665881</v>
      </c>
      <c r="Q302">
        <f t="shared" si="965"/>
        <v>-2338381.4419617429</v>
      </c>
      <c r="R302">
        <f t="shared" si="966"/>
        <v>-26459970.751651891</v>
      </c>
      <c r="S302">
        <f t="shared" si="967"/>
        <v>-264.59970751651889</v>
      </c>
      <c r="T302">
        <f t="shared" si="968"/>
        <v>-0.2645997075165189</v>
      </c>
    </row>
    <row r="303" spans="1:20" x14ac:dyDescent="0.25">
      <c r="A303" s="5">
        <v>44290</v>
      </c>
      <c r="B303">
        <v>4.9821999999999997</v>
      </c>
      <c r="C303">
        <v>5.6</v>
      </c>
      <c r="D303">
        <v>4.9000000000000004</v>
      </c>
      <c r="E303">
        <v>5.0968999999999998</v>
      </c>
      <c r="F303">
        <v>4432514.66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-0.43742857142857255</v>
      </c>
      <c r="Q303">
        <f t="shared" si="965"/>
        <v>-1938908.5555600051</v>
      </c>
      <c r="R303">
        <f t="shared" si="966"/>
        <v>-24121589.309690148</v>
      </c>
      <c r="S303">
        <f t="shared" si="967"/>
        <v>-241.21589309690148</v>
      </c>
      <c r="T303">
        <f t="shared" si="968"/>
        <v>-0.24121589309690147</v>
      </c>
    </row>
    <row r="304" spans="1:20" x14ac:dyDescent="0.25">
      <c r="A304" s="5">
        <v>44289</v>
      </c>
      <c r="B304">
        <v>4.6584000000000003</v>
      </c>
      <c r="C304">
        <v>5.4774000000000003</v>
      </c>
      <c r="D304">
        <v>4.4404000000000003</v>
      </c>
      <c r="E304">
        <v>4.9753999999999996</v>
      </c>
      <c r="F304">
        <v>8498544.3399999999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3.1822565091609051E-2</v>
      </c>
      <c r="Q304">
        <f t="shared" si="965"/>
        <v>270445.48044357565</v>
      </c>
      <c r="R304">
        <f t="shared" si="966"/>
        <v>-22182680.754130144</v>
      </c>
      <c r="S304">
        <f t="shared" si="967"/>
        <v>-221.82680754130143</v>
      </c>
      <c r="T304">
        <f t="shared" si="968"/>
        <v>-0.22182680754130144</v>
      </c>
    </row>
    <row r="305" spans="1:20" x14ac:dyDescent="0.25">
      <c r="A305" s="5">
        <v>44288</v>
      </c>
      <c r="B305">
        <v>4.8581000000000003</v>
      </c>
      <c r="C305">
        <v>5.25</v>
      </c>
      <c r="D305">
        <v>4.5384000000000002</v>
      </c>
      <c r="E305">
        <v>4.6525999999999996</v>
      </c>
      <c r="F305">
        <v>3872252.57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-0.67903316469927077</v>
      </c>
      <c r="Q305">
        <f t="shared" si="965"/>
        <v>-2629387.9171219845</v>
      </c>
      <c r="R305">
        <f t="shared" si="966"/>
        <v>-22453126.234573718</v>
      </c>
      <c r="S305">
        <f t="shared" si="967"/>
        <v>-224.53126234573719</v>
      </c>
      <c r="T305">
        <f t="shared" si="968"/>
        <v>-0.2245312623457372</v>
      </c>
    </row>
    <row r="306" spans="1:20" x14ac:dyDescent="0.25">
      <c r="A306" s="5">
        <v>44287</v>
      </c>
      <c r="B306">
        <v>4.8034999999999997</v>
      </c>
      <c r="C306">
        <v>5.0999999999999996</v>
      </c>
      <c r="D306">
        <v>4.4737</v>
      </c>
      <c r="E306">
        <v>4.8582000000000001</v>
      </c>
      <c r="F306">
        <v>4745215.1900000004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0.22784608015328209</v>
      </c>
      <c r="Q306">
        <f t="shared" si="965"/>
        <v>1081178.6805253117</v>
      </c>
      <c r="R306">
        <f t="shared" si="966"/>
        <v>-19823738.317451734</v>
      </c>
      <c r="S306">
        <f t="shared" si="967"/>
        <v>-198.23738317451733</v>
      </c>
      <c r="T306">
        <f t="shared" si="968"/>
        <v>-0.19823738317451733</v>
      </c>
    </row>
    <row r="307" spans="1:20" x14ac:dyDescent="0.25">
      <c r="A307" s="5">
        <v>44286</v>
      </c>
      <c r="B307">
        <v>4.2835000000000001</v>
      </c>
      <c r="C307">
        <v>4.9800000000000004</v>
      </c>
      <c r="D307">
        <v>3.9836</v>
      </c>
      <c r="E307">
        <v>4.8022999999999998</v>
      </c>
      <c r="F307">
        <v>7544342.5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0.64331593737454729</v>
      </c>
      <c r="Q307">
        <f t="shared" si="965"/>
        <v>4853395.7672621356</v>
      </c>
      <c r="R307">
        <f t="shared" si="966"/>
        <v>-20904916.997977044</v>
      </c>
      <c r="S307">
        <f t="shared" si="967"/>
        <v>-209.04916997977045</v>
      </c>
      <c r="T307">
        <f t="shared" si="968"/>
        <v>-0.20904916997977047</v>
      </c>
    </row>
    <row r="308" spans="1:20" x14ac:dyDescent="0.25">
      <c r="A308" s="5">
        <v>44285</v>
      </c>
      <c r="B308">
        <v>3.8504</v>
      </c>
      <c r="C308">
        <v>4.4210000000000003</v>
      </c>
      <c r="D308">
        <v>3.7621000000000002</v>
      </c>
      <c r="E308">
        <v>4.2835000000000001</v>
      </c>
      <c r="F308">
        <v>6086076.5999999996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0.5826377295492482</v>
      </c>
      <c r="Q308">
        <f t="shared" si="965"/>
        <v>3545977.8520868076</v>
      </c>
      <c r="R308">
        <f t="shared" si="966"/>
        <v>-25758312.765239179</v>
      </c>
      <c r="S308">
        <f t="shared" si="967"/>
        <v>-257.58312765239179</v>
      </c>
      <c r="T308">
        <f t="shared" si="968"/>
        <v>-0.25758312765239177</v>
      </c>
    </row>
    <row r="309" spans="1:20" x14ac:dyDescent="0.25">
      <c r="A309" s="5">
        <v>44284</v>
      </c>
      <c r="B309">
        <v>3.3917999999999999</v>
      </c>
      <c r="C309">
        <v>3.92</v>
      </c>
      <c r="D309">
        <v>3.3437999999999999</v>
      </c>
      <c r="E309">
        <v>3.8502000000000001</v>
      </c>
      <c r="F309">
        <v>3694154.08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0.75772301284276344</v>
      </c>
      <c r="Q309">
        <f t="shared" si="965"/>
        <v>2799145.5594029869</v>
      </c>
      <c r="R309">
        <f t="shared" si="966"/>
        <v>-29304290.617325988</v>
      </c>
      <c r="S309">
        <f t="shared" si="967"/>
        <v>-293.04290617325989</v>
      </c>
      <c r="T309">
        <f t="shared" si="968"/>
        <v>-0.2930429061732599</v>
      </c>
    </row>
    <row r="310" spans="1:20" x14ac:dyDescent="0.25">
      <c r="A310" s="5">
        <v>44283</v>
      </c>
      <c r="B310">
        <v>3.4222999999999999</v>
      </c>
      <c r="C310">
        <v>3.66</v>
      </c>
      <c r="D310">
        <v>3.2839</v>
      </c>
      <c r="E310">
        <v>3.3946999999999998</v>
      </c>
      <c r="F310">
        <v>3311131.12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-0.41079500132943497</v>
      </c>
      <c r="Q310">
        <f t="shared" si="965"/>
        <v>-1360196.1128423335</v>
      </c>
      <c r="R310">
        <f t="shared" si="966"/>
        <v>-32103436.176728975</v>
      </c>
      <c r="S310">
        <f t="shared" si="967"/>
        <v>-321.03436176728974</v>
      </c>
      <c r="T310">
        <f t="shared" si="968"/>
        <v>-0.32103436176728972</v>
      </c>
    </row>
    <row r="311" spans="1:20" x14ac:dyDescent="0.25">
      <c r="A311" s="5">
        <v>44282</v>
      </c>
      <c r="B311">
        <v>3.0185</v>
      </c>
      <c r="C311">
        <v>3.5266000000000002</v>
      </c>
      <c r="D311">
        <v>2.9609999999999999</v>
      </c>
      <c r="E311">
        <v>3.4222999999999999</v>
      </c>
      <c r="F311">
        <v>4071665.01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0.63118811881188042</v>
      </c>
      <c r="Q311">
        <f t="shared" si="965"/>
        <v>2569986.5780940563</v>
      </c>
      <c r="R311">
        <f t="shared" si="966"/>
        <v>-30743240.063886642</v>
      </c>
      <c r="S311">
        <f t="shared" si="967"/>
        <v>-307.4324006388664</v>
      </c>
      <c r="T311">
        <f t="shared" si="968"/>
        <v>-0.3074324006388664</v>
      </c>
    </row>
    <row r="312" spans="1:20" x14ac:dyDescent="0.25">
      <c r="A312" s="5">
        <v>44281</v>
      </c>
      <c r="B312">
        <v>2.6776</v>
      </c>
      <c r="C312">
        <v>3.1</v>
      </c>
      <c r="D312">
        <v>2.6758000000000002</v>
      </c>
      <c r="E312">
        <v>3.0185</v>
      </c>
      <c r="F312">
        <v>2860912.83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0.61574728901461506</v>
      </c>
      <c r="Q312">
        <f t="shared" si="965"/>
        <v>1761599.3191796304</v>
      </c>
      <c r="R312">
        <f t="shared" si="966"/>
        <v>-33313226.6419807</v>
      </c>
      <c r="S312">
        <f t="shared" si="967"/>
        <v>-333.13226641980702</v>
      </c>
      <c r="T312">
        <f t="shared" si="968"/>
        <v>-0.33313226641980703</v>
      </c>
    </row>
    <row r="313" spans="1:20" x14ac:dyDescent="0.25">
      <c r="A313" s="5">
        <v>44280</v>
      </c>
      <c r="B313">
        <v>2.7629000000000001</v>
      </c>
      <c r="C313">
        <v>3.0028999999999999</v>
      </c>
      <c r="D313">
        <v>2.5832999999999999</v>
      </c>
      <c r="E313">
        <v>2.6698</v>
      </c>
      <c r="F313">
        <v>4076820.78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-0.58770257387988545</v>
      </c>
      <c r="Q313">
        <f t="shared" si="965"/>
        <v>-2395958.0656530019</v>
      </c>
      <c r="R313">
        <f t="shared" si="966"/>
        <v>-35074825.961160332</v>
      </c>
      <c r="S313">
        <f t="shared" si="967"/>
        <v>-350.74825961160332</v>
      </c>
      <c r="T313">
        <f t="shared" si="968"/>
        <v>-0.35074825961160333</v>
      </c>
    </row>
    <row r="314" spans="1:20" x14ac:dyDescent="0.25">
      <c r="A314" s="5">
        <v>44279</v>
      </c>
      <c r="B314">
        <v>3.1002999999999998</v>
      </c>
      <c r="C314">
        <v>3.3</v>
      </c>
      <c r="D314">
        <v>2.6004</v>
      </c>
      <c r="E314">
        <v>2.7707999999999999</v>
      </c>
      <c r="F314">
        <v>3294378.63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-0.51286449399656964</v>
      </c>
      <c r="Q314">
        <f t="shared" si="965"/>
        <v>-1689569.8291080622</v>
      </c>
      <c r="R314">
        <f t="shared" si="966"/>
        <v>-32678867.895507328</v>
      </c>
      <c r="S314">
        <f t="shared" si="967"/>
        <v>-326.78867895507329</v>
      </c>
      <c r="T314">
        <f t="shared" si="968"/>
        <v>-0.3267886789550733</v>
      </c>
    </row>
    <row r="315" spans="1:20" x14ac:dyDescent="0.25">
      <c r="A315" s="5">
        <v>44278</v>
      </c>
      <c r="B315">
        <v>3.3969999999999998</v>
      </c>
      <c r="C315">
        <v>3.4979</v>
      </c>
      <c r="D315">
        <v>3.0792000000000002</v>
      </c>
      <c r="E315">
        <v>3.0985999999999998</v>
      </c>
      <c r="F315">
        <v>3653253.51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-0.90733221877239245</v>
      </c>
      <c r="Q315">
        <f t="shared" si="965"/>
        <v>-3314714.6129663303</v>
      </c>
      <c r="R315">
        <f t="shared" si="966"/>
        <v>-30989298.066399265</v>
      </c>
      <c r="S315">
        <f t="shared" si="967"/>
        <v>-309.89298066399266</v>
      </c>
      <c r="T315">
        <f t="shared" si="968"/>
        <v>-0.30989298066399268</v>
      </c>
    </row>
    <row r="316" spans="1:20" x14ac:dyDescent="0.25">
      <c r="A316" s="5">
        <v>44277</v>
      </c>
      <c r="B316">
        <v>3.4765000000000001</v>
      </c>
      <c r="C316">
        <v>3.8902999999999999</v>
      </c>
      <c r="D316">
        <v>3.2913000000000001</v>
      </c>
      <c r="E316">
        <v>3.4032</v>
      </c>
      <c r="F316">
        <v>4464968.59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-0.62637729549248766</v>
      </c>
      <c r="Q316">
        <f t="shared" si="965"/>
        <v>-2796754.949863106</v>
      </c>
      <c r="R316">
        <f t="shared" si="966"/>
        <v>-27674583.453432936</v>
      </c>
      <c r="S316">
        <f t="shared" si="967"/>
        <v>-276.74583453432939</v>
      </c>
      <c r="T316">
        <f t="shared" si="968"/>
        <v>-0.27674583453432938</v>
      </c>
    </row>
    <row r="317" spans="1:20" x14ac:dyDescent="0.25">
      <c r="A317" s="5">
        <v>44276</v>
      </c>
      <c r="B317">
        <v>3.4382000000000001</v>
      </c>
      <c r="C317">
        <v>3.5558000000000001</v>
      </c>
      <c r="D317">
        <v>3.2414000000000001</v>
      </c>
      <c r="E317">
        <v>3.4775</v>
      </c>
      <c r="F317">
        <v>2395796.2799999998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0.50190839694656464</v>
      </c>
      <c r="Q317">
        <f t="shared" si="965"/>
        <v>1202470.2703053427</v>
      </c>
      <c r="R317">
        <f t="shared" si="966"/>
        <v>-24877828.50356983</v>
      </c>
      <c r="S317">
        <f t="shared" si="967"/>
        <v>-248.7782850356983</v>
      </c>
      <c r="T317">
        <f t="shared" si="968"/>
        <v>-0.24877828503569829</v>
      </c>
    </row>
    <row r="318" spans="1:20" x14ac:dyDescent="0.25">
      <c r="A318" s="5">
        <v>44275</v>
      </c>
      <c r="B318">
        <v>3.7115</v>
      </c>
      <c r="C318">
        <v>3.94</v>
      </c>
      <c r="D318">
        <v>3.4253</v>
      </c>
      <c r="E318">
        <v>3.4388999999999998</v>
      </c>
      <c r="F318">
        <v>2799215.98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-0.94715368175636361</v>
      </c>
      <c r="Q318">
        <f t="shared" si="965"/>
        <v>-2651287.7214882476</v>
      </c>
      <c r="R318">
        <f t="shared" si="966"/>
        <v>-26080298.773875173</v>
      </c>
      <c r="S318">
        <f t="shared" si="967"/>
        <v>-260.80298773875171</v>
      </c>
      <c r="T318">
        <f t="shared" si="968"/>
        <v>-0.26080298773875171</v>
      </c>
    </row>
    <row r="319" spans="1:20" x14ac:dyDescent="0.25">
      <c r="A319" s="5">
        <v>44274</v>
      </c>
      <c r="B319">
        <v>3.9674</v>
      </c>
      <c r="C319">
        <v>4.1397000000000004</v>
      </c>
      <c r="D319">
        <v>3.7050999999999998</v>
      </c>
      <c r="E319">
        <v>3.7149999999999999</v>
      </c>
      <c r="F319">
        <v>3089496.2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-0.95444086516336857</v>
      </c>
      <c r="Q319">
        <f t="shared" si="965"/>
        <v>-2948741.4260469396</v>
      </c>
      <c r="R319">
        <f t="shared" si="966"/>
        <v>-23429011.052386925</v>
      </c>
      <c r="S319">
        <f t="shared" si="967"/>
        <v>-234.29011052386926</v>
      </c>
      <c r="T319">
        <f t="shared" si="968"/>
        <v>-0.23429011052386925</v>
      </c>
    </row>
    <row r="320" spans="1:20" x14ac:dyDescent="0.25">
      <c r="A320" s="5">
        <v>44273</v>
      </c>
      <c r="B320">
        <v>3.77</v>
      </c>
      <c r="C320">
        <v>4.298</v>
      </c>
      <c r="D320">
        <v>3.6997</v>
      </c>
      <c r="E320">
        <v>3.9674</v>
      </c>
      <c r="F320">
        <v>4561007.8499999996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-0.10513120508106293</v>
      </c>
      <c r="Q320">
        <f t="shared" si="965"/>
        <v>-479504.25165468786</v>
      </c>
      <c r="R320">
        <f t="shared" si="966"/>
        <v>-20480269.626339983</v>
      </c>
      <c r="S320">
        <f t="shared" si="967"/>
        <v>-204.80269626339984</v>
      </c>
      <c r="T320">
        <f t="shared" si="968"/>
        <v>-0.20480269626339984</v>
      </c>
    </row>
    <row r="321" spans="1:20" x14ac:dyDescent="0.25">
      <c r="A321" s="5">
        <v>44272</v>
      </c>
      <c r="B321">
        <v>3.8904999999999998</v>
      </c>
      <c r="C321">
        <v>3.96</v>
      </c>
      <c r="D321">
        <v>3.4609999999999999</v>
      </c>
      <c r="E321">
        <v>3.7698</v>
      </c>
      <c r="F321">
        <v>4570734.0999999996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0.23767535070140328</v>
      </c>
      <c r="Q321">
        <f t="shared" si="965"/>
        <v>1086350.8301803628</v>
      </c>
      <c r="R321">
        <f t="shared" si="966"/>
        <v>-20000765.374685295</v>
      </c>
      <c r="S321">
        <f t="shared" si="967"/>
        <v>-200.00765374685295</v>
      </c>
      <c r="T321">
        <f t="shared" si="968"/>
        <v>-0.20000765374685295</v>
      </c>
    </row>
    <row r="322" spans="1:20" x14ac:dyDescent="0.25">
      <c r="A322" s="5">
        <v>44271</v>
      </c>
      <c r="B322">
        <v>3.2725</v>
      </c>
      <c r="C322">
        <v>4.18</v>
      </c>
      <c r="D322">
        <v>3.1002999999999998</v>
      </c>
      <c r="E322">
        <v>3.8892000000000002</v>
      </c>
      <c r="F322">
        <v>8187293.8099999996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0.46133185144021571</v>
      </c>
      <c r="Q322">
        <f t="shared" si="965"/>
        <v>3777059.4116523173</v>
      </c>
      <c r="R322">
        <f t="shared" si="966"/>
        <v>-21087116.204865657</v>
      </c>
      <c r="S322">
        <f t="shared" si="967"/>
        <v>-210.87116204865657</v>
      </c>
      <c r="T322">
        <f t="shared" si="968"/>
        <v>-0.21087116204865658</v>
      </c>
    </row>
    <row r="323" spans="1:20" x14ac:dyDescent="0.25">
      <c r="A323" s="5">
        <v>44270</v>
      </c>
      <c r="B323">
        <v>3.4258999999999999</v>
      </c>
      <c r="C323">
        <v>3.6307</v>
      </c>
      <c r="D323">
        <v>2.9550000000000001</v>
      </c>
      <c r="E323">
        <v>3.2738</v>
      </c>
      <c r="F323">
        <v>9567449.5999999996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-5.6385970105076254E-2</v>
      </c>
      <c r="Q323">
        <f t="shared" si="965"/>
        <v>-539469.9271274237</v>
      </c>
      <c r="R323">
        <f t="shared" si="966"/>
        <v>-24864175.616517972</v>
      </c>
      <c r="S323">
        <f t="shared" si="967"/>
        <v>-248.64175616517971</v>
      </c>
      <c r="T323">
        <f t="shared" si="968"/>
        <v>-0.24864175616517972</v>
      </c>
    </row>
    <row r="324" spans="1:20" x14ac:dyDescent="0.25">
      <c r="A324" s="5">
        <v>44269</v>
      </c>
      <c r="B324">
        <v>2.9735999999999998</v>
      </c>
      <c r="C324">
        <v>3.8306</v>
      </c>
      <c r="D324">
        <v>2.8332000000000002</v>
      </c>
      <c r="E324">
        <v>3.4354</v>
      </c>
      <c r="F324">
        <v>13118516.98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0.20753960296771595</v>
      </c>
      <c r="Q324">
        <f t="shared" si="965"/>
        <v>2722611.8055544402</v>
      </c>
      <c r="R324">
        <f t="shared" si="966"/>
        <v>-24324705.689390548</v>
      </c>
      <c r="S324">
        <f t="shared" si="967"/>
        <v>-243.24705689390547</v>
      </c>
      <c r="T324">
        <f t="shared" si="968"/>
        <v>-0.24324705689390547</v>
      </c>
    </row>
    <row r="325" spans="1:20" x14ac:dyDescent="0.25">
      <c r="A325" s="5">
        <v>44268</v>
      </c>
      <c r="B325">
        <v>2.5209000000000001</v>
      </c>
      <c r="C325">
        <v>3.0897000000000001</v>
      </c>
      <c r="D325">
        <v>2.4049999999999998</v>
      </c>
      <c r="E325">
        <v>2.9689000000000001</v>
      </c>
      <c r="F325">
        <v>6180568.6699999999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0.64714473492040325</v>
      </c>
      <c r="Q325">
        <f t="shared" si="965"/>
        <v>3999722.4736044994</v>
      </c>
      <c r="R325">
        <f t="shared" si="966"/>
        <v>-27047317.49494499</v>
      </c>
      <c r="S325">
        <f t="shared" si="967"/>
        <v>-270.47317494944991</v>
      </c>
      <c r="T325">
        <f t="shared" si="968"/>
        <v>-0.27047317494944989</v>
      </c>
    </row>
    <row r="326" spans="1:20" x14ac:dyDescent="0.25">
      <c r="A326" s="5">
        <v>44267</v>
      </c>
      <c r="B326">
        <v>2.7296999999999998</v>
      </c>
      <c r="C326">
        <v>2.8757000000000001</v>
      </c>
      <c r="D326">
        <v>2.4077000000000002</v>
      </c>
      <c r="E326">
        <v>2.5205000000000002</v>
      </c>
      <c r="F326">
        <v>3098182.79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-0.51794871794871788</v>
      </c>
      <c r="Q326">
        <f t="shared" ref="Q326:Q389" si="970">F326*P326</f>
        <v>-1604699.8040512819</v>
      </c>
      <c r="R326">
        <f t="shared" ref="R326:R389" si="971">R327+Q326</f>
        <v>-31047039.96854949</v>
      </c>
      <c r="S326">
        <f t="shared" ref="S326:S389" si="972">R326/100000</f>
        <v>-310.4703996854949</v>
      </c>
      <c r="T326">
        <f t="shared" ref="T326:T389" si="973">S326/1000</f>
        <v>-0.31047039968549489</v>
      </c>
    </row>
    <row r="327" spans="1:20" x14ac:dyDescent="0.25">
      <c r="A327" s="5">
        <v>44266</v>
      </c>
      <c r="B327">
        <v>2.7368999999999999</v>
      </c>
      <c r="C327">
        <v>2.85</v>
      </c>
      <c r="D327">
        <v>2.6187999999999998</v>
      </c>
      <c r="E327">
        <v>2.7307999999999999</v>
      </c>
      <c r="F327">
        <v>2615811.08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-3.11418685121111E-2</v>
      </c>
      <c r="Q327">
        <f t="shared" si="970"/>
        <v>-81461.244705883335</v>
      </c>
      <c r="R327">
        <f t="shared" si="971"/>
        <v>-29442340.16449821</v>
      </c>
      <c r="S327">
        <f t="shared" si="972"/>
        <v>-294.42340164498211</v>
      </c>
      <c r="T327">
        <f t="shared" si="973"/>
        <v>-0.2944234016449821</v>
      </c>
    </row>
    <row r="328" spans="1:20" x14ac:dyDescent="0.25">
      <c r="A328" s="5">
        <v>44265</v>
      </c>
      <c r="B328">
        <v>3.1049000000000002</v>
      </c>
      <c r="C328">
        <v>3.1141999999999999</v>
      </c>
      <c r="D328">
        <v>2.6852</v>
      </c>
      <c r="E328">
        <v>2.7334999999999998</v>
      </c>
      <c r="F328">
        <v>2440091.5699999998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-0.77482517482517577</v>
      </c>
      <c r="Q328">
        <f t="shared" si="970"/>
        <v>-1890644.3773146875</v>
      </c>
      <c r="R328">
        <f t="shared" si="971"/>
        <v>-29360878.919792328</v>
      </c>
      <c r="S328">
        <f t="shared" si="972"/>
        <v>-293.60878919792327</v>
      </c>
      <c r="T328">
        <f t="shared" si="973"/>
        <v>-0.29360878919792327</v>
      </c>
    </row>
    <row r="329" spans="1:20" x14ac:dyDescent="0.25">
      <c r="A329" s="5">
        <v>44264</v>
      </c>
      <c r="B329">
        <v>2.6604999999999999</v>
      </c>
      <c r="C329">
        <v>3.1444000000000001</v>
      </c>
      <c r="D329">
        <v>2.6303000000000001</v>
      </c>
      <c r="E329">
        <v>3.0992000000000002</v>
      </c>
      <c r="F329">
        <v>4292384.2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0.82415872398366108</v>
      </c>
      <c r="Q329">
        <f t="shared" si="970"/>
        <v>3537605.8851196282</v>
      </c>
      <c r="R329">
        <f t="shared" si="971"/>
        <v>-27470234.542477641</v>
      </c>
      <c r="S329">
        <f t="shared" si="972"/>
        <v>-274.70234542477641</v>
      </c>
      <c r="T329">
        <f t="shared" si="973"/>
        <v>-0.2747023454247764</v>
      </c>
    </row>
    <row r="330" spans="1:20" x14ac:dyDescent="0.25">
      <c r="A330" s="5">
        <v>44263</v>
      </c>
      <c r="B330">
        <v>2.7368000000000001</v>
      </c>
      <c r="C330">
        <v>2.78</v>
      </c>
      <c r="D330">
        <v>2.5790000000000002</v>
      </c>
      <c r="E330">
        <v>2.6579999999999999</v>
      </c>
      <c r="F330">
        <v>1907451.39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-0.2139303482587076</v>
      </c>
      <c r="Q330">
        <f t="shared" si="970"/>
        <v>-408061.7401492559</v>
      </c>
      <c r="R330">
        <f t="shared" si="971"/>
        <v>-31007840.427597269</v>
      </c>
      <c r="S330">
        <f t="shared" si="972"/>
        <v>-310.07840427597267</v>
      </c>
      <c r="T330">
        <f t="shared" si="973"/>
        <v>-0.31007840427597266</v>
      </c>
    </row>
    <row r="331" spans="1:20" x14ac:dyDescent="0.25">
      <c r="A331" s="5">
        <v>44262</v>
      </c>
      <c r="B331">
        <v>2.8672</v>
      </c>
      <c r="C331">
        <v>3.0196999999999998</v>
      </c>
      <c r="D331">
        <v>2.6360000000000001</v>
      </c>
      <c r="E331">
        <v>2.7397999999999998</v>
      </c>
      <c r="F331">
        <v>4575102.67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-0.45895230648944618</v>
      </c>
      <c r="Q331">
        <f t="shared" si="970"/>
        <v>-2099753.9228225234</v>
      </c>
      <c r="R331">
        <f t="shared" si="971"/>
        <v>-30599778.687448014</v>
      </c>
      <c r="S331">
        <f t="shared" si="972"/>
        <v>-305.99778687448014</v>
      </c>
      <c r="T331">
        <f t="shared" si="973"/>
        <v>-0.30599778687448015</v>
      </c>
    </row>
    <row r="332" spans="1:20" x14ac:dyDescent="0.25">
      <c r="A332" s="5">
        <v>44261</v>
      </c>
      <c r="B332">
        <v>2.4470999999999998</v>
      </c>
      <c r="C332">
        <v>2.9885999999999999</v>
      </c>
      <c r="D332">
        <v>2.4470999999999998</v>
      </c>
      <c r="E332">
        <v>2.8651</v>
      </c>
      <c r="F332">
        <v>8503877.9600000009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0.54385964912280726</v>
      </c>
      <c r="Q332">
        <f t="shared" si="970"/>
        <v>4624916.0835087746</v>
      </c>
      <c r="R332">
        <f t="shared" si="971"/>
        <v>-28500024.76462549</v>
      </c>
      <c r="S332">
        <f t="shared" si="972"/>
        <v>-285.00024764625488</v>
      </c>
      <c r="T332">
        <f t="shared" si="973"/>
        <v>-0.28500024764625487</v>
      </c>
    </row>
    <row r="333" spans="1:20" x14ac:dyDescent="0.25">
      <c r="A333" s="5">
        <v>44260</v>
      </c>
      <c r="B333">
        <v>2.1852999999999998</v>
      </c>
      <c r="C333">
        <v>2.5476000000000001</v>
      </c>
      <c r="D333">
        <v>2.0404</v>
      </c>
      <c r="E333">
        <v>2.4464000000000001</v>
      </c>
      <c r="F333">
        <v>4290364.17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0.60094637223974789</v>
      </c>
      <c r="Q333">
        <f t="shared" si="970"/>
        <v>2578278.7835488971</v>
      </c>
      <c r="R333">
        <f t="shared" si="971"/>
        <v>-33124940.848134264</v>
      </c>
      <c r="S333">
        <f t="shared" si="972"/>
        <v>-331.24940848134264</v>
      </c>
      <c r="T333">
        <f t="shared" si="973"/>
        <v>-0.33124940848134266</v>
      </c>
    </row>
    <row r="334" spans="1:20" x14ac:dyDescent="0.25">
      <c r="A334" s="5">
        <v>44259</v>
      </c>
      <c r="B334">
        <v>2.2534999999999998</v>
      </c>
      <c r="C334">
        <v>2.4445000000000001</v>
      </c>
      <c r="D334">
        <v>2.1402000000000001</v>
      </c>
      <c r="E334">
        <v>2.1890999999999998</v>
      </c>
      <c r="F334">
        <v>2572441.83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-0.67860663818600253</v>
      </c>
      <c r="Q334">
        <f t="shared" si="970"/>
        <v>-1745676.1021853483</v>
      </c>
      <c r="R334">
        <f t="shared" si="971"/>
        <v>-35703219.631683163</v>
      </c>
      <c r="S334">
        <f t="shared" si="972"/>
        <v>-357.03219631683163</v>
      </c>
      <c r="T334">
        <f t="shared" si="973"/>
        <v>-0.35703219631683164</v>
      </c>
    </row>
    <row r="335" spans="1:20" x14ac:dyDescent="0.25">
      <c r="A335" s="5">
        <v>44258</v>
      </c>
      <c r="B335">
        <v>2.0613000000000001</v>
      </c>
      <c r="C335">
        <v>2.3919999999999999</v>
      </c>
      <c r="D335">
        <v>2.0402</v>
      </c>
      <c r="E335">
        <v>2.2534999999999998</v>
      </c>
      <c r="F335">
        <v>2868379.72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0.21262080727686122</v>
      </c>
      <c r="Q335">
        <f t="shared" si="970"/>
        <v>609877.2116429772</v>
      </c>
      <c r="R335">
        <f t="shared" si="971"/>
        <v>-33957543.529497817</v>
      </c>
      <c r="S335">
        <f t="shared" si="972"/>
        <v>-339.57543529497815</v>
      </c>
      <c r="T335">
        <f t="shared" si="973"/>
        <v>-0.33957543529497813</v>
      </c>
    </row>
    <row r="336" spans="1:20" x14ac:dyDescent="0.25">
      <c r="A336" s="5">
        <v>44257</v>
      </c>
      <c r="B336">
        <v>2.1459000000000001</v>
      </c>
      <c r="C336">
        <v>2.2696999999999998</v>
      </c>
      <c r="D336">
        <v>1.9842</v>
      </c>
      <c r="E336">
        <v>2.0701000000000001</v>
      </c>
      <c r="F336">
        <v>2081546.11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-0.39824868651488526</v>
      </c>
      <c r="Q336">
        <f t="shared" si="970"/>
        <v>-828973.00422766886</v>
      </c>
      <c r="R336">
        <f t="shared" si="971"/>
        <v>-34567420.741140798</v>
      </c>
      <c r="S336">
        <f t="shared" si="972"/>
        <v>-345.67420741140796</v>
      </c>
      <c r="T336">
        <f t="shared" si="973"/>
        <v>-0.34567420741140797</v>
      </c>
    </row>
    <row r="337" spans="1:20" x14ac:dyDescent="0.25">
      <c r="A337" s="5">
        <v>44256</v>
      </c>
      <c r="B337">
        <v>1.9298999999999999</v>
      </c>
      <c r="C337">
        <v>2.1932</v>
      </c>
      <c r="D337">
        <v>1.9084000000000001</v>
      </c>
      <c r="E337">
        <v>2.1467999999999998</v>
      </c>
      <c r="F337">
        <v>1585467.54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0.67415730337078494</v>
      </c>
      <c r="Q337">
        <f t="shared" si="970"/>
        <v>1068854.521348312</v>
      </c>
      <c r="R337">
        <f t="shared" si="971"/>
        <v>-33738447.73691313</v>
      </c>
      <c r="S337">
        <f t="shared" si="972"/>
        <v>-337.38447736913128</v>
      </c>
      <c r="T337">
        <f t="shared" si="973"/>
        <v>-0.3373844773691313</v>
      </c>
    </row>
    <row r="338" spans="1:20" x14ac:dyDescent="0.25">
      <c r="A338" s="5">
        <v>44255</v>
      </c>
      <c r="B338">
        <v>2.0354000000000001</v>
      </c>
      <c r="C338">
        <v>2.0649999999999999</v>
      </c>
      <c r="D338">
        <v>1.7518</v>
      </c>
      <c r="E338">
        <v>1.9204000000000001</v>
      </c>
      <c r="F338">
        <v>2178198.79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7.6628352490422255E-2</v>
      </c>
      <c r="Q338">
        <f t="shared" si="970"/>
        <v>166911.78467433125</v>
      </c>
      <c r="R338">
        <f t="shared" si="971"/>
        <v>-34807302.258261442</v>
      </c>
      <c r="S338">
        <f t="shared" si="972"/>
        <v>-348.07302258261444</v>
      </c>
      <c r="T338">
        <f t="shared" si="973"/>
        <v>-0.34807302258261447</v>
      </c>
    </row>
    <row r="339" spans="1:20" x14ac:dyDescent="0.25">
      <c r="A339" s="5">
        <v>44254</v>
      </c>
      <c r="B339">
        <v>1.91</v>
      </c>
      <c r="C339">
        <v>2.2271000000000001</v>
      </c>
      <c r="D339">
        <v>1.9012</v>
      </c>
      <c r="E339">
        <v>2.0331000000000001</v>
      </c>
      <c r="F339">
        <v>2561904.7999999998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-0.19054924823565453</v>
      </c>
      <c r="Q339">
        <f t="shared" si="970"/>
        <v>-488169.03369131481</v>
      </c>
      <c r="R339">
        <f t="shared" si="971"/>
        <v>-34974214.042935774</v>
      </c>
      <c r="S339">
        <f t="shared" si="972"/>
        <v>-349.74214042935773</v>
      </c>
      <c r="T339">
        <f t="shared" si="973"/>
        <v>-0.34974214042935775</v>
      </c>
    </row>
    <row r="340" spans="1:20" x14ac:dyDescent="0.25">
      <c r="A340" s="5">
        <v>44253</v>
      </c>
      <c r="B340">
        <v>1.95</v>
      </c>
      <c r="C340">
        <v>2.0811999999999999</v>
      </c>
      <c r="D340">
        <v>1.76</v>
      </c>
      <c r="E340">
        <v>1.9139999999999999</v>
      </c>
      <c r="F340">
        <v>2680138.9700000002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-4.1095890410959228E-2</v>
      </c>
      <c r="Q340">
        <f t="shared" si="970"/>
        <v>-110142.69739726114</v>
      </c>
      <c r="R340">
        <f t="shared" si="971"/>
        <v>-34486045.009244457</v>
      </c>
      <c r="S340">
        <f t="shared" si="972"/>
        <v>-344.86045009244458</v>
      </c>
      <c r="T340">
        <f t="shared" si="973"/>
        <v>-0.34486045009244459</v>
      </c>
    </row>
    <row r="341" spans="1:20" x14ac:dyDescent="0.25">
      <c r="A341" s="5">
        <v>44252</v>
      </c>
      <c r="B341">
        <v>2.2195999999999998</v>
      </c>
      <c r="C341">
        <v>2.3953000000000002</v>
      </c>
      <c r="D341">
        <v>1.94</v>
      </c>
      <c r="E341">
        <v>1.95</v>
      </c>
      <c r="F341">
        <v>3070935.1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-0.9560729189545355</v>
      </c>
      <c r="Q341">
        <f t="shared" si="970"/>
        <v>-2936037.8849769384</v>
      </c>
      <c r="R341">
        <f t="shared" si="971"/>
        <v>-34375902.311847195</v>
      </c>
      <c r="S341">
        <f t="shared" si="972"/>
        <v>-343.75902311847193</v>
      </c>
      <c r="T341">
        <f t="shared" si="973"/>
        <v>-0.34375902311847195</v>
      </c>
    </row>
    <row r="342" spans="1:20" x14ac:dyDescent="0.25">
      <c r="A342" s="5">
        <v>44251</v>
      </c>
      <c r="B342">
        <v>1.98</v>
      </c>
      <c r="C342">
        <v>2.2764000000000002</v>
      </c>
      <c r="D342">
        <v>1.8371</v>
      </c>
      <c r="E342">
        <v>2.2157</v>
      </c>
      <c r="F342">
        <v>4182418.64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0.72365126337354813</v>
      </c>
      <c r="Q342">
        <f t="shared" si="970"/>
        <v>3026612.5327930772</v>
      </c>
      <c r="R342">
        <f t="shared" si="971"/>
        <v>-31439864.426870253</v>
      </c>
      <c r="S342">
        <f t="shared" si="972"/>
        <v>-314.39864426870253</v>
      </c>
      <c r="T342">
        <f t="shared" si="973"/>
        <v>-0.31439864426870251</v>
      </c>
    </row>
    <row r="343" spans="1:20" x14ac:dyDescent="0.25">
      <c r="A343" s="5">
        <v>44250</v>
      </c>
      <c r="B343">
        <v>2.5592000000000001</v>
      </c>
      <c r="C343">
        <v>2.5739000000000001</v>
      </c>
      <c r="D343">
        <v>1.5338000000000001</v>
      </c>
      <c r="E343">
        <v>1.98</v>
      </c>
      <c r="F343">
        <v>7875147.46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-0.14200557638688602</v>
      </c>
      <c r="Q343">
        <f t="shared" si="970"/>
        <v>-1118314.8541890213</v>
      </c>
      <c r="R343">
        <f t="shared" si="971"/>
        <v>-34466476.959663332</v>
      </c>
      <c r="S343">
        <f t="shared" si="972"/>
        <v>-344.66476959663333</v>
      </c>
      <c r="T343">
        <f t="shared" si="973"/>
        <v>-0.34466476959663334</v>
      </c>
    </row>
    <row r="344" spans="1:20" x14ac:dyDescent="0.25">
      <c r="A344" s="5">
        <v>44249</v>
      </c>
      <c r="B344">
        <v>2.9445999999999999</v>
      </c>
      <c r="C344">
        <v>2.9613999999999998</v>
      </c>
      <c r="D344">
        <v>1.9864999999999999</v>
      </c>
      <c r="E344">
        <v>2.5524</v>
      </c>
      <c r="F344">
        <v>4574649.7300000004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0.16093958354703075</v>
      </c>
      <c r="Q344">
        <f t="shared" si="970"/>
        <v>736242.22241973679</v>
      </c>
      <c r="R344">
        <f t="shared" si="971"/>
        <v>-33348162.105474312</v>
      </c>
      <c r="S344">
        <f t="shared" si="972"/>
        <v>-333.48162105474313</v>
      </c>
      <c r="T344">
        <f t="shared" si="973"/>
        <v>-0.3334816210547431</v>
      </c>
    </row>
    <row r="345" spans="1:20" x14ac:dyDescent="0.25">
      <c r="A345" s="5">
        <v>44248</v>
      </c>
      <c r="B345">
        <v>2.9832000000000001</v>
      </c>
      <c r="C345">
        <v>3.1614</v>
      </c>
      <c r="D345">
        <v>2.85</v>
      </c>
      <c r="E345">
        <v>2.9455</v>
      </c>
      <c r="F345">
        <v>2664175.0299999998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-0.3866409762363523</v>
      </c>
      <c r="Q345">
        <f t="shared" si="970"/>
        <v>-1030079.2344637131</v>
      </c>
      <c r="R345">
        <f t="shared" si="971"/>
        <v>-34084404.327894047</v>
      </c>
      <c r="S345">
        <f t="shared" si="972"/>
        <v>-340.84404327894049</v>
      </c>
      <c r="T345">
        <f t="shared" si="973"/>
        <v>-0.34084404327894047</v>
      </c>
    </row>
    <row r="346" spans="1:20" x14ac:dyDescent="0.25">
      <c r="A346" s="5">
        <v>44247</v>
      </c>
      <c r="B346">
        <v>3.3161999999999998</v>
      </c>
      <c r="C346">
        <v>3.4853999999999998</v>
      </c>
      <c r="D346">
        <v>2.7703000000000002</v>
      </c>
      <c r="E346">
        <v>2.9832000000000001</v>
      </c>
      <c r="F346">
        <v>3907960.79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-0.40455880296462038</v>
      </c>
      <c r="Q346">
        <f t="shared" si="970"/>
        <v>-1580999.9392350721</v>
      </c>
      <c r="R346">
        <f t="shared" si="971"/>
        <v>-33054325.093430333</v>
      </c>
      <c r="S346">
        <f t="shared" si="972"/>
        <v>-330.54325093430333</v>
      </c>
      <c r="T346">
        <f t="shared" si="973"/>
        <v>-0.33054325093430331</v>
      </c>
    </row>
    <row r="347" spans="1:20" x14ac:dyDescent="0.25">
      <c r="A347" s="5">
        <v>44246</v>
      </c>
      <c r="B347">
        <v>3.2898000000000001</v>
      </c>
      <c r="C347">
        <v>3.65</v>
      </c>
      <c r="D347">
        <v>3.1579000000000002</v>
      </c>
      <c r="E347">
        <v>3.3216999999999999</v>
      </c>
      <c r="F347">
        <v>4042050.5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-0.33428165007112454</v>
      </c>
      <c r="Q347">
        <f t="shared" si="970"/>
        <v>-1351183.3108108139</v>
      </c>
      <c r="R347">
        <f t="shared" si="971"/>
        <v>-31473325.15419526</v>
      </c>
      <c r="S347">
        <f t="shared" si="972"/>
        <v>-314.7332515419526</v>
      </c>
      <c r="T347">
        <f t="shared" si="973"/>
        <v>-0.31473325154195259</v>
      </c>
    </row>
    <row r="348" spans="1:20" x14ac:dyDescent="0.25">
      <c r="A348" s="5">
        <v>44245</v>
      </c>
      <c r="B348">
        <v>3.1339000000000001</v>
      </c>
      <c r="C348">
        <v>3.4157000000000002</v>
      </c>
      <c r="D348">
        <v>3.0001000000000002</v>
      </c>
      <c r="E348">
        <v>3.2831999999999999</v>
      </c>
      <c r="F348">
        <v>3952733.17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0.36236766121270308</v>
      </c>
      <c r="Q348">
        <f t="shared" si="970"/>
        <v>1432342.6742107738</v>
      </c>
      <c r="R348">
        <f t="shared" si="971"/>
        <v>-30122141.843384445</v>
      </c>
      <c r="S348">
        <f t="shared" si="972"/>
        <v>-301.22141843384446</v>
      </c>
      <c r="T348">
        <f t="shared" si="973"/>
        <v>-0.30122141843384448</v>
      </c>
    </row>
    <row r="349" spans="1:20" x14ac:dyDescent="0.25">
      <c r="A349" s="5">
        <v>44244</v>
      </c>
      <c r="B349">
        <v>3.0918000000000001</v>
      </c>
      <c r="C349">
        <v>3.3081</v>
      </c>
      <c r="D349">
        <v>2.7688999999999999</v>
      </c>
      <c r="E349">
        <v>3.1335999999999999</v>
      </c>
      <c r="F349">
        <v>3930723.23</v>
      </c>
      <c r="G349">
        <v>0</v>
      </c>
      <c r="L349" t="s">
        <v>8</v>
      </c>
      <c r="M349" t="s">
        <v>7</v>
      </c>
      <c r="N349" t="s">
        <v>8</v>
      </c>
      <c r="P349">
        <f t="shared" si="969"/>
        <v>0.35274480712166151</v>
      </c>
      <c r="Q349">
        <f t="shared" si="970"/>
        <v>1386542.2076149844</v>
      </c>
      <c r="R349">
        <f t="shared" si="971"/>
        <v>-31554484.51759522</v>
      </c>
      <c r="S349">
        <f t="shared" si="972"/>
        <v>-315.54484517595222</v>
      </c>
      <c r="T349">
        <f t="shared" si="973"/>
        <v>-0.31554484517595222</v>
      </c>
    </row>
    <row r="350" spans="1:20" x14ac:dyDescent="0.25">
      <c r="A350" s="5">
        <v>44243</v>
      </c>
      <c r="B350">
        <v>2.5884</v>
      </c>
      <c r="C350">
        <v>3.2282000000000002</v>
      </c>
      <c r="D350">
        <v>2.4712000000000001</v>
      </c>
      <c r="E350">
        <v>3.0918000000000001</v>
      </c>
      <c r="F350">
        <v>6067161.54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0.63963011889035648</v>
      </c>
      <c r="Q350">
        <f t="shared" si="970"/>
        <v>3880739.2571571982</v>
      </c>
      <c r="R350">
        <f t="shared" si="971"/>
        <v>-32941026.725210205</v>
      </c>
      <c r="S350">
        <f t="shared" si="972"/>
        <v>-329.41026725210207</v>
      </c>
      <c r="T350">
        <f t="shared" si="973"/>
        <v>-0.3294102672521021</v>
      </c>
    </row>
    <row r="351" spans="1:20" x14ac:dyDescent="0.25">
      <c r="A351" s="5">
        <v>44242</v>
      </c>
      <c r="B351">
        <v>2.8559999999999999</v>
      </c>
      <c r="C351">
        <v>2.95</v>
      </c>
      <c r="D351">
        <v>2.2480000000000002</v>
      </c>
      <c r="E351">
        <v>2.5847000000000002</v>
      </c>
      <c r="F351">
        <v>5261871.8499999996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-4.0740740740740682E-2</v>
      </c>
      <c r="Q351">
        <f t="shared" si="970"/>
        <v>-214372.55685185152</v>
      </c>
      <c r="R351">
        <f t="shared" si="971"/>
        <v>-36821765.982367404</v>
      </c>
      <c r="S351">
        <f t="shared" si="972"/>
        <v>-368.21765982367401</v>
      </c>
      <c r="T351">
        <f t="shared" si="973"/>
        <v>-0.36821765982367399</v>
      </c>
    </row>
    <row r="352" spans="1:20" x14ac:dyDescent="0.25">
      <c r="A352" s="5">
        <v>44241</v>
      </c>
      <c r="B352">
        <v>3.3414999999999999</v>
      </c>
      <c r="C352">
        <v>3.38</v>
      </c>
      <c r="D352">
        <v>2.8233000000000001</v>
      </c>
      <c r="E352">
        <v>2.8795999999999999</v>
      </c>
      <c r="F352">
        <v>3013230.52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-0.79773666247530151</v>
      </c>
      <c r="Q352">
        <f t="shared" si="970"/>
        <v>-2403764.4582935171</v>
      </c>
      <c r="R352">
        <f t="shared" si="971"/>
        <v>-36607393.425515555</v>
      </c>
      <c r="S352">
        <f t="shared" si="972"/>
        <v>-366.07393425515556</v>
      </c>
      <c r="T352">
        <f t="shared" si="973"/>
        <v>-0.36607393425515555</v>
      </c>
    </row>
    <row r="353" spans="1:20" x14ac:dyDescent="0.25">
      <c r="A353" s="5">
        <v>44240</v>
      </c>
      <c r="B353">
        <v>3.4794999999999998</v>
      </c>
      <c r="C353">
        <v>3.6974999999999998</v>
      </c>
      <c r="D353">
        <v>2.96</v>
      </c>
      <c r="E353">
        <v>3.3317999999999999</v>
      </c>
      <c r="F353">
        <v>4426165.09</v>
      </c>
      <c r="G353">
        <v>0</v>
      </c>
      <c r="L353" t="s">
        <v>8</v>
      </c>
      <c r="M353" t="s">
        <v>7</v>
      </c>
      <c r="N353" t="s">
        <v>8</v>
      </c>
      <c r="P353">
        <f t="shared" si="969"/>
        <v>8.271186440677961E-3</v>
      </c>
      <c r="Q353">
        <f t="shared" si="970"/>
        <v>36609.636676610142</v>
      </c>
      <c r="R353">
        <f t="shared" si="971"/>
        <v>-34203628.967222035</v>
      </c>
      <c r="S353">
        <f t="shared" si="972"/>
        <v>-342.03628967222033</v>
      </c>
      <c r="T353">
        <f t="shared" si="973"/>
        <v>-0.34203628967222033</v>
      </c>
    </row>
    <row r="354" spans="1:20" x14ac:dyDescent="0.25">
      <c r="A354" s="5">
        <v>44239</v>
      </c>
      <c r="B354">
        <v>3.1840999999999999</v>
      </c>
      <c r="C354">
        <v>3.5831</v>
      </c>
      <c r="D354">
        <v>3.0781000000000001</v>
      </c>
      <c r="E354">
        <v>3.4740000000000002</v>
      </c>
      <c r="F354">
        <v>4184172.88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0.56792079207920876</v>
      </c>
      <c r="Q354">
        <f t="shared" si="970"/>
        <v>2376278.7762059439</v>
      </c>
      <c r="R354">
        <f t="shared" si="971"/>
        <v>-34240238.603898644</v>
      </c>
      <c r="S354">
        <f t="shared" si="972"/>
        <v>-342.40238603898644</v>
      </c>
      <c r="T354">
        <f t="shared" si="973"/>
        <v>-0.34240238603898643</v>
      </c>
    </row>
    <row r="355" spans="1:20" x14ac:dyDescent="0.25">
      <c r="A355" s="5">
        <v>44238</v>
      </c>
      <c r="B355">
        <v>2.7589999999999999</v>
      </c>
      <c r="C355">
        <v>3.427</v>
      </c>
      <c r="D355">
        <v>2.6714000000000002</v>
      </c>
      <c r="E355">
        <v>3.1840999999999999</v>
      </c>
      <c r="F355">
        <v>5886774.46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0.35706723133933255</v>
      </c>
      <c r="Q355">
        <f t="shared" si="970"/>
        <v>2101974.2579512945</v>
      </c>
      <c r="R355">
        <f t="shared" si="971"/>
        <v>-36616517.380104586</v>
      </c>
      <c r="S355">
        <f t="shared" si="972"/>
        <v>-366.16517380104585</v>
      </c>
      <c r="T355">
        <f t="shared" si="973"/>
        <v>-0.36616517380104585</v>
      </c>
    </row>
    <row r="356" spans="1:20" x14ac:dyDescent="0.25">
      <c r="A356" s="5">
        <v>44237</v>
      </c>
      <c r="B356">
        <v>2.9659</v>
      </c>
      <c r="C356">
        <v>2.9980000000000002</v>
      </c>
      <c r="D356">
        <v>2.4327999999999999</v>
      </c>
      <c r="E356">
        <v>2.7589999999999999</v>
      </c>
      <c r="F356">
        <v>4730724.76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0.1542816702052365</v>
      </c>
      <c r="Q356">
        <f t="shared" si="970"/>
        <v>729864.11725406663</v>
      </c>
      <c r="R356">
        <f t="shared" si="971"/>
        <v>-38718491.638055883</v>
      </c>
      <c r="S356">
        <f t="shared" si="972"/>
        <v>-387.18491638055883</v>
      </c>
      <c r="T356">
        <f t="shared" si="973"/>
        <v>-0.38718491638055885</v>
      </c>
    </row>
    <row r="357" spans="1:20" x14ac:dyDescent="0.25">
      <c r="A357" s="5">
        <v>44236</v>
      </c>
      <c r="B357">
        <v>2.4586999999999999</v>
      </c>
      <c r="C357">
        <v>2.98</v>
      </c>
      <c r="D357">
        <v>2.3791000000000002</v>
      </c>
      <c r="E357">
        <v>2.9659</v>
      </c>
      <c r="F357">
        <v>6496384.2999999998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0.95307039440838737</v>
      </c>
      <c r="Q357">
        <f t="shared" si="970"/>
        <v>6191511.5470294552</v>
      </c>
      <c r="R357">
        <f t="shared" si="971"/>
        <v>-39448355.755309947</v>
      </c>
      <c r="S357">
        <f t="shared" si="972"/>
        <v>-394.48355755309944</v>
      </c>
      <c r="T357">
        <f t="shared" si="973"/>
        <v>-0.39448355755309944</v>
      </c>
    </row>
    <row r="358" spans="1:20" x14ac:dyDescent="0.25">
      <c r="A358" s="5">
        <v>44235</v>
      </c>
      <c r="B358">
        <v>2.2881999999999998</v>
      </c>
      <c r="C358">
        <v>2.7010000000000001</v>
      </c>
      <c r="D358">
        <v>2.2603</v>
      </c>
      <c r="E358">
        <v>2.4605999999999999</v>
      </c>
      <c r="F358">
        <v>6859390.5800000001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-9.0991604265941092E-2</v>
      </c>
      <c r="Q358">
        <f t="shared" si="970"/>
        <v>-624146.95316088421</v>
      </c>
      <c r="R358">
        <f t="shared" si="971"/>
        <v>-45639867.302339405</v>
      </c>
      <c r="S358">
        <f t="shared" si="972"/>
        <v>-456.39867302339405</v>
      </c>
      <c r="T358">
        <f t="shared" si="973"/>
        <v>-0.45639867302339404</v>
      </c>
    </row>
    <row r="359" spans="1:20" x14ac:dyDescent="0.25">
      <c r="A359" s="5">
        <v>44234</v>
      </c>
      <c r="B359">
        <v>2.1097999999999999</v>
      </c>
      <c r="C359">
        <v>2.3498999999999999</v>
      </c>
      <c r="D359">
        <v>1.9267000000000001</v>
      </c>
      <c r="E359">
        <v>2.2808000000000002</v>
      </c>
      <c r="F359">
        <v>5038043.04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0.67344045368620153</v>
      </c>
      <c r="Q359">
        <f t="shared" si="970"/>
        <v>3392821.9905482102</v>
      </c>
      <c r="R359">
        <f t="shared" si="971"/>
        <v>-45015720.349178523</v>
      </c>
      <c r="S359">
        <f t="shared" si="972"/>
        <v>-450.15720349178525</v>
      </c>
      <c r="T359">
        <f t="shared" si="973"/>
        <v>-0.45015720349178523</v>
      </c>
    </row>
    <row r="360" spans="1:20" x14ac:dyDescent="0.25">
      <c r="A360" s="5">
        <v>44233</v>
      </c>
      <c r="B360">
        <v>2.2942999999999998</v>
      </c>
      <c r="C360">
        <v>2.5</v>
      </c>
      <c r="D360">
        <v>2.0327999999999999</v>
      </c>
      <c r="E360">
        <v>2.1057000000000001</v>
      </c>
      <c r="F360">
        <v>4029104.4</v>
      </c>
      <c r="G360">
        <v>0</v>
      </c>
      <c r="L360" t="s">
        <v>8</v>
      </c>
      <c r="M360" t="s">
        <v>7</v>
      </c>
      <c r="N360" t="s">
        <v>8</v>
      </c>
      <c r="P360">
        <f t="shared" si="969"/>
        <v>-0.68792808219178003</v>
      </c>
      <c r="Q360">
        <f t="shared" si="970"/>
        <v>-2771734.0628424627</v>
      </c>
      <c r="R360">
        <f t="shared" si="971"/>
        <v>-48408542.339726731</v>
      </c>
      <c r="S360">
        <f t="shared" si="972"/>
        <v>-484.08542339726733</v>
      </c>
      <c r="T360">
        <f t="shared" si="973"/>
        <v>-0.48408542339726734</v>
      </c>
    </row>
    <row r="361" spans="1:20" x14ac:dyDescent="0.25">
      <c r="A361" s="5">
        <v>44232</v>
      </c>
      <c r="B361">
        <v>2.181</v>
      </c>
      <c r="C361">
        <v>2.4104999999999999</v>
      </c>
      <c r="D361">
        <v>2.1074000000000002</v>
      </c>
      <c r="E361">
        <v>2.2949000000000002</v>
      </c>
      <c r="F361">
        <v>4210513.04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0.23721544044869802</v>
      </c>
      <c r="Q361">
        <f t="shared" si="970"/>
        <v>998798.70529858652</v>
      </c>
      <c r="R361">
        <f t="shared" si="971"/>
        <v>-45636808.276884265</v>
      </c>
      <c r="S361">
        <f t="shared" si="972"/>
        <v>-456.36808276884267</v>
      </c>
      <c r="T361">
        <f t="shared" si="973"/>
        <v>-0.45636808276884266</v>
      </c>
    </row>
    <row r="362" spans="1:20" x14ac:dyDescent="0.25">
      <c r="A362" s="5">
        <v>44231</v>
      </c>
      <c r="B362">
        <v>2.1528999999999998</v>
      </c>
      <c r="C362">
        <v>2.2568999999999999</v>
      </c>
      <c r="D362">
        <v>2.0001000000000002</v>
      </c>
      <c r="E362">
        <v>2.177</v>
      </c>
      <c r="F362">
        <v>2650003.9300000002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0.37772585669781966</v>
      </c>
      <c r="Q362">
        <f t="shared" si="970"/>
        <v>1000975.004711839</v>
      </c>
      <c r="R362">
        <f t="shared" si="971"/>
        <v>-46635606.982182853</v>
      </c>
      <c r="S362">
        <f t="shared" si="972"/>
        <v>-466.35606982182856</v>
      </c>
      <c r="T362">
        <f t="shared" si="973"/>
        <v>-0.46635606982182853</v>
      </c>
    </row>
    <row r="363" spans="1:20" x14ac:dyDescent="0.25">
      <c r="A363" s="5">
        <v>44230</v>
      </c>
      <c r="B363">
        <v>2.2519999999999998</v>
      </c>
      <c r="C363">
        <v>2.3132999999999999</v>
      </c>
      <c r="D363">
        <v>2.12</v>
      </c>
      <c r="E363">
        <v>2.15</v>
      </c>
      <c r="F363">
        <v>2524356.9900000002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-0.68960165545783925</v>
      </c>
      <c r="Q363">
        <f t="shared" si="970"/>
        <v>-1740800.7592705684</v>
      </c>
      <c r="R363">
        <f t="shared" si="971"/>
        <v>-47636581.98689469</v>
      </c>
      <c r="S363">
        <f t="shared" si="972"/>
        <v>-476.36581986894691</v>
      </c>
      <c r="T363">
        <f t="shared" si="973"/>
        <v>-0.47636581986894694</v>
      </c>
    </row>
    <row r="364" spans="1:20" x14ac:dyDescent="0.25">
      <c r="A364" s="5">
        <v>44229</v>
      </c>
      <c r="B364">
        <v>2.1303000000000001</v>
      </c>
      <c r="C364">
        <v>2.4485999999999999</v>
      </c>
      <c r="D364">
        <v>1.9730000000000001</v>
      </c>
      <c r="E364">
        <v>2.2519999999999998</v>
      </c>
      <c r="F364">
        <v>8237264.1100000003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0.17325483599663502</v>
      </c>
      <c r="Q364">
        <f t="shared" si="970"/>
        <v>1427145.8424390177</v>
      </c>
      <c r="R364">
        <f t="shared" si="971"/>
        <v>-45895781.227624118</v>
      </c>
      <c r="S364">
        <f t="shared" si="972"/>
        <v>-458.95781227624116</v>
      </c>
      <c r="T364">
        <f t="shared" si="973"/>
        <v>-0.45895781227624116</v>
      </c>
    </row>
    <row r="365" spans="1:20" x14ac:dyDescent="0.25">
      <c r="A365" s="5">
        <v>44228</v>
      </c>
      <c r="B365">
        <v>1.6194999999999999</v>
      </c>
      <c r="C365">
        <v>2.2200000000000002</v>
      </c>
      <c r="D365">
        <v>1.5506</v>
      </c>
      <c r="E365">
        <v>2.1303000000000001</v>
      </c>
      <c r="F365">
        <v>6959369.0599999996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0.73199880489991009</v>
      </c>
      <c r="Q365">
        <f t="shared" si="970"/>
        <v>5094249.8347774101</v>
      </c>
      <c r="R365">
        <f t="shared" si="971"/>
        <v>-47322927.070063137</v>
      </c>
      <c r="S365">
        <f t="shared" si="972"/>
        <v>-473.22927070063139</v>
      </c>
      <c r="T365">
        <f t="shared" si="973"/>
        <v>-0.47322927070063137</v>
      </c>
    </row>
    <row r="366" spans="1:20" x14ac:dyDescent="0.25">
      <c r="A366" s="5">
        <v>44227</v>
      </c>
      <c r="B366">
        <v>1.5556000000000001</v>
      </c>
      <c r="C366">
        <v>1.83</v>
      </c>
      <c r="D366">
        <v>1.5184</v>
      </c>
      <c r="E366">
        <v>1.6194</v>
      </c>
      <c r="F366">
        <v>3760700.99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-0.35173299101412103</v>
      </c>
      <c r="Q366">
        <f t="shared" si="970"/>
        <v>-1322762.6075224662</v>
      </c>
      <c r="R366">
        <f t="shared" si="971"/>
        <v>-52417176.904840544</v>
      </c>
      <c r="S366">
        <f t="shared" si="972"/>
        <v>-524.17176904840539</v>
      </c>
      <c r="T366">
        <f t="shared" si="973"/>
        <v>-0.52417176904840534</v>
      </c>
    </row>
    <row r="367" spans="1:20" x14ac:dyDescent="0.25">
      <c r="A367" s="5">
        <v>44226</v>
      </c>
      <c r="B367">
        <v>1.4769000000000001</v>
      </c>
      <c r="C367">
        <v>1.6815</v>
      </c>
      <c r="D367">
        <v>1.401</v>
      </c>
      <c r="E367">
        <v>1.5556000000000001</v>
      </c>
      <c r="F367">
        <v>3980623.33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0.10231729055258529</v>
      </c>
      <c r="Q367">
        <f t="shared" si="970"/>
        <v>407286.59383600962</v>
      </c>
      <c r="R367">
        <f t="shared" si="971"/>
        <v>-51094414.297318079</v>
      </c>
      <c r="S367">
        <f t="shared" si="972"/>
        <v>-510.94414297318076</v>
      </c>
      <c r="T367">
        <f t="shared" si="973"/>
        <v>-0.5109441429731808</v>
      </c>
    </row>
    <row r="368" spans="1:20" x14ac:dyDescent="0.25">
      <c r="A368" s="5">
        <v>44225</v>
      </c>
      <c r="B368">
        <v>1.5445</v>
      </c>
      <c r="C368">
        <v>1.5846</v>
      </c>
      <c r="D368">
        <v>1.4232</v>
      </c>
      <c r="E368">
        <v>1.4749000000000001</v>
      </c>
      <c r="F368">
        <v>3303633.93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-0.35935563816604604</v>
      </c>
      <c r="Q368">
        <f t="shared" si="970"/>
        <v>-1187179.4791821528</v>
      </c>
      <c r="R368">
        <f t="shared" si="971"/>
        <v>-51501700.891154088</v>
      </c>
      <c r="S368">
        <f t="shared" si="972"/>
        <v>-515.01700891154087</v>
      </c>
      <c r="T368">
        <f t="shared" si="973"/>
        <v>-0.5150170089115409</v>
      </c>
    </row>
    <row r="369" spans="1:20" x14ac:dyDescent="0.25">
      <c r="A369" s="5">
        <v>44224</v>
      </c>
      <c r="B369">
        <v>1.3301000000000001</v>
      </c>
      <c r="C369">
        <v>1.85</v>
      </c>
      <c r="D369">
        <v>1.3078000000000001</v>
      </c>
      <c r="E369">
        <v>1.5441</v>
      </c>
      <c r="F369">
        <v>10216471.35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-0.12836591663592789</v>
      </c>
      <c r="Q369">
        <f t="shared" si="970"/>
        <v>-1311446.7096274456</v>
      </c>
      <c r="R369">
        <f t="shared" si="971"/>
        <v>-50314521.411971934</v>
      </c>
      <c r="S369">
        <f t="shared" si="972"/>
        <v>-503.14521411971936</v>
      </c>
      <c r="T369">
        <f t="shared" si="973"/>
        <v>-0.50314521411971935</v>
      </c>
    </row>
    <row r="370" spans="1:20" x14ac:dyDescent="0.25">
      <c r="A370" s="5">
        <v>44223</v>
      </c>
      <c r="B370">
        <v>1.5468999999999999</v>
      </c>
      <c r="C370">
        <v>1.5495000000000001</v>
      </c>
      <c r="D370">
        <v>1.3069999999999999</v>
      </c>
      <c r="E370">
        <v>1.3301000000000001</v>
      </c>
      <c r="F370">
        <v>2115784.02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-0.80948453608247339</v>
      </c>
      <c r="Q370">
        <f t="shared" si="970"/>
        <v>-1712694.4458804107</v>
      </c>
      <c r="R370">
        <f t="shared" si="971"/>
        <v>-49003074.702344492</v>
      </c>
      <c r="S370">
        <f t="shared" si="972"/>
        <v>-490.03074702344492</v>
      </c>
      <c r="T370">
        <f t="shared" si="973"/>
        <v>-0.4900307470234449</v>
      </c>
    </row>
    <row r="371" spans="1:20" x14ac:dyDescent="0.25">
      <c r="A371" s="5">
        <v>44222</v>
      </c>
      <c r="B371">
        <v>1.5270999999999999</v>
      </c>
      <c r="C371">
        <v>1.5978000000000001</v>
      </c>
      <c r="D371">
        <v>1.3720000000000001</v>
      </c>
      <c r="E371">
        <v>1.5497000000000001</v>
      </c>
      <c r="F371">
        <v>2835805.52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0.57395925597874198</v>
      </c>
      <c r="Q371">
        <f t="shared" si="970"/>
        <v>1627636.8263596096</v>
      </c>
      <c r="R371">
        <f t="shared" si="971"/>
        <v>-47290380.256464079</v>
      </c>
      <c r="S371">
        <f t="shared" si="972"/>
        <v>-472.90380256464078</v>
      </c>
      <c r="T371">
        <f t="shared" si="973"/>
        <v>-0.47290380256464076</v>
      </c>
    </row>
    <row r="372" spans="1:20" x14ac:dyDescent="0.25">
      <c r="A372" s="5">
        <v>44221</v>
      </c>
      <c r="B372">
        <v>1.6516</v>
      </c>
      <c r="C372">
        <v>1.8</v>
      </c>
      <c r="D372">
        <v>1.5116000000000001</v>
      </c>
      <c r="E372">
        <v>1.5307999999999999</v>
      </c>
      <c r="F372">
        <v>2500190.9700000002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-0.86685159500693565</v>
      </c>
      <c r="Q372">
        <f t="shared" si="970"/>
        <v>-2167294.5301664378</v>
      </c>
      <c r="R372">
        <f t="shared" si="971"/>
        <v>-48918017.082823686</v>
      </c>
      <c r="S372">
        <f t="shared" si="972"/>
        <v>-489.18017082823684</v>
      </c>
      <c r="T372">
        <f t="shared" si="973"/>
        <v>-0.48918017082823684</v>
      </c>
    </row>
    <row r="373" spans="1:20" x14ac:dyDescent="0.25">
      <c r="A373" s="5">
        <v>44220</v>
      </c>
      <c r="B373">
        <v>1.6851</v>
      </c>
      <c r="C373">
        <v>1.75</v>
      </c>
      <c r="D373">
        <v>1.5653999999999999</v>
      </c>
      <c r="E373">
        <v>1.6514</v>
      </c>
      <c r="F373">
        <v>2513827.9300000002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-6.8255687973997503E-2</v>
      </c>
      <c r="Q373">
        <f t="shared" si="970"/>
        <v>-171583.05481040006</v>
      </c>
      <c r="R373">
        <f t="shared" si="971"/>
        <v>-46750722.552657247</v>
      </c>
      <c r="S373">
        <f t="shared" si="972"/>
        <v>-467.50722552657248</v>
      </c>
      <c r="T373">
        <f t="shared" si="973"/>
        <v>-0.46750722552657248</v>
      </c>
    </row>
    <row r="374" spans="1:20" x14ac:dyDescent="0.25">
      <c r="A374" s="5">
        <v>44219</v>
      </c>
      <c r="B374">
        <v>1.7000999999999999</v>
      </c>
      <c r="C374">
        <v>1.8420000000000001</v>
      </c>
      <c r="D374">
        <v>1.6257999999999999</v>
      </c>
      <c r="E374">
        <v>1.6851</v>
      </c>
      <c r="F374">
        <v>5349568.58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-0.4514338575393147</v>
      </c>
      <c r="Q374">
        <f t="shared" si="970"/>
        <v>-2414976.3802405139</v>
      </c>
      <c r="R374">
        <f t="shared" si="971"/>
        <v>-46579139.497846849</v>
      </c>
      <c r="S374">
        <f t="shared" si="972"/>
        <v>-465.79139497846847</v>
      </c>
      <c r="T374">
        <f t="shared" si="973"/>
        <v>-0.4657913949784685</v>
      </c>
    </row>
    <row r="375" spans="1:20" x14ac:dyDescent="0.25">
      <c r="A375" s="5">
        <v>44218</v>
      </c>
      <c r="B375">
        <v>1.4449000000000001</v>
      </c>
      <c r="C375">
        <v>1.7676000000000001</v>
      </c>
      <c r="D375">
        <v>1.286</v>
      </c>
      <c r="E375">
        <v>1.6992</v>
      </c>
      <c r="F375">
        <v>8382597.75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0.71594684385382057</v>
      </c>
      <c r="Q375">
        <f t="shared" si="970"/>
        <v>6001494.402408638</v>
      </c>
      <c r="R375">
        <f t="shared" si="971"/>
        <v>-44164163.117606334</v>
      </c>
      <c r="S375">
        <f t="shared" si="972"/>
        <v>-441.64163117606336</v>
      </c>
      <c r="T375">
        <f t="shared" si="973"/>
        <v>-0.44164163117606337</v>
      </c>
    </row>
    <row r="376" spans="1:20" x14ac:dyDescent="0.25">
      <c r="A376" s="5">
        <v>44217</v>
      </c>
      <c r="B376">
        <v>1.3520000000000001</v>
      </c>
      <c r="C376">
        <v>1.6541999999999999</v>
      </c>
      <c r="D376">
        <v>1.2644</v>
      </c>
      <c r="E376">
        <v>1.4424999999999999</v>
      </c>
      <c r="F376">
        <v>15105561.029999999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-8.6198050282196209E-2</v>
      </c>
      <c r="Q376">
        <f t="shared" si="970"/>
        <v>-1302069.9092047235</v>
      </c>
      <c r="R376">
        <f t="shared" si="971"/>
        <v>-50165657.520014971</v>
      </c>
      <c r="S376">
        <f t="shared" si="972"/>
        <v>-501.65657520014969</v>
      </c>
      <c r="T376">
        <f t="shared" si="973"/>
        <v>-0.50165657520014972</v>
      </c>
    </row>
    <row r="377" spans="1:20" x14ac:dyDescent="0.25">
      <c r="A377" s="5">
        <v>44216</v>
      </c>
      <c r="B377">
        <v>1.2454000000000001</v>
      </c>
      <c r="C377">
        <v>1.3576999999999999</v>
      </c>
      <c r="D377">
        <v>1.194</v>
      </c>
      <c r="E377">
        <v>1.3521000000000001</v>
      </c>
      <c r="F377">
        <v>4149174.75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0.93158216249236614</v>
      </c>
      <c r="Q377">
        <f t="shared" si="970"/>
        <v>3865297.1861637225</v>
      </c>
      <c r="R377">
        <f t="shared" si="971"/>
        <v>-48863587.61081025</v>
      </c>
      <c r="S377">
        <f t="shared" si="972"/>
        <v>-488.63587610810248</v>
      </c>
      <c r="T377">
        <f t="shared" si="973"/>
        <v>-0.4886358761081025</v>
      </c>
    </row>
    <row r="378" spans="1:20" x14ac:dyDescent="0.25">
      <c r="A378" s="5">
        <v>44215</v>
      </c>
      <c r="B378">
        <v>1.4115</v>
      </c>
      <c r="C378">
        <v>1.42</v>
      </c>
      <c r="D378">
        <v>1.2445999999999999</v>
      </c>
      <c r="E378">
        <v>1.2454000000000001</v>
      </c>
      <c r="F378">
        <v>2857973.71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-0.99087799315849334</v>
      </c>
      <c r="Q378">
        <f t="shared" si="970"/>
        <v>-2831903.254264534</v>
      </c>
      <c r="R378">
        <f t="shared" si="971"/>
        <v>-52728884.796973974</v>
      </c>
      <c r="S378">
        <f t="shared" si="972"/>
        <v>-527.28884796973978</v>
      </c>
      <c r="T378">
        <f t="shared" si="973"/>
        <v>-0.52728884796973974</v>
      </c>
    </row>
    <row r="379" spans="1:20" x14ac:dyDescent="0.25">
      <c r="A379" s="5">
        <v>44214</v>
      </c>
      <c r="B379">
        <v>1.3191999999999999</v>
      </c>
      <c r="C379">
        <v>1.6</v>
      </c>
      <c r="D379">
        <v>1.2979000000000001</v>
      </c>
      <c r="E379">
        <v>1.4137999999999999</v>
      </c>
      <c r="F379">
        <v>7872405.1100000003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-0.23270440251572408</v>
      </c>
      <c r="Q379">
        <f t="shared" si="970"/>
        <v>-1831943.3274842831</v>
      </c>
      <c r="R379">
        <f t="shared" si="971"/>
        <v>-49896981.54270944</v>
      </c>
      <c r="S379">
        <f t="shared" si="972"/>
        <v>-498.96981542709437</v>
      </c>
      <c r="T379">
        <f t="shared" si="973"/>
        <v>-0.4989698154270944</v>
      </c>
    </row>
    <row r="380" spans="1:20" x14ac:dyDescent="0.25">
      <c r="A380" s="5">
        <v>44213</v>
      </c>
      <c r="B380">
        <v>1.1194</v>
      </c>
      <c r="C380">
        <v>1.3540000000000001</v>
      </c>
      <c r="D380">
        <v>1.0709</v>
      </c>
      <c r="E380">
        <v>1.3191999999999999</v>
      </c>
      <c r="F380">
        <v>6203049.5800000001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0.75415047686329817</v>
      </c>
      <c r="Q380">
        <f t="shared" si="970"/>
        <v>4678032.7987636812</v>
      </c>
      <c r="R380">
        <f t="shared" si="971"/>
        <v>-48065038.21522516</v>
      </c>
      <c r="S380">
        <f t="shared" si="972"/>
        <v>-480.65038215225161</v>
      </c>
      <c r="T380">
        <f t="shared" si="973"/>
        <v>-0.48065038215225159</v>
      </c>
    </row>
    <row r="381" spans="1:20" x14ac:dyDescent="0.25">
      <c r="A381" s="5">
        <v>44212</v>
      </c>
      <c r="B381">
        <v>1.0015000000000001</v>
      </c>
      <c r="C381">
        <v>1.1499999999999999</v>
      </c>
      <c r="D381">
        <v>0.95</v>
      </c>
      <c r="E381">
        <v>1.1193</v>
      </c>
      <c r="F381">
        <v>3691373.85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0.69300000000000039</v>
      </c>
      <c r="Q381">
        <f t="shared" si="970"/>
        <v>2558122.0780500015</v>
      </c>
      <c r="R381">
        <f t="shared" si="971"/>
        <v>-52743071.013988845</v>
      </c>
      <c r="S381">
        <f t="shared" si="972"/>
        <v>-527.43071013988845</v>
      </c>
      <c r="T381">
        <f t="shared" si="973"/>
        <v>-0.5274307101398884</v>
      </c>
    </row>
    <row r="382" spans="1:20" x14ac:dyDescent="0.25">
      <c r="A382" s="5">
        <v>44211</v>
      </c>
      <c r="B382">
        <v>0.98640000000000005</v>
      </c>
      <c r="C382">
        <v>1.0669999999999999</v>
      </c>
      <c r="D382">
        <v>0.9284</v>
      </c>
      <c r="E382">
        <v>1.0021</v>
      </c>
      <c r="F382">
        <v>2985651.37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6.3492063492063738E-2</v>
      </c>
      <c r="Q382">
        <f t="shared" si="970"/>
        <v>189565.16634920708</v>
      </c>
      <c r="R382">
        <f t="shared" si="971"/>
        <v>-55301193.092038848</v>
      </c>
      <c r="S382">
        <f t="shared" si="972"/>
        <v>-553.01193092038852</v>
      </c>
      <c r="T382">
        <f t="shared" si="973"/>
        <v>-0.55301193092038847</v>
      </c>
    </row>
    <row r="383" spans="1:20" x14ac:dyDescent="0.25">
      <c r="A383" s="5">
        <v>44210</v>
      </c>
      <c r="B383">
        <v>0.95889999999999997</v>
      </c>
      <c r="C383">
        <v>1.0069999999999999</v>
      </c>
      <c r="D383">
        <v>0.93589999999999995</v>
      </c>
      <c r="E383">
        <v>0.98640000000000005</v>
      </c>
      <c r="F383">
        <v>2335812.6800000002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0.42053445850914606</v>
      </c>
      <c r="Q383">
        <f t="shared" si="970"/>
        <v>982289.72056259739</v>
      </c>
      <c r="R383">
        <f t="shared" si="971"/>
        <v>-55490758.258388057</v>
      </c>
      <c r="S383">
        <f t="shared" si="972"/>
        <v>-554.90758258388053</v>
      </c>
      <c r="T383">
        <f t="shared" si="973"/>
        <v>-0.55490758258388051</v>
      </c>
    </row>
    <row r="384" spans="1:20" x14ac:dyDescent="0.25">
      <c r="A384" s="5">
        <v>44209</v>
      </c>
      <c r="B384">
        <v>0.86519999999999997</v>
      </c>
      <c r="C384">
        <v>0.96499999999999997</v>
      </c>
      <c r="D384">
        <v>0.83530000000000004</v>
      </c>
      <c r="E384">
        <v>0.95830000000000004</v>
      </c>
      <c r="F384">
        <v>2055079.12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0.89668465690054078</v>
      </c>
      <c r="Q384">
        <f t="shared" si="970"/>
        <v>1842757.9156206653</v>
      </c>
      <c r="R384">
        <f t="shared" si="971"/>
        <v>-56473047.978950657</v>
      </c>
      <c r="S384">
        <f t="shared" si="972"/>
        <v>-564.7304797895066</v>
      </c>
      <c r="T384">
        <f t="shared" si="973"/>
        <v>-0.56473047978950663</v>
      </c>
    </row>
    <row r="385" spans="1:20" x14ac:dyDescent="0.25">
      <c r="A385" s="5">
        <v>44208</v>
      </c>
      <c r="B385">
        <v>0.90359999999999996</v>
      </c>
      <c r="C385">
        <v>0.93689999999999996</v>
      </c>
      <c r="D385">
        <v>0.83650000000000002</v>
      </c>
      <c r="E385">
        <v>0.86519999999999997</v>
      </c>
      <c r="F385">
        <v>2636820.6800000002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-0.42828685258964211</v>
      </c>
      <c r="Q385">
        <f t="shared" si="970"/>
        <v>-1129315.62988048</v>
      </c>
      <c r="R385">
        <f t="shared" si="971"/>
        <v>-58315805.894571319</v>
      </c>
      <c r="S385">
        <f t="shared" si="972"/>
        <v>-583.15805894571315</v>
      </c>
      <c r="T385">
        <f t="shared" si="973"/>
        <v>-0.58315805894571315</v>
      </c>
    </row>
    <row r="386" spans="1:20" x14ac:dyDescent="0.25">
      <c r="A386" s="5">
        <v>44207</v>
      </c>
      <c r="B386">
        <v>1.0321</v>
      </c>
      <c r="C386">
        <v>1.07</v>
      </c>
      <c r="D386">
        <v>0.80479999999999996</v>
      </c>
      <c r="E386">
        <v>0.90359999999999996</v>
      </c>
      <c r="F386">
        <v>3188887.25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-0.25490196078431404</v>
      </c>
      <c r="Q386">
        <f t="shared" si="970"/>
        <v>-812853.612745099</v>
      </c>
      <c r="R386">
        <f t="shared" si="971"/>
        <v>-57186490.264690839</v>
      </c>
      <c r="S386">
        <f t="shared" si="972"/>
        <v>-571.86490264690838</v>
      </c>
      <c r="T386">
        <f t="shared" si="973"/>
        <v>-0.57186490264690837</v>
      </c>
    </row>
    <row r="387" spans="1:20" x14ac:dyDescent="0.25">
      <c r="A387" s="5">
        <v>44206</v>
      </c>
      <c r="B387">
        <v>1.0981000000000001</v>
      </c>
      <c r="C387">
        <v>1.1734</v>
      </c>
      <c r="D387">
        <v>0.95140000000000002</v>
      </c>
      <c r="E387">
        <v>1.0327999999999999</v>
      </c>
      <c r="F387">
        <v>3727711.26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-0.26666666666666733</v>
      </c>
      <c r="Q387">
        <f t="shared" si="970"/>
        <v>-994056.33600000245</v>
      </c>
      <c r="R387">
        <f t="shared" si="971"/>
        <v>-56373636.65194574</v>
      </c>
      <c r="S387">
        <f t="shared" si="972"/>
        <v>-563.73636651945742</v>
      </c>
      <c r="T387">
        <f t="shared" si="973"/>
        <v>-0.56373636651945747</v>
      </c>
    </row>
    <row r="388" spans="1:20" x14ac:dyDescent="0.25">
      <c r="A388" s="5">
        <v>44205</v>
      </c>
      <c r="B388">
        <v>1.0184</v>
      </c>
      <c r="C388">
        <v>1.1339999999999999</v>
      </c>
      <c r="D388">
        <v>1.0036</v>
      </c>
      <c r="E388">
        <v>1.0967</v>
      </c>
      <c r="F388">
        <v>2950436.29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0.42791411042944888</v>
      </c>
      <c r="Q388">
        <f t="shared" si="970"/>
        <v>1262533.3204141136</v>
      </c>
      <c r="R388">
        <f t="shared" si="971"/>
        <v>-55379580.315945737</v>
      </c>
      <c r="S388">
        <f t="shared" si="972"/>
        <v>-553.79580315945736</v>
      </c>
      <c r="T388">
        <f t="shared" si="973"/>
        <v>-0.55379580315945731</v>
      </c>
    </row>
    <row r="389" spans="1:20" x14ac:dyDescent="0.25">
      <c r="A389" s="5">
        <v>44204</v>
      </c>
      <c r="B389">
        <v>0.9516</v>
      </c>
      <c r="C389">
        <v>1.0929</v>
      </c>
      <c r="D389">
        <v>0.85</v>
      </c>
      <c r="E389">
        <v>1.0168999999999999</v>
      </c>
      <c r="F389">
        <v>4127133.81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0.37422807739810565</v>
      </c>
      <c r="Q389">
        <f t="shared" si="970"/>
        <v>1544489.3508810187</v>
      </c>
      <c r="R389">
        <f t="shared" si="971"/>
        <v>-56642113.636359848</v>
      </c>
      <c r="S389">
        <f t="shared" si="972"/>
        <v>-566.42113636359852</v>
      </c>
      <c r="T389">
        <f t="shared" si="973"/>
        <v>-0.56642113636359848</v>
      </c>
    </row>
    <row r="390" spans="1:20" x14ac:dyDescent="0.25">
      <c r="A390" s="5">
        <v>44203</v>
      </c>
      <c r="B390">
        <v>0.97819999999999996</v>
      </c>
      <c r="C390">
        <v>1.0900000000000001</v>
      </c>
      <c r="D390">
        <v>0.93830000000000002</v>
      </c>
      <c r="E390">
        <v>0.95120000000000005</v>
      </c>
      <c r="F390">
        <v>3633882.89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-0.8299274884640736</v>
      </c>
      <c r="Q390">
        <f t="shared" ref="Q390:Q453" si="975">F390*P390</f>
        <v>-3015859.3002702696</v>
      </c>
      <c r="R390">
        <f t="shared" ref="R390:R453" si="976">R391+Q390</f>
        <v>-58186602.987240866</v>
      </c>
      <c r="S390">
        <f t="shared" ref="S390:S453" si="977">R390/100000</f>
        <v>-581.8660298724086</v>
      </c>
      <c r="T390">
        <f t="shared" ref="T390:T453" si="978">S390/1000</f>
        <v>-0.58186602987240865</v>
      </c>
    </row>
    <row r="391" spans="1:20" x14ac:dyDescent="0.25">
      <c r="A391" s="5">
        <v>44202</v>
      </c>
      <c r="B391">
        <v>0.93310000000000004</v>
      </c>
      <c r="C391">
        <v>1.0342</v>
      </c>
      <c r="D391">
        <v>0.91010000000000002</v>
      </c>
      <c r="E391">
        <v>0.97560000000000002</v>
      </c>
      <c r="F391">
        <v>2915283.38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5.5600322320709251E-2</v>
      </c>
      <c r="Q391">
        <f t="shared" si="975"/>
        <v>162090.6955842067</v>
      </c>
      <c r="R391">
        <f t="shared" si="976"/>
        <v>-55170743.686970599</v>
      </c>
      <c r="S391">
        <f t="shared" si="977"/>
        <v>-551.70743686970604</v>
      </c>
      <c r="T391">
        <f t="shared" si="978"/>
        <v>-0.55170743686970602</v>
      </c>
    </row>
    <row r="392" spans="1:20" x14ac:dyDescent="0.25">
      <c r="A392" s="5">
        <v>44201</v>
      </c>
      <c r="B392">
        <v>0.871</v>
      </c>
      <c r="C392">
        <v>0.99</v>
      </c>
      <c r="D392">
        <v>0.83</v>
      </c>
      <c r="E392">
        <v>0.9325</v>
      </c>
      <c r="F392">
        <v>3163723.87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0.28125000000000022</v>
      </c>
      <c r="Q392">
        <f t="shared" si="975"/>
        <v>889797.33843750076</v>
      </c>
      <c r="R392">
        <f t="shared" si="976"/>
        <v>-55332834.382554807</v>
      </c>
      <c r="S392">
        <f t="shared" si="977"/>
        <v>-553.32834382554802</v>
      </c>
      <c r="T392">
        <f t="shared" si="978"/>
        <v>-0.55332834382554796</v>
      </c>
    </row>
    <row r="393" spans="1:20" x14ac:dyDescent="0.25">
      <c r="A393" s="5">
        <v>44200</v>
      </c>
      <c r="B393">
        <v>0.89470000000000005</v>
      </c>
      <c r="C393">
        <v>0.97850000000000004</v>
      </c>
      <c r="D393">
        <v>0.80520000000000003</v>
      </c>
      <c r="E393">
        <v>0.871</v>
      </c>
      <c r="F393">
        <v>2442882.44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-0.24062319676860974</v>
      </c>
      <c r="Q393">
        <f t="shared" si="975"/>
        <v>-587814.18204270152</v>
      </c>
      <c r="R393">
        <f t="shared" si="976"/>
        <v>-56222631.720992304</v>
      </c>
      <c r="S393">
        <f t="shared" si="977"/>
        <v>-562.22631720992308</v>
      </c>
      <c r="T393">
        <f t="shared" si="978"/>
        <v>-0.56222631720992311</v>
      </c>
    </row>
    <row r="394" spans="1:20" x14ac:dyDescent="0.25">
      <c r="A394" s="5">
        <v>44199</v>
      </c>
      <c r="B394">
        <v>0.83889999999999998</v>
      </c>
      <c r="C394">
        <v>0.90010000000000001</v>
      </c>
      <c r="D394">
        <v>0.80510000000000004</v>
      </c>
      <c r="E394">
        <v>0.89470000000000005</v>
      </c>
      <c r="F394">
        <v>1874754.64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0.88631578947368506</v>
      </c>
      <c r="Q394">
        <f t="shared" si="975"/>
        <v>1661624.638821054</v>
      </c>
      <c r="R394">
        <f t="shared" si="976"/>
        <v>-55634817.538949601</v>
      </c>
      <c r="S394">
        <f t="shared" si="977"/>
        <v>-556.34817538949596</v>
      </c>
      <c r="T394">
        <f t="shared" si="978"/>
        <v>-0.55634817538949599</v>
      </c>
    </row>
    <row r="395" spans="1:20" x14ac:dyDescent="0.25">
      <c r="A395" s="5">
        <v>44198</v>
      </c>
      <c r="B395">
        <v>0.89929999999999999</v>
      </c>
      <c r="C395">
        <v>0.90069999999999995</v>
      </c>
      <c r="D395">
        <v>0.81520000000000004</v>
      </c>
      <c r="E395">
        <v>0.83730000000000004</v>
      </c>
      <c r="F395">
        <v>1340825.94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-0.48304093567251388</v>
      </c>
      <c r="Q395">
        <f t="shared" si="975"/>
        <v>-647673.81663157791</v>
      </c>
      <c r="R395">
        <f t="shared" si="976"/>
        <v>-57296442.177770652</v>
      </c>
      <c r="S395">
        <f t="shared" si="977"/>
        <v>-572.96442177770655</v>
      </c>
      <c r="T395">
        <f t="shared" si="978"/>
        <v>-0.57296442177770657</v>
      </c>
    </row>
    <row r="396" spans="1:20" x14ac:dyDescent="0.25">
      <c r="A396" s="5">
        <v>44197</v>
      </c>
      <c r="B396">
        <v>0.86109999999999998</v>
      </c>
      <c r="C396">
        <v>0.93479999999999996</v>
      </c>
      <c r="D396">
        <v>0.8518</v>
      </c>
      <c r="E396">
        <v>0.89959999999999996</v>
      </c>
      <c r="F396">
        <v>1585157.28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0.15180722891566206</v>
      </c>
      <c r="Q396">
        <f t="shared" si="975"/>
        <v>240638.33407228824</v>
      </c>
      <c r="R396">
        <f t="shared" si="976"/>
        <v>-56648768.361139074</v>
      </c>
      <c r="S396">
        <f t="shared" si="977"/>
        <v>-566.48768361139071</v>
      </c>
      <c r="T396">
        <f t="shared" si="978"/>
        <v>-0.56648768361139068</v>
      </c>
    </row>
    <row r="397" spans="1:20" x14ac:dyDescent="0.25">
      <c r="A397" s="5">
        <v>44196</v>
      </c>
      <c r="B397">
        <v>0.87880000000000003</v>
      </c>
      <c r="C397">
        <v>0.88200000000000001</v>
      </c>
      <c r="D397">
        <v>0.83799999999999997</v>
      </c>
      <c r="E397">
        <v>0.86219999999999997</v>
      </c>
      <c r="F397">
        <v>1005586.47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9.9999999999998992E-2</v>
      </c>
      <c r="Q397">
        <f t="shared" si="975"/>
        <v>100558.64699999898</v>
      </c>
      <c r="R397">
        <f t="shared" si="976"/>
        <v>-56889406.695211366</v>
      </c>
      <c r="S397">
        <f t="shared" si="977"/>
        <v>-568.89406695211369</v>
      </c>
      <c r="T397">
        <f t="shared" si="978"/>
        <v>-0.56889406695211364</v>
      </c>
    </row>
    <row r="398" spans="1:20" x14ac:dyDescent="0.25">
      <c r="A398" s="5">
        <v>44195</v>
      </c>
      <c r="B398">
        <v>0.83889999999999998</v>
      </c>
      <c r="C398">
        <v>0.88080000000000003</v>
      </c>
      <c r="D398">
        <v>0.82399999999999995</v>
      </c>
      <c r="E398">
        <v>0.87839999999999996</v>
      </c>
      <c r="F398">
        <v>1376139.79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0.91549295774647654</v>
      </c>
      <c r="Q398">
        <f t="shared" si="975"/>
        <v>1259846.2866197152</v>
      </c>
      <c r="R398">
        <f t="shared" si="976"/>
        <v>-56989965.342211366</v>
      </c>
      <c r="S398">
        <f t="shared" si="977"/>
        <v>-569.8996534221136</v>
      </c>
      <c r="T398">
        <f t="shared" si="978"/>
        <v>-0.56989965342211357</v>
      </c>
    </row>
    <row r="399" spans="1:20" x14ac:dyDescent="0.25">
      <c r="A399" s="5">
        <v>44194</v>
      </c>
      <c r="B399">
        <v>0.89439999999999997</v>
      </c>
      <c r="C399">
        <v>0.90549999999999997</v>
      </c>
      <c r="D399">
        <v>0.81359999999999999</v>
      </c>
      <c r="E399">
        <v>0.83799999999999997</v>
      </c>
      <c r="F399">
        <v>1292904.73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-0.46898803046790027</v>
      </c>
      <c r="Q399">
        <f t="shared" si="975"/>
        <v>-606356.84290533233</v>
      </c>
      <c r="R399">
        <f t="shared" si="976"/>
        <v>-58249811.628831081</v>
      </c>
      <c r="S399">
        <f t="shared" si="977"/>
        <v>-582.49811628831083</v>
      </c>
      <c r="T399">
        <f t="shared" si="978"/>
        <v>-0.58249811628831083</v>
      </c>
    </row>
    <row r="400" spans="1:20" x14ac:dyDescent="0.25">
      <c r="A400" s="5">
        <v>44193</v>
      </c>
      <c r="B400">
        <v>0.83120000000000005</v>
      </c>
      <c r="C400">
        <v>0.94159999999999999</v>
      </c>
      <c r="D400">
        <v>0.82599999999999996</v>
      </c>
      <c r="E400">
        <v>0.89470000000000005</v>
      </c>
      <c r="F400">
        <v>1471828.57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0.18858131487889399</v>
      </c>
      <c r="Q400">
        <f t="shared" si="975"/>
        <v>277559.36700692226</v>
      </c>
      <c r="R400">
        <f t="shared" si="976"/>
        <v>-57643454.785925746</v>
      </c>
      <c r="S400">
        <f t="shared" si="977"/>
        <v>-576.43454785925746</v>
      </c>
      <c r="T400">
        <f t="shared" si="978"/>
        <v>-0.57643454785925752</v>
      </c>
    </row>
    <row r="401" spans="1:20" x14ac:dyDescent="0.25">
      <c r="A401" s="5">
        <v>44192</v>
      </c>
      <c r="B401">
        <v>0.83209999999999995</v>
      </c>
      <c r="C401">
        <v>0.89</v>
      </c>
      <c r="D401">
        <v>0.79069999999999996</v>
      </c>
      <c r="E401">
        <v>0.83120000000000005</v>
      </c>
      <c r="F401">
        <v>1657096.91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-0.18429003021147897</v>
      </c>
      <c r="Q401">
        <f t="shared" si="975"/>
        <v>-305386.43960724841</v>
      </c>
      <c r="R401">
        <f t="shared" si="976"/>
        <v>-57921014.152932666</v>
      </c>
      <c r="S401">
        <f t="shared" si="977"/>
        <v>-579.21014152932662</v>
      </c>
      <c r="T401">
        <f t="shared" si="978"/>
        <v>-0.57921014152932659</v>
      </c>
    </row>
    <row r="402" spans="1:20" x14ac:dyDescent="0.25">
      <c r="A402" s="5">
        <v>44191</v>
      </c>
      <c r="B402">
        <v>0.84199999999999997</v>
      </c>
      <c r="C402">
        <v>0.86870000000000003</v>
      </c>
      <c r="D402">
        <v>0.80500000000000005</v>
      </c>
      <c r="E402">
        <v>0.83220000000000005</v>
      </c>
      <c r="F402">
        <v>995927.98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-0.14599686028257422</v>
      </c>
      <c r="Q402">
        <f t="shared" si="975"/>
        <v>-145402.35814756638</v>
      </c>
      <c r="R402">
        <f t="shared" si="976"/>
        <v>-57615627.713325419</v>
      </c>
      <c r="S402">
        <f t="shared" si="977"/>
        <v>-576.15627713325421</v>
      </c>
      <c r="T402">
        <f t="shared" si="978"/>
        <v>-0.57615627713325424</v>
      </c>
    </row>
    <row r="403" spans="1:20" x14ac:dyDescent="0.25">
      <c r="A403" s="5">
        <v>44190</v>
      </c>
      <c r="B403">
        <v>0.89800000000000002</v>
      </c>
      <c r="C403">
        <v>0.91890000000000005</v>
      </c>
      <c r="D403">
        <v>0.82420000000000004</v>
      </c>
      <c r="E403">
        <v>0.84240000000000004</v>
      </c>
      <c r="F403">
        <v>1379510.21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-0.61562829989440349</v>
      </c>
      <c r="Q403">
        <f t="shared" si="975"/>
        <v>-849265.52526927146</v>
      </c>
      <c r="R403">
        <f t="shared" si="976"/>
        <v>-57470225.35517785</v>
      </c>
      <c r="S403">
        <f t="shared" si="977"/>
        <v>-574.70225355177854</v>
      </c>
      <c r="T403">
        <f t="shared" si="978"/>
        <v>-0.57470225355177851</v>
      </c>
    </row>
    <row r="404" spans="1:20" x14ac:dyDescent="0.25">
      <c r="A404" s="5">
        <v>44189</v>
      </c>
      <c r="B404">
        <v>0.83550000000000002</v>
      </c>
      <c r="C404">
        <v>0.90229999999999999</v>
      </c>
      <c r="D404">
        <v>0.77239999999999998</v>
      </c>
      <c r="E404">
        <v>0.89600000000000002</v>
      </c>
      <c r="F404">
        <v>2099962.42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0.90300230946882265</v>
      </c>
      <c r="Q404">
        <f t="shared" si="975"/>
        <v>1896270.9150577376</v>
      </c>
      <c r="R404">
        <f t="shared" si="976"/>
        <v>-56620959.82990858</v>
      </c>
      <c r="S404">
        <f t="shared" si="977"/>
        <v>-566.20959829908577</v>
      </c>
      <c r="T404">
        <f t="shared" si="978"/>
        <v>-0.56620959829908579</v>
      </c>
    </row>
    <row r="405" spans="1:20" x14ac:dyDescent="0.25">
      <c r="A405" s="5">
        <v>44188</v>
      </c>
      <c r="B405">
        <v>1.0245</v>
      </c>
      <c r="C405">
        <v>1.0900000000000001</v>
      </c>
      <c r="D405">
        <v>0.77500000000000002</v>
      </c>
      <c r="E405">
        <v>0.83779999999999999</v>
      </c>
      <c r="F405">
        <v>3158870.72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-0.60126984126984151</v>
      </c>
      <c r="Q405">
        <f t="shared" si="975"/>
        <v>-1899333.69640635</v>
      </c>
      <c r="R405">
        <f t="shared" si="976"/>
        <v>-58517230.744966321</v>
      </c>
      <c r="S405">
        <f t="shared" si="977"/>
        <v>-585.17230744966321</v>
      </c>
      <c r="T405">
        <f t="shared" si="978"/>
        <v>-0.5851723074496632</v>
      </c>
    </row>
    <row r="406" spans="1:20" x14ac:dyDescent="0.25">
      <c r="A406" s="5">
        <v>44187</v>
      </c>
      <c r="B406">
        <v>1.0509999999999999</v>
      </c>
      <c r="C406">
        <v>1.0900000000000001</v>
      </c>
      <c r="D406">
        <v>0.95</v>
      </c>
      <c r="E406">
        <v>1.0270999999999999</v>
      </c>
      <c r="F406">
        <v>1920289.73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0.10142857142856969</v>
      </c>
      <c r="Q406">
        <f t="shared" si="975"/>
        <v>194772.2440428538</v>
      </c>
      <c r="R406">
        <f t="shared" si="976"/>
        <v>-56617897.048559971</v>
      </c>
      <c r="S406">
        <f t="shared" si="977"/>
        <v>-566.17897048559973</v>
      </c>
      <c r="T406">
        <f t="shared" si="978"/>
        <v>-0.56617897048559973</v>
      </c>
    </row>
    <row r="407" spans="1:20" x14ac:dyDescent="0.25">
      <c r="A407" s="5">
        <v>44186</v>
      </c>
      <c r="B407">
        <v>1.0943000000000001</v>
      </c>
      <c r="C407">
        <v>1.1321000000000001</v>
      </c>
      <c r="D407">
        <v>1.012</v>
      </c>
      <c r="E407">
        <v>1.0508999999999999</v>
      </c>
      <c r="F407">
        <v>1673062.05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-0.35220649458784509</v>
      </c>
      <c r="Q407">
        <f t="shared" si="975"/>
        <v>-589263.31985845405</v>
      </c>
      <c r="R407">
        <f t="shared" si="976"/>
        <v>-56812669.292602822</v>
      </c>
      <c r="S407">
        <f t="shared" si="977"/>
        <v>-568.12669292602823</v>
      </c>
      <c r="T407">
        <f t="shared" si="978"/>
        <v>-0.56812669292602824</v>
      </c>
    </row>
    <row r="408" spans="1:20" x14ac:dyDescent="0.25">
      <c r="A408" s="5">
        <v>44185</v>
      </c>
      <c r="B408">
        <v>1.1923999999999999</v>
      </c>
      <c r="C408">
        <v>1.1923999999999999</v>
      </c>
      <c r="D408">
        <v>1.0811999999999999</v>
      </c>
      <c r="E408">
        <v>1.095</v>
      </c>
      <c r="F408">
        <v>2051408.32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-0.75179856115107846</v>
      </c>
      <c r="Q408">
        <f t="shared" si="975"/>
        <v>-1542245.8233093512</v>
      </c>
      <c r="R408">
        <f t="shared" si="976"/>
        <v>-56223405.972744368</v>
      </c>
      <c r="S408">
        <f t="shared" si="977"/>
        <v>-562.23405972744365</v>
      </c>
      <c r="T408">
        <f t="shared" si="978"/>
        <v>-0.56223405972744367</v>
      </c>
    </row>
    <row r="409" spans="1:20" x14ac:dyDescent="0.25">
      <c r="A409" s="5">
        <v>44184</v>
      </c>
      <c r="B409">
        <v>1.2755000000000001</v>
      </c>
      <c r="C409">
        <v>1.3061</v>
      </c>
      <c r="D409">
        <v>1.1889000000000001</v>
      </c>
      <c r="E409">
        <v>1.1933</v>
      </c>
      <c r="F409">
        <v>2162993.46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-0.92491467576791875</v>
      </c>
      <c r="Q409">
        <f t="shared" si="975"/>
        <v>-2000584.3947440288</v>
      </c>
      <c r="R409">
        <f t="shared" si="976"/>
        <v>-54681160.149435014</v>
      </c>
      <c r="S409">
        <f t="shared" si="977"/>
        <v>-546.81160149435016</v>
      </c>
      <c r="T409">
        <f t="shared" si="978"/>
        <v>-0.54681160149435015</v>
      </c>
    </row>
    <row r="410" spans="1:20" x14ac:dyDescent="0.25">
      <c r="A410" s="5">
        <v>44183</v>
      </c>
      <c r="B410">
        <v>1.1860999999999999</v>
      </c>
      <c r="C410">
        <v>1.3242</v>
      </c>
      <c r="D410">
        <v>1.1262000000000001</v>
      </c>
      <c r="E410">
        <v>1.2755000000000001</v>
      </c>
      <c r="F410">
        <v>2980527.91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0.50808080808080835</v>
      </c>
      <c r="Q410">
        <f t="shared" si="975"/>
        <v>1514349.0290202028</v>
      </c>
      <c r="R410">
        <f t="shared" si="976"/>
        <v>-52680575.754690982</v>
      </c>
      <c r="S410">
        <f t="shared" si="977"/>
        <v>-526.80575754690983</v>
      </c>
      <c r="T410">
        <f t="shared" si="978"/>
        <v>-0.52680575754690984</v>
      </c>
    </row>
    <row r="411" spans="1:20" x14ac:dyDescent="0.25">
      <c r="A411" s="5">
        <v>44182</v>
      </c>
      <c r="B411">
        <v>1.1377999999999999</v>
      </c>
      <c r="C411">
        <v>1.282</v>
      </c>
      <c r="D411">
        <v>1.0874999999999999</v>
      </c>
      <c r="E411">
        <v>1.1819999999999999</v>
      </c>
      <c r="F411">
        <v>3898664.77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-2.8277634961439882E-2</v>
      </c>
      <c r="Q411">
        <f t="shared" si="975"/>
        <v>-110245.01920308598</v>
      </c>
      <c r="R411">
        <f t="shared" si="976"/>
        <v>-54194924.783711188</v>
      </c>
      <c r="S411">
        <f t="shared" si="977"/>
        <v>-541.9492478371119</v>
      </c>
      <c r="T411">
        <f t="shared" si="978"/>
        <v>-0.54194924783711185</v>
      </c>
    </row>
    <row r="412" spans="1:20" x14ac:dyDescent="0.25">
      <c r="A412" s="5">
        <v>44181</v>
      </c>
      <c r="B412">
        <v>1.113</v>
      </c>
      <c r="C412">
        <v>1.1682999999999999</v>
      </c>
      <c r="D412">
        <v>1.0015000000000001</v>
      </c>
      <c r="E412">
        <v>1.1344000000000001</v>
      </c>
      <c r="F412">
        <v>2511979.14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0.59352517985611686</v>
      </c>
      <c r="Q412">
        <f t="shared" si="975"/>
        <v>1490922.8708633138</v>
      </c>
      <c r="R412">
        <f t="shared" si="976"/>
        <v>-54084679.764508098</v>
      </c>
      <c r="S412">
        <f t="shared" si="977"/>
        <v>-540.84679764508098</v>
      </c>
      <c r="T412">
        <f t="shared" si="978"/>
        <v>-0.54084679764508103</v>
      </c>
    </row>
    <row r="413" spans="1:20" x14ac:dyDescent="0.25">
      <c r="A413" s="5">
        <v>44180</v>
      </c>
      <c r="B413">
        <v>1.1123000000000001</v>
      </c>
      <c r="C413">
        <v>1.1637</v>
      </c>
      <c r="D413">
        <v>1.0900000000000001</v>
      </c>
      <c r="E413">
        <v>1.1114999999999999</v>
      </c>
      <c r="F413">
        <v>1507122.08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-0.41655359565807631</v>
      </c>
      <c r="Q413">
        <f t="shared" si="975"/>
        <v>-627797.12151967897</v>
      </c>
      <c r="R413">
        <f t="shared" si="976"/>
        <v>-55575602.635371409</v>
      </c>
      <c r="S413">
        <f t="shared" si="977"/>
        <v>-555.75602635371411</v>
      </c>
      <c r="T413">
        <f t="shared" si="978"/>
        <v>-0.55575602635371413</v>
      </c>
    </row>
    <row r="414" spans="1:20" x14ac:dyDescent="0.25">
      <c r="A414" s="5">
        <v>44179</v>
      </c>
      <c r="B414">
        <v>1.1675</v>
      </c>
      <c r="C414">
        <v>1.1685000000000001</v>
      </c>
      <c r="D414">
        <v>1.0801000000000001</v>
      </c>
      <c r="E414">
        <v>1.1104000000000001</v>
      </c>
      <c r="F414">
        <v>1958985.75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-0.31447963800905016</v>
      </c>
      <c r="Q414">
        <f t="shared" si="975"/>
        <v>-616061.12952488766</v>
      </c>
      <c r="R414">
        <f t="shared" si="976"/>
        <v>-54947805.513851732</v>
      </c>
      <c r="S414">
        <f t="shared" si="977"/>
        <v>-549.47805513851733</v>
      </c>
      <c r="T414">
        <f t="shared" si="978"/>
        <v>-0.54947805513851733</v>
      </c>
    </row>
    <row r="415" spans="1:20" x14ac:dyDescent="0.25">
      <c r="A415" s="5">
        <v>44178</v>
      </c>
      <c r="B415">
        <v>1.1214</v>
      </c>
      <c r="C415">
        <v>1.2</v>
      </c>
      <c r="D415">
        <v>1.0820000000000001</v>
      </c>
      <c r="E415">
        <v>1.1684000000000001</v>
      </c>
      <c r="F415">
        <v>2784539.64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0.46440677966101895</v>
      </c>
      <c r="Q415">
        <f t="shared" si="975"/>
        <v>1293159.0870508531</v>
      </c>
      <c r="R415">
        <f t="shared" si="976"/>
        <v>-54331744.384326845</v>
      </c>
      <c r="S415">
        <f t="shared" si="977"/>
        <v>-543.31744384326851</v>
      </c>
      <c r="T415">
        <f t="shared" si="978"/>
        <v>-0.54331744384326852</v>
      </c>
    </row>
    <row r="416" spans="1:20" x14ac:dyDescent="0.25">
      <c r="A416" s="5">
        <v>44177</v>
      </c>
      <c r="B416">
        <v>1.1496</v>
      </c>
      <c r="C416">
        <v>1.22</v>
      </c>
      <c r="D416">
        <v>1.0914999999999999</v>
      </c>
      <c r="E416">
        <v>1.1226</v>
      </c>
      <c r="F416">
        <v>2951739.87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-0.51595330739299439</v>
      </c>
      <c r="Q416">
        <f t="shared" si="975"/>
        <v>-1522959.9484902674</v>
      </c>
      <c r="R416">
        <f t="shared" si="976"/>
        <v>-55624903.471377701</v>
      </c>
      <c r="S416">
        <f t="shared" si="977"/>
        <v>-556.24903471377695</v>
      </c>
      <c r="T416">
        <f t="shared" si="978"/>
        <v>-0.55624903471377696</v>
      </c>
    </row>
    <row r="417" spans="1:20" x14ac:dyDescent="0.25">
      <c r="A417" s="5">
        <v>44176</v>
      </c>
      <c r="B417">
        <v>1.3015000000000001</v>
      </c>
      <c r="C417">
        <v>1.3047</v>
      </c>
      <c r="D417">
        <v>1.1061000000000001</v>
      </c>
      <c r="E417">
        <v>1.1498999999999999</v>
      </c>
      <c r="F417">
        <v>3567019.23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-0.55891238670694998</v>
      </c>
      <c r="Q417">
        <f t="shared" si="975"/>
        <v>-1993651.2312688869</v>
      </c>
      <c r="R417">
        <f t="shared" si="976"/>
        <v>-54101943.522887431</v>
      </c>
      <c r="S417">
        <f t="shared" si="977"/>
        <v>-541.01943522887427</v>
      </c>
      <c r="T417">
        <f t="shared" si="978"/>
        <v>-0.5410194352288743</v>
      </c>
    </row>
    <row r="418" spans="1:20" x14ac:dyDescent="0.25">
      <c r="A418" s="5">
        <v>44175</v>
      </c>
      <c r="B418">
        <v>1.3966000000000001</v>
      </c>
      <c r="C418">
        <v>1.4134</v>
      </c>
      <c r="D418">
        <v>1.2596000000000001</v>
      </c>
      <c r="E418">
        <v>1.2985</v>
      </c>
      <c r="F418">
        <v>4721408.66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-0.49414824447334266</v>
      </c>
      <c r="Q418">
        <f t="shared" si="975"/>
        <v>-2333075.8007802372</v>
      </c>
      <c r="R418">
        <f t="shared" si="976"/>
        <v>-52108292.291618541</v>
      </c>
      <c r="S418">
        <f t="shared" si="977"/>
        <v>-521.08292291618545</v>
      </c>
      <c r="T418">
        <f t="shared" si="978"/>
        <v>-0.52108292291618541</v>
      </c>
    </row>
    <row r="419" spans="1:20" x14ac:dyDescent="0.25">
      <c r="A419" s="5">
        <v>44174</v>
      </c>
      <c r="B419">
        <v>1.3673</v>
      </c>
      <c r="C419">
        <v>1.5891999999999999</v>
      </c>
      <c r="D419">
        <v>1.35</v>
      </c>
      <c r="E419">
        <v>1.3962000000000001</v>
      </c>
      <c r="F419">
        <v>10423710.789999999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-0.61371237458193939</v>
      </c>
      <c r="Q419">
        <f t="shared" si="975"/>
        <v>-6397160.3008862827</v>
      </c>
      <c r="R419">
        <f t="shared" si="976"/>
        <v>-49775216.490838304</v>
      </c>
      <c r="S419">
        <f t="shared" si="977"/>
        <v>-497.75216490838307</v>
      </c>
      <c r="T419">
        <f t="shared" si="978"/>
        <v>-0.49775216490838309</v>
      </c>
    </row>
    <row r="420" spans="1:20" x14ac:dyDescent="0.25">
      <c r="A420" s="5">
        <v>44173</v>
      </c>
      <c r="B420">
        <v>1.2089000000000001</v>
      </c>
      <c r="C420">
        <v>1.4776</v>
      </c>
      <c r="D420">
        <v>1.1640999999999999</v>
      </c>
      <c r="E420">
        <v>1.3673</v>
      </c>
      <c r="F420">
        <v>11018879.859999999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0.29633173843700145</v>
      </c>
      <c r="Q420">
        <f t="shared" si="975"/>
        <v>3265243.8245422631</v>
      </c>
      <c r="R420">
        <f t="shared" si="976"/>
        <v>-43378056.189952023</v>
      </c>
      <c r="S420">
        <f t="shared" si="977"/>
        <v>-433.78056189952025</v>
      </c>
      <c r="T420">
        <f t="shared" si="978"/>
        <v>-0.43378056189952025</v>
      </c>
    </row>
    <row r="421" spans="1:20" x14ac:dyDescent="0.25">
      <c r="A421" s="5">
        <v>44172</v>
      </c>
      <c r="B421">
        <v>1.2033</v>
      </c>
      <c r="C421">
        <v>1.2923</v>
      </c>
      <c r="D421">
        <v>1.1832</v>
      </c>
      <c r="E421">
        <v>1.2088000000000001</v>
      </c>
      <c r="F421">
        <v>6518098.1500000004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-0.53070577451878875</v>
      </c>
      <c r="Q421">
        <f t="shared" si="975"/>
        <v>-3459192.3270852342</v>
      </c>
      <c r="R421">
        <f t="shared" si="976"/>
        <v>-46643300.014494285</v>
      </c>
      <c r="S421">
        <f t="shared" si="977"/>
        <v>-466.43300014494287</v>
      </c>
      <c r="T421">
        <f t="shared" si="978"/>
        <v>-0.46643300014494288</v>
      </c>
    </row>
    <row r="422" spans="1:20" x14ac:dyDescent="0.25">
      <c r="A422" s="5">
        <v>44171</v>
      </c>
      <c r="B422">
        <v>1.0688</v>
      </c>
      <c r="C422">
        <v>1.2130000000000001</v>
      </c>
      <c r="D422">
        <v>1.0450999999999999</v>
      </c>
      <c r="E422">
        <v>1.2032</v>
      </c>
      <c r="F422">
        <v>6195026.04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0.88326384752829035</v>
      </c>
      <c r="Q422">
        <f t="shared" si="975"/>
        <v>5471842.5356283486</v>
      </c>
      <c r="R422">
        <f t="shared" si="976"/>
        <v>-43184107.687409051</v>
      </c>
      <c r="S422">
        <f t="shared" si="977"/>
        <v>-431.8410768740905</v>
      </c>
      <c r="T422">
        <f t="shared" si="978"/>
        <v>-0.43184107687409051</v>
      </c>
    </row>
    <row r="423" spans="1:20" x14ac:dyDescent="0.25">
      <c r="A423" s="5">
        <v>44170</v>
      </c>
      <c r="B423">
        <v>1.0255000000000001</v>
      </c>
      <c r="C423">
        <v>1.0851</v>
      </c>
      <c r="D423">
        <v>1.0111000000000001</v>
      </c>
      <c r="E423">
        <v>1.0689</v>
      </c>
      <c r="F423">
        <v>2162779.7799999998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0.56216216216216142</v>
      </c>
      <c r="Q423">
        <f t="shared" si="975"/>
        <v>1215832.9574054037</v>
      </c>
      <c r="R423">
        <f t="shared" si="976"/>
        <v>-48655950.223037399</v>
      </c>
      <c r="S423">
        <f t="shared" si="977"/>
        <v>-486.55950223037399</v>
      </c>
      <c r="T423">
        <f t="shared" si="978"/>
        <v>-0.48655950223037397</v>
      </c>
    </row>
    <row r="424" spans="1:20" x14ac:dyDescent="0.25">
      <c r="A424" s="5">
        <v>44169</v>
      </c>
      <c r="B424">
        <v>1.1319999999999999</v>
      </c>
      <c r="C424">
        <v>1.2221</v>
      </c>
      <c r="D424">
        <v>1.0187999999999999</v>
      </c>
      <c r="E424">
        <v>1.0251999999999999</v>
      </c>
      <c r="F424">
        <v>3529621.39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-0.9370388588293167</v>
      </c>
      <c r="Q424">
        <f t="shared" si="975"/>
        <v>-3307392.3993851468</v>
      </c>
      <c r="R424">
        <f t="shared" si="976"/>
        <v>-49871783.180442803</v>
      </c>
      <c r="S424">
        <f t="shared" si="977"/>
        <v>-498.71783180442804</v>
      </c>
      <c r="T424">
        <f t="shared" si="978"/>
        <v>-0.49871783180442802</v>
      </c>
    </row>
    <row r="425" spans="1:20" x14ac:dyDescent="0.25">
      <c r="A425" s="5">
        <v>44168</v>
      </c>
      <c r="B425">
        <v>1.1736</v>
      </c>
      <c r="C425">
        <v>1.1816</v>
      </c>
      <c r="D425">
        <v>1.1183000000000001</v>
      </c>
      <c r="E425">
        <v>1.1319999999999999</v>
      </c>
      <c r="F425">
        <v>3136035.42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-0.5671406003159607</v>
      </c>
      <c r="Q425">
        <f t="shared" si="975"/>
        <v>-1778573.0107109158</v>
      </c>
      <c r="R425">
        <f t="shared" si="976"/>
        <v>-46564390.781057656</v>
      </c>
      <c r="S425">
        <f t="shared" si="977"/>
        <v>-465.64390781057654</v>
      </c>
      <c r="T425">
        <f t="shared" si="978"/>
        <v>-0.46564390781057652</v>
      </c>
    </row>
    <row r="426" spans="1:20" x14ac:dyDescent="0.25">
      <c r="A426" s="5">
        <v>44167</v>
      </c>
      <c r="B426">
        <v>1.0481</v>
      </c>
      <c r="C426">
        <v>1.2</v>
      </c>
      <c r="D426">
        <v>1.0271999999999999</v>
      </c>
      <c r="E426">
        <v>1.1738</v>
      </c>
      <c r="F426">
        <v>4355880.5199999996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0.69675925925925941</v>
      </c>
      <c r="Q426">
        <f t="shared" si="975"/>
        <v>3035000.0845370372</v>
      </c>
      <c r="R426">
        <f t="shared" si="976"/>
        <v>-44785817.770346738</v>
      </c>
      <c r="S426">
        <f t="shared" si="977"/>
        <v>-447.85817770346739</v>
      </c>
      <c r="T426">
        <f t="shared" si="978"/>
        <v>-0.44785817770346736</v>
      </c>
    </row>
    <row r="427" spans="1:20" x14ac:dyDescent="0.25">
      <c r="A427" s="5">
        <v>44166</v>
      </c>
      <c r="B427">
        <v>1.0367</v>
      </c>
      <c r="C427">
        <v>1.1577999999999999</v>
      </c>
      <c r="D427">
        <v>0.96530000000000005</v>
      </c>
      <c r="E427">
        <v>1.0484</v>
      </c>
      <c r="F427">
        <v>4730587.71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-0.13662337662337665</v>
      </c>
      <c r="Q427">
        <f t="shared" si="975"/>
        <v>-646308.86635324685</v>
      </c>
      <c r="R427">
        <f t="shared" si="976"/>
        <v>-47820817.854883775</v>
      </c>
      <c r="S427">
        <f t="shared" si="977"/>
        <v>-478.20817854883774</v>
      </c>
      <c r="T427">
        <f t="shared" si="978"/>
        <v>-0.47820817854883774</v>
      </c>
    </row>
    <row r="428" spans="1:20" x14ac:dyDescent="0.25">
      <c r="A428" s="5">
        <v>44165</v>
      </c>
      <c r="B428">
        <v>0.91969999999999996</v>
      </c>
      <c r="C428">
        <v>1.0629999999999999</v>
      </c>
      <c r="D428">
        <v>0.89970000000000006</v>
      </c>
      <c r="E428">
        <v>1.0366</v>
      </c>
      <c r="F428">
        <v>2830997.16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0.67666870789957134</v>
      </c>
      <c r="Q428">
        <f t="shared" si="975"/>
        <v>1915647.1903245561</v>
      </c>
      <c r="R428">
        <f t="shared" si="976"/>
        <v>-47174508.988530532</v>
      </c>
      <c r="S428">
        <f t="shared" si="977"/>
        <v>-471.74508988530533</v>
      </c>
      <c r="T428">
        <f t="shared" si="978"/>
        <v>-0.47174508988530534</v>
      </c>
    </row>
    <row r="429" spans="1:20" x14ac:dyDescent="0.25">
      <c r="A429" s="5">
        <v>44164</v>
      </c>
      <c r="B429">
        <v>0.90439999999999998</v>
      </c>
      <c r="C429">
        <v>0.93740000000000001</v>
      </c>
      <c r="D429">
        <v>0.88</v>
      </c>
      <c r="E429">
        <v>0.91900000000000004</v>
      </c>
      <c r="F429">
        <v>1330713.58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0.35888501742160384</v>
      </c>
      <c r="Q429">
        <f t="shared" si="975"/>
        <v>477573.16634146485</v>
      </c>
      <c r="R429">
        <f t="shared" si="976"/>
        <v>-49090156.178855091</v>
      </c>
      <c r="S429">
        <f t="shared" si="977"/>
        <v>-490.90156178855091</v>
      </c>
      <c r="T429">
        <f t="shared" si="978"/>
        <v>-0.49090156178855093</v>
      </c>
    </row>
    <row r="430" spans="1:20" x14ac:dyDescent="0.25">
      <c r="A430" s="5">
        <v>44163</v>
      </c>
      <c r="B430">
        <v>0.88190000000000002</v>
      </c>
      <c r="C430">
        <v>0.94010000000000005</v>
      </c>
      <c r="D430">
        <v>0.86509999999999998</v>
      </c>
      <c r="E430">
        <v>0.90410000000000001</v>
      </c>
      <c r="F430">
        <v>1977294.12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0.04</v>
      </c>
      <c r="Q430">
        <f t="shared" si="975"/>
        <v>79091.764800000004</v>
      </c>
      <c r="R430">
        <f t="shared" si="976"/>
        <v>-49567729.345196553</v>
      </c>
      <c r="S430">
        <f t="shared" si="977"/>
        <v>-495.67729345196551</v>
      </c>
      <c r="T430">
        <f t="shared" si="978"/>
        <v>-0.49567729345196548</v>
      </c>
    </row>
    <row r="431" spans="1:20" x14ac:dyDescent="0.25">
      <c r="A431" s="5">
        <v>44162</v>
      </c>
      <c r="B431">
        <v>0.89600000000000002</v>
      </c>
      <c r="C431">
        <v>0.94069999999999998</v>
      </c>
      <c r="D431">
        <v>0.83120000000000005</v>
      </c>
      <c r="E431">
        <v>0.88239999999999996</v>
      </c>
      <c r="F431">
        <v>1812799.55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-6.4840182648402842E-2</v>
      </c>
      <c r="Q431">
        <f t="shared" si="975"/>
        <v>-117542.25392694249</v>
      </c>
      <c r="R431">
        <f t="shared" si="976"/>
        <v>-49646821.10999655</v>
      </c>
      <c r="S431">
        <f t="shared" si="977"/>
        <v>-496.46821109996552</v>
      </c>
      <c r="T431">
        <f t="shared" si="978"/>
        <v>-0.49646821109996553</v>
      </c>
    </row>
    <row r="432" spans="1:20" x14ac:dyDescent="0.25">
      <c r="A432" s="5">
        <v>44161</v>
      </c>
      <c r="B432">
        <v>1.0898000000000001</v>
      </c>
      <c r="C432">
        <v>1.19</v>
      </c>
      <c r="D432">
        <v>0.78149999999999997</v>
      </c>
      <c r="E432">
        <v>0.89890000000000003</v>
      </c>
      <c r="F432">
        <v>3671870.71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-0.42521419828641338</v>
      </c>
      <c r="Q432">
        <f t="shared" si="975"/>
        <v>-1561331.5601640134</v>
      </c>
      <c r="R432">
        <f t="shared" si="976"/>
        <v>-49529278.85606961</v>
      </c>
      <c r="S432">
        <f t="shared" si="977"/>
        <v>-495.29278856069607</v>
      </c>
      <c r="T432">
        <f t="shared" si="978"/>
        <v>-0.49529278856069608</v>
      </c>
    </row>
    <row r="433" spans="1:20" x14ac:dyDescent="0.25">
      <c r="A433" s="5">
        <v>44160</v>
      </c>
      <c r="B433">
        <v>1.1406000000000001</v>
      </c>
      <c r="C433">
        <v>1.2448999999999999</v>
      </c>
      <c r="D433">
        <v>1.0491999999999999</v>
      </c>
      <c r="E433">
        <v>1.0922000000000001</v>
      </c>
      <c r="F433">
        <v>2454297.37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-0.56055186509964072</v>
      </c>
      <c r="Q433">
        <f t="shared" si="975"/>
        <v>-1375760.9682626431</v>
      </c>
      <c r="R433">
        <f t="shared" si="976"/>
        <v>-47967947.295905598</v>
      </c>
      <c r="S433">
        <f t="shared" si="977"/>
        <v>-479.679472959056</v>
      </c>
      <c r="T433">
        <f t="shared" si="978"/>
        <v>-0.479679472959056</v>
      </c>
    </row>
    <row r="434" spans="1:20" x14ac:dyDescent="0.25">
      <c r="A434" s="5">
        <v>44159</v>
      </c>
      <c r="B434">
        <v>1.1974</v>
      </c>
      <c r="C434">
        <v>1.272</v>
      </c>
      <c r="D434">
        <v>1.1176999999999999</v>
      </c>
      <c r="E434">
        <v>1.1383000000000001</v>
      </c>
      <c r="F434">
        <v>2370938.91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-0.73298768632533817</v>
      </c>
      <c r="Q434">
        <f t="shared" si="975"/>
        <v>-1737869.0260596194</v>
      </c>
      <c r="R434">
        <f t="shared" si="976"/>
        <v>-46592186.327642955</v>
      </c>
      <c r="S434">
        <f t="shared" si="977"/>
        <v>-465.92186327642958</v>
      </c>
      <c r="T434">
        <f t="shared" si="978"/>
        <v>-0.46592186327642959</v>
      </c>
    </row>
    <row r="435" spans="1:20" x14ac:dyDescent="0.25">
      <c r="A435" s="5">
        <v>44158</v>
      </c>
      <c r="B435">
        <v>1.1744000000000001</v>
      </c>
      <c r="C435">
        <v>1.2758</v>
      </c>
      <c r="D435">
        <v>1.141</v>
      </c>
      <c r="E435">
        <v>1.1974</v>
      </c>
      <c r="F435">
        <v>2342450.21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-0.16320474777448082</v>
      </c>
      <c r="Q435">
        <f t="shared" si="975"/>
        <v>-382298.99569732964</v>
      </c>
      <c r="R435">
        <f t="shared" si="976"/>
        <v>-44854317.301583335</v>
      </c>
      <c r="S435">
        <f t="shared" si="977"/>
        <v>-448.54317301583336</v>
      </c>
      <c r="T435">
        <f t="shared" si="978"/>
        <v>-0.44854317301583335</v>
      </c>
    </row>
    <row r="436" spans="1:20" x14ac:dyDescent="0.25">
      <c r="A436" s="5">
        <v>44157</v>
      </c>
      <c r="B436">
        <v>1.3127</v>
      </c>
      <c r="C436">
        <v>1.345</v>
      </c>
      <c r="D436">
        <v>1.0946</v>
      </c>
      <c r="E436">
        <v>1.1744000000000001</v>
      </c>
      <c r="F436">
        <v>2310773.7200000002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-0.36261980830670842</v>
      </c>
      <c r="Q436">
        <f t="shared" si="975"/>
        <v>-837932.32338657964</v>
      </c>
      <c r="R436">
        <f t="shared" si="976"/>
        <v>-44472018.305886008</v>
      </c>
      <c r="S436">
        <f t="shared" si="977"/>
        <v>-444.72018305886007</v>
      </c>
      <c r="T436">
        <f t="shared" si="978"/>
        <v>-0.44472018305886007</v>
      </c>
    </row>
    <row r="437" spans="1:20" x14ac:dyDescent="0.25">
      <c r="A437" s="5">
        <v>44156</v>
      </c>
      <c r="B437">
        <v>1.4036</v>
      </c>
      <c r="C437">
        <v>1.4591000000000001</v>
      </c>
      <c r="D437">
        <v>1.2789999999999999</v>
      </c>
      <c r="E437">
        <v>1.3064</v>
      </c>
      <c r="F437">
        <v>3034121.84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-0.69572459744586268</v>
      </c>
      <c r="Q437">
        <f t="shared" si="975"/>
        <v>-2110913.1957357</v>
      </c>
      <c r="R437">
        <f t="shared" si="976"/>
        <v>-43634085.982499428</v>
      </c>
      <c r="S437">
        <f t="shared" si="977"/>
        <v>-436.34085982499425</v>
      </c>
      <c r="T437">
        <f t="shared" si="978"/>
        <v>-0.43634085982499426</v>
      </c>
    </row>
    <row r="438" spans="1:20" x14ac:dyDescent="0.25">
      <c r="A438" s="5">
        <v>44155</v>
      </c>
      <c r="B438">
        <v>1.3299000000000001</v>
      </c>
      <c r="C438">
        <v>1.504</v>
      </c>
      <c r="D438">
        <v>1.2903</v>
      </c>
      <c r="E438">
        <v>1.4006000000000001</v>
      </c>
      <c r="F438">
        <v>2725236.17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3.2288254562471357E-2</v>
      </c>
      <c r="Q438">
        <f t="shared" si="975"/>
        <v>87993.119199814464</v>
      </c>
      <c r="R438">
        <f t="shared" si="976"/>
        <v>-41523172.786763728</v>
      </c>
      <c r="S438">
        <f t="shared" si="977"/>
        <v>-415.23172786763729</v>
      </c>
      <c r="T438">
        <f t="shared" si="978"/>
        <v>-0.41523172786763729</v>
      </c>
    </row>
    <row r="439" spans="1:20" x14ac:dyDescent="0.25">
      <c r="A439" s="5">
        <v>44154</v>
      </c>
      <c r="B439">
        <v>1.3119000000000001</v>
      </c>
      <c r="C439">
        <v>1.4583999999999999</v>
      </c>
      <c r="D439">
        <v>1.2398</v>
      </c>
      <c r="E439">
        <v>1.33</v>
      </c>
      <c r="F439">
        <v>5173789.3600000003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-0.17474839890210342</v>
      </c>
      <c r="Q439">
        <f t="shared" si="975"/>
        <v>-904111.40691673837</v>
      </c>
      <c r="R439">
        <f t="shared" si="976"/>
        <v>-41611165.90596354</v>
      </c>
      <c r="S439">
        <f t="shared" si="977"/>
        <v>-416.11165905963543</v>
      </c>
      <c r="T439">
        <f t="shared" si="978"/>
        <v>-0.41611165905963543</v>
      </c>
    </row>
    <row r="440" spans="1:20" x14ac:dyDescent="0.25">
      <c r="A440" s="5">
        <v>44153</v>
      </c>
      <c r="B440">
        <v>1.2297</v>
      </c>
      <c r="C440">
        <v>1.3297000000000001</v>
      </c>
      <c r="D440">
        <v>1.0341</v>
      </c>
      <c r="E440">
        <v>1.3119000000000001</v>
      </c>
      <c r="F440">
        <v>4437427.59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0.87956698240866016</v>
      </c>
      <c r="Q440">
        <f t="shared" si="975"/>
        <v>3903014.7949932329</v>
      </c>
      <c r="R440">
        <f t="shared" si="976"/>
        <v>-40707054.499046803</v>
      </c>
      <c r="S440">
        <f t="shared" si="977"/>
        <v>-407.07054499046802</v>
      </c>
      <c r="T440">
        <f t="shared" si="978"/>
        <v>-0.40707054499046802</v>
      </c>
    </row>
    <row r="441" spans="1:20" x14ac:dyDescent="0.25">
      <c r="A441" s="5">
        <v>44152</v>
      </c>
      <c r="B441">
        <v>1.159</v>
      </c>
      <c r="C441">
        <v>1.4252</v>
      </c>
      <c r="D441">
        <v>1.1508</v>
      </c>
      <c r="E441">
        <v>1.2302999999999999</v>
      </c>
      <c r="F441">
        <v>4701058.4400000004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-0.42055393586005896</v>
      </c>
      <c r="Q441">
        <f t="shared" si="975"/>
        <v>-1977048.629650149</v>
      </c>
      <c r="R441">
        <f t="shared" si="976"/>
        <v>-44610069.294040032</v>
      </c>
      <c r="S441">
        <f t="shared" si="977"/>
        <v>-446.10069294040034</v>
      </c>
      <c r="T441">
        <f t="shared" si="978"/>
        <v>-0.44610069294040033</v>
      </c>
    </row>
    <row r="442" spans="1:20" x14ac:dyDescent="0.25">
      <c r="A442" s="5">
        <v>44151</v>
      </c>
      <c r="B442">
        <v>0.96879999999999999</v>
      </c>
      <c r="C442">
        <v>1.2123999999999999</v>
      </c>
      <c r="D442">
        <v>0.96</v>
      </c>
      <c r="E442">
        <v>1.1556</v>
      </c>
      <c r="F442">
        <v>6108657.4199999999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0.54992076069730611</v>
      </c>
      <c r="Q442">
        <f t="shared" si="975"/>
        <v>3359277.5352456435</v>
      </c>
      <c r="R442">
        <f t="shared" si="976"/>
        <v>-42633020.664389886</v>
      </c>
      <c r="S442">
        <f t="shared" si="977"/>
        <v>-426.33020664389886</v>
      </c>
      <c r="T442">
        <f t="shared" si="978"/>
        <v>-0.42633020664389887</v>
      </c>
    </row>
    <row r="443" spans="1:20" x14ac:dyDescent="0.25">
      <c r="A443" s="5">
        <v>44150</v>
      </c>
      <c r="B443">
        <v>1.0557000000000001</v>
      </c>
      <c r="C443">
        <v>1.1055999999999999</v>
      </c>
      <c r="D443">
        <v>0.9234</v>
      </c>
      <c r="E443">
        <v>0.96609999999999996</v>
      </c>
      <c r="F443">
        <v>3677661.6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-0.53128430296377627</v>
      </c>
      <c r="Q443">
        <f t="shared" si="975"/>
        <v>-1953883.8796926462</v>
      </c>
      <c r="R443">
        <f t="shared" si="976"/>
        <v>-45992298.199635528</v>
      </c>
      <c r="S443">
        <f t="shared" si="977"/>
        <v>-459.9229819963553</v>
      </c>
      <c r="T443">
        <f t="shared" si="978"/>
        <v>-0.45992298199635528</v>
      </c>
    </row>
    <row r="444" spans="1:20" x14ac:dyDescent="0.25">
      <c r="A444" s="5">
        <v>44149</v>
      </c>
      <c r="B444">
        <v>0.83940000000000003</v>
      </c>
      <c r="C444">
        <v>1.0849</v>
      </c>
      <c r="D444">
        <v>0.82969999999999999</v>
      </c>
      <c r="E444">
        <v>1.0507</v>
      </c>
      <c r="F444">
        <v>5815241.75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0.73197492163009392</v>
      </c>
      <c r="Q444">
        <f t="shared" si="975"/>
        <v>4256611.1242163004</v>
      </c>
      <c r="R444">
        <f t="shared" si="976"/>
        <v>-44038414.319942884</v>
      </c>
      <c r="S444">
        <f t="shared" si="977"/>
        <v>-440.38414319942882</v>
      </c>
      <c r="T444">
        <f t="shared" si="978"/>
        <v>-0.44038414319942881</v>
      </c>
    </row>
    <row r="445" spans="1:20" x14ac:dyDescent="0.25">
      <c r="A445" s="5">
        <v>44148</v>
      </c>
      <c r="B445">
        <v>0.79849999999999999</v>
      </c>
      <c r="C445">
        <v>0.86829999999999996</v>
      </c>
      <c r="D445">
        <v>0.79679999999999995</v>
      </c>
      <c r="E445">
        <v>0.8347</v>
      </c>
      <c r="F445">
        <v>3143698.7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6.0139860139861272E-2</v>
      </c>
      <c r="Q445">
        <f t="shared" si="975"/>
        <v>189061.6001398637</v>
      </c>
      <c r="R445">
        <f t="shared" si="976"/>
        <v>-48295025.444159187</v>
      </c>
      <c r="S445">
        <f t="shared" si="977"/>
        <v>-482.95025444159188</v>
      </c>
      <c r="T445">
        <f t="shared" si="978"/>
        <v>-0.4829502544415919</v>
      </c>
    </row>
    <row r="446" spans="1:20" x14ac:dyDescent="0.25">
      <c r="A446" s="5">
        <v>44147</v>
      </c>
      <c r="B446">
        <v>0.81659999999999999</v>
      </c>
      <c r="C446">
        <v>0.85389999999999999</v>
      </c>
      <c r="D446">
        <v>0.78149999999999997</v>
      </c>
      <c r="E446">
        <v>0.79849999999999999</v>
      </c>
      <c r="F446">
        <v>3113775.67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-0.53038674033149147</v>
      </c>
      <c r="Q446">
        <f t="shared" si="975"/>
        <v>-1651505.3277348059</v>
      </c>
      <c r="R446">
        <f t="shared" si="976"/>
        <v>-48484087.044299051</v>
      </c>
      <c r="S446">
        <f t="shared" si="977"/>
        <v>-484.84087044299054</v>
      </c>
      <c r="T446">
        <f t="shared" si="978"/>
        <v>-0.48484087044299051</v>
      </c>
    </row>
    <row r="447" spans="1:20" x14ac:dyDescent="0.25">
      <c r="A447" s="5">
        <v>44146</v>
      </c>
      <c r="B447">
        <v>0.7893</v>
      </c>
      <c r="C447">
        <v>0.91080000000000005</v>
      </c>
      <c r="D447">
        <v>0.78439999999999999</v>
      </c>
      <c r="E447">
        <v>0.8135</v>
      </c>
      <c r="F447">
        <v>2781064.12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-0.53955696202531644</v>
      </c>
      <c r="Q447">
        <f t="shared" si="975"/>
        <v>-1500542.5077848102</v>
      </c>
      <c r="R447">
        <f t="shared" si="976"/>
        <v>-46832581.716564246</v>
      </c>
      <c r="S447">
        <f t="shared" si="977"/>
        <v>-468.32581716564243</v>
      </c>
      <c r="T447">
        <f t="shared" si="978"/>
        <v>-0.46832581716564242</v>
      </c>
    </row>
    <row r="448" spans="1:20" x14ac:dyDescent="0.25">
      <c r="A448" s="5">
        <v>44145</v>
      </c>
      <c r="B448">
        <v>0.71530000000000005</v>
      </c>
      <c r="C448">
        <v>0.83960000000000001</v>
      </c>
      <c r="D448">
        <v>0.71350000000000002</v>
      </c>
      <c r="E448">
        <v>0.78920000000000001</v>
      </c>
      <c r="F448">
        <v>1018005.39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0.20063441712926242</v>
      </c>
      <c r="Q448">
        <f t="shared" si="975"/>
        <v>204246.91805709747</v>
      </c>
      <c r="R448">
        <f t="shared" si="976"/>
        <v>-45332039.208779432</v>
      </c>
      <c r="S448">
        <f t="shared" si="977"/>
        <v>-453.32039208779435</v>
      </c>
      <c r="T448">
        <f t="shared" si="978"/>
        <v>-0.45332039208779434</v>
      </c>
    </row>
    <row r="449" spans="1:20" x14ac:dyDescent="0.25">
      <c r="A449" s="5">
        <v>44144</v>
      </c>
      <c r="B449">
        <v>0.75729999999999997</v>
      </c>
      <c r="C449">
        <v>0.75870000000000004</v>
      </c>
      <c r="D449">
        <v>0.69259999999999999</v>
      </c>
      <c r="E449">
        <v>0.7157</v>
      </c>
      <c r="F449">
        <v>774218.11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-0.30105900151285953</v>
      </c>
      <c r="Q449">
        <f t="shared" si="975"/>
        <v>-233085.33114977324</v>
      </c>
      <c r="R449">
        <f t="shared" si="976"/>
        <v>-45536286.126836531</v>
      </c>
      <c r="S449">
        <f t="shared" si="977"/>
        <v>-455.36286126836529</v>
      </c>
      <c r="T449">
        <f t="shared" si="978"/>
        <v>-0.45536286126836528</v>
      </c>
    </row>
    <row r="450" spans="1:20" x14ac:dyDescent="0.25">
      <c r="A450" s="5">
        <v>44143</v>
      </c>
      <c r="B450">
        <v>0.73340000000000005</v>
      </c>
      <c r="C450">
        <v>0.76990000000000003</v>
      </c>
      <c r="D450">
        <v>0.7258</v>
      </c>
      <c r="E450">
        <v>0.75700000000000001</v>
      </c>
      <c r="F450">
        <v>282481.02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0.41496598639455717</v>
      </c>
      <c r="Q450">
        <f t="shared" si="975"/>
        <v>117220.01510204063</v>
      </c>
      <c r="R450">
        <f t="shared" si="976"/>
        <v>-45303200.795686759</v>
      </c>
      <c r="S450">
        <f t="shared" si="977"/>
        <v>-453.03200795686757</v>
      </c>
      <c r="T450">
        <f t="shared" si="978"/>
        <v>-0.4530320079568676</v>
      </c>
    </row>
    <row r="451" spans="1:20" x14ac:dyDescent="0.25">
      <c r="A451" s="5">
        <v>44142</v>
      </c>
      <c r="B451">
        <v>0.71450000000000002</v>
      </c>
      <c r="C451">
        <v>1</v>
      </c>
      <c r="D451">
        <v>0.69989999999999997</v>
      </c>
      <c r="E451">
        <v>0.73360000000000003</v>
      </c>
      <c r="F451">
        <v>2864407.05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-0.77540819726757704</v>
      </c>
      <c r="Q451">
        <f t="shared" si="975"/>
        <v>-2221084.7068810384</v>
      </c>
      <c r="R451">
        <f t="shared" si="976"/>
        <v>-45420420.810788803</v>
      </c>
      <c r="S451">
        <f t="shared" si="977"/>
        <v>-454.20420810788801</v>
      </c>
      <c r="T451">
        <f t="shared" si="978"/>
        <v>-0.45420420810788803</v>
      </c>
    </row>
    <row r="452" spans="1:20" x14ac:dyDescent="0.25">
      <c r="A452" s="5">
        <v>44141</v>
      </c>
      <c r="B452">
        <v>0.66010000000000002</v>
      </c>
      <c r="C452">
        <v>0.747</v>
      </c>
      <c r="D452">
        <v>0.66</v>
      </c>
      <c r="E452">
        <v>0.71409999999999996</v>
      </c>
      <c r="F452">
        <v>556162.98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0.24367816091953901</v>
      </c>
      <c r="Q452">
        <f t="shared" si="975"/>
        <v>135524.77213793035</v>
      </c>
      <c r="R452">
        <f t="shared" si="976"/>
        <v>-43199336.103907764</v>
      </c>
      <c r="S452">
        <f t="shared" si="977"/>
        <v>-431.99336103907763</v>
      </c>
      <c r="T452">
        <f t="shared" si="978"/>
        <v>-0.43199336103907765</v>
      </c>
    </row>
    <row r="453" spans="1:20" x14ac:dyDescent="0.25">
      <c r="A453" s="5">
        <v>44140</v>
      </c>
      <c r="B453">
        <v>0.67920000000000003</v>
      </c>
      <c r="C453">
        <v>0.80210000000000004</v>
      </c>
      <c r="D453">
        <v>0.60060000000000002</v>
      </c>
      <c r="E453">
        <v>0.66279999999999994</v>
      </c>
      <c r="F453">
        <v>912497.37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-0.3826302729528544</v>
      </c>
      <c r="Q453">
        <f t="shared" si="975"/>
        <v>-349149.11775186175</v>
      </c>
      <c r="R453">
        <f t="shared" si="976"/>
        <v>-43334860.876045696</v>
      </c>
      <c r="S453">
        <f t="shared" si="977"/>
        <v>-433.34860876045695</v>
      </c>
      <c r="T453">
        <f t="shared" si="978"/>
        <v>-0.43334860876045694</v>
      </c>
    </row>
    <row r="454" spans="1:20" x14ac:dyDescent="0.25">
      <c r="A454" s="5">
        <v>44139</v>
      </c>
      <c r="B454">
        <v>0.71809999999999996</v>
      </c>
      <c r="C454">
        <v>0.7198</v>
      </c>
      <c r="D454">
        <v>0.67020000000000002</v>
      </c>
      <c r="E454">
        <v>0.67889999999999995</v>
      </c>
      <c r="F454">
        <v>306541.21999999997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-0.64919354838709942</v>
      </c>
      <c r="Q454">
        <f t="shared" ref="Q454:Q517" si="980">F454*P454</f>
        <v>-199004.58233871046</v>
      </c>
      <c r="R454">
        <f t="shared" ref="R454:R517" si="981">R455+Q454</f>
        <v>-42985711.758293837</v>
      </c>
      <c r="S454">
        <f t="shared" ref="S454:S517" si="982">R454/100000</f>
        <v>-429.85711758293837</v>
      </c>
      <c r="T454">
        <f t="shared" ref="T454:T517" si="983">S454/1000</f>
        <v>-0.42985711758293838</v>
      </c>
    </row>
    <row r="455" spans="1:20" x14ac:dyDescent="0.25">
      <c r="A455" s="5">
        <v>44138</v>
      </c>
      <c r="B455">
        <v>0.78890000000000005</v>
      </c>
      <c r="C455">
        <v>0.78900000000000003</v>
      </c>
      <c r="D455">
        <v>0.69</v>
      </c>
      <c r="E455">
        <v>0.71819999999999995</v>
      </c>
      <c r="F455">
        <v>332563.37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-0.43030303030303074</v>
      </c>
      <c r="Q455">
        <f t="shared" si="980"/>
        <v>-143103.02587878803</v>
      </c>
      <c r="R455">
        <f t="shared" si="981"/>
        <v>-42786707.175955124</v>
      </c>
      <c r="S455">
        <f t="shared" si="982"/>
        <v>-427.86707175955127</v>
      </c>
      <c r="T455">
        <f t="shared" si="983"/>
        <v>-0.42786707175955124</v>
      </c>
    </row>
    <row r="456" spans="1:20" x14ac:dyDescent="0.25">
      <c r="A456" s="5">
        <v>44137</v>
      </c>
      <c r="B456">
        <v>0.79510000000000003</v>
      </c>
      <c r="C456">
        <v>0.81089999999999995</v>
      </c>
      <c r="D456">
        <v>0.78359999999999996</v>
      </c>
      <c r="E456">
        <v>0.78879999999999995</v>
      </c>
      <c r="F456">
        <v>172898.8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-0.61904761904762018</v>
      </c>
      <c r="Q456">
        <f t="shared" si="980"/>
        <v>-107032.59047619067</v>
      </c>
      <c r="R456">
        <f t="shared" si="981"/>
        <v>-42643604.150076337</v>
      </c>
      <c r="S456">
        <f t="shared" si="982"/>
        <v>-426.43604150076339</v>
      </c>
      <c r="T456">
        <f t="shared" si="983"/>
        <v>-0.42643604150076342</v>
      </c>
    </row>
    <row r="457" spans="1:20" x14ac:dyDescent="0.25">
      <c r="A457" s="5">
        <v>44136</v>
      </c>
      <c r="B457">
        <v>0.79039999999999999</v>
      </c>
      <c r="C457">
        <v>0.80420000000000003</v>
      </c>
      <c r="D457">
        <v>0.78</v>
      </c>
      <c r="E457">
        <v>0.79379999999999995</v>
      </c>
      <c r="F457">
        <v>196265.73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0.14049586776858874</v>
      </c>
      <c r="Q457">
        <f t="shared" si="980"/>
        <v>27574.524049585543</v>
      </c>
      <c r="R457">
        <f t="shared" si="981"/>
        <v>-42536571.559600145</v>
      </c>
      <c r="S457">
        <f t="shared" si="982"/>
        <v>-425.36571559600145</v>
      </c>
      <c r="T457">
        <f t="shared" si="983"/>
        <v>-0.42536571559600145</v>
      </c>
    </row>
    <row r="458" spans="1:20" x14ac:dyDescent="0.25">
      <c r="A458" s="5">
        <v>44135</v>
      </c>
      <c r="B458">
        <v>0.79249999999999998</v>
      </c>
      <c r="C458">
        <v>0.84670000000000001</v>
      </c>
      <c r="D458">
        <v>0.7903</v>
      </c>
      <c r="E458">
        <v>0.79039999999999999</v>
      </c>
      <c r="F458">
        <v>544256.82999999996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-0.99645390070922024</v>
      </c>
      <c r="Q458">
        <f t="shared" si="980"/>
        <v>-542326.84124113491</v>
      </c>
      <c r="R458">
        <f t="shared" si="981"/>
        <v>-42564146.083649732</v>
      </c>
      <c r="S458">
        <f t="shared" si="982"/>
        <v>-425.64146083649734</v>
      </c>
      <c r="T458">
        <f t="shared" si="983"/>
        <v>-0.42564146083649734</v>
      </c>
    </row>
    <row r="459" spans="1:20" x14ac:dyDescent="0.25">
      <c r="A459" s="5">
        <v>44134</v>
      </c>
      <c r="B459">
        <v>0.78639999999999999</v>
      </c>
      <c r="C459">
        <v>0.79430000000000001</v>
      </c>
      <c r="D459">
        <v>0.76419999999999999</v>
      </c>
      <c r="E459">
        <v>0.79220000000000002</v>
      </c>
      <c r="F459">
        <v>431832.37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0.86046511627907041</v>
      </c>
      <c r="Q459">
        <f t="shared" si="980"/>
        <v>371576.69046511652</v>
      </c>
      <c r="R459">
        <f t="shared" si="981"/>
        <v>-42021819.242408596</v>
      </c>
      <c r="S459">
        <f t="shared" si="982"/>
        <v>-420.21819242408594</v>
      </c>
      <c r="T459">
        <f t="shared" si="983"/>
        <v>-0.42021819242408592</v>
      </c>
    </row>
    <row r="460" spans="1:20" x14ac:dyDescent="0.25">
      <c r="A460" s="5">
        <v>44133</v>
      </c>
      <c r="B460">
        <v>0.81799999999999995</v>
      </c>
      <c r="C460">
        <v>0.82089999999999996</v>
      </c>
      <c r="D460">
        <v>0.7833</v>
      </c>
      <c r="E460">
        <v>0.78410000000000002</v>
      </c>
      <c r="F460">
        <v>346467.69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-0.95744680851063702</v>
      </c>
      <c r="Q460">
        <f t="shared" si="980"/>
        <v>-331724.38404255273</v>
      </c>
      <c r="R460">
        <f t="shared" si="981"/>
        <v>-42393395.932873711</v>
      </c>
      <c r="S460">
        <f t="shared" si="982"/>
        <v>-423.9339593287371</v>
      </c>
      <c r="T460">
        <f t="shared" si="983"/>
        <v>-0.42393395932873712</v>
      </c>
    </row>
    <row r="461" spans="1:20" x14ac:dyDescent="0.25">
      <c r="A461" s="5">
        <v>44132</v>
      </c>
      <c r="B461">
        <v>0.83699999999999997</v>
      </c>
      <c r="C461">
        <v>0.86599999999999999</v>
      </c>
      <c r="D461">
        <v>0.81630000000000003</v>
      </c>
      <c r="E461">
        <v>0.81779999999999997</v>
      </c>
      <c r="F461">
        <v>337734.97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-0.93963782696177278</v>
      </c>
      <c r="Q461">
        <f t="shared" si="980"/>
        <v>-317348.5532997995</v>
      </c>
      <c r="R461">
        <f t="shared" si="981"/>
        <v>-42061671.548831157</v>
      </c>
      <c r="S461">
        <f t="shared" si="982"/>
        <v>-420.61671548831157</v>
      </c>
      <c r="T461">
        <f t="shared" si="983"/>
        <v>-0.42061671548831159</v>
      </c>
    </row>
    <row r="462" spans="1:20" x14ac:dyDescent="0.25">
      <c r="A462" s="5">
        <v>44131</v>
      </c>
      <c r="B462">
        <v>0.84119999999999995</v>
      </c>
      <c r="C462">
        <v>0.91979999999999995</v>
      </c>
      <c r="D462">
        <v>0.82450000000000001</v>
      </c>
      <c r="E462">
        <v>0.83730000000000004</v>
      </c>
      <c r="F462">
        <v>429092.97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-0.73137460650577035</v>
      </c>
      <c r="Q462">
        <f t="shared" si="980"/>
        <v>-313827.70208814228</v>
      </c>
      <c r="R462">
        <f t="shared" si="981"/>
        <v>-41744322.995531358</v>
      </c>
      <c r="S462">
        <f t="shared" si="982"/>
        <v>-417.4432299553136</v>
      </c>
      <c r="T462">
        <f t="shared" si="983"/>
        <v>-0.41744322995531358</v>
      </c>
    </row>
    <row r="463" spans="1:20" x14ac:dyDescent="0.25">
      <c r="A463" s="5">
        <v>44130</v>
      </c>
      <c r="B463">
        <v>0.88500000000000001</v>
      </c>
      <c r="C463">
        <v>0.91</v>
      </c>
      <c r="D463">
        <v>0.82450000000000001</v>
      </c>
      <c r="E463">
        <v>0.84109999999999996</v>
      </c>
      <c r="F463">
        <v>417883.56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-0.61169590643274985</v>
      </c>
      <c r="Q463">
        <f t="shared" si="980"/>
        <v>-255617.6630175444</v>
      </c>
      <c r="R463">
        <f t="shared" si="981"/>
        <v>-41430495.293443218</v>
      </c>
      <c r="S463">
        <f t="shared" si="982"/>
        <v>-414.30495293443215</v>
      </c>
      <c r="T463">
        <f t="shared" si="983"/>
        <v>-0.41430495293443215</v>
      </c>
    </row>
    <row r="464" spans="1:20" x14ac:dyDescent="0.25">
      <c r="A464" s="5">
        <v>44129</v>
      </c>
      <c r="B464">
        <v>0.91320000000000001</v>
      </c>
      <c r="C464">
        <v>0.92679999999999996</v>
      </c>
      <c r="D464">
        <v>0.87739999999999996</v>
      </c>
      <c r="E464">
        <v>0.8921</v>
      </c>
      <c r="F464">
        <v>236269.8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-0.4048582995951398</v>
      </c>
      <c r="Q464">
        <f t="shared" si="980"/>
        <v>-95655.789473683762</v>
      </c>
      <c r="R464">
        <f t="shared" si="981"/>
        <v>-41174877.630425677</v>
      </c>
      <c r="S464">
        <f t="shared" si="982"/>
        <v>-411.74877630425675</v>
      </c>
      <c r="T464">
        <f t="shared" si="983"/>
        <v>-0.41174877630425677</v>
      </c>
    </row>
    <row r="465" spans="1:20" x14ac:dyDescent="0.25">
      <c r="A465" s="5">
        <v>44128</v>
      </c>
      <c r="B465">
        <v>0.91600000000000004</v>
      </c>
      <c r="C465">
        <v>0.93489999999999995</v>
      </c>
      <c r="D465">
        <v>0.90129999999999999</v>
      </c>
      <c r="E465">
        <v>0.91990000000000005</v>
      </c>
      <c r="F465">
        <v>221447.97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0.10714285714286198</v>
      </c>
      <c r="Q465">
        <f t="shared" si="980"/>
        <v>23726.568214286784</v>
      </c>
      <c r="R465">
        <f t="shared" si="981"/>
        <v>-41079221.840951994</v>
      </c>
      <c r="S465">
        <f t="shared" si="982"/>
        <v>-410.79221840951993</v>
      </c>
      <c r="T465">
        <f t="shared" si="983"/>
        <v>-0.41079221840951996</v>
      </c>
    </row>
    <row r="466" spans="1:20" x14ac:dyDescent="0.25">
      <c r="A466" s="5">
        <v>44127</v>
      </c>
      <c r="B466">
        <v>0.94110000000000005</v>
      </c>
      <c r="C466">
        <v>0.94989999999999997</v>
      </c>
      <c r="D466">
        <v>0.90110000000000001</v>
      </c>
      <c r="E466">
        <v>0.91620000000000001</v>
      </c>
      <c r="F466">
        <v>275036.83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-0.38114754098360587</v>
      </c>
      <c r="Q466">
        <f t="shared" si="980"/>
        <v>-104829.61143442604</v>
      </c>
      <c r="R466">
        <f t="shared" si="981"/>
        <v>-41102948.409166284</v>
      </c>
      <c r="S466">
        <f t="shared" si="982"/>
        <v>-411.02948409166282</v>
      </c>
      <c r="T466">
        <f t="shared" si="983"/>
        <v>-0.41102948409166284</v>
      </c>
    </row>
    <row r="467" spans="1:20" x14ac:dyDescent="0.25">
      <c r="A467" s="5">
        <v>44126</v>
      </c>
      <c r="B467">
        <v>0.9244</v>
      </c>
      <c r="C467">
        <v>0.97019999999999995</v>
      </c>
      <c r="D467">
        <v>0.92</v>
      </c>
      <c r="E467">
        <v>0.94679999999999997</v>
      </c>
      <c r="F467">
        <v>451446.85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6.7729083665337947E-2</v>
      </c>
      <c r="Q467">
        <f t="shared" si="980"/>
        <v>30576.08147410327</v>
      </c>
      <c r="R467">
        <f t="shared" si="981"/>
        <v>-40998118.797731861</v>
      </c>
      <c r="S467">
        <f t="shared" si="982"/>
        <v>-409.9811879773186</v>
      </c>
      <c r="T467">
        <f t="shared" si="983"/>
        <v>-0.40998118797731858</v>
      </c>
    </row>
    <row r="468" spans="1:20" x14ac:dyDescent="0.25">
      <c r="A468" s="5">
        <v>44125</v>
      </c>
      <c r="B468">
        <v>0.93379999999999996</v>
      </c>
      <c r="C468">
        <v>0.95899999999999996</v>
      </c>
      <c r="D468">
        <v>0.9</v>
      </c>
      <c r="E468">
        <v>0.92579999999999996</v>
      </c>
      <c r="F468">
        <v>666022.29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-0.12542372881356068</v>
      </c>
      <c r="Q468">
        <f t="shared" si="980"/>
        <v>-83534.999084746669</v>
      </c>
      <c r="R468">
        <f t="shared" si="981"/>
        <v>-41028694.879205965</v>
      </c>
      <c r="S468">
        <f t="shared" si="982"/>
        <v>-410.28694879205966</v>
      </c>
      <c r="T468">
        <f t="shared" si="983"/>
        <v>-0.41028694879205968</v>
      </c>
    </row>
    <row r="469" spans="1:20" x14ac:dyDescent="0.25">
      <c r="A469" s="5">
        <v>44124</v>
      </c>
      <c r="B469">
        <v>1.0557000000000001</v>
      </c>
      <c r="C469">
        <v>1.1100000000000001</v>
      </c>
      <c r="D469">
        <v>0.91690000000000005</v>
      </c>
      <c r="E469">
        <v>0.93430000000000002</v>
      </c>
      <c r="F469">
        <v>1913912.44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-0.8197824961160024</v>
      </c>
      <c r="Q469">
        <f t="shared" si="980"/>
        <v>-1568991.9174106687</v>
      </c>
      <c r="R469">
        <f t="shared" si="981"/>
        <v>-40945159.880121216</v>
      </c>
      <c r="S469">
        <f t="shared" si="982"/>
        <v>-409.45159880121219</v>
      </c>
      <c r="T469">
        <f t="shared" si="983"/>
        <v>-0.40945159880121218</v>
      </c>
    </row>
    <row r="470" spans="1:20" x14ac:dyDescent="0.25">
      <c r="A470" s="5">
        <v>44123</v>
      </c>
      <c r="B470">
        <v>0.9526</v>
      </c>
      <c r="C470">
        <v>1.1867000000000001</v>
      </c>
      <c r="D470">
        <v>0.95109999999999995</v>
      </c>
      <c r="E470">
        <v>1.0533999999999999</v>
      </c>
      <c r="F470">
        <v>2536538.2999999998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-0.13157894736842204</v>
      </c>
      <c r="Q470">
        <f t="shared" si="980"/>
        <v>-333755.03947368672</v>
      </c>
      <c r="R470">
        <f t="shared" si="981"/>
        <v>-39376167.962710544</v>
      </c>
      <c r="S470">
        <f t="shared" si="982"/>
        <v>-393.76167962710542</v>
      </c>
      <c r="T470">
        <f t="shared" si="983"/>
        <v>-0.3937616796271054</v>
      </c>
    </row>
    <row r="471" spans="1:20" x14ac:dyDescent="0.25">
      <c r="A471" s="5">
        <v>44122</v>
      </c>
      <c r="B471">
        <v>0.92879999999999996</v>
      </c>
      <c r="C471">
        <v>0.98270000000000002</v>
      </c>
      <c r="D471">
        <v>0.92849999999999999</v>
      </c>
      <c r="E471">
        <v>0.95230000000000004</v>
      </c>
      <c r="F471">
        <v>412196.97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-0.12177121771217594</v>
      </c>
      <c r="Q471">
        <f t="shared" si="980"/>
        <v>-50193.726974169251</v>
      </c>
      <c r="R471">
        <f t="shared" si="981"/>
        <v>-39042412.923236854</v>
      </c>
      <c r="S471">
        <f t="shared" si="982"/>
        <v>-390.42412923236856</v>
      </c>
      <c r="T471">
        <f t="shared" si="983"/>
        <v>-0.39042412923236858</v>
      </c>
    </row>
    <row r="472" spans="1:20" x14ac:dyDescent="0.25">
      <c r="A472" s="5">
        <v>44121</v>
      </c>
      <c r="B472">
        <v>0.92169999999999996</v>
      </c>
      <c r="C472">
        <v>0.96989999999999998</v>
      </c>
      <c r="D472">
        <v>0.91690000000000005</v>
      </c>
      <c r="E472">
        <v>0.92889999999999995</v>
      </c>
      <c r="F472">
        <v>495267.27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-0.54716981132075793</v>
      </c>
      <c r="Q472">
        <f t="shared" si="980"/>
        <v>-270995.29867924686</v>
      </c>
      <c r="R472">
        <f t="shared" si="981"/>
        <v>-38992219.196262687</v>
      </c>
      <c r="S472">
        <f t="shared" si="982"/>
        <v>-389.92219196262687</v>
      </c>
      <c r="T472">
        <f t="shared" si="983"/>
        <v>-0.3899221919626269</v>
      </c>
    </row>
    <row r="473" spans="1:20" x14ac:dyDescent="0.25">
      <c r="A473" s="5">
        <v>44120</v>
      </c>
      <c r="B473">
        <v>1.0122</v>
      </c>
      <c r="C473">
        <v>1.0197000000000001</v>
      </c>
      <c r="D473">
        <v>0.91990000000000005</v>
      </c>
      <c r="E473">
        <v>0.92159999999999997</v>
      </c>
      <c r="F473">
        <v>1278959.06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-0.96593186372745643</v>
      </c>
      <c r="Q473">
        <f t="shared" si="980"/>
        <v>-1235387.3084569159</v>
      </c>
      <c r="R473">
        <f t="shared" si="981"/>
        <v>-38721223.89758344</v>
      </c>
      <c r="S473">
        <f t="shared" si="982"/>
        <v>-387.2122389758344</v>
      </c>
      <c r="T473">
        <f t="shared" si="983"/>
        <v>-0.3872122389758344</v>
      </c>
    </row>
    <row r="474" spans="1:20" x14ac:dyDescent="0.25">
      <c r="A474" s="5">
        <v>44119</v>
      </c>
      <c r="B474">
        <v>1.0206999999999999</v>
      </c>
      <c r="C474">
        <v>1.05</v>
      </c>
      <c r="D474">
        <v>1.0014000000000001</v>
      </c>
      <c r="E474">
        <v>1.0138</v>
      </c>
      <c r="F474">
        <v>740967.81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-0.4897119341563797</v>
      </c>
      <c r="Q474">
        <f t="shared" si="980"/>
        <v>-362860.77938271686</v>
      </c>
      <c r="R474">
        <f t="shared" si="981"/>
        <v>-37485836.589126527</v>
      </c>
      <c r="S474">
        <f t="shared" si="982"/>
        <v>-374.85836589126529</v>
      </c>
      <c r="T474">
        <f t="shared" si="983"/>
        <v>-0.37485836589126531</v>
      </c>
    </row>
    <row r="475" spans="1:20" x14ac:dyDescent="0.25">
      <c r="A475" s="5">
        <v>44118</v>
      </c>
      <c r="B475">
        <v>1.0770999999999999</v>
      </c>
      <c r="C475">
        <v>1.1025</v>
      </c>
      <c r="D475">
        <v>1.0048999999999999</v>
      </c>
      <c r="E475">
        <v>1.0206999999999999</v>
      </c>
      <c r="F475">
        <v>1115991.19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-0.67622950819672101</v>
      </c>
      <c r="Q475">
        <f t="shared" si="980"/>
        <v>-754666.17356557341</v>
      </c>
      <c r="R475">
        <f t="shared" si="981"/>
        <v>-37122975.809743814</v>
      </c>
      <c r="S475">
        <f t="shared" si="982"/>
        <v>-371.22975809743815</v>
      </c>
      <c r="T475">
        <f t="shared" si="983"/>
        <v>-0.37122975809743813</v>
      </c>
    </row>
    <row r="476" spans="1:20" x14ac:dyDescent="0.25">
      <c r="A476" s="5">
        <v>44117</v>
      </c>
      <c r="B476">
        <v>1.0489999999999999</v>
      </c>
      <c r="C476">
        <v>1.1075999999999999</v>
      </c>
      <c r="D476">
        <v>1.028</v>
      </c>
      <c r="E476">
        <v>1.0782</v>
      </c>
      <c r="F476">
        <v>903745.51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0.26130653266331882</v>
      </c>
      <c r="Q476">
        <f t="shared" si="980"/>
        <v>236154.60562814274</v>
      </c>
      <c r="R476">
        <f t="shared" si="981"/>
        <v>-36368309.63617824</v>
      </c>
      <c r="S476">
        <f t="shared" si="982"/>
        <v>-363.68309636178242</v>
      </c>
      <c r="T476">
        <f t="shared" si="983"/>
        <v>-0.36368309636178242</v>
      </c>
    </row>
    <row r="477" spans="1:20" x14ac:dyDescent="0.25">
      <c r="A477" s="5">
        <v>44116</v>
      </c>
      <c r="B477">
        <v>1.0714999999999999</v>
      </c>
      <c r="C477">
        <v>1.1389</v>
      </c>
      <c r="D477">
        <v>1.0427</v>
      </c>
      <c r="E477">
        <v>1.0496000000000001</v>
      </c>
      <c r="F477">
        <v>1305634.33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-0.85654885654885393</v>
      </c>
      <c r="Q477">
        <f t="shared" si="980"/>
        <v>-1118339.5924324291</v>
      </c>
      <c r="R477">
        <f t="shared" si="981"/>
        <v>-36604464.24180638</v>
      </c>
      <c r="S477">
        <f t="shared" si="982"/>
        <v>-366.0446424180638</v>
      </c>
      <c r="T477">
        <f t="shared" si="983"/>
        <v>-0.36604464241806378</v>
      </c>
    </row>
    <row r="478" spans="1:20" x14ac:dyDescent="0.25">
      <c r="A478" s="5">
        <v>44115</v>
      </c>
      <c r="B478">
        <v>1.0368999999999999</v>
      </c>
      <c r="C478">
        <v>1.0894999999999999</v>
      </c>
      <c r="D478">
        <v>1.0165999999999999</v>
      </c>
      <c r="E478">
        <v>1.0720000000000001</v>
      </c>
      <c r="F478">
        <v>938351.8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0.5198902606310053</v>
      </c>
      <c r="Q478">
        <f t="shared" si="980"/>
        <v>487839.96186557296</v>
      </c>
      <c r="R478">
        <f t="shared" si="981"/>
        <v>-35486124.649373949</v>
      </c>
      <c r="S478">
        <f t="shared" si="982"/>
        <v>-354.86124649373949</v>
      </c>
      <c r="T478">
        <f t="shared" si="983"/>
        <v>-0.35486124649373951</v>
      </c>
    </row>
    <row r="479" spans="1:20" x14ac:dyDescent="0.25">
      <c r="A479" s="5">
        <v>44114</v>
      </c>
      <c r="B479">
        <v>1.1759999999999999</v>
      </c>
      <c r="C479">
        <v>1.2339</v>
      </c>
      <c r="D479">
        <v>1.0342</v>
      </c>
      <c r="E479">
        <v>1.0374000000000001</v>
      </c>
      <c r="F479">
        <v>1584324.11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-0.96795192789183682</v>
      </c>
      <c r="Q479">
        <f t="shared" si="980"/>
        <v>-1533549.5766800186</v>
      </c>
      <c r="R479">
        <f t="shared" si="981"/>
        <v>-35973964.611239523</v>
      </c>
      <c r="S479">
        <f t="shared" si="982"/>
        <v>-359.73964611239523</v>
      </c>
      <c r="T479">
        <f t="shared" si="983"/>
        <v>-0.35973964611239523</v>
      </c>
    </row>
    <row r="480" spans="1:20" x14ac:dyDescent="0.25">
      <c r="A480" s="5">
        <v>44113</v>
      </c>
      <c r="B480">
        <v>1.1299999999999999</v>
      </c>
      <c r="C480">
        <v>1.25</v>
      </c>
      <c r="D480">
        <v>1.0878000000000001</v>
      </c>
      <c r="E480">
        <v>1.1759999999999999</v>
      </c>
      <c r="F480">
        <v>1786054.97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8.7546239210849433E-2</v>
      </c>
      <c r="Q480">
        <f t="shared" si="980"/>
        <v>156362.39564734651</v>
      </c>
      <c r="R480">
        <f t="shared" si="981"/>
        <v>-34440415.034559503</v>
      </c>
      <c r="S480">
        <f t="shared" si="982"/>
        <v>-344.40415034559504</v>
      </c>
      <c r="T480">
        <f t="shared" si="983"/>
        <v>-0.34440415034559502</v>
      </c>
    </row>
    <row r="481" spans="1:20" x14ac:dyDescent="0.25">
      <c r="A481" s="5">
        <v>44112</v>
      </c>
      <c r="B481">
        <v>1.0563</v>
      </c>
      <c r="C481">
        <v>1.1549</v>
      </c>
      <c r="D481">
        <v>1.0061</v>
      </c>
      <c r="E481">
        <v>1.1299999999999999</v>
      </c>
      <c r="F481">
        <v>1512068.15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0.66532258064515948</v>
      </c>
      <c r="Q481">
        <f t="shared" si="980"/>
        <v>1006013.083669352</v>
      </c>
      <c r="R481">
        <f t="shared" si="981"/>
        <v>-34596777.43020685</v>
      </c>
      <c r="S481">
        <f t="shared" si="982"/>
        <v>-345.96777430206851</v>
      </c>
      <c r="T481">
        <f t="shared" si="983"/>
        <v>-0.34596777430206849</v>
      </c>
    </row>
    <row r="482" spans="1:20" x14ac:dyDescent="0.25">
      <c r="A482" s="5">
        <v>44111</v>
      </c>
      <c r="B482">
        <v>1.0718000000000001</v>
      </c>
      <c r="C482">
        <v>1.0841000000000001</v>
      </c>
      <c r="D482">
        <v>1.0086999999999999</v>
      </c>
      <c r="E482">
        <v>1.0564</v>
      </c>
      <c r="F482">
        <v>1022876.03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0.26525198938992017</v>
      </c>
      <c r="Q482">
        <f t="shared" si="980"/>
        <v>271319.9018567637</v>
      </c>
      <c r="R482">
        <f t="shared" si="981"/>
        <v>-35602790.5138762</v>
      </c>
      <c r="S482">
        <f t="shared" si="982"/>
        <v>-356.02790513876198</v>
      </c>
      <c r="T482">
        <f t="shared" si="983"/>
        <v>-0.35602790513876198</v>
      </c>
    </row>
    <row r="483" spans="1:20" x14ac:dyDescent="0.25">
      <c r="A483" s="5">
        <v>44110</v>
      </c>
      <c r="B483">
        <v>1.0895999999999999</v>
      </c>
      <c r="C483">
        <v>1.2879</v>
      </c>
      <c r="D483">
        <v>1.0396000000000001</v>
      </c>
      <c r="E483">
        <v>1.0716000000000001</v>
      </c>
      <c r="F483">
        <v>3233024.78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-0.74224728151429697</v>
      </c>
      <c r="Q483">
        <f t="shared" si="980"/>
        <v>-2399703.8540233579</v>
      </c>
      <c r="R483">
        <f t="shared" si="981"/>
        <v>-35874110.415732965</v>
      </c>
      <c r="S483">
        <f t="shared" si="982"/>
        <v>-358.74110415732963</v>
      </c>
      <c r="T483">
        <f t="shared" si="983"/>
        <v>-0.35874110415732963</v>
      </c>
    </row>
    <row r="484" spans="1:20" x14ac:dyDescent="0.25">
      <c r="A484" s="5">
        <v>44109</v>
      </c>
      <c r="B484">
        <v>1.2448999999999999</v>
      </c>
      <c r="C484">
        <v>1.2572000000000001</v>
      </c>
      <c r="D484">
        <v>1.0503</v>
      </c>
      <c r="E484">
        <v>1.0841000000000001</v>
      </c>
      <c r="F484">
        <v>2121342.4300000002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-0.6732721121314641</v>
      </c>
      <c r="Q484">
        <f t="shared" si="980"/>
        <v>-1428240.6984001927</v>
      </c>
      <c r="R484">
        <f t="shared" si="981"/>
        <v>-33474406.561709609</v>
      </c>
      <c r="S484">
        <f t="shared" si="982"/>
        <v>-334.74406561709611</v>
      </c>
      <c r="T484">
        <f t="shared" si="983"/>
        <v>-0.33474406561709613</v>
      </c>
    </row>
    <row r="485" spans="1:20" x14ac:dyDescent="0.25">
      <c r="A485" s="5">
        <v>44108</v>
      </c>
      <c r="B485">
        <v>1.3949</v>
      </c>
      <c r="C485">
        <v>1.4359999999999999</v>
      </c>
      <c r="D485">
        <v>1.2050000000000001</v>
      </c>
      <c r="E485">
        <v>1.2393000000000001</v>
      </c>
      <c r="F485">
        <v>2299243.66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-0.70303030303030289</v>
      </c>
      <c r="Q485">
        <f t="shared" si="980"/>
        <v>-1616437.9670303029</v>
      </c>
      <c r="R485">
        <f t="shared" si="981"/>
        <v>-32046165.863309417</v>
      </c>
      <c r="S485">
        <f t="shared" si="982"/>
        <v>-320.46165863309415</v>
      </c>
      <c r="T485">
        <f t="shared" si="983"/>
        <v>-0.32046165863309417</v>
      </c>
    </row>
    <row r="486" spans="1:20" x14ac:dyDescent="0.25">
      <c r="A486" s="5">
        <v>44107</v>
      </c>
      <c r="B486">
        <v>1.4922</v>
      </c>
      <c r="C486">
        <v>1.6641999999999999</v>
      </c>
      <c r="D486">
        <v>1.3241000000000001</v>
      </c>
      <c r="E486">
        <v>1.39</v>
      </c>
      <c r="F486">
        <v>7332708.9500000002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-0.6124669214936791</v>
      </c>
      <c r="Q486">
        <f t="shared" si="980"/>
        <v>-4491041.6768156486</v>
      </c>
      <c r="R486">
        <f t="shared" si="981"/>
        <v>-30429727.896279115</v>
      </c>
      <c r="S486">
        <f t="shared" si="982"/>
        <v>-304.29727896279115</v>
      </c>
      <c r="T486">
        <f t="shared" si="983"/>
        <v>-0.30429727896279113</v>
      </c>
    </row>
    <row r="487" spans="1:20" x14ac:dyDescent="0.25">
      <c r="A487" s="5">
        <v>44106</v>
      </c>
      <c r="B487">
        <v>1.3131999999999999</v>
      </c>
      <c r="C487">
        <v>1.5</v>
      </c>
      <c r="D487">
        <v>1.1984999999999999</v>
      </c>
      <c r="E487">
        <v>1.488</v>
      </c>
      <c r="F487">
        <v>3402849.39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0.92039800995024867</v>
      </c>
      <c r="Q487">
        <f t="shared" si="980"/>
        <v>3131975.8067164179</v>
      </c>
      <c r="R487">
        <f t="shared" si="981"/>
        <v>-25938686.219463468</v>
      </c>
      <c r="S487">
        <f t="shared" si="982"/>
        <v>-259.38686219463466</v>
      </c>
      <c r="T487">
        <f t="shared" si="983"/>
        <v>-0.25938686219463464</v>
      </c>
    </row>
    <row r="488" spans="1:20" x14ac:dyDescent="0.25">
      <c r="A488" s="5">
        <v>44105</v>
      </c>
      <c r="B488">
        <v>1.4283999999999999</v>
      </c>
      <c r="C488">
        <v>1.5313000000000001</v>
      </c>
      <c r="D488">
        <v>1.26</v>
      </c>
      <c r="E488">
        <v>1.3103</v>
      </c>
      <c r="F488">
        <v>3421941.1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-0.62919277552524888</v>
      </c>
      <c r="Q488">
        <f t="shared" si="980"/>
        <v>-2153060.6183929234</v>
      </c>
      <c r="R488">
        <f t="shared" si="981"/>
        <v>-29070662.026179887</v>
      </c>
      <c r="S488">
        <f t="shared" si="982"/>
        <v>-290.70662026179889</v>
      </c>
      <c r="T488">
        <f t="shared" si="983"/>
        <v>-0.29070662026179889</v>
      </c>
    </row>
    <row r="489" spans="1:20" x14ac:dyDescent="0.25">
      <c r="A489" s="5">
        <v>44104</v>
      </c>
      <c r="B489">
        <v>1.3786</v>
      </c>
      <c r="C489">
        <v>1.58</v>
      </c>
      <c r="D489">
        <v>1.2784</v>
      </c>
      <c r="E489">
        <v>1.4274</v>
      </c>
      <c r="F489">
        <v>2722507.06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-1.1936339522546573E-2</v>
      </c>
      <c r="Q489">
        <f t="shared" si="980"/>
        <v>-32496.768620690073</v>
      </c>
      <c r="R489">
        <f t="shared" si="981"/>
        <v>-26917601.407786965</v>
      </c>
      <c r="S489">
        <f t="shared" si="982"/>
        <v>-269.17601407786964</v>
      </c>
      <c r="T489">
        <f t="shared" si="983"/>
        <v>-0.26917601407786962</v>
      </c>
    </row>
    <row r="490" spans="1:20" x14ac:dyDescent="0.25">
      <c r="A490" s="5">
        <v>44103</v>
      </c>
      <c r="B490">
        <v>1.5956999999999999</v>
      </c>
      <c r="C490">
        <v>1.671</v>
      </c>
      <c r="D490">
        <v>1.3</v>
      </c>
      <c r="E490">
        <v>1.375</v>
      </c>
      <c r="F490">
        <v>2727615.47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-0.59568733153638842</v>
      </c>
      <c r="Q490">
        <f t="shared" si="980"/>
        <v>-1624805.9807816721</v>
      </c>
      <c r="R490">
        <f t="shared" si="981"/>
        <v>-26885104.639166277</v>
      </c>
      <c r="S490">
        <f t="shared" si="982"/>
        <v>-268.85104639166275</v>
      </c>
      <c r="T490">
        <f t="shared" si="983"/>
        <v>-0.26885104639166274</v>
      </c>
    </row>
    <row r="491" spans="1:20" x14ac:dyDescent="0.25">
      <c r="A491" s="5">
        <v>44102</v>
      </c>
      <c r="B491">
        <v>2.0310999999999999</v>
      </c>
      <c r="C491">
        <v>2.0981999999999998</v>
      </c>
      <c r="D491">
        <v>1.5710999999999999</v>
      </c>
      <c r="E491">
        <v>1.6039000000000001</v>
      </c>
      <c r="F491">
        <v>2070001.08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-0.87554543729842471</v>
      </c>
      <c r="Q491">
        <f t="shared" si="980"/>
        <v>-1812380.0007968114</v>
      </c>
      <c r="R491">
        <f t="shared" si="981"/>
        <v>-25260298.658384606</v>
      </c>
      <c r="S491">
        <f t="shared" si="982"/>
        <v>-252.60298658384608</v>
      </c>
      <c r="T491">
        <f t="shared" si="983"/>
        <v>-0.25260298658384606</v>
      </c>
    </row>
    <row r="492" spans="1:20" x14ac:dyDescent="0.25">
      <c r="A492" s="5">
        <v>44101</v>
      </c>
      <c r="B492">
        <v>2.3279000000000001</v>
      </c>
      <c r="C492">
        <v>2.35</v>
      </c>
      <c r="D492">
        <v>1.9157</v>
      </c>
      <c r="E492">
        <v>2.0312999999999999</v>
      </c>
      <c r="F492">
        <v>1976950.12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-0.4676490904904449</v>
      </c>
      <c r="Q492">
        <f t="shared" si="980"/>
        <v>-924518.92556297593</v>
      </c>
      <c r="R492">
        <f t="shared" si="981"/>
        <v>-23447918.657587796</v>
      </c>
      <c r="S492">
        <f t="shared" si="982"/>
        <v>-234.47918657587797</v>
      </c>
      <c r="T492">
        <f t="shared" si="983"/>
        <v>-0.23447918657587796</v>
      </c>
    </row>
    <row r="493" spans="1:20" x14ac:dyDescent="0.25">
      <c r="A493" s="5">
        <v>44100</v>
      </c>
      <c r="B493">
        <v>2.4716999999999998</v>
      </c>
      <c r="C493">
        <v>2.5099999999999998</v>
      </c>
      <c r="D493">
        <v>2.2999999999999998</v>
      </c>
      <c r="E493">
        <v>2.3285</v>
      </c>
      <c r="F493">
        <v>1009328.61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-0.72857142857142665</v>
      </c>
      <c r="Q493">
        <f t="shared" si="980"/>
        <v>-735367.98728571238</v>
      </c>
      <c r="R493">
        <f t="shared" si="981"/>
        <v>-22523399.732024822</v>
      </c>
      <c r="S493">
        <f t="shared" si="982"/>
        <v>-225.23399732024822</v>
      </c>
      <c r="T493">
        <f t="shared" si="983"/>
        <v>-0.22523399732024821</v>
      </c>
    </row>
    <row r="494" spans="1:20" x14ac:dyDescent="0.25">
      <c r="A494" s="5">
        <v>44099</v>
      </c>
      <c r="B494">
        <v>2.5779999999999998</v>
      </c>
      <c r="C494">
        <v>2.6901999999999999</v>
      </c>
      <c r="D494">
        <v>2.35</v>
      </c>
      <c r="E494">
        <v>2.4712000000000001</v>
      </c>
      <c r="F494">
        <v>1505629.1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-0.28747795414462063</v>
      </c>
      <c r="Q494">
        <f t="shared" si="980"/>
        <v>-432835.17336860643</v>
      </c>
      <c r="R494">
        <f t="shared" si="981"/>
        <v>-21788031.744739112</v>
      </c>
      <c r="S494">
        <f t="shared" si="982"/>
        <v>-217.88031744739112</v>
      </c>
      <c r="T494">
        <f t="shared" si="983"/>
        <v>-0.21788031744739111</v>
      </c>
    </row>
    <row r="495" spans="1:20" x14ac:dyDescent="0.25">
      <c r="A495" s="5">
        <v>44098</v>
      </c>
      <c r="B495">
        <v>2.4148000000000001</v>
      </c>
      <c r="C495">
        <v>2.6724999999999999</v>
      </c>
      <c r="D495">
        <v>2.3050000000000002</v>
      </c>
      <c r="E495">
        <v>2.5834999999999999</v>
      </c>
      <c r="F495">
        <v>1850478.32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0.51564625850340118</v>
      </c>
      <c r="Q495">
        <f t="shared" si="980"/>
        <v>954192.22214965953</v>
      </c>
      <c r="R495">
        <f t="shared" si="981"/>
        <v>-21355196.571370505</v>
      </c>
      <c r="S495">
        <f t="shared" si="982"/>
        <v>-213.55196571370504</v>
      </c>
      <c r="T495">
        <f t="shared" si="983"/>
        <v>-0.21355196571370505</v>
      </c>
    </row>
    <row r="496" spans="1:20" x14ac:dyDescent="0.25">
      <c r="A496" s="5">
        <v>44097</v>
      </c>
      <c r="B496">
        <v>2.6316999999999999</v>
      </c>
      <c r="C496">
        <v>2.8693</v>
      </c>
      <c r="D496">
        <v>2.302</v>
      </c>
      <c r="E496">
        <v>2.415</v>
      </c>
      <c r="F496">
        <v>2264529.36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-0.60162171690463595</v>
      </c>
      <c r="Q496">
        <f t="shared" si="980"/>
        <v>-1362390.0415441564</v>
      </c>
      <c r="R496">
        <f t="shared" si="981"/>
        <v>-22309388.793520164</v>
      </c>
      <c r="S496">
        <f t="shared" si="982"/>
        <v>-223.09388793520165</v>
      </c>
      <c r="T496">
        <f t="shared" si="983"/>
        <v>-0.22309388793520166</v>
      </c>
    </row>
    <row r="497" spans="1:20" x14ac:dyDescent="0.25">
      <c r="A497" s="5">
        <v>44096</v>
      </c>
      <c r="B497">
        <v>3.0268000000000002</v>
      </c>
      <c r="C497">
        <v>3.2082999999999999</v>
      </c>
      <c r="D497">
        <v>2.4567999999999999</v>
      </c>
      <c r="E497">
        <v>2.6309999999999998</v>
      </c>
      <c r="F497">
        <v>1874115.48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-0.53639387890884926</v>
      </c>
      <c r="Q497">
        <f t="shared" si="980"/>
        <v>-1005264.0718403199</v>
      </c>
      <c r="R497">
        <f t="shared" si="981"/>
        <v>-20946998.751976006</v>
      </c>
      <c r="S497">
        <f t="shared" si="982"/>
        <v>-209.46998751976005</v>
      </c>
      <c r="T497">
        <f t="shared" si="983"/>
        <v>-0.20946998751976006</v>
      </c>
    </row>
    <row r="498" spans="1:20" x14ac:dyDescent="0.25">
      <c r="A498" s="5">
        <v>44095</v>
      </c>
      <c r="B498">
        <v>3.6979000000000002</v>
      </c>
      <c r="C498">
        <v>3.8898000000000001</v>
      </c>
      <c r="D498">
        <v>2.95</v>
      </c>
      <c r="E498">
        <v>3.0028000000000001</v>
      </c>
      <c r="F498">
        <v>2625063.4700000002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-0.88763566716322628</v>
      </c>
      <c r="Q498">
        <f t="shared" si="980"/>
        <v>-2330099.9645392639</v>
      </c>
      <c r="R498">
        <f t="shared" si="981"/>
        <v>-19941734.680135686</v>
      </c>
      <c r="S498">
        <f t="shared" si="982"/>
        <v>-199.41734680135687</v>
      </c>
      <c r="T498">
        <f t="shared" si="983"/>
        <v>-0.19941734680135687</v>
      </c>
    </row>
    <row r="499" spans="1:20" x14ac:dyDescent="0.25">
      <c r="A499" s="5">
        <v>44094</v>
      </c>
      <c r="B499">
        <v>4.6173000000000002</v>
      </c>
      <c r="C499">
        <v>5.0704000000000002</v>
      </c>
      <c r="D499">
        <v>3.46</v>
      </c>
      <c r="E499">
        <v>3.6979000000000002</v>
      </c>
      <c r="F499">
        <v>3765632.21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-0.70454545454545436</v>
      </c>
      <c r="Q499">
        <f t="shared" si="980"/>
        <v>-2653059.0570454537</v>
      </c>
      <c r="R499">
        <f t="shared" si="981"/>
        <v>-17611634.715596423</v>
      </c>
      <c r="S499">
        <f t="shared" si="982"/>
        <v>-176.11634715596423</v>
      </c>
      <c r="T499">
        <f t="shared" si="983"/>
        <v>-0.17611634715596425</v>
      </c>
    </row>
    <row r="500" spans="1:20" x14ac:dyDescent="0.25">
      <c r="A500" s="5">
        <v>44093</v>
      </c>
      <c r="B500">
        <v>3.0171000000000001</v>
      </c>
      <c r="C500">
        <v>5.6242999999999999</v>
      </c>
      <c r="D500">
        <v>2.97</v>
      </c>
      <c r="E500">
        <v>4.6153000000000004</v>
      </c>
      <c r="F500">
        <v>10116217.939999999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0.23972422107523672</v>
      </c>
      <c r="Q500">
        <f t="shared" si="980"/>
        <v>2425102.4658938358</v>
      </c>
      <c r="R500">
        <f t="shared" si="981"/>
        <v>-14958575.65855097</v>
      </c>
      <c r="S500">
        <f t="shared" si="982"/>
        <v>-149.5857565855097</v>
      </c>
      <c r="T500">
        <f t="shared" si="983"/>
        <v>-0.14958575658550971</v>
      </c>
    </row>
    <row r="501" spans="1:20" x14ac:dyDescent="0.25">
      <c r="A501" s="5">
        <v>44092</v>
      </c>
      <c r="B501">
        <v>3.0152999999999999</v>
      </c>
      <c r="C501">
        <v>3.8803999999999998</v>
      </c>
      <c r="D501">
        <v>2.8411</v>
      </c>
      <c r="E501">
        <v>3.0152000000000001</v>
      </c>
      <c r="F501">
        <v>3325817.27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-0.66496680458000545</v>
      </c>
      <c r="Q501">
        <f t="shared" si="980"/>
        <v>-2211558.0826488971</v>
      </c>
      <c r="R501">
        <f t="shared" si="981"/>
        <v>-17383678.124444805</v>
      </c>
      <c r="S501">
        <f t="shared" si="982"/>
        <v>-173.83678124444805</v>
      </c>
      <c r="T501">
        <f t="shared" si="983"/>
        <v>-0.17383678124444804</v>
      </c>
    </row>
    <row r="502" spans="1:20" x14ac:dyDescent="0.25">
      <c r="A502" s="5">
        <v>44091</v>
      </c>
      <c r="B502">
        <v>4.5697999999999999</v>
      </c>
      <c r="C502">
        <v>4.9198000000000004</v>
      </c>
      <c r="D502">
        <v>3.0103</v>
      </c>
      <c r="E502">
        <v>3.0305</v>
      </c>
      <c r="F502">
        <v>4440524.87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-0.97884262896046081</v>
      </c>
      <c r="Q502">
        <f t="shared" si="980"/>
        <v>-4346575.0377151091</v>
      </c>
      <c r="R502">
        <f t="shared" si="981"/>
        <v>-15172120.041795908</v>
      </c>
      <c r="S502">
        <f t="shared" si="982"/>
        <v>-151.72120041795907</v>
      </c>
      <c r="T502">
        <f t="shared" si="983"/>
        <v>-0.15172120041795906</v>
      </c>
    </row>
    <row r="503" spans="1:20" x14ac:dyDescent="0.25">
      <c r="A503" s="5">
        <v>44090</v>
      </c>
      <c r="B503">
        <v>6.2183000000000002</v>
      </c>
      <c r="C503">
        <v>6.2496999999999998</v>
      </c>
      <c r="D503">
        <v>4.05</v>
      </c>
      <c r="E503">
        <v>4.5697000000000001</v>
      </c>
      <c r="F503">
        <v>7895368.7999999998</v>
      </c>
      <c r="G503">
        <v>0</v>
      </c>
      <c r="L503" t="s">
        <v>8</v>
      </c>
      <c r="M503" t="s">
        <v>8</v>
      </c>
      <c r="N503" t="s">
        <v>8</v>
      </c>
      <c r="P503">
        <f t="shared" si="979"/>
        <v>-0.52748102013910958</v>
      </c>
      <c r="Q503">
        <f t="shared" si="980"/>
        <v>-4164657.1889984976</v>
      </c>
      <c r="R503">
        <f t="shared" si="981"/>
        <v>-10825545.004080798</v>
      </c>
      <c r="S503">
        <f t="shared" si="982"/>
        <v>-108.25545004080799</v>
      </c>
      <c r="T503">
        <f t="shared" si="983"/>
        <v>-0.10825545004080799</v>
      </c>
    </row>
    <row r="504" spans="1:20" x14ac:dyDescent="0.25">
      <c r="A504" s="5">
        <v>44089</v>
      </c>
      <c r="B504">
        <v>0.75</v>
      </c>
      <c r="C504">
        <v>19</v>
      </c>
      <c r="D504">
        <v>0.75</v>
      </c>
      <c r="E504">
        <v>6.2073</v>
      </c>
      <c r="F504">
        <v>16571857.380000001</v>
      </c>
      <c r="G504">
        <v>0</v>
      </c>
      <c r="P504">
        <f t="shared" si="979"/>
        <v>-0.40193972602739725</v>
      </c>
      <c r="Q504">
        <f t="shared" si="980"/>
        <v>-6660887.8150823014</v>
      </c>
      <c r="R504">
        <f t="shared" si="981"/>
        <v>-6660887.8150823014</v>
      </c>
      <c r="S504">
        <f t="shared" si="982"/>
        <v>-66.608878150823017</v>
      </c>
      <c r="T504">
        <f t="shared" si="983"/>
        <v>-6.6608878150823017E-2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T596" sqref="IT59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$A$595</v>
      </c>
      <c r="D111" s="1" t="str">
        <f>ADDRESS(C121-1,D121,1,1)</f>
        <v>$IT$595</v>
      </c>
      <c r="E111"/>
    </row>
    <row r="112" spans="1:5" x14ac:dyDescent="0.25">
      <c r="A112" s="7">
        <v>12164.144957890772</v>
      </c>
      <c r="C112" s="1" t="str">
        <f>ADDRESS(C121,1,1,1)</f>
        <v>$A$596</v>
      </c>
      <c r="D112" s="1" t="str">
        <f>ADDRESS(C121,D121-1,1,1)</f>
        <v>$IS$596</v>
      </c>
      <c r="E112"/>
    </row>
    <row r="113" spans="1:5" x14ac:dyDescent="0.25">
      <c r="A113" s="7">
        <v>11925.63231165762</v>
      </c>
      <c r="C113" s="1" t="str">
        <f>ADDRESS(C121+1,1,1,1)</f>
        <v>$A$597</v>
      </c>
      <c r="D113" s="1" t="str">
        <f>ADDRESS(C121-1,D121+1,1,1)</f>
        <v>$IU$595</v>
      </c>
    </row>
    <row r="114" spans="1:5" x14ac:dyDescent="0.25">
      <c r="A114" s="7">
        <v>11691.796383978059</v>
      </c>
      <c r="C114" s="1" t="str">
        <f>ADDRESS(C121,D121,1,1)</f>
        <v>$IT$596</v>
      </c>
      <c r="D114" s="1" t="str">
        <f>ADDRESS(C121+1,D121+1,1,1)</f>
        <v>$IU$597</v>
      </c>
    </row>
    <row r="115" spans="1:5" x14ac:dyDescent="0.25">
      <c r="A115" s="7">
        <v>11462.545474488292</v>
      </c>
      <c r="C115" s="1" t="str">
        <f>ADDRESS(C121+1,D121,1,1)</f>
        <v>$IT$597</v>
      </c>
    </row>
    <row r="116" spans="1:5" x14ac:dyDescent="0.25">
      <c r="A116" s="7">
        <v>11237.789680870874</v>
      </c>
      <c r="C116" s="1">
        <f>C117-1</f>
        <v>595</v>
      </c>
    </row>
    <row r="117" spans="1:5" x14ac:dyDescent="0.25">
      <c r="A117" s="7">
        <v>11017.440863598895</v>
      </c>
      <c r="C117" s="1">
        <f>C121</f>
        <v>596</v>
      </c>
      <c r="D117" s="1">
        <f>D121</f>
        <v>254</v>
      </c>
    </row>
    <row r="118" spans="1:5" x14ac:dyDescent="0.25">
      <c r="A118" s="7">
        <v>10801.412611371465</v>
      </c>
      <c r="C118" s="1">
        <f>C117+1</f>
        <v>597</v>
      </c>
      <c r="D118" s="1">
        <f>D117+1</f>
        <v>255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596</v>
      </c>
      <c r="D121" s="19">
        <v>254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R596</v>
      </c>
      <c r="D123" s="1" t="str">
        <f>"C"&amp;D121</f>
        <v>C254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0.83675526587265858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6" x14ac:dyDescent="0.25">
      <c r="A481" s="7">
        <v>8.1586481992426112</v>
      </c>
      <c r="B481"/>
      <c r="C481"/>
      <c r="D481"/>
      <c r="E481"/>
    </row>
    <row r="482" spans="1:6" x14ac:dyDescent="0.25">
      <c r="A482" s="7">
        <v>7.9986747051398144</v>
      </c>
      <c r="B482"/>
      <c r="C482"/>
      <c r="D482"/>
      <c r="E482"/>
    </row>
    <row r="483" spans="1:6" x14ac:dyDescent="0.25">
      <c r="A483" s="7">
        <v>7.8418379462155041</v>
      </c>
      <c r="B483"/>
      <c r="C483"/>
      <c r="D483"/>
      <c r="E483"/>
    </row>
    <row r="484" spans="1:6" x14ac:dyDescent="0.25">
      <c r="A484" s="7">
        <v>7.688076417858337</v>
      </c>
      <c r="B484"/>
      <c r="C484"/>
      <c r="D484"/>
      <c r="E484"/>
    </row>
    <row r="485" spans="1:6" x14ac:dyDescent="0.25">
      <c r="A485" s="7">
        <v>7.5373298214297417</v>
      </c>
      <c r="B485"/>
      <c r="C485"/>
      <c r="D485"/>
      <c r="E485"/>
    </row>
    <row r="486" spans="1:6" x14ac:dyDescent="0.25">
      <c r="A486" s="7">
        <v>7.389539040617394</v>
      </c>
      <c r="B486"/>
      <c r="C486"/>
      <c r="D486"/>
      <c r="E486"/>
    </row>
    <row r="487" spans="1:6" x14ac:dyDescent="0.25">
      <c r="A487" s="7">
        <v>7.2446461182523469</v>
      </c>
      <c r="B487"/>
      <c r="C487"/>
      <c r="D487"/>
      <c r="E487"/>
    </row>
    <row r="488" spans="1:6" x14ac:dyDescent="0.25">
      <c r="A488" s="7">
        <v>7.1025942335807324</v>
      </c>
      <c r="B488"/>
      <c r="C488"/>
      <c r="D488"/>
      <c r="E488"/>
    </row>
    <row r="489" spans="1:6" x14ac:dyDescent="0.25">
      <c r="A489" s="7">
        <v>6.9633276799811101</v>
      </c>
      <c r="B489"/>
      <c r="C489"/>
      <c r="D489"/>
      <c r="E489"/>
    </row>
    <row r="490" spans="1:6" x14ac:dyDescent="0.25">
      <c r="A490" s="7">
        <v>6.8267918431187349</v>
      </c>
      <c r="B490"/>
      <c r="C490"/>
      <c r="D490"/>
      <c r="E490"/>
    </row>
    <row r="491" spans="1:6" x14ac:dyDescent="0.25">
      <c r="A491" s="7">
        <v>6.692933179528171</v>
      </c>
      <c r="B491"/>
      <c r="C491"/>
      <c r="D491"/>
      <c r="E491"/>
    </row>
    <row r="492" spans="1:6" x14ac:dyDescent="0.25">
      <c r="A492" s="7">
        <v>6.5616991956158541</v>
      </c>
      <c r="B492"/>
      <c r="C492"/>
      <c r="D492"/>
      <c r="E492"/>
    </row>
    <row r="493" spans="1:6" x14ac:dyDescent="0.25">
      <c r="A493" s="7">
        <v>6.4330384270743668</v>
      </c>
      <c r="B493"/>
      <c r="C493"/>
      <c r="D493"/>
      <c r="E493"/>
    </row>
    <row r="494" spans="1:6" x14ac:dyDescent="0.25">
      <c r="A494" s="7">
        <v>6.3069004187003594</v>
      </c>
      <c r="B494"/>
      <c r="C494"/>
      <c r="D494"/>
      <c r="E494"/>
    </row>
    <row r="495" spans="1:6" x14ac:dyDescent="0.25">
      <c r="A495" s="7">
        <v>6.1832357046081956</v>
      </c>
      <c r="B495"/>
      <c r="C495"/>
      <c r="D495"/>
      <c r="E495" t="s">
        <v>8</v>
      </c>
    </row>
    <row r="496" spans="1:6" x14ac:dyDescent="0.25">
      <c r="A496" s="7">
        <v>6.0619957888315641</v>
      </c>
      <c r="B496"/>
      <c r="C496"/>
      <c r="D496"/>
      <c r="E496" t="s">
        <v>8</v>
      </c>
      <c r="F496" s="27" t="s">
        <v>7</v>
      </c>
    </row>
    <row r="497" spans="1:106" x14ac:dyDescent="0.25">
      <c r="A497" s="7">
        <v>5.9431331263054545</v>
      </c>
      <c r="B497"/>
      <c r="C497"/>
      <c r="D497"/>
      <c r="E497" t="s">
        <v>8</v>
      </c>
      <c r="F497" s="27" t="s">
        <v>7</v>
      </c>
    </row>
    <row r="498" spans="1:106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CM498" s="27" t="s">
        <v>8</v>
      </c>
    </row>
    <row r="499" spans="1:106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CM499" s="27" t="s">
        <v>8</v>
      </c>
      <c r="CN499" s="27" t="s">
        <v>7</v>
      </c>
    </row>
    <row r="500" spans="1:106" x14ac:dyDescent="0.25">
      <c r="A500" s="7">
        <v>5.6003470821040304</v>
      </c>
      <c r="B500"/>
      <c r="C500"/>
      <c r="D500"/>
      <c r="E500" t="s">
        <v>8</v>
      </c>
      <c r="F500" s="27" t="s">
        <v>7</v>
      </c>
      <c r="G500" s="27" t="s">
        <v>8</v>
      </c>
      <c r="CM500" s="27" t="s">
        <v>8</v>
      </c>
      <c r="CN500" s="27" t="s">
        <v>7</v>
      </c>
    </row>
    <row r="501" spans="1:106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G501" s="27" t="s">
        <v>8</v>
      </c>
      <c r="H501" s="27" t="s">
        <v>7</v>
      </c>
      <c r="CK501" s="27" t="s">
        <v>8</v>
      </c>
      <c r="CM501" s="27" t="s">
        <v>8</v>
      </c>
      <c r="CN501" s="27" t="s">
        <v>7</v>
      </c>
    </row>
    <row r="502" spans="1:106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G502" s="27" t="s">
        <v>8</v>
      </c>
      <c r="H502" s="27" t="s">
        <v>7</v>
      </c>
      <c r="CK502" s="27" t="s">
        <v>8</v>
      </c>
      <c r="CL502" s="27" t="s">
        <v>7</v>
      </c>
      <c r="CM502" s="27" t="s">
        <v>8</v>
      </c>
      <c r="CN502" s="27" t="s">
        <v>7</v>
      </c>
      <c r="CO502" s="27" t="s">
        <v>8</v>
      </c>
    </row>
    <row r="503" spans="1:106" x14ac:dyDescent="0.25">
      <c r="A503" s="7">
        <v>5.2773321366819985</v>
      </c>
      <c r="B503"/>
      <c r="C503"/>
      <c r="D503"/>
      <c r="E503" t="s">
        <v>8</v>
      </c>
      <c r="F503" s="27" t="s">
        <v>7</v>
      </c>
      <c r="G503" s="27" t="s">
        <v>8</v>
      </c>
      <c r="H503" s="27" t="s">
        <v>7</v>
      </c>
      <c r="CK503" s="27" t="s">
        <v>8</v>
      </c>
      <c r="CL503" s="27" t="s">
        <v>7</v>
      </c>
      <c r="CM503" s="27" t="s">
        <v>8</v>
      </c>
      <c r="CN503" s="27" t="s">
        <v>7</v>
      </c>
      <c r="CO503" s="27" t="s">
        <v>8</v>
      </c>
      <c r="CP503" s="27" t="s">
        <v>7</v>
      </c>
    </row>
    <row r="504" spans="1:106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G504" s="27" t="s">
        <v>8</v>
      </c>
      <c r="H504" s="27" t="s">
        <v>7</v>
      </c>
      <c r="CK504" s="27" t="s">
        <v>8</v>
      </c>
      <c r="CL504" s="27" t="s">
        <v>7</v>
      </c>
      <c r="CM504" s="27" t="s">
        <v>8</v>
      </c>
      <c r="CN504" s="27" t="s">
        <v>7</v>
      </c>
      <c r="CO504" s="27" t="s">
        <v>8</v>
      </c>
      <c r="CP504" s="27" t="s">
        <v>7</v>
      </c>
    </row>
    <row r="505" spans="1:106" x14ac:dyDescent="0.25">
      <c r="A505" s="7">
        <v>5.07240689800269</v>
      </c>
      <c r="B505"/>
      <c r="C505"/>
      <c r="D505"/>
      <c r="E505" t="s">
        <v>8</v>
      </c>
      <c r="F505" s="27" t="s">
        <v>7</v>
      </c>
      <c r="G505" s="27" t="s">
        <v>8</v>
      </c>
      <c r="H505" s="27" t="s">
        <v>7</v>
      </c>
      <c r="CK505" s="27" t="s">
        <v>8</v>
      </c>
      <c r="CL505" s="27" t="s">
        <v>7</v>
      </c>
      <c r="CM505" s="27" t="s">
        <v>8</v>
      </c>
      <c r="CN505" s="27" t="s">
        <v>7</v>
      </c>
      <c r="CO505" s="27" t="s">
        <v>8</v>
      </c>
      <c r="CP505" s="27" t="s">
        <v>7</v>
      </c>
    </row>
    <row r="506" spans="1:106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H506" s="27" t="s">
        <v>7</v>
      </c>
      <c r="CK506" s="27" t="s">
        <v>8</v>
      </c>
      <c r="CL506" s="27" t="s">
        <v>7</v>
      </c>
      <c r="CM506" s="27" t="s">
        <v>8</v>
      </c>
      <c r="CN506" s="27" t="s">
        <v>7</v>
      </c>
      <c r="CO506" s="27" t="s">
        <v>8</v>
      </c>
      <c r="CP506" s="27" t="s">
        <v>7</v>
      </c>
      <c r="CS506" s="27" t="s">
        <v>8</v>
      </c>
    </row>
    <row r="507" spans="1:106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H507" s="27" t="s">
        <v>7</v>
      </c>
      <c r="CK507" s="27" t="s">
        <v>8</v>
      </c>
      <c r="CL507" s="27" t="s">
        <v>7</v>
      </c>
      <c r="CM507" s="27" t="s">
        <v>8</v>
      </c>
      <c r="CN507" s="27" t="s">
        <v>7</v>
      </c>
      <c r="CP507" s="27" t="s">
        <v>7</v>
      </c>
      <c r="CS507" s="27" t="s">
        <v>8</v>
      </c>
      <c r="CT507" s="27" t="s">
        <v>7</v>
      </c>
    </row>
    <row r="508" spans="1:106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  <c r="H508" s="27" t="s">
        <v>7</v>
      </c>
      <c r="CK508" s="27" t="s">
        <v>8</v>
      </c>
      <c r="CL508" s="27" t="s">
        <v>7</v>
      </c>
      <c r="CM508" s="27" t="s">
        <v>8</v>
      </c>
      <c r="CP508" s="27" t="s">
        <v>7</v>
      </c>
      <c r="CS508" s="27" t="s">
        <v>8</v>
      </c>
      <c r="CT508" s="27" t="s">
        <v>7</v>
      </c>
    </row>
    <row r="509" spans="1:106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  <c r="CK509" s="27" t="s">
        <v>8</v>
      </c>
      <c r="CL509" s="27" t="s">
        <v>7</v>
      </c>
      <c r="CP509" s="27" t="s">
        <v>7</v>
      </c>
      <c r="CQ509" s="27" t="s">
        <v>8</v>
      </c>
      <c r="CS509" s="27" t="s">
        <v>8</v>
      </c>
      <c r="CT509" s="27" t="s">
        <v>7</v>
      </c>
      <c r="DA509" s="27" t="s">
        <v>8</v>
      </c>
    </row>
    <row r="510" spans="1:106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  <c r="CK510" s="27" t="s">
        <v>8</v>
      </c>
      <c r="CP510" s="27" t="s">
        <v>7</v>
      </c>
      <c r="CQ510" s="27" t="s">
        <v>8</v>
      </c>
      <c r="CR510" s="27" t="s">
        <v>7</v>
      </c>
      <c r="CS510" s="27" t="s">
        <v>8</v>
      </c>
      <c r="CT510" s="27" t="s">
        <v>7</v>
      </c>
      <c r="DA510" s="27" t="s">
        <v>8</v>
      </c>
      <c r="DB510" s="27" t="s">
        <v>7</v>
      </c>
    </row>
    <row r="511" spans="1:106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CK511" s="27" t="s">
        <v>8</v>
      </c>
      <c r="CP511" s="27" t="s">
        <v>7</v>
      </c>
      <c r="CQ511" s="27" t="s">
        <v>8</v>
      </c>
      <c r="CR511" s="27" t="s">
        <v>7</v>
      </c>
      <c r="CS511" s="27" t="s">
        <v>8</v>
      </c>
      <c r="CT511" s="27" t="s">
        <v>7</v>
      </c>
      <c r="CW511" s="27" t="s">
        <v>8</v>
      </c>
      <c r="CY511" s="27" t="s">
        <v>8</v>
      </c>
      <c r="DA511" s="27" t="s">
        <v>8</v>
      </c>
      <c r="DB511" s="27" t="s">
        <v>7</v>
      </c>
    </row>
    <row r="512" spans="1:106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CK512" s="27" t="s">
        <v>8</v>
      </c>
      <c r="CP512" s="27" t="s">
        <v>7</v>
      </c>
      <c r="CQ512" s="27" t="s">
        <v>8</v>
      </c>
      <c r="CR512" s="27" t="s">
        <v>7</v>
      </c>
      <c r="CS512" s="27" t="s">
        <v>8</v>
      </c>
      <c r="CT512" s="27" t="s">
        <v>7</v>
      </c>
      <c r="CW512" s="27" t="s">
        <v>8</v>
      </c>
      <c r="CX512" s="27" t="s">
        <v>7</v>
      </c>
      <c r="CY512" s="27" t="s">
        <v>8</v>
      </c>
      <c r="CZ512" s="27" t="s">
        <v>7</v>
      </c>
      <c r="DA512" s="27" t="s">
        <v>8</v>
      </c>
      <c r="DB512" s="27" t="s">
        <v>7</v>
      </c>
    </row>
    <row r="513" spans="1:192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CK513" s="27" t="s">
        <v>8</v>
      </c>
      <c r="CP513" s="27" t="s">
        <v>7</v>
      </c>
      <c r="CR513" s="27" t="s">
        <v>7</v>
      </c>
      <c r="CT513" s="27" t="s">
        <v>7</v>
      </c>
      <c r="CW513" s="27" t="s">
        <v>8</v>
      </c>
      <c r="CX513" s="27" t="s">
        <v>7</v>
      </c>
      <c r="CY513" s="27" t="s">
        <v>8</v>
      </c>
      <c r="CZ513" s="27" t="s">
        <v>7</v>
      </c>
      <c r="DA513" s="27" t="s">
        <v>8</v>
      </c>
      <c r="DB513" s="27" t="s">
        <v>7</v>
      </c>
    </row>
    <row r="514" spans="1:192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H514" s="27" t="s">
        <v>7</v>
      </c>
      <c r="CG514" s="27" t="s">
        <v>8</v>
      </c>
      <c r="CK514" s="27" t="s">
        <v>8</v>
      </c>
      <c r="CT514" s="27" t="s">
        <v>7</v>
      </c>
      <c r="CU514" s="27" t="s">
        <v>8</v>
      </c>
      <c r="CW514" s="27" t="s">
        <v>8</v>
      </c>
      <c r="CX514" s="27" t="s">
        <v>7</v>
      </c>
      <c r="CY514" s="27" t="s">
        <v>8</v>
      </c>
      <c r="CZ514" s="27" t="s">
        <v>7</v>
      </c>
      <c r="DA514" s="27" t="s">
        <v>8</v>
      </c>
      <c r="DB514" s="27" t="s">
        <v>7</v>
      </c>
    </row>
    <row r="515" spans="1:192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H515" s="27" t="s">
        <v>7</v>
      </c>
      <c r="CE515" s="27" t="s">
        <v>8</v>
      </c>
      <c r="CG515" s="27" t="s">
        <v>8</v>
      </c>
      <c r="CH515" s="27" t="s">
        <v>7</v>
      </c>
      <c r="CK515" s="27" t="s">
        <v>8</v>
      </c>
      <c r="CT515" s="27" t="s">
        <v>7</v>
      </c>
      <c r="CU515" s="27" t="s">
        <v>8</v>
      </c>
      <c r="CV515" s="27" t="s">
        <v>7</v>
      </c>
      <c r="CW515" s="27" t="s">
        <v>8</v>
      </c>
      <c r="CX515" s="27" t="s">
        <v>7</v>
      </c>
      <c r="CY515" s="27" t="s">
        <v>8</v>
      </c>
      <c r="CZ515" s="27" t="s">
        <v>7</v>
      </c>
      <c r="DA515" s="27" t="s">
        <v>8</v>
      </c>
      <c r="DB515" s="27" t="s">
        <v>7</v>
      </c>
    </row>
    <row r="516" spans="1:192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H516" s="27" t="s">
        <v>7</v>
      </c>
      <c r="CE516" s="27" t="s">
        <v>8</v>
      </c>
      <c r="CF516" s="27" t="s">
        <v>7</v>
      </c>
      <c r="CG516" s="27" t="s">
        <v>8</v>
      </c>
      <c r="CH516" s="27" t="s">
        <v>7</v>
      </c>
      <c r="CK516" s="27" t="s">
        <v>8</v>
      </c>
      <c r="CT516" s="27" t="s">
        <v>7</v>
      </c>
      <c r="CU516" s="27" t="s">
        <v>8</v>
      </c>
      <c r="CV516" s="27" t="s">
        <v>7</v>
      </c>
      <c r="CW516" s="27" t="s">
        <v>8</v>
      </c>
      <c r="CX516" s="27" t="s">
        <v>7</v>
      </c>
      <c r="CY516" s="27" t="s">
        <v>8</v>
      </c>
      <c r="CZ516" s="27" t="s">
        <v>7</v>
      </c>
      <c r="DA516" s="27" t="s">
        <v>8</v>
      </c>
      <c r="DB516" s="27" t="s">
        <v>7</v>
      </c>
      <c r="DC516" s="27" t="s">
        <v>8</v>
      </c>
    </row>
    <row r="517" spans="1:192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H517" s="27" t="s">
        <v>7</v>
      </c>
      <c r="CE517" s="27" t="s">
        <v>8</v>
      </c>
      <c r="CF517" s="27" t="s">
        <v>7</v>
      </c>
      <c r="CG517" s="27" t="s">
        <v>8</v>
      </c>
      <c r="CH517" s="27" t="s">
        <v>7</v>
      </c>
      <c r="CK517" s="27" t="s">
        <v>8</v>
      </c>
      <c r="CT517" s="27" t="s">
        <v>7</v>
      </c>
      <c r="CU517" s="27" t="s">
        <v>8</v>
      </c>
      <c r="CV517" s="27" t="s">
        <v>7</v>
      </c>
      <c r="CW517" s="27" t="s">
        <v>8</v>
      </c>
      <c r="CX517" s="27" t="s">
        <v>7</v>
      </c>
      <c r="CY517" s="27" t="s">
        <v>8</v>
      </c>
      <c r="CZ517" s="27" t="s">
        <v>7</v>
      </c>
      <c r="DA517" s="27" t="s">
        <v>8</v>
      </c>
      <c r="DB517" s="27" t="s">
        <v>7</v>
      </c>
      <c r="DC517" s="27" t="s">
        <v>8</v>
      </c>
      <c r="DD517" s="27" t="s">
        <v>7</v>
      </c>
    </row>
    <row r="518" spans="1:192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H518" s="27" t="s">
        <v>7</v>
      </c>
      <c r="CE518" s="27" t="s">
        <v>8</v>
      </c>
      <c r="CF518" s="27" t="s">
        <v>7</v>
      </c>
      <c r="CG518" s="27" t="s">
        <v>8</v>
      </c>
      <c r="CH518" s="27" t="s">
        <v>7</v>
      </c>
      <c r="CK518" s="27" t="s">
        <v>8</v>
      </c>
      <c r="CT518" s="27" t="s">
        <v>7</v>
      </c>
      <c r="CU518" s="27" t="s">
        <v>8</v>
      </c>
      <c r="CV518" s="27" t="s">
        <v>7</v>
      </c>
      <c r="CW518" s="27" t="s">
        <v>8</v>
      </c>
      <c r="CX518" s="27" t="s">
        <v>7</v>
      </c>
      <c r="CY518" s="27" t="s">
        <v>8</v>
      </c>
      <c r="CZ518" s="27" t="s">
        <v>7</v>
      </c>
      <c r="DA518" s="27" t="s">
        <v>8</v>
      </c>
      <c r="DB518" s="27" t="s">
        <v>7</v>
      </c>
      <c r="DC518" s="27" t="s">
        <v>8</v>
      </c>
      <c r="DD518" s="27" t="s">
        <v>7</v>
      </c>
    </row>
    <row r="519" spans="1:192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H519" s="27" t="s">
        <v>7</v>
      </c>
      <c r="CE519" s="27" t="s">
        <v>8</v>
      </c>
      <c r="CF519" s="27" t="s">
        <v>7</v>
      </c>
      <c r="CG519" s="27" t="s">
        <v>8</v>
      </c>
      <c r="CH519" s="27" t="s">
        <v>7</v>
      </c>
      <c r="CI519" s="27" t="s">
        <v>8</v>
      </c>
      <c r="CK519" s="27" t="s">
        <v>8</v>
      </c>
      <c r="CT519" s="27" t="s">
        <v>7</v>
      </c>
      <c r="CU519" s="27" t="s">
        <v>8</v>
      </c>
      <c r="CV519" s="27" t="s">
        <v>7</v>
      </c>
      <c r="CW519" s="27" t="s">
        <v>8</v>
      </c>
      <c r="CX519" s="27" t="s">
        <v>7</v>
      </c>
      <c r="CY519" s="27" t="s">
        <v>8</v>
      </c>
      <c r="CZ519" s="27" t="s">
        <v>7</v>
      </c>
      <c r="DB519" s="27" t="s">
        <v>7</v>
      </c>
      <c r="DC519" s="27" t="s">
        <v>8</v>
      </c>
      <c r="DD519" s="27" t="s">
        <v>7</v>
      </c>
    </row>
    <row r="520" spans="1:192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H520" s="27" t="s">
        <v>7</v>
      </c>
      <c r="CC520" s="27" t="s">
        <v>8</v>
      </c>
      <c r="CE520" s="27" t="s">
        <v>8</v>
      </c>
      <c r="CF520" s="27" t="s">
        <v>7</v>
      </c>
      <c r="CG520" s="27" t="s">
        <v>8</v>
      </c>
      <c r="CH520" s="27" t="s">
        <v>7</v>
      </c>
      <c r="CI520" s="27" t="s">
        <v>8</v>
      </c>
      <c r="CJ520" s="27" t="s">
        <v>7</v>
      </c>
      <c r="CK520" s="27" t="s">
        <v>8</v>
      </c>
      <c r="CT520" s="27" t="s">
        <v>7</v>
      </c>
      <c r="CU520" s="27" t="s">
        <v>8</v>
      </c>
      <c r="CV520" s="27" t="s">
        <v>7</v>
      </c>
      <c r="CW520" s="27" t="s">
        <v>8</v>
      </c>
      <c r="CX520" s="27" t="s">
        <v>7</v>
      </c>
      <c r="CY520" s="27" t="s">
        <v>8</v>
      </c>
      <c r="DB520" s="27" t="s">
        <v>7</v>
      </c>
      <c r="DC520" s="27" t="s">
        <v>8</v>
      </c>
      <c r="DD520" s="27" t="s">
        <v>7</v>
      </c>
    </row>
    <row r="521" spans="1:192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H521" s="27" t="s">
        <v>7</v>
      </c>
      <c r="BO521" s="27" t="s">
        <v>8</v>
      </c>
      <c r="CC521" s="27" t="s">
        <v>8</v>
      </c>
      <c r="CD521" s="27" t="s">
        <v>7</v>
      </c>
      <c r="CE521" s="27" t="s">
        <v>8</v>
      </c>
      <c r="CF521" s="27" t="s">
        <v>7</v>
      </c>
      <c r="CG521" s="27" t="s">
        <v>8</v>
      </c>
      <c r="CH521" s="27" t="s">
        <v>7</v>
      </c>
      <c r="CI521" s="27" t="s">
        <v>8</v>
      </c>
      <c r="CJ521" s="27" t="s">
        <v>7</v>
      </c>
      <c r="CK521" s="27" t="s">
        <v>8</v>
      </c>
      <c r="CT521" s="27" t="s">
        <v>7</v>
      </c>
      <c r="CU521" s="27" t="s">
        <v>8</v>
      </c>
      <c r="CV521" s="27" t="s">
        <v>7</v>
      </c>
      <c r="CW521" s="27" t="s">
        <v>8</v>
      </c>
      <c r="CX521" s="27" t="s">
        <v>7</v>
      </c>
      <c r="CY521" s="27" t="s">
        <v>8</v>
      </c>
      <c r="DB521" s="27" t="s">
        <v>7</v>
      </c>
      <c r="DC521" s="27" t="s">
        <v>8</v>
      </c>
      <c r="DD521" s="27" t="s">
        <v>7</v>
      </c>
    </row>
    <row r="522" spans="1:192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H522" s="27" t="s">
        <v>7</v>
      </c>
      <c r="BO522" s="27" t="s">
        <v>8</v>
      </c>
      <c r="BP522" s="27" t="s">
        <v>7</v>
      </c>
      <c r="BQ522" s="27" t="s">
        <v>8</v>
      </c>
      <c r="CC522" s="27" t="s">
        <v>8</v>
      </c>
      <c r="CD522" s="27" t="s">
        <v>7</v>
      </c>
      <c r="CE522" s="27" t="s">
        <v>8</v>
      </c>
      <c r="CF522" s="27" t="s">
        <v>7</v>
      </c>
      <c r="CG522" s="27" t="s">
        <v>8</v>
      </c>
      <c r="CH522" s="27" t="s">
        <v>7</v>
      </c>
      <c r="CI522" s="27" t="s">
        <v>8</v>
      </c>
      <c r="CJ522" s="27" t="s">
        <v>7</v>
      </c>
      <c r="CK522" s="27" t="s">
        <v>8</v>
      </c>
      <c r="CT522" s="27" t="s">
        <v>7</v>
      </c>
      <c r="CU522" s="27" t="s">
        <v>8</v>
      </c>
      <c r="CV522" s="27" t="s">
        <v>7</v>
      </c>
      <c r="CW522" s="27" t="s">
        <v>8</v>
      </c>
      <c r="CX522" s="27" t="s">
        <v>7</v>
      </c>
      <c r="CY522" s="27" t="s">
        <v>8</v>
      </c>
      <c r="DB522" s="27" t="s">
        <v>7</v>
      </c>
      <c r="DC522" s="27" t="s">
        <v>8</v>
      </c>
      <c r="DD522" s="27" t="s">
        <v>7</v>
      </c>
    </row>
    <row r="523" spans="1:192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G523" s="27" t="s">
        <v>8</v>
      </c>
      <c r="H523" s="27" t="s">
        <v>7</v>
      </c>
      <c r="BO523" s="27" t="s">
        <v>8</v>
      </c>
      <c r="BP523" s="27" t="s">
        <v>7</v>
      </c>
      <c r="BQ523" s="27" t="s">
        <v>8</v>
      </c>
      <c r="BR523" s="27" t="s">
        <v>7</v>
      </c>
      <c r="CC523" s="27" t="s">
        <v>8</v>
      </c>
      <c r="CD523" s="27" t="s">
        <v>7</v>
      </c>
      <c r="CE523" s="27" t="s">
        <v>8</v>
      </c>
      <c r="CF523" s="27" t="s">
        <v>7</v>
      </c>
      <c r="CG523" s="27" t="s">
        <v>8</v>
      </c>
      <c r="CH523" s="27" t="s">
        <v>7</v>
      </c>
      <c r="CI523" s="27" t="s">
        <v>8</v>
      </c>
      <c r="CJ523" s="27" t="s">
        <v>7</v>
      </c>
      <c r="CK523" s="27" t="s">
        <v>8</v>
      </c>
      <c r="CT523" s="27" t="s">
        <v>7</v>
      </c>
      <c r="CU523" s="27" t="s">
        <v>8</v>
      </c>
      <c r="CV523" s="27" t="s">
        <v>7</v>
      </c>
      <c r="CW523" s="27" t="s">
        <v>8</v>
      </c>
      <c r="CX523" s="27" t="s">
        <v>7</v>
      </c>
      <c r="CY523" s="27" t="s">
        <v>8</v>
      </c>
      <c r="DB523" s="27" t="s">
        <v>7</v>
      </c>
      <c r="DC523" s="27" t="s">
        <v>8</v>
      </c>
      <c r="DD523" s="27" t="s">
        <v>7</v>
      </c>
      <c r="DE523" s="27" t="s">
        <v>8</v>
      </c>
      <c r="GI523" s="27" t="s">
        <v>8</v>
      </c>
    </row>
    <row r="524" spans="1:192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H524" s="27" t="s">
        <v>7</v>
      </c>
      <c r="BO524" s="27" t="s">
        <v>8</v>
      </c>
      <c r="BP524" s="27" t="s">
        <v>7</v>
      </c>
      <c r="BQ524" s="27" t="s">
        <v>8</v>
      </c>
      <c r="BR524" s="27" t="s">
        <v>7</v>
      </c>
      <c r="CC524" s="27" t="s">
        <v>8</v>
      </c>
      <c r="CD524" s="27" t="s">
        <v>7</v>
      </c>
      <c r="CE524" s="27" t="s">
        <v>8</v>
      </c>
      <c r="CF524" s="27" t="s">
        <v>7</v>
      </c>
      <c r="CH524" s="27" t="s">
        <v>7</v>
      </c>
      <c r="CI524" s="27" t="s">
        <v>8</v>
      </c>
      <c r="CJ524" s="27" t="s">
        <v>7</v>
      </c>
      <c r="CK524" s="27" t="s">
        <v>8</v>
      </c>
      <c r="CT524" s="27" t="s">
        <v>7</v>
      </c>
      <c r="CU524" s="27" t="s">
        <v>8</v>
      </c>
      <c r="CV524" s="27" t="s">
        <v>7</v>
      </c>
      <c r="CX524" s="27" t="s">
        <v>7</v>
      </c>
      <c r="CY524" s="27" t="s">
        <v>8</v>
      </c>
      <c r="DB524" s="27" t="s">
        <v>7</v>
      </c>
      <c r="DC524" s="27" t="s">
        <v>8</v>
      </c>
      <c r="DD524" s="27" t="s">
        <v>7</v>
      </c>
      <c r="DE524" s="27" t="s">
        <v>8</v>
      </c>
      <c r="DF524" s="27" t="s">
        <v>7</v>
      </c>
      <c r="GI524" s="27" t="s">
        <v>8</v>
      </c>
      <c r="GJ524" s="27" t="s">
        <v>7</v>
      </c>
    </row>
    <row r="525" spans="1:192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G525" s="27" t="s">
        <v>8</v>
      </c>
      <c r="H525" s="27" t="s">
        <v>7</v>
      </c>
      <c r="BO525" s="27" t="s">
        <v>8</v>
      </c>
      <c r="BP525" s="27" t="s">
        <v>7</v>
      </c>
      <c r="BQ525" s="27" t="s">
        <v>8</v>
      </c>
      <c r="BR525" s="27" t="s">
        <v>7</v>
      </c>
      <c r="CC525" s="27" t="s">
        <v>8</v>
      </c>
      <c r="CD525" s="27" t="s">
        <v>7</v>
      </c>
      <c r="CE525" s="27" t="s">
        <v>8</v>
      </c>
      <c r="CH525" s="27" t="s">
        <v>7</v>
      </c>
      <c r="CI525" s="27" t="s">
        <v>8</v>
      </c>
      <c r="CJ525" s="27" t="s">
        <v>7</v>
      </c>
      <c r="CK525" s="27" t="s">
        <v>8</v>
      </c>
      <c r="CT525" s="27" t="s">
        <v>7</v>
      </c>
      <c r="CU525" s="27" t="s">
        <v>8</v>
      </c>
      <c r="CX525" s="27" t="s">
        <v>7</v>
      </c>
      <c r="CY525" s="27" t="s">
        <v>8</v>
      </c>
      <c r="DB525" s="27" t="s">
        <v>7</v>
      </c>
      <c r="DC525" s="27" t="s">
        <v>8</v>
      </c>
      <c r="DD525" s="27" t="s">
        <v>7</v>
      </c>
      <c r="DE525" s="27" t="s">
        <v>8</v>
      </c>
      <c r="DF525" s="27" t="s">
        <v>7</v>
      </c>
      <c r="GI525" s="27" t="s">
        <v>8</v>
      </c>
      <c r="GJ525" s="27" t="s">
        <v>7</v>
      </c>
    </row>
    <row r="526" spans="1:192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G526" s="27" t="s">
        <v>8</v>
      </c>
      <c r="H526" s="27" t="s">
        <v>7</v>
      </c>
      <c r="BO526" s="27" t="s">
        <v>8</v>
      </c>
      <c r="BP526" s="27" t="s">
        <v>7</v>
      </c>
      <c r="BQ526" s="27" t="s">
        <v>8</v>
      </c>
      <c r="BR526" s="27" t="s">
        <v>7</v>
      </c>
      <c r="CC526" s="27" t="s">
        <v>8</v>
      </c>
      <c r="CD526" s="27" t="s">
        <v>7</v>
      </c>
      <c r="CE526" s="27" t="s">
        <v>8</v>
      </c>
      <c r="CH526" s="27" t="s">
        <v>7</v>
      </c>
      <c r="CI526" s="27" t="s">
        <v>8</v>
      </c>
      <c r="CJ526" s="27" t="s">
        <v>7</v>
      </c>
      <c r="CK526" s="27" t="s">
        <v>8</v>
      </c>
      <c r="CT526" s="27" t="s">
        <v>7</v>
      </c>
      <c r="CU526" s="27" t="s">
        <v>8</v>
      </c>
      <c r="CX526" s="27" t="s">
        <v>7</v>
      </c>
      <c r="CY526" s="27" t="s">
        <v>8</v>
      </c>
      <c r="DB526" s="27" t="s">
        <v>7</v>
      </c>
      <c r="DC526" s="27" t="s">
        <v>8</v>
      </c>
      <c r="DD526" s="27" t="s">
        <v>7</v>
      </c>
      <c r="DE526" s="27" t="s">
        <v>8</v>
      </c>
      <c r="DF526" s="27" t="s">
        <v>7</v>
      </c>
      <c r="GI526" s="27" t="s">
        <v>8</v>
      </c>
      <c r="GJ526" s="27" t="s">
        <v>7</v>
      </c>
    </row>
    <row r="527" spans="1:192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G527" s="27" t="s">
        <v>8</v>
      </c>
      <c r="H527" s="27" t="s">
        <v>7</v>
      </c>
      <c r="BO527" s="27" t="s">
        <v>8</v>
      </c>
      <c r="BP527" s="27" t="s">
        <v>7</v>
      </c>
      <c r="BQ527" s="27" t="s">
        <v>8</v>
      </c>
      <c r="BR527" s="27" t="s">
        <v>7</v>
      </c>
      <c r="CC527" s="27" t="s">
        <v>8</v>
      </c>
      <c r="CD527" s="27" t="s">
        <v>7</v>
      </c>
      <c r="CE527" s="27" t="s">
        <v>8</v>
      </c>
      <c r="CH527" s="27" t="s">
        <v>7</v>
      </c>
      <c r="CJ527" s="27" t="s">
        <v>7</v>
      </c>
      <c r="CK527" s="27" t="s">
        <v>8</v>
      </c>
      <c r="CT527" s="27" t="s">
        <v>7</v>
      </c>
      <c r="CU527" s="27" t="s">
        <v>8</v>
      </c>
      <c r="CX527" s="27" t="s">
        <v>7</v>
      </c>
      <c r="CY527" s="27" t="s">
        <v>8</v>
      </c>
      <c r="DB527" s="27" t="s">
        <v>7</v>
      </c>
      <c r="DD527" s="27" t="s">
        <v>7</v>
      </c>
      <c r="DE527" s="27" t="s">
        <v>8</v>
      </c>
      <c r="DF527" s="27" t="s">
        <v>7</v>
      </c>
      <c r="GI527" s="27" t="s">
        <v>8</v>
      </c>
      <c r="GJ527" s="27" t="s">
        <v>7</v>
      </c>
    </row>
    <row r="528" spans="1:192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G528" s="27" t="s">
        <v>8</v>
      </c>
      <c r="H528" s="27" t="s">
        <v>7</v>
      </c>
      <c r="BO528" s="27" t="s">
        <v>8</v>
      </c>
      <c r="BP528" s="27" t="s">
        <v>7</v>
      </c>
      <c r="BQ528" s="27" t="s">
        <v>8</v>
      </c>
      <c r="BR528" s="27" t="s">
        <v>7</v>
      </c>
      <c r="CC528" s="27" t="s">
        <v>8</v>
      </c>
      <c r="CD528" s="27" t="s">
        <v>7</v>
      </c>
      <c r="CE528" s="27" t="s">
        <v>8</v>
      </c>
      <c r="CJ528" s="27" t="s">
        <v>7</v>
      </c>
      <c r="CK528" s="27" t="s">
        <v>8</v>
      </c>
      <c r="CT528" s="27" t="s">
        <v>7</v>
      </c>
      <c r="CX528" s="27" t="s">
        <v>7</v>
      </c>
      <c r="CY528" s="27" t="s">
        <v>8</v>
      </c>
      <c r="DD528" s="27" t="s">
        <v>7</v>
      </c>
      <c r="DE528" s="27" t="s">
        <v>8</v>
      </c>
      <c r="DF528" s="27" t="s">
        <v>7</v>
      </c>
      <c r="GI528" s="27" t="s">
        <v>8</v>
      </c>
      <c r="GJ528" s="27" t="s">
        <v>7</v>
      </c>
    </row>
    <row r="529" spans="1:224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G529" s="27" t="s">
        <v>8</v>
      </c>
      <c r="H529" s="27" t="s">
        <v>7</v>
      </c>
      <c r="BO529" s="27" t="s">
        <v>8</v>
      </c>
      <c r="BP529" s="27" t="s">
        <v>7</v>
      </c>
      <c r="BQ529" s="27" t="s">
        <v>8</v>
      </c>
      <c r="BR529" s="27" t="s">
        <v>7</v>
      </c>
      <c r="BS529" s="27" t="s">
        <v>8</v>
      </c>
      <c r="CC529" s="27" t="s">
        <v>8</v>
      </c>
      <c r="CD529" s="27" t="s">
        <v>7</v>
      </c>
      <c r="CE529" s="27" t="s">
        <v>8</v>
      </c>
      <c r="CJ529" s="27" t="s">
        <v>7</v>
      </c>
      <c r="CK529" s="27" t="s">
        <v>8</v>
      </c>
      <c r="CX529" s="27" t="s">
        <v>7</v>
      </c>
      <c r="CY529" s="27" t="s">
        <v>8</v>
      </c>
      <c r="DD529" s="27" t="s">
        <v>7</v>
      </c>
      <c r="DE529" s="27" t="s">
        <v>8</v>
      </c>
      <c r="DF529" s="27" t="s">
        <v>7</v>
      </c>
      <c r="GI529" s="27" t="s">
        <v>8</v>
      </c>
      <c r="GJ529" s="27" t="s">
        <v>7</v>
      </c>
    </row>
    <row r="530" spans="1:224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G530" s="27" t="s">
        <v>8</v>
      </c>
      <c r="H530" s="27" t="s">
        <v>7</v>
      </c>
      <c r="BO530" s="27" t="s">
        <v>8</v>
      </c>
      <c r="BP530" s="27" t="s">
        <v>7</v>
      </c>
      <c r="BQ530" s="27" t="s">
        <v>8</v>
      </c>
      <c r="BR530" s="27" t="s">
        <v>7</v>
      </c>
      <c r="BS530" s="27" t="s">
        <v>8</v>
      </c>
      <c r="BT530" s="27" t="s">
        <v>7</v>
      </c>
      <c r="CA530" s="27" t="s">
        <v>8</v>
      </c>
      <c r="CC530" s="27" t="s">
        <v>8</v>
      </c>
      <c r="CD530" s="27" t="s">
        <v>7</v>
      </c>
      <c r="CE530" s="27" t="s">
        <v>8</v>
      </c>
      <c r="CJ530" s="27" t="s">
        <v>7</v>
      </c>
      <c r="CK530" s="27" t="s">
        <v>8</v>
      </c>
      <c r="CX530" s="27" t="s">
        <v>7</v>
      </c>
      <c r="CY530" s="27" t="s">
        <v>8</v>
      </c>
      <c r="DD530" s="27" t="s">
        <v>7</v>
      </c>
      <c r="DE530" s="27" t="s">
        <v>8</v>
      </c>
      <c r="DF530" s="27" t="s">
        <v>7</v>
      </c>
      <c r="GI530" s="27" t="s">
        <v>8</v>
      </c>
      <c r="GJ530" s="27" t="s">
        <v>7</v>
      </c>
    </row>
    <row r="531" spans="1:224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G531" s="27" t="s">
        <v>8</v>
      </c>
      <c r="H531" s="27" t="s">
        <v>7</v>
      </c>
      <c r="BO531" s="27" t="s">
        <v>8</v>
      </c>
      <c r="BP531" s="27" t="s">
        <v>7</v>
      </c>
      <c r="BQ531" s="27" t="s">
        <v>8</v>
      </c>
      <c r="BR531" s="27" t="s">
        <v>7</v>
      </c>
      <c r="BS531" s="27" t="s">
        <v>8</v>
      </c>
      <c r="BT531" s="27" t="s">
        <v>7</v>
      </c>
      <c r="CA531" s="27" t="s">
        <v>8</v>
      </c>
      <c r="CB531" s="27" t="s">
        <v>7</v>
      </c>
      <c r="CC531" s="27" t="s">
        <v>8</v>
      </c>
      <c r="CD531" s="27" t="s">
        <v>7</v>
      </c>
      <c r="CE531" s="27" t="s">
        <v>8</v>
      </c>
      <c r="CJ531" s="27" t="s">
        <v>7</v>
      </c>
      <c r="CK531" s="27" t="s">
        <v>8</v>
      </c>
      <c r="CX531" s="27" t="s">
        <v>7</v>
      </c>
      <c r="CY531" s="27" t="s">
        <v>8</v>
      </c>
      <c r="DD531" s="27" t="s">
        <v>7</v>
      </c>
      <c r="DE531" s="27" t="s">
        <v>8</v>
      </c>
      <c r="DF531" s="27" t="s">
        <v>7</v>
      </c>
      <c r="GI531" s="27" t="s">
        <v>8</v>
      </c>
      <c r="GJ531" s="27" t="s">
        <v>7</v>
      </c>
    </row>
    <row r="532" spans="1:224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G532" s="27" t="s">
        <v>8</v>
      </c>
      <c r="H532" s="27" t="s">
        <v>7</v>
      </c>
      <c r="BM532" s="27" t="s">
        <v>8</v>
      </c>
      <c r="BO532" s="27" t="s">
        <v>8</v>
      </c>
      <c r="BP532" s="27" t="s">
        <v>7</v>
      </c>
      <c r="BQ532" s="27" t="s">
        <v>8</v>
      </c>
      <c r="BR532" s="27" t="s">
        <v>7</v>
      </c>
      <c r="BS532" s="27" t="s">
        <v>8</v>
      </c>
      <c r="BT532" s="27" t="s">
        <v>7</v>
      </c>
      <c r="BY532" s="27" t="s">
        <v>8</v>
      </c>
      <c r="CA532" s="27" t="s">
        <v>8</v>
      </c>
      <c r="CB532" s="27" t="s">
        <v>7</v>
      </c>
      <c r="CC532" s="27" t="s">
        <v>8</v>
      </c>
      <c r="CD532" s="27" t="s">
        <v>7</v>
      </c>
      <c r="CJ532" s="27" t="s">
        <v>7</v>
      </c>
      <c r="CK532" s="27" t="s">
        <v>8</v>
      </c>
      <c r="CX532" s="27" t="s">
        <v>7</v>
      </c>
      <c r="CY532" s="27" t="s">
        <v>8</v>
      </c>
      <c r="DD532" s="27" t="s">
        <v>7</v>
      </c>
      <c r="DE532" s="27" t="s">
        <v>8</v>
      </c>
      <c r="DF532" s="27" t="s">
        <v>7</v>
      </c>
      <c r="DG532" s="27" t="s">
        <v>8</v>
      </c>
      <c r="GI532" s="27" t="s">
        <v>8</v>
      </c>
      <c r="GJ532" s="27" t="s">
        <v>7</v>
      </c>
    </row>
    <row r="533" spans="1:224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H533" s="27" t="s">
        <v>7</v>
      </c>
      <c r="BM533" s="27" t="s">
        <v>8</v>
      </c>
      <c r="BN533" s="27" t="s">
        <v>7</v>
      </c>
      <c r="BO533" s="27" t="s">
        <v>8</v>
      </c>
      <c r="BP533" s="27" t="s">
        <v>7</v>
      </c>
      <c r="BQ533" s="27" t="s">
        <v>8</v>
      </c>
      <c r="BR533" s="27" t="s">
        <v>7</v>
      </c>
      <c r="BS533" s="27" t="s">
        <v>8</v>
      </c>
      <c r="BT533" s="27" t="s">
        <v>7</v>
      </c>
      <c r="BY533" s="27" t="s">
        <v>8</v>
      </c>
      <c r="BZ533" s="27" t="s">
        <v>7</v>
      </c>
      <c r="CA533" s="27" t="s">
        <v>8</v>
      </c>
      <c r="CB533" s="27" t="s">
        <v>7</v>
      </c>
      <c r="CC533" s="27" t="s">
        <v>8</v>
      </c>
      <c r="CJ533" s="27" t="s">
        <v>7</v>
      </c>
      <c r="CK533" s="27" t="s">
        <v>8</v>
      </c>
      <c r="CX533" s="27" t="s">
        <v>7</v>
      </c>
      <c r="CY533" s="27" t="s">
        <v>8</v>
      </c>
      <c r="DD533" s="27" t="s">
        <v>7</v>
      </c>
      <c r="DF533" s="27" t="s">
        <v>7</v>
      </c>
      <c r="DG533" s="27" t="s">
        <v>8</v>
      </c>
      <c r="DH533" s="27" t="s">
        <v>7</v>
      </c>
      <c r="GI533" s="27" t="s">
        <v>8</v>
      </c>
      <c r="GJ533" s="27" t="s">
        <v>7</v>
      </c>
      <c r="GS533" s="27" t="s">
        <v>8</v>
      </c>
      <c r="HO533" s="27" t="s">
        <v>8</v>
      </c>
    </row>
    <row r="534" spans="1:224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H534" s="27" t="s">
        <v>7</v>
      </c>
      <c r="BM534" s="27" t="s">
        <v>8</v>
      </c>
      <c r="BN534" s="27" t="s">
        <v>7</v>
      </c>
      <c r="BO534" s="27" t="s">
        <v>8</v>
      </c>
      <c r="BP534" s="27" t="s">
        <v>7</v>
      </c>
      <c r="BQ534" s="27" t="s">
        <v>8</v>
      </c>
      <c r="BR534" s="27" t="s">
        <v>7</v>
      </c>
      <c r="BS534" s="27" t="s">
        <v>8</v>
      </c>
      <c r="BT534" s="27" t="s">
        <v>7</v>
      </c>
      <c r="BY534" s="27" t="s">
        <v>8</v>
      </c>
      <c r="BZ534" s="27" t="s">
        <v>7</v>
      </c>
      <c r="CA534" s="27" t="s">
        <v>8</v>
      </c>
      <c r="CB534" s="27" t="s">
        <v>7</v>
      </c>
      <c r="CC534" s="27" t="s">
        <v>8</v>
      </c>
      <c r="CJ534" s="27" t="s">
        <v>7</v>
      </c>
      <c r="CK534" s="27" t="s">
        <v>8</v>
      </c>
      <c r="CX534" s="27" t="s">
        <v>7</v>
      </c>
      <c r="DF534" s="27" t="s">
        <v>7</v>
      </c>
      <c r="DG534" s="27" t="s">
        <v>8</v>
      </c>
      <c r="DH534" s="27" t="s">
        <v>7</v>
      </c>
      <c r="FM534" s="27" t="s">
        <v>8</v>
      </c>
      <c r="GI534" s="27" t="s">
        <v>8</v>
      </c>
      <c r="GJ534" s="27" t="s">
        <v>7</v>
      </c>
      <c r="GS534" s="27" t="s">
        <v>8</v>
      </c>
      <c r="GT534" s="27" t="s">
        <v>7</v>
      </c>
      <c r="HO534" s="27" t="s">
        <v>8</v>
      </c>
      <c r="HP534" s="27" t="s">
        <v>7</v>
      </c>
    </row>
    <row r="535" spans="1:224" x14ac:dyDescent="0.25">
      <c r="A535" s="7">
        <v>2.8003281854481812</v>
      </c>
      <c r="B535"/>
      <c r="C535"/>
      <c r="D535"/>
      <c r="E535" t="s">
        <v>8</v>
      </c>
      <c r="H535" s="27" t="s">
        <v>7</v>
      </c>
      <c r="BM535" s="27" t="s">
        <v>8</v>
      </c>
      <c r="BN535" s="27" t="s">
        <v>7</v>
      </c>
      <c r="BO535" s="27" t="s">
        <v>8</v>
      </c>
      <c r="BP535" s="27" t="s">
        <v>7</v>
      </c>
      <c r="BQ535" s="27" t="s">
        <v>8</v>
      </c>
      <c r="BR535" s="27" t="s">
        <v>7</v>
      </c>
      <c r="BT535" s="27" t="s">
        <v>7</v>
      </c>
      <c r="BY535" s="27" t="s">
        <v>8</v>
      </c>
      <c r="BZ535" s="27" t="s">
        <v>7</v>
      </c>
      <c r="CA535" s="27" t="s">
        <v>8</v>
      </c>
      <c r="CB535" s="27" t="s">
        <v>7</v>
      </c>
      <c r="CC535" s="27" t="s">
        <v>8</v>
      </c>
      <c r="CJ535" s="27" t="s">
        <v>7</v>
      </c>
      <c r="CK535" s="27" t="s">
        <v>8</v>
      </c>
      <c r="DF535" s="27" t="s">
        <v>7</v>
      </c>
      <c r="DG535" s="27" t="s">
        <v>8</v>
      </c>
      <c r="DH535" s="27" t="s">
        <v>7</v>
      </c>
      <c r="FM535" s="27" t="s">
        <v>8</v>
      </c>
      <c r="FN535" s="27" t="s">
        <v>7</v>
      </c>
      <c r="GI535" s="27" t="s">
        <v>8</v>
      </c>
      <c r="GJ535" s="27" t="s">
        <v>7</v>
      </c>
      <c r="GS535" s="27" t="s">
        <v>8</v>
      </c>
      <c r="GT535" s="27" t="s">
        <v>7</v>
      </c>
      <c r="GU535" s="27" t="s">
        <v>8</v>
      </c>
      <c r="GW535" s="27" t="s">
        <v>8</v>
      </c>
      <c r="HO535" s="27" t="s">
        <v>8</v>
      </c>
      <c r="HP535" s="27" t="s">
        <v>7</v>
      </c>
    </row>
    <row r="536" spans="1:224" x14ac:dyDescent="0.25">
      <c r="A536" s="7">
        <v>2.7454197896550796</v>
      </c>
      <c r="B536"/>
      <c r="C536"/>
      <c r="D536"/>
      <c r="E536" t="s">
        <v>8</v>
      </c>
      <c r="H536" s="27" t="s">
        <v>7</v>
      </c>
      <c r="BM536" s="27" t="s">
        <v>8</v>
      </c>
      <c r="BN536" s="27" t="s">
        <v>7</v>
      </c>
      <c r="BO536" s="27" t="s">
        <v>8</v>
      </c>
      <c r="BP536" s="27" t="s">
        <v>7</v>
      </c>
      <c r="BQ536" s="27" t="s">
        <v>8</v>
      </c>
      <c r="BT536" s="27" t="s">
        <v>7</v>
      </c>
      <c r="BY536" s="27" t="s">
        <v>8</v>
      </c>
      <c r="BZ536" s="27" t="s">
        <v>7</v>
      </c>
      <c r="CA536" s="27" t="s">
        <v>8</v>
      </c>
      <c r="CB536" s="27" t="s">
        <v>7</v>
      </c>
      <c r="CC536" s="27" t="s">
        <v>8</v>
      </c>
      <c r="CJ536" s="27" t="s">
        <v>7</v>
      </c>
      <c r="CK536" s="27" t="s">
        <v>8</v>
      </c>
      <c r="DF536" s="27" t="s">
        <v>7</v>
      </c>
      <c r="DG536" s="27" t="s">
        <v>8</v>
      </c>
      <c r="DH536" s="27" t="s">
        <v>7</v>
      </c>
      <c r="FE536" s="27" t="s">
        <v>8</v>
      </c>
      <c r="FM536" s="27" t="s">
        <v>8</v>
      </c>
      <c r="FN536" s="27" t="s">
        <v>7</v>
      </c>
      <c r="GI536" s="27" t="s">
        <v>8</v>
      </c>
      <c r="GJ536" s="27" t="s">
        <v>7</v>
      </c>
      <c r="GS536" s="27" t="s">
        <v>8</v>
      </c>
      <c r="GT536" s="27" t="s">
        <v>7</v>
      </c>
      <c r="GU536" s="27" t="s">
        <v>8</v>
      </c>
      <c r="GV536" s="27" t="s">
        <v>7</v>
      </c>
      <c r="GW536" s="27" t="s">
        <v>8</v>
      </c>
      <c r="GX536" s="27" t="s">
        <v>7</v>
      </c>
      <c r="HO536" s="27" t="s">
        <v>8</v>
      </c>
      <c r="HP536" s="27" t="s">
        <v>7</v>
      </c>
    </row>
    <row r="537" spans="1:224" x14ac:dyDescent="0.25">
      <c r="A537" s="7">
        <v>2.6915880290736074</v>
      </c>
      <c r="B537"/>
      <c r="C537"/>
      <c r="D537"/>
      <c r="E537" t="s">
        <v>8</v>
      </c>
      <c r="H537" s="27" t="s">
        <v>7</v>
      </c>
      <c r="BM537" s="27" t="s">
        <v>8</v>
      </c>
      <c r="BN537" s="27" t="s">
        <v>7</v>
      </c>
      <c r="BO537" s="27" t="s">
        <v>8</v>
      </c>
      <c r="BP537" s="27" t="s">
        <v>7</v>
      </c>
      <c r="BQ537" s="27" t="s">
        <v>8</v>
      </c>
      <c r="BT537" s="27" t="s">
        <v>7</v>
      </c>
      <c r="BY537" s="27" t="s">
        <v>8</v>
      </c>
      <c r="BZ537" s="27" t="s">
        <v>7</v>
      </c>
      <c r="CA537" s="27" t="s">
        <v>8</v>
      </c>
      <c r="CB537" s="27" t="s">
        <v>7</v>
      </c>
      <c r="CC537" s="27" t="s">
        <v>8</v>
      </c>
      <c r="CJ537" s="27" t="s">
        <v>7</v>
      </c>
      <c r="CK537" s="27" t="s">
        <v>8</v>
      </c>
      <c r="DF537" s="27" t="s">
        <v>7</v>
      </c>
      <c r="DG537" s="27" t="s">
        <v>8</v>
      </c>
      <c r="DH537" s="27" t="s">
        <v>7</v>
      </c>
      <c r="FE537" s="27" t="s">
        <v>8</v>
      </c>
      <c r="FF537" s="27" t="s">
        <v>7</v>
      </c>
      <c r="FG537" s="27" t="s">
        <v>8</v>
      </c>
      <c r="FK537" s="27" t="s">
        <v>8</v>
      </c>
      <c r="FM537" s="27" t="s">
        <v>8</v>
      </c>
      <c r="FN537" s="27" t="s">
        <v>7</v>
      </c>
      <c r="GI537" s="27" t="s">
        <v>8</v>
      </c>
      <c r="GJ537" s="27" t="s">
        <v>7</v>
      </c>
      <c r="GS537" s="27" t="s">
        <v>8</v>
      </c>
      <c r="GT537" s="27" t="s">
        <v>7</v>
      </c>
      <c r="GU537" s="27" t="s">
        <v>8</v>
      </c>
      <c r="GV537" s="27" t="s">
        <v>7</v>
      </c>
      <c r="GW537" s="27" t="s">
        <v>8</v>
      </c>
      <c r="GX537" s="27" t="s">
        <v>7</v>
      </c>
      <c r="HO537" s="27" t="s">
        <v>8</v>
      </c>
      <c r="HP537" s="27" t="s">
        <v>7</v>
      </c>
    </row>
    <row r="538" spans="1:224" x14ac:dyDescent="0.25">
      <c r="A538" s="7">
        <v>2.6388117932094191</v>
      </c>
      <c r="B538"/>
      <c r="C538"/>
      <c r="D538"/>
      <c r="E538" t="s">
        <v>8</v>
      </c>
      <c r="H538" s="27" t="s">
        <v>7</v>
      </c>
      <c r="I538" s="27" t="s">
        <v>8</v>
      </c>
      <c r="BM538" s="27" t="s">
        <v>8</v>
      </c>
      <c r="BN538" s="27" t="s">
        <v>7</v>
      </c>
      <c r="BO538" s="27" t="s">
        <v>8</v>
      </c>
      <c r="BP538" s="27" t="s">
        <v>7</v>
      </c>
      <c r="BQ538" s="27" t="s">
        <v>8</v>
      </c>
      <c r="BT538" s="27" t="s">
        <v>7</v>
      </c>
      <c r="BY538" s="27" t="s">
        <v>8</v>
      </c>
      <c r="BZ538" s="27" t="s">
        <v>7</v>
      </c>
      <c r="CA538" s="27" t="s">
        <v>8</v>
      </c>
      <c r="CB538" s="27" t="s">
        <v>7</v>
      </c>
      <c r="CC538" s="27" t="s">
        <v>8</v>
      </c>
      <c r="CJ538" s="27" t="s">
        <v>7</v>
      </c>
      <c r="CK538" s="27" t="s">
        <v>8</v>
      </c>
      <c r="DF538" s="27" t="s">
        <v>7</v>
      </c>
      <c r="DH538" s="27" t="s">
        <v>7</v>
      </c>
      <c r="FE538" s="27" t="s">
        <v>8</v>
      </c>
      <c r="FF538" s="27" t="s">
        <v>7</v>
      </c>
      <c r="FG538" s="27" t="s">
        <v>8</v>
      </c>
      <c r="FH538" s="27" t="s">
        <v>7</v>
      </c>
      <c r="FI538" s="27" t="s">
        <v>8</v>
      </c>
      <c r="FK538" s="27" t="s">
        <v>8</v>
      </c>
      <c r="FL538" s="27" t="s">
        <v>7</v>
      </c>
      <c r="FM538" s="27" t="s">
        <v>8</v>
      </c>
      <c r="FN538" s="27" t="s">
        <v>7</v>
      </c>
      <c r="GI538" s="27" t="s">
        <v>8</v>
      </c>
      <c r="GJ538" s="27" t="s">
        <v>7</v>
      </c>
      <c r="GK538" s="27" t="s">
        <v>8</v>
      </c>
      <c r="GQ538" s="27" t="s">
        <v>8</v>
      </c>
      <c r="GS538" s="27" t="s">
        <v>8</v>
      </c>
      <c r="GT538" s="27" t="s">
        <v>7</v>
      </c>
      <c r="GV538" s="27" t="s">
        <v>7</v>
      </c>
      <c r="GW538" s="27" t="s">
        <v>8</v>
      </c>
      <c r="GX538" s="27" t="s">
        <v>7</v>
      </c>
      <c r="HO538" s="27" t="s">
        <v>8</v>
      </c>
      <c r="HP538" s="27" t="s">
        <v>7</v>
      </c>
    </row>
    <row r="539" spans="1:224" x14ac:dyDescent="0.25">
      <c r="A539" s="7">
        <v>2.5870703854994304</v>
      </c>
      <c r="B539"/>
      <c r="C539"/>
      <c r="D539"/>
      <c r="E539" t="s">
        <v>8</v>
      </c>
      <c r="H539" s="27" t="s">
        <v>7</v>
      </c>
      <c r="I539" s="27" t="s">
        <v>8</v>
      </c>
      <c r="J539" s="27" t="s">
        <v>7</v>
      </c>
      <c r="BM539" s="27" t="s">
        <v>8</v>
      </c>
      <c r="BN539" s="27" t="s">
        <v>7</v>
      </c>
      <c r="BO539" s="27" t="s">
        <v>8</v>
      </c>
      <c r="BP539" s="27" t="s">
        <v>7</v>
      </c>
      <c r="BQ539" s="27" t="s">
        <v>8</v>
      </c>
      <c r="BT539" s="27" t="s">
        <v>7</v>
      </c>
      <c r="BY539" s="27" t="s">
        <v>8</v>
      </c>
      <c r="BZ539" s="27" t="s">
        <v>7</v>
      </c>
      <c r="CB539" s="27" t="s">
        <v>7</v>
      </c>
      <c r="CC539" s="27" t="s">
        <v>8</v>
      </c>
      <c r="CJ539" s="27" t="s">
        <v>7</v>
      </c>
      <c r="DH539" s="27" t="s">
        <v>7</v>
      </c>
      <c r="FE539" s="27" t="s">
        <v>8</v>
      </c>
      <c r="FF539" s="27" t="s">
        <v>7</v>
      </c>
      <c r="FG539" s="27" t="s">
        <v>8</v>
      </c>
      <c r="FH539" s="27" t="s">
        <v>7</v>
      </c>
      <c r="FI539" s="27" t="s">
        <v>8</v>
      </c>
      <c r="FJ539" s="27" t="s">
        <v>7</v>
      </c>
      <c r="FK539" s="27" t="s">
        <v>8</v>
      </c>
      <c r="FL539" s="27" t="s">
        <v>7</v>
      </c>
      <c r="FM539" s="27" t="s">
        <v>8</v>
      </c>
      <c r="FN539" s="27" t="s">
        <v>7</v>
      </c>
      <c r="GI539" s="27" t="s">
        <v>8</v>
      </c>
      <c r="GJ539" s="27" t="s">
        <v>7</v>
      </c>
      <c r="GK539" s="27" t="s">
        <v>8</v>
      </c>
      <c r="GL539" s="27" t="s">
        <v>7</v>
      </c>
      <c r="GO539" s="27" t="s">
        <v>8</v>
      </c>
      <c r="GQ539" s="27" t="s">
        <v>8</v>
      </c>
      <c r="GR539" s="27" t="s">
        <v>7</v>
      </c>
      <c r="GS539" s="27" t="s">
        <v>8</v>
      </c>
      <c r="GV539" s="27" t="s">
        <v>7</v>
      </c>
      <c r="GW539" s="27" t="s">
        <v>8</v>
      </c>
      <c r="GX539" s="27" t="s">
        <v>7</v>
      </c>
      <c r="HO539" s="27" t="s">
        <v>8</v>
      </c>
      <c r="HP539" s="27" t="s">
        <v>7</v>
      </c>
    </row>
    <row r="540" spans="1:224" x14ac:dyDescent="0.25">
      <c r="A540" s="7">
        <v>2.53634351519552</v>
      </c>
      <c r="B540"/>
      <c r="C540"/>
      <c r="D540"/>
      <c r="E540" t="s">
        <v>8</v>
      </c>
      <c r="H540" s="27" t="s">
        <v>7</v>
      </c>
      <c r="I540" s="27" t="s">
        <v>8</v>
      </c>
      <c r="J540" s="27" t="s">
        <v>7</v>
      </c>
      <c r="BM540" s="27" t="s">
        <v>8</v>
      </c>
      <c r="BN540" s="27" t="s">
        <v>7</v>
      </c>
      <c r="BO540" s="27" t="s">
        <v>8</v>
      </c>
      <c r="BP540" s="27" t="s">
        <v>7</v>
      </c>
      <c r="BQ540" s="27" t="s">
        <v>8</v>
      </c>
      <c r="BT540" s="27" t="s">
        <v>7</v>
      </c>
      <c r="BY540" s="27" t="s">
        <v>8</v>
      </c>
      <c r="CB540" s="27" t="s">
        <v>7</v>
      </c>
      <c r="CC540" s="27" t="s">
        <v>8</v>
      </c>
      <c r="DH540" s="27" t="s">
        <v>7</v>
      </c>
      <c r="FC540" s="27" t="s">
        <v>8</v>
      </c>
      <c r="FE540" s="27" t="s">
        <v>8</v>
      </c>
      <c r="FF540" s="27" t="s">
        <v>7</v>
      </c>
      <c r="FG540" s="27" t="s">
        <v>8</v>
      </c>
      <c r="FH540" s="27" t="s">
        <v>7</v>
      </c>
      <c r="FI540" s="27" t="s">
        <v>8</v>
      </c>
      <c r="FJ540" s="27" t="s">
        <v>7</v>
      </c>
      <c r="FK540" s="27" t="s">
        <v>8</v>
      </c>
      <c r="FL540" s="27" t="s">
        <v>7</v>
      </c>
      <c r="FM540" s="27" t="s">
        <v>8</v>
      </c>
      <c r="FN540" s="27" t="s">
        <v>7</v>
      </c>
      <c r="GI540" s="27" t="s">
        <v>8</v>
      </c>
      <c r="GJ540" s="27" t="s">
        <v>7</v>
      </c>
      <c r="GK540" s="27" t="s">
        <v>8</v>
      </c>
      <c r="GL540" s="27" t="s">
        <v>7</v>
      </c>
      <c r="GO540" s="27" t="s">
        <v>8</v>
      </c>
      <c r="GP540" s="27" t="s">
        <v>7</v>
      </c>
      <c r="GQ540" s="27" t="s">
        <v>8</v>
      </c>
      <c r="GR540" s="27" t="s">
        <v>7</v>
      </c>
      <c r="GS540" s="27" t="s">
        <v>8</v>
      </c>
      <c r="GV540" s="27" t="s">
        <v>7</v>
      </c>
      <c r="GW540" s="27" t="s">
        <v>8</v>
      </c>
      <c r="GX540" s="27" t="s">
        <v>7</v>
      </c>
      <c r="HA540" s="27" t="s">
        <v>8</v>
      </c>
      <c r="HI540" s="27" t="s">
        <v>8</v>
      </c>
      <c r="HO540" s="27" t="s">
        <v>8</v>
      </c>
      <c r="HP540" s="27" t="s">
        <v>7</v>
      </c>
    </row>
    <row r="541" spans="1:224" x14ac:dyDescent="0.25">
      <c r="A541" s="7">
        <v>2.4866112894073726</v>
      </c>
      <c r="B541"/>
      <c r="C541"/>
      <c r="D541"/>
      <c r="E541" t="s">
        <v>8</v>
      </c>
      <c r="H541" s="27" t="s">
        <v>7</v>
      </c>
      <c r="I541" s="27" t="s">
        <v>8</v>
      </c>
      <c r="J541" s="27" t="s">
        <v>7</v>
      </c>
      <c r="BK541" s="27" t="s">
        <v>8</v>
      </c>
      <c r="BM541" s="27" t="s">
        <v>8</v>
      </c>
      <c r="BN541" s="27" t="s">
        <v>7</v>
      </c>
      <c r="BO541" s="27" t="s">
        <v>8</v>
      </c>
      <c r="BP541" s="27" t="s">
        <v>7</v>
      </c>
      <c r="BQ541" s="27" t="s">
        <v>8</v>
      </c>
      <c r="BT541" s="27" t="s">
        <v>7</v>
      </c>
      <c r="BY541" s="27" t="s">
        <v>8</v>
      </c>
      <c r="CB541" s="27" t="s">
        <v>7</v>
      </c>
      <c r="CC541" s="27" t="s">
        <v>8</v>
      </c>
      <c r="DH541" s="27" t="s">
        <v>7</v>
      </c>
      <c r="FC541" s="27" t="s">
        <v>8</v>
      </c>
      <c r="FD541" s="27" t="s">
        <v>7</v>
      </c>
      <c r="FE541" s="27" t="s">
        <v>8</v>
      </c>
      <c r="FF541" s="27" t="s">
        <v>7</v>
      </c>
      <c r="FG541" s="27" t="s">
        <v>8</v>
      </c>
      <c r="FH541" s="27" t="s">
        <v>7</v>
      </c>
      <c r="FI541" s="27" t="s">
        <v>8</v>
      </c>
      <c r="FJ541" s="27" t="s">
        <v>7</v>
      </c>
      <c r="FK541" s="27" t="s">
        <v>8</v>
      </c>
      <c r="FL541" s="27" t="s">
        <v>7</v>
      </c>
      <c r="FN541" s="27" t="s">
        <v>7</v>
      </c>
      <c r="GI541" s="27" t="s">
        <v>8</v>
      </c>
      <c r="GJ541" s="27" t="s">
        <v>7</v>
      </c>
      <c r="GK541" s="27" t="s">
        <v>8</v>
      </c>
      <c r="GL541" s="27" t="s">
        <v>7</v>
      </c>
      <c r="GO541" s="27" t="s">
        <v>8</v>
      </c>
      <c r="GP541" s="27" t="s">
        <v>7</v>
      </c>
      <c r="GQ541" s="27" t="s">
        <v>8</v>
      </c>
      <c r="GR541" s="27" t="s">
        <v>7</v>
      </c>
      <c r="GS541" s="27" t="s">
        <v>8</v>
      </c>
      <c r="GV541" s="27" t="s">
        <v>7</v>
      </c>
      <c r="GX541" s="27" t="s">
        <v>7</v>
      </c>
      <c r="GY541" s="27" t="s">
        <v>8</v>
      </c>
      <c r="HA541" s="27" t="s">
        <v>8</v>
      </c>
      <c r="HB541" s="27" t="s">
        <v>7</v>
      </c>
      <c r="HI541" s="27" t="s">
        <v>8</v>
      </c>
      <c r="HJ541" s="27" t="s">
        <v>7</v>
      </c>
      <c r="HO541" s="27" t="s">
        <v>8</v>
      </c>
      <c r="HP541" s="27" t="s">
        <v>7</v>
      </c>
    </row>
    <row r="542" spans="1:224" x14ac:dyDescent="0.25">
      <c r="A542" s="7">
        <v>2.4378542053013459</v>
      </c>
      <c r="B542"/>
      <c r="C542"/>
      <c r="D542"/>
      <c r="E542" t="s">
        <v>8</v>
      </c>
      <c r="H542" s="27" t="s">
        <v>7</v>
      </c>
      <c r="I542" s="27" t="s">
        <v>8</v>
      </c>
      <c r="J542" s="27" t="s">
        <v>7</v>
      </c>
      <c r="BI542" s="27" t="s">
        <v>8</v>
      </c>
      <c r="BK542" s="27" t="s">
        <v>8</v>
      </c>
      <c r="BL542" s="27" t="s">
        <v>7</v>
      </c>
      <c r="BM542" s="27" t="s">
        <v>8</v>
      </c>
      <c r="BN542" s="27" t="s">
        <v>7</v>
      </c>
      <c r="BP542" s="27" t="s">
        <v>7</v>
      </c>
      <c r="BQ542" s="27" t="s">
        <v>8</v>
      </c>
      <c r="BT542" s="27" t="s">
        <v>7</v>
      </c>
      <c r="BY542" s="27" t="s">
        <v>8</v>
      </c>
      <c r="CB542" s="27" t="s">
        <v>7</v>
      </c>
      <c r="DH542" s="27" t="s">
        <v>7</v>
      </c>
      <c r="DM542" s="27" t="s">
        <v>8</v>
      </c>
      <c r="FC542" s="27" t="s">
        <v>8</v>
      </c>
      <c r="FD542" s="27" t="s">
        <v>7</v>
      </c>
      <c r="FE542" s="27" t="s">
        <v>8</v>
      </c>
      <c r="FF542" s="27" t="s">
        <v>7</v>
      </c>
      <c r="FH542" s="27" t="s">
        <v>7</v>
      </c>
      <c r="FI542" s="27" t="s">
        <v>8</v>
      </c>
      <c r="FJ542" s="27" t="s">
        <v>7</v>
      </c>
      <c r="FK542" s="27" t="s">
        <v>8</v>
      </c>
      <c r="FN542" s="27" t="s">
        <v>7</v>
      </c>
      <c r="GI542" s="27" t="s">
        <v>8</v>
      </c>
      <c r="GJ542" s="27" t="s">
        <v>7</v>
      </c>
      <c r="GK542" s="27" t="s">
        <v>8</v>
      </c>
      <c r="GL542" s="27" t="s">
        <v>7</v>
      </c>
      <c r="GM542" s="27" t="s">
        <v>8</v>
      </c>
      <c r="GO542" s="27" t="s">
        <v>8</v>
      </c>
      <c r="GP542" s="27" t="s">
        <v>7</v>
      </c>
      <c r="GQ542" s="27" t="s">
        <v>8</v>
      </c>
      <c r="GR542" s="27" t="s">
        <v>7</v>
      </c>
      <c r="GS542" s="27" t="s">
        <v>8</v>
      </c>
      <c r="GX542" s="27" t="s">
        <v>7</v>
      </c>
      <c r="GY542" s="27" t="s">
        <v>8</v>
      </c>
      <c r="GZ542" s="27" t="s">
        <v>7</v>
      </c>
      <c r="HA542" s="27" t="s">
        <v>8</v>
      </c>
      <c r="HB542" s="27" t="s">
        <v>7</v>
      </c>
      <c r="HG542" s="27" t="s">
        <v>8</v>
      </c>
      <c r="HI542" s="27" t="s">
        <v>8</v>
      </c>
      <c r="HJ542" s="27" t="s">
        <v>7</v>
      </c>
      <c r="HO542" s="27" t="s">
        <v>8</v>
      </c>
      <c r="HP542" s="27" t="s">
        <v>7</v>
      </c>
    </row>
    <row r="543" spans="1:224" x14ac:dyDescent="0.25">
      <c r="A543" s="7">
        <v>2.3900531424522997</v>
      </c>
      <c r="B543"/>
      <c r="C543"/>
      <c r="D543"/>
      <c r="E543" t="s">
        <v>8</v>
      </c>
      <c r="H543" s="27" t="s">
        <v>7</v>
      </c>
      <c r="I543" s="27" t="s">
        <v>8</v>
      </c>
      <c r="J543" s="27" t="s">
        <v>7</v>
      </c>
      <c r="BI543" s="27" t="s">
        <v>8</v>
      </c>
      <c r="BJ543" s="27" t="s">
        <v>7</v>
      </c>
      <c r="BK543" s="27" t="s">
        <v>8</v>
      </c>
      <c r="BL543" s="27" t="s">
        <v>7</v>
      </c>
      <c r="BM543" s="27" t="s">
        <v>8</v>
      </c>
      <c r="BP543" s="27" t="s">
        <v>7</v>
      </c>
      <c r="BQ543" s="27" t="s">
        <v>8</v>
      </c>
      <c r="BT543" s="27" t="s">
        <v>7</v>
      </c>
      <c r="BU543" s="27" t="s">
        <v>8</v>
      </c>
      <c r="BY543" s="27" t="s">
        <v>8</v>
      </c>
      <c r="DH543" s="27" t="s">
        <v>7</v>
      </c>
      <c r="DM543" s="27" t="s">
        <v>8</v>
      </c>
      <c r="DN543" s="27" t="s">
        <v>7</v>
      </c>
      <c r="FA543" s="27" t="s">
        <v>8</v>
      </c>
      <c r="FC543" s="27" t="s">
        <v>8</v>
      </c>
      <c r="FD543" s="27" t="s">
        <v>7</v>
      </c>
      <c r="FE543" s="27" t="s">
        <v>8</v>
      </c>
      <c r="FH543" s="27" t="s">
        <v>7</v>
      </c>
      <c r="FJ543" s="27" t="s">
        <v>7</v>
      </c>
      <c r="FK543" s="27" t="s">
        <v>8</v>
      </c>
      <c r="FN543" s="27" t="s">
        <v>7</v>
      </c>
      <c r="GI543" s="27" t="s">
        <v>8</v>
      </c>
      <c r="GJ543" s="27" t="s">
        <v>7</v>
      </c>
      <c r="GK543" s="27" t="s">
        <v>8</v>
      </c>
      <c r="GL543" s="27" t="s">
        <v>7</v>
      </c>
      <c r="GM543" s="27" t="s">
        <v>8</v>
      </c>
      <c r="GN543" s="27" t="s">
        <v>7</v>
      </c>
      <c r="GO543" s="27" t="s">
        <v>8</v>
      </c>
      <c r="GP543" s="27" t="s">
        <v>7</v>
      </c>
      <c r="GQ543" s="27" t="s">
        <v>8</v>
      </c>
      <c r="GR543" s="27" t="s">
        <v>7</v>
      </c>
      <c r="GX543" s="27" t="s">
        <v>7</v>
      </c>
      <c r="GY543" s="27" t="s">
        <v>8</v>
      </c>
      <c r="GZ543" s="27" t="s">
        <v>7</v>
      </c>
      <c r="HA543" s="27" t="s">
        <v>8</v>
      </c>
      <c r="HB543" s="27" t="s">
        <v>7</v>
      </c>
      <c r="HG543" s="27" t="s">
        <v>8</v>
      </c>
      <c r="HH543" s="27" t="s">
        <v>7</v>
      </c>
      <c r="HI543" s="27" t="s">
        <v>8</v>
      </c>
      <c r="HJ543" s="27" t="s">
        <v>7</v>
      </c>
      <c r="HO543" s="27" t="s">
        <v>8</v>
      </c>
      <c r="HP543" s="27" t="s">
        <v>7</v>
      </c>
    </row>
    <row r="544" spans="1:224" x14ac:dyDescent="0.25">
      <c r="A544" s="7">
        <v>2.343189355345392</v>
      </c>
      <c r="B544"/>
      <c r="C544"/>
      <c r="D544"/>
      <c r="E544" t="s">
        <v>8</v>
      </c>
      <c r="H544" s="27" t="s">
        <v>7</v>
      </c>
      <c r="J544" s="27" t="s">
        <v>7</v>
      </c>
      <c r="BI544" s="27" t="s">
        <v>8</v>
      </c>
      <c r="BJ544" s="27" t="s">
        <v>7</v>
      </c>
      <c r="BK544" s="27" t="s">
        <v>8</v>
      </c>
      <c r="BL544" s="27" t="s">
        <v>7</v>
      </c>
      <c r="BM544" s="27" t="s">
        <v>8</v>
      </c>
      <c r="BP544" s="27" t="s">
        <v>7</v>
      </c>
      <c r="BQ544" s="27" t="s">
        <v>8</v>
      </c>
      <c r="BT544" s="27" t="s">
        <v>7</v>
      </c>
      <c r="BU544" s="27" t="s">
        <v>8</v>
      </c>
      <c r="BV544" s="27" t="s">
        <v>7</v>
      </c>
      <c r="BY544" s="27" t="s">
        <v>8</v>
      </c>
      <c r="DH544" s="27" t="s">
        <v>7</v>
      </c>
      <c r="DM544" s="27" t="s">
        <v>8</v>
      </c>
      <c r="DN544" s="27" t="s">
        <v>7</v>
      </c>
      <c r="FA544" s="27" t="s">
        <v>8</v>
      </c>
      <c r="FB544" s="27" t="s">
        <v>7</v>
      </c>
      <c r="FC544" s="27" t="s">
        <v>8</v>
      </c>
      <c r="FD544" s="27" t="s">
        <v>7</v>
      </c>
      <c r="FJ544" s="27" t="s">
        <v>7</v>
      </c>
      <c r="FK544" s="27" t="s">
        <v>8</v>
      </c>
      <c r="FN544" s="27" t="s">
        <v>7</v>
      </c>
      <c r="GI544" s="27" t="s">
        <v>8</v>
      </c>
      <c r="GJ544" s="27" t="s">
        <v>7</v>
      </c>
      <c r="GL544" s="27" t="s">
        <v>7</v>
      </c>
      <c r="GM544" s="27" t="s">
        <v>8</v>
      </c>
      <c r="GN544" s="27" t="s">
        <v>7</v>
      </c>
      <c r="GO544" s="27" t="s">
        <v>8</v>
      </c>
      <c r="GP544" s="27" t="s">
        <v>7</v>
      </c>
      <c r="GQ544" s="27" t="s">
        <v>8</v>
      </c>
      <c r="GX544" s="27" t="s">
        <v>7</v>
      </c>
      <c r="GY544" s="27" t="s">
        <v>8</v>
      </c>
      <c r="GZ544" s="27" t="s">
        <v>7</v>
      </c>
      <c r="HA544" s="27" t="s">
        <v>8</v>
      </c>
      <c r="HB544" s="27" t="s">
        <v>7</v>
      </c>
      <c r="HG544" s="27" t="s">
        <v>8</v>
      </c>
      <c r="HH544" s="27" t="s">
        <v>7</v>
      </c>
      <c r="HI544" s="27" t="s">
        <v>8</v>
      </c>
      <c r="HJ544" s="27" t="s">
        <v>7</v>
      </c>
      <c r="HK544" s="27" t="s">
        <v>8</v>
      </c>
      <c r="HM544" s="27" t="s">
        <v>8</v>
      </c>
      <c r="HO544" s="27" t="s">
        <v>8</v>
      </c>
      <c r="HP544" s="27" t="s">
        <v>7</v>
      </c>
    </row>
    <row r="545" spans="1:243" x14ac:dyDescent="0.25">
      <c r="A545" s="7">
        <v>2.2972444660248938</v>
      </c>
      <c r="B545"/>
      <c r="C545"/>
      <c r="D545"/>
      <c r="E545" t="s">
        <v>8</v>
      </c>
      <c r="J545" s="27" t="s">
        <v>7</v>
      </c>
      <c r="BI545" s="27" t="s">
        <v>8</v>
      </c>
      <c r="BJ545" s="27" t="s">
        <v>7</v>
      </c>
      <c r="BK545" s="27" t="s">
        <v>8</v>
      </c>
      <c r="BL545" s="27" t="s">
        <v>7</v>
      </c>
      <c r="BM545" s="27" t="s">
        <v>8</v>
      </c>
      <c r="BP545" s="27" t="s">
        <v>7</v>
      </c>
      <c r="BQ545" s="27" t="s">
        <v>8</v>
      </c>
      <c r="BT545" s="27" t="s">
        <v>7</v>
      </c>
      <c r="BU545" s="27" t="s">
        <v>8</v>
      </c>
      <c r="BV545" s="27" t="s">
        <v>7</v>
      </c>
      <c r="BY545" s="27" t="s">
        <v>8</v>
      </c>
      <c r="DH545" s="27" t="s">
        <v>7</v>
      </c>
      <c r="DM545" s="27" t="s">
        <v>8</v>
      </c>
      <c r="DN545" s="27" t="s">
        <v>7</v>
      </c>
      <c r="FA545" s="27" t="s">
        <v>8</v>
      </c>
      <c r="FB545" s="27" t="s">
        <v>7</v>
      </c>
      <c r="FC545" s="27" t="s">
        <v>8</v>
      </c>
      <c r="FJ545" s="27" t="s">
        <v>7</v>
      </c>
      <c r="FN545" s="27" t="s">
        <v>7</v>
      </c>
      <c r="GI545" s="27" t="s">
        <v>8</v>
      </c>
      <c r="GL545" s="27" t="s">
        <v>7</v>
      </c>
      <c r="GM545" s="27" t="s">
        <v>8</v>
      </c>
      <c r="GN545" s="27" t="s">
        <v>7</v>
      </c>
      <c r="GO545" s="27" t="s">
        <v>8</v>
      </c>
      <c r="GP545" s="27" t="s">
        <v>7</v>
      </c>
      <c r="GQ545" s="27" t="s">
        <v>8</v>
      </c>
      <c r="GX545" s="27" t="s">
        <v>7</v>
      </c>
      <c r="GY545" s="27" t="s">
        <v>8</v>
      </c>
      <c r="GZ545" s="27" t="s">
        <v>7</v>
      </c>
      <c r="HB545" s="27" t="s">
        <v>7</v>
      </c>
      <c r="HG545" s="27" t="s">
        <v>8</v>
      </c>
      <c r="HH545" s="27" t="s">
        <v>7</v>
      </c>
      <c r="HI545" s="27" t="s">
        <v>8</v>
      </c>
      <c r="HJ545" s="27" t="s">
        <v>7</v>
      </c>
      <c r="HK545" s="27" t="s">
        <v>8</v>
      </c>
      <c r="HL545" s="27" t="s">
        <v>7</v>
      </c>
      <c r="HM545" s="27" t="s">
        <v>8</v>
      </c>
      <c r="HN545" s="27" t="s">
        <v>7</v>
      </c>
      <c r="HO545" s="27" t="s">
        <v>8</v>
      </c>
      <c r="HP545" s="27" t="s">
        <v>7</v>
      </c>
    </row>
    <row r="546" spans="1:243" x14ac:dyDescent="0.25">
      <c r="A546" s="7">
        <v>2.252200456887151</v>
      </c>
      <c r="B546"/>
      <c r="C546"/>
      <c r="D546"/>
      <c r="E546" t="s">
        <v>8</v>
      </c>
      <c r="J546" s="27" t="s">
        <v>7</v>
      </c>
      <c r="BI546" s="27" t="s">
        <v>8</v>
      </c>
      <c r="BJ546" s="27" t="s">
        <v>7</v>
      </c>
      <c r="BK546" s="27" t="s">
        <v>8</v>
      </c>
      <c r="BL546" s="27" t="s">
        <v>7</v>
      </c>
      <c r="BM546" s="27" t="s">
        <v>8</v>
      </c>
      <c r="BP546" s="27" t="s">
        <v>7</v>
      </c>
      <c r="BT546" s="27" t="s">
        <v>7</v>
      </c>
      <c r="BU546" s="27" t="s">
        <v>8</v>
      </c>
      <c r="BV546" s="27" t="s">
        <v>7</v>
      </c>
      <c r="BY546" s="27" t="s">
        <v>8</v>
      </c>
      <c r="DH546" s="27" t="s">
        <v>7</v>
      </c>
      <c r="DM546" s="27" t="s">
        <v>8</v>
      </c>
      <c r="DN546" s="27" t="s">
        <v>7</v>
      </c>
      <c r="FA546" s="27" t="s">
        <v>8</v>
      </c>
      <c r="FB546" s="27" t="s">
        <v>7</v>
      </c>
      <c r="FC546" s="27" t="s">
        <v>8</v>
      </c>
      <c r="FN546" s="27" t="s">
        <v>7</v>
      </c>
      <c r="GI546" s="27" t="s">
        <v>8</v>
      </c>
      <c r="GL546" s="27" t="s">
        <v>7</v>
      </c>
      <c r="GM546" s="27" t="s">
        <v>8</v>
      </c>
      <c r="GN546" s="27" t="s">
        <v>7</v>
      </c>
      <c r="GO546" s="27" t="s">
        <v>8</v>
      </c>
      <c r="GP546" s="27" t="s">
        <v>7</v>
      </c>
      <c r="GQ546" s="27" t="s">
        <v>8</v>
      </c>
      <c r="GX546" s="27" t="s">
        <v>7</v>
      </c>
      <c r="GY546" s="27" t="s">
        <v>8</v>
      </c>
      <c r="HB546" s="27" t="s">
        <v>7</v>
      </c>
      <c r="HG546" s="27" t="s">
        <v>8</v>
      </c>
      <c r="HH546" s="27" t="s">
        <v>7</v>
      </c>
      <c r="HJ546" s="27" t="s">
        <v>7</v>
      </c>
      <c r="HK546" s="27" t="s">
        <v>8</v>
      </c>
      <c r="HL546" s="27" t="s">
        <v>7</v>
      </c>
      <c r="HM546" s="27" t="s">
        <v>8</v>
      </c>
      <c r="HN546" s="27" t="s">
        <v>7</v>
      </c>
      <c r="HO546" s="27" t="s">
        <v>8</v>
      </c>
      <c r="HP546" s="27" t="s">
        <v>7</v>
      </c>
    </row>
    <row r="547" spans="1:243" x14ac:dyDescent="0.25">
      <c r="A547" s="7">
        <v>2.208039663614854</v>
      </c>
      <c r="B547"/>
      <c r="C547"/>
      <c r="D547"/>
      <c r="E547" t="s">
        <v>8</v>
      </c>
      <c r="J547" s="27" t="s">
        <v>7</v>
      </c>
      <c r="BI547" s="27" t="s">
        <v>8</v>
      </c>
      <c r="BJ547" s="27" t="s">
        <v>7</v>
      </c>
      <c r="BK547" s="27" t="s">
        <v>8</v>
      </c>
      <c r="BL547" s="27" t="s">
        <v>7</v>
      </c>
      <c r="BM547" s="27" t="s">
        <v>8</v>
      </c>
      <c r="BT547" s="27" t="s">
        <v>7</v>
      </c>
      <c r="BU547" s="27" t="s">
        <v>8</v>
      </c>
      <c r="BV547" s="27" t="s">
        <v>7</v>
      </c>
      <c r="BW547" s="27" t="s">
        <v>8</v>
      </c>
      <c r="BY547" s="27" t="s">
        <v>8</v>
      </c>
      <c r="DH547" s="27" t="s">
        <v>7</v>
      </c>
      <c r="DM547" s="27" t="s">
        <v>8</v>
      </c>
      <c r="DN547" s="27" t="s">
        <v>7</v>
      </c>
      <c r="DO547" s="27" t="s">
        <v>8</v>
      </c>
      <c r="FA547" s="27" t="s">
        <v>8</v>
      </c>
      <c r="FB547" s="27" t="s">
        <v>7</v>
      </c>
      <c r="FC547" s="27" t="s">
        <v>8</v>
      </c>
      <c r="FN547" s="27" t="s">
        <v>7</v>
      </c>
      <c r="FS547" s="27" t="s">
        <v>8</v>
      </c>
      <c r="GI547" s="27" t="s">
        <v>8</v>
      </c>
      <c r="GL547" s="27" t="s">
        <v>7</v>
      </c>
      <c r="GN547" s="27" t="s">
        <v>7</v>
      </c>
      <c r="GP547" s="27" t="s">
        <v>7</v>
      </c>
      <c r="GQ547" s="27" t="s">
        <v>8</v>
      </c>
      <c r="GX547" s="27" t="s">
        <v>7</v>
      </c>
      <c r="GY547" s="27" t="s">
        <v>8</v>
      </c>
      <c r="HB547" s="27" t="s">
        <v>7</v>
      </c>
      <c r="HE547" s="27" t="s">
        <v>8</v>
      </c>
      <c r="HG547" s="27" t="s">
        <v>8</v>
      </c>
      <c r="HJ547" s="27" t="s">
        <v>7</v>
      </c>
      <c r="HK547" s="27" t="s">
        <v>8</v>
      </c>
      <c r="HL547" s="27" t="s">
        <v>7</v>
      </c>
      <c r="HM547" s="27" t="s">
        <v>8</v>
      </c>
      <c r="HN547" s="27" t="s">
        <v>7</v>
      </c>
      <c r="HO547" s="27" t="s">
        <v>8</v>
      </c>
      <c r="HP547" s="27" t="s">
        <v>7</v>
      </c>
    </row>
    <row r="548" spans="1:243" x14ac:dyDescent="0.25">
      <c r="A548" s="7">
        <v>2.1647447682498568</v>
      </c>
      <c r="B548"/>
      <c r="C548"/>
      <c r="D548"/>
      <c r="E548" t="s">
        <v>8</v>
      </c>
      <c r="J548" s="27" t="s">
        <v>7</v>
      </c>
      <c r="BI548" s="27" t="s">
        <v>8</v>
      </c>
      <c r="BJ548" s="27" t="s">
        <v>7</v>
      </c>
      <c r="BK548" s="27" t="s">
        <v>8</v>
      </c>
      <c r="BL548" s="27" t="s">
        <v>7</v>
      </c>
      <c r="BM548" s="27" t="s">
        <v>8</v>
      </c>
      <c r="BT548" s="27" t="s">
        <v>7</v>
      </c>
      <c r="BU548" s="27" t="s">
        <v>8</v>
      </c>
      <c r="BV548" s="27" t="s">
        <v>7</v>
      </c>
      <c r="BW548" s="27" t="s">
        <v>8</v>
      </c>
      <c r="BX548" s="27" t="s">
        <v>7</v>
      </c>
      <c r="BY548" s="27" t="s">
        <v>8</v>
      </c>
      <c r="DH548" s="27" t="s">
        <v>7</v>
      </c>
      <c r="DM548" s="27" t="s">
        <v>8</v>
      </c>
      <c r="DN548" s="27" t="s">
        <v>7</v>
      </c>
      <c r="DO548" s="27" t="s">
        <v>8</v>
      </c>
      <c r="DP548" s="27" t="s">
        <v>7</v>
      </c>
      <c r="DQ548" s="27" t="s">
        <v>8</v>
      </c>
      <c r="EW548" s="27" t="s">
        <v>8</v>
      </c>
      <c r="FA548" s="27" t="s">
        <v>8</v>
      </c>
      <c r="FB548" s="27" t="s">
        <v>7</v>
      </c>
      <c r="FC548" s="27" t="s">
        <v>8</v>
      </c>
      <c r="FN548" s="27" t="s">
        <v>7</v>
      </c>
      <c r="FQ548" s="27" t="s">
        <v>8</v>
      </c>
      <c r="FS548" s="27" t="s">
        <v>8</v>
      </c>
      <c r="FT548" s="27" t="s">
        <v>7</v>
      </c>
      <c r="GI548" s="27" t="s">
        <v>8</v>
      </c>
      <c r="GP548" s="27" t="s">
        <v>7</v>
      </c>
      <c r="GQ548" s="27" t="s">
        <v>8</v>
      </c>
      <c r="GX548" s="27" t="s">
        <v>7</v>
      </c>
      <c r="HB548" s="27" t="s">
        <v>7</v>
      </c>
      <c r="HC548" s="27" t="s">
        <v>8</v>
      </c>
      <c r="HE548" s="27" t="s">
        <v>8</v>
      </c>
      <c r="HF548" s="27" t="s">
        <v>7</v>
      </c>
      <c r="HG548" s="27" t="s">
        <v>8</v>
      </c>
      <c r="HJ548" s="27" t="s">
        <v>7</v>
      </c>
      <c r="HK548" s="27" t="s">
        <v>8</v>
      </c>
      <c r="HL548" s="27" t="s">
        <v>7</v>
      </c>
      <c r="HN548" s="27" t="s">
        <v>7</v>
      </c>
      <c r="HO548" s="27" t="s">
        <v>8</v>
      </c>
      <c r="HP548" s="27" t="s">
        <v>7</v>
      </c>
    </row>
    <row r="549" spans="1:243" x14ac:dyDescent="0.25">
      <c r="A549" s="7">
        <v>2.1222987924018204</v>
      </c>
      <c r="B549"/>
      <c r="C549"/>
      <c r="D549"/>
      <c r="E549" t="s">
        <v>8</v>
      </c>
      <c r="J549" s="27" t="s">
        <v>7</v>
      </c>
      <c r="BI549" s="27" t="s">
        <v>8</v>
      </c>
      <c r="BJ549" s="27" t="s">
        <v>7</v>
      </c>
      <c r="BK549" s="27" t="s">
        <v>8</v>
      </c>
      <c r="BL549" s="27" t="s">
        <v>7</v>
      </c>
      <c r="BM549" s="27" t="s">
        <v>8</v>
      </c>
      <c r="BT549" s="27" t="s">
        <v>7</v>
      </c>
      <c r="BU549" s="27" t="s">
        <v>8</v>
      </c>
      <c r="BV549" s="27" t="s">
        <v>7</v>
      </c>
      <c r="BW549" s="27" t="s">
        <v>8</v>
      </c>
      <c r="BX549" s="27" t="s">
        <v>7</v>
      </c>
      <c r="BY549" s="27" t="s">
        <v>8</v>
      </c>
      <c r="DH549" s="27" t="s">
        <v>7</v>
      </c>
      <c r="DM549" s="27" t="s">
        <v>8</v>
      </c>
      <c r="DN549" s="27" t="s">
        <v>7</v>
      </c>
      <c r="DO549" s="27" t="s">
        <v>8</v>
      </c>
      <c r="DP549" s="27" t="s">
        <v>7</v>
      </c>
      <c r="DQ549" s="27" t="s">
        <v>8</v>
      </c>
      <c r="DR549" s="27" t="s">
        <v>7</v>
      </c>
      <c r="EW549" s="27" t="s">
        <v>8</v>
      </c>
      <c r="EX549" s="27" t="s">
        <v>7</v>
      </c>
      <c r="FA549" s="27" t="s">
        <v>8</v>
      </c>
      <c r="FB549" s="27" t="s">
        <v>7</v>
      </c>
      <c r="FC549" s="27" t="s">
        <v>8</v>
      </c>
      <c r="FN549" s="27" t="s">
        <v>7</v>
      </c>
      <c r="FQ549" s="27" t="s">
        <v>8</v>
      </c>
      <c r="FR549" s="27" t="s">
        <v>7</v>
      </c>
      <c r="FS549" s="27" t="s">
        <v>8</v>
      </c>
      <c r="FT549" s="27" t="s">
        <v>7</v>
      </c>
      <c r="GI549" s="27" t="s">
        <v>8</v>
      </c>
      <c r="GP549" s="27" t="s">
        <v>7</v>
      </c>
      <c r="GQ549" s="27" t="s">
        <v>8</v>
      </c>
      <c r="HB549" s="27" t="s">
        <v>7</v>
      </c>
      <c r="HC549" s="27" t="s">
        <v>8</v>
      </c>
      <c r="HD549" s="27" t="s">
        <v>7</v>
      </c>
      <c r="HE549" s="27" t="s">
        <v>8</v>
      </c>
      <c r="HF549" s="27" t="s">
        <v>7</v>
      </c>
      <c r="HG549" s="27" t="s">
        <v>8</v>
      </c>
      <c r="HJ549" s="27" t="s">
        <v>7</v>
      </c>
      <c r="HK549" s="27" t="s">
        <v>8</v>
      </c>
      <c r="HN549" s="27" t="s">
        <v>7</v>
      </c>
      <c r="HO549" s="27" t="s">
        <v>8</v>
      </c>
      <c r="HP549" s="27" t="s">
        <v>7</v>
      </c>
    </row>
    <row r="550" spans="1:243" x14ac:dyDescent="0.25">
      <c r="A550" s="7">
        <v>2.0806850905900198</v>
      </c>
      <c r="B550"/>
      <c r="C550"/>
      <c r="D550"/>
      <c r="E550" t="s">
        <v>8</v>
      </c>
      <c r="J550" s="27" t="s">
        <v>7</v>
      </c>
      <c r="BI550" s="27" t="s">
        <v>8</v>
      </c>
      <c r="BJ550" s="27" t="s">
        <v>7</v>
      </c>
      <c r="BK550" s="27" t="s">
        <v>8</v>
      </c>
      <c r="BL550" s="27" t="s">
        <v>7</v>
      </c>
      <c r="BM550" s="27" t="s">
        <v>8</v>
      </c>
      <c r="BT550" s="27" t="s">
        <v>7</v>
      </c>
      <c r="BU550" s="27" t="s">
        <v>8</v>
      </c>
      <c r="BV550" s="27" t="s">
        <v>7</v>
      </c>
      <c r="BW550" s="27" t="s">
        <v>8</v>
      </c>
      <c r="BX550" s="27" t="s">
        <v>7</v>
      </c>
      <c r="BY550" s="27" t="s">
        <v>8</v>
      </c>
      <c r="DH550" s="27" t="s">
        <v>7</v>
      </c>
      <c r="DM550" s="27" t="s">
        <v>8</v>
      </c>
      <c r="DN550" s="27" t="s">
        <v>7</v>
      </c>
      <c r="DO550" s="27" t="s">
        <v>8</v>
      </c>
      <c r="DP550" s="27" t="s">
        <v>7</v>
      </c>
      <c r="DQ550" s="27" t="s">
        <v>8</v>
      </c>
      <c r="DR550" s="27" t="s">
        <v>7</v>
      </c>
      <c r="EW550" s="27" t="s">
        <v>8</v>
      </c>
      <c r="EX550" s="27" t="s">
        <v>7</v>
      </c>
      <c r="EY550" s="27" t="s">
        <v>8</v>
      </c>
      <c r="FA550" s="27" t="s">
        <v>8</v>
      </c>
      <c r="FB550" s="27" t="s">
        <v>7</v>
      </c>
      <c r="FC550" s="27" t="s">
        <v>8</v>
      </c>
      <c r="FN550" s="27" t="s">
        <v>7</v>
      </c>
      <c r="FO550" s="27" t="s">
        <v>8</v>
      </c>
      <c r="FQ550" s="27" t="s">
        <v>8</v>
      </c>
      <c r="FR550" s="27" t="s">
        <v>7</v>
      </c>
      <c r="FS550" s="27" t="s">
        <v>8</v>
      </c>
      <c r="FT550" s="27" t="s">
        <v>7</v>
      </c>
      <c r="GG550" s="27" t="s">
        <v>8</v>
      </c>
      <c r="GI550" s="27" t="s">
        <v>8</v>
      </c>
      <c r="GP550" s="27" t="s">
        <v>7</v>
      </c>
      <c r="GQ550" s="27" t="s">
        <v>8</v>
      </c>
      <c r="HB550" s="27" t="s">
        <v>7</v>
      </c>
      <c r="HC550" s="27" t="s">
        <v>8</v>
      </c>
      <c r="HD550" s="27" t="s">
        <v>7</v>
      </c>
      <c r="HE550" s="27" t="s">
        <v>8</v>
      </c>
      <c r="HF550" s="27" t="s">
        <v>7</v>
      </c>
      <c r="HJ550" s="27" t="s">
        <v>7</v>
      </c>
      <c r="HK550" s="27" t="s">
        <v>8</v>
      </c>
      <c r="HN550" s="27" t="s">
        <v>7</v>
      </c>
      <c r="HP550" s="27" t="s">
        <v>7</v>
      </c>
    </row>
    <row r="551" spans="1:243" x14ac:dyDescent="0.25">
      <c r="A551" s="7">
        <v>2.0398873437157055</v>
      </c>
      <c r="B551"/>
      <c r="C551"/>
      <c r="D551"/>
      <c r="E551" t="s">
        <v>8</v>
      </c>
      <c r="J551" s="27" t="s">
        <v>7</v>
      </c>
      <c r="BI551" s="27" t="s">
        <v>8</v>
      </c>
      <c r="BJ551" s="27" t="s">
        <v>7</v>
      </c>
      <c r="BL551" s="27" t="s">
        <v>7</v>
      </c>
      <c r="BM551" s="27" t="s">
        <v>8</v>
      </c>
      <c r="BT551" s="27" t="s">
        <v>7</v>
      </c>
      <c r="BU551" s="27" t="s">
        <v>8</v>
      </c>
      <c r="BV551" s="27" t="s">
        <v>7</v>
      </c>
      <c r="BW551" s="27" t="s">
        <v>8</v>
      </c>
      <c r="BX551" s="27" t="s">
        <v>7</v>
      </c>
      <c r="BY551" s="27" t="s">
        <v>8</v>
      </c>
      <c r="DH551" s="27" t="s">
        <v>7</v>
      </c>
      <c r="DM551" s="27" t="s">
        <v>8</v>
      </c>
      <c r="DN551" s="27" t="s">
        <v>7</v>
      </c>
      <c r="DO551" s="27" t="s">
        <v>8</v>
      </c>
      <c r="DP551" s="27" t="s">
        <v>7</v>
      </c>
      <c r="DQ551" s="27" t="s">
        <v>8</v>
      </c>
      <c r="DR551" s="27" t="s">
        <v>7</v>
      </c>
      <c r="EW551" s="27" t="s">
        <v>8</v>
      </c>
      <c r="EX551" s="27" t="s">
        <v>7</v>
      </c>
      <c r="EY551" s="27" t="s">
        <v>8</v>
      </c>
      <c r="EZ551" s="27" t="s">
        <v>7</v>
      </c>
      <c r="FA551" s="27" t="s">
        <v>8</v>
      </c>
      <c r="FB551" s="27" t="s">
        <v>7</v>
      </c>
      <c r="FC551" s="27" t="s">
        <v>8</v>
      </c>
      <c r="FN551" s="27" t="s">
        <v>7</v>
      </c>
      <c r="FO551" s="27" t="s">
        <v>8</v>
      </c>
      <c r="FP551" s="27" t="s">
        <v>7</v>
      </c>
      <c r="FQ551" s="27" t="s">
        <v>8</v>
      </c>
      <c r="FR551" s="27" t="s">
        <v>7</v>
      </c>
      <c r="FS551" s="27" t="s">
        <v>8</v>
      </c>
      <c r="FT551" s="27" t="s">
        <v>7</v>
      </c>
      <c r="GG551" s="27" t="s">
        <v>8</v>
      </c>
      <c r="GH551" s="27" t="s">
        <v>7</v>
      </c>
      <c r="GI551" s="27" t="s">
        <v>8</v>
      </c>
      <c r="GP551" s="27" t="s">
        <v>7</v>
      </c>
      <c r="HB551" s="27" t="s">
        <v>7</v>
      </c>
      <c r="HC551" s="27" t="s">
        <v>8</v>
      </c>
      <c r="HD551" s="27" t="s">
        <v>7</v>
      </c>
      <c r="HE551" s="27" t="s">
        <v>8</v>
      </c>
      <c r="HJ551" s="27" t="s">
        <v>7</v>
      </c>
      <c r="HP551" s="27" t="s">
        <v>7</v>
      </c>
    </row>
    <row r="552" spans="1:243" x14ac:dyDescent="0.25">
      <c r="A552" s="7">
        <v>1.9998895526624565</v>
      </c>
      <c r="B552"/>
      <c r="C552"/>
      <c r="D552"/>
      <c r="E552" t="s">
        <v>8</v>
      </c>
      <c r="J552" s="27" t="s">
        <v>7</v>
      </c>
      <c r="BI552" s="27" t="s">
        <v>8</v>
      </c>
      <c r="BL552" s="27" t="s">
        <v>7</v>
      </c>
      <c r="BM552" s="27" t="s">
        <v>8</v>
      </c>
      <c r="BT552" s="27" t="s">
        <v>7</v>
      </c>
      <c r="BU552" s="27" t="s">
        <v>8</v>
      </c>
      <c r="BV552" s="27" t="s">
        <v>7</v>
      </c>
      <c r="BW552" s="27" t="s">
        <v>8</v>
      </c>
      <c r="BX552" s="27" t="s">
        <v>7</v>
      </c>
      <c r="BY552" s="27" t="s">
        <v>8</v>
      </c>
      <c r="DH552" s="27" t="s">
        <v>7</v>
      </c>
      <c r="DM552" s="27" t="s">
        <v>8</v>
      </c>
      <c r="DN552" s="27" t="s">
        <v>7</v>
      </c>
      <c r="DO552" s="27" t="s">
        <v>8</v>
      </c>
      <c r="DP552" s="27" t="s">
        <v>7</v>
      </c>
      <c r="DQ552" s="27" t="s">
        <v>8</v>
      </c>
      <c r="DR552" s="27" t="s">
        <v>7</v>
      </c>
      <c r="EO552" s="27" t="s">
        <v>8</v>
      </c>
      <c r="EW552" s="27" t="s">
        <v>8</v>
      </c>
      <c r="EX552" s="27" t="s">
        <v>7</v>
      </c>
      <c r="EY552" s="27" t="s">
        <v>8</v>
      </c>
      <c r="EZ552" s="27" t="s">
        <v>7</v>
      </c>
      <c r="FA552" s="27" t="s">
        <v>8</v>
      </c>
      <c r="FB552" s="27" t="s">
        <v>7</v>
      </c>
      <c r="FC552" s="27" t="s">
        <v>8</v>
      </c>
      <c r="FN552" s="27" t="s">
        <v>7</v>
      </c>
      <c r="FO552" s="27" t="s">
        <v>8</v>
      </c>
      <c r="FP552" s="27" t="s">
        <v>7</v>
      </c>
      <c r="FQ552" s="27" t="s">
        <v>8</v>
      </c>
      <c r="FR552" s="27" t="s">
        <v>7</v>
      </c>
      <c r="FT552" s="27" t="s">
        <v>7</v>
      </c>
      <c r="GG552" s="27" t="s">
        <v>8</v>
      </c>
      <c r="GH552" s="27" t="s">
        <v>7</v>
      </c>
      <c r="GI552" s="27" t="s">
        <v>8</v>
      </c>
      <c r="HB552" s="27" t="s">
        <v>7</v>
      </c>
      <c r="HC552" s="27" t="s">
        <v>8</v>
      </c>
      <c r="HD552" s="27" t="s">
        <v>7</v>
      </c>
      <c r="HE552" s="27" t="s">
        <v>8</v>
      </c>
      <c r="HP552" s="27" t="s">
        <v>7</v>
      </c>
    </row>
    <row r="553" spans="1:243" x14ac:dyDescent="0.25">
      <c r="A553" s="7">
        <v>1.9606760320220162</v>
      </c>
      <c r="B553"/>
      <c r="C553"/>
      <c r="D553"/>
      <c r="E553" t="s">
        <v>8</v>
      </c>
      <c r="J553" s="27" t="s">
        <v>7</v>
      </c>
      <c r="BI553" s="27" t="s">
        <v>8</v>
      </c>
      <c r="BL553" s="27" t="s">
        <v>7</v>
      </c>
      <c r="BT553" s="27" t="s">
        <v>7</v>
      </c>
      <c r="BU553" s="27" t="s">
        <v>8</v>
      </c>
      <c r="BV553" s="27" t="s">
        <v>7</v>
      </c>
      <c r="BW553" s="27" t="s">
        <v>8</v>
      </c>
      <c r="BX553" s="27" t="s">
        <v>7</v>
      </c>
      <c r="BY553" s="27" t="s">
        <v>8</v>
      </c>
      <c r="DH553" s="27" t="s">
        <v>7</v>
      </c>
      <c r="DM553" s="27" t="s">
        <v>8</v>
      </c>
      <c r="DN553" s="27" t="s">
        <v>7</v>
      </c>
      <c r="DO553" s="27" t="s">
        <v>8</v>
      </c>
      <c r="DP553" s="27" t="s">
        <v>7</v>
      </c>
      <c r="DQ553" s="27" t="s">
        <v>8</v>
      </c>
      <c r="DR553" s="27" t="s">
        <v>7</v>
      </c>
      <c r="EO553" s="27" t="s">
        <v>8</v>
      </c>
      <c r="EP553" s="27" t="s">
        <v>7</v>
      </c>
      <c r="EW553" s="27" t="s">
        <v>8</v>
      </c>
      <c r="EX553" s="27" t="s">
        <v>7</v>
      </c>
      <c r="EY553" s="27" t="s">
        <v>8</v>
      </c>
      <c r="EZ553" s="27" t="s">
        <v>7</v>
      </c>
      <c r="FA553" s="27" t="s">
        <v>8</v>
      </c>
      <c r="FB553" s="27" t="s">
        <v>7</v>
      </c>
      <c r="FN553" s="27" t="s">
        <v>7</v>
      </c>
      <c r="FO553" s="27" t="s">
        <v>8</v>
      </c>
      <c r="FP553" s="27" t="s">
        <v>7</v>
      </c>
      <c r="FQ553" s="27" t="s">
        <v>8</v>
      </c>
      <c r="FT553" s="27" t="s">
        <v>7</v>
      </c>
      <c r="GG553" s="27" t="s">
        <v>8</v>
      </c>
      <c r="GH553" s="27" t="s">
        <v>7</v>
      </c>
      <c r="GI553" s="27" t="s">
        <v>8</v>
      </c>
      <c r="HB553" s="27" t="s">
        <v>7</v>
      </c>
      <c r="HD553" s="27" t="s">
        <v>7</v>
      </c>
      <c r="HE553" s="27" t="s">
        <v>8</v>
      </c>
      <c r="HP553" s="27" t="s">
        <v>7</v>
      </c>
    </row>
    <row r="554" spans="1:243" x14ac:dyDescent="0.25">
      <c r="A554" s="7">
        <v>1.9222314039431532</v>
      </c>
      <c r="B554"/>
      <c r="C554"/>
      <c r="D554"/>
      <c r="E554" t="s">
        <v>8</v>
      </c>
      <c r="J554" s="27" t="s">
        <v>7</v>
      </c>
      <c r="BI554" s="27" t="s">
        <v>8</v>
      </c>
      <c r="BT554" s="27" t="s">
        <v>7</v>
      </c>
      <c r="BU554" s="27" t="s">
        <v>8</v>
      </c>
      <c r="BV554" s="27" t="s">
        <v>7</v>
      </c>
      <c r="BW554" s="27" t="s">
        <v>8</v>
      </c>
      <c r="BX554" s="27" t="s">
        <v>7</v>
      </c>
      <c r="BY554" s="27" t="s">
        <v>8</v>
      </c>
      <c r="DH554" s="27" t="s">
        <v>7</v>
      </c>
      <c r="DI554" s="27" t="s">
        <v>8</v>
      </c>
      <c r="DM554" s="27" t="s">
        <v>8</v>
      </c>
      <c r="DN554" s="27" t="s">
        <v>7</v>
      </c>
      <c r="DO554" s="27" t="s">
        <v>8</v>
      </c>
      <c r="DP554" s="27" t="s">
        <v>7</v>
      </c>
      <c r="DR554" s="27" t="s">
        <v>7</v>
      </c>
      <c r="EO554" s="27" t="s">
        <v>8</v>
      </c>
      <c r="EP554" s="27" t="s">
        <v>7</v>
      </c>
      <c r="EW554" s="27" t="s">
        <v>8</v>
      </c>
      <c r="EX554" s="27" t="s">
        <v>7</v>
      </c>
      <c r="EY554" s="27" t="s">
        <v>8</v>
      </c>
      <c r="EZ554" s="27" t="s">
        <v>7</v>
      </c>
      <c r="FA554" s="27" t="s">
        <v>8</v>
      </c>
      <c r="FN554" s="27" t="s">
        <v>7</v>
      </c>
      <c r="FO554" s="27" t="s">
        <v>8</v>
      </c>
      <c r="FP554" s="27" t="s">
        <v>7</v>
      </c>
      <c r="FQ554" s="27" t="s">
        <v>8</v>
      </c>
      <c r="FT554" s="27" t="s">
        <v>7</v>
      </c>
      <c r="GE554" s="27" t="s">
        <v>8</v>
      </c>
      <c r="GG554" s="27" t="s">
        <v>8</v>
      </c>
      <c r="GH554" s="27" t="s">
        <v>7</v>
      </c>
      <c r="GI554" s="27" t="s">
        <v>8</v>
      </c>
      <c r="HD554" s="27" t="s">
        <v>7</v>
      </c>
      <c r="HE554" s="27" t="s">
        <v>8</v>
      </c>
      <c r="HP554" s="27" t="s">
        <v>7</v>
      </c>
      <c r="HQ554" s="27" t="s">
        <v>8</v>
      </c>
    </row>
    <row r="555" spans="1:243" x14ac:dyDescent="0.25">
      <c r="A555" s="7">
        <v>1.8845405921011305</v>
      </c>
      <c r="B555"/>
      <c r="C555"/>
      <c r="D555"/>
      <c r="E555" t="s">
        <v>8</v>
      </c>
      <c r="J555" s="27" t="s">
        <v>7</v>
      </c>
      <c r="BI555" s="27" t="s">
        <v>8</v>
      </c>
      <c r="BT555" s="27" t="s">
        <v>7</v>
      </c>
      <c r="BU555" s="27" t="s">
        <v>8</v>
      </c>
      <c r="BV555" s="27" t="s">
        <v>7</v>
      </c>
      <c r="BW555" s="27" t="s">
        <v>8</v>
      </c>
      <c r="BX555" s="27" t="s">
        <v>7</v>
      </c>
      <c r="BY555" s="27" t="s">
        <v>8</v>
      </c>
      <c r="DH555" s="27" t="s">
        <v>7</v>
      </c>
      <c r="DI555" s="27" t="s">
        <v>8</v>
      </c>
      <c r="DJ555" s="27" t="s">
        <v>7</v>
      </c>
      <c r="DM555" s="27" t="s">
        <v>8</v>
      </c>
      <c r="DN555" s="27" t="s">
        <v>7</v>
      </c>
      <c r="DO555" s="27" t="s">
        <v>8</v>
      </c>
      <c r="DR555" s="27" t="s">
        <v>7</v>
      </c>
      <c r="DY555" s="27" t="s">
        <v>8</v>
      </c>
      <c r="EO555" s="27" t="s">
        <v>8</v>
      </c>
      <c r="EP555" s="27" t="s">
        <v>7</v>
      </c>
      <c r="EW555" s="27" t="s">
        <v>8</v>
      </c>
      <c r="EX555" s="27" t="s">
        <v>7</v>
      </c>
      <c r="EY555" s="27" t="s">
        <v>8</v>
      </c>
      <c r="EZ555" s="27" t="s">
        <v>7</v>
      </c>
      <c r="FA555" s="27" t="s">
        <v>8</v>
      </c>
      <c r="FN555" s="27" t="s">
        <v>7</v>
      </c>
      <c r="FO555" s="27" t="s">
        <v>8</v>
      </c>
      <c r="FP555" s="27" t="s">
        <v>7</v>
      </c>
      <c r="FQ555" s="27" t="s">
        <v>8</v>
      </c>
      <c r="FT555" s="27" t="s">
        <v>7</v>
      </c>
      <c r="GC555" s="27" t="s">
        <v>8</v>
      </c>
      <c r="GE555" s="27" t="s">
        <v>8</v>
      </c>
      <c r="GF555" s="27" t="s">
        <v>7</v>
      </c>
      <c r="GG555" s="27" t="s">
        <v>8</v>
      </c>
      <c r="GH555" s="27" t="s">
        <v>7</v>
      </c>
      <c r="GI555" s="27" t="s">
        <v>8</v>
      </c>
      <c r="HD555" s="27" t="s">
        <v>7</v>
      </c>
      <c r="HP555" s="27" t="s">
        <v>7</v>
      </c>
      <c r="HQ555" s="27" t="s">
        <v>8</v>
      </c>
      <c r="HR555" s="27" t="s">
        <v>7</v>
      </c>
    </row>
    <row r="556" spans="1:243" x14ac:dyDescent="0.25">
      <c r="A556" s="7">
        <v>1.8475888157854219</v>
      </c>
      <c r="B556"/>
      <c r="C556"/>
      <c r="D556"/>
      <c r="E556" t="s">
        <v>8</v>
      </c>
      <c r="J556" s="27" t="s">
        <v>7</v>
      </c>
      <c r="BG556" s="27" t="s">
        <v>8</v>
      </c>
      <c r="BI556" s="27" t="s">
        <v>8</v>
      </c>
      <c r="BT556" s="27" t="s">
        <v>7</v>
      </c>
      <c r="BU556" s="27" t="s">
        <v>8</v>
      </c>
      <c r="BV556" s="27" t="s">
        <v>7</v>
      </c>
      <c r="BW556" s="27" t="s">
        <v>8</v>
      </c>
      <c r="BX556" s="27" t="s">
        <v>7</v>
      </c>
      <c r="BY556" s="27" t="s">
        <v>8</v>
      </c>
      <c r="DH556" s="27" t="s">
        <v>7</v>
      </c>
      <c r="DI556" s="27" t="s">
        <v>8</v>
      </c>
      <c r="DJ556" s="27" t="s">
        <v>7</v>
      </c>
      <c r="DM556" s="27" t="s">
        <v>8</v>
      </c>
      <c r="DN556" s="27" t="s">
        <v>7</v>
      </c>
      <c r="DO556" s="27" t="s">
        <v>8</v>
      </c>
      <c r="DR556" s="27" t="s">
        <v>7</v>
      </c>
      <c r="DS556" s="27" t="s">
        <v>8</v>
      </c>
      <c r="DY556" s="27" t="s">
        <v>8</v>
      </c>
      <c r="DZ556" s="27" t="s">
        <v>7</v>
      </c>
      <c r="EO556" s="27" t="s">
        <v>8</v>
      </c>
      <c r="EP556" s="27" t="s">
        <v>7</v>
      </c>
      <c r="EQ556" s="27" t="s">
        <v>8</v>
      </c>
      <c r="EU556" s="27" t="s">
        <v>8</v>
      </c>
      <c r="EW556" s="27" t="s">
        <v>8</v>
      </c>
      <c r="EX556" s="27" t="s">
        <v>7</v>
      </c>
      <c r="EY556" s="27" t="s">
        <v>8</v>
      </c>
      <c r="EZ556" s="27" t="s">
        <v>7</v>
      </c>
      <c r="FN556" s="27" t="s">
        <v>7</v>
      </c>
      <c r="FO556" s="27" t="s">
        <v>8</v>
      </c>
      <c r="FP556" s="27" t="s">
        <v>7</v>
      </c>
      <c r="FQ556" s="27" t="s">
        <v>8</v>
      </c>
      <c r="FT556" s="27" t="s">
        <v>7</v>
      </c>
      <c r="GC556" s="27" t="s">
        <v>8</v>
      </c>
      <c r="GD556" s="27" t="s">
        <v>7</v>
      </c>
      <c r="GE556" s="27" t="s">
        <v>8</v>
      </c>
      <c r="GF556" s="27" t="s">
        <v>7</v>
      </c>
      <c r="GG556" s="27" t="s">
        <v>8</v>
      </c>
      <c r="GH556" s="27" t="s">
        <v>7</v>
      </c>
      <c r="GI556" s="27" t="s">
        <v>8</v>
      </c>
      <c r="HP556" s="27" t="s">
        <v>7</v>
      </c>
      <c r="HQ556" s="27" t="s">
        <v>8</v>
      </c>
      <c r="HR556" s="27" t="s">
        <v>7</v>
      </c>
    </row>
    <row r="557" spans="1:243" x14ac:dyDescent="0.25">
      <c r="A557" s="7">
        <v>1.8113615841033548</v>
      </c>
      <c r="B557"/>
      <c r="C557"/>
      <c r="D557"/>
      <c r="E557" t="s">
        <v>8</v>
      </c>
      <c r="J557" s="27" t="s">
        <v>7</v>
      </c>
      <c r="BE557" s="27" t="s">
        <v>8</v>
      </c>
      <c r="BG557" s="27" t="s">
        <v>8</v>
      </c>
      <c r="BH557" s="27" t="s">
        <v>7</v>
      </c>
      <c r="BI557" s="27" t="s">
        <v>8</v>
      </c>
      <c r="BT557" s="27" t="s">
        <v>7</v>
      </c>
      <c r="BU557" s="27" t="s">
        <v>8</v>
      </c>
      <c r="BV557" s="27" t="s">
        <v>7</v>
      </c>
      <c r="BW557" s="27" t="s">
        <v>8</v>
      </c>
      <c r="BX557" s="27" t="s">
        <v>7</v>
      </c>
      <c r="BY557" s="27" t="s">
        <v>8</v>
      </c>
      <c r="DH557" s="27" t="s">
        <v>7</v>
      </c>
      <c r="DI557" s="27" t="s">
        <v>8</v>
      </c>
      <c r="DJ557" s="27" t="s">
        <v>7</v>
      </c>
      <c r="DM557" s="27" t="s">
        <v>8</v>
      </c>
      <c r="DN557" s="27" t="s">
        <v>7</v>
      </c>
      <c r="DO557" s="27" t="s">
        <v>8</v>
      </c>
      <c r="DR557" s="27" t="s">
        <v>7</v>
      </c>
      <c r="DS557" s="27" t="s">
        <v>8</v>
      </c>
      <c r="DT557" s="27" t="s">
        <v>7</v>
      </c>
      <c r="DW557" s="27" t="s">
        <v>8</v>
      </c>
      <c r="DY557" s="27" t="s">
        <v>8</v>
      </c>
      <c r="DZ557" s="27" t="s">
        <v>7</v>
      </c>
      <c r="EO557" s="27" t="s">
        <v>8</v>
      </c>
      <c r="EP557" s="27" t="s">
        <v>7</v>
      </c>
      <c r="EQ557" s="27" t="s">
        <v>8</v>
      </c>
      <c r="ER557" s="27" t="s">
        <v>7</v>
      </c>
      <c r="ES557" s="27" t="s">
        <v>8</v>
      </c>
      <c r="EU557" s="27" t="s">
        <v>8</v>
      </c>
      <c r="EV557" s="27" t="s">
        <v>7</v>
      </c>
      <c r="EW557" s="27" t="s">
        <v>8</v>
      </c>
      <c r="EX557" s="27" t="s">
        <v>7</v>
      </c>
      <c r="EY557" s="27" t="s">
        <v>8</v>
      </c>
      <c r="FN557" s="27" t="s">
        <v>7</v>
      </c>
      <c r="FO557" s="27" t="s">
        <v>8</v>
      </c>
      <c r="FP557" s="27" t="s">
        <v>7</v>
      </c>
      <c r="FT557" s="27" t="s">
        <v>7</v>
      </c>
      <c r="GC557" s="27" t="s">
        <v>8</v>
      </c>
      <c r="GD557" s="27" t="s">
        <v>7</v>
      </c>
      <c r="GE557" s="27" t="s">
        <v>8</v>
      </c>
      <c r="GF557" s="27" t="s">
        <v>7</v>
      </c>
      <c r="GG557" s="27" t="s">
        <v>8</v>
      </c>
      <c r="GH557" s="27" t="s">
        <v>7</v>
      </c>
      <c r="GI557" s="27" t="s">
        <v>8</v>
      </c>
      <c r="HP557" s="27" t="s">
        <v>7</v>
      </c>
      <c r="HQ557" s="27" t="s">
        <v>8</v>
      </c>
      <c r="HR557" s="27" t="s">
        <v>7</v>
      </c>
      <c r="HS557" s="27" t="s">
        <v>8</v>
      </c>
    </row>
    <row r="558" spans="1:243" x14ac:dyDescent="0.25">
      <c r="A558" s="7">
        <v>1.7758446902974065</v>
      </c>
      <c r="B558"/>
      <c r="C558"/>
      <c r="D558"/>
      <c r="E558" t="s">
        <v>8</v>
      </c>
      <c r="J558" s="27" t="s">
        <v>7</v>
      </c>
      <c r="BE558" s="27" t="s">
        <v>8</v>
      </c>
      <c r="BF558" s="27" t="s">
        <v>7</v>
      </c>
      <c r="BG558" s="27" t="s">
        <v>8</v>
      </c>
      <c r="BH558" s="27" t="s">
        <v>7</v>
      </c>
      <c r="BI558" s="27" t="s">
        <v>8</v>
      </c>
      <c r="BT558" s="27" t="s">
        <v>7</v>
      </c>
      <c r="BU558" s="27" t="s">
        <v>8</v>
      </c>
      <c r="BV558" s="27" t="s">
        <v>7</v>
      </c>
      <c r="BX558" s="27" t="s">
        <v>7</v>
      </c>
      <c r="DH558" s="27" t="s">
        <v>7</v>
      </c>
      <c r="DI558" s="27" t="s">
        <v>8</v>
      </c>
      <c r="DJ558" s="27" t="s">
        <v>7</v>
      </c>
      <c r="DM558" s="27" t="s">
        <v>8</v>
      </c>
      <c r="DN558" s="27" t="s">
        <v>7</v>
      </c>
      <c r="DO558" s="27" t="s">
        <v>8</v>
      </c>
      <c r="DR558" s="27" t="s">
        <v>7</v>
      </c>
      <c r="DS558" s="27" t="s">
        <v>8</v>
      </c>
      <c r="DT558" s="27" t="s">
        <v>7</v>
      </c>
      <c r="DU558" s="27" t="s">
        <v>8</v>
      </c>
      <c r="DW558" s="27" t="s">
        <v>8</v>
      </c>
      <c r="DX558" s="27" t="s">
        <v>7</v>
      </c>
      <c r="DY558" s="27" t="s">
        <v>8</v>
      </c>
      <c r="DZ558" s="27" t="s">
        <v>7</v>
      </c>
      <c r="EM558" s="27" t="s">
        <v>8</v>
      </c>
      <c r="EO558" s="27" t="s">
        <v>8</v>
      </c>
      <c r="EP558" s="27" t="s">
        <v>7</v>
      </c>
      <c r="EQ558" s="27" t="s">
        <v>8</v>
      </c>
      <c r="ER558" s="27" t="s">
        <v>7</v>
      </c>
      <c r="ES558" s="27" t="s">
        <v>8</v>
      </c>
      <c r="ET558" s="27" t="s">
        <v>7</v>
      </c>
      <c r="EU558" s="27" t="s">
        <v>8</v>
      </c>
      <c r="EV558" s="27" t="s">
        <v>7</v>
      </c>
      <c r="EW558" s="27" t="s">
        <v>8</v>
      </c>
      <c r="EX558" s="27" t="s">
        <v>7</v>
      </c>
      <c r="EY558" s="27" t="s">
        <v>8</v>
      </c>
      <c r="FN558" s="27" t="s">
        <v>7</v>
      </c>
      <c r="FO558" s="27" t="s">
        <v>8</v>
      </c>
      <c r="FT558" s="27" t="s">
        <v>7</v>
      </c>
      <c r="FU558" s="27" t="s">
        <v>8</v>
      </c>
      <c r="FW558" s="27" t="s">
        <v>8</v>
      </c>
      <c r="GC558" s="27" t="s">
        <v>8</v>
      </c>
      <c r="GD558" s="27" t="s">
        <v>7</v>
      </c>
      <c r="GF558" s="27" t="s">
        <v>7</v>
      </c>
      <c r="GH558" s="27" t="s">
        <v>7</v>
      </c>
      <c r="GI558" s="27" t="s">
        <v>8</v>
      </c>
      <c r="HP558" s="27" t="s">
        <v>7</v>
      </c>
      <c r="HQ558" s="27" t="s">
        <v>8</v>
      </c>
      <c r="HR558" s="27" t="s">
        <v>7</v>
      </c>
      <c r="HS558" s="27" t="s">
        <v>8</v>
      </c>
      <c r="HT558" s="27" t="s">
        <v>7</v>
      </c>
      <c r="IC558" s="27" t="s">
        <v>8</v>
      </c>
    </row>
    <row r="559" spans="1:243" x14ac:dyDescent="0.25">
      <c r="A559" s="7">
        <v>1.7410242061739281</v>
      </c>
      <c r="B559"/>
      <c r="C559"/>
      <c r="D559"/>
      <c r="E559" t="s">
        <v>8</v>
      </c>
      <c r="J559" s="27" t="s">
        <v>7</v>
      </c>
      <c r="BE559" s="27" t="s">
        <v>8</v>
      </c>
      <c r="BF559" s="27" t="s">
        <v>7</v>
      </c>
      <c r="BG559" s="27" t="s">
        <v>8</v>
      </c>
      <c r="BH559" s="27" t="s">
        <v>7</v>
      </c>
      <c r="BI559" s="27" t="s">
        <v>8</v>
      </c>
      <c r="BT559" s="27" t="s">
        <v>7</v>
      </c>
      <c r="BU559" s="27" t="s">
        <v>8</v>
      </c>
      <c r="DH559" s="27" t="s">
        <v>7</v>
      </c>
      <c r="DI559" s="27" t="s">
        <v>8</v>
      </c>
      <c r="DJ559" s="27" t="s">
        <v>7</v>
      </c>
      <c r="DM559" s="27" t="s">
        <v>8</v>
      </c>
      <c r="DN559" s="27" t="s">
        <v>7</v>
      </c>
      <c r="DO559" s="27" t="s">
        <v>8</v>
      </c>
      <c r="DR559" s="27" t="s">
        <v>7</v>
      </c>
      <c r="DS559" s="27" t="s">
        <v>8</v>
      </c>
      <c r="DT559" s="27" t="s">
        <v>7</v>
      </c>
      <c r="DU559" s="27" t="s">
        <v>8</v>
      </c>
      <c r="DV559" s="27" t="s">
        <v>7</v>
      </c>
      <c r="DW559" s="27" t="s">
        <v>8</v>
      </c>
      <c r="DX559" s="27" t="s">
        <v>7</v>
      </c>
      <c r="DY559" s="27" t="s">
        <v>8</v>
      </c>
      <c r="DZ559" s="27" t="s">
        <v>7</v>
      </c>
      <c r="EA559" s="27" t="s">
        <v>8</v>
      </c>
      <c r="EM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ET559" s="27" t="s">
        <v>7</v>
      </c>
      <c r="EU559" s="27" t="s">
        <v>8</v>
      </c>
      <c r="EV559" s="27" t="s">
        <v>7</v>
      </c>
      <c r="EX559" s="27" t="s">
        <v>7</v>
      </c>
      <c r="FN559" s="27" t="s">
        <v>7</v>
      </c>
      <c r="FT559" s="27" t="s">
        <v>7</v>
      </c>
      <c r="FU559" s="27" t="s">
        <v>8</v>
      </c>
      <c r="FV559" s="27" t="s">
        <v>7</v>
      </c>
      <c r="FW559" s="27" t="s">
        <v>8</v>
      </c>
      <c r="FX559" s="27" t="s">
        <v>7</v>
      </c>
      <c r="GC559" s="27" t="s">
        <v>8</v>
      </c>
      <c r="GH559" s="27" t="s">
        <v>7</v>
      </c>
      <c r="GI559" s="27" t="s">
        <v>8</v>
      </c>
      <c r="HP559" s="27" t="s">
        <v>7</v>
      </c>
      <c r="HQ559" s="27" t="s">
        <v>8</v>
      </c>
      <c r="HR559" s="27" t="s">
        <v>7</v>
      </c>
      <c r="HS559" s="27" t="s">
        <v>8</v>
      </c>
      <c r="HT559" s="27" t="s">
        <v>7</v>
      </c>
      <c r="HU559" s="27" t="s">
        <v>8</v>
      </c>
      <c r="IC559" s="27" t="s">
        <v>8</v>
      </c>
      <c r="ID559" s="27" t="s">
        <v>7</v>
      </c>
    </row>
    <row r="560" spans="1:243" x14ac:dyDescent="0.25">
      <c r="A560" s="7">
        <v>1.7068864766411058</v>
      </c>
      <c r="B560"/>
      <c r="C560"/>
      <c r="D560"/>
      <c r="E560" t="s">
        <v>8</v>
      </c>
      <c r="J560" s="27" t="s">
        <v>7</v>
      </c>
      <c r="BE560" s="27" t="s">
        <v>8</v>
      </c>
      <c r="BF560" s="27" t="s">
        <v>7</v>
      </c>
      <c r="BG560" s="27" t="s">
        <v>8</v>
      </c>
      <c r="BH560" s="27" t="s">
        <v>7</v>
      </c>
      <c r="BI560" s="27" t="s">
        <v>8</v>
      </c>
      <c r="BT560" s="27" t="s">
        <v>7</v>
      </c>
      <c r="BU560" s="27" t="s">
        <v>8</v>
      </c>
      <c r="DH560" s="27" t="s">
        <v>7</v>
      </c>
      <c r="DI560" s="27" t="s">
        <v>8</v>
      </c>
      <c r="DJ560" s="27" t="s">
        <v>7</v>
      </c>
      <c r="DM560" s="27" t="s">
        <v>8</v>
      </c>
      <c r="DN560" s="27" t="s">
        <v>7</v>
      </c>
      <c r="DO560" s="27" t="s">
        <v>8</v>
      </c>
      <c r="DR560" s="27" t="s">
        <v>7</v>
      </c>
      <c r="DS560" s="27" t="s">
        <v>8</v>
      </c>
      <c r="DT560" s="27" t="s">
        <v>7</v>
      </c>
      <c r="DU560" s="27" t="s">
        <v>8</v>
      </c>
      <c r="DV560" s="27" t="s">
        <v>7</v>
      </c>
      <c r="DW560" s="27" t="s">
        <v>8</v>
      </c>
      <c r="DX560" s="27" t="s">
        <v>7</v>
      </c>
      <c r="DY560" s="27" t="s">
        <v>8</v>
      </c>
      <c r="DZ560" s="27" t="s">
        <v>7</v>
      </c>
      <c r="EA560" s="27" t="s">
        <v>8</v>
      </c>
      <c r="EB560" s="27" t="s">
        <v>7</v>
      </c>
      <c r="EM560" s="27" t="s">
        <v>8</v>
      </c>
      <c r="EN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ET560" s="27" t="s">
        <v>7</v>
      </c>
      <c r="EU560" s="27" t="s">
        <v>8</v>
      </c>
      <c r="FT560" s="27" t="s">
        <v>7</v>
      </c>
      <c r="FU560" s="27" t="s">
        <v>8</v>
      </c>
      <c r="FV560" s="27" t="s">
        <v>7</v>
      </c>
      <c r="FW560" s="27" t="s">
        <v>8</v>
      </c>
      <c r="FX560" s="27" t="s">
        <v>7</v>
      </c>
      <c r="GA560" s="27" t="s">
        <v>8</v>
      </c>
      <c r="GC560" s="27" t="s">
        <v>8</v>
      </c>
      <c r="GH560" s="27" t="s">
        <v>7</v>
      </c>
      <c r="GI560" s="27" t="s">
        <v>8</v>
      </c>
      <c r="HP560" s="27" t="s">
        <v>7</v>
      </c>
      <c r="HQ560" s="27" t="s">
        <v>8</v>
      </c>
      <c r="HR560" s="27" t="s">
        <v>7</v>
      </c>
      <c r="HS560" s="27" t="s">
        <v>8</v>
      </c>
      <c r="HT560" s="27" t="s">
        <v>7</v>
      </c>
      <c r="HU560" s="27" t="s">
        <v>8</v>
      </c>
      <c r="HV560" s="27" t="s">
        <v>7</v>
      </c>
      <c r="IA560" s="27" t="s">
        <v>8</v>
      </c>
      <c r="IC560" s="27" t="s">
        <v>8</v>
      </c>
      <c r="ID560" s="27" t="s">
        <v>7</v>
      </c>
      <c r="II560" s="27" t="s">
        <v>8</v>
      </c>
    </row>
    <row r="561" spans="1:250" x14ac:dyDescent="0.25">
      <c r="A561" s="7">
        <v>1.6734181143540252</v>
      </c>
      <c r="B561"/>
      <c r="C561"/>
      <c r="D561"/>
      <c r="E561" t="s">
        <v>8</v>
      </c>
      <c r="J561" s="27" t="s">
        <v>7</v>
      </c>
      <c r="BE561" s="27" t="s">
        <v>8</v>
      </c>
      <c r="BF561" s="27" t="s">
        <v>7</v>
      </c>
      <c r="BG561" s="27" t="s">
        <v>8</v>
      </c>
      <c r="BH561" s="27" t="s">
        <v>7</v>
      </c>
      <c r="BI561" s="27" t="s">
        <v>8</v>
      </c>
      <c r="BT561" s="27" t="s">
        <v>7</v>
      </c>
      <c r="BU561" s="27" t="s">
        <v>8</v>
      </c>
      <c r="DH561" s="27" t="s">
        <v>7</v>
      </c>
      <c r="DI561" s="27" t="s">
        <v>8</v>
      </c>
      <c r="DJ561" s="27" t="s">
        <v>7</v>
      </c>
      <c r="DM561" s="27" t="s">
        <v>8</v>
      </c>
      <c r="DN561" s="27" t="s">
        <v>7</v>
      </c>
      <c r="DO561" s="27" t="s">
        <v>8</v>
      </c>
      <c r="DR561" s="27" t="s">
        <v>7</v>
      </c>
      <c r="DS561" s="27" t="s">
        <v>8</v>
      </c>
      <c r="DT561" s="27" t="s">
        <v>7</v>
      </c>
      <c r="DU561" s="27" t="s">
        <v>8</v>
      </c>
      <c r="DV561" s="27" t="s">
        <v>7</v>
      </c>
      <c r="DW561" s="27" t="s">
        <v>8</v>
      </c>
      <c r="DX561" s="27" t="s">
        <v>7</v>
      </c>
      <c r="DY561" s="27" t="s">
        <v>8</v>
      </c>
      <c r="DZ561" s="27" t="s">
        <v>7</v>
      </c>
      <c r="EA561" s="27" t="s">
        <v>8</v>
      </c>
      <c r="EB561" s="27" t="s">
        <v>7</v>
      </c>
      <c r="EM561" s="27" t="s">
        <v>8</v>
      </c>
      <c r="EN561" s="27" t="s">
        <v>7</v>
      </c>
      <c r="EO561" s="27" t="s">
        <v>8</v>
      </c>
      <c r="EP561" s="27" t="s">
        <v>7</v>
      </c>
      <c r="EQ561" s="27" t="s">
        <v>8</v>
      </c>
      <c r="ER561" s="27" t="s">
        <v>7</v>
      </c>
      <c r="ES561" s="27" t="s">
        <v>8</v>
      </c>
      <c r="ET561" s="27" t="s">
        <v>7</v>
      </c>
      <c r="FT561" s="27" t="s">
        <v>7</v>
      </c>
      <c r="FU561" s="27" t="s">
        <v>8</v>
      </c>
      <c r="FV561" s="27" t="s">
        <v>7</v>
      </c>
      <c r="FW561" s="27" t="s">
        <v>8</v>
      </c>
      <c r="FX561" s="27" t="s">
        <v>7</v>
      </c>
      <c r="FY561" s="27" t="s">
        <v>8</v>
      </c>
      <c r="GA561" s="27" t="s">
        <v>8</v>
      </c>
      <c r="GB561" s="27" t="s">
        <v>7</v>
      </c>
      <c r="GC561" s="27" t="s">
        <v>8</v>
      </c>
      <c r="GH561" s="27" t="s">
        <v>7</v>
      </c>
      <c r="GI561" s="27" t="s">
        <v>8</v>
      </c>
      <c r="HP561" s="27" t="s">
        <v>7</v>
      </c>
      <c r="HQ561" s="27" t="s">
        <v>8</v>
      </c>
      <c r="HR561" s="27" t="s">
        <v>7</v>
      </c>
      <c r="HS561" s="27" t="s">
        <v>8</v>
      </c>
      <c r="HT561" s="27" t="s">
        <v>7</v>
      </c>
      <c r="HU561" s="27" t="s">
        <v>8</v>
      </c>
      <c r="HV561" s="27" t="s">
        <v>7</v>
      </c>
      <c r="IA561" s="27" t="s">
        <v>8</v>
      </c>
      <c r="IB561" s="27" t="s">
        <v>7</v>
      </c>
      <c r="IC561" s="27" t="s">
        <v>8</v>
      </c>
      <c r="ID561" s="27" t="s">
        <v>7</v>
      </c>
      <c r="IG561" s="27" t="s">
        <v>8</v>
      </c>
      <c r="II561" s="27" t="s">
        <v>8</v>
      </c>
      <c r="IJ561" s="27" t="s">
        <v>7</v>
      </c>
    </row>
    <row r="562" spans="1:250" x14ac:dyDescent="0.25">
      <c r="A562" s="7">
        <v>1.6406059944647307</v>
      </c>
      <c r="B562"/>
      <c r="C562"/>
      <c r="D562"/>
      <c r="E562" t="s">
        <v>8</v>
      </c>
      <c r="J562" s="27" t="s">
        <v>7</v>
      </c>
      <c r="K562" s="27" t="s">
        <v>8</v>
      </c>
      <c r="BE562" s="27" t="s">
        <v>8</v>
      </c>
      <c r="BF562" s="27" t="s">
        <v>7</v>
      </c>
      <c r="BG562" s="27" t="s">
        <v>8</v>
      </c>
      <c r="BH562" s="27" t="s">
        <v>7</v>
      </c>
      <c r="BI562" s="27" t="s">
        <v>8</v>
      </c>
      <c r="BT562" s="27" t="s">
        <v>7</v>
      </c>
      <c r="BU562" s="27" t="s">
        <v>8</v>
      </c>
      <c r="DH562" s="27" t="s">
        <v>7</v>
      </c>
      <c r="DI562" s="27" t="s">
        <v>8</v>
      </c>
      <c r="DJ562" s="27" t="s">
        <v>7</v>
      </c>
      <c r="DM562" s="27" t="s">
        <v>8</v>
      </c>
      <c r="DN562" s="27" t="s">
        <v>7</v>
      </c>
      <c r="DO562" s="27" t="s">
        <v>8</v>
      </c>
      <c r="DR562" s="27" t="s">
        <v>7</v>
      </c>
      <c r="DT562" s="27" t="s">
        <v>7</v>
      </c>
      <c r="DU562" s="27" t="s">
        <v>8</v>
      </c>
      <c r="DV562" s="27" t="s">
        <v>7</v>
      </c>
      <c r="DW562" s="27" t="s">
        <v>8</v>
      </c>
      <c r="DX562" s="27" t="s">
        <v>7</v>
      </c>
      <c r="DY562" s="27" t="s">
        <v>8</v>
      </c>
      <c r="DZ562" s="27" t="s">
        <v>7</v>
      </c>
      <c r="EA562" s="27" t="s">
        <v>8</v>
      </c>
      <c r="EB562" s="27" t="s">
        <v>7</v>
      </c>
      <c r="EM562" s="27" t="s">
        <v>8</v>
      </c>
      <c r="EN562" s="27" t="s">
        <v>7</v>
      </c>
      <c r="EO562" s="27" t="s">
        <v>8</v>
      </c>
      <c r="EP562" s="27" t="s">
        <v>7</v>
      </c>
      <c r="ER562" s="27" t="s">
        <v>7</v>
      </c>
      <c r="ES562" s="27" t="s">
        <v>8</v>
      </c>
      <c r="FT562" s="27" t="s">
        <v>7</v>
      </c>
      <c r="FU562" s="27" t="s">
        <v>8</v>
      </c>
      <c r="FV562" s="27" t="s">
        <v>7</v>
      </c>
      <c r="FW562" s="27" t="s">
        <v>8</v>
      </c>
      <c r="FX562" s="27" t="s">
        <v>7</v>
      </c>
      <c r="FY562" s="27" t="s">
        <v>8</v>
      </c>
      <c r="FZ562" s="27" t="s">
        <v>7</v>
      </c>
      <c r="GA562" s="27" t="s">
        <v>8</v>
      </c>
      <c r="GB562" s="27" t="s">
        <v>7</v>
      </c>
      <c r="GC562" s="27" t="s">
        <v>8</v>
      </c>
      <c r="GH562" s="27" t="s">
        <v>7</v>
      </c>
      <c r="HP562" s="27" t="s">
        <v>7</v>
      </c>
      <c r="HQ562" s="27" t="s">
        <v>8</v>
      </c>
      <c r="HR562" s="27" t="s">
        <v>7</v>
      </c>
      <c r="HS562" s="27" t="s">
        <v>8</v>
      </c>
      <c r="HT562" s="27" t="s">
        <v>7</v>
      </c>
      <c r="HU562" s="27" t="s">
        <v>8</v>
      </c>
      <c r="HV562" s="27" t="s">
        <v>7</v>
      </c>
      <c r="IA562" s="27" t="s">
        <v>8</v>
      </c>
      <c r="IB562" s="27" t="s">
        <v>7</v>
      </c>
      <c r="IC562" s="27" t="s">
        <v>8</v>
      </c>
      <c r="ID562" s="27" t="s">
        <v>7</v>
      </c>
      <c r="IG562" s="27" t="s">
        <v>8</v>
      </c>
      <c r="IH562" s="27" t="s">
        <v>7</v>
      </c>
      <c r="II562" s="27" t="s">
        <v>8</v>
      </c>
      <c r="IJ562" s="27" t="s">
        <v>7</v>
      </c>
    </row>
    <row r="563" spans="1:250" x14ac:dyDescent="0.25">
      <c r="A563" s="7">
        <v>1.6084372494752261</v>
      </c>
      <c r="B563"/>
      <c r="C563"/>
      <c r="D563"/>
      <c r="E563" t="s">
        <v>8</v>
      </c>
      <c r="J563" s="27" t="s">
        <v>7</v>
      </c>
      <c r="K563" s="27" t="s">
        <v>8</v>
      </c>
      <c r="L563" s="27" t="s">
        <v>7</v>
      </c>
      <c r="BE563" s="27" t="s">
        <v>8</v>
      </c>
      <c r="BF563" s="27" t="s">
        <v>7</v>
      </c>
      <c r="BG563" s="27" t="s">
        <v>8</v>
      </c>
      <c r="BH563" s="27" t="s">
        <v>7</v>
      </c>
      <c r="BI563" s="27" t="s">
        <v>8</v>
      </c>
      <c r="BT563" s="27" t="s">
        <v>7</v>
      </c>
      <c r="BU563" s="27" t="s">
        <v>8</v>
      </c>
      <c r="DH563" s="27" t="s">
        <v>7</v>
      </c>
      <c r="DI563" s="27" t="s">
        <v>8</v>
      </c>
      <c r="DJ563" s="27" t="s">
        <v>7</v>
      </c>
      <c r="DM563" s="27" t="s">
        <v>8</v>
      </c>
      <c r="DN563" s="27" t="s">
        <v>7</v>
      </c>
      <c r="DO563" s="27" t="s">
        <v>8</v>
      </c>
      <c r="DT563" s="27" t="s">
        <v>7</v>
      </c>
      <c r="DU563" s="27" t="s">
        <v>8</v>
      </c>
      <c r="DV563" s="27" t="s">
        <v>7</v>
      </c>
      <c r="DX563" s="27" t="s">
        <v>7</v>
      </c>
      <c r="DY563" s="27" t="s">
        <v>8</v>
      </c>
      <c r="DZ563" s="27" t="s">
        <v>7</v>
      </c>
      <c r="EB563" s="27" t="s">
        <v>7</v>
      </c>
      <c r="EM563" s="27" t="s">
        <v>8</v>
      </c>
      <c r="EN563" s="27" t="s">
        <v>7</v>
      </c>
      <c r="EO563" s="27" t="s">
        <v>8</v>
      </c>
      <c r="ER563" s="27" t="s">
        <v>7</v>
      </c>
      <c r="FT563" s="27" t="s">
        <v>7</v>
      </c>
      <c r="FU563" s="27" t="s">
        <v>8</v>
      </c>
      <c r="FV563" s="27" t="s">
        <v>7</v>
      </c>
      <c r="FW563" s="27" t="s">
        <v>8</v>
      </c>
      <c r="FX563" s="27" t="s">
        <v>7</v>
      </c>
      <c r="FY563" s="27" t="s">
        <v>8</v>
      </c>
      <c r="FZ563" s="27" t="s">
        <v>7</v>
      </c>
      <c r="GA563" s="27" t="s">
        <v>8</v>
      </c>
      <c r="GB563" s="27" t="s">
        <v>7</v>
      </c>
      <c r="GC563" s="27" t="s">
        <v>8</v>
      </c>
      <c r="HP563" s="27" t="s">
        <v>7</v>
      </c>
      <c r="HQ563" s="27" t="s">
        <v>8</v>
      </c>
      <c r="HR563" s="27" t="s">
        <v>7</v>
      </c>
      <c r="HS563" s="27" t="s">
        <v>8</v>
      </c>
      <c r="HT563" s="27" t="s">
        <v>7</v>
      </c>
      <c r="HU563" s="27" t="s">
        <v>8</v>
      </c>
      <c r="HV563" s="27" t="s">
        <v>7</v>
      </c>
      <c r="IA563" s="27" t="s">
        <v>8</v>
      </c>
      <c r="IB563" s="27" t="s">
        <v>7</v>
      </c>
      <c r="IC563" s="27" t="s">
        <v>8</v>
      </c>
      <c r="ID563" s="27" t="s">
        <v>7</v>
      </c>
      <c r="IE563" s="27" t="s">
        <v>8</v>
      </c>
      <c r="IG563" s="27" t="s">
        <v>8</v>
      </c>
      <c r="IH563" s="27" t="s">
        <v>7</v>
      </c>
      <c r="II563" s="27" t="s">
        <v>8</v>
      </c>
      <c r="IJ563" s="27" t="s">
        <v>7</v>
      </c>
    </row>
    <row r="564" spans="1:250" x14ac:dyDescent="0.25">
      <c r="A564" s="7">
        <v>1.5768992641913981</v>
      </c>
      <c r="B564"/>
      <c r="C564"/>
      <c r="D564"/>
      <c r="E564" t="s">
        <v>8</v>
      </c>
      <c r="J564" s="27" t="s">
        <v>7</v>
      </c>
      <c r="K564" s="27" t="s">
        <v>8</v>
      </c>
      <c r="L564" s="27" t="s">
        <v>7</v>
      </c>
      <c r="AM564" s="27" t="s">
        <v>8</v>
      </c>
      <c r="BC564" s="27" t="s">
        <v>8</v>
      </c>
      <c r="BE564" s="27" t="s">
        <v>8</v>
      </c>
      <c r="BF564" s="27" t="s">
        <v>7</v>
      </c>
      <c r="BG564" s="27" t="s">
        <v>8</v>
      </c>
      <c r="BH564" s="27" t="s">
        <v>7</v>
      </c>
      <c r="BI564" s="27" t="s">
        <v>8</v>
      </c>
      <c r="BT564" s="27" t="s">
        <v>7</v>
      </c>
      <c r="BU564" s="27" t="s">
        <v>8</v>
      </c>
      <c r="DH564" s="27" t="s">
        <v>7</v>
      </c>
      <c r="DI564" s="27" t="s">
        <v>8</v>
      </c>
      <c r="DJ564" s="27" t="s">
        <v>7</v>
      </c>
      <c r="DM564" s="27" t="s">
        <v>8</v>
      </c>
      <c r="DN564" s="27" t="s">
        <v>7</v>
      </c>
      <c r="DO564" s="27" t="s">
        <v>8</v>
      </c>
      <c r="DT564" s="27" t="s">
        <v>7</v>
      </c>
      <c r="DU564" s="27" t="s">
        <v>8</v>
      </c>
      <c r="DX564" s="27" t="s">
        <v>7</v>
      </c>
      <c r="DY564" s="27" t="s">
        <v>8</v>
      </c>
      <c r="EB564" s="27" t="s">
        <v>7</v>
      </c>
      <c r="EM564" s="27" t="s">
        <v>8</v>
      </c>
      <c r="EN564" s="27" t="s">
        <v>7</v>
      </c>
      <c r="EO564" s="27" t="s">
        <v>8</v>
      </c>
      <c r="FT564" s="27" t="s">
        <v>7</v>
      </c>
      <c r="FU564" s="27" t="s">
        <v>8</v>
      </c>
      <c r="FV564" s="27" t="s">
        <v>7</v>
      </c>
      <c r="FW564" s="27" t="s">
        <v>8</v>
      </c>
      <c r="FX564" s="27" t="s">
        <v>7</v>
      </c>
      <c r="FY564" s="27" t="s">
        <v>8</v>
      </c>
      <c r="FZ564" s="27" t="s">
        <v>7</v>
      </c>
      <c r="GA564" s="27" t="s">
        <v>8</v>
      </c>
      <c r="GB564" s="27" t="s">
        <v>7</v>
      </c>
      <c r="HP564" s="27" t="s">
        <v>7</v>
      </c>
      <c r="HQ564" s="27" t="s">
        <v>8</v>
      </c>
      <c r="HR564" s="27" t="s">
        <v>7</v>
      </c>
      <c r="HS564" s="27" t="s">
        <v>8</v>
      </c>
      <c r="HT564" s="27" t="s">
        <v>7</v>
      </c>
      <c r="HU564" s="27" t="s">
        <v>8</v>
      </c>
      <c r="HV564" s="27" t="s">
        <v>7</v>
      </c>
      <c r="HY564" s="27" t="s">
        <v>8</v>
      </c>
      <c r="IA564" s="27" t="s">
        <v>8</v>
      </c>
      <c r="IB564" s="27" t="s">
        <v>7</v>
      </c>
      <c r="ID564" s="27" t="s">
        <v>7</v>
      </c>
      <c r="IE564" s="27" t="s">
        <v>8</v>
      </c>
      <c r="IF564" s="27" t="s">
        <v>7</v>
      </c>
      <c r="IG564" s="27" t="s">
        <v>8</v>
      </c>
      <c r="IH564" s="27" t="s">
        <v>7</v>
      </c>
      <c r="IJ564" s="27" t="s">
        <v>7</v>
      </c>
    </row>
    <row r="565" spans="1:250" x14ac:dyDescent="0.25">
      <c r="A565" s="7">
        <v>1.5459796707758806</v>
      </c>
      <c r="B565"/>
      <c r="C565"/>
      <c r="D565"/>
      <c r="E565" t="s">
        <v>8</v>
      </c>
      <c r="J565" s="27" t="s">
        <v>7</v>
      </c>
      <c r="K565" s="27" t="s">
        <v>8</v>
      </c>
      <c r="L565" s="27" t="s">
        <v>7</v>
      </c>
      <c r="AM565" s="27" t="s">
        <v>8</v>
      </c>
      <c r="AN565" s="27" t="s">
        <v>7</v>
      </c>
      <c r="BC565" s="27" t="s">
        <v>8</v>
      </c>
      <c r="BD565" s="27" t="s">
        <v>7</v>
      </c>
      <c r="BE565" s="27" t="s">
        <v>8</v>
      </c>
      <c r="BF565" s="27" t="s">
        <v>7</v>
      </c>
      <c r="BG565" s="27" t="s">
        <v>8</v>
      </c>
      <c r="BH565" s="27" t="s">
        <v>7</v>
      </c>
      <c r="BI565" s="27" t="s">
        <v>8</v>
      </c>
      <c r="BT565" s="27" t="s">
        <v>7</v>
      </c>
      <c r="DH565" s="27" t="s">
        <v>7</v>
      </c>
      <c r="DI565" s="27" t="s">
        <v>8</v>
      </c>
      <c r="DJ565" s="27" t="s">
        <v>7</v>
      </c>
      <c r="DK565" s="27" t="s">
        <v>8</v>
      </c>
      <c r="DM565" s="27" t="s">
        <v>8</v>
      </c>
      <c r="DN565" s="27" t="s">
        <v>7</v>
      </c>
      <c r="DO565" s="27" t="s">
        <v>8</v>
      </c>
      <c r="DT565" s="27" t="s">
        <v>7</v>
      </c>
      <c r="DU565" s="27" t="s">
        <v>8</v>
      </c>
      <c r="DX565" s="27" t="s">
        <v>7</v>
      </c>
      <c r="DY565" s="27" t="s">
        <v>8</v>
      </c>
      <c r="EB565" s="27" t="s">
        <v>7</v>
      </c>
      <c r="EM565" s="27" t="s">
        <v>8</v>
      </c>
      <c r="EN565" s="27" t="s">
        <v>7</v>
      </c>
      <c r="EO565" s="27" t="s">
        <v>8</v>
      </c>
      <c r="FT565" s="27" t="s">
        <v>7</v>
      </c>
      <c r="FU565" s="27" t="s">
        <v>8</v>
      </c>
      <c r="FV565" s="27" t="s">
        <v>7</v>
      </c>
      <c r="FW565" s="27" t="s">
        <v>8</v>
      </c>
      <c r="FX565" s="27" t="s">
        <v>7</v>
      </c>
      <c r="FY565" s="27" t="s">
        <v>8</v>
      </c>
      <c r="FZ565" s="27" t="s">
        <v>7</v>
      </c>
      <c r="GA565" s="27" t="s">
        <v>8</v>
      </c>
      <c r="HP565" s="27" t="s">
        <v>7</v>
      </c>
      <c r="HQ565" s="27" t="s">
        <v>8</v>
      </c>
      <c r="HR565" s="27" t="s">
        <v>7</v>
      </c>
      <c r="HS565" s="27" t="s">
        <v>8</v>
      </c>
      <c r="HT565" s="27" t="s">
        <v>7</v>
      </c>
      <c r="HV565" s="27" t="s">
        <v>7</v>
      </c>
      <c r="HW565" s="27" t="s">
        <v>8</v>
      </c>
      <c r="HY565" s="27" t="s">
        <v>8</v>
      </c>
      <c r="HZ565" s="27" t="s">
        <v>7</v>
      </c>
      <c r="IA565" s="27" t="s">
        <v>8</v>
      </c>
      <c r="ID565" s="27" t="s">
        <v>7</v>
      </c>
      <c r="IE565" s="27" t="s">
        <v>8</v>
      </c>
      <c r="IF565" s="27" t="s">
        <v>7</v>
      </c>
      <c r="IG565" s="27" t="s">
        <v>8</v>
      </c>
      <c r="IJ565" s="27" t="s">
        <v>7</v>
      </c>
    </row>
    <row r="566" spans="1:250" x14ac:dyDescent="0.25">
      <c r="A566" s="7">
        <v>1.5156663438979221</v>
      </c>
      <c r="B566"/>
      <c r="C566"/>
      <c r="D566"/>
      <c r="E566" t="s">
        <v>8</v>
      </c>
      <c r="J566" s="27" t="s">
        <v>7</v>
      </c>
      <c r="K566" s="27" t="s">
        <v>8</v>
      </c>
      <c r="L566" s="27" t="s">
        <v>7</v>
      </c>
      <c r="AM566" s="27" t="s">
        <v>8</v>
      </c>
      <c r="AN566" s="27" t="s">
        <v>7</v>
      </c>
      <c r="BC566" s="27" t="s">
        <v>8</v>
      </c>
      <c r="BD566" s="27" t="s">
        <v>7</v>
      </c>
      <c r="BE566" s="27" t="s">
        <v>8</v>
      </c>
      <c r="BF566" s="27" t="s">
        <v>7</v>
      </c>
      <c r="BG566" s="27" t="s">
        <v>8</v>
      </c>
      <c r="BH566" s="27" t="s">
        <v>7</v>
      </c>
      <c r="BI566" s="27" t="s">
        <v>8</v>
      </c>
      <c r="DH566" s="27" t="s">
        <v>7</v>
      </c>
      <c r="DI566" s="27" t="s">
        <v>8</v>
      </c>
      <c r="DJ566" s="27" t="s">
        <v>7</v>
      </c>
      <c r="DK566" s="27" t="s">
        <v>8</v>
      </c>
      <c r="DL566" s="27" t="s">
        <v>7</v>
      </c>
      <c r="DM566" s="27" t="s">
        <v>8</v>
      </c>
      <c r="DN566" s="27" t="s">
        <v>7</v>
      </c>
      <c r="DT566" s="27" t="s">
        <v>7</v>
      </c>
      <c r="DU566" s="27" t="s">
        <v>8</v>
      </c>
      <c r="DX566" s="27" t="s">
        <v>7</v>
      </c>
      <c r="DY566" s="27" t="s">
        <v>8</v>
      </c>
      <c r="EB566" s="27" t="s">
        <v>7</v>
      </c>
      <c r="EM566" s="27" t="s">
        <v>8</v>
      </c>
      <c r="EN566" s="27" t="s">
        <v>7</v>
      </c>
      <c r="EO566" s="27" t="s">
        <v>8</v>
      </c>
      <c r="FT566" s="27" t="s">
        <v>7</v>
      </c>
      <c r="FU566" s="27" t="s">
        <v>8</v>
      </c>
      <c r="FV566" s="27" t="s">
        <v>7</v>
      </c>
      <c r="FW566" s="27" t="s">
        <v>8</v>
      </c>
      <c r="FX566" s="27" t="s">
        <v>7</v>
      </c>
      <c r="FY566" s="27" t="s">
        <v>8</v>
      </c>
      <c r="FZ566" s="27" t="s">
        <v>7</v>
      </c>
      <c r="HP566" s="27" t="s">
        <v>7</v>
      </c>
      <c r="HQ566" s="27" t="s">
        <v>8</v>
      </c>
      <c r="HR566" s="27" t="s">
        <v>7</v>
      </c>
      <c r="HS566" s="27" t="s">
        <v>8</v>
      </c>
      <c r="HV566" s="27" t="s">
        <v>7</v>
      </c>
      <c r="HW566" s="27" t="s">
        <v>8</v>
      </c>
      <c r="HX566" s="27" t="s">
        <v>7</v>
      </c>
      <c r="HY566" s="27" t="s">
        <v>8</v>
      </c>
      <c r="HZ566" s="27" t="s">
        <v>7</v>
      </c>
      <c r="IA566" s="27" t="s">
        <v>8</v>
      </c>
      <c r="ID566" s="27" t="s">
        <v>7</v>
      </c>
      <c r="IF566" s="27" t="s">
        <v>7</v>
      </c>
      <c r="IJ566" s="27" t="s">
        <v>7</v>
      </c>
    </row>
    <row r="567" spans="1:250" x14ac:dyDescent="0.25">
      <c r="A567" s="7">
        <v>1.4859473959783549</v>
      </c>
      <c r="B567"/>
      <c r="C567"/>
      <c r="D567"/>
      <c r="E567" t="s">
        <v>8</v>
      </c>
      <c r="J567" s="27" t="s">
        <v>7</v>
      </c>
      <c r="K567" s="27" t="s">
        <v>8</v>
      </c>
      <c r="L567" s="27" t="s">
        <v>7</v>
      </c>
      <c r="AE567" s="27" t="s">
        <v>8</v>
      </c>
      <c r="AM567" s="27" t="s">
        <v>8</v>
      </c>
      <c r="AN567" s="27" t="s">
        <v>7</v>
      </c>
      <c r="BC567" s="27" t="s">
        <v>8</v>
      </c>
      <c r="BD567" s="27" t="s">
        <v>7</v>
      </c>
      <c r="BE567" s="27" t="s">
        <v>8</v>
      </c>
      <c r="BF567" s="27" t="s">
        <v>7</v>
      </c>
      <c r="BG567" s="27" t="s">
        <v>8</v>
      </c>
      <c r="BH567" s="27" t="s">
        <v>7</v>
      </c>
      <c r="BI567" s="27" t="s">
        <v>8</v>
      </c>
      <c r="DH567" s="27" t="s">
        <v>7</v>
      </c>
      <c r="DI567" s="27" t="s">
        <v>8</v>
      </c>
      <c r="DJ567" s="27" t="s">
        <v>7</v>
      </c>
      <c r="DK567" s="27" t="s">
        <v>8</v>
      </c>
      <c r="DL567" s="27" t="s">
        <v>7</v>
      </c>
      <c r="DM567" s="27" t="s">
        <v>8</v>
      </c>
      <c r="DT567" s="27" t="s">
        <v>7</v>
      </c>
      <c r="DU567" s="27" t="s">
        <v>8</v>
      </c>
      <c r="DX567" s="27" t="s">
        <v>7</v>
      </c>
      <c r="EB567" s="27" t="s">
        <v>7</v>
      </c>
      <c r="EM567" s="27" t="s">
        <v>8</v>
      </c>
      <c r="EN567" s="27" t="s">
        <v>7</v>
      </c>
      <c r="EO567" s="27" t="s">
        <v>8</v>
      </c>
      <c r="FT567" s="27" t="s">
        <v>7</v>
      </c>
      <c r="FU567" s="27" t="s">
        <v>8</v>
      </c>
      <c r="FV567" s="27" t="s">
        <v>7</v>
      </c>
      <c r="FX567" s="27" t="s">
        <v>7</v>
      </c>
      <c r="HP567" s="27" t="s">
        <v>7</v>
      </c>
      <c r="HQ567" s="27" t="s">
        <v>8</v>
      </c>
      <c r="HR567" s="27" t="s">
        <v>7</v>
      </c>
      <c r="HS567" s="27" t="s">
        <v>8</v>
      </c>
      <c r="HV567" s="27" t="s">
        <v>7</v>
      </c>
      <c r="HW567" s="27" t="s">
        <v>8</v>
      </c>
      <c r="HX567" s="27" t="s">
        <v>7</v>
      </c>
      <c r="HY567" s="27" t="s">
        <v>8</v>
      </c>
      <c r="HZ567" s="27" t="s">
        <v>7</v>
      </c>
      <c r="IA567" s="27" t="s">
        <v>8</v>
      </c>
      <c r="IJ567" s="27" t="s">
        <v>7</v>
      </c>
    </row>
    <row r="568" spans="1:250" x14ac:dyDescent="0.25">
      <c r="A568" s="7">
        <v>1.4568111725277988</v>
      </c>
      <c r="B568"/>
      <c r="C568"/>
      <c r="D568"/>
      <c r="E568" t="s">
        <v>8</v>
      </c>
      <c r="J568" s="27" t="s">
        <v>7</v>
      </c>
      <c r="K568" s="27" t="s">
        <v>8</v>
      </c>
      <c r="L568" s="27" t="s">
        <v>7</v>
      </c>
      <c r="AE568" s="27" t="s">
        <v>8</v>
      </c>
      <c r="AF568" s="27" t="s">
        <v>7</v>
      </c>
      <c r="AM568" s="27" t="s">
        <v>8</v>
      </c>
      <c r="AN568" s="27" t="s">
        <v>7</v>
      </c>
      <c r="BC568" s="27" t="s">
        <v>8</v>
      </c>
      <c r="BD568" s="27" t="s">
        <v>7</v>
      </c>
      <c r="BE568" s="27" t="s">
        <v>8</v>
      </c>
      <c r="BF568" s="27" t="s">
        <v>7</v>
      </c>
      <c r="BG568" s="27" t="s">
        <v>8</v>
      </c>
      <c r="BH568" s="27" t="s">
        <v>7</v>
      </c>
      <c r="BI568" s="27" t="s">
        <v>8</v>
      </c>
      <c r="DH568" s="27" t="s">
        <v>7</v>
      </c>
      <c r="DI568" s="27" t="s">
        <v>8</v>
      </c>
      <c r="DJ568" s="27" t="s">
        <v>7</v>
      </c>
      <c r="DK568" s="27" t="s">
        <v>8</v>
      </c>
      <c r="DL568" s="27" t="s">
        <v>7</v>
      </c>
      <c r="DM568" s="27" t="s">
        <v>8</v>
      </c>
      <c r="DT568" s="27" t="s">
        <v>7</v>
      </c>
      <c r="DU568" s="27" t="s">
        <v>8</v>
      </c>
      <c r="EB568" s="27" t="s">
        <v>7</v>
      </c>
      <c r="EM568" s="27" t="s">
        <v>8</v>
      </c>
      <c r="EN568" s="27" t="s">
        <v>7</v>
      </c>
      <c r="EO568" s="27" t="s">
        <v>8</v>
      </c>
      <c r="FT568" s="27" t="s">
        <v>7</v>
      </c>
      <c r="FU568" s="27" t="s">
        <v>8</v>
      </c>
      <c r="HP568" s="27" t="s">
        <v>7</v>
      </c>
      <c r="HQ568" s="27" t="s">
        <v>8</v>
      </c>
      <c r="HR568" s="27" t="s">
        <v>7</v>
      </c>
      <c r="HV568" s="27" t="s">
        <v>7</v>
      </c>
      <c r="HW568" s="27" t="s">
        <v>8</v>
      </c>
      <c r="HX568" s="27" t="s">
        <v>7</v>
      </c>
      <c r="HY568" s="27" t="s">
        <v>8</v>
      </c>
      <c r="HZ568" s="27" t="s">
        <v>7</v>
      </c>
      <c r="IA568" s="27" t="s">
        <v>8</v>
      </c>
      <c r="IJ568" s="27" t="s">
        <v>7</v>
      </c>
    </row>
    <row r="569" spans="1:250" x14ac:dyDescent="0.25">
      <c r="A569" s="7">
        <v>1.4282462475762734</v>
      </c>
      <c r="B569"/>
      <c r="C569"/>
      <c r="D569"/>
      <c r="E569" t="s">
        <v>8</v>
      </c>
      <c r="J569" s="27" t="s">
        <v>7</v>
      </c>
      <c r="K569" s="27" t="s">
        <v>8</v>
      </c>
      <c r="L569" s="27" t="s">
        <v>7</v>
      </c>
      <c r="AE569" s="27" t="s">
        <v>8</v>
      </c>
      <c r="AF569" s="27" t="s">
        <v>7</v>
      </c>
      <c r="AM569" s="27" t="s">
        <v>8</v>
      </c>
      <c r="AN569" s="27" t="s">
        <v>7</v>
      </c>
      <c r="BC569" s="27" t="s">
        <v>8</v>
      </c>
      <c r="BD569" s="27" t="s">
        <v>7</v>
      </c>
      <c r="BE569" s="27" t="s">
        <v>8</v>
      </c>
      <c r="BF569" s="27" t="s">
        <v>7</v>
      </c>
      <c r="BG569" s="27" t="s">
        <v>8</v>
      </c>
      <c r="BH569" s="27" t="s">
        <v>7</v>
      </c>
      <c r="DH569" s="27" t="s">
        <v>7</v>
      </c>
      <c r="DI569" s="27" t="s">
        <v>8</v>
      </c>
      <c r="DJ569" s="27" t="s">
        <v>7</v>
      </c>
      <c r="DK569" s="27" t="s">
        <v>8</v>
      </c>
      <c r="DL569" s="27" t="s">
        <v>7</v>
      </c>
      <c r="DM569" s="27" t="s">
        <v>8</v>
      </c>
      <c r="DT569" s="27" t="s">
        <v>7</v>
      </c>
      <c r="EB569" s="27" t="s">
        <v>7</v>
      </c>
      <c r="EM569" s="27" t="s">
        <v>8</v>
      </c>
      <c r="EN569" s="27" t="s">
        <v>7</v>
      </c>
      <c r="EO569" s="27" t="s">
        <v>8</v>
      </c>
      <c r="FT569" s="27" t="s">
        <v>7</v>
      </c>
      <c r="HP569" s="27" t="s">
        <v>7</v>
      </c>
      <c r="HV569" s="27" t="s">
        <v>7</v>
      </c>
      <c r="HW569" s="27" t="s">
        <v>8</v>
      </c>
      <c r="HX569" s="27" t="s">
        <v>7</v>
      </c>
      <c r="HY569" s="27" t="s">
        <v>8</v>
      </c>
      <c r="HZ569" s="27" t="s">
        <v>7</v>
      </c>
      <c r="IA569" s="27" t="s">
        <v>8</v>
      </c>
      <c r="IJ569" s="27" t="s">
        <v>7</v>
      </c>
      <c r="IK569" s="27" t="s">
        <v>8</v>
      </c>
    </row>
    <row r="570" spans="1:250" x14ac:dyDescent="0.25">
      <c r="A570" s="7">
        <v>1.4002414191924248</v>
      </c>
      <c r="B570"/>
      <c r="C570"/>
      <c r="D570"/>
      <c r="E570" t="s">
        <v>8</v>
      </c>
      <c r="J570" s="27" t="s">
        <v>7</v>
      </c>
      <c r="K570" s="27" t="s">
        <v>8</v>
      </c>
      <c r="L570" s="27" t="s">
        <v>7</v>
      </c>
      <c r="AC570" s="27" t="s">
        <v>8</v>
      </c>
      <c r="AE570" s="27" t="s">
        <v>8</v>
      </c>
      <c r="AF570" s="27" t="s">
        <v>7</v>
      </c>
      <c r="AM570" s="27" t="s">
        <v>8</v>
      </c>
      <c r="AN570" s="27" t="s">
        <v>7</v>
      </c>
      <c r="BC570" s="27" t="s">
        <v>8</v>
      </c>
      <c r="BD570" s="27" t="s">
        <v>7</v>
      </c>
      <c r="BE570" s="27" t="s">
        <v>8</v>
      </c>
      <c r="BF570" s="27" t="s">
        <v>7</v>
      </c>
      <c r="BG570" s="27" t="s">
        <v>8</v>
      </c>
      <c r="DH570" s="27" t="s">
        <v>7</v>
      </c>
      <c r="DI570" s="27" t="s">
        <v>8</v>
      </c>
      <c r="DJ570" s="27" t="s">
        <v>7</v>
      </c>
      <c r="DK570" s="27" t="s">
        <v>8</v>
      </c>
      <c r="DL570" s="27" t="s">
        <v>7</v>
      </c>
      <c r="DM570" s="27" t="s">
        <v>8</v>
      </c>
      <c r="EB570" s="27" t="s">
        <v>7</v>
      </c>
      <c r="EM570" s="27" t="s">
        <v>8</v>
      </c>
      <c r="EN570" s="27" t="s">
        <v>7</v>
      </c>
      <c r="EO570" s="27" t="s">
        <v>8</v>
      </c>
      <c r="HV570" s="27" t="s">
        <v>7</v>
      </c>
      <c r="HW570" s="27" t="s">
        <v>8</v>
      </c>
      <c r="HX570" s="27" t="s">
        <v>7</v>
      </c>
      <c r="HY570" s="27" t="s">
        <v>8</v>
      </c>
      <c r="HZ570" s="27" t="s">
        <v>7</v>
      </c>
      <c r="IA570" s="27" t="s">
        <v>8</v>
      </c>
      <c r="IJ570" s="27" t="s">
        <v>7</v>
      </c>
      <c r="IK570" s="27" t="s">
        <v>8</v>
      </c>
      <c r="IL570" s="27" t="s">
        <v>7</v>
      </c>
    </row>
    <row r="571" spans="1:250" x14ac:dyDescent="0.25">
      <c r="A571" s="7">
        <v>1.3727857050906125</v>
      </c>
      <c r="B571"/>
      <c r="C571"/>
      <c r="D571"/>
      <c r="E571" t="s">
        <v>8</v>
      </c>
      <c r="J571" s="27" t="s">
        <v>7</v>
      </c>
      <c r="K571" s="27" t="s">
        <v>8</v>
      </c>
      <c r="L571" s="27" t="s">
        <v>7</v>
      </c>
      <c r="AC571" s="27" t="s">
        <v>8</v>
      </c>
      <c r="AD571" s="27" t="s">
        <v>7</v>
      </c>
      <c r="AE571" s="27" t="s">
        <v>8</v>
      </c>
      <c r="AF571" s="27" t="s">
        <v>7</v>
      </c>
      <c r="AM571" s="27" t="s">
        <v>8</v>
      </c>
      <c r="AN571" s="27" t="s">
        <v>7</v>
      </c>
      <c r="BC571" s="27" t="s">
        <v>8</v>
      </c>
      <c r="BD571" s="27" t="s">
        <v>7</v>
      </c>
      <c r="BE571" s="27" t="s">
        <v>8</v>
      </c>
      <c r="BF571" s="27" t="s">
        <v>7</v>
      </c>
      <c r="BG571" s="27" t="s">
        <v>8</v>
      </c>
      <c r="DH571" s="27" t="s">
        <v>7</v>
      </c>
      <c r="DI571" s="27" t="s">
        <v>8</v>
      </c>
      <c r="DJ571" s="27" t="s">
        <v>7</v>
      </c>
      <c r="DK571" s="27" t="s">
        <v>8</v>
      </c>
      <c r="DL571" s="27" t="s">
        <v>7</v>
      </c>
      <c r="DM571" s="27" t="s">
        <v>8</v>
      </c>
      <c r="EB571" s="27" t="s">
        <v>7</v>
      </c>
      <c r="EI571" s="27" t="s">
        <v>8</v>
      </c>
      <c r="EM571" s="27" t="s">
        <v>8</v>
      </c>
      <c r="EN571" s="27" t="s">
        <v>7</v>
      </c>
      <c r="EO571" s="27" t="s">
        <v>8</v>
      </c>
      <c r="HV571" s="27" t="s">
        <v>7</v>
      </c>
      <c r="HX571" s="27" t="s">
        <v>7</v>
      </c>
      <c r="HZ571" s="27" t="s">
        <v>7</v>
      </c>
      <c r="IA571" s="27" t="s">
        <v>8</v>
      </c>
      <c r="IJ571" s="27" t="s">
        <v>7</v>
      </c>
      <c r="IK571" s="27" t="s">
        <v>8</v>
      </c>
      <c r="IL571" s="27" t="s">
        <v>7</v>
      </c>
      <c r="IM571" s="27" t="s">
        <v>8</v>
      </c>
    </row>
    <row r="572" spans="1:250" x14ac:dyDescent="0.25">
      <c r="A572" s="7">
        <v>1.3458683383241299</v>
      </c>
      <c r="B572"/>
      <c r="C572"/>
      <c r="D572"/>
      <c r="E572" t="s">
        <v>8</v>
      </c>
      <c r="J572" s="27" t="s">
        <v>7</v>
      </c>
      <c r="K572" s="27" t="s">
        <v>8</v>
      </c>
      <c r="L572" s="27" t="s">
        <v>7</v>
      </c>
      <c r="AC572" s="27" t="s">
        <v>8</v>
      </c>
      <c r="AD572" s="27" t="s">
        <v>7</v>
      </c>
      <c r="AE572" s="27" t="s">
        <v>8</v>
      </c>
      <c r="AF572" s="27" t="s">
        <v>7</v>
      </c>
      <c r="AM572" s="27" t="s">
        <v>8</v>
      </c>
      <c r="AN572" s="27" t="s">
        <v>7</v>
      </c>
      <c r="BC572" s="27" t="s">
        <v>8</v>
      </c>
      <c r="BD572" s="27" t="s">
        <v>7</v>
      </c>
      <c r="BE572" s="27" t="s">
        <v>8</v>
      </c>
      <c r="BF572" s="27" t="s">
        <v>7</v>
      </c>
      <c r="BG572" s="27" t="s">
        <v>8</v>
      </c>
      <c r="DH572" s="27" t="s">
        <v>7</v>
      </c>
      <c r="DI572" s="27" t="s">
        <v>8</v>
      </c>
      <c r="DJ572" s="27" t="s">
        <v>7</v>
      </c>
      <c r="DK572" s="27" t="s">
        <v>8</v>
      </c>
      <c r="DL572" s="27" t="s">
        <v>7</v>
      </c>
      <c r="DM572" s="27" t="s">
        <v>8</v>
      </c>
      <c r="EB572" s="27" t="s">
        <v>7</v>
      </c>
      <c r="EI572" s="27" t="s">
        <v>8</v>
      </c>
      <c r="EJ572" s="27" t="s">
        <v>7</v>
      </c>
      <c r="EM572" s="27" t="s">
        <v>8</v>
      </c>
      <c r="EN572" s="27" t="s">
        <v>7</v>
      </c>
      <c r="EO572" s="27" t="s">
        <v>8</v>
      </c>
      <c r="HZ572" s="27" t="s">
        <v>7</v>
      </c>
      <c r="IJ572" s="27" t="s">
        <v>7</v>
      </c>
      <c r="IK572" s="27" t="s">
        <v>8</v>
      </c>
      <c r="IL572" s="27" t="s">
        <v>7</v>
      </c>
      <c r="IM572" s="27" t="s">
        <v>8</v>
      </c>
      <c r="IN572" s="27" t="s">
        <v>7</v>
      </c>
    </row>
    <row r="573" spans="1:250" x14ac:dyDescent="0.25">
      <c r="A573" s="7">
        <v>1.3194787630628724</v>
      </c>
      <c r="B573"/>
      <c r="C573"/>
      <c r="D573"/>
      <c r="E573" t="s">
        <v>8</v>
      </c>
      <c r="J573" s="27" t="s">
        <v>7</v>
      </c>
      <c r="K573" s="27" t="s">
        <v>8</v>
      </c>
      <c r="L573" s="27" t="s">
        <v>7</v>
      </c>
      <c r="AC573" s="27" t="s">
        <v>8</v>
      </c>
      <c r="AD573" s="27" t="s">
        <v>7</v>
      </c>
      <c r="AE573" s="27" t="s">
        <v>8</v>
      </c>
      <c r="AF573" s="27" t="s">
        <v>7</v>
      </c>
      <c r="AM573" s="27" t="s">
        <v>8</v>
      </c>
      <c r="AN573" s="27" t="s">
        <v>7</v>
      </c>
      <c r="AQ573" s="27" t="s">
        <v>8</v>
      </c>
      <c r="BC573" s="27" t="s">
        <v>8</v>
      </c>
      <c r="BD573" s="27" t="s">
        <v>7</v>
      </c>
      <c r="BE573" s="27" t="s">
        <v>8</v>
      </c>
      <c r="BF573" s="27" t="s">
        <v>7</v>
      </c>
      <c r="DH573" s="27" t="s">
        <v>7</v>
      </c>
      <c r="DJ573" s="27" t="s">
        <v>7</v>
      </c>
      <c r="DK573" s="27" t="s">
        <v>8</v>
      </c>
      <c r="DL573" s="27" t="s">
        <v>7</v>
      </c>
      <c r="DM573" s="27" t="s">
        <v>8</v>
      </c>
      <c r="EB573" s="27" t="s">
        <v>7</v>
      </c>
      <c r="EI573" s="27" t="s">
        <v>8</v>
      </c>
      <c r="EJ573" s="27" t="s">
        <v>7</v>
      </c>
      <c r="EK573" s="27" t="s">
        <v>8</v>
      </c>
      <c r="EM573" s="27" t="s">
        <v>8</v>
      </c>
      <c r="EN573" s="27" t="s">
        <v>7</v>
      </c>
      <c r="EO573" s="27" t="s">
        <v>8</v>
      </c>
      <c r="IJ573" s="27" t="s">
        <v>7</v>
      </c>
      <c r="IK573" s="27" t="s">
        <v>8</v>
      </c>
      <c r="IL573" s="27" t="s">
        <v>7</v>
      </c>
      <c r="IM573" s="27" t="s">
        <v>8</v>
      </c>
      <c r="IN573" s="27" t="s">
        <v>7</v>
      </c>
    </row>
    <row r="574" spans="1:250" x14ac:dyDescent="0.25">
      <c r="A574" s="7">
        <v>1.2936066304537963</v>
      </c>
      <c r="B574"/>
      <c r="C574"/>
      <c r="D574"/>
      <c r="E574" t="s">
        <v>8</v>
      </c>
      <c r="J574" s="27" t="s">
        <v>7</v>
      </c>
      <c r="K574" s="27" t="s">
        <v>8</v>
      </c>
      <c r="L574" s="27" t="s">
        <v>7</v>
      </c>
      <c r="AC574" s="27" t="s">
        <v>8</v>
      </c>
      <c r="AD574" s="27" t="s">
        <v>7</v>
      </c>
      <c r="AE574" s="27" t="s">
        <v>8</v>
      </c>
      <c r="AF574" s="27" t="s">
        <v>7</v>
      </c>
      <c r="AM574" s="27" t="s">
        <v>8</v>
      </c>
      <c r="AN574" s="27" t="s">
        <v>7</v>
      </c>
      <c r="AQ574" s="27" t="s">
        <v>8</v>
      </c>
      <c r="AR574" s="27" t="s">
        <v>7</v>
      </c>
      <c r="BC574" s="27" t="s">
        <v>8</v>
      </c>
      <c r="BD574" s="27" t="s">
        <v>7</v>
      </c>
      <c r="BE574" s="27" t="s">
        <v>8</v>
      </c>
      <c r="DJ574" s="27" t="s">
        <v>7</v>
      </c>
      <c r="DK574" s="27" t="s">
        <v>8</v>
      </c>
      <c r="DL574" s="27" t="s">
        <v>7</v>
      </c>
      <c r="DM574" s="27" t="s">
        <v>8</v>
      </c>
      <c r="EB574" s="27" t="s">
        <v>7</v>
      </c>
      <c r="EI574" s="27" t="s">
        <v>8</v>
      </c>
      <c r="EJ574" s="27" t="s">
        <v>7</v>
      </c>
      <c r="EK574" s="27" t="s">
        <v>8</v>
      </c>
      <c r="EL574" s="27" t="s">
        <v>7</v>
      </c>
      <c r="EM574" s="27" t="s">
        <v>8</v>
      </c>
      <c r="EN574" s="18" t="s">
        <v>7</v>
      </c>
      <c r="EO574" s="27" t="s">
        <v>8</v>
      </c>
      <c r="IJ574" s="27" t="s">
        <v>7</v>
      </c>
      <c r="IK574" s="27" t="s">
        <v>8</v>
      </c>
      <c r="IL574" s="27" t="s">
        <v>7</v>
      </c>
      <c r="IM574" s="27" t="s">
        <v>8</v>
      </c>
      <c r="IN574" s="27" t="s">
        <v>7</v>
      </c>
    </row>
    <row r="575" spans="1:250" x14ac:dyDescent="0.25">
      <c r="A575" s="7">
        <v>1.2682417945625455</v>
      </c>
      <c r="B575"/>
      <c r="C575"/>
      <c r="D575"/>
      <c r="E575" t="s">
        <v>8</v>
      </c>
      <c r="J575" s="27" t="s">
        <v>7</v>
      </c>
      <c r="K575" s="27" t="s">
        <v>8</v>
      </c>
      <c r="L575" s="27" t="s">
        <v>7</v>
      </c>
      <c r="AC575" s="27" t="s">
        <v>8</v>
      </c>
      <c r="AD575" s="27" t="s">
        <v>7</v>
      </c>
      <c r="AE575" s="27" t="s">
        <v>8</v>
      </c>
      <c r="AF575" s="27" t="s">
        <v>7</v>
      </c>
      <c r="AG575" s="27" t="s">
        <v>8</v>
      </c>
      <c r="AM575" s="27" t="s">
        <v>8</v>
      </c>
      <c r="AN575" s="27" t="s">
        <v>7</v>
      </c>
      <c r="AQ575" s="27" t="s">
        <v>8</v>
      </c>
      <c r="AR575" s="27" t="s">
        <v>7</v>
      </c>
      <c r="BC575" s="27" t="s">
        <v>8</v>
      </c>
      <c r="BD575" s="27" t="s">
        <v>7</v>
      </c>
      <c r="BE575" s="27" t="s">
        <v>8</v>
      </c>
      <c r="DJ575" s="27" t="s">
        <v>7</v>
      </c>
      <c r="DL575" s="27" t="s">
        <v>7</v>
      </c>
      <c r="DM575" s="27" t="s">
        <v>8</v>
      </c>
      <c r="EB575" s="27" t="s">
        <v>7</v>
      </c>
      <c r="EI575" s="27" t="s">
        <v>8</v>
      </c>
      <c r="EJ575" s="27" t="s">
        <v>7</v>
      </c>
      <c r="EK575" s="27" t="s">
        <v>8</v>
      </c>
      <c r="EL575" s="27" t="s">
        <v>7</v>
      </c>
      <c r="EM575" s="27" t="s">
        <v>8</v>
      </c>
      <c r="EN575" s="27" t="s">
        <v>7</v>
      </c>
      <c r="EO575" s="27" t="s">
        <v>8</v>
      </c>
      <c r="IJ575" s="27" t="s">
        <v>7</v>
      </c>
      <c r="IK575" s="27" t="s">
        <v>8</v>
      </c>
      <c r="IL575" s="27" t="s">
        <v>7</v>
      </c>
      <c r="IN575" s="27" t="s">
        <v>7</v>
      </c>
      <c r="IO575" s="27" t="s">
        <v>8</v>
      </c>
    </row>
    <row r="576" spans="1:250" x14ac:dyDescent="0.25">
      <c r="A576" s="7">
        <v>1.2433743083946525</v>
      </c>
      <c r="B576"/>
      <c r="C576"/>
      <c r="D576"/>
      <c r="E576" t="s">
        <v>8</v>
      </c>
      <c r="J576" s="27" t="s">
        <v>7</v>
      </c>
      <c r="K576" s="27" t="s">
        <v>8</v>
      </c>
      <c r="L576" s="27" t="s">
        <v>7</v>
      </c>
      <c r="M576" s="27" t="s">
        <v>8</v>
      </c>
      <c r="AC576" s="27" t="s">
        <v>8</v>
      </c>
      <c r="AD576" s="27" t="s">
        <v>7</v>
      </c>
      <c r="AE576" s="27" t="s">
        <v>8</v>
      </c>
      <c r="AF576" s="27" t="s">
        <v>7</v>
      </c>
      <c r="AG576" s="27" t="s">
        <v>8</v>
      </c>
      <c r="AH576" s="27" t="s">
        <v>7</v>
      </c>
      <c r="AM576" s="27" t="s">
        <v>8</v>
      </c>
      <c r="AN576" s="27" t="s">
        <v>7</v>
      </c>
      <c r="AQ576" s="27" t="s">
        <v>8</v>
      </c>
      <c r="AR576" s="27" t="s">
        <v>7</v>
      </c>
      <c r="BC576" s="27" t="s">
        <v>8</v>
      </c>
      <c r="BD576" s="27" t="s">
        <v>7</v>
      </c>
      <c r="BE576" s="27" t="s">
        <v>8</v>
      </c>
      <c r="DL576" s="27" t="s">
        <v>7</v>
      </c>
      <c r="DM576" s="27" t="s">
        <v>8</v>
      </c>
      <c r="EB576" s="27" t="s">
        <v>7</v>
      </c>
      <c r="EI576" s="27" t="s">
        <v>8</v>
      </c>
      <c r="EJ576" s="27" t="s">
        <v>7</v>
      </c>
      <c r="EK576" s="27" t="s">
        <v>8</v>
      </c>
      <c r="EL576" s="27" t="s">
        <v>7</v>
      </c>
      <c r="EM576" s="27" t="s">
        <v>8</v>
      </c>
      <c r="EN576" s="27" t="s">
        <v>7</v>
      </c>
      <c r="EO576" s="27" t="s">
        <v>8</v>
      </c>
      <c r="IJ576" s="27" t="s">
        <v>7</v>
      </c>
      <c r="IK576" s="27" t="s">
        <v>8</v>
      </c>
      <c r="IN576" s="27" t="s">
        <v>7</v>
      </c>
      <c r="IO576" s="27" t="s">
        <v>8</v>
      </c>
      <c r="IP576" s="27" t="s">
        <v>7</v>
      </c>
    </row>
    <row r="577" spans="1:254" x14ac:dyDescent="0.25">
      <c r="A577" s="7">
        <v>1.2189944199947573</v>
      </c>
      <c r="B577"/>
      <c r="C577"/>
      <c r="D577"/>
      <c r="E577" t="s">
        <v>8</v>
      </c>
      <c r="J577" s="27" t="s">
        <v>7</v>
      </c>
      <c r="L577" s="27" t="s">
        <v>7</v>
      </c>
      <c r="M577" s="27" t="s">
        <v>8</v>
      </c>
      <c r="N577" s="27" t="s">
        <v>7</v>
      </c>
      <c r="AC577" s="27" t="s">
        <v>8</v>
      </c>
      <c r="AD577" s="27" t="s">
        <v>7</v>
      </c>
      <c r="AE577" s="27" t="s">
        <v>8</v>
      </c>
      <c r="AF577" s="27" t="s">
        <v>7</v>
      </c>
      <c r="AG577" s="27" t="s">
        <v>8</v>
      </c>
      <c r="AH577" s="27" t="s">
        <v>7</v>
      </c>
      <c r="AM577" s="27" t="s">
        <v>8</v>
      </c>
      <c r="AN577" s="27" t="s">
        <v>7</v>
      </c>
      <c r="AQ577" s="27" t="s">
        <v>8</v>
      </c>
      <c r="AR577" s="27" t="s">
        <v>7</v>
      </c>
      <c r="BC577" s="27" t="s">
        <v>8</v>
      </c>
      <c r="BD577" s="27" t="s">
        <v>7</v>
      </c>
      <c r="BE577" s="27" t="s">
        <v>8</v>
      </c>
      <c r="DL577" s="27" t="s">
        <v>7</v>
      </c>
      <c r="DM577" s="27" t="s">
        <v>8</v>
      </c>
      <c r="EB577" s="27" t="s">
        <v>7</v>
      </c>
      <c r="EE577" s="27" t="s">
        <v>8</v>
      </c>
      <c r="EG577" s="27" t="s">
        <v>8</v>
      </c>
      <c r="EI577" s="27" t="s">
        <v>8</v>
      </c>
      <c r="EJ577" s="27" t="s">
        <v>7</v>
      </c>
      <c r="EK577" s="27" t="s">
        <v>8</v>
      </c>
      <c r="EL577" s="27" t="s">
        <v>7</v>
      </c>
      <c r="EM577" s="27" t="s">
        <v>8</v>
      </c>
      <c r="EN577" s="27" t="s">
        <v>7</v>
      </c>
      <c r="EO577" s="27" t="s">
        <v>8</v>
      </c>
      <c r="IJ577" s="27" t="s">
        <v>7</v>
      </c>
      <c r="IK577" s="27" t="s">
        <v>8</v>
      </c>
      <c r="IN577" s="27" t="s">
        <v>7</v>
      </c>
      <c r="IO577" s="27" t="s">
        <v>8</v>
      </c>
      <c r="IP577" s="27" t="s">
        <v>7</v>
      </c>
    </row>
    <row r="578" spans="1:254" x14ac:dyDescent="0.25">
      <c r="A578" s="7">
        <v>1.1950925686223111</v>
      </c>
      <c r="B578"/>
      <c r="C578"/>
      <c r="D578"/>
      <c r="E578" t="s">
        <v>8</v>
      </c>
      <c r="L578" s="27" t="s">
        <v>7</v>
      </c>
      <c r="M578" s="27" t="s">
        <v>8</v>
      </c>
      <c r="N578" s="27" t="s">
        <v>7</v>
      </c>
      <c r="AC578" s="27" t="s">
        <v>8</v>
      </c>
      <c r="AD578" s="27" t="s">
        <v>7</v>
      </c>
      <c r="AE578" s="27" t="s">
        <v>8</v>
      </c>
      <c r="AF578" s="27" t="s">
        <v>7</v>
      </c>
      <c r="AG578" s="27" t="s">
        <v>8</v>
      </c>
      <c r="AH578" s="27" t="s">
        <v>7</v>
      </c>
      <c r="AK578" s="27" t="s">
        <v>8</v>
      </c>
      <c r="AM578" s="27" t="s">
        <v>8</v>
      </c>
      <c r="AN578" s="27" t="s">
        <v>7</v>
      </c>
      <c r="AQ578" s="27" t="s">
        <v>8</v>
      </c>
      <c r="AR578" s="27" t="s">
        <v>7</v>
      </c>
      <c r="BC578" s="27" t="s">
        <v>8</v>
      </c>
      <c r="BD578" s="27" t="s">
        <v>7</v>
      </c>
      <c r="DL578" s="27" t="s">
        <v>7</v>
      </c>
      <c r="DM578" s="27" t="s">
        <v>8</v>
      </c>
      <c r="EB578" s="27" t="s">
        <v>7</v>
      </c>
      <c r="EE578" s="27" t="s">
        <v>8</v>
      </c>
      <c r="EF578" s="27" t="s">
        <v>7</v>
      </c>
      <c r="EG578" s="27" t="s">
        <v>8</v>
      </c>
      <c r="EH578" s="27" t="s">
        <v>7</v>
      </c>
      <c r="EI578" s="27" t="s">
        <v>8</v>
      </c>
      <c r="EJ578" s="27" t="s">
        <v>7</v>
      </c>
      <c r="EK578" s="27" t="s">
        <v>8</v>
      </c>
      <c r="EL578" s="27" t="s">
        <v>7</v>
      </c>
      <c r="EM578" s="27" t="s">
        <v>8</v>
      </c>
      <c r="EN578" s="27" t="s">
        <v>7</v>
      </c>
      <c r="EO578" s="27" t="s">
        <v>8</v>
      </c>
      <c r="IJ578" s="27" t="s">
        <v>7</v>
      </c>
      <c r="IK578" s="27" t="s">
        <v>8</v>
      </c>
      <c r="IN578" s="27" t="s">
        <v>7</v>
      </c>
      <c r="IP578" s="27" t="s">
        <v>7</v>
      </c>
    </row>
    <row r="579" spans="1:254" x14ac:dyDescent="0.25">
      <c r="A579" s="7">
        <v>1.1716593810022657</v>
      </c>
      <c r="B579"/>
      <c r="C579"/>
      <c r="D579"/>
      <c r="E579" t="s">
        <v>8</v>
      </c>
      <c r="L579" s="27" t="s">
        <v>7</v>
      </c>
      <c r="M579" s="27" t="s">
        <v>8</v>
      </c>
      <c r="N579" s="27" t="s">
        <v>7</v>
      </c>
      <c r="Q579" s="27" t="s">
        <v>8</v>
      </c>
      <c r="AC579" s="27" t="s">
        <v>8</v>
      </c>
      <c r="AD579" s="27" t="s">
        <v>7</v>
      </c>
      <c r="AE579" s="27" t="s">
        <v>8</v>
      </c>
      <c r="AF579" s="27" t="s">
        <v>7</v>
      </c>
      <c r="AG579" s="27" t="s">
        <v>8</v>
      </c>
      <c r="AH579" s="27" t="s">
        <v>7</v>
      </c>
      <c r="AK579" s="27" t="s">
        <v>8</v>
      </c>
      <c r="AL579" s="27" t="s">
        <v>7</v>
      </c>
      <c r="AM579" s="27" t="s">
        <v>8</v>
      </c>
      <c r="AN579" s="27" t="s">
        <v>7</v>
      </c>
      <c r="AQ579" s="27" t="s">
        <v>8</v>
      </c>
      <c r="AR579" s="27" t="s">
        <v>7</v>
      </c>
      <c r="BA579" s="27" t="s">
        <v>8</v>
      </c>
      <c r="BC579" s="27" t="s">
        <v>8</v>
      </c>
      <c r="DL579" s="27" t="s">
        <v>7</v>
      </c>
      <c r="DM579" s="27" t="s">
        <v>8</v>
      </c>
      <c r="EB579" s="27" t="s">
        <v>7</v>
      </c>
      <c r="EC579" s="27" t="s">
        <v>8</v>
      </c>
      <c r="EE579" s="27" t="s">
        <v>8</v>
      </c>
      <c r="EF579" s="27" t="s">
        <v>7</v>
      </c>
      <c r="EG579" s="27" t="s">
        <v>8</v>
      </c>
      <c r="EH579" s="27" t="s">
        <v>7</v>
      </c>
      <c r="EI579" s="27" t="s">
        <v>8</v>
      </c>
      <c r="EJ579" s="27" t="s">
        <v>7</v>
      </c>
      <c r="EK579" s="27" t="s">
        <v>8</v>
      </c>
      <c r="EL579" s="27" t="s">
        <v>7</v>
      </c>
      <c r="EM579" s="27" t="s">
        <v>8</v>
      </c>
      <c r="EN579" s="27" t="s">
        <v>7</v>
      </c>
      <c r="IJ579" s="27" t="s">
        <v>7</v>
      </c>
      <c r="IK579" s="27" t="s">
        <v>8</v>
      </c>
      <c r="IP579" s="27" t="s">
        <v>7</v>
      </c>
    </row>
    <row r="580" spans="1:254" x14ac:dyDescent="0.25">
      <c r="A580" s="7">
        <v>1.14868566764928</v>
      </c>
      <c r="B580"/>
      <c r="C580"/>
      <c r="D580"/>
      <c r="E580" t="s">
        <v>8</v>
      </c>
      <c r="L580" s="27" t="s">
        <v>7</v>
      </c>
      <c r="M580" s="27" t="s">
        <v>8</v>
      </c>
      <c r="N580" s="27" t="s">
        <v>7</v>
      </c>
      <c r="Q580" s="27" t="s">
        <v>8</v>
      </c>
      <c r="R580" s="27" t="s">
        <v>7</v>
      </c>
      <c r="AC580" s="27" t="s">
        <v>8</v>
      </c>
      <c r="AD580" s="27" t="s">
        <v>7</v>
      </c>
      <c r="AE580" s="27" t="s">
        <v>8</v>
      </c>
      <c r="AF580" s="27" t="s">
        <v>7</v>
      </c>
      <c r="AG580" s="27" t="s">
        <v>8</v>
      </c>
      <c r="AH580" s="27" t="s">
        <v>7</v>
      </c>
      <c r="AK580" s="27" t="s">
        <v>8</v>
      </c>
      <c r="AL580" s="27" t="s">
        <v>7</v>
      </c>
      <c r="AM580" s="27" t="s">
        <v>8</v>
      </c>
      <c r="AN580" s="27" t="s">
        <v>7</v>
      </c>
      <c r="AO580" s="27" t="s">
        <v>8</v>
      </c>
      <c r="AQ580" s="27" t="s">
        <v>8</v>
      </c>
      <c r="AR580" s="27" t="s">
        <v>7</v>
      </c>
      <c r="BA580" s="27" t="s">
        <v>8</v>
      </c>
      <c r="BB580" s="27" t="s">
        <v>7</v>
      </c>
      <c r="BC580" s="27" t="s">
        <v>8</v>
      </c>
      <c r="DL580" s="27" t="s">
        <v>7</v>
      </c>
      <c r="DM580" s="27" t="s">
        <v>8</v>
      </c>
      <c r="EB580" s="27" t="s">
        <v>7</v>
      </c>
      <c r="EC580" s="27" t="s">
        <v>8</v>
      </c>
      <c r="ED580" s="27" t="s">
        <v>7</v>
      </c>
      <c r="EE580" s="27" t="s">
        <v>8</v>
      </c>
      <c r="EF580" s="27" t="s">
        <v>7</v>
      </c>
      <c r="EG580" s="27" t="s">
        <v>8</v>
      </c>
      <c r="EH580" s="27" t="s">
        <v>7</v>
      </c>
      <c r="EI580" s="27" t="s">
        <v>8</v>
      </c>
      <c r="EJ580" s="27" t="s">
        <v>7</v>
      </c>
      <c r="EK580" s="27" t="s">
        <v>8</v>
      </c>
      <c r="EL580" s="27" t="s">
        <v>7</v>
      </c>
      <c r="IJ580" s="27" t="s">
        <v>7</v>
      </c>
      <c r="IP580" s="27" t="s">
        <v>7</v>
      </c>
    </row>
    <row r="581" spans="1:254" x14ac:dyDescent="0.25">
      <c r="A581" s="7">
        <v>1.1261624192640001</v>
      </c>
      <c r="B581"/>
      <c r="C581"/>
      <c r="D581"/>
      <c r="E581" t="s">
        <v>8</v>
      </c>
      <c r="L581" s="27" t="s">
        <v>7</v>
      </c>
      <c r="M581" s="27" t="s">
        <v>8</v>
      </c>
      <c r="N581" s="27" t="s">
        <v>7</v>
      </c>
      <c r="O581" s="27" t="s">
        <v>8</v>
      </c>
      <c r="Q581" s="27" t="s">
        <v>8</v>
      </c>
      <c r="R581" s="27" t="s">
        <v>7</v>
      </c>
      <c r="AC581" s="27" t="s">
        <v>8</v>
      </c>
      <c r="AD581" s="27" t="s">
        <v>7</v>
      </c>
      <c r="AE581" s="27" t="s">
        <v>8</v>
      </c>
      <c r="AF581" s="27" t="s">
        <v>7</v>
      </c>
      <c r="AG581" s="27" t="s">
        <v>8</v>
      </c>
      <c r="AH581" s="27" t="s">
        <v>7</v>
      </c>
      <c r="AK581" s="27" t="s">
        <v>8</v>
      </c>
      <c r="AL581" s="27" t="s">
        <v>7</v>
      </c>
      <c r="AM581" s="27" t="s">
        <v>8</v>
      </c>
      <c r="AN581" s="27" t="s">
        <v>7</v>
      </c>
      <c r="AO581" s="27" t="s">
        <v>8</v>
      </c>
      <c r="AP581" s="27" t="s">
        <v>7</v>
      </c>
      <c r="AQ581" s="27" t="s">
        <v>8</v>
      </c>
      <c r="AR581" s="27" t="s">
        <v>7</v>
      </c>
      <c r="BA581" s="27" t="s">
        <v>8</v>
      </c>
      <c r="BB581" s="27" t="s">
        <v>7</v>
      </c>
      <c r="BC581" s="27" t="s">
        <v>8</v>
      </c>
      <c r="DL581" s="27" t="s">
        <v>7</v>
      </c>
      <c r="DM581" s="27" t="s">
        <v>8</v>
      </c>
      <c r="EB581" s="27" t="s">
        <v>7</v>
      </c>
      <c r="EC581" s="27" t="s">
        <v>8</v>
      </c>
      <c r="ED581" s="27" t="s">
        <v>7</v>
      </c>
      <c r="EE581" s="27" t="s">
        <v>8</v>
      </c>
      <c r="EF581" s="27" t="s">
        <v>7</v>
      </c>
      <c r="EG581" s="27" t="s">
        <v>8</v>
      </c>
      <c r="EH581" s="27" t="s">
        <v>7</v>
      </c>
      <c r="EI581" s="27" t="s">
        <v>8</v>
      </c>
      <c r="EJ581" s="27" t="s">
        <v>7</v>
      </c>
      <c r="EK581" s="27" t="s">
        <v>8</v>
      </c>
      <c r="IP581" s="27" t="s">
        <v>7</v>
      </c>
    </row>
    <row r="582" spans="1:254" x14ac:dyDescent="0.25">
      <c r="A582" s="7">
        <v>1.1040808032</v>
      </c>
      <c r="B582"/>
      <c r="C582"/>
      <c r="D582"/>
      <c r="E582" t="s">
        <v>8</v>
      </c>
      <c r="L582" s="27" t="s">
        <v>7</v>
      </c>
      <c r="M582" s="27" t="s">
        <v>8</v>
      </c>
      <c r="N582" s="27" t="s">
        <v>7</v>
      </c>
      <c r="O582" s="27" t="s">
        <v>8</v>
      </c>
      <c r="P582" s="27" t="s">
        <v>7</v>
      </c>
      <c r="Q582" s="27" t="s">
        <v>8</v>
      </c>
      <c r="R582" s="27" t="s">
        <v>7</v>
      </c>
      <c r="AC582" s="27" t="s">
        <v>8</v>
      </c>
      <c r="AD582" s="27" t="s">
        <v>7</v>
      </c>
      <c r="AE582" s="27" t="s">
        <v>8</v>
      </c>
      <c r="AF582" s="27" t="s">
        <v>7</v>
      </c>
      <c r="AH582" s="27" t="s">
        <v>7</v>
      </c>
      <c r="AK582" s="27" t="s">
        <v>8</v>
      </c>
      <c r="AL582" s="27" t="s">
        <v>7</v>
      </c>
      <c r="AM582" s="27" t="s">
        <v>8</v>
      </c>
      <c r="AN582" s="27" t="s">
        <v>7</v>
      </c>
      <c r="AO582" s="27" t="s">
        <v>8</v>
      </c>
      <c r="AP582" s="27" t="s">
        <v>7</v>
      </c>
      <c r="AQ582" s="27" t="s">
        <v>8</v>
      </c>
      <c r="AR582" s="27" t="s">
        <v>7</v>
      </c>
      <c r="BA582" s="27" t="s">
        <v>8</v>
      </c>
      <c r="BB582" s="27" t="s">
        <v>7</v>
      </c>
      <c r="BC582" s="27" t="s">
        <v>8</v>
      </c>
      <c r="DL582" s="27" t="s">
        <v>7</v>
      </c>
      <c r="DM582" s="27" t="s">
        <v>8</v>
      </c>
      <c r="EB582" s="27" t="s">
        <v>7</v>
      </c>
      <c r="EC582" s="27" t="s">
        <v>8</v>
      </c>
      <c r="ED582" s="27" t="s">
        <v>7</v>
      </c>
      <c r="EE582" s="27" t="s">
        <v>8</v>
      </c>
      <c r="EF582" s="27" t="s">
        <v>7</v>
      </c>
      <c r="EG582" s="27" t="s">
        <v>8</v>
      </c>
      <c r="EH582" s="27" t="s">
        <v>7</v>
      </c>
      <c r="EJ582" s="27" t="s">
        <v>7</v>
      </c>
      <c r="IP582" s="27" t="s">
        <v>7</v>
      </c>
    </row>
    <row r="583" spans="1:254" x14ac:dyDescent="0.25">
      <c r="A583" s="7">
        <v>1.08243216</v>
      </c>
      <c r="B583"/>
      <c r="C583"/>
      <c r="D583"/>
      <c r="E583" t="s">
        <v>8</v>
      </c>
      <c r="L583" s="27" t="s">
        <v>7</v>
      </c>
      <c r="M583" s="27" t="s">
        <v>8</v>
      </c>
      <c r="N583" s="27" t="s">
        <v>7</v>
      </c>
      <c r="O583" s="27" t="s">
        <v>8</v>
      </c>
      <c r="P583" s="27" t="s">
        <v>7</v>
      </c>
      <c r="Q583" s="27" t="s">
        <v>8</v>
      </c>
      <c r="R583" s="27" t="s">
        <v>7</v>
      </c>
      <c r="AC583" s="27" t="s">
        <v>8</v>
      </c>
      <c r="AD583" s="27" t="s">
        <v>7</v>
      </c>
      <c r="AE583" s="27" t="s">
        <v>8</v>
      </c>
      <c r="AH583" s="27" t="s">
        <v>7</v>
      </c>
      <c r="AK583" s="27" t="s">
        <v>8</v>
      </c>
      <c r="AL583" s="27" t="s">
        <v>7</v>
      </c>
      <c r="AM583" s="27" t="s">
        <v>8</v>
      </c>
      <c r="AN583" s="27" t="s">
        <v>7</v>
      </c>
      <c r="AP583" s="27" t="s">
        <v>7</v>
      </c>
      <c r="AQ583" s="27" t="s">
        <v>8</v>
      </c>
      <c r="AR583" s="27" t="s">
        <v>7</v>
      </c>
      <c r="AY583" s="27" t="s">
        <v>8</v>
      </c>
      <c r="BA583" s="27" t="s">
        <v>8</v>
      </c>
      <c r="BB583" s="27" t="s">
        <v>7</v>
      </c>
      <c r="BC583" s="27" t="s">
        <v>8</v>
      </c>
      <c r="DL583" s="27" t="s">
        <v>7</v>
      </c>
      <c r="DM583" s="27" t="s">
        <v>8</v>
      </c>
      <c r="EB583" s="27" t="s">
        <v>7</v>
      </c>
      <c r="EC583" s="27" t="s">
        <v>8</v>
      </c>
      <c r="ED583" s="27" t="s">
        <v>7</v>
      </c>
      <c r="EE583" s="27" t="s">
        <v>8</v>
      </c>
      <c r="EF583" s="27" t="s">
        <v>7</v>
      </c>
      <c r="EG583" s="27" t="s">
        <v>8</v>
      </c>
      <c r="IP583" s="27" t="s">
        <v>7</v>
      </c>
    </row>
    <row r="584" spans="1:254" x14ac:dyDescent="0.25">
      <c r="A584" s="7">
        <v>1.0612079999999999</v>
      </c>
      <c r="B584"/>
      <c r="C584"/>
      <c r="D584"/>
      <c r="E584" t="s">
        <v>8</v>
      </c>
      <c r="L584" s="27" t="s">
        <v>7</v>
      </c>
      <c r="M584" s="27" t="s">
        <v>8</v>
      </c>
      <c r="N584" s="27" t="s">
        <v>7</v>
      </c>
      <c r="O584" s="27" t="s">
        <v>8</v>
      </c>
      <c r="P584" s="27" t="s">
        <v>7</v>
      </c>
      <c r="Q584" s="27" t="s">
        <v>8</v>
      </c>
      <c r="R584" s="27" t="s">
        <v>7</v>
      </c>
      <c r="AC584" s="27" t="s">
        <v>8</v>
      </c>
      <c r="AD584" s="27" t="s">
        <v>7</v>
      </c>
      <c r="AE584" s="27" t="s">
        <v>8</v>
      </c>
      <c r="AH584" s="27" t="s">
        <v>7</v>
      </c>
      <c r="AK584" s="27" t="s">
        <v>8</v>
      </c>
      <c r="AL584" s="27" t="s">
        <v>7</v>
      </c>
      <c r="AM584" s="27" t="s">
        <v>8</v>
      </c>
      <c r="AP584" s="27" t="s">
        <v>7</v>
      </c>
      <c r="AQ584" s="27" t="s">
        <v>8</v>
      </c>
      <c r="AR584" s="27" t="s">
        <v>7</v>
      </c>
      <c r="AY584" s="27" t="s">
        <v>8</v>
      </c>
      <c r="AZ584" s="27" t="s">
        <v>7</v>
      </c>
      <c r="BA584" s="27" t="s">
        <v>8</v>
      </c>
      <c r="BB584" s="27" t="s">
        <v>7</v>
      </c>
      <c r="BC584" s="27" t="s">
        <v>8</v>
      </c>
      <c r="DL584" s="27" t="s">
        <v>7</v>
      </c>
      <c r="DM584" s="27" t="s">
        <v>8</v>
      </c>
      <c r="EB584" s="27" t="s">
        <v>7</v>
      </c>
      <c r="EC584" s="27" t="s">
        <v>8</v>
      </c>
      <c r="ED584" s="27" t="s">
        <v>7</v>
      </c>
      <c r="EE584" s="27" t="s">
        <v>8</v>
      </c>
      <c r="EF584" s="27" t="s">
        <v>7</v>
      </c>
      <c r="IP584" s="27" t="s">
        <v>7</v>
      </c>
    </row>
    <row r="585" spans="1:254" x14ac:dyDescent="0.25">
      <c r="A585" s="7">
        <v>1.0404</v>
      </c>
      <c r="B585"/>
      <c r="C585"/>
      <c r="D585"/>
      <c r="E585" t="s">
        <v>8</v>
      </c>
      <c r="L585" s="27" t="s">
        <v>7</v>
      </c>
      <c r="M585" s="27" t="s">
        <v>8</v>
      </c>
      <c r="N585" s="27" t="s">
        <v>7</v>
      </c>
      <c r="O585" s="27" t="s">
        <v>8</v>
      </c>
      <c r="P585" s="27" t="s">
        <v>7</v>
      </c>
      <c r="Q585" s="27" t="s">
        <v>8</v>
      </c>
      <c r="R585" s="27" t="s">
        <v>7</v>
      </c>
      <c r="AC585" s="27" t="s">
        <v>8</v>
      </c>
      <c r="AD585" s="27" t="s">
        <v>7</v>
      </c>
      <c r="AH585" s="27" t="s">
        <v>7</v>
      </c>
      <c r="AK585" s="27" t="s">
        <v>8</v>
      </c>
      <c r="AL585" s="27" t="s">
        <v>7</v>
      </c>
      <c r="AM585" s="27" t="s">
        <v>8</v>
      </c>
      <c r="AP585" s="27" t="s">
        <v>7</v>
      </c>
      <c r="AQ585" s="27" t="s">
        <v>8</v>
      </c>
      <c r="AR585" s="27" t="s">
        <v>7</v>
      </c>
      <c r="AY585" s="27" t="s">
        <v>8</v>
      </c>
      <c r="AZ585" s="27" t="s">
        <v>7</v>
      </c>
      <c r="BA585" s="27" t="s">
        <v>8</v>
      </c>
      <c r="BB585" s="27" t="s">
        <v>7</v>
      </c>
      <c r="BC585" s="27" t="s">
        <v>8</v>
      </c>
      <c r="DL585" s="27" t="s">
        <v>7</v>
      </c>
      <c r="DM585" s="27" t="s">
        <v>8</v>
      </c>
      <c r="EB585" s="27" t="s">
        <v>7</v>
      </c>
      <c r="EC585" s="27" t="s">
        <v>8</v>
      </c>
      <c r="ED585" s="27" t="s">
        <v>7</v>
      </c>
      <c r="EE585" s="27" t="s">
        <v>8</v>
      </c>
      <c r="IP585" s="27" t="s">
        <v>7</v>
      </c>
    </row>
    <row r="586" spans="1:254" x14ac:dyDescent="0.25">
      <c r="A586" s="7">
        <v>1.02</v>
      </c>
      <c r="B586"/>
      <c r="C586"/>
      <c r="D586"/>
      <c r="E586" t="s">
        <v>8</v>
      </c>
      <c r="L586" s="27" t="s">
        <v>7</v>
      </c>
      <c r="N586" s="27" t="s">
        <v>7</v>
      </c>
      <c r="P586" s="27" t="s">
        <v>7</v>
      </c>
      <c r="Q586" s="27" t="s">
        <v>8</v>
      </c>
      <c r="R586" s="27" t="s">
        <v>7</v>
      </c>
      <c r="AC586" s="27" t="s">
        <v>8</v>
      </c>
      <c r="AH586" s="27" t="s">
        <v>7</v>
      </c>
      <c r="AK586" s="27" t="s">
        <v>8</v>
      </c>
      <c r="AL586" s="27" t="s">
        <v>7</v>
      </c>
      <c r="AP586" s="27" t="s">
        <v>7</v>
      </c>
      <c r="AR586" s="27" t="s">
        <v>7</v>
      </c>
      <c r="AY586" s="27" t="s">
        <v>8</v>
      </c>
      <c r="AZ586" s="27" t="s">
        <v>7</v>
      </c>
      <c r="BA586" s="27" t="s">
        <v>8</v>
      </c>
      <c r="BB586" s="27" t="s">
        <v>7</v>
      </c>
      <c r="BC586" s="27" t="s">
        <v>8</v>
      </c>
      <c r="DL586" s="27" t="s">
        <v>7</v>
      </c>
      <c r="EB586" s="27" t="s">
        <v>7</v>
      </c>
      <c r="EC586" s="27" t="s">
        <v>8</v>
      </c>
      <c r="ED586" s="27" t="s">
        <v>7</v>
      </c>
      <c r="EE586" s="27" t="s">
        <v>8</v>
      </c>
      <c r="IP586" s="27" t="s">
        <v>7</v>
      </c>
    </row>
    <row r="587" spans="1:254" x14ac:dyDescent="0.25">
      <c r="A587" s="7">
        <v>1</v>
      </c>
      <c r="B587"/>
      <c r="C587"/>
      <c r="D587"/>
      <c r="E587" s="29" t="s">
        <v>8</v>
      </c>
      <c r="P587" s="27" t="s">
        <v>7</v>
      </c>
      <c r="Q587" s="27" t="s">
        <v>8</v>
      </c>
      <c r="R587" s="27" t="s">
        <v>7</v>
      </c>
      <c r="AC587" s="27" t="s">
        <v>8</v>
      </c>
      <c r="AH587" s="27" t="s">
        <v>7</v>
      </c>
      <c r="AK587" s="27" t="s">
        <v>8</v>
      </c>
      <c r="AR587" s="27" t="s">
        <v>7</v>
      </c>
      <c r="AY587" s="27" t="s">
        <v>8</v>
      </c>
      <c r="AZ587" s="27" t="s">
        <v>7</v>
      </c>
      <c r="BA587" s="27" t="s">
        <v>8</v>
      </c>
      <c r="BB587" s="27" t="s">
        <v>7</v>
      </c>
      <c r="BC587" s="27" t="s">
        <v>8</v>
      </c>
      <c r="EB587" s="27" t="s">
        <v>7</v>
      </c>
      <c r="EC587" s="27" t="s">
        <v>8</v>
      </c>
      <c r="ED587" s="27" t="s">
        <v>7</v>
      </c>
      <c r="EE587" s="27" t="s">
        <v>8</v>
      </c>
      <c r="IP587" s="27" t="s">
        <v>7</v>
      </c>
    </row>
    <row r="588" spans="1:254" x14ac:dyDescent="0.25">
      <c r="A588" s="7">
        <v>0.98039215686274506</v>
      </c>
      <c r="B588"/>
      <c r="C588"/>
      <c r="D588"/>
      <c r="E588"/>
      <c r="P588" s="27" t="s">
        <v>7</v>
      </c>
      <c r="Q588" s="27" t="s">
        <v>8</v>
      </c>
      <c r="R588" s="27" t="s">
        <v>7</v>
      </c>
      <c r="Y588" s="27" t="s">
        <v>8</v>
      </c>
      <c r="AC588" s="27" t="s">
        <v>8</v>
      </c>
      <c r="AH588" s="27" t="s">
        <v>7</v>
      </c>
      <c r="AK588" s="27" t="s">
        <v>8</v>
      </c>
      <c r="AR588" s="27" t="s">
        <v>7</v>
      </c>
      <c r="AY588" s="27" t="s">
        <v>8</v>
      </c>
      <c r="AZ588" s="27" t="s">
        <v>7</v>
      </c>
      <c r="BA588" s="27" t="s">
        <v>8</v>
      </c>
      <c r="BB588" s="27" t="s">
        <v>7</v>
      </c>
      <c r="BC588" s="27" t="s">
        <v>8</v>
      </c>
      <c r="EB588" s="27" t="s">
        <v>7</v>
      </c>
      <c r="EC588" s="27" t="s">
        <v>8</v>
      </c>
      <c r="ED588" s="27" t="s">
        <v>7</v>
      </c>
      <c r="EE588" s="27" t="s">
        <v>8</v>
      </c>
      <c r="IP588" s="27" t="s">
        <v>7</v>
      </c>
    </row>
    <row r="589" spans="1:254" x14ac:dyDescent="0.25">
      <c r="A589" s="7">
        <v>0.96116878123798544</v>
      </c>
      <c r="B589"/>
      <c r="C589"/>
      <c r="D589"/>
      <c r="E589"/>
      <c r="P589" s="27" t="s">
        <v>7</v>
      </c>
      <c r="Q589" s="27" t="s">
        <v>8</v>
      </c>
      <c r="R589" s="27" t="s">
        <v>7</v>
      </c>
      <c r="S589" s="27" t="s">
        <v>8</v>
      </c>
      <c r="Y589" s="27" t="s">
        <v>8</v>
      </c>
      <c r="Z589" s="27" t="s">
        <v>7</v>
      </c>
      <c r="AC589" s="27" t="s">
        <v>8</v>
      </c>
      <c r="AH589" s="27" t="s">
        <v>7</v>
      </c>
      <c r="AK589" s="27" t="s">
        <v>8</v>
      </c>
      <c r="AR589" s="27" t="s">
        <v>7</v>
      </c>
      <c r="AY589" s="27" t="s">
        <v>8</v>
      </c>
      <c r="AZ589" s="27" t="s">
        <v>7</v>
      </c>
      <c r="BA589" s="27" t="s">
        <v>8</v>
      </c>
      <c r="BB589" s="27" t="s">
        <v>7</v>
      </c>
      <c r="BC589" s="27" t="s">
        <v>8</v>
      </c>
      <c r="EB589" s="27" t="s">
        <v>7</v>
      </c>
      <c r="EC589" s="27" t="s">
        <v>8</v>
      </c>
      <c r="ED589" s="27" t="s">
        <v>7</v>
      </c>
      <c r="EE589" s="27" t="s">
        <v>8</v>
      </c>
      <c r="IP589" s="27" t="s">
        <v>7</v>
      </c>
    </row>
    <row r="590" spans="1:254" x14ac:dyDescent="0.25">
      <c r="A590" s="7">
        <v>0.94232233454704462</v>
      </c>
      <c r="B590"/>
      <c r="C590"/>
      <c r="D590"/>
      <c r="E590"/>
      <c r="P590" s="27" t="s">
        <v>7</v>
      </c>
      <c r="Q590" s="27" t="s">
        <v>8</v>
      </c>
      <c r="R590" s="27" t="s">
        <v>7</v>
      </c>
      <c r="S590" s="27" t="s">
        <v>8</v>
      </c>
      <c r="T590" s="27" t="s">
        <v>7</v>
      </c>
      <c r="Y590" s="27" t="s">
        <v>8</v>
      </c>
      <c r="Z590" s="27" t="s">
        <v>7</v>
      </c>
      <c r="AC590" s="27" t="s">
        <v>8</v>
      </c>
      <c r="AH590" s="27" t="s">
        <v>7</v>
      </c>
      <c r="AK590" s="27" t="s">
        <v>8</v>
      </c>
      <c r="AR590" s="27" t="s">
        <v>7</v>
      </c>
      <c r="AY590" s="27" t="s">
        <v>8</v>
      </c>
      <c r="AZ590" s="27" t="s">
        <v>7</v>
      </c>
      <c r="BA590" s="27" t="s">
        <v>8</v>
      </c>
      <c r="BB590" s="27" t="s">
        <v>7</v>
      </c>
      <c r="BC590" s="27" t="s">
        <v>8</v>
      </c>
      <c r="EB590" s="27" t="s">
        <v>7</v>
      </c>
      <c r="EC590" s="27" t="s">
        <v>8</v>
      </c>
      <c r="ED590" s="27" t="s">
        <v>7</v>
      </c>
      <c r="IP590" s="27" t="s">
        <v>7</v>
      </c>
    </row>
    <row r="591" spans="1:254" x14ac:dyDescent="0.25">
      <c r="A591" s="7">
        <v>0.92384542602651432</v>
      </c>
      <c r="B591"/>
      <c r="C591"/>
      <c r="D591"/>
      <c r="E591"/>
      <c r="P591" s="27" t="s">
        <v>7</v>
      </c>
      <c r="R591" s="27" t="s">
        <v>7</v>
      </c>
      <c r="S591" s="27" t="s">
        <v>8</v>
      </c>
      <c r="T591" s="27" t="s">
        <v>7</v>
      </c>
      <c r="Y591" s="27" t="s">
        <v>8</v>
      </c>
      <c r="Z591" s="27" t="s">
        <v>7</v>
      </c>
      <c r="AC591" s="27" t="s">
        <v>8</v>
      </c>
      <c r="AH591" s="27" t="s">
        <v>7</v>
      </c>
      <c r="AI591" s="27" t="s">
        <v>8</v>
      </c>
      <c r="AK591" s="27" t="s">
        <v>8</v>
      </c>
      <c r="AR591" s="27" t="s">
        <v>7</v>
      </c>
      <c r="AU591" s="27" t="s">
        <v>8</v>
      </c>
      <c r="AW591" s="27" t="s">
        <v>8</v>
      </c>
      <c r="AY591" s="27" t="s">
        <v>8</v>
      </c>
      <c r="AZ591" s="27" t="s">
        <v>7</v>
      </c>
      <c r="BA591" s="27" t="s">
        <v>8</v>
      </c>
      <c r="BB591" s="27" t="s">
        <v>7</v>
      </c>
      <c r="BC591" s="27" t="s">
        <v>8</v>
      </c>
      <c r="EB591" s="27" t="s">
        <v>7</v>
      </c>
      <c r="EC591" s="27" t="s">
        <v>8</v>
      </c>
      <c r="IP591" s="27" t="s">
        <v>7</v>
      </c>
      <c r="IS591" s="27" t="s">
        <v>8</v>
      </c>
    </row>
    <row r="592" spans="1:254" x14ac:dyDescent="0.25">
      <c r="A592" s="7">
        <v>0.90573080982991594</v>
      </c>
      <c r="B592"/>
      <c r="C592"/>
      <c r="D592"/>
      <c r="E592"/>
      <c r="R592" s="27" t="s">
        <v>7</v>
      </c>
      <c r="T592" s="27" t="s">
        <v>7</v>
      </c>
      <c r="U592" s="27" t="s">
        <v>8</v>
      </c>
      <c r="Y592" s="27" t="s">
        <v>8</v>
      </c>
      <c r="Z592" s="27" t="s">
        <v>7</v>
      </c>
      <c r="AA592" s="27" t="s">
        <v>8</v>
      </c>
      <c r="AC592" s="27" t="s">
        <v>8</v>
      </c>
      <c r="AH592" s="27" t="s">
        <v>7</v>
      </c>
      <c r="AI592" s="27" t="s">
        <v>8</v>
      </c>
      <c r="AJ592" s="27" t="s">
        <v>7</v>
      </c>
      <c r="AK592" s="27" t="s">
        <v>8</v>
      </c>
      <c r="AR592" s="27" t="s">
        <v>7</v>
      </c>
      <c r="AS592" s="27" t="s">
        <v>8</v>
      </c>
      <c r="AU592" s="27" t="s">
        <v>8</v>
      </c>
      <c r="AV592" s="27" t="s">
        <v>7</v>
      </c>
      <c r="AW592" s="27" t="s">
        <v>8</v>
      </c>
      <c r="AX592" s="27" t="s">
        <v>7</v>
      </c>
      <c r="AY592" s="27" t="s">
        <v>8</v>
      </c>
      <c r="AZ592" s="27" t="s">
        <v>7</v>
      </c>
      <c r="BA592" s="27" t="s">
        <v>8</v>
      </c>
      <c r="BB592" s="27" t="s">
        <v>7</v>
      </c>
      <c r="BC592" s="27" t="s">
        <v>8</v>
      </c>
      <c r="EB592" s="27" t="s">
        <v>7</v>
      </c>
      <c r="EC592" s="27" t="s">
        <v>8</v>
      </c>
      <c r="IP592" s="27" t="s">
        <v>7</v>
      </c>
      <c r="IQ592" s="27" t="s">
        <v>8</v>
      </c>
      <c r="IS592" s="27" t="s">
        <v>8</v>
      </c>
      <c r="IT592" s="27" t="s">
        <v>7</v>
      </c>
    </row>
    <row r="593" spans="1:254" x14ac:dyDescent="0.25">
      <c r="A593" s="7">
        <v>0.8879713821861922</v>
      </c>
      <c r="B593"/>
      <c r="C593"/>
      <c r="D593"/>
      <c r="E593"/>
      <c r="T593" s="27" t="s">
        <v>7</v>
      </c>
      <c r="U593" s="27" t="s">
        <v>8</v>
      </c>
      <c r="V593" s="27" t="s">
        <v>7</v>
      </c>
      <c r="Y593" s="27" t="s">
        <v>8</v>
      </c>
      <c r="Z593" s="27" t="s">
        <v>7</v>
      </c>
      <c r="AA593" s="27" t="s">
        <v>8</v>
      </c>
      <c r="AB593" s="27" t="s">
        <v>7</v>
      </c>
      <c r="AC593" s="27" t="s">
        <v>8</v>
      </c>
      <c r="AH593" s="27" t="s">
        <v>7</v>
      </c>
      <c r="AI593" s="27" t="s">
        <v>8</v>
      </c>
      <c r="AJ593" s="27" t="s">
        <v>7</v>
      </c>
      <c r="AK593" s="27" t="s">
        <v>8</v>
      </c>
      <c r="AR593" s="27" t="s">
        <v>7</v>
      </c>
      <c r="AS593" s="27" t="s">
        <v>8</v>
      </c>
      <c r="AT593" s="27" t="s">
        <v>7</v>
      </c>
      <c r="AU593" s="27" t="s">
        <v>8</v>
      </c>
      <c r="AV593" s="27" t="s">
        <v>7</v>
      </c>
      <c r="AW593" s="27" t="s">
        <v>8</v>
      </c>
      <c r="AX593" s="27" t="s">
        <v>7</v>
      </c>
      <c r="AY593" s="27" t="s">
        <v>8</v>
      </c>
      <c r="AZ593" s="27" t="s">
        <v>7</v>
      </c>
      <c r="BA593" s="27" t="s">
        <v>8</v>
      </c>
      <c r="BB593" s="27" t="s">
        <v>7</v>
      </c>
      <c r="BC593" s="27" t="s">
        <v>8</v>
      </c>
      <c r="EB593" s="27" t="s">
        <v>7</v>
      </c>
      <c r="EC593" s="27" t="s">
        <v>8</v>
      </c>
      <c r="IP593" s="27" t="s">
        <v>7</v>
      </c>
      <c r="IQ593" s="27" t="s">
        <v>8</v>
      </c>
      <c r="IR593" s="27" t="s">
        <v>7</v>
      </c>
      <c r="IS593" s="27" t="s">
        <v>8</v>
      </c>
      <c r="IT593" s="27" t="s">
        <v>7</v>
      </c>
    </row>
    <row r="594" spans="1:254" x14ac:dyDescent="0.25">
      <c r="A594" s="7">
        <v>0.87056017861391399</v>
      </c>
      <c r="B594"/>
      <c r="C594"/>
      <c r="D594"/>
      <c r="E594"/>
      <c r="T594" s="27" t="s">
        <v>7</v>
      </c>
      <c r="U594" s="27" t="s">
        <v>8</v>
      </c>
      <c r="V594" s="27" t="s">
        <v>7</v>
      </c>
      <c r="Y594" s="27" t="s">
        <v>8</v>
      </c>
      <c r="Z594" s="27" t="s">
        <v>7</v>
      </c>
      <c r="AA594" s="27" t="s">
        <v>8</v>
      </c>
      <c r="AB594" s="27" t="s">
        <v>7</v>
      </c>
      <c r="AC594" s="27" t="s">
        <v>8</v>
      </c>
      <c r="AH594" s="27" t="s">
        <v>7</v>
      </c>
      <c r="AI594" s="27" t="s">
        <v>8</v>
      </c>
      <c r="AJ594" s="27" t="s">
        <v>7</v>
      </c>
      <c r="AR594" s="27" t="s">
        <v>7</v>
      </c>
      <c r="AS594" s="27" t="s">
        <v>8</v>
      </c>
      <c r="AT594" s="27" t="s">
        <v>7</v>
      </c>
      <c r="AU594" s="27" t="s">
        <v>8</v>
      </c>
      <c r="AV594" s="27" t="s">
        <v>7</v>
      </c>
      <c r="AW594" s="27" t="s">
        <v>8</v>
      </c>
      <c r="AX594" s="27" t="s">
        <v>7</v>
      </c>
      <c r="AY594" s="27" t="s">
        <v>8</v>
      </c>
      <c r="AZ594" s="27" t="s">
        <v>7</v>
      </c>
      <c r="BA594" s="27" t="s">
        <v>8</v>
      </c>
      <c r="BB594" s="27" t="s">
        <v>7</v>
      </c>
      <c r="BC594" s="27" t="s">
        <v>8</v>
      </c>
      <c r="EB594" s="27" t="s">
        <v>7</v>
      </c>
      <c r="IP594" s="27" t="s">
        <v>7</v>
      </c>
      <c r="IQ594" s="27" t="s">
        <v>8</v>
      </c>
      <c r="IR594" s="27" t="s">
        <v>7</v>
      </c>
      <c r="IS594" s="27" t="s">
        <v>8</v>
      </c>
      <c r="IT594" s="27" t="s">
        <v>7</v>
      </c>
    </row>
    <row r="595" spans="1:254" x14ac:dyDescent="0.25">
      <c r="A595" s="7">
        <v>0.85349037119011173</v>
      </c>
      <c r="B595"/>
      <c r="C595"/>
      <c r="D595"/>
      <c r="E595"/>
      <c r="T595" s="27" t="s">
        <v>7</v>
      </c>
      <c r="U595" s="27" t="s">
        <v>8</v>
      </c>
      <c r="V595" s="27" t="s">
        <v>7</v>
      </c>
      <c r="Y595" s="27" t="s">
        <v>8</v>
      </c>
      <c r="Z595" s="27" t="s">
        <v>7</v>
      </c>
      <c r="AA595" s="27" t="s">
        <v>8</v>
      </c>
      <c r="AB595" s="27" t="s">
        <v>7</v>
      </c>
      <c r="AC595" s="27" t="s">
        <v>8</v>
      </c>
      <c r="AH595" s="27" t="s">
        <v>7</v>
      </c>
      <c r="AI595" s="27" t="s">
        <v>8</v>
      </c>
      <c r="AR595" s="27" t="s">
        <v>7</v>
      </c>
      <c r="AS595" s="27" t="s">
        <v>8</v>
      </c>
      <c r="AT595" s="27" t="s">
        <v>7</v>
      </c>
      <c r="AU595" s="27" t="s">
        <v>8</v>
      </c>
      <c r="AV595" s="27" t="s">
        <v>7</v>
      </c>
      <c r="AW595" s="27" t="s">
        <v>8</v>
      </c>
      <c r="AX595" s="27" t="s">
        <v>7</v>
      </c>
      <c r="AY595" s="27" t="s">
        <v>8</v>
      </c>
      <c r="AZ595" s="27" t="s">
        <v>7</v>
      </c>
      <c r="BB595" s="27" t="s">
        <v>7</v>
      </c>
      <c r="BC595" s="27" t="s">
        <v>8</v>
      </c>
      <c r="IP595" s="27" t="s">
        <v>7</v>
      </c>
      <c r="IQ595" s="27" t="s">
        <v>8</v>
      </c>
      <c r="IR595" s="27" t="s">
        <v>7</v>
      </c>
      <c r="IS595" s="27" t="s">
        <v>8</v>
      </c>
      <c r="IT595" s="27" t="s">
        <v>7</v>
      </c>
    </row>
    <row r="596" spans="1:254" x14ac:dyDescent="0.25">
      <c r="A596" s="7">
        <v>0.83675526587265858</v>
      </c>
      <c r="B596"/>
      <c r="C596"/>
      <c r="D596"/>
      <c r="E596"/>
      <c r="T596" s="27" t="s">
        <v>7</v>
      </c>
      <c r="V596" s="27" t="s">
        <v>7</v>
      </c>
      <c r="W596" s="27" t="s">
        <v>8</v>
      </c>
      <c r="Y596" s="27" t="s">
        <v>8</v>
      </c>
      <c r="Z596" s="27" t="s">
        <v>7</v>
      </c>
      <c r="AA596" s="27" t="s">
        <v>8</v>
      </c>
      <c r="AB596" s="27" t="s">
        <v>7</v>
      </c>
      <c r="AC596" s="27" t="s">
        <v>8</v>
      </c>
      <c r="AH596" s="27" t="s">
        <v>7</v>
      </c>
      <c r="AI596" s="27" t="s">
        <v>8</v>
      </c>
      <c r="AR596" s="27" t="s">
        <v>7</v>
      </c>
      <c r="AS596" s="27" t="s">
        <v>8</v>
      </c>
      <c r="AT596" s="27" t="s">
        <v>7</v>
      </c>
      <c r="AU596" s="27" t="s">
        <v>8</v>
      </c>
      <c r="AV596" s="27" t="s">
        <v>7</v>
      </c>
      <c r="AW596" s="27" t="s">
        <v>8</v>
      </c>
      <c r="AX596" s="27" t="s">
        <v>7</v>
      </c>
      <c r="AY596" s="27" t="s">
        <v>8</v>
      </c>
      <c r="BB596" s="27" t="s">
        <v>7</v>
      </c>
      <c r="BC596" s="27" t="s">
        <v>8</v>
      </c>
      <c r="IP596" s="27" t="s">
        <v>7</v>
      </c>
      <c r="IQ596" s="27" t="s">
        <v>8</v>
      </c>
      <c r="IR596" s="27" t="s">
        <v>7</v>
      </c>
      <c r="IS596" s="27" t="s">
        <v>8</v>
      </c>
      <c r="IT596" s="27" t="s">
        <v>7</v>
      </c>
    </row>
    <row r="597" spans="1:254" x14ac:dyDescent="0.25">
      <c r="A597" s="7">
        <v>0.82034829987515545</v>
      </c>
      <c r="B597"/>
      <c r="C597"/>
      <c r="D597"/>
      <c r="E597"/>
      <c r="V597" s="27" t="s">
        <v>7</v>
      </c>
      <c r="W597" s="27" t="s">
        <v>8</v>
      </c>
      <c r="X597" s="27" t="s">
        <v>7</v>
      </c>
      <c r="Y597" s="27" t="s">
        <v>8</v>
      </c>
      <c r="Z597" s="27" t="s">
        <v>7</v>
      </c>
      <c r="AA597" s="27" t="s">
        <v>8</v>
      </c>
      <c r="AB597" s="27" t="s">
        <v>7</v>
      </c>
      <c r="AC597" s="27" t="s">
        <v>8</v>
      </c>
      <c r="AH597" s="27" t="s">
        <v>7</v>
      </c>
      <c r="AI597" s="27" t="s">
        <v>8</v>
      </c>
      <c r="AR597" s="27" t="s">
        <v>7</v>
      </c>
      <c r="AS597" s="27" t="s">
        <v>8</v>
      </c>
      <c r="AT597" s="27" t="s">
        <v>7</v>
      </c>
      <c r="AU597" s="27" t="s">
        <v>8</v>
      </c>
      <c r="AV597" s="27" t="s">
        <v>7</v>
      </c>
      <c r="AX597" s="27" t="s">
        <v>7</v>
      </c>
      <c r="BB597" s="27" t="s">
        <v>7</v>
      </c>
      <c r="IP597" s="27" t="s">
        <v>7</v>
      </c>
      <c r="IQ597" s="27" t="s">
        <v>8</v>
      </c>
      <c r="IR597" s="27" t="s">
        <v>7</v>
      </c>
      <c r="IS597" s="27" t="s">
        <v>8</v>
      </c>
    </row>
    <row r="598" spans="1:254" x14ac:dyDescent="0.25">
      <c r="A598" s="7">
        <v>0.80426303909328967</v>
      </c>
      <c r="B598"/>
      <c r="C598"/>
      <c r="D598"/>
      <c r="E598"/>
      <c r="V598" s="27" t="s">
        <v>7</v>
      </c>
      <c r="W598" s="27" t="s">
        <v>8</v>
      </c>
      <c r="X598" s="27" t="s">
        <v>7</v>
      </c>
      <c r="Y598" s="27" t="s">
        <v>8</v>
      </c>
      <c r="Z598" s="27" t="s">
        <v>7</v>
      </c>
      <c r="AA598" s="27" t="s">
        <v>8</v>
      </c>
      <c r="AB598" s="27" t="s">
        <v>7</v>
      </c>
      <c r="AC598" s="27" t="s">
        <v>8</v>
      </c>
      <c r="AH598" s="27" t="s">
        <v>7</v>
      </c>
      <c r="AI598" s="27" t="s">
        <v>8</v>
      </c>
      <c r="AR598" s="27" t="s">
        <v>7</v>
      </c>
      <c r="AS598" s="27" t="s">
        <v>8</v>
      </c>
      <c r="AT598" s="27" t="s">
        <v>7</v>
      </c>
      <c r="IP598" s="27" t="s">
        <v>7</v>
      </c>
      <c r="IQ598" s="27" t="s">
        <v>8</v>
      </c>
      <c r="IR598" s="27" t="s">
        <v>7</v>
      </c>
      <c r="IS598" s="27" t="s">
        <v>8</v>
      </c>
    </row>
    <row r="599" spans="1:254" x14ac:dyDescent="0.25">
      <c r="A599" s="7">
        <v>0.78849317558165644</v>
      </c>
      <c r="B599"/>
      <c r="C599"/>
      <c r="D599"/>
      <c r="E599"/>
      <c r="V599" s="27" t="s">
        <v>7</v>
      </c>
      <c r="W599" s="27" t="s">
        <v>8</v>
      </c>
      <c r="X599" s="27" t="s">
        <v>7</v>
      </c>
      <c r="Y599" s="27" t="s">
        <v>8</v>
      </c>
      <c r="Z599" s="27" t="s">
        <v>7</v>
      </c>
      <c r="AA599" s="27" t="s">
        <v>8</v>
      </c>
      <c r="AB599" s="27" t="s">
        <v>7</v>
      </c>
      <c r="AH599" s="27" t="s">
        <v>7</v>
      </c>
      <c r="AR599" s="27" t="s">
        <v>7</v>
      </c>
      <c r="AS599" s="27" t="s">
        <v>8</v>
      </c>
      <c r="IP599" s="27" t="s">
        <v>7</v>
      </c>
      <c r="IR599" s="27" t="s">
        <v>7</v>
      </c>
      <c r="IS599" s="27" t="s">
        <v>8</v>
      </c>
    </row>
    <row r="600" spans="1:254" x14ac:dyDescent="0.25">
      <c r="A600" s="7">
        <v>0.77303252508005538</v>
      </c>
      <c r="B600"/>
      <c r="C600"/>
      <c r="D600"/>
      <c r="E600"/>
      <c r="V600" s="27" t="s">
        <v>7</v>
      </c>
      <c r="X600" s="27" t="s">
        <v>7</v>
      </c>
      <c r="Y600" s="27" t="s">
        <v>8</v>
      </c>
      <c r="Z600" s="27" t="s">
        <v>7</v>
      </c>
      <c r="AA600" s="27" t="s">
        <v>8</v>
      </c>
      <c r="AR600" s="27" t="s">
        <v>7</v>
      </c>
      <c r="IR600" s="27" t="s">
        <v>7</v>
      </c>
      <c r="IS600" s="27" t="s">
        <v>8</v>
      </c>
    </row>
    <row r="601" spans="1:254" x14ac:dyDescent="0.25">
      <c r="A601" s="7">
        <v>0.75787502458828959</v>
      </c>
      <c r="B601"/>
      <c r="C601"/>
      <c r="D601"/>
      <c r="E601"/>
      <c r="X601" s="27" t="s">
        <v>7</v>
      </c>
      <c r="Y601" s="27" t="s">
        <v>8</v>
      </c>
      <c r="Z601" s="27" t="s">
        <v>7</v>
      </c>
      <c r="AA601" s="27" t="s">
        <v>8</v>
      </c>
      <c r="IR601" s="27" t="s">
        <v>7</v>
      </c>
      <c r="IS601" s="27" t="s">
        <v>8</v>
      </c>
    </row>
    <row r="602" spans="1:254" x14ac:dyDescent="0.25">
      <c r="A602" s="7">
        <v>0.74301472998851925</v>
      </c>
      <c r="B602"/>
      <c r="C602"/>
      <c r="D602"/>
      <c r="E602"/>
      <c r="X602" s="27" t="s">
        <v>7</v>
      </c>
      <c r="Y602" s="27" t="s">
        <v>8</v>
      </c>
      <c r="Z602" s="27" t="s">
        <v>7</v>
      </c>
      <c r="AA602" s="27" t="s">
        <v>8</v>
      </c>
      <c r="IR602" s="27" t="s">
        <v>7</v>
      </c>
      <c r="IS602" s="27" t="s">
        <v>8</v>
      </c>
    </row>
    <row r="603" spans="1:254" x14ac:dyDescent="0.25">
      <c r="A603" s="7">
        <v>0.72844581371423456</v>
      </c>
      <c r="B603"/>
      <c r="C603"/>
      <c r="D603"/>
      <c r="E603"/>
      <c r="X603" s="27" t="s">
        <v>7</v>
      </c>
      <c r="Y603" s="27" t="s">
        <v>8</v>
      </c>
      <c r="Z603" s="27" t="s">
        <v>7</v>
      </c>
      <c r="AA603" s="27" t="s">
        <v>8</v>
      </c>
      <c r="IR603" s="27" t="s">
        <v>7</v>
      </c>
    </row>
    <row r="604" spans="1:254" x14ac:dyDescent="0.25">
      <c r="A604" s="7">
        <v>0.71416256246493581</v>
      </c>
      <c r="B604"/>
      <c r="C604"/>
      <c r="D604"/>
      <c r="E604"/>
      <c r="X604" s="27" t="s">
        <v>7</v>
      </c>
      <c r="Y604" s="27" t="s">
        <v>8</v>
      </c>
      <c r="Z604" s="27" t="s">
        <v>7</v>
      </c>
      <c r="AA604" s="27" t="s">
        <v>8</v>
      </c>
    </row>
    <row r="605" spans="1:254" x14ac:dyDescent="0.25">
      <c r="A605" s="7">
        <v>0.7001593749656233</v>
      </c>
      <c r="B605"/>
      <c r="C605"/>
      <c r="D605"/>
      <c r="E605"/>
      <c r="X605" s="27" t="s">
        <v>7</v>
      </c>
      <c r="Y605" s="27" t="s">
        <v>8</v>
      </c>
      <c r="Z605" s="27" t="s">
        <v>7</v>
      </c>
    </row>
    <row r="606" spans="1:254" x14ac:dyDescent="0.25">
      <c r="A606" s="7">
        <v>0.68643075977021883</v>
      </c>
      <c r="B606"/>
      <c r="C606"/>
      <c r="D606"/>
      <c r="E606"/>
      <c r="X606" s="27" t="s">
        <v>7</v>
      </c>
      <c r="Y606" s="27" t="s">
        <v>8</v>
      </c>
    </row>
    <row r="607" spans="1:254" x14ac:dyDescent="0.25">
      <c r="A607" s="7">
        <v>0.67297133310805768</v>
      </c>
      <c r="B607"/>
      <c r="C607"/>
      <c r="D607"/>
      <c r="E607"/>
      <c r="X607" s="27" t="s">
        <v>7</v>
      </c>
      <c r="Y607" s="27" t="s">
        <v>8</v>
      </c>
    </row>
    <row r="608" spans="1:254" x14ac:dyDescent="0.25">
      <c r="A608" s="7">
        <v>0.65977581677260566</v>
      </c>
      <c r="B608"/>
      <c r="C608"/>
      <c r="D608"/>
      <c r="E608"/>
      <c r="X608" s="27" t="s">
        <v>7</v>
      </c>
      <c r="Y608" s="27" t="s">
        <v>8</v>
      </c>
    </row>
    <row r="609" spans="1:25" x14ac:dyDescent="0.25">
      <c r="A609" s="7">
        <v>0.64683903605157422</v>
      </c>
      <c r="B609"/>
      <c r="C609"/>
      <c r="D609"/>
      <c r="E609"/>
      <c r="X609" s="27" t="s">
        <v>7</v>
      </c>
      <c r="Y609" s="27" t="s">
        <v>8</v>
      </c>
    </row>
    <row r="610" spans="1:25" x14ac:dyDescent="0.25">
      <c r="A610" s="7">
        <v>0.63415591769762181</v>
      </c>
      <c r="B610"/>
      <c r="C610"/>
      <c r="D610"/>
      <c r="E610"/>
      <c r="X610" s="27" t="s">
        <v>7</v>
      </c>
      <c r="Y610" s="27" t="s">
        <v>8</v>
      </c>
    </row>
    <row r="611" spans="1:25" x14ac:dyDescent="0.25">
      <c r="A611" s="7">
        <v>0.62172148793884496</v>
      </c>
      <c r="B611"/>
      <c r="C611"/>
      <c r="D611"/>
      <c r="E611"/>
      <c r="X611" s="27" t="s">
        <v>7</v>
      </c>
      <c r="Y611" s="27" t="s">
        <v>8</v>
      </c>
    </row>
    <row r="612" spans="1:25" x14ac:dyDescent="0.25">
      <c r="A612" s="7">
        <v>0.60953087052827937</v>
      </c>
      <c r="B612"/>
      <c r="C612"/>
      <c r="D612"/>
      <c r="E612"/>
      <c r="X612" s="27" t="s">
        <v>7</v>
      </c>
    </row>
    <row r="613" spans="1:25" x14ac:dyDescent="0.25">
      <c r="A613" s="7">
        <v>0.59757928483164646</v>
      </c>
      <c r="B613"/>
      <c r="C613"/>
      <c r="D613"/>
      <c r="E613"/>
    </row>
    <row r="614" spans="1:25" x14ac:dyDescent="0.25">
      <c r="A614" s="7">
        <v>0.58586204395259456</v>
      </c>
      <c r="B614"/>
      <c r="C614"/>
      <c r="D614"/>
      <c r="E614"/>
    </row>
    <row r="615" spans="1:25" x14ac:dyDescent="0.25">
      <c r="A615" s="7">
        <v>0.57437455289470052</v>
      </c>
      <c r="B615"/>
      <c r="C615"/>
      <c r="D615"/>
      <c r="E615"/>
    </row>
    <row r="616" spans="1:25" x14ac:dyDescent="0.25">
      <c r="A616" s="7">
        <v>0.56311230675951029</v>
      </c>
      <c r="B616"/>
      <c r="C616"/>
      <c r="D616"/>
      <c r="E616"/>
    </row>
    <row r="617" spans="1:25" x14ac:dyDescent="0.25">
      <c r="A617" s="7">
        <v>0.55207088897991208</v>
      </c>
      <c r="B617"/>
      <c r="C617"/>
      <c r="D617"/>
      <c r="E617"/>
    </row>
    <row r="618" spans="1:25" x14ac:dyDescent="0.25">
      <c r="A618" s="7">
        <v>0.54124596958814908</v>
      </c>
      <c r="B618"/>
      <c r="C618"/>
      <c r="D618"/>
      <c r="E618"/>
    </row>
    <row r="619" spans="1:25" x14ac:dyDescent="0.25">
      <c r="A619" s="7">
        <v>0.53063330351779314</v>
      </c>
      <c r="B619"/>
      <c r="C619"/>
      <c r="D619"/>
      <c r="E619"/>
    </row>
    <row r="620" spans="1:25" x14ac:dyDescent="0.25">
      <c r="A620" s="7">
        <v>0.52022872893901284</v>
      </c>
      <c r="B620"/>
      <c r="C620"/>
      <c r="D620"/>
      <c r="E620"/>
    </row>
    <row r="621" spans="1:25" x14ac:dyDescent="0.25">
      <c r="A621" s="7">
        <v>0.51002816562648323</v>
      </c>
      <c r="B621"/>
      <c r="C621"/>
      <c r="D621"/>
      <c r="E621"/>
    </row>
    <row r="622" spans="1:25" x14ac:dyDescent="0.25">
      <c r="A622" s="7">
        <v>0.50002761335929735</v>
      </c>
      <c r="B622"/>
      <c r="C622"/>
      <c r="D622"/>
      <c r="E622"/>
    </row>
    <row r="623" spans="1:25" x14ac:dyDescent="0.25">
      <c r="A623" s="7">
        <v>0.49022315035225228</v>
      </c>
      <c r="B623"/>
      <c r="C623"/>
      <c r="D623"/>
      <c r="E623"/>
    </row>
    <row r="624" spans="1:2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05" operator="equal">
      <formula>$U$1</formula>
    </cfRule>
    <cfRule type="cellIs" dxfId="89" priority="906" operator="equal">
      <formula>$S$1</formula>
    </cfRule>
  </conditionalFormatting>
  <conditionalFormatting sqref="D27">
    <cfRule type="cellIs" dxfId="88" priority="903" operator="equal">
      <formula>$S$1</formula>
    </cfRule>
    <cfRule type="cellIs" dxfId="87" priority="904" operator="equal">
      <formula>$U$1</formula>
    </cfRule>
  </conditionalFormatting>
  <conditionalFormatting sqref="C164">
    <cfRule type="cellIs" dxfId="86" priority="901" operator="equal">
      <formula>$U$1</formula>
    </cfRule>
    <cfRule type="cellIs" dxfId="85" priority="902" operator="equal">
      <formula>$S$1</formula>
    </cfRule>
  </conditionalFormatting>
  <conditionalFormatting sqref="D164">
    <cfRule type="cellIs" dxfId="84" priority="899" operator="equal">
      <formula>$S$1</formula>
    </cfRule>
    <cfRule type="cellIs" dxfId="83" priority="900" operator="equal">
      <formula>$U$1</formula>
    </cfRule>
  </conditionalFormatting>
  <conditionalFormatting sqref="C55">
    <cfRule type="cellIs" dxfId="82" priority="897" operator="equal">
      <formula>$U$1</formula>
    </cfRule>
    <cfRule type="cellIs" dxfId="81" priority="898" operator="equal">
      <formula>$S$1</formula>
    </cfRule>
  </conditionalFormatting>
  <conditionalFormatting sqref="D55">
    <cfRule type="cellIs" dxfId="80" priority="895" operator="equal">
      <formula>$S$1</formula>
    </cfRule>
    <cfRule type="cellIs" dxfId="79" priority="896" operator="equal">
      <formula>$U$1</formula>
    </cfRule>
  </conditionalFormatting>
  <conditionalFormatting sqref="C89">
    <cfRule type="cellIs" dxfId="78" priority="893" operator="equal">
      <formula>$U$1</formula>
    </cfRule>
    <cfRule type="cellIs" dxfId="77" priority="894" operator="equal">
      <formula>$S$1</formula>
    </cfRule>
  </conditionalFormatting>
  <conditionalFormatting sqref="D89">
    <cfRule type="cellIs" dxfId="76" priority="891" operator="equal">
      <formula>$S$1</formula>
    </cfRule>
    <cfRule type="cellIs" dxfId="75" priority="892" operator="equal">
      <formula>$U$1</formula>
    </cfRule>
  </conditionalFormatting>
  <conditionalFormatting sqref="C136">
    <cfRule type="cellIs" dxfId="74" priority="889" operator="equal">
      <formula>$U$1</formula>
    </cfRule>
    <cfRule type="cellIs" dxfId="73" priority="890" operator="equal">
      <formula>$S$1</formula>
    </cfRule>
  </conditionalFormatting>
  <conditionalFormatting sqref="D136">
    <cfRule type="cellIs" dxfId="72" priority="887" operator="equal">
      <formula>$S$1</formula>
    </cfRule>
    <cfRule type="cellIs" dxfId="71" priority="888" operator="equal">
      <formula>$U$1</formula>
    </cfRule>
  </conditionalFormatting>
  <conditionalFormatting sqref="C1">
    <cfRule type="cellIs" dxfId="70" priority="88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3" zoomScale="90" zoomScaleNormal="90" workbookViewId="0">
      <pane xSplit="4" topLeftCell="BV1" activePane="topRight" state="frozen"/>
      <selection activeCell="A109" sqref="A109"/>
      <selection pane="topRight" activeCell="EK242" sqref="EK24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$A$241</v>
      </c>
      <c r="D111" s="1" t="str">
        <f>ADDRESS(C121-1,D121,1,1)</f>
        <v>$EK$241</v>
      </c>
      <c r="E111"/>
    </row>
    <row r="112" spans="1:5" x14ac:dyDescent="0.25">
      <c r="A112" s="30">
        <v>515.50191262726139</v>
      </c>
      <c r="C112" s="1" t="str">
        <f>ADDRESS(C121,1,1,1)</f>
        <v>$A$242</v>
      </c>
      <c r="D112" s="1" t="str">
        <f>ADDRESS(C121,D121-1,1,1)</f>
        <v>$EJ$242</v>
      </c>
      <c r="E112"/>
    </row>
    <row r="113" spans="1:5" x14ac:dyDescent="0.25">
      <c r="A113" s="30">
        <v>490.95420250215363</v>
      </c>
      <c r="C113" s="1" t="str">
        <f>ADDRESS(C121+1,1,1,1)</f>
        <v>$A$243</v>
      </c>
      <c r="D113" s="1" t="str">
        <f>ADDRESS(C121-1,D121+1,1,1)</f>
        <v>$EL$241</v>
      </c>
    </row>
    <row r="114" spans="1:5" x14ac:dyDescent="0.25">
      <c r="A114" s="30">
        <v>467.57543095443202</v>
      </c>
      <c r="C114" s="1" t="str">
        <f>ADDRESS(C121,D121,1,1)</f>
        <v>$EK$242</v>
      </c>
      <c r="D114" s="1" t="str">
        <f>ADDRESS(C121+1,D121+1,1,1)</f>
        <v>$EL$243</v>
      </c>
    </row>
    <row r="115" spans="1:5" x14ac:dyDescent="0.25">
      <c r="A115" s="30">
        <v>445.30993424231622</v>
      </c>
      <c r="C115" s="1" t="str">
        <f>ADDRESS(C121+1,D121,1,1)</f>
        <v>$EK$243</v>
      </c>
    </row>
    <row r="116" spans="1:5" x14ac:dyDescent="0.25">
      <c r="A116" s="30">
        <v>424.10469927839637</v>
      </c>
      <c r="C116" s="1">
        <f>C117-1</f>
        <v>241</v>
      </c>
    </row>
    <row r="117" spans="1:5" x14ac:dyDescent="0.25">
      <c r="A117" s="30">
        <v>403.9092374079965</v>
      </c>
      <c r="C117" s="1">
        <f>C121</f>
        <v>242</v>
      </c>
      <c r="D117" s="1">
        <f>D121</f>
        <v>141</v>
      </c>
    </row>
    <row r="118" spans="1:5" x14ac:dyDescent="0.25">
      <c r="A118" s="30">
        <v>384.6754641980919</v>
      </c>
      <c r="C118" s="1">
        <f>C117+1</f>
        <v>243</v>
      </c>
      <c r="D118" s="1">
        <f>D117+1</f>
        <v>142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242</v>
      </c>
      <c r="D121" s="19">
        <v>141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R242</v>
      </c>
      <c r="D123" s="1" t="str">
        <f>"C"&amp;D121</f>
        <v>C141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0.90702947845804915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68" x14ac:dyDescent="0.25">
      <c r="A193" s="30">
        <v>9.9059710923258422</v>
      </c>
      <c r="E193"/>
    </row>
    <row r="194" spans="1:68" x14ac:dyDescent="0.25">
      <c r="A194" s="30">
        <v>9.4342581831674686</v>
      </c>
      <c r="E194"/>
    </row>
    <row r="195" spans="1:68" x14ac:dyDescent="0.25">
      <c r="A195" s="30">
        <v>8.9850077934928265</v>
      </c>
      <c r="E195"/>
    </row>
    <row r="196" spans="1:68" x14ac:dyDescent="0.25">
      <c r="A196" s="30">
        <v>8.5571502795169767</v>
      </c>
      <c r="E196"/>
    </row>
    <row r="197" spans="1:68" x14ac:dyDescent="0.25">
      <c r="A197" s="30">
        <v>8.1496669328733109</v>
      </c>
      <c r="E197"/>
    </row>
    <row r="198" spans="1:68" x14ac:dyDescent="0.25">
      <c r="A198" s="30">
        <v>7.7615875551174378</v>
      </c>
      <c r="E198"/>
    </row>
    <row r="199" spans="1:68" x14ac:dyDescent="0.25">
      <c r="A199" s="30">
        <v>7.3919881477308929</v>
      </c>
      <c r="E199"/>
    </row>
    <row r="200" spans="1:68" x14ac:dyDescent="0.25">
      <c r="A200" s="30">
        <v>7.0399887121246598</v>
      </c>
      <c r="E200"/>
    </row>
    <row r="201" spans="1:68" x14ac:dyDescent="0.25">
      <c r="A201" s="30">
        <v>6.7047511544044376</v>
      </c>
      <c r="E201"/>
    </row>
    <row r="202" spans="1:68" x14ac:dyDescent="0.25">
      <c r="A202" s="30">
        <v>6.3854772899089882</v>
      </c>
      <c r="E202"/>
    </row>
    <row r="203" spans="1:68" x14ac:dyDescent="0.25">
      <c r="A203" s="30">
        <v>6.0814069427704647</v>
      </c>
      <c r="C203" s="7"/>
      <c r="D203"/>
      <c r="E203" t="s">
        <v>8</v>
      </c>
    </row>
    <row r="204" spans="1:68" x14ac:dyDescent="0.25">
      <c r="A204" s="30">
        <v>5.7918161359718709</v>
      </c>
      <c r="E204" t="s">
        <v>8</v>
      </c>
      <c r="F204" s="27" t="s">
        <v>7</v>
      </c>
      <c r="BO204" s="27" t="s">
        <v>8</v>
      </c>
    </row>
    <row r="205" spans="1:68" x14ac:dyDescent="0.25">
      <c r="A205" s="30">
        <v>5.5160153675922574</v>
      </c>
      <c r="E205" t="s">
        <v>8</v>
      </c>
      <c r="F205" s="27" t="s">
        <v>7</v>
      </c>
      <c r="G205" s="27" t="s">
        <v>8</v>
      </c>
      <c r="BM205" s="27" t="s">
        <v>8</v>
      </c>
      <c r="BO205" s="27" t="s">
        <v>8</v>
      </c>
      <c r="BP205" s="27" t="s">
        <v>7</v>
      </c>
    </row>
    <row r="206" spans="1:68" x14ac:dyDescent="0.25">
      <c r="A206" s="30">
        <v>5.2533479691354827</v>
      </c>
      <c r="C206"/>
      <c r="D206"/>
      <c r="E206" t="s">
        <v>8</v>
      </c>
      <c r="F206" s="27" t="s">
        <v>7</v>
      </c>
      <c r="G206" s="27" t="s">
        <v>8</v>
      </c>
      <c r="H206" s="27" t="s">
        <v>7</v>
      </c>
      <c r="BM206" s="27" t="s">
        <v>8</v>
      </c>
      <c r="BN206" s="27" t="s">
        <v>7</v>
      </c>
      <c r="BO206" s="27" t="s">
        <v>8</v>
      </c>
      <c r="BP206" s="27" t="s">
        <v>7</v>
      </c>
    </row>
    <row r="207" spans="1:68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H207" s="27" t="s">
        <v>7</v>
      </c>
      <c r="BM207" s="27" t="s">
        <v>8</v>
      </c>
      <c r="BN207" s="27" t="s">
        <v>7</v>
      </c>
      <c r="BO207" s="27" t="s">
        <v>8</v>
      </c>
      <c r="BP207" s="27" t="s">
        <v>7</v>
      </c>
    </row>
    <row r="208" spans="1:68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  <c r="BM208" s="27" t="s">
        <v>8</v>
      </c>
      <c r="BN208" s="27" t="s">
        <v>7</v>
      </c>
      <c r="BP208" s="27" t="s">
        <v>7</v>
      </c>
    </row>
    <row r="209" spans="1:132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BM209" s="27" t="s">
        <v>8</v>
      </c>
      <c r="BP209" s="27" t="s">
        <v>7</v>
      </c>
      <c r="BS209" s="27" t="s">
        <v>8</v>
      </c>
      <c r="BU209" s="27" t="s">
        <v>8</v>
      </c>
      <c r="BW209" s="27" t="s">
        <v>8</v>
      </c>
    </row>
    <row r="210" spans="1:132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BM210" s="27" t="s">
        <v>8</v>
      </c>
      <c r="BP210" s="27" t="s">
        <v>7</v>
      </c>
      <c r="BS210" s="27" t="s">
        <v>8</v>
      </c>
      <c r="BT210" s="27" t="s">
        <v>7</v>
      </c>
      <c r="BU210" s="27" t="s">
        <v>8</v>
      </c>
      <c r="BV210" s="27" t="s">
        <v>7</v>
      </c>
      <c r="BW210" s="27" t="s">
        <v>8</v>
      </c>
      <c r="BX210" s="27" t="s">
        <v>7</v>
      </c>
    </row>
    <row r="211" spans="1:132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BI211" s="27" t="s">
        <v>8</v>
      </c>
      <c r="BK211" s="27" t="s">
        <v>8</v>
      </c>
      <c r="BM211" s="27" t="s">
        <v>8</v>
      </c>
      <c r="BP211" s="27" t="s">
        <v>7</v>
      </c>
      <c r="BQ211" s="27" t="s">
        <v>8</v>
      </c>
      <c r="BS211" s="27" t="s">
        <v>8</v>
      </c>
      <c r="BT211" s="27" t="s">
        <v>7</v>
      </c>
      <c r="BU211" s="27" t="s">
        <v>8</v>
      </c>
      <c r="BV211" s="27" t="s">
        <v>7</v>
      </c>
      <c r="BW211" s="27" t="s">
        <v>8</v>
      </c>
      <c r="BX211" s="27" t="s">
        <v>7</v>
      </c>
    </row>
    <row r="212" spans="1:132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H212" s="27" t="s">
        <v>7</v>
      </c>
      <c r="BI212" s="27" t="s">
        <v>8</v>
      </c>
      <c r="BJ212" s="27" t="s">
        <v>7</v>
      </c>
      <c r="BK212" s="27" t="s">
        <v>8</v>
      </c>
      <c r="BL212" s="27" t="s">
        <v>7</v>
      </c>
      <c r="BM212" s="27" t="s">
        <v>8</v>
      </c>
      <c r="BP212" s="27" t="s">
        <v>7</v>
      </c>
      <c r="BQ212" s="27" t="s">
        <v>8</v>
      </c>
      <c r="BR212" s="27" t="s">
        <v>7</v>
      </c>
      <c r="BS212" s="27" t="s">
        <v>8</v>
      </c>
      <c r="BT212" s="27" t="s">
        <v>7</v>
      </c>
      <c r="BU212" s="27" t="s">
        <v>8</v>
      </c>
      <c r="BV212" s="27" t="s">
        <v>7</v>
      </c>
      <c r="BX212" s="27" t="s">
        <v>7</v>
      </c>
      <c r="BY212" s="27" t="s">
        <v>8</v>
      </c>
    </row>
    <row r="213" spans="1:132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H213" s="27" t="s">
        <v>7</v>
      </c>
      <c r="BG213" s="27" t="s">
        <v>8</v>
      </c>
      <c r="BI213" s="27" t="s">
        <v>8</v>
      </c>
      <c r="BJ213" s="27" t="s">
        <v>7</v>
      </c>
      <c r="BK213" s="27" t="s">
        <v>8</v>
      </c>
      <c r="BL213" s="27" t="s">
        <v>7</v>
      </c>
      <c r="BM213" s="27" t="s">
        <v>8</v>
      </c>
      <c r="BP213" s="27" t="s">
        <v>7</v>
      </c>
      <c r="BQ213" s="27" t="s">
        <v>8</v>
      </c>
      <c r="BR213" s="27" t="s">
        <v>7</v>
      </c>
      <c r="BS213" s="27" t="s">
        <v>8</v>
      </c>
      <c r="BT213" s="27" t="s">
        <v>7</v>
      </c>
      <c r="BU213" s="27" t="s">
        <v>8</v>
      </c>
      <c r="BX213" s="27" t="s">
        <v>7</v>
      </c>
      <c r="BY213" s="27" t="s">
        <v>8</v>
      </c>
      <c r="BZ213" s="27" t="s">
        <v>7</v>
      </c>
    </row>
    <row r="214" spans="1:132" x14ac:dyDescent="0.25">
      <c r="A214" s="30">
        <v>3.5556726879443583</v>
      </c>
      <c r="E214" t="s">
        <v>8</v>
      </c>
      <c r="F214" s="27" t="s">
        <v>7</v>
      </c>
      <c r="G214" s="27" t="s">
        <v>8</v>
      </c>
      <c r="H214" s="27" t="s">
        <v>7</v>
      </c>
      <c r="AU214" s="27" t="s">
        <v>8</v>
      </c>
      <c r="AY214" s="27" t="s">
        <v>8</v>
      </c>
      <c r="BG214" s="27" t="s">
        <v>8</v>
      </c>
      <c r="BH214" s="27" t="s">
        <v>7</v>
      </c>
      <c r="BI214" s="27" t="s">
        <v>8</v>
      </c>
      <c r="BJ214" s="27" t="s">
        <v>7</v>
      </c>
      <c r="BL214" s="27" t="s">
        <v>7</v>
      </c>
      <c r="BM214" s="27" t="s">
        <v>8</v>
      </c>
      <c r="BP214" s="27" t="s">
        <v>7</v>
      </c>
      <c r="BQ214" s="27" t="s">
        <v>8</v>
      </c>
      <c r="BR214" s="27" t="s">
        <v>7</v>
      </c>
      <c r="BT214" s="27" t="s">
        <v>7</v>
      </c>
      <c r="BU214" s="27" t="s">
        <v>8</v>
      </c>
      <c r="BX214" s="27" t="s">
        <v>7</v>
      </c>
      <c r="BY214" s="27" t="s">
        <v>8</v>
      </c>
      <c r="BZ214" s="27" t="s">
        <v>7</v>
      </c>
      <c r="CA214" s="27" t="s">
        <v>8</v>
      </c>
      <c r="DQ214" s="27" t="s">
        <v>8</v>
      </c>
    </row>
    <row r="215" spans="1:132" x14ac:dyDescent="0.25">
      <c r="A215" s="30">
        <v>3.3863549408993889</v>
      </c>
      <c r="E215" t="s">
        <v>8</v>
      </c>
      <c r="F215" s="27" t="s">
        <v>7</v>
      </c>
      <c r="G215" s="27" t="s">
        <v>8</v>
      </c>
      <c r="H215" s="27" t="s">
        <v>7</v>
      </c>
      <c r="AU215" s="27" t="s">
        <v>8</v>
      </c>
      <c r="AV215" s="27" t="s">
        <v>7</v>
      </c>
      <c r="AY215" s="27" t="s">
        <v>8</v>
      </c>
      <c r="AZ215" s="27" t="s">
        <v>7</v>
      </c>
      <c r="BG215" s="27" t="s">
        <v>8</v>
      </c>
      <c r="BH215" s="27" t="s">
        <v>7</v>
      </c>
      <c r="BI215" s="27" t="s">
        <v>8</v>
      </c>
      <c r="BL215" s="27" t="s">
        <v>7</v>
      </c>
      <c r="BM215" s="27" t="s">
        <v>8</v>
      </c>
      <c r="BP215" s="27" t="s">
        <v>7</v>
      </c>
      <c r="BQ215" s="27" t="s">
        <v>8</v>
      </c>
      <c r="BT215" s="27" t="s">
        <v>7</v>
      </c>
      <c r="BU215" s="27" t="s">
        <v>8</v>
      </c>
      <c r="BX215" s="27" t="s">
        <v>7</v>
      </c>
      <c r="BZ215" s="27" t="s">
        <v>7</v>
      </c>
      <c r="CA215" s="27" t="s">
        <v>8</v>
      </c>
      <c r="CB215" s="27" t="s">
        <v>7</v>
      </c>
      <c r="DQ215" s="27" t="s">
        <v>8</v>
      </c>
      <c r="DR215" s="27" t="s">
        <v>7</v>
      </c>
    </row>
    <row r="216" spans="1:132" x14ac:dyDescent="0.25">
      <c r="A216" s="30">
        <v>3.2250999437137038</v>
      </c>
      <c r="E216" t="s">
        <v>8</v>
      </c>
      <c r="F216" s="27" t="s">
        <v>7</v>
      </c>
      <c r="G216" s="27" t="s">
        <v>8</v>
      </c>
      <c r="H216" s="27" t="s">
        <v>7</v>
      </c>
      <c r="AU216" s="27" t="s">
        <v>8</v>
      </c>
      <c r="AV216" s="27" t="s">
        <v>7</v>
      </c>
      <c r="AW216" s="27" t="s">
        <v>8</v>
      </c>
      <c r="AY216" s="27" t="s">
        <v>8</v>
      </c>
      <c r="AZ216" s="27" t="s">
        <v>7</v>
      </c>
      <c r="BG216" s="27" t="s">
        <v>8</v>
      </c>
      <c r="BH216" s="27" t="s">
        <v>7</v>
      </c>
      <c r="BI216" s="27" t="s">
        <v>8</v>
      </c>
      <c r="BL216" s="27" t="s">
        <v>7</v>
      </c>
      <c r="BM216" s="27" t="s">
        <v>8</v>
      </c>
      <c r="BP216" s="27" t="s">
        <v>7</v>
      </c>
      <c r="BT216" s="27" t="s">
        <v>7</v>
      </c>
      <c r="BU216" s="27" t="s">
        <v>8</v>
      </c>
      <c r="BZ216" s="27" t="s">
        <v>7</v>
      </c>
      <c r="CA216" s="27" t="s">
        <v>8</v>
      </c>
      <c r="CB216" s="27" t="s">
        <v>7</v>
      </c>
      <c r="DQ216" s="27" t="s">
        <v>8</v>
      </c>
      <c r="DR216" s="27" t="s">
        <v>7</v>
      </c>
    </row>
    <row r="217" spans="1:132" x14ac:dyDescent="0.25">
      <c r="A217" s="30">
        <v>3.0715237559178128</v>
      </c>
      <c r="E217" t="s">
        <v>8</v>
      </c>
      <c r="F217" s="27" t="s">
        <v>7</v>
      </c>
      <c r="G217" s="27" t="s">
        <v>8</v>
      </c>
      <c r="H217" s="27" t="s">
        <v>7</v>
      </c>
      <c r="AU217" s="27" t="s">
        <v>8</v>
      </c>
      <c r="AV217" s="27" t="s">
        <v>7</v>
      </c>
      <c r="AW217" s="27" t="s">
        <v>8</v>
      </c>
      <c r="AX217" s="27" t="s">
        <v>7</v>
      </c>
      <c r="AY217" s="27" t="s">
        <v>8</v>
      </c>
      <c r="AZ217" s="27" t="s">
        <v>7</v>
      </c>
      <c r="BE217" s="27" t="s">
        <v>8</v>
      </c>
      <c r="BG217" s="27" t="s">
        <v>8</v>
      </c>
      <c r="BH217" s="27" t="s">
        <v>7</v>
      </c>
      <c r="BL217" s="27" t="s">
        <v>7</v>
      </c>
      <c r="BM217" s="27" t="s">
        <v>8</v>
      </c>
      <c r="BT217" s="27" t="s">
        <v>7</v>
      </c>
      <c r="BU217" s="27" t="s">
        <v>8</v>
      </c>
      <c r="BZ217" s="27" t="s">
        <v>7</v>
      </c>
      <c r="CA217" s="27" t="s">
        <v>8</v>
      </c>
      <c r="CB217" s="27" t="s">
        <v>7</v>
      </c>
      <c r="DQ217" s="27" t="s">
        <v>8</v>
      </c>
      <c r="DR217" s="27" t="s">
        <v>7</v>
      </c>
    </row>
    <row r="218" spans="1:132" x14ac:dyDescent="0.25">
      <c r="A218" s="30">
        <v>2.9252607199217264</v>
      </c>
      <c r="E218" t="s">
        <v>8</v>
      </c>
      <c r="F218" s="27" t="s">
        <v>7</v>
      </c>
      <c r="H218" s="27" t="s">
        <v>7</v>
      </c>
      <c r="AS218" s="27" t="s">
        <v>8</v>
      </c>
      <c r="AU218" s="27" t="s">
        <v>8</v>
      </c>
      <c r="AV218" s="27" t="s">
        <v>7</v>
      </c>
      <c r="AW218" s="27" t="s">
        <v>8</v>
      </c>
      <c r="AX218" s="27" t="s">
        <v>7</v>
      </c>
      <c r="AY218" s="27" t="s">
        <v>8</v>
      </c>
      <c r="AZ218" s="27" t="s">
        <v>7</v>
      </c>
      <c r="BE218" s="27" t="s">
        <v>8</v>
      </c>
      <c r="BF218" s="27" t="s">
        <v>7</v>
      </c>
      <c r="BG218" s="27" t="s">
        <v>8</v>
      </c>
      <c r="BL218" s="27" t="s">
        <v>7</v>
      </c>
      <c r="BM218" s="27" t="s">
        <v>8</v>
      </c>
      <c r="BT218" s="27" t="s">
        <v>7</v>
      </c>
      <c r="BZ218" s="27" t="s">
        <v>7</v>
      </c>
      <c r="CB218" s="27" t="s">
        <v>7</v>
      </c>
      <c r="DQ218" s="27" t="s">
        <v>8</v>
      </c>
      <c r="DR218" s="27" t="s">
        <v>7</v>
      </c>
      <c r="DU218" s="27" t="s">
        <v>8</v>
      </c>
      <c r="EA218" s="27" t="s">
        <v>8</v>
      </c>
    </row>
    <row r="219" spans="1:132" x14ac:dyDescent="0.25">
      <c r="A219" s="30">
        <v>2.7859625904016441</v>
      </c>
      <c r="E219" t="s">
        <v>8</v>
      </c>
      <c r="H219" s="27" t="s">
        <v>7</v>
      </c>
      <c r="AS219" s="27" t="s">
        <v>8</v>
      </c>
      <c r="AT219" s="27" t="s">
        <v>7</v>
      </c>
      <c r="AU219" s="27" t="s">
        <v>8</v>
      </c>
      <c r="AV219" s="27" t="s">
        <v>7</v>
      </c>
      <c r="AW219" s="27" t="s">
        <v>8</v>
      </c>
      <c r="AX219" s="27" t="s">
        <v>7</v>
      </c>
      <c r="AZ219" s="27" t="s">
        <v>7</v>
      </c>
      <c r="BE219" s="27" t="s">
        <v>8</v>
      </c>
      <c r="BF219" s="27" t="s">
        <v>7</v>
      </c>
      <c r="BG219" s="27" t="s">
        <v>8</v>
      </c>
      <c r="BL219" s="27" t="s">
        <v>7</v>
      </c>
      <c r="BM219" s="27" t="s">
        <v>8</v>
      </c>
      <c r="CB219" s="27" t="s">
        <v>7</v>
      </c>
      <c r="DE219" s="27" t="s">
        <v>8</v>
      </c>
      <c r="DQ219" s="27" t="s">
        <v>8</v>
      </c>
      <c r="DR219" s="27" t="s">
        <v>7</v>
      </c>
      <c r="DU219" s="27" t="s">
        <v>8</v>
      </c>
      <c r="DV219" s="27" t="s">
        <v>7</v>
      </c>
      <c r="EA219" s="27" t="s">
        <v>8</v>
      </c>
      <c r="EB219" s="27" t="s">
        <v>7</v>
      </c>
    </row>
    <row r="220" spans="1:132" x14ac:dyDescent="0.25">
      <c r="A220" s="30">
        <v>2.6532977051444226</v>
      </c>
      <c r="E220" t="s">
        <v>8</v>
      </c>
      <c r="H220" s="27" t="s">
        <v>7</v>
      </c>
      <c r="AS220" s="27" t="s">
        <v>8</v>
      </c>
      <c r="AT220" s="27" t="s">
        <v>7</v>
      </c>
      <c r="AU220" s="27" t="s">
        <v>8</v>
      </c>
      <c r="AV220" s="27" t="s">
        <v>7</v>
      </c>
      <c r="AW220" s="27" t="s">
        <v>8</v>
      </c>
      <c r="AZ220" s="27" t="s">
        <v>7</v>
      </c>
      <c r="BE220" s="27" t="s">
        <v>8</v>
      </c>
      <c r="BF220" s="27" t="s">
        <v>7</v>
      </c>
      <c r="BG220" s="27" t="s">
        <v>8</v>
      </c>
      <c r="BL220" s="27" t="s">
        <v>7</v>
      </c>
      <c r="CB220" s="27" t="s">
        <v>7</v>
      </c>
      <c r="DC220" s="27" t="s">
        <v>8</v>
      </c>
      <c r="DE220" s="27" t="s">
        <v>8</v>
      </c>
      <c r="DF220" s="27" t="s">
        <v>7</v>
      </c>
      <c r="DQ220" s="27" t="s">
        <v>8</v>
      </c>
      <c r="DR220" s="27" t="s">
        <v>7</v>
      </c>
      <c r="DU220" s="27" t="s">
        <v>8</v>
      </c>
      <c r="DV220" s="27" t="s">
        <v>7</v>
      </c>
      <c r="EA220" s="27" t="s">
        <v>8</v>
      </c>
      <c r="EB220" s="27" t="s">
        <v>7</v>
      </c>
    </row>
    <row r="221" spans="1:132" x14ac:dyDescent="0.25">
      <c r="A221" s="30">
        <v>2.5269501953756404</v>
      </c>
      <c r="E221" t="s">
        <v>8</v>
      </c>
      <c r="H221" s="27" t="s">
        <v>7</v>
      </c>
      <c r="AS221" s="27" t="s">
        <v>8</v>
      </c>
      <c r="AT221" s="27" t="s">
        <v>7</v>
      </c>
      <c r="AV221" s="27" t="s">
        <v>7</v>
      </c>
      <c r="AW221" s="27" t="s">
        <v>8</v>
      </c>
      <c r="AZ221" s="27" t="s">
        <v>7</v>
      </c>
      <c r="BE221" s="27" t="s">
        <v>8</v>
      </c>
      <c r="BF221" s="27" t="s">
        <v>7</v>
      </c>
      <c r="BG221" s="27" t="s">
        <v>8</v>
      </c>
      <c r="CB221" s="27" t="s">
        <v>7</v>
      </c>
      <c r="DC221" s="27" t="s">
        <v>8</v>
      </c>
      <c r="DD221" s="27" t="s">
        <v>7</v>
      </c>
      <c r="DE221" s="27" t="s">
        <v>8</v>
      </c>
      <c r="DF221" s="27" t="s">
        <v>7</v>
      </c>
      <c r="DQ221" s="27" t="s">
        <v>8</v>
      </c>
      <c r="DR221" s="27" t="s">
        <v>7</v>
      </c>
      <c r="DS221" s="27" t="s">
        <v>8</v>
      </c>
      <c r="DU221" s="27" t="s">
        <v>8</v>
      </c>
      <c r="DV221" s="27" t="s">
        <v>7</v>
      </c>
      <c r="DW221" s="27" t="s">
        <v>8</v>
      </c>
      <c r="DY221" s="27" t="s">
        <v>8</v>
      </c>
      <c r="EA221" s="27" t="s">
        <v>8</v>
      </c>
      <c r="EB221" s="27" t="s">
        <v>7</v>
      </c>
    </row>
    <row r="222" spans="1:132" x14ac:dyDescent="0.25">
      <c r="A222" s="30">
        <v>2.4066192336910861</v>
      </c>
      <c r="E222" t="s">
        <v>8</v>
      </c>
      <c r="H222" s="27" t="s">
        <v>7</v>
      </c>
      <c r="AO222" s="27" t="s">
        <v>8</v>
      </c>
      <c r="AQ222" s="27" t="s">
        <v>8</v>
      </c>
      <c r="AS222" s="27" t="s">
        <v>8</v>
      </c>
      <c r="AV222" s="27" t="s">
        <v>7</v>
      </c>
      <c r="AW222" s="27" t="s">
        <v>8</v>
      </c>
      <c r="AZ222" s="27" t="s">
        <v>7</v>
      </c>
      <c r="BE222" s="27" t="s">
        <v>8</v>
      </c>
      <c r="BF222" s="27" t="s">
        <v>7</v>
      </c>
      <c r="CB222" s="27" t="s">
        <v>7</v>
      </c>
      <c r="CG222" s="27" t="s">
        <v>8</v>
      </c>
      <c r="DC222" s="27" t="s">
        <v>8</v>
      </c>
      <c r="DD222" s="27" t="s">
        <v>7</v>
      </c>
      <c r="DE222" s="27" t="s">
        <v>8</v>
      </c>
      <c r="DF222" s="27" t="s">
        <v>7</v>
      </c>
      <c r="DQ222" s="27" t="s">
        <v>8</v>
      </c>
      <c r="DR222" s="27" t="s">
        <v>7</v>
      </c>
      <c r="DS222" s="27" t="s">
        <v>8</v>
      </c>
      <c r="DT222" s="27" t="s">
        <v>7</v>
      </c>
      <c r="DU222" s="27" t="s">
        <v>8</v>
      </c>
      <c r="DV222" s="27" t="s">
        <v>7</v>
      </c>
      <c r="DW222" s="27" t="s">
        <v>8</v>
      </c>
      <c r="DX222" s="27" t="s">
        <v>7</v>
      </c>
      <c r="DY222" s="27" t="s">
        <v>8</v>
      </c>
      <c r="DZ222" s="27" t="s">
        <v>7</v>
      </c>
      <c r="EA222" s="27" t="s">
        <v>8</v>
      </c>
      <c r="EB222" s="27" t="s">
        <v>7</v>
      </c>
    </row>
    <row r="223" spans="1:132" x14ac:dyDescent="0.25">
      <c r="A223" s="30">
        <v>2.2920183178010345</v>
      </c>
      <c r="E223" t="s">
        <v>8</v>
      </c>
      <c r="H223" s="27" t="s">
        <v>7</v>
      </c>
      <c r="AO223" s="27" t="s">
        <v>8</v>
      </c>
      <c r="AP223" s="27" t="s">
        <v>7</v>
      </c>
      <c r="AQ223" s="27" t="s">
        <v>8</v>
      </c>
      <c r="AR223" s="27" t="s">
        <v>7</v>
      </c>
      <c r="AS223" s="27" t="s">
        <v>8</v>
      </c>
      <c r="AV223" s="27" t="s">
        <v>7</v>
      </c>
      <c r="AZ223" s="27" t="s">
        <v>7</v>
      </c>
      <c r="BA223" s="27" t="s">
        <v>8</v>
      </c>
      <c r="BE223" s="27" t="s">
        <v>8</v>
      </c>
      <c r="CB223" s="27" t="s">
        <v>7</v>
      </c>
      <c r="CG223" s="27" t="s">
        <v>8</v>
      </c>
      <c r="CH223" s="27" t="s">
        <v>7</v>
      </c>
      <c r="DA223" s="27" t="s">
        <v>8</v>
      </c>
      <c r="DC223" s="27" t="s">
        <v>8</v>
      </c>
      <c r="DD223" s="27" t="s">
        <v>7</v>
      </c>
      <c r="DF223" s="27" t="s">
        <v>7</v>
      </c>
      <c r="DQ223" s="27" t="s">
        <v>8</v>
      </c>
      <c r="DR223" s="27" t="s">
        <v>7</v>
      </c>
      <c r="DS223" s="27" t="s">
        <v>8</v>
      </c>
      <c r="DT223" s="27" t="s">
        <v>7</v>
      </c>
      <c r="DU223" s="27" t="s">
        <v>8</v>
      </c>
      <c r="DV223" s="27" t="s">
        <v>7</v>
      </c>
      <c r="DW223" s="27" t="s">
        <v>8</v>
      </c>
      <c r="DX223" s="27" t="s">
        <v>7</v>
      </c>
      <c r="DY223" s="27" t="s">
        <v>8</v>
      </c>
      <c r="DZ223" s="27" t="s">
        <v>7</v>
      </c>
      <c r="EA223" s="27" t="s">
        <v>8</v>
      </c>
      <c r="EB223" s="27" t="s">
        <v>7</v>
      </c>
    </row>
    <row r="224" spans="1:132" x14ac:dyDescent="0.25">
      <c r="A224" s="30">
        <v>2.1828745883819374</v>
      </c>
      <c r="E224" t="s">
        <v>8</v>
      </c>
      <c r="H224" s="27" t="s">
        <v>7</v>
      </c>
      <c r="AO224" s="27" t="s">
        <v>8</v>
      </c>
      <c r="AP224" s="27" t="s">
        <v>7</v>
      </c>
      <c r="AQ224" s="27" t="s">
        <v>8</v>
      </c>
      <c r="AR224" s="27" t="s">
        <v>7</v>
      </c>
      <c r="AS224" s="27" t="s">
        <v>8</v>
      </c>
      <c r="AZ224" s="27" t="s">
        <v>7</v>
      </c>
      <c r="BA224" s="27" t="s">
        <v>8</v>
      </c>
      <c r="BB224" s="27" t="s">
        <v>7</v>
      </c>
      <c r="BC224" s="27" t="s">
        <v>8</v>
      </c>
      <c r="BE224" s="27" t="s">
        <v>8</v>
      </c>
      <c r="CB224" s="27" t="s">
        <v>7</v>
      </c>
      <c r="CG224" s="27" t="s">
        <v>8</v>
      </c>
      <c r="CH224" s="27" t="s">
        <v>7</v>
      </c>
      <c r="CI224" s="27" t="s">
        <v>8</v>
      </c>
      <c r="DA224" s="27" t="s">
        <v>8</v>
      </c>
      <c r="DB224" s="27" t="s">
        <v>7</v>
      </c>
      <c r="DC224" s="27" t="s">
        <v>8</v>
      </c>
      <c r="DF224" s="27" t="s">
        <v>7</v>
      </c>
      <c r="DI224" s="27" t="s">
        <v>8</v>
      </c>
      <c r="DQ224" s="27" t="s">
        <v>8</v>
      </c>
      <c r="DR224" s="27" t="s">
        <v>7</v>
      </c>
      <c r="DT224" s="27" t="s">
        <v>7</v>
      </c>
      <c r="DU224" s="27" t="s">
        <v>8</v>
      </c>
      <c r="DV224" s="27" t="s">
        <v>7</v>
      </c>
      <c r="DX224" s="27" t="s">
        <v>7</v>
      </c>
      <c r="DY224" s="27" t="s">
        <v>8</v>
      </c>
      <c r="DZ224" s="27" t="s">
        <v>7</v>
      </c>
      <c r="EA224" s="27" t="s">
        <v>8</v>
      </c>
      <c r="EB224" s="27" t="s">
        <v>7</v>
      </c>
    </row>
    <row r="225" spans="1:140" x14ac:dyDescent="0.25">
      <c r="A225" s="30">
        <v>2.0789281794113688</v>
      </c>
      <c r="E225" t="s">
        <v>8</v>
      </c>
      <c r="H225" s="27" t="s">
        <v>7</v>
      </c>
      <c r="AO225" s="27" t="s">
        <v>8</v>
      </c>
      <c r="AP225" s="27" t="s">
        <v>7</v>
      </c>
      <c r="AR225" s="27" t="s">
        <v>7</v>
      </c>
      <c r="AS225" s="27" t="s">
        <v>8</v>
      </c>
      <c r="AZ225" s="27" t="s">
        <v>7</v>
      </c>
      <c r="BA225" s="27" t="s">
        <v>8</v>
      </c>
      <c r="BB225" s="27" t="s">
        <v>7</v>
      </c>
      <c r="BC225" s="27" t="s">
        <v>8</v>
      </c>
      <c r="BD225" s="27" t="s">
        <v>7</v>
      </c>
      <c r="BE225" s="27" t="s">
        <v>8</v>
      </c>
      <c r="CB225" s="27" t="s">
        <v>7</v>
      </c>
      <c r="CG225" s="27" t="s">
        <v>8</v>
      </c>
      <c r="CH225" s="27" t="s">
        <v>7</v>
      </c>
      <c r="CI225" s="27" t="s">
        <v>8</v>
      </c>
      <c r="CJ225" s="27" t="s">
        <v>7</v>
      </c>
      <c r="CY225" s="27" t="s">
        <v>8</v>
      </c>
      <c r="DA225" s="27" t="s">
        <v>8</v>
      </c>
      <c r="DB225" s="27" t="s">
        <v>7</v>
      </c>
      <c r="DC225" s="27" t="s">
        <v>8</v>
      </c>
      <c r="DF225" s="27" t="s">
        <v>7</v>
      </c>
      <c r="DG225" s="27" t="s">
        <v>8</v>
      </c>
      <c r="DI225" s="27" t="s">
        <v>8</v>
      </c>
      <c r="DJ225" s="27" t="s">
        <v>7</v>
      </c>
      <c r="DO225" s="27" t="s">
        <v>8</v>
      </c>
      <c r="DQ225" s="27" t="s">
        <v>8</v>
      </c>
      <c r="DT225" s="27" t="s">
        <v>7</v>
      </c>
      <c r="DX225" s="27" t="s">
        <v>7</v>
      </c>
      <c r="DY225" s="27" t="s">
        <v>8</v>
      </c>
      <c r="DZ225" s="27" t="s">
        <v>7</v>
      </c>
      <c r="EB225" s="27" t="s">
        <v>7</v>
      </c>
    </row>
    <row r="226" spans="1:140" x14ac:dyDescent="0.25">
      <c r="A226" s="30">
        <v>1.9799315994393987</v>
      </c>
      <c r="E226" t="s">
        <v>8</v>
      </c>
      <c r="H226" s="27" t="s">
        <v>7</v>
      </c>
      <c r="AO226" s="27" t="s">
        <v>8</v>
      </c>
      <c r="AR226" s="27" t="s">
        <v>7</v>
      </c>
      <c r="AZ226" s="27" t="s">
        <v>7</v>
      </c>
      <c r="BA226" s="27" t="s">
        <v>8</v>
      </c>
      <c r="BB226" s="27" t="s">
        <v>7</v>
      </c>
      <c r="BC226" s="27" t="s">
        <v>8</v>
      </c>
      <c r="BD226" s="27" t="s">
        <v>7</v>
      </c>
      <c r="BE226" s="27" t="s">
        <v>8</v>
      </c>
      <c r="CB226" s="27" t="s">
        <v>7</v>
      </c>
      <c r="CG226" s="27" t="s">
        <v>8</v>
      </c>
      <c r="CH226" s="27" t="s">
        <v>7</v>
      </c>
      <c r="CI226" s="27" t="s">
        <v>8</v>
      </c>
      <c r="CJ226" s="27" t="s">
        <v>7</v>
      </c>
      <c r="CW226" s="27" t="s">
        <v>8</v>
      </c>
      <c r="CY226" s="27" t="s">
        <v>8</v>
      </c>
      <c r="CZ226" s="27" t="s">
        <v>7</v>
      </c>
      <c r="DA226" s="27" t="s">
        <v>8</v>
      </c>
      <c r="DB226" s="27" t="s">
        <v>7</v>
      </c>
      <c r="DF226" s="31" t="s">
        <v>7</v>
      </c>
      <c r="DG226" s="27" t="s">
        <v>8</v>
      </c>
      <c r="DH226" s="27" t="s">
        <v>7</v>
      </c>
      <c r="DI226" s="27" t="s">
        <v>8</v>
      </c>
      <c r="DJ226" s="31" t="s">
        <v>7</v>
      </c>
      <c r="DO226" s="27" t="s">
        <v>8</v>
      </c>
      <c r="DP226" s="27" t="s">
        <v>7</v>
      </c>
      <c r="DQ226" s="27" t="s">
        <v>8</v>
      </c>
      <c r="DX226" s="27" t="s">
        <v>7</v>
      </c>
      <c r="DY226" s="27" t="s">
        <v>8</v>
      </c>
      <c r="EB226" s="27" t="s">
        <v>7</v>
      </c>
    </row>
    <row r="227" spans="1:140" x14ac:dyDescent="0.25">
      <c r="A227" s="30">
        <v>1.8856491423232367</v>
      </c>
      <c r="E227" t="s">
        <v>8</v>
      </c>
      <c r="H227" s="27" t="s">
        <v>7</v>
      </c>
      <c r="AO227" s="27" t="s">
        <v>8</v>
      </c>
      <c r="AZ227" s="27" t="s">
        <v>7</v>
      </c>
      <c r="BA227" s="27" t="s">
        <v>8</v>
      </c>
      <c r="BB227" s="27" t="s">
        <v>7</v>
      </c>
      <c r="BC227" s="27" t="s">
        <v>8</v>
      </c>
      <c r="BD227" s="27" t="s">
        <v>7</v>
      </c>
      <c r="BE227" s="27" t="s">
        <v>8</v>
      </c>
      <c r="CB227" s="27" t="s">
        <v>7</v>
      </c>
      <c r="CC227" s="27" t="s">
        <v>8</v>
      </c>
      <c r="CG227" s="27" t="s">
        <v>8</v>
      </c>
      <c r="CH227" s="27" t="s">
        <v>7</v>
      </c>
      <c r="CI227" s="27" t="s">
        <v>8</v>
      </c>
      <c r="CJ227" s="27" t="s">
        <v>7</v>
      </c>
      <c r="CM227" s="27" t="s">
        <v>8</v>
      </c>
      <c r="CW227" s="27" t="s">
        <v>8</v>
      </c>
      <c r="CX227" s="27" t="s">
        <v>7</v>
      </c>
      <c r="CY227" s="27" t="s">
        <v>8</v>
      </c>
      <c r="CZ227" s="27" t="s">
        <v>7</v>
      </c>
      <c r="DA227" s="27" t="s">
        <v>8</v>
      </c>
      <c r="DE227" s="31"/>
      <c r="DF227" s="27" t="s">
        <v>7</v>
      </c>
      <c r="DG227" s="27" t="s">
        <v>8</v>
      </c>
      <c r="DH227" s="27" t="s">
        <v>7</v>
      </c>
      <c r="DI227" s="31" t="s">
        <v>8</v>
      </c>
      <c r="DJ227" s="27" t="s">
        <v>7</v>
      </c>
      <c r="DO227" s="27" t="s">
        <v>8</v>
      </c>
      <c r="DP227" s="27" t="s">
        <v>7</v>
      </c>
      <c r="DQ227" s="27" t="s">
        <v>8</v>
      </c>
      <c r="DX227" s="27" t="s">
        <v>7</v>
      </c>
      <c r="EB227" s="27" t="s">
        <v>7</v>
      </c>
      <c r="EC227" s="27" t="s">
        <v>8</v>
      </c>
    </row>
    <row r="228" spans="1:140" x14ac:dyDescent="0.25">
      <c r="A228" s="30">
        <v>1.7958563260221301</v>
      </c>
      <c r="C228" s="7"/>
      <c r="D228"/>
      <c r="E228" t="s">
        <v>8</v>
      </c>
      <c r="H228" s="27" t="s">
        <v>7</v>
      </c>
      <c r="AK228" s="27" t="s">
        <v>8</v>
      </c>
      <c r="AM228" s="27" t="s">
        <v>8</v>
      </c>
      <c r="AO228" s="27" t="s">
        <v>8</v>
      </c>
      <c r="AZ228" s="27" t="s">
        <v>7</v>
      </c>
      <c r="BA228" s="27" t="s">
        <v>8</v>
      </c>
      <c r="BB228" s="27" t="s">
        <v>7</v>
      </c>
      <c r="BD228" s="27" t="s">
        <v>7</v>
      </c>
      <c r="CB228" s="27" t="s">
        <v>7</v>
      </c>
      <c r="CC228" s="27" t="s">
        <v>8</v>
      </c>
      <c r="CD228" s="27" t="s">
        <v>7</v>
      </c>
      <c r="CG228" s="27" t="s">
        <v>8</v>
      </c>
      <c r="CH228" s="27" t="s">
        <v>7</v>
      </c>
      <c r="CI228" s="27" t="s">
        <v>8</v>
      </c>
      <c r="CJ228" s="27" t="s">
        <v>7</v>
      </c>
      <c r="CK228" s="27" t="s">
        <v>8</v>
      </c>
      <c r="CM228" s="27" t="s">
        <v>8</v>
      </c>
      <c r="CN228" s="27" t="s">
        <v>7</v>
      </c>
      <c r="CW228" s="27" t="s">
        <v>8</v>
      </c>
      <c r="CX228" s="27" t="s">
        <v>7</v>
      </c>
      <c r="CY228" s="27" t="s">
        <v>8</v>
      </c>
      <c r="CZ228" s="27" t="s">
        <v>7</v>
      </c>
      <c r="DD228" s="31"/>
      <c r="DF228" s="32" t="s">
        <v>7</v>
      </c>
      <c r="DH228" s="32" t="s">
        <v>7</v>
      </c>
      <c r="DJ228" s="27" t="s">
        <v>7</v>
      </c>
      <c r="DK228" s="27" t="s">
        <v>8</v>
      </c>
      <c r="DO228" s="27" t="s">
        <v>8</v>
      </c>
      <c r="DP228" s="27" t="s">
        <v>7</v>
      </c>
      <c r="DQ228" s="27" t="s">
        <v>8</v>
      </c>
      <c r="EB228" s="27" t="s">
        <v>7</v>
      </c>
      <c r="EC228" s="27" t="s">
        <v>8</v>
      </c>
      <c r="ED228" s="27" t="s">
        <v>7</v>
      </c>
      <c r="EE228" s="27" t="s">
        <v>8</v>
      </c>
      <c r="EG228" s="27" t="s">
        <v>8</v>
      </c>
    </row>
    <row r="229" spans="1:140" x14ac:dyDescent="0.25">
      <c r="A229" s="30">
        <v>1.7103393581163142</v>
      </c>
      <c r="E229" t="s">
        <v>8</v>
      </c>
      <c r="H229" s="27" t="s">
        <v>7</v>
      </c>
      <c r="AK229" s="27" t="s">
        <v>8</v>
      </c>
      <c r="AL229" s="27" t="s">
        <v>7</v>
      </c>
      <c r="AM229" s="27" t="s">
        <v>8</v>
      </c>
      <c r="AN229" s="27" t="s">
        <v>7</v>
      </c>
      <c r="AO229" s="27" t="s">
        <v>8</v>
      </c>
      <c r="AZ229" s="27" t="s">
        <v>7</v>
      </c>
      <c r="BA229" s="27" t="s">
        <v>8</v>
      </c>
      <c r="CB229" s="27" t="s">
        <v>7</v>
      </c>
      <c r="CC229" s="27" t="s">
        <v>8</v>
      </c>
      <c r="CD229" s="27" t="s">
        <v>7</v>
      </c>
      <c r="CG229" s="27" t="s">
        <v>8</v>
      </c>
      <c r="CH229" s="27" t="s">
        <v>7</v>
      </c>
      <c r="CI229" s="27" t="s">
        <v>8</v>
      </c>
      <c r="CJ229" s="27" t="s">
        <v>7</v>
      </c>
      <c r="CK229" s="27" t="s">
        <v>8</v>
      </c>
      <c r="CL229" s="27" t="s">
        <v>7</v>
      </c>
      <c r="CM229" s="27" t="s">
        <v>8</v>
      </c>
      <c r="CN229" s="27" t="s">
        <v>7</v>
      </c>
      <c r="CU229" s="27" t="s">
        <v>8</v>
      </c>
      <c r="CW229" s="27" t="s">
        <v>8</v>
      </c>
      <c r="CX229" s="27" t="s">
        <v>7</v>
      </c>
      <c r="CY229" s="27" t="s">
        <v>8</v>
      </c>
      <c r="DC229" s="31"/>
      <c r="DJ229" s="27" t="s">
        <v>7</v>
      </c>
      <c r="DK229" s="27" t="s">
        <v>8</v>
      </c>
      <c r="DL229" s="27" t="s">
        <v>7</v>
      </c>
      <c r="DM229" s="27" t="s">
        <v>8</v>
      </c>
      <c r="DO229" s="27" t="s">
        <v>8</v>
      </c>
      <c r="DP229" s="27" t="s">
        <v>7</v>
      </c>
      <c r="EB229" s="27" t="s">
        <v>7</v>
      </c>
      <c r="EC229" s="27" t="s">
        <v>8</v>
      </c>
      <c r="ED229" s="27" t="s">
        <v>7</v>
      </c>
      <c r="EE229" s="27" t="s">
        <v>8</v>
      </c>
      <c r="EF229" s="27" t="s">
        <v>7</v>
      </c>
      <c r="EG229" s="27" t="s">
        <v>8</v>
      </c>
      <c r="EH229" s="27" t="s">
        <v>7</v>
      </c>
    </row>
    <row r="230" spans="1:140" x14ac:dyDescent="0.25">
      <c r="A230" s="30">
        <v>1.628894626777442</v>
      </c>
      <c r="E230" t="s">
        <v>8</v>
      </c>
      <c r="H230" s="27" t="s">
        <v>7</v>
      </c>
      <c r="K230" s="27" t="s">
        <v>8</v>
      </c>
      <c r="AK230" s="27" t="s">
        <v>8</v>
      </c>
      <c r="AL230" s="27" t="s">
        <v>7</v>
      </c>
      <c r="AM230" s="27" t="s">
        <v>8</v>
      </c>
      <c r="AN230" s="27" t="s">
        <v>7</v>
      </c>
      <c r="AO230" s="27" t="s">
        <v>8</v>
      </c>
      <c r="AZ230" s="27" t="s">
        <v>7</v>
      </c>
      <c r="BA230" s="27" t="s">
        <v>8</v>
      </c>
      <c r="CB230" s="27" t="s">
        <v>7</v>
      </c>
      <c r="CC230" s="27" t="s">
        <v>8</v>
      </c>
      <c r="CD230" s="27" t="s">
        <v>7</v>
      </c>
      <c r="CG230" s="27" t="s">
        <v>8</v>
      </c>
      <c r="CH230" s="27" t="s">
        <v>7</v>
      </c>
      <c r="CI230" s="27" t="s">
        <v>8</v>
      </c>
      <c r="CJ230" s="27" t="s">
        <v>7</v>
      </c>
      <c r="CK230" s="27" t="s">
        <v>8</v>
      </c>
      <c r="CL230" s="27" t="s">
        <v>7</v>
      </c>
      <c r="CM230" s="27" t="s">
        <v>8</v>
      </c>
      <c r="CN230" s="27" t="s">
        <v>7</v>
      </c>
      <c r="CU230" s="27" t="s">
        <v>8</v>
      </c>
      <c r="CV230" s="27" t="s">
        <v>7</v>
      </c>
      <c r="CW230" s="27" t="s">
        <v>8</v>
      </c>
      <c r="CX230" s="27" t="s">
        <v>7</v>
      </c>
      <c r="DB230" s="31"/>
      <c r="DJ230" s="27" t="s">
        <v>7</v>
      </c>
      <c r="DK230" s="27" t="s">
        <v>8</v>
      </c>
      <c r="DL230" s="27" t="s">
        <v>7</v>
      </c>
      <c r="DM230" s="27" t="s">
        <v>8</v>
      </c>
      <c r="DN230" s="27" t="s">
        <v>7</v>
      </c>
      <c r="DO230" s="27" t="s">
        <v>8</v>
      </c>
      <c r="EB230" s="27" t="s">
        <v>7</v>
      </c>
      <c r="EC230" s="27" t="s">
        <v>8</v>
      </c>
      <c r="ED230" s="27" t="s">
        <v>7</v>
      </c>
      <c r="EE230" s="27" t="s">
        <v>8</v>
      </c>
      <c r="EF230" s="27" t="s">
        <v>7</v>
      </c>
      <c r="EG230" s="27" t="s">
        <v>8</v>
      </c>
      <c r="EH230" s="27" t="s">
        <v>7</v>
      </c>
    </row>
    <row r="231" spans="1:140" x14ac:dyDescent="0.25">
      <c r="A231" s="30">
        <v>1.5513282159785162</v>
      </c>
      <c r="C231"/>
      <c r="D231"/>
      <c r="E231" t="s">
        <v>8</v>
      </c>
      <c r="H231" s="27" t="s">
        <v>7</v>
      </c>
      <c r="I231" s="27" t="s">
        <v>8</v>
      </c>
      <c r="K231" s="27" t="s">
        <v>8</v>
      </c>
      <c r="L231" s="27" t="s">
        <v>7</v>
      </c>
      <c r="AA231" s="27" t="s">
        <v>8</v>
      </c>
      <c r="AI231" s="27" t="s">
        <v>8</v>
      </c>
      <c r="AK231" s="27" t="s">
        <v>8</v>
      </c>
      <c r="AL231" s="27" t="s">
        <v>7</v>
      </c>
      <c r="AM231" s="27" t="s">
        <v>8</v>
      </c>
      <c r="AN231" s="27" t="s">
        <v>7</v>
      </c>
      <c r="AO231" s="27" t="s">
        <v>8</v>
      </c>
      <c r="AZ231" s="27" t="s">
        <v>7</v>
      </c>
      <c r="CB231" s="27" t="s">
        <v>7</v>
      </c>
      <c r="CC231" s="27" t="s">
        <v>8</v>
      </c>
      <c r="CD231" s="27" t="s">
        <v>7</v>
      </c>
      <c r="CE231" s="27" t="s">
        <v>8</v>
      </c>
      <c r="CG231" s="27" t="s">
        <v>8</v>
      </c>
      <c r="CH231" s="27" t="s">
        <v>7</v>
      </c>
      <c r="CJ231" s="27" t="s">
        <v>7</v>
      </c>
      <c r="CK231" s="27" t="s">
        <v>8</v>
      </c>
      <c r="CL231" s="27" t="s">
        <v>7</v>
      </c>
      <c r="CM231" s="27" t="s">
        <v>8</v>
      </c>
      <c r="CN231" s="27" t="s">
        <v>7</v>
      </c>
      <c r="CU231" s="27" t="s">
        <v>8</v>
      </c>
      <c r="CV231" s="27" t="s">
        <v>7</v>
      </c>
      <c r="CW231" s="27" t="s">
        <v>8</v>
      </c>
      <c r="DA231" s="31"/>
      <c r="DJ231" s="27" t="s">
        <v>7</v>
      </c>
      <c r="DK231" s="27" t="s">
        <v>8</v>
      </c>
      <c r="DL231" s="27" t="s">
        <v>7</v>
      </c>
      <c r="DM231" s="27" t="s">
        <v>8</v>
      </c>
      <c r="DN231" s="27" t="s">
        <v>7</v>
      </c>
      <c r="DO231" s="27" t="s">
        <v>8</v>
      </c>
      <c r="EB231" s="27" t="s">
        <v>7</v>
      </c>
      <c r="EC231" s="27" t="s">
        <v>8</v>
      </c>
      <c r="ED231" s="27" t="s">
        <v>7</v>
      </c>
      <c r="EE231" s="27" t="s">
        <v>8</v>
      </c>
      <c r="EF231" s="27" t="s">
        <v>7</v>
      </c>
      <c r="EG231" s="27" t="s">
        <v>8</v>
      </c>
      <c r="EH231" s="27" t="s">
        <v>7</v>
      </c>
    </row>
    <row r="232" spans="1:140" x14ac:dyDescent="0.25">
      <c r="A232" s="30">
        <v>1.477455443789063</v>
      </c>
      <c r="E232" t="s">
        <v>8</v>
      </c>
      <c r="H232" s="27" t="s">
        <v>7</v>
      </c>
      <c r="I232" s="27" t="s">
        <v>8</v>
      </c>
      <c r="J232" s="27" t="s">
        <v>7</v>
      </c>
      <c r="K232" s="27" t="s">
        <v>8</v>
      </c>
      <c r="L232" s="27" t="s">
        <v>7</v>
      </c>
      <c r="W232" s="27" t="s">
        <v>8</v>
      </c>
      <c r="AA232" s="27" t="s">
        <v>8</v>
      </c>
      <c r="AB232" s="27" t="s">
        <v>7</v>
      </c>
      <c r="AI232" s="27" t="s">
        <v>8</v>
      </c>
      <c r="AJ232" s="27" t="s">
        <v>7</v>
      </c>
      <c r="AK232" s="27" t="s">
        <v>8</v>
      </c>
      <c r="AL232" s="27" t="s">
        <v>7</v>
      </c>
      <c r="AM232" s="27" t="s">
        <v>8</v>
      </c>
      <c r="AN232" s="27" t="s">
        <v>7</v>
      </c>
      <c r="AO232" s="27" t="s">
        <v>8</v>
      </c>
      <c r="CB232" s="27" t="s">
        <v>7</v>
      </c>
      <c r="CC232" s="27" t="s">
        <v>8</v>
      </c>
      <c r="CD232" s="27" t="s">
        <v>7</v>
      </c>
      <c r="CE232" s="27" t="s">
        <v>8</v>
      </c>
      <c r="CF232" s="27" t="s">
        <v>7</v>
      </c>
      <c r="CG232" s="27" t="s">
        <v>8</v>
      </c>
      <c r="CJ232" s="27" t="s">
        <v>7</v>
      </c>
      <c r="CK232" s="27" t="s">
        <v>8</v>
      </c>
      <c r="CL232" s="27" t="s">
        <v>7</v>
      </c>
      <c r="CN232" s="27" t="s">
        <v>7</v>
      </c>
      <c r="CU232" s="27" t="s">
        <v>8</v>
      </c>
      <c r="CV232" s="27" t="s">
        <v>7</v>
      </c>
      <c r="CW232" s="27" t="s">
        <v>8</v>
      </c>
      <c r="CZ232" s="31"/>
      <c r="DJ232" s="27" t="s">
        <v>7</v>
      </c>
      <c r="DL232" s="27" t="s">
        <v>7</v>
      </c>
      <c r="DN232" s="27" t="s">
        <v>7</v>
      </c>
      <c r="EB232" s="27" t="s">
        <v>7</v>
      </c>
      <c r="ED232" s="27" t="s">
        <v>7</v>
      </c>
      <c r="EF232" s="27" t="s">
        <v>7</v>
      </c>
      <c r="EG232" s="27" t="s">
        <v>8</v>
      </c>
      <c r="EH232" s="27" t="s">
        <v>7</v>
      </c>
    </row>
    <row r="233" spans="1:140" x14ac:dyDescent="0.25">
      <c r="A233" s="30">
        <v>1.4071004226562505</v>
      </c>
      <c r="E233" t="s">
        <v>8</v>
      </c>
      <c r="H233" s="27" t="s">
        <v>7</v>
      </c>
      <c r="I233" s="27" t="s">
        <v>8</v>
      </c>
      <c r="J233" s="27" t="s">
        <v>7</v>
      </c>
      <c r="K233" s="27" t="s">
        <v>8</v>
      </c>
      <c r="L233" s="27" t="s">
        <v>7</v>
      </c>
      <c r="U233" s="27" t="s">
        <v>8</v>
      </c>
      <c r="W233" s="27" t="s">
        <v>8</v>
      </c>
      <c r="X233" s="27" t="s">
        <v>7</v>
      </c>
      <c r="AA233" s="27" t="s">
        <v>8</v>
      </c>
      <c r="AB233" s="27" t="s">
        <v>7</v>
      </c>
      <c r="AI233" s="27" t="s">
        <v>8</v>
      </c>
      <c r="AJ233" s="27" t="s">
        <v>7</v>
      </c>
      <c r="AK233" s="27" t="s">
        <v>8</v>
      </c>
      <c r="AL233" s="27" t="s">
        <v>7</v>
      </c>
      <c r="AM233" s="27" t="s">
        <v>8</v>
      </c>
      <c r="AN233" s="27" t="s">
        <v>7</v>
      </c>
      <c r="CB233" s="27" t="s">
        <v>7</v>
      </c>
      <c r="CC233" s="27" t="s">
        <v>8</v>
      </c>
      <c r="CD233" s="27" t="s">
        <v>7</v>
      </c>
      <c r="CE233" s="27" t="s">
        <v>8</v>
      </c>
      <c r="CF233" s="27" t="s">
        <v>7</v>
      </c>
      <c r="CG233" s="27" t="s">
        <v>8</v>
      </c>
      <c r="CJ233" s="27" t="s">
        <v>7</v>
      </c>
      <c r="CN233" s="27" t="s">
        <v>7</v>
      </c>
      <c r="CU233" s="27" t="s">
        <v>8</v>
      </c>
      <c r="CV233" s="27" t="s">
        <v>7</v>
      </c>
      <c r="CW233" s="27" t="s">
        <v>8</v>
      </c>
      <c r="CY233" s="31"/>
      <c r="EF233" s="27" t="s">
        <v>7</v>
      </c>
      <c r="EG233" s="27" t="s">
        <v>8</v>
      </c>
      <c r="EH233" s="27" t="s">
        <v>7</v>
      </c>
      <c r="EI233" s="27" t="s">
        <v>8</v>
      </c>
    </row>
    <row r="234" spans="1:140" x14ac:dyDescent="0.25">
      <c r="A234" s="30">
        <v>1.3400956406250004</v>
      </c>
      <c r="E234" t="s">
        <v>8</v>
      </c>
      <c r="H234" s="27" t="s">
        <v>7</v>
      </c>
      <c r="J234" s="27" t="s">
        <v>7</v>
      </c>
      <c r="K234" s="27" t="s">
        <v>8</v>
      </c>
      <c r="L234" s="27" t="s">
        <v>7</v>
      </c>
      <c r="U234" s="27" t="s">
        <v>8</v>
      </c>
      <c r="V234" s="27" t="s">
        <v>7</v>
      </c>
      <c r="W234" s="27" t="s">
        <v>8</v>
      </c>
      <c r="X234" s="27" t="s">
        <v>7</v>
      </c>
      <c r="AA234" s="27" t="s">
        <v>8</v>
      </c>
      <c r="AB234" s="27" t="s">
        <v>7</v>
      </c>
      <c r="AI234" s="27" t="s">
        <v>8</v>
      </c>
      <c r="AJ234" s="27" t="s">
        <v>7</v>
      </c>
      <c r="AK234" s="27" t="s">
        <v>8</v>
      </c>
      <c r="AL234" s="27" t="s">
        <v>7</v>
      </c>
      <c r="CB234" s="27" t="s">
        <v>7</v>
      </c>
      <c r="CD234" s="27" t="s">
        <v>7</v>
      </c>
      <c r="CE234" s="27" t="s">
        <v>8</v>
      </c>
      <c r="CF234" s="27" t="s">
        <v>7</v>
      </c>
      <c r="CG234" s="27" t="s">
        <v>8</v>
      </c>
      <c r="CN234" s="27" t="s">
        <v>7</v>
      </c>
      <c r="CS234" s="27" t="s">
        <v>8</v>
      </c>
      <c r="CU234" s="27" t="s">
        <v>8</v>
      </c>
      <c r="CV234" s="18" t="s">
        <v>7</v>
      </c>
      <c r="CW234" s="27" t="s">
        <v>8</v>
      </c>
      <c r="CX234" s="31"/>
      <c r="EF234" s="27" t="s">
        <v>7</v>
      </c>
      <c r="EH234" s="27" t="s">
        <v>7</v>
      </c>
      <c r="EI234" s="27" t="s">
        <v>8</v>
      </c>
      <c r="EJ234" s="27" t="s">
        <v>7</v>
      </c>
    </row>
    <row r="235" spans="1:140" x14ac:dyDescent="0.25">
      <c r="A235" s="30">
        <v>1.2762815625000004</v>
      </c>
      <c r="C235"/>
      <c r="E235" t="s">
        <v>8</v>
      </c>
      <c r="J235" s="27" t="s">
        <v>7</v>
      </c>
      <c r="K235" s="27" t="s">
        <v>8</v>
      </c>
      <c r="L235" s="27" t="s">
        <v>7</v>
      </c>
      <c r="U235" s="27" t="s">
        <v>8</v>
      </c>
      <c r="V235" s="27" t="s">
        <v>7</v>
      </c>
      <c r="W235" s="27" t="s">
        <v>8</v>
      </c>
      <c r="X235" s="27" t="s">
        <v>7</v>
      </c>
      <c r="AA235" s="27" t="s">
        <v>8</v>
      </c>
      <c r="AB235" s="27" t="s">
        <v>7</v>
      </c>
      <c r="AC235" s="27" t="s">
        <v>8</v>
      </c>
      <c r="AI235" s="27" t="s">
        <v>8</v>
      </c>
      <c r="AJ235" s="27" t="s">
        <v>7</v>
      </c>
      <c r="AK235" s="27" t="s">
        <v>8</v>
      </c>
      <c r="CD235" s="27" t="s">
        <v>7</v>
      </c>
      <c r="CF235" s="27" t="s">
        <v>7</v>
      </c>
      <c r="CG235" s="27" t="s">
        <v>8</v>
      </c>
      <c r="CN235" s="27" t="s">
        <v>7</v>
      </c>
      <c r="CS235" s="27" t="s">
        <v>8</v>
      </c>
      <c r="CT235" s="27" t="s">
        <v>7</v>
      </c>
      <c r="CU235" s="27" t="s">
        <v>8</v>
      </c>
      <c r="CV235" s="27" t="s">
        <v>7</v>
      </c>
      <c r="CW235" s="31" t="s">
        <v>8</v>
      </c>
      <c r="EH235" s="27" t="s">
        <v>7</v>
      </c>
      <c r="EI235" s="27" t="s">
        <v>8</v>
      </c>
      <c r="EJ235" s="27" t="s">
        <v>7</v>
      </c>
    </row>
    <row r="236" spans="1:140" x14ac:dyDescent="0.25">
      <c r="A236" s="30">
        <v>1.2155062500000002</v>
      </c>
      <c r="E236" t="s">
        <v>8</v>
      </c>
      <c r="J236" s="27" t="s">
        <v>7</v>
      </c>
      <c r="L236" s="27" t="s">
        <v>7</v>
      </c>
      <c r="M236" s="27" t="s">
        <v>8</v>
      </c>
      <c r="U236" s="27" t="s">
        <v>8</v>
      </c>
      <c r="V236" s="27" t="s">
        <v>7</v>
      </c>
      <c r="W236" s="27" t="s">
        <v>8</v>
      </c>
      <c r="X236" s="27" t="s">
        <v>7</v>
      </c>
      <c r="Y236" s="27" t="s">
        <v>8</v>
      </c>
      <c r="AA236" s="27" t="s">
        <v>8</v>
      </c>
      <c r="AB236" s="27" t="s">
        <v>7</v>
      </c>
      <c r="AC236" s="27" t="s">
        <v>8</v>
      </c>
      <c r="AD236" s="27" t="s">
        <v>7</v>
      </c>
      <c r="AI236" s="27" t="s">
        <v>8</v>
      </c>
      <c r="AJ236" s="27" t="s">
        <v>7</v>
      </c>
      <c r="CF236" s="27" t="s">
        <v>7</v>
      </c>
      <c r="CG236" s="27" t="s">
        <v>8</v>
      </c>
      <c r="CN236" s="27" t="s">
        <v>7</v>
      </c>
      <c r="CQ236" s="27" t="s">
        <v>8</v>
      </c>
      <c r="CS236" s="27" t="s">
        <v>8</v>
      </c>
      <c r="CT236" s="27" t="s">
        <v>7</v>
      </c>
      <c r="CU236" s="27" t="s">
        <v>8</v>
      </c>
      <c r="CV236" s="31" t="s">
        <v>7</v>
      </c>
      <c r="EH236" s="27" t="s">
        <v>7</v>
      </c>
      <c r="EI236" s="27" t="s">
        <v>8</v>
      </c>
      <c r="EJ236" s="27" t="s">
        <v>7</v>
      </c>
    </row>
    <row r="237" spans="1:14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L237" s="27" t="s">
        <v>7</v>
      </c>
      <c r="M237" s="27" t="s">
        <v>8</v>
      </c>
      <c r="N237" s="27" t="s">
        <v>7</v>
      </c>
      <c r="O237" s="27" t="s">
        <v>8</v>
      </c>
      <c r="U237" s="27" t="s">
        <v>8</v>
      </c>
      <c r="V237" s="27" t="s">
        <v>7</v>
      </c>
      <c r="W237" s="27" t="s">
        <v>8</v>
      </c>
      <c r="X237" s="27" t="s">
        <v>7</v>
      </c>
      <c r="Y237" s="27" t="s">
        <v>8</v>
      </c>
      <c r="Z237" s="27" t="s">
        <v>7</v>
      </c>
      <c r="AA237" s="27" t="s">
        <v>8</v>
      </c>
      <c r="AB237" s="27" t="s">
        <v>7</v>
      </c>
      <c r="AC237" s="27" t="s">
        <v>8</v>
      </c>
      <c r="AD237" s="27" t="s">
        <v>7</v>
      </c>
      <c r="AG237" s="27" t="s">
        <v>8</v>
      </c>
      <c r="AI237" s="27" t="s">
        <v>8</v>
      </c>
      <c r="CF237" s="27" t="s">
        <v>7</v>
      </c>
      <c r="CG237" s="27" t="s">
        <v>8</v>
      </c>
      <c r="CN237" s="27" t="s">
        <v>7</v>
      </c>
      <c r="CO237" s="27" t="s">
        <v>8</v>
      </c>
      <c r="CQ237" s="27" t="s">
        <v>8</v>
      </c>
      <c r="CR237" s="27" t="s">
        <v>7</v>
      </c>
      <c r="CS237" s="27" t="s">
        <v>8</v>
      </c>
      <c r="CT237" s="27" t="s">
        <v>7</v>
      </c>
      <c r="CU237" s="31" t="s">
        <v>8</v>
      </c>
      <c r="EH237" s="27" t="s">
        <v>7</v>
      </c>
      <c r="EJ237" s="27" t="s">
        <v>7</v>
      </c>
    </row>
    <row r="238" spans="1:140" x14ac:dyDescent="0.25">
      <c r="A238" s="30">
        <v>1.1025</v>
      </c>
      <c r="E238" t="s">
        <v>8</v>
      </c>
      <c r="L238" s="27" t="s">
        <v>7</v>
      </c>
      <c r="M238" s="27" t="s">
        <v>8</v>
      </c>
      <c r="N238" s="27" t="s">
        <v>7</v>
      </c>
      <c r="O238" s="27" t="s">
        <v>8</v>
      </c>
      <c r="P238" s="27" t="s">
        <v>7</v>
      </c>
      <c r="U238" s="27" t="s">
        <v>8</v>
      </c>
      <c r="V238" s="27" t="s">
        <v>7</v>
      </c>
      <c r="W238" s="27" t="s">
        <v>8</v>
      </c>
      <c r="X238" s="27" t="s">
        <v>7</v>
      </c>
      <c r="Y238" s="27" t="s">
        <v>8</v>
      </c>
      <c r="Z238" s="27" t="s">
        <v>7</v>
      </c>
      <c r="AA238" s="27" t="s">
        <v>8</v>
      </c>
      <c r="AB238" s="27" t="s">
        <v>7</v>
      </c>
      <c r="AC238" s="27" t="s">
        <v>8</v>
      </c>
      <c r="AD238" s="27" t="s">
        <v>7</v>
      </c>
      <c r="AG238" s="27" t="s">
        <v>8</v>
      </c>
      <c r="AH238" s="27" t="s">
        <v>7</v>
      </c>
      <c r="AI238" s="27" t="s">
        <v>8</v>
      </c>
      <c r="CF238" s="27" t="s">
        <v>7</v>
      </c>
      <c r="CG238" s="27" t="s">
        <v>8</v>
      </c>
      <c r="CN238" s="27" t="s">
        <v>7</v>
      </c>
      <c r="CO238" s="27" t="s">
        <v>8</v>
      </c>
      <c r="CP238" s="27" t="s">
        <v>7</v>
      </c>
      <c r="CQ238" s="27" t="s">
        <v>8</v>
      </c>
      <c r="CR238" s="27" t="s">
        <v>7</v>
      </c>
      <c r="CS238" s="27" t="s">
        <v>8</v>
      </c>
      <c r="CT238" s="31" t="s">
        <v>7</v>
      </c>
      <c r="EJ238" s="27" t="s">
        <v>7</v>
      </c>
    </row>
    <row r="239" spans="1:140" x14ac:dyDescent="0.25">
      <c r="A239" s="30">
        <v>1.05</v>
      </c>
      <c r="E239" t="s">
        <v>8</v>
      </c>
      <c r="L239" s="27" t="s">
        <v>7</v>
      </c>
      <c r="N239" s="27" t="s">
        <v>7</v>
      </c>
      <c r="O239" s="27" t="s">
        <v>8</v>
      </c>
      <c r="P239" s="27" t="s">
        <v>7</v>
      </c>
      <c r="U239" s="27" t="s">
        <v>8</v>
      </c>
      <c r="V239" s="27" t="s">
        <v>7</v>
      </c>
      <c r="X239" s="27" t="s">
        <v>7</v>
      </c>
      <c r="Y239" s="27" t="s">
        <v>8</v>
      </c>
      <c r="Z239" s="27" t="s">
        <v>7</v>
      </c>
      <c r="AB239" s="27" t="s">
        <v>7</v>
      </c>
      <c r="AD239" s="27" t="s">
        <v>7</v>
      </c>
      <c r="AE239" s="27" t="s">
        <v>8</v>
      </c>
      <c r="AG239" s="27" t="s">
        <v>8</v>
      </c>
      <c r="AH239" s="27" t="s">
        <v>7</v>
      </c>
      <c r="AI239" s="27" t="s">
        <v>8</v>
      </c>
      <c r="CF239" s="27" t="s">
        <v>7</v>
      </c>
      <c r="CN239" s="27" t="s">
        <v>7</v>
      </c>
      <c r="CO239" s="27" t="s">
        <v>8</v>
      </c>
      <c r="CP239" s="27" t="s">
        <v>7</v>
      </c>
      <c r="CQ239" s="27" t="s">
        <v>8</v>
      </c>
      <c r="CR239" s="27" t="s">
        <v>7</v>
      </c>
      <c r="EJ239" s="27" t="s">
        <v>7</v>
      </c>
    </row>
    <row r="240" spans="1:140" x14ac:dyDescent="0.25">
      <c r="A240" s="30">
        <v>1</v>
      </c>
      <c r="E240" s="29" t="s">
        <v>8</v>
      </c>
      <c r="N240" s="27" t="s">
        <v>7</v>
      </c>
      <c r="O240" s="27" t="s">
        <v>8</v>
      </c>
      <c r="P240" s="27" t="s">
        <v>7</v>
      </c>
      <c r="U240" s="27" t="s">
        <v>8</v>
      </c>
      <c r="X240" s="27" t="s">
        <v>7</v>
      </c>
      <c r="Y240" s="27" t="s">
        <v>8</v>
      </c>
      <c r="AD240" s="27" t="s">
        <v>7</v>
      </c>
      <c r="AE240" s="27" t="s">
        <v>8</v>
      </c>
      <c r="AF240" s="27" t="s">
        <v>7</v>
      </c>
      <c r="AG240" s="27" t="s">
        <v>8</v>
      </c>
      <c r="AH240" s="27" t="s">
        <v>7</v>
      </c>
      <c r="AI240" s="27" t="s">
        <v>8</v>
      </c>
      <c r="CN240" s="27" t="s">
        <v>7</v>
      </c>
      <c r="CO240" s="27" t="s">
        <v>8</v>
      </c>
      <c r="CP240" s="27" t="s">
        <v>7</v>
      </c>
      <c r="CQ240" s="27" t="s">
        <v>8</v>
      </c>
      <c r="EJ240" s="27" t="s">
        <v>7</v>
      </c>
    </row>
    <row r="241" spans="1:141" x14ac:dyDescent="0.25">
      <c r="A241" s="30">
        <v>0.952380952380952</v>
      </c>
      <c r="B241"/>
      <c r="C241"/>
      <c r="D241"/>
      <c r="E241"/>
      <c r="N241" s="27" t="s">
        <v>7</v>
      </c>
      <c r="P241" s="27" t="s">
        <v>7</v>
      </c>
      <c r="Q241" s="27" t="s">
        <v>8</v>
      </c>
      <c r="U241" s="27" t="s">
        <v>8</v>
      </c>
      <c r="X241" s="27" t="s">
        <v>7</v>
      </c>
      <c r="Y241" s="27" t="s">
        <v>8</v>
      </c>
      <c r="AD241" s="27" t="s">
        <v>7</v>
      </c>
      <c r="AE241" s="27" t="s">
        <v>8</v>
      </c>
      <c r="AF241" s="27" t="s">
        <v>7</v>
      </c>
      <c r="AG241" s="27" t="s">
        <v>8</v>
      </c>
      <c r="AH241" s="27" t="s">
        <v>7</v>
      </c>
      <c r="AI241" s="27" t="s">
        <v>8</v>
      </c>
      <c r="CN241" s="27" t="s">
        <v>7</v>
      </c>
      <c r="CO241" s="27" t="s">
        <v>8</v>
      </c>
      <c r="CP241" s="27" t="s">
        <v>7</v>
      </c>
      <c r="EJ241" s="27" t="s">
        <v>7</v>
      </c>
    </row>
    <row r="242" spans="1:141" x14ac:dyDescent="0.25">
      <c r="A242" s="30">
        <v>0.90702947845804915</v>
      </c>
      <c r="B242"/>
      <c r="C242"/>
      <c r="D242"/>
      <c r="E242"/>
      <c r="P242" s="27" t="s">
        <v>7</v>
      </c>
      <c r="Q242" s="27" t="s">
        <v>8</v>
      </c>
      <c r="R242" s="27" t="s">
        <v>7</v>
      </c>
      <c r="S242" s="27" t="s">
        <v>8</v>
      </c>
      <c r="U242" s="27" t="s">
        <v>8</v>
      </c>
      <c r="X242" s="27" t="s">
        <v>7</v>
      </c>
      <c r="Y242" s="27" t="s">
        <v>8</v>
      </c>
      <c r="AD242" s="27" t="s">
        <v>7</v>
      </c>
      <c r="AE242" s="27" t="s">
        <v>8</v>
      </c>
      <c r="AF242" s="27" t="s">
        <v>7</v>
      </c>
      <c r="AG242" s="27" t="s">
        <v>8</v>
      </c>
      <c r="AH242" s="27" t="s">
        <v>7</v>
      </c>
      <c r="AI242" s="27" t="s">
        <v>8</v>
      </c>
      <c r="CN242" s="27" t="s">
        <v>7</v>
      </c>
      <c r="CO242" s="27" t="s">
        <v>8</v>
      </c>
      <c r="EJ242" s="27" t="s">
        <v>7</v>
      </c>
      <c r="EK242" s="27" t="s">
        <v>8</v>
      </c>
    </row>
    <row r="243" spans="1:141" x14ac:dyDescent="0.25">
      <c r="A243" s="30">
        <v>0.86383759853147501</v>
      </c>
      <c r="B243"/>
      <c r="C243"/>
      <c r="D243"/>
      <c r="E243"/>
      <c r="P243" s="27" t="s">
        <v>7</v>
      </c>
      <c r="Q243" s="27" t="s">
        <v>8</v>
      </c>
      <c r="R243" s="27" t="s">
        <v>7</v>
      </c>
      <c r="S243" s="27" t="s">
        <v>8</v>
      </c>
      <c r="T243" s="27" t="s">
        <v>7</v>
      </c>
      <c r="U243" s="27" t="s">
        <v>8</v>
      </c>
      <c r="X243" s="27" t="s">
        <v>7</v>
      </c>
      <c r="Y243" s="27" t="s">
        <v>8</v>
      </c>
      <c r="AD243" s="27" t="s">
        <v>7</v>
      </c>
      <c r="AE243" s="27" t="s">
        <v>8</v>
      </c>
      <c r="AF243" s="27" t="s">
        <v>7</v>
      </c>
      <c r="AH243" s="27" t="s">
        <v>7</v>
      </c>
      <c r="AI243" s="27" t="s">
        <v>8</v>
      </c>
      <c r="CN243" s="27" t="s">
        <v>7</v>
      </c>
      <c r="EJ243" s="27" t="s">
        <v>7</v>
      </c>
      <c r="EK243" s="27" t="s">
        <v>8</v>
      </c>
    </row>
    <row r="244" spans="1:141" x14ac:dyDescent="0.25">
      <c r="A244" s="30">
        <v>0.82270247479188063</v>
      </c>
      <c r="B244"/>
      <c r="C244"/>
      <c r="D244"/>
      <c r="E244"/>
      <c r="P244" s="27" t="s">
        <v>7</v>
      </c>
      <c r="Q244" s="27" t="s">
        <v>8</v>
      </c>
      <c r="R244" s="27" t="s">
        <v>7</v>
      </c>
      <c r="S244" s="27" t="s">
        <v>8</v>
      </c>
      <c r="T244" s="27" t="s">
        <v>7</v>
      </c>
      <c r="U244" s="27" t="s">
        <v>8</v>
      </c>
      <c r="X244" s="27" t="s">
        <v>7</v>
      </c>
      <c r="Y244" s="27" t="s">
        <v>8</v>
      </c>
      <c r="AD244" s="27" t="s">
        <v>7</v>
      </c>
      <c r="AE244" s="27" t="s">
        <v>8</v>
      </c>
      <c r="AH244" s="27" t="s">
        <v>7</v>
      </c>
      <c r="EJ244" s="27" t="s">
        <v>7</v>
      </c>
      <c r="EK244" s="27" t="s">
        <v>8</v>
      </c>
    </row>
    <row r="245" spans="1:141" x14ac:dyDescent="0.25">
      <c r="A245" s="30">
        <v>0.78352616646845741</v>
      </c>
      <c r="B245"/>
      <c r="C245"/>
      <c r="D245"/>
      <c r="E245"/>
      <c r="P245" s="27" t="s">
        <v>7</v>
      </c>
      <c r="Q245" s="27" t="s">
        <v>8</v>
      </c>
      <c r="R245" s="27" t="s">
        <v>7</v>
      </c>
      <c r="S245" s="27" t="s">
        <v>8</v>
      </c>
      <c r="T245" s="27" t="s">
        <v>7</v>
      </c>
      <c r="X245" s="27" t="s">
        <v>7</v>
      </c>
      <c r="AD245" s="27" t="s">
        <v>7</v>
      </c>
      <c r="EJ245" s="27" t="s">
        <v>7</v>
      </c>
      <c r="EK245" s="27" t="s">
        <v>8</v>
      </c>
    </row>
    <row r="246" spans="1:141" x14ac:dyDescent="0.25">
      <c r="A246" s="30">
        <v>0.74621539663662584</v>
      </c>
      <c r="B246"/>
      <c r="C246"/>
      <c r="D246"/>
      <c r="E246"/>
      <c r="P246" s="27" t="s">
        <v>7</v>
      </c>
      <c r="Q246" s="27" t="s">
        <v>8</v>
      </c>
      <c r="R246" s="27" t="s">
        <v>7</v>
      </c>
      <c r="S246" s="27" t="s">
        <v>8</v>
      </c>
      <c r="EJ246" s="27" t="s">
        <v>7</v>
      </c>
    </row>
    <row r="247" spans="1:141" x14ac:dyDescent="0.25">
      <c r="A247" s="30">
        <v>0.71068133013011958</v>
      </c>
      <c r="B247"/>
      <c r="C247"/>
      <c r="D247"/>
      <c r="E247"/>
      <c r="P247" s="27" t="s">
        <v>7</v>
      </c>
      <c r="Q247" s="27" t="s">
        <v>8</v>
      </c>
      <c r="R247" s="27" t="s">
        <v>7</v>
      </c>
    </row>
    <row r="248" spans="1:141" x14ac:dyDescent="0.25">
      <c r="A248" s="30">
        <v>0.676839362028685</v>
      </c>
      <c r="B248"/>
      <c r="C248"/>
      <c r="D248"/>
      <c r="E248"/>
      <c r="P248" s="27" t="s">
        <v>7</v>
      </c>
      <c r="Q248" s="27" t="s">
        <v>8</v>
      </c>
    </row>
    <row r="249" spans="1:141" x14ac:dyDescent="0.25">
      <c r="A249" s="30">
        <v>0.64460891621779492</v>
      </c>
      <c r="B249"/>
      <c r="C249"/>
      <c r="D249"/>
      <c r="E249"/>
      <c r="P249" s="27" t="s">
        <v>7</v>
      </c>
      <c r="Q249" s="27" t="s">
        <v>8</v>
      </c>
    </row>
    <row r="250" spans="1:141" x14ac:dyDescent="0.25">
      <c r="A250" s="30">
        <v>0.61391325354075688</v>
      </c>
      <c r="B250"/>
      <c r="C250"/>
      <c r="D250"/>
      <c r="E250"/>
      <c r="P250" s="27" t="s">
        <v>7</v>
      </c>
    </row>
    <row r="251" spans="1:141" x14ac:dyDescent="0.25">
      <c r="A251" s="30">
        <v>0.58467928908643485</v>
      </c>
      <c r="B251"/>
      <c r="C251"/>
      <c r="D251"/>
      <c r="E251"/>
    </row>
    <row r="252" spans="1:141" x14ac:dyDescent="0.25">
      <c r="A252" s="30">
        <v>0.55683741817755672</v>
      </c>
      <c r="B252"/>
      <c r="C252"/>
      <c r="D252"/>
      <c r="E252"/>
    </row>
    <row r="253" spans="1:141" x14ac:dyDescent="0.25">
      <c r="A253" s="30">
        <v>0.53032135064529184</v>
      </c>
      <c r="B253"/>
      <c r="C253"/>
      <c r="D253"/>
      <c r="E253"/>
    </row>
    <row r="254" spans="1:141" x14ac:dyDescent="0.25">
      <c r="A254" s="30">
        <v>0.50506795299551588</v>
      </c>
      <c r="B254"/>
      <c r="C254"/>
      <c r="D254"/>
      <c r="E254"/>
    </row>
    <row r="255" spans="1:141" x14ac:dyDescent="0.25">
      <c r="A255" s="30">
        <v>0.48101709809096732</v>
      </c>
      <c r="E255"/>
    </row>
    <row r="256" spans="1:141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20" operator="equal">
      <formula>$U$1</formula>
    </cfRule>
    <cfRule type="cellIs" dxfId="67" priority="921" operator="equal">
      <formula>$S$1</formula>
    </cfRule>
  </conditionalFormatting>
  <conditionalFormatting sqref="D136">
    <cfRule type="cellIs" dxfId="66" priority="918" operator="equal">
      <formula>$S$1</formula>
    </cfRule>
    <cfRule type="cellIs" dxfId="65" priority="919" operator="equal">
      <formula>$U$1</formula>
    </cfRule>
  </conditionalFormatting>
  <conditionalFormatting sqref="C162">
    <cfRule type="cellIs" dxfId="64" priority="916" operator="equal">
      <formula>$U$1</formula>
    </cfRule>
    <cfRule type="cellIs" dxfId="63" priority="917" operator="equal">
      <formula>$S$1</formula>
    </cfRule>
  </conditionalFormatting>
  <conditionalFormatting sqref="D162">
    <cfRule type="cellIs" dxfId="62" priority="914" operator="equal">
      <formula>$S$1</formula>
    </cfRule>
    <cfRule type="cellIs" dxfId="61" priority="915" operator="equal">
      <formula>$U$1</formula>
    </cfRule>
  </conditionalFormatting>
  <conditionalFormatting sqref="C187">
    <cfRule type="cellIs" dxfId="60" priority="912" operator="equal">
      <formula>$U$1</formula>
    </cfRule>
    <cfRule type="cellIs" dxfId="59" priority="913" operator="equal">
      <formula>$S$1</formula>
    </cfRule>
  </conditionalFormatting>
  <conditionalFormatting sqref="D187">
    <cfRule type="cellIs" dxfId="58" priority="910" operator="equal">
      <formula>$S$1</formula>
    </cfRule>
    <cfRule type="cellIs" dxfId="57" priority="911" operator="equal">
      <formula>$U$1</formula>
    </cfRule>
  </conditionalFormatting>
  <conditionalFormatting sqref="C212">
    <cfRule type="cellIs" dxfId="56" priority="908" operator="equal">
      <formula>$U$1</formula>
    </cfRule>
    <cfRule type="cellIs" dxfId="55" priority="909" operator="equal">
      <formula>$S$1</formula>
    </cfRule>
  </conditionalFormatting>
  <conditionalFormatting sqref="D212">
    <cfRule type="cellIs" dxfId="54" priority="906" operator="equal">
      <formula>$S$1</formula>
    </cfRule>
    <cfRule type="cellIs" dxfId="53" priority="907" operator="equal">
      <formula>$U$1</formula>
    </cfRule>
  </conditionalFormatting>
  <conditionalFormatting sqref="C237">
    <cfRule type="cellIs" dxfId="52" priority="904" operator="equal">
      <formula>$U$1</formula>
    </cfRule>
    <cfRule type="cellIs" dxfId="51" priority="905" operator="equal">
      <formula>$S$1</formula>
    </cfRule>
  </conditionalFormatting>
  <conditionalFormatting sqref="D237">
    <cfRule type="cellIs" dxfId="50" priority="902" operator="equal">
      <formula>$S$1</formula>
    </cfRule>
    <cfRule type="cellIs" dxfId="49" priority="903" operator="equal">
      <formula>$U$1</formula>
    </cfRule>
  </conditionalFormatting>
  <conditionalFormatting sqref="C106">
    <cfRule type="cellIs" dxfId="48" priority="900" operator="equal">
      <formula>$U$1</formula>
    </cfRule>
    <cfRule type="cellIs" dxfId="47" priority="901" operator="equal">
      <formula>$S$1</formula>
    </cfRule>
  </conditionalFormatting>
  <conditionalFormatting sqref="D106">
    <cfRule type="cellIs" dxfId="46" priority="898" operator="equal">
      <formula>$S$1</formula>
    </cfRule>
    <cfRule type="cellIs" dxfId="45" priority="899" operator="equal">
      <formula>$U$1</formula>
    </cfRule>
  </conditionalFormatting>
  <conditionalFormatting sqref="C81">
    <cfRule type="cellIs" dxfId="44" priority="896" operator="equal">
      <formula>$U$1</formula>
    </cfRule>
    <cfRule type="cellIs" dxfId="43" priority="897" operator="equal">
      <formula>$S$1</formula>
    </cfRule>
  </conditionalFormatting>
  <conditionalFormatting sqref="D81">
    <cfRule type="cellIs" dxfId="42" priority="894" operator="equal">
      <formula>$S$1</formula>
    </cfRule>
    <cfRule type="cellIs" dxfId="41" priority="895" operator="equal">
      <formula>$U$1</formula>
    </cfRule>
  </conditionalFormatting>
  <conditionalFormatting sqref="C56">
    <cfRule type="cellIs" dxfId="40" priority="892" operator="equal">
      <formula>$U$1</formula>
    </cfRule>
    <cfRule type="cellIs" dxfId="39" priority="893" operator="equal">
      <formula>$S$1</formula>
    </cfRule>
  </conditionalFormatting>
  <conditionalFormatting sqref="D56">
    <cfRule type="cellIs" dxfId="38" priority="890" operator="equal">
      <formula>$S$1</formula>
    </cfRule>
    <cfRule type="cellIs" dxfId="37" priority="891" operator="equal">
      <formula>$U$1</formula>
    </cfRule>
  </conditionalFormatting>
  <conditionalFormatting sqref="C31">
    <cfRule type="cellIs" dxfId="36" priority="888" operator="equal">
      <formula>$U$1</formula>
    </cfRule>
    <cfRule type="cellIs" dxfId="35" priority="889" operator="equal">
      <formula>$S$1</formula>
    </cfRule>
  </conditionalFormatting>
  <conditionalFormatting sqref="D31">
    <cfRule type="cellIs" dxfId="34" priority="886" operator="equal">
      <formula>$S$1</formula>
    </cfRule>
    <cfRule type="cellIs" dxfId="33" priority="88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2" zoomScale="90" zoomScaleNormal="90" workbookViewId="0">
      <pane xSplit="4" topLeftCell="G1" activePane="topRight" state="frozen"/>
      <selection activeCell="A109" sqref="A109"/>
      <selection pane="topRight" activeCell="AT124" sqref="AT12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6" x14ac:dyDescent="0.25">
      <c r="A97" s="30">
        <v>9.849732675807628</v>
      </c>
      <c r="E97"/>
    </row>
    <row r="98" spans="1:46" x14ac:dyDescent="0.25">
      <c r="A98" s="30">
        <v>8.9543024325523888</v>
      </c>
      <c r="C98" s="1" t="s">
        <v>13</v>
      </c>
      <c r="E98"/>
    </row>
    <row r="99" spans="1:46" x14ac:dyDescent="0.25">
      <c r="A99" s="30">
        <v>8.140274938683989</v>
      </c>
      <c r="C99" s="1">
        <f>C88</f>
        <v>0</v>
      </c>
      <c r="E99"/>
    </row>
    <row r="100" spans="1:46" x14ac:dyDescent="0.25">
      <c r="A100" s="30">
        <v>7.4002499442581717</v>
      </c>
      <c r="C100"/>
      <c r="D100"/>
      <c r="E100"/>
    </row>
    <row r="101" spans="1:46" x14ac:dyDescent="0.25">
      <c r="A101" s="30">
        <v>6.72749994932561</v>
      </c>
      <c r="C101" s="1" t="s">
        <v>14</v>
      </c>
      <c r="E101"/>
    </row>
    <row r="102" spans="1:4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46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AA103" s="27" t="s">
        <v>8</v>
      </c>
    </row>
    <row r="104" spans="1:46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AA104" s="27" t="s">
        <v>8</v>
      </c>
      <c r="AB104" s="27" t="s">
        <v>7</v>
      </c>
    </row>
    <row r="105" spans="1:46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AA105" s="27" t="s">
        <v>8</v>
      </c>
      <c r="AB105" s="27" t="s">
        <v>7</v>
      </c>
      <c r="AC105" s="27" t="s">
        <v>8</v>
      </c>
    </row>
    <row r="106" spans="1:46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Y106" s="27" t="s">
        <v>8</v>
      </c>
      <c r="AA106" s="27" t="s">
        <v>8</v>
      </c>
      <c r="AB106" s="27" t="s">
        <v>7</v>
      </c>
      <c r="AC106" s="27" t="s">
        <v>8</v>
      </c>
      <c r="AD106" s="27" t="s">
        <v>7</v>
      </c>
    </row>
    <row r="107" spans="1:46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Y107" s="27" t="s">
        <v>8</v>
      </c>
      <c r="Z107" s="27" t="s">
        <v>7</v>
      </c>
      <c r="AA107" s="27" t="s">
        <v>8</v>
      </c>
      <c r="AB107" s="27" t="s">
        <v>7</v>
      </c>
      <c r="AC107" s="27" t="s">
        <v>8</v>
      </c>
      <c r="AD107" s="27" t="s">
        <v>7</v>
      </c>
    </row>
    <row r="108" spans="1:46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H108" s="27" t="s">
        <v>7</v>
      </c>
      <c r="S108" s="27" t="s">
        <v>8</v>
      </c>
      <c r="U108" s="27" t="s">
        <v>8</v>
      </c>
      <c r="Y108" s="27" t="s">
        <v>8</v>
      </c>
      <c r="Z108" s="27" t="s">
        <v>7</v>
      </c>
      <c r="AA108" s="27" t="s">
        <v>8</v>
      </c>
      <c r="AB108" s="27" t="s">
        <v>7</v>
      </c>
      <c r="AC108" s="27" t="s">
        <v>8</v>
      </c>
      <c r="AD108" s="27" t="s">
        <v>7</v>
      </c>
      <c r="AO108" s="27" t="s">
        <v>8</v>
      </c>
    </row>
    <row r="109" spans="1:46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H109" s="27" t="s">
        <v>7</v>
      </c>
      <c r="S109" s="27" t="s">
        <v>8</v>
      </c>
      <c r="T109" s="27" t="s">
        <v>7</v>
      </c>
      <c r="U109" s="27" t="s">
        <v>8</v>
      </c>
      <c r="V109" s="27" t="s">
        <v>7</v>
      </c>
      <c r="Y109" s="27" t="s">
        <v>8</v>
      </c>
      <c r="Z109" s="27" t="s">
        <v>7</v>
      </c>
      <c r="AA109" s="27" t="s">
        <v>8</v>
      </c>
      <c r="AB109" s="27" t="s">
        <v>7</v>
      </c>
      <c r="AC109" s="27" t="s">
        <v>8</v>
      </c>
      <c r="AD109" s="27" t="s">
        <v>7</v>
      </c>
      <c r="AO109" s="27" t="s">
        <v>8</v>
      </c>
      <c r="AP109" s="27" t="s">
        <v>7</v>
      </c>
    </row>
    <row r="110" spans="1:46" x14ac:dyDescent="0.25">
      <c r="A110" s="30">
        <v>2.8531167061100029</v>
      </c>
      <c r="E110" t="s">
        <v>8</v>
      </c>
      <c r="F110" s="27" t="s">
        <v>7</v>
      </c>
      <c r="H110" s="27" t="s">
        <v>7</v>
      </c>
      <c r="S110" s="27" t="s">
        <v>8</v>
      </c>
      <c r="T110" s="27" t="s">
        <v>7</v>
      </c>
      <c r="U110" s="27" t="s">
        <v>8</v>
      </c>
      <c r="V110" s="27" t="s">
        <v>7</v>
      </c>
      <c r="Y110" s="27" t="s">
        <v>8</v>
      </c>
      <c r="Z110" s="27" t="s">
        <v>7</v>
      </c>
      <c r="AA110" s="27" t="s">
        <v>8</v>
      </c>
      <c r="AB110" s="27" t="s">
        <v>7</v>
      </c>
      <c r="AD110" s="27" t="s">
        <v>7</v>
      </c>
      <c r="AM110" s="27" t="s">
        <v>8</v>
      </c>
      <c r="AO110" s="27" t="s">
        <v>8</v>
      </c>
      <c r="AP110" s="27" t="s">
        <v>7</v>
      </c>
      <c r="AQ110" s="27" t="s">
        <v>8</v>
      </c>
      <c r="AS110" s="27" t="s">
        <v>8</v>
      </c>
    </row>
    <row r="111" spans="1:46" x14ac:dyDescent="0.25">
      <c r="A111" s="30">
        <v>2.5937424601000023</v>
      </c>
      <c r="C111" s="1" t="str">
        <f>ADDRESS(C121-1,1,1,1)</f>
        <v>$A$123</v>
      </c>
      <c r="D111" s="1" t="str">
        <f>ADDRESS(C121-1,D121,1,1)</f>
        <v>$AT$123</v>
      </c>
      <c r="E111" t="s">
        <v>8</v>
      </c>
      <c r="H111" s="27" t="s">
        <v>7</v>
      </c>
      <c r="S111" s="27" t="s">
        <v>8</v>
      </c>
      <c r="T111" s="27" t="s">
        <v>7</v>
      </c>
      <c r="U111" s="27" t="s">
        <v>8</v>
      </c>
      <c r="V111" s="27" t="s">
        <v>7</v>
      </c>
      <c r="Y111" s="27" t="s">
        <v>8</v>
      </c>
      <c r="Z111" s="27" t="s">
        <v>7</v>
      </c>
      <c r="AD111" s="27" t="s">
        <v>7</v>
      </c>
      <c r="AM111" s="27" t="s">
        <v>8</v>
      </c>
      <c r="AN111" s="27" t="s">
        <v>7</v>
      </c>
      <c r="AO111" s="27" t="s">
        <v>8</v>
      </c>
      <c r="AP111" s="27" t="s">
        <v>7</v>
      </c>
      <c r="AQ111" s="27" t="s">
        <v>8</v>
      </c>
      <c r="AR111" s="27" t="s">
        <v>7</v>
      </c>
      <c r="AS111" s="27" t="s">
        <v>8</v>
      </c>
      <c r="AT111" s="27" t="s">
        <v>7</v>
      </c>
    </row>
    <row r="112" spans="1:46" x14ac:dyDescent="0.25">
      <c r="A112" s="30">
        <v>2.3579476910000019</v>
      </c>
      <c r="C112" s="1" t="str">
        <f>ADDRESS(C121,1,1,1)</f>
        <v>$A$124</v>
      </c>
      <c r="D112" s="1" t="str">
        <f>ADDRESS(C121,D121-1,1,1)</f>
        <v>$AS$124</v>
      </c>
      <c r="E112" t="s">
        <v>8</v>
      </c>
      <c r="H112" s="27" t="s">
        <v>7</v>
      </c>
      <c r="S112" s="27" t="s">
        <v>8</v>
      </c>
      <c r="T112" s="27" t="s">
        <v>7</v>
      </c>
      <c r="V112" s="27" t="s">
        <v>7</v>
      </c>
      <c r="W112" s="27" t="s">
        <v>8</v>
      </c>
      <c r="Y112" s="27" t="s">
        <v>8</v>
      </c>
      <c r="AD112" s="27" t="s">
        <v>7</v>
      </c>
      <c r="AG112" s="27" t="s">
        <v>8</v>
      </c>
      <c r="AM112" s="27" t="s">
        <v>8</v>
      </c>
      <c r="AN112" s="27" t="s">
        <v>7</v>
      </c>
      <c r="AO112" s="27" t="s">
        <v>8</v>
      </c>
      <c r="AP112" s="27" t="s">
        <v>7</v>
      </c>
      <c r="AQ112" s="27" t="s">
        <v>8</v>
      </c>
      <c r="AR112" s="27" t="s">
        <v>7</v>
      </c>
      <c r="AS112" s="27" t="s">
        <v>8</v>
      </c>
      <c r="AT112" s="27" t="s">
        <v>7</v>
      </c>
    </row>
    <row r="113" spans="1:46" x14ac:dyDescent="0.25">
      <c r="A113" s="30">
        <v>2.1435888100000016</v>
      </c>
      <c r="C113" s="1" t="str">
        <f>ADDRESS(C121+1,1,1,1)</f>
        <v>$A$125</v>
      </c>
      <c r="D113" s="1" t="str">
        <f>ADDRESS(C121-1,D121+1,1,1)</f>
        <v>$AU$123</v>
      </c>
      <c r="E113" s="1" t="s">
        <v>8</v>
      </c>
      <c r="H113" s="27" t="s">
        <v>7</v>
      </c>
      <c r="S113" s="27" t="s">
        <v>8</v>
      </c>
      <c r="V113" s="27" t="s">
        <v>7</v>
      </c>
      <c r="W113" s="27" t="s">
        <v>8</v>
      </c>
      <c r="X113" s="27" t="s">
        <v>7</v>
      </c>
      <c r="Y113" s="27" t="s">
        <v>8</v>
      </c>
      <c r="AD113" s="27" t="s">
        <v>7</v>
      </c>
      <c r="AG113" s="27" t="s">
        <v>8</v>
      </c>
      <c r="AH113" s="27" t="s">
        <v>7</v>
      </c>
      <c r="AI113" s="27" t="s">
        <v>8</v>
      </c>
      <c r="AM113" s="27" t="s">
        <v>8</v>
      </c>
      <c r="AN113" s="27" t="s">
        <v>7</v>
      </c>
      <c r="AO113" s="27" t="s">
        <v>8</v>
      </c>
      <c r="AP113" s="27" t="s">
        <v>7</v>
      </c>
      <c r="AR113" s="27" t="s">
        <v>7</v>
      </c>
      <c r="AS113" s="27" t="s">
        <v>8</v>
      </c>
      <c r="AT113" s="27" t="s">
        <v>7</v>
      </c>
    </row>
    <row r="114" spans="1:46" x14ac:dyDescent="0.25">
      <c r="A114" s="30">
        <v>1.9487171000000014</v>
      </c>
      <c r="C114" s="1" t="str">
        <f>ADDRESS(C121,D121,1,1)</f>
        <v>$AT$124</v>
      </c>
      <c r="D114" s="1" t="str">
        <f>ADDRESS(C121+1,D121+1,1,1)</f>
        <v>$AU$125</v>
      </c>
      <c r="E114" s="1" t="s">
        <v>8</v>
      </c>
      <c r="H114" s="27" t="s">
        <v>7</v>
      </c>
      <c r="S114" s="27" t="s">
        <v>8</v>
      </c>
      <c r="V114" s="27" t="s">
        <v>7</v>
      </c>
      <c r="W114" s="27" t="s">
        <v>8</v>
      </c>
      <c r="X114" s="27" t="s">
        <v>7</v>
      </c>
      <c r="Y114" s="27" t="s">
        <v>8</v>
      </c>
      <c r="AD114" s="27" t="s">
        <v>7</v>
      </c>
      <c r="AE114" s="27" t="s">
        <v>8</v>
      </c>
      <c r="AG114" s="27" t="s">
        <v>8</v>
      </c>
      <c r="AH114" s="27" t="s">
        <v>7</v>
      </c>
      <c r="AI114" s="27" t="s">
        <v>8</v>
      </c>
      <c r="AJ114" s="27" t="s">
        <v>7</v>
      </c>
      <c r="AM114" s="27" t="s">
        <v>8</v>
      </c>
      <c r="AN114" s="27" t="s">
        <v>7</v>
      </c>
      <c r="AO114" s="27" t="s">
        <v>8</v>
      </c>
      <c r="AR114" s="27" t="s">
        <v>7</v>
      </c>
      <c r="AT114" s="27" t="s">
        <v>7</v>
      </c>
    </row>
    <row r="115" spans="1:46" x14ac:dyDescent="0.25">
      <c r="A115" s="30">
        <v>1.7715610000000011</v>
      </c>
      <c r="C115" s="1" t="str">
        <f>ADDRESS(C121+1,D121,1,1)</f>
        <v>$AT$125</v>
      </c>
      <c r="E115" s="1" t="s">
        <v>8</v>
      </c>
      <c r="H115" s="27" t="s">
        <v>7</v>
      </c>
      <c r="Q115" s="27" t="s">
        <v>8</v>
      </c>
      <c r="S115" s="27" t="s">
        <v>8</v>
      </c>
      <c r="V115" s="27" t="s">
        <v>7</v>
      </c>
      <c r="W115" s="27" t="s">
        <v>8</v>
      </c>
      <c r="X115" s="27" t="s">
        <v>7</v>
      </c>
      <c r="AD115" s="27" t="s">
        <v>7</v>
      </c>
      <c r="AE115" s="27" t="s">
        <v>8</v>
      </c>
      <c r="AF115" s="27" t="s">
        <v>7</v>
      </c>
      <c r="AG115" s="27" t="s">
        <v>8</v>
      </c>
      <c r="AH115" s="27" t="s">
        <v>7</v>
      </c>
      <c r="AI115" s="27" t="s">
        <v>8</v>
      </c>
      <c r="AJ115" s="27" t="s">
        <v>7</v>
      </c>
      <c r="AK115" s="27" t="s">
        <v>8</v>
      </c>
      <c r="AM115" s="27" t="s">
        <v>8</v>
      </c>
      <c r="AN115" s="27" t="s">
        <v>7</v>
      </c>
      <c r="AO115" s="27" t="s">
        <v>8</v>
      </c>
      <c r="AT115" s="27" t="s">
        <v>7</v>
      </c>
    </row>
    <row r="116" spans="1:46" x14ac:dyDescent="0.25">
      <c r="A116" s="30">
        <v>1.6105100000000008</v>
      </c>
      <c r="C116" s="1">
        <f>C117-1</f>
        <v>123</v>
      </c>
      <c r="E116" s="1" t="s">
        <v>8</v>
      </c>
      <c r="H116" s="27" t="s">
        <v>7</v>
      </c>
      <c r="I116" s="27" t="s">
        <v>8</v>
      </c>
      <c r="Q116" s="27" t="s">
        <v>8</v>
      </c>
      <c r="R116" s="27" t="s">
        <v>7</v>
      </c>
      <c r="S116" s="27" t="s">
        <v>8</v>
      </c>
      <c r="V116" s="27" t="s">
        <v>7</v>
      </c>
      <c r="AD116" s="27" t="s">
        <v>7</v>
      </c>
      <c r="AE116" s="27" t="s">
        <v>8</v>
      </c>
      <c r="AF116" s="27" t="s">
        <v>7</v>
      </c>
      <c r="AG116" s="27" t="s">
        <v>8</v>
      </c>
      <c r="AH116" s="27" t="s">
        <v>7</v>
      </c>
      <c r="AJ116" s="27" t="s">
        <v>7</v>
      </c>
      <c r="AK116" s="27" t="s">
        <v>8</v>
      </c>
      <c r="AL116" s="27" t="s">
        <v>7</v>
      </c>
      <c r="AM116" s="27" t="s">
        <v>8</v>
      </c>
      <c r="AN116" s="27" t="s">
        <v>7</v>
      </c>
      <c r="AO116" s="27" t="s">
        <v>8</v>
      </c>
      <c r="AT116" s="27" t="s">
        <v>7</v>
      </c>
    </row>
    <row r="117" spans="1:46" x14ac:dyDescent="0.25">
      <c r="A117" s="30">
        <v>1.4641000000000006</v>
      </c>
      <c r="C117" s="1">
        <f>C121</f>
        <v>124</v>
      </c>
      <c r="D117" s="1">
        <f>D121</f>
        <v>46</v>
      </c>
      <c r="E117" s="1" t="s">
        <v>8</v>
      </c>
      <c r="H117" s="27" t="s">
        <v>7</v>
      </c>
      <c r="I117" s="27" t="s">
        <v>8</v>
      </c>
      <c r="J117" s="27" t="s">
        <v>7</v>
      </c>
      <c r="K117" s="27" t="s">
        <v>8</v>
      </c>
      <c r="M117" s="27" t="s">
        <v>8</v>
      </c>
      <c r="Q117" s="27" t="s">
        <v>8</v>
      </c>
      <c r="R117" s="27" t="s">
        <v>7</v>
      </c>
      <c r="S117" s="27" t="s">
        <v>8</v>
      </c>
      <c r="AD117" s="27" t="s">
        <v>7</v>
      </c>
      <c r="AE117" s="27" t="s">
        <v>8</v>
      </c>
      <c r="AF117" s="27" t="s">
        <v>7</v>
      </c>
      <c r="AG117" s="27" t="s">
        <v>8</v>
      </c>
      <c r="AJ117" s="27" t="s">
        <v>7</v>
      </c>
      <c r="AK117" s="27" t="s">
        <v>8</v>
      </c>
      <c r="AL117" s="27" t="s">
        <v>7</v>
      </c>
      <c r="AM117" s="27" t="s">
        <v>8</v>
      </c>
      <c r="AN117" s="27" t="s">
        <v>7</v>
      </c>
      <c r="AT117" s="27" t="s">
        <v>7</v>
      </c>
    </row>
    <row r="118" spans="1:46" x14ac:dyDescent="0.25">
      <c r="A118" s="30">
        <v>1.3310000000000004</v>
      </c>
      <c r="C118" s="1">
        <f>C117+1</f>
        <v>125</v>
      </c>
      <c r="D118" s="1">
        <f>D117+1</f>
        <v>47</v>
      </c>
      <c r="E118" s="1" t="s">
        <v>8</v>
      </c>
      <c r="H118" s="27" t="s">
        <v>7</v>
      </c>
      <c r="I118" s="27" t="s">
        <v>8</v>
      </c>
      <c r="J118" s="27" t="s">
        <v>7</v>
      </c>
      <c r="K118" s="27" t="s">
        <v>8</v>
      </c>
      <c r="L118" s="27" t="s">
        <v>7</v>
      </c>
      <c r="M118" s="27" t="s">
        <v>8</v>
      </c>
      <c r="N118" s="27" t="s">
        <v>7</v>
      </c>
      <c r="Q118" s="27" t="s">
        <v>8</v>
      </c>
      <c r="R118" s="27" t="s">
        <v>7</v>
      </c>
      <c r="AD118" s="27" t="s">
        <v>7</v>
      </c>
      <c r="AF118" s="27" t="s">
        <v>7</v>
      </c>
      <c r="AG118" s="27" t="s">
        <v>8</v>
      </c>
      <c r="AJ118" s="27" t="s">
        <v>7</v>
      </c>
      <c r="AK118" s="27" t="s">
        <v>8</v>
      </c>
      <c r="AL118" s="18" t="s">
        <v>7</v>
      </c>
      <c r="AM118" s="27" t="s">
        <v>8</v>
      </c>
      <c r="AT118" s="27" t="s">
        <v>7</v>
      </c>
    </row>
    <row r="119" spans="1:46" x14ac:dyDescent="0.25">
      <c r="A119" s="30">
        <v>1.2100000000000002</v>
      </c>
      <c r="E119" s="1" t="s">
        <v>8</v>
      </c>
      <c r="H119" s="27" t="s">
        <v>7</v>
      </c>
      <c r="J119" s="27" t="s">
        <v>7</v>
      </c>
      <c r="K119" s="27" t="s">
        <v>8</v>
      </c>
      <c r="L119" s="27" t="s">
        <v>7</v>
      </c>
      <c r="M119" s="27" t="s">
        <v>8</v>
      </c>
      <c r="N119" s="27" t="s">
        <v>7</v>
      </c>
      <c r="Q119" s="27" t="s">
        <v>8</v>
      </c>
      <c r="AF119" s="27" t="s">
        <v>7</v>
      </c>
      <c r="AG119" s="27" t="s">
        <v>8</v>
      </c>
      <c r="AJ119" s="27" t="s">
        <v>7</v>
      </c>
      <c r="AK119" s="27" t="s">
        <v>8</v>
      </c>
      <c r="AL119" s="27" t="s">
        <v>7</v>
      </c>
      <c r="AT119" s="27" t="s">
        <v>7</v>
      </c>
    </row>
    <row r="120" spans="1:46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K120" s="27" t="s">
        <v>8</v>
      </c>
      <c r="L120" s="27" t="s">
        <v>7</v>
      </c>
      <c r="M120" s="27" t="s">
        <v>8</v>
      </c>
      <c r="N120" s="27" t="s">
        <v>7</v>
      </c>
      <c r="O120" s="27" t="s">
        <v>8</v>
      </c>
      <c r="Q120" s="27" t="s">
        <v>8</v>
      </c>
      <c r="AF120" s="27" t="s">
        <v>7</v>
      </c>
      <c r="AJ120" s="27" t="s">
        <v>7</v>
      </c>
      <c r="AK120" s="27" t="s">
        <v>8</v>
      </c>
      <c r="AT120" s="27" t="s">
        <v>7</v>
      </c>
    </row>
    <row r="121" spans="1:46" x14ac:dyDescent="0.25">
      <c r="A121" s="30">
        <v>1</v>
      </c>
      <c r="C121" s="18">
        <v>124</v>
      </c>
      <c r="D121" s="19">
        <v>46</v>
      </c>
      <c r="E121" s="18" t="s">
        <v>8</v>
      </c>
      <c r="J121" s="27" t="s">
        <v>7</v>
      </c>
      <c r="K121" s="27" t="s">
        <v>8</v>
      </c>
      <c r="L121" s="27" t="s">
        <v>7</v>
      </c>
      <c r="M121" s="27" t="s">
        <v>8</v>
      </c>
      <c r="N121" s="27" t="s">
        <v>7</v>
      </c>
      <c r="O121" s="27" t="s">
        <v>8</v>
      </c>
      <c r="P121" s="27" t="s">
        <v>7</v>
      </c>
      <c r="Q121" s="27" t="s">
        <v>8</v>
      </c>
      <c r="AJ121" s="27" t="s">
        <v>7</v>
      </c>
      <c r="AK121" s="27" t="s">
        <v>8</v>
      </c>
      <c r="AT121" s="27" t="s">
        <v>7</v>
      </c>
    </row>
    <row r="122" spans="1:46" x14ac:dyDescent="0.25">
      <c r="A122" s="30">
        <v>0.90909090909090895</v>
      </c>
      <c r="C122" s="1" t="str">
        <f>INDEX(1:1048576,C117,D117)</f>
        <v>O</v>
      </c>
      <c r="J122" s="27" t="s">
        <v>7</v>
      </c>
      <c r="K122" s="27" t="s">
        <v>8</v>
      </c>
      <c r="L122" s="27" t="s">
        <v>7</v>
      </c>
      <c r="M122" s="27" t="s">
        <v>8</v>
      </c>
      <c r="N122" s="27" t="s">
        <v>7</v>
      </c>
      <c r="O122" s="27" t="s">
        <v>8</v>
      </c>
      <c r="P122" s="27" t="s">
        <v>7</v>
      </c>
      <c r="Q122" s="27" t="s">
        <v>8</v>
      </c>
      <c r="AJ122" s="27" t="s">
        <v>7</v>
      </c>
      <c r="AT122" s="27" t="s">
        <v>7</v>
      </c>
    </row>
    <row r="123" spans="1:46" x14ac:dyDescent="0.25">
      <c r="A123" s="30">
        <v>0.82644628099173523</v>
      </c>
      <c r="C123" s="1" t="str">
        <f>"R"&amp;C121</f>
        <v>R124</v>
      </c>
      <c r="D123" s="1" t="str">
        <f>"C"&amp;D121</f>
        <v>C46</v>
      </c>
      <c r="J123" s="27" t="s">
        <v>7</v>
      </c>
      <c r="K123" s="27" t="s">
        <v>8</v>
      </c>
      <c r="L123" s="27" t="s">
        <v>7</v>
      </c>
      <c r="N123" s="27" t="s">
        <v>7</v>
      </c>
      <c r="P123" s="27" t="s">
        <v>7</v>
      </c>
      <c r="AT123" s="27" t="s">
        <v>7</v>
      </c>
    </row>
    <row r="124" spans="1:46" x14ac:dyDescent="0.25">
      <c r="A124" s="30">
        <v>0.75131480090157732</v>
      </c>
      <c r="C124" s="1">
        <f>SUM(C130:D130)</f>
        <v>0</v>
      </c>
      <c r="D124" s="1">
        <f>IF(C124=0,0,1)</f>
        <v>0</v>
      </c>
      <c r="J124" s="27" t="s">
        <v>7</v>
      </c>
      <c r="K124" s="27" t="s">
        <v>8</v>
      </c>
      <c r="AT124" s="27" t="s">
        <v>7</v>
      </c>
    </row>
    <row r="125" spans="1:46" x14ac:dyDescent="0.25">
      <c r="A125" s="30">
        <v>0.68301345536507019</v>
      </c>
      <c r="J125" s="27" t="s">
        <v>7</v>
      </c>
      <c r="K125" s="27" t="s">
        <v>8</v>
      </c>
    </row>
    <row r="126" spans="1:46" x14ac:dyDescent="0.25">
      <c r="A126" s="30">
        <v>0.6209213230591546</v>
      </c>
      <c r="C126" s="1" t="s">
        <v>10</v>
      </c>
      <c r="J126" s="27" t="s">
        <v>7</v>
      </c>
    </row>
    <row r="127" spans="1:46" x14ac:dyDescent="0.25">
      <c r="A127" s="30">
        <v>0.56447393005377677</v>
      </c>
      <c r="C127" s="30">
        <v>0.75131480090157732</v>
      </c>
      <c r="D127"/>
    </row>
    <row r="128" spans="1:46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04" operator="equal">
      <formula>$U$1</formula>
    </cfRule>
    <cfRule type="cellIs" dxfId="30" priority="905" operator="equal">
      <formula>$S$1</formula>
    </cfRule>
  </conditionalFormatting>
  <conditionalFormatting sqref="D136">
    <cfRule type="cellIs" dxfId="29" priority="902" operator="equal">
      <formula>$S$1</formula>
    </cfRule>
    <cfRule type="cellIs" dxfId="28" priority="903" operator="equal">
      <formula>$U$1</formula>
    </cfRule>
  </conditionalFormatting>
  <conditionalFormatting sqref="C102">
    <cfRule type="cellIs" dxfId="27" priority="900" operator="equal">
      <formula>$U$1</formula>
    </cfRule>
    <cfRule type="cellIs" dxfId="26" priority="901" operator="equal">
      <formula>$S$1</formula>
    </cfRule>
  </conditionalFormatting>
  <conditionalFormatting sqref="D102">
    <cfRule type="cellIs" dxfId="25" priority="898" operator="equal">
      <formula>$S$1</formula>
    </cfRule>
    <cfRule type="cellIs" dxfId="24" priority="899" operator="equal">
      <formula>$U$1</formula>
    </cfRule>
  </conditionalFormatting>
  <conditionalFormatting sqref="C77">
    <cfRule type="cellIs" dxfId="23" priority="896" operator="equal">
      <formula>$U$1</formula>
    </cfRule>
    <cfRule type="cellIs" dxfId="22" priority="897" operator="equal">
      <formula>$S$1</formula>
    </cfRule>
  </conditionalFormatting>
  <conditionalFormatting sqref="D77">
    <cfRule type="cellIs" dxfId="21" priority="894" operator="equal">
      <formula>$S$1</formula>
    </cfRule>
    <cfRule type="cellIs" dxfId="20" priority="895" operator="equal">
      <formula>$U$1</formula>
    </cfRule>
  </conditionalFormatting>
  <conditionalFormatting sqref="C52">
    <cfRule type="cellIs" dxfId="19" priority="892" operator="equal">
      <formula>$U$1</formula>
    </cfRule>
    <cfRule type="cellIs" dxfId="18" priority="893" operator="equal">
      <formula>$S$1</formula>
    </cfRule>
  </conditionalFormatting>
  <conditionalFormatting sqref="D52">
    <cfRule type="cellIs" dxfId="17" priority="890" operator="equal">
      <formula>$S$1</formula>
    </cfRule>
    <cfRule type="cellIs" dxfId="16" priority="891" operator="equal">
      <formula>$U$1</formula>
    </cfRule>
  </conditionalFormatting>
  <conditionalFormatting sqref="C26">
    <cfRule type="cellIs" dxfId="15" priority="888" operator="equal">
      <formula>$U$1</formula>
    </cfRule>
    <cfRule type="cellIs" dxfId="14" priority="889" operator="equal">
      <formula>$S$1</formula>
    </cfRule>
  </conditionalFormatting>
  <conditionalFormatting sqref="D26">
    <cfRule type="cellIs" dxfId="13" priority="886" operator="equal">
      <formula>$S$1</formula>
    </cfRule>
    <cfRule type="cellIs" dxfId="12" priority="88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2022-01-28T01:14:25Z</dcterms:modified>
</cp:coreProperties>
</file>