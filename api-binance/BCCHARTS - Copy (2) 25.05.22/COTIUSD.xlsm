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A63CDD2-64CD-4052-B72E-D293A2B94F3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3"/>
  <c r="C133" i="3" s="1"/>
  <c r="C136" i="3" s="1"/>
  <c r="C122" i="4"/>
  <c r="C133" i="4" s="1"/>
  <c r="C136" i="4" s="1"/>
  <c r="C118" i="4"/>
  <c r="C118" i="3"/>
  <c r="R765" i="1"/>
  <c r="S765" i="1" s="1"/>
  <c r="T765" i="1" s="1"/>
  <c r="C116" i="3"/>
  <c r="R764" i="1" l="1"/>
  <c r="C136" i="5"/>
  <c r="C138" i="5" s="1"/>
  <c r="D136" i="3"/>
  <c r="C138" i="3" s="1"/>
  <c r="D136" i="4"/>
  <c r="C138" i="4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S70" i="1" l="1"/>
  <c r="T70" i="1" s="1"/>
  <c r="R69" i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<sst xmlns="http://schemas.openxmlformats.org/spreadsheetml/2006/main" count="8547" uniqueCount="34">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</sst>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0.25209999999999999</c:v>
                </c:pt>
                <c:pt idx="1">
                  <c:v>0.25629999999999997</c:v>
                </c:pt>
                <c:pt idx="2">
                  <c:v>0.25979999999999998</c:v>
                </c:pt>
                <c:pt idx="3">
                  <c:v>0.2616</c:v>
                </c:pt>
                <c:pt idx="4">
                  <c:v>0.26950000000000002</c:v>
                </c:pt>
                <c:pt idx="5">
                  <c:v>0.26469999999999999</c:v>
                </c:pt>
                <c:pt idx="6">
                  <c:v>0.29210000000000003</c:v>
                </c:pt>
                <c:pt idx="7">
                  <c:v>0.3695</c:v>
                </c:pt>
                <c:pt idx="8">
                  <c:v>0.36649999999999999</c:v>
                </c:pt>
                <c:pt idx="9">
                  <c:v>0.40949999999999998</c:v>
                </c:pt>
                <c:pt idx="10">
                  <c:v>0.38829999999999998</c:v>
                </c:pt>
                <c:pt idx="11">
                  <c:v>0.34079999999999999</c:v>
                </c:pt>
                <c:pt idx="12">
                  <c:v>0.34089999999999998</c:v>
                </c:pt>
                <c:pt idx="13">
                  <c:v>0.3352</c:v>
                </c:pt>
                <c:pt idx="14">
                  <c:v>0.33119999999999999</c:v>
                </c:pt>
                <c:pt idx="15">
                  <c:v>0.35420000000000001</c:v>
                </c:pt>
                <c:pt idx="16">
                  <c:v>0.3362</c:v>
                </c:pt>
                <c:pt idx="17">
                  <c:v>0.3125</c:v>
                </c:pt>
                <c:pt idx="18">
                  <c:v>0.33360000000000001</c:v>
                </c:pt>
                <c:pt idx="19">
                  <c:v>0.31480000000000002</c:v>
                </c:pt>
                <c:pt idx="20">
                  <c:v>0.33760000000000001</c:v>
                </c:pt>
                <c:pt idx="21">
                  <c:v>0.37059999999999998</c:v>
                </c:pt>
                <c:pt idx="22">
                  <c:v>0.3669</c:v>
                </c:pt>
                <c:pt idx="23">
                  <c:v>0.39319999999999999</c:v>
                </c:pt>
                <c:pt idx="24">
                  <c:v>0.38940000000000002</c:v>
                </c:pt>
                <c:pt idx="25">
                  <c:v>0.38400000000000001</c:v>
                </c:pt>
                <c:pt idx="26">
                  <c:v>0.38779999999999998</c:v>
                </c:pt>
                <c:pt idx="27">
                  <c:v>0.3548</c:v>
                </c:pt>
                <c:pt idx="28">
                  <c:v>0.37080000000000002</c:v>
                </c:pt>
                <c:pt idx="29">
                  <c:v>0.37509999999999999</c:v>
                </c:pt>
                <c:pt idx="30">
                  <c:v>0.378</c:v>
                </c:pt>
                <c:pt idx="31">
                  <c:v>0.40160000000000001</c:v>
                </c:pt>
                <c:pt idx="32">
                  <c:v>0.42299999999999999</c:v>
                </c:pt>
                <c:pt idx="33">
                  <c:v>0.41749999999999998</c:v>
                </c:pt>
                <c:pt idx="34">
                  <c:v>0.40610000000000002</c:v>
                </c:pt>
                <c:pt idx="35">
                  <c:v>0.38590000000000002</c:v>
                </c:pt>
                <c:pt idx="36">
                  <c:v>0.32900000000000001</c:v>
                </c:pt>
                <c:pt idx="37">
                  <c:v>0.31309999999999999</c:v>
                </c:pt>
                <c:pt idx="38">
                  <c:v>0.30130000000000001</c:v>
                </c:pt>
                <c:pt idx="39">
                  <c:v>0.30609999999999998</c:v>
                </c:pt>
                <c:pt idx="40">
                  <c:v>0.31540000000000001</c:v>
                </c:pt>
                <c:pt idx="41">
                  <c:v>0.30359999999999998</c:v>
                </c:pt>
                <c:pt idx="42">
                  <c:v>0.31590000000000001</c:v>
                </c:pt>
                <c:pt idx="43">
                  <c:v>0.32290000000000002</c:v>
                </c:pt>
                <c:pt idx="44">
                  <c:v>0.30740000000000001</c:v>
                </c:pt>
                <c:pt idx="45">
                  <c:v>0.29970000000000002</c:v>
                </c:pt>
                <c:pt idx="46">
                  <c:v>0.34889999999999999</c:v>
                </c:pt>
                <c:pt idx="47">
                  <c:v>0.2999</c:v>
                </c:pt>
                <c:pt idx="48">
                  <c:v>0.2954</c:v>
                </c:pt>
                <c:pt idx="49">
                  <c:v>0.31259999999999999</c:v>
                </c:pt>
                <c:pt idx="50">
                  <c:v>0.35820000000000002</c:v>
                </c:pt>
                <c:pt idx="51">
                  <c:v>0.35370000000000001</c:v>
                </c:pt>
                <c:pt idx="52">
                  <c:v>0.35930000000000001</c:v>
                </c:pt>
                <c:pt idx="53">
                  <c:v>0.34689999999999999</c:v>
                </c:pt>
                <c:pt idx="54">
                  <c:v>0.38009999999999999</c:v>
                </c:pt>
                <c:pt idx="55">
                  <c:v>0.42159999999999997</c:v>
                </c:pt>
                <c:pt idx="56">
                  <c:v>0.45450000000000002</c:v>
                </c:pt>
                <c:pt idx="57">
                  <c:v>0.47560000000000002</c:v>
                </c:pt>
                <c:pt idx="58">
                  <c:v>0.45290000000000002</c:v>
                </c:pt>
                <c:pt idx="59">
                  <c:v>0.43930000000000002</c:v>
                </c:pt>
                <c:pt idx="60">
                  <c:v>0.3982</c:v>
                </c:pt>
                <c:pt idx="61">
                  <c:v>0.39069999999999999</c:v>
                </c:pt>
                <c:pt idx="62">
                  <c:v>0.3886</c:v>
                </c:pt>
                <c:pt idx="63">
                  <c:v>0.44819999999999999</c:v>
                </c:pt>
                <c:pt idx="64">
                  <c:v>0.4219</c:v>
                </c:pt>
                <c:pt idx="65">
                  <c:v>0.43109999999999998</c:v>
                </c:pt>
                <c:pt idx="66">
                  <c:v>0.41139999999999999</c:v>
                </c:pt>
                <c:pt idx="67">
                  <c:v>0.43780000000000002</c:v>
                </c:pt>
                <c:pt idx="68">
                  <c:v>0.45750000000000002</c:v>
                </c:pt>
                <c:pt idx="69">
                  <c:v>0.4365</c:v>
                </c:pt>
                <c:pt idx="70">
                  <c:v>0.41909999999999997</c:v>
                </c:pt>
                <c:pt idx="71">
                  <c:v>0.46800000000000003</c:v>
                </c:pt>
                <c:pt idx="72">
                  <c:v>0.45639999999999997</c:v>
                </c:pt>
                <c:pt idx="73">
                  <c:v>0.49609999999999999</c:v>
                </c:pt>
                <c:pt idx="74">
                  <c:v>0.52249999999999996</c:v>
                </c:pt>
                <c:pt idx="75">
                  <c:v>0.53779999999999994</c:v>
                </c:pt>
                <c:pt idx="76">
                  <c:v>0.49940000000000001</c:v>
                </c:pt>
                <c:pt idx="77">
                  <c:v>0.51339999999999997</c:v>
                </c:pt>
                <c:pt idx="78">
                  <c:v>0.51649999999999996</c:v>
                </c:pt>
                <c:pt idx="79">
                  <c:v>0.56930000000000003</c:v>
                </c:pt>
                <c:pt idx="80">
                  <c:v>0.56989999999999996</c:v>
                </c:pt>
                <c:pt idx="81">
                  <c:v>0.53849999999999998</c:v>
                </c:pt>
                <c:pt idx="82">
                  <c:v>0.53920000000000001</c:v>
                </c:pt>
                <c:pt idx="83">
                  <c:v>0.54569999999999996</c:v>
                </c:pt>
                <c:pt idx="84">
                  <c:v>0.56810000000000005</c:v>
                </c:pt>
                <c:pt idx="85">
                  <c:v>0.5776</c:v>
                </c:pt>
                <c:pt idx="86">
                  <c:v>0.61019999999999996</c:v>
                </c:pt>
                <c:pt idx="87">
                  <c:v>0.64759999999999995</c:v>
                </c:pt>
                <c:pt idx="88">
                  <c:v>0.63929999999999998</c:v>
                </c:pt>
                <c:pt idx="89">
                  <c:v>0.53400000000000003</c:v>
                </c:pt>
                <c:pt idx="90">
                  <c:v>0.59609999999999996</c:v>
                </c:pt>
                <c:pt idx="91">
                  <c:v>0.56630000000000003</c:v>
                </c:pt>
                <c:pt idx="92">
                  <c:v>0.46460000000000001</c:v>
                </c:pt>
                <c:pt idx="93">
                  <c:v>0.53959999999999997</c:v>
                </c:pt>
                <c:pt idx="94">
                  <c:v>0.52400000000000002</c:v>
                </c:pt>
                <c:pt idx="95">
                  <c:v>0.49859999999999999</c:v>
                </c:pt>
                <c:pt idx="96">
                  <c:v>0.52310000000000001</c:v>
                </c:pt>
                <c:pt idx="97">
                  <c:v>0.53149999999999997</c:v>
                </c:pt>
                <c:pt idx="98">
                  <c:v>0.50980000000000003</c:v>
                </c:pt>
                <c:pt idx="99">
                  <c:v>0.50370000000000004</c:v>
                </c:pt>
                <c:pt idx="100">
                  <c:v>0.49049999999999999</c:v>
                </c:pt>
                <c:pt idx="101">
                  <c:v>0.48130000000000001</c:v>
                </c:pt>
                <c:pt idx="102">
                  <c:v>0.49020000000000002</c:v>
                </c:pt>
                <c:pt idx="103">
                  <c:v>0.50380000000000003</c:v>
                </c:pt>
                <c:pt idx="104">
                  <c:v>0.49869999999999998</c:v>
                </c:pt>
                <c:pt idx="105">
                  <c:v>0.52610000000000001</c:v>
                </c:pt>
                <c:pt idx="106">
                  <c:v>0.50109999999999999</c:v>
                </c:pt>
                <c:pt idx="107">
                  <c:v>0.51249999999999996</c:v>
                </c:pt>
                <c:pt idx="108">
                  <c:v>0.50890000000000002</c:v>
                </c:pt>
                <c:pt idx="109">
                  <c:v>0.51290000000000002</c:v>
                </c:pt>
                <c:pt idx="110">
                  <c:v>0.5494</c:v>
                </c:pt>
                <c:pt idx="111">
                  <c:v>0.52300000000000002</c:v>
                </c:pt>
                <c:pt idx="112">
                  <c:v>0.54679999999999995</c:v>
                </c:pt>
                <c:pt idx="113">
                  <c:v>0.50129999999999997</c:v>
                </c:pt>
                <c:pt idx="114">
                  <c:v>0.53410000000000002</c:v>
                </c:pt>
                <c:pt idx="115">
                  <c:v>0.52739999999999998</c:v>
                </c:pt>
                <c:pt idx="116">
                  <c:v>0.55720000000000003</c:v>
                </c:pt>
                <c:pt idx="117">
                  <c:v>0.58009999999999995</c:v>
                </c:pt>
                <c:pt idx="118">
                  <c:v>0.57830000000000004</c:v>
                </c:pt>
                <c:pt idx="119">
                  <c:v>0.62129999999999996</c:v>
                </c:pt>
                <c:pt idx="120">
                  <c:v>0.64849999999999997</c:v>
                </c:pt>
                <c:pt idx="121">
                  <c:v>0.56159999999999999</c:v>
                </c:pt>
                <c:pt idx="122">
                  <c:v>0.61140000000000005</c:v>
                </c:pt>
                <c:pt idx="123">
                  <c:v>0.51970000000000005</c:v>
                </c:pt>
                <c:pt idx="124">
                  <c:v>0.55869999999999997</c:v>
                </c:pt>
                <c:pt idx="125">
                  <c:v>0.49519999999999997</c:v>
                </c:pt>
                <c:pt idx="126">
                  <c:v>0.56430000000000002</c:v>
                </c:pt>
                <c:pt idx="127">
                  <c:v>0.39550000000000002</c:v>
                </c:pt>
                <c:pt idx="128">
                  <c:v>0.29570000000000002</c:v>
                </c:pt>
                <c:pt idx="129">
                  <c:v>0.33700000000000002</c:v>
                </c:pt>
                <c:pt idx="130">
                  <c:v>0.36809999999999998</c:v>
                </c:pt>
                <c:pt idx="131">
                  <c:v>0.41189999999999999</c:v>
                </c:pt>
                <c:pt idx="132">
                  <c:v>0.39179999999999998</c:v>
                </c:pt>
                <c:pt idx="133">
                  <c:v>0.37309999999999999</c:v>
                </c:pt>
                <c:pt idx="134">
                  <c:v>0.32690000000000002</c:v>
                </c:pt>
                <c:pt idx="135">
                  <c:v>0.31040000000000001</c:v>
                </c:pt>
                <c:pt idx="136">
                  <c:v>0.30520000000000003</c:v>
                </c:pt>
                <c:pt idx="137">
                  <c:v>0.34860000000000002</c:v>
                </c:pt>
                <c:pt idx="138">
                  <c:v>0.30909999999999999</c:v>
                </c:pt>
                <c:pt idx="139">
                  <c:v>0.30059999999999998</c:v>
                </c:pt>
                <c:pt idx="140">
                  <c:v>0.30080000000000001</c:v>
                </c:pt>
                <c:pt idx="141">
                  <c:v>0.30449999999999999</c:v>
                </c:pt>
                <c:pt idx="142">
                  <c:v>0.29189999999999999</c:v>
                </c:pt>
                <c:pt idx="143">
                  <c:v>0.36070000000000002</c:v>
                </c:pt>
                <c:pt idx="144">
                  <c:v>0.36990000000000001</c:v>
                </c:pt>
                <c:pt idx="145">
                  <c:v>0.36680000000000001</c:v>
                </c:pt>
                <c:pt idx="146">
                  <c:v>0.33750000000000002</c:v>
                </c:pt>
                <c:pt idx="147">
                  <c:v>0.3397</c:v>
                </c:pt>
                <c:pt idx="148">
                  <c:v>0.33689999999999998</c:v>
                </c:pt>
                <c:pt idx="149">
                  <c:v>0.31380000000000002</c:v>
                </c:pt>
                <c:pt idx="150">
                  <c:v>0.32579999999999998</c:v>
                </c:pt>
                <c:pt idx="151">
                  <c:v>0.36270000000000002</c:v>
                </c:pt>
                <c:pt idx="152">
                  <c:v>0.38290000000000002</c:v>
                </c:pt>
                <c:pt idx="153">
                  <c:v>0.40039999999999998</c:v>
                </c:pt>
                <c:pt idx="154">
                  <c:v>0.36940000000000001</c:v>
                </c:pt>
                <c:pt idx="155">
                  <c:v>0.48003000000000001</c:v>
                </c:pt>
                <c:pt idx="156">
                  <c:v>0.28676000000000001</c:v>
                </c:pt>
                <c:pt idx="157">
                  <c:v>0.32051000000000002</c:v>
                </c:pt>
                <c:pt idx="158">
                  <c:v>0.30417</c:v>
                </c:pt>
                <c:pt idx="159">
                  <c:v>0.28341</c:v>
                </c:pt>
                <c:pt idx="160">
                  <c:v>0.29410999999999998</c:v>
                </c:pt>
                <c:pt idx="161">
                  <c:v>0.26212000000000002</c:v>
                </c:pt>
                <c:pt idx="162">
                  <c:v>0.22108</c:v>
                </c:pt>
                <c:pt idx="163">
                  <c:v>0.21809000000000001</c:v>
                </c:pt>
                <c:pt idx="164">
                  <c:v>0.21462999999999999</c:v>
                </c:pt>
                <c:pt idx="165">
                  <c:v>0.22389999999999999</c:v>
                </c:pt>
                <c:pt idx="166">
                  <c:v>0.22058</c:v>
                </c:pt>
                <c:pt idx="167">
                  <c:v>0.22761999999999999</c:v>
                </c:pt>
                <c:pt idx="168">
                  <c:v>0.19034999999999999</c:v>
                </c:pt>
                <c:pt idx="169">
                  <c:v>0.19358</c:v>
                </c:pt>
                <c:pt idx="170">
                  <c:v>0.19051999999999999</c:v>
                </c:pt>
                <c:pt idx="171">
                  <c:v>0.17784</c:v>
                </c:pt>
                <c:pt idx="172">
                  <c:v>0.16477</c:v>
                </c:pt>
                <c:pt idx="173">
                  <c:v>0.16907</c:v>
                </c:pt>
                <c:pt idx="174">
                  <c:v>0.16697999999999999</c:v>
                </c:pt>
                <c:pt idx="175">
                  <c:v>0.16711999999999999</c:v>
                </c:pt>
                <c:pt idx="176">
                  <c:v>0.14707999999999999</c:v>
                </c:pt>
                <c:pt idx="177">
                  <c:v>0.14666000000000001</c:v>
                </c:pt>
                <c:pt idx="178">
                  <c:v>0.13969999999999999</c:v>
                </c:pt>
                <c:pt idx="179">
                  <c:v>0.13557</c:v>
                </c:pt>
                <c:pt idx="180">
                  <c:v>0.13713</c:v>
                </c:pt>
                <c:pt idx="181">
                  <c:v>0.13372000000000001</c:v>
                </c:pt>
                <c:pt idx="182">
                  <c:v>0.1371</c:v>
                </c:pt>
                <c:pt idx="183">
                  <c:v>0.12501999999999999</c:v>
                </c:pt>
                <c:pt idx="184">
                  <c:v>0.12731000000000001</c:v>
                </c:pt>
                <c:pt idx="185">
                  <c:v>0.12601000000000001</c:v>
                </c:pt>
                <c:pt idx="186">
                  <c:v>0.12345</c:v>
                </c:pt>
                <c:pt idx="187">
                  <c:v>0.11836000000000001</c:v>
                </c:pt>
                <c:pt idx="188">
                  <c:v>0.11834</c:v>
                </c:pt>
                <c:pt idx="189">
                  <c:v>0.10721</c:v>
                </c:pt>
                <c:pt idx="190">
                  <c:v>0.10424</c:v>
                </c:pt>
                <c:pt idx="191">
                  <c:v>9.3490000000000004E-2</c:v>
                </c:pt>
                <c:pt idx="192">
                  <c:v>0.10326</c:v>
                </c:pt>
                <c:pt idx="193">
                  <c:v>0.11693000000000001</c:v>
                </c:pt>
                <c:pt idx="194">
                  <c:v>0.10979</c:v>
                </c:pt>
                <c:pt idx="195">
                  <c:v>0.11133999999999999</c:v>
                </c:pt>
                <c:pt idx="196">
                  <c:v>0.12113</c:v>
                </c:pt>
                <c:pt idx="197">
                  <c:v>0.12533</c:v>
                </c:pt>
                <c:pt idx="198">
                  <c:v>0.12542</c:v>
                </c:pt>
                <c:pt idx="199">
                  <c:v>0.12722</c:v>
                </c:pt>
                <c:pt idx="200">
                  <c:v>0.13472000000000001</c:v>
                </c:pt>
                <c:pt idx="201">
                  <c:v>0.12559999999999999</c:v>
                </c:pt>
                <c:pt idx="202">
                  <c:v>0.12770000000000001</c:v>
                </c:pt>
                <c:pt idx="203">
                  <c:v>0.12870999999999999</c:v>
                </c:pt>
                <c:pt idx="204">
                  <c:v>0.1416</c:v>
                </c:pt>
                <c:pt idx="205">
                  <c:v>0.14169000000000001</c:v>
                </c:pt>
                <c:pt idx="206">
                  <c:v>0.13321</c:v>
                </c:pt>
                <c:pt idx="207">
                  <c:v>0.14179</c:v>
                </c:pt>
                <c:pt idx="208">
                  <c:v>0.13852</c:v>
                </c:pt>
                <c:pt idx="209">
                  <c:v>0.13563</c:v>
                </c:pt>
                <c:pt idx="210">
                  <c:v>0.13915</c:v>
                </c:pt>
                <c:pt idx="211">
                  <c:v>0.152</c:v>
                </c:pt>
                <c:pt idx="212">
                  <c:v>0.15334</c:v>
                </c:pt>
                <c:pt idx="213">
                  <c:v>0.14463000000000001</c:v>
                </c:pt>
                <c:pt idx="214">
                  <c:v>0.14208000000000001</c:v>
                </c:pt>
                <c:pt idx="215">
                  <c:v>0.13400999999999999</c:v>
                </c:pt>
                <c:pt idx="216">
                  <c:v>0.13321</c:v>
                </c:pt>
                <c:pt idx="217">
                  <c:v>0.15228</c:v>
                </c:pt>
                <c:pt idx="218">
                  <c:v>0.14835000000000001</c:v>
                </c:pt>
                <c:pt idx="219">
                  <c:v>0.13408999999999999</c:v>
                </c:pt>
                <c:pt idx="220">
                  <c:v>0.13649</c:v>
                </c:pt>
                <c:pt idx="221">
                  <c:v>0.18246999999999999</c:v>
                </c:pt>
                <c:pt idx="222">
                  <c:v>0.17763000000000001</c:v>
                </c:pt>
                <c:pt idx="223">
                  <c:v>0.17968999999999999</c:v>
                </c:pt>
                <c:pt idx="224">
                  <c:v>0.19864999999999999</c:v>
                </c:pt>
                <c:pt idx="225">
                  <c:v>0.20386000000000001</c:v>
                </c:pt>
                <c:pt idx="226">
                  <c:v>0.20544000000000001</c:v>
                </c:pt>
                <c:pt idx="227">
                  <c:v>0.21146000000000001</c:v>
                </c:pt>
                <c:pt idx="228">
                  <c:v>0.21360999999999999</c:v>
                </c:pt>
                <c:pt idx="229">
                  <c:v>0.19051000000000001</c:v>
                </c:pt>
                <c:pt idx="230">
                  <c:v>0.19176000000000001</c:v>
                </c:pt>
                <c:pt idx="231">
                  <c:v>0.20599999999999999</c:v>
                </c:pt>
                <c:pt idx="232">
                  <c:v>0.22045000000000001</c:v>
                </c:pt>
                <c:pt idx="233">
                  <c:v>0.19536999999999999</c:v>
                </c:pt>
                <c:pt idx="234">
                  <c:v>0.20046</c:v>
                </c:pt>
                <c:pt idx="235">
                  <c:v>0.22647999999999999</c:v>
                </c:pt>
                <c:pt idx="236">
                  <c:v>0.21814</c:v>
                </c:pt>
                <c:pt idx="237">
                  <c:v>0.23300000000000001</c:v>
                </c:pt>
                <c:pt idx="238">
                  <c:v>0.26327</c:v>
                </c:pt>
                <c:pt idx="239">
                  <c:v>0.24953</c:v>
                </c:pt>
                <c:pt idx="240">
                  <c:v>0.22549</c:v>
                </c:pt>
                <c:pt idx="241">
                  <c:v>0.23483999999999999</c:v>
                </c:pt>
                <c:pt idx="242">
                  <c:v>0.22217999999999999</c:v>
                </c:pt>
                <c:pt idx="243">
                  <c:v>0.19242999999999999</c:v>
                </c:pt>
                <c:pt idx="244">
                  <c:v>0.20488999999999999</c:v>
                </c:pt>
                <c:pt idx="245">
                  <c:v>0.24349000000000001</c:v>
                </c:pt>
                <c:pt idx="246">
                  <c:v>0.27110000000000001</c:v>
                </c:pt>
                <c:pt idx="247">
                  <c:v>0.22098999999999999</c:v>
                </c:pt>
                <c:pt idx="248">
                  <c:v>0.21367</c:v>
                </c:pt>
                <c:pt idx="249">
                  <c:v>0.16150999999999999</c:v>
                </c:pt>
                <c:pt idx="250">
                  <c:v>0.19742000000000001</c:v>
                </c:pt>
                <c:pt idx="251">
                  <c:v>0.22525000000000001</c:v>
                </c:pt>
                <c:pt idx="252">
                  <c:v>0.27615000000000001</c:v>
                </c:pt>
                <c:pt idx="253">
                  <c:v>0.24728</c:v>
                </c:pt>
                <c:pt idx="254">
                  <c:v>0.36660999999999999</c:v>
                </c:pt>
                <c:pt idx="255">
                  <c:v>0.36713000000000001</c:v>
                </c:pt>
                <c:pt idx="256">
                  <c:v>0.41693999999999998</c:v>
                </c:pt>
                <c:pt idx="257">
                  <c:v>0.42842000000000002</c:v>
                </c:pt>
                <c:pt idx="258">
                  <c:v>0.39251999999999998</c:v>
                </c:pt>
                <c:pt idx="259">
                  <c:v>0.34055000000000002</c:v>
                </c:pt>
                <c:pt idx="260">
                  <c:v>0.31673000000000001</c:v>
                </c:pt>
                <c:pt idx="261">
                  <c:v>0.35702</c:v>
                </c:pt>
                <c:pt idx="262">
                  <c:v>0.32502999999999999</c:v>
                </c:pt>
                <c:pt idx="263">
                  <c:v>0.36259000000000002</c:v>
                </c:pt>
                <c:pt idx="264">
                  <c:v>0.38307999999999998</c:v>
                </c:pt>
                <c:pt idx="265">
                  <c:v>0.35532999999999998</c:v>
                </c:pt>
                <c:pt idx="266">
                  <c:v>0.3448</c:v>
                </c:pt>
                <c:pt idx="267">
                  <c:v>0.36188999999999999</c:v>
                </c:pt>
                <c:pt idx="268">
                  <c:v>0.32940000000000003</c:v>
                </c:pt>
                <c:pt idx="269">
                  <c:v>0.37004999999999999</c:v>
                </c:pt>
                <c:pt idx="270">
                  <c:v>0.38188</c:v>
                </c:pt>
                <c:pt idx="271">
                  <c:v>0.40028000000000002</c:v>
                </c:pt>
                <c:pt idx="272">
                  <c:v>0.40332000000000001</c:v>
                </c:pt>
                <c:pt idx="273">
                  <c:v>0.39618999999999999</c:v>
                </c:pt>
                <c:pt idx="274">
                  <c:v>0.38158999999999998</c:v>
                </c:pt>
                <c:pt idx="275">
                  <c:v>0.38785999999999998</c:v>
                </c:pt>
                <c:pt idx="276">
                  <c:v>0.31474000000000002</c:v>
                </c:pt>
                <c:pt idx="277">
                  <c:v>0.26396999999999998</c:v>
                </c:pt>
                <c:pt idx="278">
                  <c:v>0.26788000000000001</c:v>
                </c:pt>
                <c:pt idx="279">
                  <c:v>0.312</c:v>
                </c:pt>
                <c:pt idx="280">
                  <c:v>0.27694999999999997</c:v>
                </c:pt>
                <c:pt idx="281">
                  <c:v>0.31058000000000002</c:v>
                </c:pt>
                <c:pt idx="282">
                  <c:v>0.33949000000000001</c:v>
                </c:pt>
                <c:pt idx="283">
                  <c:v>0.26223999999999997</c:v>
                </c:pt>
                <c:pt idx="284">
                  <c:v>0.30270999999999998</c:v>
                </c:pt>
                <c:pt idx="285">
                  <c:v>0.34828999999999999</c:v>
                </c:pt>
                <c:pt idx="286">
                  <c:v>0.35732000000000003</c:v>
                </c:pt>
                <c:pt idx="287">
                  <c:v>0.37179000000000001</c:v>
                </c:pt>
                <c:pt idx="288">
                  <c:v>0.32917999999999997</c:v>
                </c:pt>
                <c:pt idx="289">
                  <c:v>0.34684999999999999</c:v>
                </c:pt>
                <c:pt idx="290">
                  <c:v>0.35133999999999999</c:v>
                </c:pt>
                <c:pt idx="291">
                  <c:v>0.36352000000000001</c:v>
                </c:pt>
                <c:pt idx="292">
                  <c:v>0.36475000000000002</c:v>
                </c:pt>
                <c:pt idx="293">
                  <c:v>0.38463000000000003</c:v>
                </c:pt>
                <c:pt idx="294">
                  <c:v>0.38352000000000003</c:v>
                </c:pt>
                <c:pt idx="295">
                  <c:v>0.36997000000000002</c:v>
                </c:pt>
                <c:pt idx="296">
                  <c:v>0.43403000000000003</c:v>
                </c:pt>
                <c:pt idx="297">
                  <c:v>0.39155000000000001</c:v>
                </c:pt>
                <c:pt idx="298">
                  <c:v>0.40583999999999998</c:v>
                </c:pt>
                <c:pt idx="299">
                  <c:v>0.37752000000000002</c:v>
                </c:pt>
                <c:pt idx="300">
                  <c:v>0.41710000000000003</c:v>
                </c:pt>
                <c:pt idx="301">
                  <c:v>0.42149999999999999</c:v>
                </c:pt>
                <c:pt idx="302">
                  <c:v>0.45266000000000001</c:v>
                </c:pt>
                <c:pt idx="303">
                  <c:v>0.51327999999999996</c:v>
                </c:pt>
                <c:pt idx="304">
                  <c:v>0.47481000000000001</c:v>
                </c:pt>
                <c:pt idx="305">
                  <c:v>0.45327000000000001</c:v>
                </c:pt>
                <c:pt idx="306">
                  <c:v>0.44269999999999998</c:v>
                </c:pt>
                <c:pt idx="307">
                  <c:v>0.45177</c:v>
                </c:pt>
                <c:pt idx="308">
                  <c:v>0.42902000000000001</c:v>
                </c:pt>
                <c:pt idx="309">
                  <c:v>0.41599999999999998</c:v>
                </c:pt>
                <c:pt idx="310">
                  <c:v>0.49808999999999998</c:v>
                </c:pt>
                <c:pt idx="311">
                  <c:v>0.49704999999999999</c:v>
                </c:pt>
                <c:pt idx="312">
                  <c:v>0.46633999999999998</c:v>
                </c:pt>
                <c:pt idx="313">
                  <c:v>0.44757000000000002</c:v>
                </c:pt>
                <c:pt idx="314">
                  <c:v>0.4128</c:v>
                </c:pt>
                <c:pt idx="315">
                  <c:v>0.38829999999999998</c:v>
                </c:pt>
                <c:pt idx="316">
                  <c:v>0.41293000000000002</c:v>
                </c:pt>
                <c:pt idx="317">
                  <c:v>0.36760999999999999</c:v>
                </c:pt>
                <c:pt idx="318">
                  <c:v>0.37763000000000002</c:v>
                </c:pt>
                <c:pt idx="319">
                  <c:v>0.35021999999999998</c:v>
                </c:pt>
                <c:pt idx="320">
                  <c:v>0.38786999999999999</c:v>
                </c:pt>
                <c:pt idx="321">
                  <c:v>0.34065000000000001</c:v>
                </c:pt>
                <c:pt idx="322">
                  <c:v>0.37146000000000001</c:v>
                </c:pt>
                <c:pt idx="323">
                  <c:v>0.40577999999999997</c:v>
                </c:pt>
                <c:pt idx="324">
                  <c:v>0.39804</c:v>
                </c:pt>
                <c:pt idx="325">
                  <c:v>0.44098999999999999</c:v>
                </c:pt>
                <c:pt idx="326">
                  <c:v>0.32800000000000001</c:v>
                </c:pt>
                <c:pt idx="327">
                  <c:v>0.25894</c:v>
                </c:pt>
                <c:pt idx="328">
                  <c:v>0.25997999999999999</c:v>
                </c:pt>
                <c:pt idx="329">
                  <c:v>0.26290999999999998</c:v>
                </c:pt>
                <c:pt idx="330">
                  <c:v>0.22178</c:v>
                </c:pt>
                <c:pt idx="331">
                  <c:v>0.19486999999999999</c:v>
                </c:pt>
                <c:pt idx="332">
                  <c:v>0.20391999999999999</c:v>
                </c:pt>
                <c:pt idx="333">
                  <c:v>0.19348000000000001</c:v>
                </c:pt>
                <c:pt idx="334">
                  <c:v>0.19645000000000001</c:v>
                </c:pt>
                <c:pt idx="335">
                  <c:v>0.21084</c:v>
                </c:pt>
                <c:pt idx="336">
                  <c:v>0.19883999999999999</c:v>
                </c:pt>
                <c:pt idx="337">
                  <c:v>0.18335000000000001</c:v>
                </c:pt>
                <c:pt idx="338">
                  <c:v>0.17594000000000001</c:v>
                </c:pt>
                <c:pt idx="339">
                  <c:v>0.20732999999999999</c:v>
                </c:pt>
                <c:pt idx="340">
                  <c:v>0.20275000000000001</c:v>
                </c:pt>
                <c:pt idx="341">
                  <c:v>0.19405</c:v>
                </c:pt>
                <c:pt idx="342">
                  <c:v>0.17204</c:v>
                </c:pt>
                <c:pt idx="343">
                  <c:v>0.13522000000000001</c:v>
                </c:pt>
                <c:pt idx="344">
                  <c:v>0.12937000000000001</c:v>
                </c:pt>
                <c:pt idx="345">
                  <c:v>0.12389</c:v>
                </c:pt>
                <c:pt idx="346">
                  <c:v>0.13175000000000001</c:v>
                </c:pt>
                <c:pt idx="347">
                  <c:v>0.12640000000000001</c:v>
                </c:pt>
                <c:pt idx="348">
                  <c:v>0.12917999999999999</c:v>
                </c:pt>
                <c:pt idx="349">
                  <c:v>0.14521000000000001</c:v>
                </c:pt>
                <c:pt idx="350">
                  <c:v>0.13921</c:v>
                </c:pt>
                <c:pt idx="351">
                  <c:v>0.11559999999999999</c:v>
                </c:pt>
                <c:pt idx="352">
                  <c:v>0.12356</c:v>
                </c:pt>
                <c:pt idx="353">
                  <c:v>9.5610000000000001E-2</c:v>
                </c:pt>
                <c:pt idx="354">
                  <c:v>7.6679999999999998E-2</c:v>
                </c:pt>
                <c:pt idx="355">
                  <c:v>7.3660000000000003E-2</c:v>
                </c:pt>
                <c:pt idx="356">
                  <c:v>7.961E-2</c:v>
                </c:pt>
                <c:pt idx="357">
                  <c:v>6.7930000000000004E-2</c:v>
                </c:pt>
                <c:pt idx="358">
                  <c:v>6.7309999999999995E-2</c:v>
                </c:pt>
                <c:pt idx="359">
                  <c:v>6.6470000000000001E-2</c:v>
                </c:pt>
                <c:pt idx="360">
                  <c:v>6.5860000000000002E-2</c:v>
                </c:pt>
                <c:pt idx="361">
                  <c:v>6.4030000000000004E-2</c:v>
                </c:pt>
                <c:pt idx="362">
                  <c:v>6.7839999999999998E-2</c:v>
                </c:pt>
                <c:pt idx="363">
                  <c:v>6.2600000000000003E-2</c:v>
                </c:pt>
                <c:pt idx="364">
                  <c:v>6.0699999999999997E-2</c:v>
                </c:pt>
                <c:pt idx="365">
                  <c:v>5.919E-2</c:v>
                </c:pt>
                <c:pt idx="366">
                  <c:v>6.515E-2</c:v>
                </c:pt>
                <c:pt idx="367">
                  <c:v>6.7750000000000005E-2</c:v>
                </c:pt>
                <c:pt idx="368">
                  <c:v>7.0900000000000005E-2</c:v>
                </c:pt>
                <c:pt idx="369">
                  <c:v>6.7479999999999998E-2</c:v>
                </c:pt>
                <c:pt idx="370">
                  <c:v>7.109E-2</c:v>
                </c:pt>
                <c:pt idx="371">
                  <c:v>6.3469999999999999E-2</c:v>
                </c:pt>
                <c:pt idx="372">
                  <c:v>7.2330000000000005E-2</c:v>
                </c:pt>
                <c:pt idx="373">
                  <c:v>6.6000000000000003E-2</c:v>
                </c:pt>
                <c:pt idx="374">
                  <c:v>7.3230000000000003E-2</c:v>
                </c:pt>
                <c:pt idx="375">
                  <c:v>6.1870000000000001E-2</c:v>
                </c:pt>
                <c:pt idx="376">
                  <c:v>5.9630000000000002E-2</c:v>
                </c:pt>
                <c:pt idx="377">
                  <c:v>5.7369999999999997E-2</c:v>
                </c:pt>
                <c:pt idx="378">
                  <c:v>5.6980000000000003E-2</c:v>
                </c:pt>
                <c:pt idx="379">
                  <c:v>5.3990000000000003E-2</c:v>
                </c:pt>
                <c:pt idx="380">
                  <c:v>4.9059999999999999E-2</c:v>
                </c:pt>
                <c:pt idx="381">
                  <c:v>5.092E-2</c:v>
                </c:pt>
                <c:pt idx="382">
                  <c:v>5.8569999999999997E-2</c:v>
                </c:pt>
                <c:pt idx="383">
                  <c:v>6.0519999999999997E-2</c:v>
                </c:pt>
                <c:pt idx="384">
                  <c:v>5.8180000000000003E-2</c:v>
                </c:pt>
                <c:pt idx="385">
                  <c:v>5.5149999999999998E-2</c:v>
                </c:pt>
                <c:pt idx="386">
                  <c:v>5.076E-2</c:v>
                </c:pt>
                <c:pt idx="387">
                  <c:v>4.802E-2</c:v>
                </c:pt>
                <c:pt idx="388">
                  <c:v>4.9020000000000001E-2</c:v>
                </c:pt>
                <c:pt idx="389">
                  <c:v>5.0909999999999997E-2</c:v>
                </c:pt>
                <c:pt idx="390">
                  <c:v>4.6330000000000003E-2</c:v>
                </c:pt>
                <c:pt idx="391">
                  <c:v>4.6460000000000001E-2</c:v>
                </c:pt>
                <c:pt idx="392">
                  <c:v>4.7379999999999999E-2</c:v>
                </c:pt>
                <c:pt idx="393">
                  <c:v>4.5699999999999998E-2</c:v>
                </c:pt>
                <c:pt idx="394">
                  <c:v>4.8750000000000002E-2</c:v>
                </c:pt>
                <c:pt idx="395">
                  <c:v>5.144E-2</c:v>
                </c:pt>
                <c:pt idx="396">
                  <c:v>5.0259999999999999E-2</c:v>
                </c:pt>
                <c:pt idx="397">
                  <c:v>4.8070000000000002E-2</c:v>
                </c:pt>
                <c:pt idx="398">
                  <c:v>4.6859999999999999E-2</c:v>
                </c:pt>
                <c:pt idx="399">
                  <c:v>4.7890000000000002E-2</c:v>
                </c:pt>
                <c:pt idx="400">
                  <c:v>4.4339999999999997E-2</c:v>
                </c:pt>
                <c:pt idx="401">
                  <c:v>5.4699999999999999E-2</c:v>
                </c:pt>
                <c:pt idx="402">
                  <c:v>5.2350000000000001E-2</c:v>
                </c:pt>
                <c:pt idx="403">
                  <c:v>5.6439999999999997E-2</c:v>
                </c:pt>
                <c:pt idx="404">
                  <c:v>6.0080000000000001E-2</c:v>
                </c:pt>
                <c:pt idx="405">
                  <c:v>6.3369999999999996E-2</c:v>
                </c:pt>
                <c:pt idx="406">
                  <c:v>5.4960000000000002E-2</c:v>
                </c:pt>
                <c:pt idx="407">
                  <c:v>5.2729999999999999E-2</c:v>
                </c:pt>
                <c:pt idx="408">
                  <c:v>5.4399999999999997E-2</c:v>
                </c:pt>
                <c:pt idx="409">
                  <c:v>5.672E-2</c:v>
                </c:pt>
                <c:pt idx="410">
                  <c:v>5.3990000000000003E-2</c:v>
                </c:pt>
                <c:pt idx="411">
                  <c:v>4.929E-2</c:v>
                </c:pt>
                <c:pt idx="412">
                  <c:v>4.301E-2</c:v>
                </c:pt>
                <c:pt idx="413">
                  <c:v>4.7109999999999999E-2</c:v>
                </c:pt>
                <c:pt idx="414">
                  <c:v>4.3520000000000003E-2</c:v>
                </c:pt>
                <c:pt idx="415">
                  <c:v>4.233E-2</c:v>
                </c:pt>
                <c:pt idx="416">
                  <c:v>4.3650000000000001E-2</c:v>
                </c:pt>
                <c:pt idx="417">
                  <c:v>4.5530000000000001E-2</c:v>
                </c:pt>
                <c:pt idx="418">
                  <c:v>4.7570000000000001E-2</c:v>
                </c:pt>
                <c:pt idx="419">
                  <c:v>4.5159999999999999E-2</c:v>
                </c:pt>
                <c:pt idx="420">
                  <c:v>5.04E-2</c:v>
                </c:pt>
                <c:pt idx="421">
                  <c:v>4.8829999999999998E-2</c:v>
                </c:pt>
                <c:pt idx="422">
                  <c:v>4.5379999999999997E-2</c:v>
                </c:pt>
                <c:pt idx="423">
                  <c:v>4.7039999999999998E-2</c:v>
                </c:pt>
                <c:pt idx="424">
                  <c:v>4.6940000000000003E-2</c:v>
                </c:pt>
                <c:pt idx="425">
                  <c:v>4.6219999999999997E-2</c:v>
                </c:pt>
                <c:pt idx="426">
                  <c:v>4.6399999999999997E-2</c:v>
                </c:pt>
                <c:pt idx="427">
                  <c:v>4.6399999999999997E-2</c:v>
                </c:pt>
                <c:pt idx="428">
                  <c:v>5.0560000000000001E-2</c:v>
                </c:pt>
                <c:pt idx="429">
                  <c:v>4.7629999999999999E-2</c:v>
                </c:pt>
                <c:pt idx="430">
                  <c:v>4.65E-2</c:v>
                </c:pt>
                <c:pt idx="431">
                  <c:v>4.2470000000000001E-2</c:v>
                </c:pt>
                <c:pt idx="432">
                  <c:v>4.4850000000000001E-2</c:v>
                </c:pt>
                <c:pt idx="433">
                  <c:v>4.1029999999999997E-2</c:v>
                </c:pt>
                <c:pt idx="434">
                  <c:v>3.8260000000000002E-2</c:v>
                </c:pt>
                <c:pt idx="435">
                  <c:v>3.662E-2</c:v>
                </c:pt>
                <c:pt idx="436">
                  <c:v>3.8519999999999999E-2</c:v>
                </c:pt>
                <c:pt idx="437">
                  <c:v>3.8030000000000001E-2</c:v>
                </c:pt>
                <c:pt idx="438">
                  <c:v>3.619E-2</c:v>
                </c:pt>
                <c:pt idx="439">
                  <c:v>3.4689999999999999E-2</c:v>
                </c:pt>
                <c:pt idx="440">
                  <c:v>3.6080000000000001E-2</c:v>
                </c:pt>
                <c:pt idx="441">
                  <c:v>3.4009999999999999E-2</c:v>
                </c:pt>
                <c:pt idx="442">
                  <c:v>3.6920000000000001E-2</c:v>
                </c:pt>
                <c:pt idx="443">
                  <c:v>3.8989999999999997E-2</c:v>
                </c:pt>
                <c:pt idx="444">
                  <c:v>3.4500000000000003E-2</c:v>
                </c:pt>
                <c:pt idx="445">
                  <c:v>3.4619999999999998E-2</c:v>
                </c:pt>
                <c:pt idx="446">
                  <c:v>3.2370000000000003E-2</c:v>
                </c:pt>
                <c:pt idx="447">
                  <c:v>3.4229999999999997E-2</c:v>
                </c:pt>
                <c:pt idx="448">
                  <c:v>3.0099999999999998E-2</c:v>
                </c:pt>
                <c:pt idx="449">
                  <c:v>2.911E-2</c:v>
                </c:pt>
                <c:pt idx="450">
                  <c:v>2.784E-2</c:v>
                </c:pt>
                <c:pt idx="451">
                  <c:v>2.7830000000000001E-2</c:v>
                </c:pt>
                <c:pt idx="452">
                  <c:v>3.1320000000000001E-2</c:v>
                </c:pt>
                <c:pt idx="453">
                  <c:v>2.896E-2</c:v>
                </c:pt>
                <c:pt idx="454">
                  <c:v>2.8580000000000001E-2</c:v>
                </c:pt>
                <c:pt idx="455">
                  <c:v>2.8760000000000001E-2</c:v>
                </c:pt>
                <c:pt idx="456">
                  <c:v>2.9919999999999999E-2</c:v>
                </c:pt>
                <c:pt idx="457">
                  <c:v>3.3309999999999999E-2</c:v>
                </c:pt>
                <c:pt idx="458">
                  <c:v>3.5319999999999997E-2</c:v>
                </c:pt>
                <c:pt idx="459">
                  <c:v>3.4360000000000002E-2</c:v>
                </c:pt>
                <c:pt idx="460">
                  <c:v>3.4479999999999997E-2</c:v>
                </c:pt>
                <c:pt idx="461">
                  <c:v>3.177E-2</c:v>
                </c:pt>
                <c:pt idx="462">
                  <c:v>3.2980000000000002E-2</c:v>
                </c:pt>
                <c:pt idx="463">
                  <c:v>3.0720000000000001E-2</c:v>
                </c:pt>
                <c:pt idx="464">
                  <c:v>2.8879999999999999E-2</c:v>
                </c:pt>
                <c:pt idx="465">
                  <c:v>3.066E-2</c:v>
                </c:pt>
                <c:pt idx="466">
                  <c:v>3.3140000000000003E-2</c:v>
                </c:pt>
                <c:pt idx="467">
                  <c:v>3.2099999999999997E-2</c:v>
                </c:pt>
                <c:pt idx="468">
                  <c:v>3.1309999999999998E-2</c:v>
                </c:pt>
                <c:pt idx="469">
                  <c:v>3.3360000000000001E-2</c:v>
                </c:pt>
                <c:pt idx="470">
                  <c:v>3.6339999999999997E-2</c:v>
                </c:pt>
                <c:pt idx="471">
                  <c:v>3.8940000000000002E-2</c:v>
                </c:pt>
                <c:pt idx="472">
                  <c:v>3.4509999999999999E-2</c:v>
                </c:pt>
                <c:pt idx="473">
                  <c:v>3.6679999999999997E-2</c:v>
                </c:pt>
                <c:pt idx="474">
                  <c:v>3.3180000000000001E-2</c:v>
                </c:pt>
                <c:pt idx="475">
                  <c:v>3.3750000000000002E-2</c:v>
                </c:pt>
                <c:pt idx="476">
                  <c:v>3.1370000000000002E-2</c:v>
                </c:pt>
                <c:pt idx="477">
                  <c:v>3.0630000000000001E-2</c:v>
                </c:pt>
                <c:pt idx="478">
                  <c:v>2.9919999999999999E-2</c:v>
                </c:pt>
                <c:pt idx="479">
                  <c:v>3.7470000000000003E-2</c:v>
                </c:pt>
                <c:pt idx="480">
                  <c:v>3.4840000000000003E-2</c:v>
                </c:pt>
                <c:pt idx="481">
                  <c:v>3.44E-2</c:v>
                </c:pt>
                <c:pt idx="482">
                  <c:v>3.4229999999999997E-2</c:v>
                </c:pt>
                <c:pt idx="483">
                  <c:v>3.7449999999999997E-2</c:v>
                </c:pt>
                <c:pt idx="484">
                  <c:v>3.9129999999999998E-2</c:v>
                </c:pt>
                <c:pt idx="485">
                  <c:v>4.113E-2</c:v>
                </c:pt>
                <c:pt idx="486">
                  <c:v>4.1349999999999998E-2</c:v>
                </c:pt>
                <c:pt idx="487">
                  <c:v>4.165E-2</c:v>
                </c:pt>
                <c:pt idx="488">
                  <c:v>4.2340000000000003E-2</c:v>
                </c:pt>
                <c:pt idx="489">
                  <c:v>4.3220000000000001E-2</c:v>
                </c:pt>
                <c:pt idx="490">
                  <c:v>4.0419999999999998E-2</c:v>
                </c:pt>
                <c:pt idx="491">
                  <c:v>3.3410000000000002E-2</c:v>
                </c:pt>
                <c:pt idx="492">
                  <c:v>4.0759999999999998E-2</c:v>
                </c:pt>
                <c:pt idx="493">
                  <c:v>3.8039999999999997E-2</c:v>
                </c:pt>
                <c:pt idx="494">
                  <c:v>4.6379999999999998E-2</c:v>
                </c:pt>
                <c:pt idx="495">
                  <c:v>5.1020000000000003E-2</c:v>
                </c:pt>
                <c:pt idx="496">
                  <c:v>5.0160000000000003E-2</c:v>
                </c:pt>
                <c:pt idx="497">
                  <c:v>5.1490000000000001E-2</c:v>
                </c:pt>
                <c:pt idx="498">
                  <c:v>4.9770000000000002E-2</c:v>
                </c:pt>
                <c:pt idx="499">
                  <c:v>4.9480000000000003E-2</c:v>
                </c:pt>
                <c:pt idx="500">
                  <c:v>5.4730000000000001E-2</c:v>
                </c:pt>
                <c:pt idx="501">
                  <c:v>5.0599999999999999E-2</c:v>
                </c:pt>
                <c:pt idx="502">
                  <c:v>5.8939999999999999E-2</c:v>
                </c:pt>
                <c:pt idx="503">
                  <c:v>5.824E-2</c:v>
                </c:pt>
                <c:pt idx="504">
                  <c:v>5.9799999999999999E-2</c:v>
                </c:pt>
                <c:pt idx="505">
                  <c:v>5.8610000000000002E-2</c:v>
                </c:pt>
                <c:pt idx="506">
                  <c:v>5.6399999999999999E-2</c:v>
                </c:pt>
                <c:pt idx="507">
                  <c:v>5.4719999999999998E-2</c:v>
                </c:pt>
                <c:pt idx="508">
                  <c:v>5.3999999999999999E-2</c:v>
                </c:pt>
                <c:pt idx="509">
                  <c:v>4.9919999999999999E-2</c:v>
                </c:pt>
                <c:pt idx="510">
                  <c:v>6.6680000000000003E-2</c:v>
                </c:pt>
                <c:pt idx="511">
                  <c:v>6.6129999999999994E-2</c:v>
                </c:pt>
                <c:pt idx="512">
                  <c:v>8.2150000000000001E-2</c:v>
                </c:pt>
                <c:pt idx="513">
                  <c:v>8.3320000000000005E-2</c:v>
                </c:pt>
                <c:pt idx="514">
                  <c:v>8.6269999999999999E-2</c:v>
                </c:pt>
                <c:pt idx="515">
                  <c:v>8.9969999999999994E-2</c:v>
                </c:pt>
                <c:pt idx="516">
                  <c:v>8.2960000000000006E-2</c:v>
                </c:pt>
                <c:pt idx="517">
                  <c:v>7.6939999999999995E-2</c:v>
                </c:pt>
                <c:pt idx="518">
                  <c:v>7.1150000000000005E-2</c:v>
                </c:pt>
                <c:pt idx="519">
                  <c:v>7.7890000000000001E-2</c:v>
                </c:pt>
                <c:pt idx="520">
                  <c:v>7.2309999999999999E-2</c:v>
                </c:pt>
                <c:pt idx="521">
                  <c:v>7.4700000000000003E-2</c:v>
                </c:pt>
                <c:pt idx="522">
                  <c:v>6.4920000000000005E-2</c:v>
                </c:pt>
                <c:pt idx="523">
                  <c:v>6.948E-2</c:v>
                </c:pt>
                <c:pt idx="524">
                  <c:v>6.5780000000000005E-2</c:v>
                </c:pt>
                <c:pt idx="525">
                  <c:v>8.2979999999999998E-2</c:v>
                </c:pt>
                <c:pt idx="526">
                  <c:v>8.0490000000000006E-2</c:v>
                </c:pt>
                <c:pt idx="527">
                  <c:v>8.6239999999999997E-2</c:v>
                </c:pt>
                <c:pt idx="528">
                  <c:v>7.707E-2</c:v>
                </c:pt>
                <c:pt idx="529">
                  <c:v>8.0060000000000006E-2</c:v>
                </c:pt>
                <c:pt idx="530">
                  <c:v>7.2340000000000002E-2</c:v>
                </c:pt>
                <c:pt idx="531">
                  <c:v>7.3950000000000002E-2</c:v>
                </c:pt>
                <c:pt idx="532">
                  <c:v>7.1859999999999993E-2</c:v>
                </c:pt>
                <c:pt idx="533">
                  <c:v>7.3429999999999995E-2</c:v>
                </c:pt>
                <c:pt idx="534">
                  <c:v>6.7290000000000003E-2</c:v>
                </c:pt>
                <c:pt idx="535">
                  <c:v>7.374E-2</c:v>
                </c:pt>
                <c:pt idx="536">
                  <c:v>5.8000000000000003E-2</c:v>
                </c:pt>
                <c:pt idx="537">
                  <c:v>5.425E-2</c:v>
                </c:pt>
                <c:pt idx="538">
                  <c:v>5.0220000000000001E-2</c:v>
                </c:pt>
                <c:pt idx="539">
                  <c:v>5.1499999999999997E-2</c:v>
                </c:pt>
                <c:pt idx="540">
                  <c:v>4.7230000000000001E-2</c:v>
                </c:pt>
                <c:pt idx="541">
                  <c:v>4.3159999999999997E-2</c:v>
                </c:pt>
                <c:pt idx="542">
                  <c:v>4.36E-2</c:v>
                </c:pt>
                <c:pt idx="543">
                  <c:v>4.1070000000000002E-2</c:v>
                </c:pt>
                <c:pt idx="544">
                  <c:v>4.0469999999999999E-2</c:v>
                </c:pt>
                <c:pt idx="545">
                  <c:v>4.1980000000000003E-2</c:v>
                </c:pt>
                <c:pt idx="546">
                  <c:v>4.3459999999999999E-2</c:v>
                </c:pt>
                <c:pt idx="547">
                  <c:v>4.0960000000000003E-2</c:v>
                </c:pt>
                <c:pt idx="548">
                  <c:v>4.3740000000000001E-2</c:v>
                </c:pt>
                <c:pt idx="549">
                  <c:v>4.326E-2</c:v>
                </c:pt>
                <c:pt idx="550">
                  <c:v>5.1549999999999999E-2</c:v>
                </c:pt>
                <c:pt idx="551">
                  <c:v>4.8529999999999997E-2</c:v>
                </c:pt>
                <c:pt idx="552">
                  <c:v>4.6940000000000003E-2</c:v>
                </c:pt>
                <c:pt idx="553">
                  <c:v>4.165E-2</c:v>
                </c:pt>
                <c:pt idx="554">
                  <c:v>4.1050000000000003E-2</c:v>
                </c:pt>
                <c:pt idx="555">
                  <c:v>4.3889999999999998E-2</c:v>
                </c:pt>
                <c:pt idx="556">
                  <c:v>3.9800000000000002E-2</c:v>
                </c:pt>
                <c:pt idx="557">
                  <c:v>3.2849999999999997E-2</c:v>
                </c:pt>
                <c:pt idx="558">
                  <c:v>3.0640000000000001E-2</c:v>
                </c:pt>
                <c:pt idx="559">
                  <c:v>3.0099999999999998E-2</c:v>
                </c:pt>
                <c:pt idx="560">
                  <c:v>3.083E-2</c:v>
                </c:pt>
                <c:pt idx="561">
                  <c:v>3.0120000000000001E-2</c:v>
                </c:pt>
                <c:pt idx="562">
                  <c:v>3.1620000000000002E-2</c:v>
                </c:pt>
                <c:pt idx="563">
                  <c:v>3.2129999999999999E-2</c:v>
                </c:pt>
                <c:pt idx="564">
                  <c:v>3.2570000000000002E-2</c:v>
                </c:pt>
                <c:pt idx="565">
                  <c:v>3.3149999999999999E-2</c:v>
                </c:pt>
                <c:pt idx="566">
                  <c:v>3.1370000000000002E-2</c:v>
                </c:pt>
                <c:pt idx="567">
                  <c:v>2.938E-2</c:v>
                </c:pt>
                <c:pt idx="568">
                  <c:v>3.1940000000000003E-2</c:v>
                </c:pt>
                <c:pt idx="569">
                  <c:v>2.87E-2</c:v>
                </c:pt>
                <c:pt idx="570">
                  <c:v>2.6089999999999999E-2</c:v>
                </c:pt>
                <c:pt idx="571">
                  <c:v>2.5139999999999999E-2</c:v>
                </c:pt>
                <c:pt idx="572">
                  <c:v>2.6239999999999999E-2</c:v>
                </c:pt>
                <c:pt idx="573">
                  <c:v>2.648E-2</c:v>
                </c:pt>
                <c:pt idx="574">
                  <c:v>2.546E-2</c:v>
                </c:pt>
                <c:pt idx="575">
                  <c:v>2.4639999999999999E-2</c:v>
                </c:pt>
                <c:pt idx="576">
                  <c:v>2.4559999999999998E-2</c:v>
                </c:pt>
                <c:pt idx="577">
                  <c:v>2.6259999999999999E-2</c:v>
                </c:pt>
                <c:pt idx="578">
                  <c:v>2.5229999999999999E-2</c:v>
                </c:pt>
                <c:pt idx="579">
                  <c:v>2.5440000000000001E-2</c:v>
                </c:pt>
                <c:pt idx="580">
                  <c:v>2.7349999999999999E-2</c:v>
                </c:pt>
                <c:pt idx="581">
                  <c:v>2.6710000000000001E-2</c:v>
                </c:pt>
                <c:pt idx="582">
                  <c:v>2.588E-2</c:v>
                </c:pt>
                <c:pt idx="583">
                  <c:v>2.7269999999999999E-2</c:v>
                </c:pt>
                <c:pt idx="584">
                  <c:v>2.7720000000000002E-2</c:v>
                </c:pt>
                <c:pt idx="585">
                  <c:v>2.7629999999999998E-2</c:v>
                </c:pt>
                <c:pt idx="586">
                  <c:v>2.7099999999999999E-2</c:v>
                </c:pt>
                <c:pt idx="587">
                  <c:v>2.7E-2</c:v>
                </c:pt>
                <c:pt idx="588">
                  <c:v>2.3779999999999999E-2</c:v>
                </c:pt>
                <c:pt idx="589">
                  <c:v>2.4060000000000002E-2</c:v>
                </c:pt>
                <c:pt idx="590">
                  <c:v>2.4410000000000001E-2</c:v>
                </c:pt>
                <c:pt idx="591">
                  <c:v>2.3970000000000002E-2</c:v>
                </c:pt>
                <c:pt idx="592">
                  <c:v>2.452E-2</c:v>
                </c:pt>
                <c:pt idx="593">
                  <c:v>2.4289999999999999E-2</c:v>
                </c:pt>
                <c:pt idx="594">
                  <c:v>2.4899999999999999E-2</c:v>
                </c:pt>
                <c:pt idx="595">
                  <c:v>2.2530000000000001E-2</c:v>
                </c:pt>
                <c:pt idx="596">
                  <c:v>2.2409999999999999E-2</c:v>
                </c:pt>
                <c:pt idx="597">
                  <c:v>2.2339999999999999E-2</c:v>
                </c:pt>
                <c:pt idx="598">
                  <c:v>2.196E-2</c:v>
                </c:pt>
                <c:pt idx="599">
                  <c:v>2.1930000000000002E-2</c:v>
                </c:pt>
                <c:pt idx="600">
                  <c:v>2.1999999999999999E-2</c:v>
                </c:pt>
                <c:pt idx="601">
                  <c:v>2.2679999999999999E-2</c:v>
                </c:pt>
                <c:pt idx="602">
                  <c:v>2.2790000000000001E-2</c:v>
                </c:pt>
                <c:pt idx="603">
                  <c:v>2.1680000000000001E-2</c:v>
                </c:pt>
                <c:pt idx="604">
                  <c:v>2.1350000000000001E-2</c:v>
                </c:pt>
                <c:pt idx="605">
                  <c:v>2.1350000000000001E-2</c:v>
                </c:pt>
                <c:pt idx="606">
                  <c:v>2.026E-2</c:v>
                </c:pt>
                <c:pt idx="607">
                  <c:v>2.1559999999999999E-2</c:v>
                </c:pt>
                <c:pt idx="608">
                  <c:v>2.1919999999999999E-2</c:v>
                </c:pt>
                <c:pt idx="609">
                  <c:v>2.1899999999999999E-2</c:v>
                </c:pt>
                <c:pt idx="610">
                  <c:v>2.2069999999999999E-2</c:v>
                </c:pt>
                <c:pt idx="611">
                  <c:v>2.2720000000000001E-2</c:v>
                </c:pt>
                <c:pt idx="612">
                  <c:v>2.3879999999999998E-2</c:v>
                </c:pt>
                <c:pt idx="613">
                  <c:v>2.1899999999999999E-2</c:v>
                </c:pt>
                <c:pt idx="614">
                  <c:v>2.324E-2</c:v>
                </c:pt>
                <c:pt idx="615">
                  <c:v>2.104E-2</c:v>
                </c:pt>
                <c:pt idx="616">
                  <c:v>2.026E-2</c:v>
                </c:pt>
                <c:pt idx="617">
                  <c:v>2.1499999999999998E-2</c:v>
                </c:pt>
                <c:pt idx="618">
                  <c:v>2.061E-2</c:v>
                </c:pt>
                <c:pt idx="619">
                  <c:v>2.01E-2</c:v>
                </c:pt>
                <c:pt idx="620">
                  <c:v>1.8870000000000001E-2</c:v>
                </c:pt>
                <c:pt idx="621">
                  <c:v>1.9109999999999999E-2</c:v>
                </c:pt>
                <c:pt idx="622">
                  <c:v>1.9230000000000001E-2</c:v>
                </c:pt>
                <c:pt idx="623">
                  <c:v>1.8550000000000001E-2</c:v>
                </c:pt>
                <c:pt idx="624">
                  <c:v>1.8689999999999998E-2</c:v>
                </c:pt>
                <c:pt idx="625">
                  <c:v>1.83E-2</c:v>
                </c:pt>
                <c:pt idx="626">
                  <c:v>1.8239999999999999E-2</c:v>
                </c:pt>
                <c:pt idx="627">
                  <c:v>1.8489999999999999E-2</c:v>
                </c:pt>
                <c:pt idx="628">
                  <c:v>1.9900000000000001E-2</c:v>
                </c:pt>
                <c:pt idx="629">
                  <c:v>1.95E-2</c:v>
                </c:pt>
                <c:pt idx="630">
                  <c:v>1.8620000000000001E-2</c:v>
                </c:pt>
                <c:pt idx="631">
                  <c:v>1.9140000000000001E-2</c:v>
                </c:pt>
                <c:pt idx="632">
                  <c:v>2.0490000000000001E-2</c:v>
                </c:pt>
                <c:pt idx="633">
                  <c:v>2.1059999999999999E-2</c:v>
                </c:pt>
                <c:pt idx="634">
                  <c:v>2.0760000000000001E-2</c:v>
                </c:pt>
                <c:pt idx="635">
                  <c:v>2.214E-2</c:v>
                </c:pt>
                <c:pt idx="636">
                  <c:v>2.2290000000000001E-2</c:v>
                </c:pt>
                <c:pt idx="637">
                  <c:v>2.2200000000000001E-2</c:v>
                </c:pt>
                <c:pt idx="638">
                  <c:v>2.2970000000000001E-2</c:v>
                </c:pt>
                <c:pt idx="639">
                  <c:v>2.2579999999999999E-2</c:v>
                </c:pt>
                <c:pt idx="640">
                  <c:v>2.2769999999999999E-2</c:v>
                </c:pt>
                <c:pt idx="641">
                  <c:v>2.3529999999999999E-2</c:v>
                </c:pt>
                <c:pt idx="642">
                  <c:v>2.162E-2</c:v>
                </c:pt>
                <c:pt idx="643">
                  <c:v>2.1559999999999999E-2</c:v>
                </c:pt>
                <c:pt idx="644">
                  <c:v>2.1129999999999999E-2</c:v>
                </c:pt>
                <c:pt idx="645">
                  <c:v>1.9810000000000001E-2</c:v>
                </c:pt>
                <c:pt idx="646">
                  <c:v>1.8960000000000001E-2</c:v>
                </c:pt>
                <c:pt idx="647">
                  <c:v>1.866E-2</c:v>
                </c:pt>
                <c:pt idx="648">
                  <c:v>2.1059999999999999E-2</c:v>
                </c:pt>
                <c:pt idx="649">
                  <c:v>1.967E-2</c:v>
                </c:pt>
                <c:pt idx="650">
                  <c:v>1.9029999999999998E-2</c:v>
                </c:pt>
                <c:pt idx="651">
                  <c:v>1.8249999999999999E-2</c:v>
                </c:pt>
                <c:pt idx="652">
                  <c:v>1.702E-2</c:v>
                </c:pt>
                <c:pt idx="653">
                  <c:v>1.8370000000000001E-2</c:v>
                </c:pt>
                <c:pt idx="654">
                  <c:v>1.7610000000000001E-2</c:v>
                </c:pt>
                <c:pt idx="655">
                  <c:v>1.6959999999999999E-2</c:v>
                </c:pt>
                <c:pt idx="656">
                  <c:v>1.7489999999999999E-2</c:v>
                </c:pt>
                <c:pt idx="657">
                  <c:v>1.6670000000000001E-2</c:v>
                </c:pt>
                <c:pt idx="658">
                  <c:v>1.9130000000000001E-2</c:v>
                </c:pt>
                <c:pt idx="659">
                  <c:v>2.009E-2</c:v>
                </c:pt>
                <c:pt idx="660">
                  <c:v>1.9939999999999999E-2</c:v>
                </c:pt>
                <c:pt idx="661">
                  <c:v>2.0389999999999998E-2</c:v>
                </c:pt>
                <c:pt idx="662">
                  <c:v>2.0639999999999999E-2</c:v>
                </c:pt>
                <c:pt idx="663">
                  <c:v>2.0080000000000001E-2</c:v>
                </c:pt>
                <c:pt idx="664">
                  <c:v>1.951E-2</c:v>
                </c:pt>
                <c:pt idx="665">
                  <c:v>1.9300000000000001E-2</c:v>
                </c:pt>
                <c:pt idx="666">
                  <c:v>1.754E-2</c:v>
                </c:pt>
                <c:pt idx="667">
                  <c:v>1.6670000000000001E-2</c:v>
                </c:pt>
                <c:pt idx="668">
                  <c:v>1.6549999999999999E-2</c:v>
                </c:pt>
                <c:pt idx="669">
                  <c:v>1.576E-2</c:v>
                </c:pt>
                <c:pt idx="670">
                  <c:v>1.44E-2</c:v>
                </c:pt>
                <c:pt idx="671">
                  <c:v>1.4370000000000001E-2</c:v>
                </c:pt>
                <c:pt idx="672">
                  <c:v>1.5789999999999998E-2</c:v>
                </c:pt>
                <c:pt idx="673">
                  <c:v>1.6150000000000001E-2</c:v>
                </c:pt>
                <c:pt idx="674">
                  <c:v>1.372E-2</c:v>
                </c:pt>
                <c:pt idx="675">
                  <c:v>1.371E-2</c:v>
                </c:pt>
                <c:pt idx="676">
                  <c:v>1.206E-2</c:v>
                </c:pt>
                <c:pt idx="677">
                  <c:v>1.436E-2</c:v>
                </c:pt>
                <c:pt idx="678">
                  <c:v>1.5010000000000001E-2</c:v>
                </c:pt>
                <c:pt idx="679">
                  <c:v>1.427E-2</c:v>
                </c:pt>
                <c:pt idx="680">
                  <c:v>1.221E-2</c:v>
                </c:pt>
                <c:pt idx="681">
                  <c:v>1.2370000000000001E-2</c:v>
                </c:pt>
                <c:pt idx="682">
                  <c:v>1.1270000000000001E-2</c:v>
                </c:pt>
                <c:pt idx="683">
                  <c:v>1.363E-2</c:v>
                </c:pt>
                <c:pt idx="684">
                  <c:v>1.4149999999999999E-2</c:v>
                </c:pt>
                <c:pt idx="685">
                  <c:v>1.5900000000000001E-2</c:v>
                </c:pt>
                <c:pt idx="686">
                  <c:v>1.2E-2</c:v>
                </c:pt>
                <c:pt idx="687">
                  <c:v>2.7E-2</c:v>
                </c:pt>
                <c:pt idx="688">
                  <c:v>3.082E-2</c:v>
                </c:pt>
                <c:pt idx="689">
                  <c:v>3.0169999999999999E-2</c:v>
                </c:pt>
                <c:pt idx="690">
                  <c:v>3.3779999999999998E-2</c:v>
                </c:pt>
                <c:pt idx="691">
                  <c:v>3.4689999999999999E-2</c:v>
                </c:pt>
                <c:pt idx="692">
                  <c:v>3.4389999999999997E-2</c:v>
                </c:pt>
                <c:pt idx="693">
                  <c:v>3.3950000000000001E-2</c:v>
                </c:pt>
                <c:pt idx="694">
                  <c:v>2.7089999999999999E-2</c:v>
                </c:pt>
                <c:pt idx="695">
                  <c:v>3.092E-2</c:v>
                </c:pt>
                <c:pt idx="696">
                  <c:v>2.4320000000000001E-2</c:v>
                </c:pt>
                <c:pt idx="697">
                  <c:v>1.9060000000000001E-2</c:v>
                </c:pt>
                <c:pt idx="698">
                  <c:v>1.8839999999999999E-2</c:v>
                </c:pt>
                <c:pt idx="699">
                  <c:v>1.9400000000000001E-2</c:v>
                </c:pt>
                <c:pt idx="700">
                  <c:v>2.0279999999999999E-2</c:v>
                </c:pt>
                <c:pt idx="701">
                  <c:v>2.0899999999999998E-2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97-4C9E-A6FA-C7C21050431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-11.189573393515952</c:v>
                </c:pt>
                <c:pt idx="1">
                  <c:v>-11.172574563515951</c:v>
                </c:pt>
                <c:pt idx="2">
                  <c:v>-10.803802899693164</c:v>
                </c:pt>
                <c:pt idx="3">
                  <c:v>-10.794208827807042</c:v>
                </c:pt>
                <c:pt idx="4">
                  <c:v>-11.323147346607044</c:v>
                </c:pt>
                <c:pt idx="5">
                  <c:v>-11.331348298860567</c:v>
                </c:pt>
                <c:pt idx="6">
                  <c:v>-11.416203923839106</c:v>
                </c:pt>
                <c:pt idx="7">
                  <c:v>-10.522063756620172</c:v>
                </c:pt>
                <c:pt idx="8">
                  <c:v>-10.156382571578847</c:v>
                </c:pt>
                <c:pt idx="9">
                  <c:v>-9.3328428878766356</c:v>
                </c:pt>
                <c:pt idx="10">
                  <c:v>-10.020587728192421</c:v>
                </c:pt>
                <c:pt idx="11">
                  <c:v>-11.148604782333834</c:v>
                </c:pt>
                <c:pt idx="12">
                  <c:v>-11.175355933912781</c:v>
                </c:pt>
                <c:pt idx="13">
                  <c:v>-11.236379966912782</c:v>
                </c:pt>
                <c:pt idx="14">
                  <c:v>-11.371940464055641</c:v>
                </c:pt>
                <c:pt idx="15">
                  <c:v>-11.099898329114463</c:v>
                </c:pt>
                <c:pt idx="16">
                  <c:v>-11.363315658352132</c:v>
                </c:pt>
                <c:pt idx="17">
                  <c:v>-11.626530659146834</c:v>
                </c:pt>
                <c:pt idx="18">
                  <c:v>-11.530523729417103</c:v>
                </c:pt>
                <c:pt idx="19">
                  <c:v>-11.658997179084878</c:v>
                </c:pt>
                <c:pt idx="20">
                  <c:v>-11.511466442993969</c:v>
                </c:pt>
                <c:pt idx="21">
                  <c:v>-10.944878155001076</c:v>
                </c:pt>
                <c:pt idx="22">
                  <c:v>-11.181832492163236</c:v>
                </c:pt>
                <c:pt idx="23">
                  <c:v>-10.87535462033715</c:v>
                </c:pt>
                <c:pt idx="24">
                  <c:v>-10.600705696068491</c:v>
                </c:pt>
                <c:pt idx="25">
                  <c:v>-10.643579383136556</c:v>
                </c:pt>
                <c:pt idx="26">
                  <c:v>-10.68724012817415</c:v>
                </c:pt>
                <c:pt idx="27">
                  <c:v>-10.936422239913279</c:v>
                </c:pt>
                <c:pt idx="28">
                  <c:v>-10.76921071062489</c:v>
                </c:pt>
                <c:pt idx="29">
                  <c:v>-10.695952648709998</c:v>
                </c:pt>
                <c:pt idx="30">
                  <c:v>-10.440746713127474</c:v>
                </c:pt>
                <c:pt idx="31">
                  <c:v>-10.145086752449508</c:v>
                </c:pt>
                <c:pt idx="32">
                  <c:v>-9.8718640544928515</c:v>
                </c:pt>
                <c:pt idx="33">
                  <c:v>-9.9540324429928511</c:v>
                </c:pt>
                <c:pt idx="34">
                  <c:v>-10.180959953898775</c:v>
                </c:pt>
                <c:pt idx="35">
                  <c:v>-10.383316248549939</c:v>
                </c:pt>
                <c:pt idx="36">
                  <c:v>-10.180852620854877</c:v>
                </c:pt>
                <c:pt idx="37">
                  <c:v>-10.340840535387251</c:v>
                </c:pt>
                <c:pt idx="38">
                  <c:v>-10.326142618020704</c:v>
                </c:pt>
                <c:pt idx="39">
                  <c:v>-10.347109007698124</c:v>
                </c:pt>
                <c:pt idx="40">
                  <c:v>-10.201831696425396</c:v>
                </c:pt>
                <c:pt idx="41">
                  <c:v>-10.27349521658933</c:v>
                </c:pt>
                <c:pt idx="42">
                  <c:v>-10.169454521381784</c:v>
                </c:pt>
                <c:pt idx="43">
                  <c:v>-9.8415707560382746</c:v>
                </c:pt>
                <c:pt idx="44">
                  <c:v>-10.197134941394475</c:v>
                </c:pt>
                <c:pt idx="45">
                  <c:v>-10.2206447440232</c:v>
                </c:pt>
                <c:pt idx="46">
                  <c:v>-9.7408067468894419</c:v>
                </c:pt>
                <c:pt idx="47">
                  <c:v>-10.007001891314829</c:v>
                </c:pt>
                <c:pt idx="48">
                  <c:v>-10.031678816184392</c:v>
                </c:pt>
                <c:pt idx="49">
                  <c:v>-9.6128949023230064</c:v>
                </c:pt>
                <c:pt idx="50">
                  <c:v>-9.2361810416591066</c:v>
                </c:pt>
                <c:pt idx="51">
                  <c:v>-9.3770707314866932</c:v>
                </c:pt>
                <c:pt idx="52">
                  <c:v>-8.9639256805365743</c:v>
                </c:pt>
                <c:pt idx="53">
                  <c:v>-9.6015092247092362</c:v>
                </c:pt>
                <c:pt idx="54">
                  <c:v>-9.5103064021503148</c:v>
                </c:pt>
                <c:pt idx="55">
                  <c:v>-10.265487619704187</c:v>
                </c:pt>
                <c:pt idx="56">
                  <c:v>-9.9582033743082921</c:v>
                </c:pt>
                <c:pt idx="57">
                  <c:v>-9.454118947802268</c:v>
                </c:pt>
                <c:pt idx="58">
                  <c:v>-9.2582469032597352</c:v>
                </c:pt>
                <c:pt idx="59">
                  <c:v>-9.1033678477467177</c:v>
                </c:pt>
                <c:pt idx="60">
                  <c:v>-9.3571010835520489</c:v>
                </c:pt>
                <c:pt idx="61">
                  <c:v>-9.7980896918323026</c:v>
                </c:pt>
                <c:pt idx="62">
                  <c:v>-9.6379141124114547</c:v>
                </c:pt>
                <c:pt idx="63">
                  <c:v>-9.1288292294638289</c:v>
                </c:pt>
                <c:pt idx="64">
                  <c:v>-9.5719035008766706</c:v>
                </c:pt>
                <c:pt idx="65">
                  <c:v>-9.5606731694712668</c:v>
                </c:pt>
                <c:pt idx="66">
                  <c:v>-9.6742088417671859</c:v>
                </c:pt>
                <c:pt idx="67">
                  <c:v>-9.3853450149334119</c:v>
                </c:pt>
                <c:pt idx="68">
                  <c:v>-9.1457645001508041</c:v>
                </c:pt>
                <c:pt idx="69">
                  <c:v>-9.3024880497252731</c:v>
                </c:pt>
                <c:pt idx="70">
                  <c:v>-9.3616804213468949</c:v>
                </c:pt>
                <c:pt idx="71">
                  <c:v>-9.1514194454590427</c:v>
                </c:pt>
                <c:pt idx="72">
                  <c:v>-9.3107772726474511</c:v>
                </c:pt>
                <c:pt idx="73">
                  <c:v>-9.3464323135336755</c:v>
                </c:pt>
                <c:pt idx="74">
                  <c:v>-8.961103022065787</c:v>
                </c:pt>
                <c:pt idx="75">
                  <c:v>-8.9402569716548292</c:v>
                </c:pt>
                <c:pt idx="76">
                  <c:v>-9.3044214759266737</c:v>
                </c:pt>
                <c:pt idx="77">
                  <c:v>-9.2472207116858378</c:v>
                </c:pt>
                <c:pt idx="78">
                  <c:v>-8.7900973648950025</c:v>
                </c:pt>
                <c:pt idx="79">
                  <c:v>-8.6580922346994473</c:v>
                </c:pt>
                <c:pt idx="80">
                  <c:v>-8.7611283659667727</c:v>
                </c:pt>
                <c:pt idx="81">
                  <c:v>-9.1973210807342145</c:v>
                </c:pt>
                <c:pt idx="82">
                  <c:v>-8.9859822866165686</c:v>
                </c:pt>
                <c:pt idx="83">
                  <c:v>-9.0799102296273215</c:v>
                </c:pt>
                <c:pt idx="84">
                  <c:v>-8.6935708269000482</c:v>
                </c:pt>
                <c:pt idx="85">
                  <c:v>-8.4650064583855578</c:v>
                </c:pt>
                <c:pt idx="86">
                  <c:v>-8.2215458655001843</c:v>
                </c:pt>
                <c:pt idx="87">
                  <c:v>-7.184478572292635</c:v>
                </c:pt>
                <c:pt idx="88">
                  <c:v>-8.0513517455036432</c:v>
                </c:pt>
                <c:pt idx="89">
                  <c:v>-9.2121551027532202</c:v>
                </c:pt>
                <c:pt idx="90">
                  <c:v>-8.6357036249128445</c:v>
                </c:pt>
                <c:pt idx="91">
                  <c:v>-9.9194080535429805</c:v>
                </c:pt>
                <c:pt idx="92">
                  <c:v>-11.708868276315259</c:v>
                </c:pt>
                <c:pt idx="93">
                  <c:v>-11.098621617753885</c:v>
                </c:pt>
                <c:pt idx="94">
                  <c:v>-10.667526372864993</c:v>
                </c:pt>
                <c:pt idx="95">
                  <c:v>-11.188529576035727</c:v>
                </c:pt>
                <c:pt idx="96">
                  <c:v>-11.19153298984342</c:v>
                </c:pt>
                <c:pt idx="97">
                  <c:v>-10.95385366663867</c:v>
                </c:pt>
                <c:pt idx="98">
                  <c:v>-10.822462284949609</c:v>
                </c:pt>
                <c:pt idx="99">
                  <c:v>-10.461869372352798</c:v>
                </c:pt>
                <c:pt idx="100">
                  <c:v>-10.586296956060666</c:v>
                </c:pt>
                <c:pt idx="101">
                  <c:v>-10.569878786978096</c:v>
                </c:pt>
                <c:pt idx="102">
                  <c:v>-10.517797299060007</c:v>
                </c:pt>
                <c:pt idx="103">
                  <c:v>-10.527026252830888</c:v>
                </c:pt>
                <c:pt idx="104">
                  <c:v>-10.323868443835076</c:v>
                </c:pt>
                <c:pt idx="105">
                  <c:v>-9.5252056395901761</c:v>
                </c:pt>
                <c:pt idx="106">
                  <c:v>-9.6931280670701767</c:v>
                </c:pt>
                <c:pt idx="107">
                  <c:v>-9.5061395839109082</c:v>
                </c:pt>
                <c:pt idx="108">
                  <c:v>-10.102527352841387</c:v>
                </c:pt>
                <c:pt idx="109">
                  <c:v>-9.8998903056413887</c:v>
                </c:pt>
                <c:pt idx="110">
                  <c:v>-9.1966804081976257</c:v>
                </c:pt>
                <c:pt idx="111">
                  <c:v>-8.6013362689074384</c:v>
                </c:pt>
                <c:pt idx="112">
                  <c:v>-8.2006422688279468</c:v>
                </c:pt>
                <c:pt idx="113">
                  <c:v>-9.0160937952288318</c:v>
                </c:pt>
                <c:pt idx="114">
                  <c:v>-8.270895311712346</c:v>
                </c:pt>
                <c:pt idx="115">
                  <c:v>-7.5586397298145362</c:v>
                </c:pt>
                <c:pt idx="116">
                  <c:v>-6.7119759064649021</c:v>
                </c:pt>
                <c:pt idx="117">
                  <c:v>-6.2410148435215076</c:v>
                </c:pt>
                <c:pt idx="118">
                  <c:v>-5.276820040787559</c:v>
                </c:pt>
                <c:pt idx="119">
                  <c:v>-3.5320018751159235</c:v>
                </c:pt>
                <c:pt idx="120">
                  <c:v>-3.5855827841014287</c:v>
                </c:pt>
                <c:pt idx="121">
                  <c:v>-5.634603561919608</c:v>
                </c:pt>
                <c:pt idx="122">
                  <c:v>-2.012559504999456</c:v>
                </c:pt>
                <c:pt idx="123">
                  <c:v>-5.0162832256922893</c:v>
                </c:pt>
                <c:pt idx="124">
                  <c:v>-2.7079761630368675</c:v>
                </c:pt>
                <c:pt idx="125">
                  <c:v>-1.4401214330423791</c:v>
                </c:pt>
                <c:pt idx="126">
                  <c:v>2.7322351062041981</c:v>
                </c:pt>
                <c:pt idx="127">
                  <c:v>-1.0988269066519598</c:v>
                </c:pt>
                <c:pt idx="128">
                  <c:v>-3.1179325727080798</c:v>
                </c:pt>
                <c:pt idx="129">
                  <c:v>-1.7297939528689394</c:v>
                </c:pt>
                <c:pt idx="130">
                  <c:v>-1.3658173379810477</c:v>
                </c:pt>
                <c:pt idx="131">
                  <c:v>-0.52699405388684473</c:v>
                </c:pt>
                <c:pt idx="132">
                  <c:v>0.18869390835241923</c:v>
                </c:pt>
                <c:pt idx="133">
                  <c:v>-0.1906944816475788</c:v>
                </c:pt>
                <c:pt idx="134">
                  <c:v>-1.6029994537364669</c:v>
                </c:pt>
                <c:pt idx="135">
                  <c:v>-1.8340016810180209</c:v>
                </c:pt>
                <c:pt idx="136">
                  <c:v>-1.977505263867763</c:v>
                </c:pt>
                <c:pt idx="137">
                  <c:v>-1.6051036680862978</c:v>
                </c:pt>
                <c:pt idx="138">
                  <c:v>-2.4216961573128182</c:v>
                </c:pt>
                <c:pt idx="139">
                  <c:v>-2.470862337312818</c:v>
                </c:pt>
                <c:pt idx="140">
                  <c:v>-1.3931239869330689</c:v>
                </c:pt>
                <c:pt idx="141">
                  <c:v>-1.272824002404769</c:v>
                </c:pt>
                <c:pt idx="142">
                  <c:v>-1.8481624678253301</c:v>
                </c:pt>
                <c:pt idx="143">
                  <c:v>-1.6387363113686375</c:v>
                </c:pt>
                <c:pt idx="144">
                  <c:v>-1.5461702753221254</c:v>
                </c:pt>
                <c:pt idx="145">
                  <c:v>-1.833413305276878</c:v>
                </c:pt>
                <c:pt idx="146">
                  <c:v>-1.7966178100153392</c:v>
                </c:pt>
                <c:pt idx="147">
                  <c:v>-1.824815715108973</c:v>
                </c:pt>
                <c:pt idx="148">
                  <c:v>-1.7727696169839728</c:v>
                </c:pt>
                <c:pt idx="149">
                  <c:v>-2.3417071062890367</c:v>
                </c:pt>
                <c:pt idx="150">
                  <c:v>-1.365620122983535</c:v>
                </c:pt>
                <c:pt idx="151">
                  <c:v>-0.3520340544879208</c:v>
                </c:pt>
                <c:pt idx="152">
                  <c:v>-4.278017645818144E-3</c:v>
                </c:pt>
                <c:pt idx="153">
                  <c:v>0.22114708233031363</c:v>
                </c:pt>
                <c:pt idx="154">
                  <c:v>-1.0218050219284462</c:v>
                </c:pt>
                <c:pt idx="155">
                  <c:v>4.6336326311403484</c:v>
                </c:pt>
                <c:pt idx="156">
                  <c:v>2.0090016079169666</c:v>
                </c:pt>
                <c:pt idx="157">
                  <c:v>2.9591966826811142</c:v>
                </c:pt>
                <c:pt idx="158">
                  <c:v>2.7411974561085093</c:v>
                </c:pt>
                <c:pt idx="159">
                  <c:v>2.5114515093589542</c:v>
                </c:pt>
                <c:pt idx="160">
                  <c:v>3.68715872821674</c:v>
                </c:pt>
                <c:pt idx="161">
                  <c:v>2.3691927301458953</c:v>
                </c:pt>
                <c:pt idx="162">
                  <c:v>1.0315021627678487</c:v>
                </c:pt>
                <c:pt idx="163">
                  <c:v>0.93120455475225861</c:v>
                </c:pt>
                <c:pt idx="164">
                  <c:v>2.1002324812078932</c:v>
                </c:pt>
                <c:pt idx="165">
                  <c:v>2.7625385237560942</c:v>
                </c:pt>
                <c:pt idx="166">
                  <c:v>2.2524439387560942</c:v>
                </c:pt>
                <c:pt idx="167">
                  <c:v>2.4315682158435123</c:v>
                </c:pt>
                <c:pt idx="168">
                  <c:v>1.1839699108163257</c:v>
                </c:pt>
                <c:pt idx="169">
                  <c:v>1.4146592034046404</c:v>
                </c:pt>
                <c:pt idx="170">
                  <c:v>2.1047272826515395</c:v>
                </c:pt>
                <c:pt idx="171">
                  <c:v>1.6755834293771759</c:v>
                </c:pt>
                <c:pt idx="172">
                  <c:v>1.2569093955107269</c:v>
                </c:pt>
                <c:pt idx="173">
                  <c:v>1.8595492188156917</c:v>
                </c:pt>
                <c:pt idx="174">
                  <c:v>1.9037213222601366</c:v>
                </c:pt>
                <c:pt idx="175">
                  <c:v>1.9186408447137036</c:v>
                </c:pt>
                <c:pt idx="176">
                  <c:v>0.20987327495615377</c:v>
                </c:pt>
                <c:pt idx="177">
                  <c:v>-0.14269142798949733</c:v>
                </c:pt>
                <c:pt idx="178">
                  <c:v>-0.49903554921059429</c:v>
                </c:pt>
                <c:pt idx="179">
                  <c:v>-0.5775299053463081</c:v>
                </c:pt>
                <c:pt idx="180">
                  <c:v>-0.1409210255788666</c:v>
                </c:pt>
                <c:pt idx="181">
                  <c:v>-0.16471995801148057</c:v>
                </c:pt>
                <c:pt idx="182">
                  <c:v>-0.37411450607412189</c:v>
                </c:pt>
                <c:pt idx="183">
                  <c:v>-1.0890469610443778</c:v>
                </c:pt>
                <c:pt idx="184">
                  <c:v>-1.0254828894592232</c:v>
                </c:pt>
                <c:pt idx="185">
                  <c:v>-1.3435966797423675</c:v>
                </c:pt>
                <c:pt idx="186">
                  <c:v>-0.17557554928803945</c:v>
                </c:pt>
                <c:pt idx="187">
                  <c:v>-0.53643907624263243</c:v>
                </c:pt>
                <c:pt idx="188">
                  <c:v>-0.2157321324766443</c:v>
                </c:pt>
                <c:pt idx="189">
                  <c:v>-0.62668105900442239</c:v>
                </c:pt>
                <c:pt idx="190">
                  <c:v>-0.7583999150911569</c:v>
                </c:pt>
                <c:pt idx="191">
                  <c:v>-1.1455017140887787</c:v>
                </c:pt>
                <c:pt idx="192">
                  <c:v>-0.87901155222754979</c:v>
                </c:pt>
                <c:pt idx="193">
                  <c:v>-0.42138249275200873</c:v>
                </c:pt>
                <c:pt idx="194">
                  <c:v>-0.63623816038221281</c:v>
                </c:pt>
                <c:pt idx="195">
                  <c:v>-0.53759774366331847</c:v>
                </c:pt>
                <c:pt idx="196">
                  <c:v>-0.19123509248017884</c:v>
                </c:pt>
                <c:pt idx="197">
                  <c:v>-3.5796527704865265E-2</c:v>
                </c:pt>
                <c:pt idx="198">
                  <c:v>-0.24395569411714524</c:v>
                </c:pt>
                <c:pt idx="199">
                  <c:v>-0.36629226114007596</c:v>
                </c:pt>
                <c:pt idx="200">
                  <c:v>-2.4386334830061796E-2</c:v>
                </c:pt>
                <c:pt idx="201">
                  <c:v>-0.40059738706690445</c:v>
                </c:pt>
                <c:pt idx="202">
                  <c:v>-0.38169515194445491</c:v>
                </c:pt>
                <c:pt idx="203">
                  <c:v>-0.61303225573484799</c:v>
                </c:pt>
                <c:pt idx="204">
                  <c:v>-0.28845215149628339</c:v>
                </c:pt>
                <c:pt idx="205">
                  <c:v>-0.11618285264906104</c:v>
                </c:pt>
                <c:pt idx="206">
                  <c:v>-0.392037190224579</c:v>
                </c:pt>
                <c:pt idx="207">
                  <c:v>-0.26962941066607976</c:v>
                </c:pt>
                <c:pt idx="208">
                  <c:v>-0.32902479092665843</c:v>
                </c:pt>
                <c:pt idx="209">
                  <c:v>-0.38063688981494664</c:v>
                </c:pt>
                <c:pt idx="210">
                  <c:v>-0.37404600003361077</c:v>
                </c:pt>
                <c:pt idx="211">
                  <c:v>-8.4280826263101849E-2</c:v>
                </c:pt>
                <c:pt idx="212">
                  <c:v>-0.43602522041541986</c:v>
                </c:pt>
                <c:pt idx="213">
                  <c:v>-0.42423744723764195</c:v>
                </c:pt>
                <c:pt idx="214">
                  <c:v>-0.43089524508973281</c:v>
                </c:pt>
                <c:pt idx="215">
                  <c:v>-0.80520457791176048</c:v>
                </c:pt>
                <c:pt idx="216">
                  <c:v>-0.89412683680723049</c:v>
                </c:pt>
                <c:pt idx="217">
                  <c:v>-0.48869924020435951</c:v>
                </c:pt>
                <c:pt idx="218">
                  <c:v>-0.6792756156149411</c:v>
                </c:pt>
                <c:pt idx="219">
                  <c:v>-0.89067024785465898</c:v>
                </c:pt>
                <c:pt idx="220">
                  <c:v>-0.61277459411870316</c:v>
                </c:pt>
                <c:pt idx="221">
                  <c:v>0.26998387196897278</c:v>
                </c:pt>
                <c:pt idx="222">
                  <c:v>-0.11495487491298724</c:v>
                </c:pt>
                <c:pt idx="223">
                  <c:v>5.3366696094669624E-2</c:v>
                </c:pt>
                <c:pt idx="224">
                  <c:v>0.4173207408726009</c:v>
                </c:pt>
                <c:pt idx="225">
                  <c:v>0.68105402348663635</c:v>
                </c:pt>
                <c:pt idx="226">
                  <c:v>0.64050422271629492</c:v>
                </c:pt>
                <c:pt idx="227">
                  <c:v>1.3319057993755232</c:v>
                </c:pt>
                <c:pt idx="228">
                  <c:v>1.2022873627797772</c:v>
                </c:pt>
                <c:pt idx="229">
                  <c:v>0.60876215437402459</c:v>
                </c:pt>
                <c:pt idx="230">
                  <c:v>0.50488752276519067</c:v>
                </c:pt>
                <c:pt idx="231">
                  <c:v>1.23246154431726</c:v>
                </c:pt>
                <c:pt idx="232">
                  <c:v>2.0812757070122081</c:v>
                </c:pt>
                <c:pt idx="233">
                  <c:v>1.1130004765848751</c:v>
                </c:pt>
                <c:pt idx="234">
                  <c:v>0.83796598232197528</c:v>
                </c:pt>
                <c:pt idx="235">
                  <c:v>1.5467357642312187</c:v>
                </c:pt>
                <c:pt idx="236">
                  <c:v>1.6955398023476294</c:v>
                </c:pt>
                <c:pt idx="237">
                  <c:v>2.1765828776704335</c:v>
                </c:pt>
                <c:pt idx="238">
                  <c:v>2.6015102290518572</c:v>
                </c:pt>
                <c:pt idx="239">
                  <c:v>2.5236964528367234</c:v>
                </c:pt>
                <c:pt idx="240">
                  <c:v>2.0744486988371409</c:v>
                </c:pt>
                <c:pt idx="241">
                  <c:v>2.4005839218467568</c:v>
                </c:pt>
                <c:pt idx="242">
                  <c:v>1.5972970512756883</c:v>
                </c:pt>
                <c:pt idx="243">
                  <c:v>1.0226977036788083</c:v>
                </c:pt>
                <c:pt idx="244">
                  <c:v>1.3545376564058298</c:v>
                </c:pt>
                <c:pt idx="245">
                  <c:v>2.2033817063056174</c:v>
                </c:pt>
                <c:pt idx="246">
                  <c:v>2.6143880228672995</c:v>
                </c:pt>
                <c:pt idx="247">
                  <c:v>1.3054599638986688</c:v>
                </c:pt>
                <c:pt idx="248">
                  <c:v>0.31356772911215214</c:v>
                </c:pt>
                <c:pt idx="249">
                  <c:v>-1.2609306514397705</c:v>
                </c:pt>
                <c:pt idx="250">
                  <c:v>-1.0509077444584343</c:v>
                </c:pt>
                <c:pt idx="251">
                  <c:v>-0.33328950150896908</c:v>
                </c:pt>
                <c:pt idx="252">
                  <c:v>9.8565813869692986E-2</c:v>
                </c:pt>
                <c:pt idx="253">
                  <c:v>-0.33324410251377462</c:v>
                </c:pt>
                <c:pt idx="254">
                  <c:v>2.1895789865715207E-2</c:v>
                </c:pt>
                <c:pt idx="255">
                  <c:v>0.73861495804371535</c:v>
                </c:pt>
                <c:pt idx="256">
                  <c:v>1.7383972380613026</c:v>
                </c:pt>
                <c:pt idx="257">
                  <c:v>2.4962506720223923</c:v>
                </c:pt>
                <c:pt idx="258">
                  <c:v>2.0342747758655011</c:v>
                </c:pt>
                <c:pt idx="259">
                  <c:v>0.97328869760876824</c:v>
                </c:pt>
                <c:pt idx="260">
                  <c:v>0.88589820174074585</c:v>
                </c:pt>
                <c:pt idx="261">
                  <c:v>2.3727140309638606</c:v>
                </c:pt>
                <c:pt idx="262">
                  <c:v>1.7143135646803966</c:v>
                </c:pt>
                <c:pt idx="263">
                  <c:v>1.9498497374548243</c:v>
                </c:pt>
                <c:pt idx="264">
                  <c:v>2.0538085117391511</c:v>
                </c:pt>
                <c:pt idx="265">
                  <c:v>1.6458510046998667</c:v>
                </c:pt>
                <c:pt idx="266">
                  <c:v>1.5861717599781384</c:v>
                </c:pt>
                <c:pt idx="267">
                  <c:v>1.919090359640182</c:v>
                </c:pt>
                <c:pt idx="268">
                  <c:v>1.5572800046031379</c:v>
                </c:pt>
                <c:pt idx="269">
                  <c:v>2.3759131015550676</c:v>
                </c:pt>
                <c:pt idx="270">
                  <c:v>2.8060958982858017</c:v>
                </c:pt>
                <c:pt idx="271">
                  <c:v>2.8184662348693359</c:v>
                </c:pt>
                <c:pt idx="272">
                  <c:v>3.2430098446886699</c:v>
                </c:pt>
                <c:pt idx="273">
                  <c:v>3.1389841458075187</c:v>
                </c:pt>
                <c:pt idx="274">
                  <c:v>2.9300485103358214</c:v>
                </c:pt>
                <c:pt idx="275">
                  <c:v>2.464434718419545</c:v>
                </c:pt>
                <c:pt idx="276">
                  <c:v>1.2494652226495244</c:v>
                </c:pt>
                <c:pt idx="277">
                  <c:v>0.65931777258344759</c:v>
                </c:pt>
                <c:pt idx="278">
                  <c:v>0.82804405555195237</c:v>
                </c:pt>
                <c:pt idx="279">
                  <c:v>1.458011981333152</c:v>
                </c:pt>
                <c:pt idx="280">
                  <c:v>0.14544551504951969</c:v>
                </c:pt>
                <c:pt idx="281">
                  <c:v>1.0073728449994379</c:v>
                </c:pt>
                <c:pt idx="282">
                  <c:v>3.0103103245361416</c:v>
                </c:pt>
                <c:pt idx="283">
                  <c:v>1.1363020063117097</c:v>
                </c:pt>
                <c:pt idx="284">
                  <c:v>2.1392265350159914</c:v>
                </c:pt>
                <c:pt idx="285">
                  <c:v>1.9266633623527816</c:v>
                </c:pt>
                <c:pt idx="286">
                  <c:v>2.5315191129184051</c:v>
                </c:pt>
                <c:pt idx="287">
                  <c:v>2.9443588648749719</c:v>
                </c:pt>
                <c:pt idx="288">
                  <c:v>2.3867125587460452</c:v>
                </c:pt>
                <c:pt idx="289">
                  <c:v>2.1746669349823065</c:v>
                </c:pt>
                <c:pt idx="290">
                  <c:v>2.4243620961436489</c:v>
                </c:pt>
                <c:pt idx="291">
                  <c:v>2.6764215590387539</c:v>
                </c:pt>
                <c:pt idx="292">
                  <c:v>2.3915987576346893</c:v>
                </c:pt>
                <c:pt idx="293">
                  <c:v>2.6615314383417252</c:v>
                </c:pt>
                <c:pt idx="294">
                  <c:v>3.1907293923581812</c:v>
                </c:pt>
                <c:pt idx="295">
                  <c:v>3.1974725354562197</c:v>
                </c:pt>
                <c:pt idx="296">
                  <c:v>3.4425567357933473</c:v>
                </c:pt>
                <c:pt idx="297">
                  <c:v>2.5349317568002001</c:v>
                </c:pt>
                <c:pt idx="298">
                  <c:v>2.9644819509418836</c:v>
                </c:pt>
                <c:pt idx="299">
                  <c:v>2.6280223274960659</c:v>
                </c:pt>
                <c:pt idx="300">
                  <c:v>3.6501204054301124</c:v>
                </c:pt>
                <c:pt idx="301">
                  <c:v>4.0092134197914167</c:v>
                </c:pt>
                <c:pt idx="302">
                  <c:v>4.6243067602085954</c:v>
                </c:pt>
                <c:pt idx="303">
                  <c:v>5.6189796250145205</c:v>
                </c:pt>
                <c:pt idx="304">
                  <c:v>4.9020221335342384</c:v>
                </c:pt>
                <c:pt idx="305">
                  <c:v>4.3638896486169862</c:v>
                </c:pt>
                <c:pt idx="306">
                  <c:v>4.5314653016205231</c:v>
                </c:pt>
                <c:pt idx="307">
                  <c:v>5.1182465711706584</c:v>
                </c:pt>
                <c:pt idx="308">
                  <c:v>5.6126581329230127</c:v>
                </c:pt>
                <c:pt idx="309">
                  <c:v>5.1862658045691612</c:v>
                </c:pt>
                <c:pt idx="310">
                  <c:v>6.1888216395555569</c:v>
                </c:pt>
                <c:pt idx="311">
                  <c:v>7.7496897239670197</c:v>
                </c:pt>
                <c:pt idx="312">
                  <c:v>7.5160723190107275</c:v>
                </c:pt>
                <c:pt idx="313">
                  <c:v>7.2137214374588687</c:v>
                </c:pt>
                <c:pt idx="314">
                  <c:v>6.807330867370565</c:v>
                </c:pt>
                <c:pt idx="315">
                  <c:v>6.4916731878478053</c:v>
                </c:pt>
                <c:pt idx="316">
                  <c:v>7.2975905047228071</c:v>
                </c:pt>
                <c:pt idx="317">
                  <c:v>6.1071240093452692</c:v>
                </c:pt>
                <c:pt idx="318">
                  <c:v>7.1602706790912052</c:v>
                </c:pt>
                <c:pt idx="319">
                  <c:v>6.7552703368983105</c:v>
                </c:pt>
                <c:pt idx="320">
                  <c:v>7.9627970189390513</c:v>
                </c:pt>
                <c:pt idx="321">
                  <c:v>6.0062726971990319</c:v>
                </c:pt>
                <c:pt idx="322">
                  <c:v>7.148395556636773</c:v>
                </c:pt>
                <c:pt idx="323">
                  <c:v>9.2132950217533907</c:v>
                </c:pt>
                <c:pt idx="324">
                  <c:v>10.215755549948176</c:v>
                </c:pt>
                <c:pt idx="325">
                  <c:v>11.64113180078124</c:v>
                </c:pt>
                <c:pt idx="326">
                  <c:v>12.488988466891836</c:v>
                </c:pt>
                <c:pt idx="327">
                  <c:v>10.660645861922845</c:v>
                </c:pt>
                <c:pt idx="328">
                  <c:v>10.218382948790671</c:v>
                </c:pt>
                <c:pt idx="329">
                  <c:v>10.099526433728656</c:v>
                </c:pt>
                <c:pt idx="330">
                  <c:v>8.6949660726896898</c:v>
                </c:pt>
                <c:pt idx="331">
                  <c:v>8.4204382943842973</c:v>
                </c:pt>
                <c:pt idx="332">
                  <c:v>8.8428352358731868</c:v>
                </c:pt>
                <c:pt idx="333">
                  <c:v>8.8708363170666882</c:v>
                </c:pt>
                <c:pt idx="334">
                  <c:v>8.1776350347220621</c:v>
                </c:pt>
                <c:pt idx="335">
                  <c:v>8.7103935201786147</c:v>
                </c:pt>
                <c:pt idx="336">
                  <c:v>8.8169636146332202</c:v>
                </c:pt>
                <c:pt idx="337">
                  <c:v>10.147699309970379</c:v>
                </c:pt>
                <c:pt idx="338">
                  <c:v>9.905642608044646</c:v>
                </c:pt>
                <c:pt idx="339">
                  <c:v>9.8063735100404212</c:v>
                </c:pt>
                <c:pt idx="340">
                  <c:v>8.3585959167816419</c:v>
                </c:pt>
                <c:pt idx="341">
                  <c:v>8.3657467623434663</c:v>
                </c:pt>
                <c:pt idx="342">
                  <c:v>8.044320059479924</c:v>
                </c:pt>
                <c:pt idx="343">
                  <c:v>7.0624744046197216</c:v>
                </c:pt>
                <c:pt idx="344">
                  <c:v>6.8662333123568438</c:v>
                </c:pt>
                <c:pt idx="345">
                  <c:v>6.5524562443259651</c:v>
                </c:pt>
                <c:pt idx="346">
                  <c:v>6.9568654935623275</c:v>
                </c:pt>
                <c:pt idx="347">
                  <c:v>6.8228882629214</c:v>
                </c:pt>
                <c:pt idx="348">
                  <c:v>6.9779415136090224</c:v>
                </c:pt>
                <c:pt idx="349">
                  <c:v>7.5712949201134059</c:v>
                </c:pt>
                <c:pt idx="350">
                  <c:v>6.9129687945602143</c:v>
                </c:pt>
                <c:pt idx="351">
                  <c:v>5.8406632745555918</c:v>
                </c:pt>
                <c:pt idx="352">
                  <c:v>5.845876970863114</c:v>
                </c:pt>
                <c:pt idx="353">
                  <c:v>4.6604818995162933</c:v>
                </c:pt>
                <c:pt idx="354">
                  <c:v>3.792321237587359</c:v>
                </c:pt>
                <c:pt idx="355">
                  <c:v>3.6934278373473184</c:v>
                </c:pt>
                <c:pt idx="356">
                  <c:v>3.8505134532891221</c:v>
                </c:pt>
                <c:pt idx="357">
                  <c:v>2.6758648495567989</c:v>
                </c:pt>
                <c:pt idx="358">
                  <c:v>2.5566215295686141</c:v>
                </c:pt>
                <c:pt idx="359">
                  <c:v>2.808349930160615</c:v>
                </c:pt>
                <c:pt idx="360">
                  <c:v>3.012423826777356</c:v>
                </c:pt>
                <c:pt idx="361">
                  <c:v>2.5373435756552722</c:v>
                </c:pt>
                <c:pt idx="362">
                  <c:v>2.8515260205622477</c:v>
                </c:pt>
                <c:pt idx="363">
                  <c:v>2.1973205559783131</c:v>
                </c:pt>
                <c:pt idx="364">
                  <c:v>1.8319612335545834</c:v>
                </c:pt>
                <c:pt idx="365">
                  <c:v>2.0469218015428199</c:v>
                </c:pt>
                <c:pt idx="366">
                  <c:v>2.2518971861083514</c:v>
                </c:pt>
                <c:pt idx="367">
                  <c:v>2.2714366084620754</c:v>
                </c:pt>
                <c:pt idx="368">
                  <c:v>2.9780032046893483</c:v>
                </c:pt>
                <c:pt idx="369">
                  <c:v>2.7058311111320954</c:v>
                </c:pt>
                <c:pt idx="370">
                  <c:v>3.1973799781398666</c:v>
                </c:pt>
                <c:pt idx="371">
                  <c:v>2.696666032819945</c:v>
                </c:pt>
                <c:pt idx="372">
                  <c:v>3.4151916040144656</c:v>
                </c:pt>
                <c:pt idx="373">
                  <c:v>2.6116136293618335</c:v>
                </c:pt>
                <c:pt idx="374">
                  <c:v>3.5447680405357467</c:v>
                </c:pt>
                <c:pt idx="375">
                  <c:v>2.8260926114105107</c:v>
                </c:pt>
                <c:pt idx="376">
                  <c:v>2.503776878316172</c:v>
                </c:pt>
                <c:pt idx="377">
                  <c:v>2.9231233730925354</c:v>
                </c:pt>
                <c:pt idx="378">
                  <c:v>2.3336155825750371</c:v>
                </c:pt>
                <c:pt idx="379">
                  <c:v>1.9730249485602585</c:v>
                </c:pt>
                <c:pt idx="380">
                  <c:v>1.7021004703746039</c:v>
                </c:pt>
                <c:pt idx="381">
                  <c:v>1.8552255655496039</c:v>
                </c:pt>
                <c:pt idx="382">
                  <c:v>1.8949594282852142</c:v>
                </c:pt>
                <c:pt idx="383">
                  <c:v>1.7804036695295371</c:v>
                </c:pt>
                <c:pt idx="384">
                  <c:v>1.8758125048350371</c:v>
                </c:pt>
                <c:pt idx="385">
                  <c:v>1.5789384575741667</c:v>
                </c:pt>
                <c:pt idx="386">
                  <c:v>1.9329033737387642</c:v>
                </c:pt>
                <c:pt idx="387">
                  <c:v>1.7502973472818542</c:v>
                </c:pt>
                <c:pt idx="388">
                  <c:v>1.8654744595745369</c:v>
                </c:pt>
                <c:pt idx="389">
                  <c:v>1.9754101161129982</c:v>
                </c:pt>
                <c:pt idx="390">
                  <c:v>1.2134096062084889</c:v>
                </c:pt>
                <c:pt idx="391">
                  <c:v>1.0060034522314389</c:v>
                </c:pt>
                <c:pt idx="392">
                  <c:v>1.2094228841957249</c:v>
                </c:pt>
                <c:pt idx="393">
                  <c:v>0.9281014725546497</c:v>
                </c:pt>
                <c:pt idx="394">
                  <c:v>1.3690847987308952</c:v>
                </c:pt>
                <c:pt idx="395">
                  <c:v>1.5379432504311672</c:v>
                </c:pt>
                <c:pt idx="396">
                  <c:v>1.8473432276448569</c:v>
                </c:pt>
                <c:pt idx="397">
                  <c:v>1.8011987476692202</c:v>
                </c:pt>
                <c:pt idx="398">
                  <c:v>1.7227659096033765</c:v>
                </c:pt>
                <c:pt idx="399">
                  <c:v>1.972943531209074</c:v>
                </c:pt>
                <c:pt idx="400">
                  <c:v>1.3931970513537117</c:v>
                </c:pt>
                <c:pt idx="401">
                  <c:v>1.8400420684936296</c:v>
                </c:pt>
                <c:pt idx="402">
                  <c:v>1.5327053638018127</c:v>
                </c:pt>
                <c:pt idx="403">
                  <c:v>1.7659398134189404</c:v>
                </c:pt>
                <c:pt idx="404">
                  <c:v>2.1897513774532755</c:v>
                </c:pt>
                <c:pt idx="405">
                  <c:v>3.2623472449067847</c:v>
                </c:pt>
                <c:pt idx="406">
                  <c:v>2.2110588999092191</c:v>
                </c:pt>
                <c:pt idx="407">
                  <c:v>2.3125709048183101</c:v>
                </c:pt>
                <c:pt idx="408">
                  <c:v>3.1491144206428712</c:v>
                </c:pt>
                <c:pt idx="409">
                  <c:v>3.6293440161645032</c:v>
                </c:pt>
                <c:pt idx="410">
                  <c:v>3.0498740145490091</c:v>
                </c:pt>
                <c:pt idx="411">
                  <c:v>2.2055130146036608</c:v>
                </c:pt>
                <c:pt idx="412">
                  <c:v>1.7910802431698367</c:v>
                </c:pt>
                <c:pt idx="413">
                  <c:v>2.1538759806344459</c:v>
                </c:pt>
                <c:pt idx="414">
                  <c:v>2.0487129801732458</c:v>
                </c:pt>
                <c:pt idx="415">
                  <c:v>1.7700413460097468</c:v>
                </c:pt>
                <c:pt idx="416">
                  <c:v>2.0492196917969814</c:v>
                </c:pt>
                <c:pt idx="417">
                  <c:v>2.1308996304734524</c:v>
                </c:pt>
                <c:pt idx="418">
                  <c:v>2.2132683061994789</c:v>
                </c:pt>
                <c:pt idx="419">
                  <c:v>2.010088821383945</c:v>
                </c:pt>
                <c:pt idx="420">
                  <c:v>2.3397044774600801</c:v>
                </c:pt>
                <c:pt idx="421">
                  <c:v>1.7707290275936314</c:v>
                </c:pt>
                <c:pt idx="422">
                  <c:v>1.5080222446330021</c:v>
                </c:pt>
                <c:pt idx="423">
                  <c:v>1.875397494424669</c:v>
                </c:pt>
                <c:pt idx="424">
                  <c:v>1.7216410189743232</c:v>
                </c:pt>
                <c:pt idx="425">
                  <c:v>1.6895696355306142</c:v>
                </c:pt>
                <c:pt idx="426">
                  <c:v>1.8133542764204693</c:v>
                </c:pt>
                <c:pt idx="427">
                  <c:v>1.3021188370265309</c:v>
                </c:pt>
                <c:pt idx="428">
                  <c:v>1.4599809888226407</c:v>
                </c:pt>
                <c:pt idx="429">
                  <c:v>1.5671044987591356</c:v>
                </c:pt>
                <c:pt idx="430">
                  <c:v>1.2846477090936812</c:v>
                </c:pt>
                <c:pt idx="431">
                  <c:v>0.83931387119050926</c:v>
                </c:pt>
                <c:pt idx="432">
                  <c:v>0.83801799892214779</c:v>
                </c:pt>
                <c:pt idx="433">
                  <c:v>0.29920115710835465</c:v>
                </c:pt>
                <c:pt idx="434">
                  <c:v>6.193724794947654E-2</c:v>
                </c:pt>
                <c:pt idx="435">
                  <c:v>-0.41143338173473459</c:v>
                </c:pt>
                <c:pt idx="436">
                  <c:v>-0.46787582752702545</c:v>
                </c:pt>
                <c:pt idx="437">
                  <c:v>-0.74983450798887341</c:v>
                </c:pt>
                <c:pt idx="438">
                  <c:v>-0.97121912018745538</c:v>
                </c:pt>
                <c:pt idx="439">
                  <c:v>-0.88679386297990903</c:v>
                </c:pt>
                <c:pt idx="440">
                  <c:v>-0.85614802501990916</c:v>
                </c:pt>
                <c:pt idx="441">
                  <c:v>-0.90806169595740904</c:v>
                </c:pt>
                <c:pt idx="442">
                  <c:v>-0.64094854726319384</c:v>
                </c:pt>
                <c:pt idx="443">
                  <c:v>-0.36649726780393477</c:v>
                </c:pt>
                <c:pt idx="444">
                  <c:v>-0.63919323064274502</c:v>
                </c:pt>
                <c:pt idx="445">
                  <c:v>-0.80851400129649187</c:v>
                </c:pt>
                <c:pt idx="446">
                  <c:v>-0.88117201595157857</c:v>
                </c:pt>
                <c:pt idx="447">
                  <c:v>-0.51736115056676901</c:v>
                </c:pt>
                <c:pt idx="448">
                  <c:v>-0.89445044706676846</c:v>
                </c:pt>
                <c:pt idx="449">
                  <c:v>-1.1218593448132472</c:v>
                </c:pt>
                <c:pt idx="450">
                  <c:v>-1.1991768651235919</c:v>
                </c:pt>
                <c:pt idx="451">
                  <c:v>-1.2762374431139458</c:v>
                </c:pt>
                <c:pt idx="452">
                  <c:v>-1.0090082471402042</c:v>
                </c:pt>
                <c:pt idx="453">
                  <c:v>-1.1317245096373141</c:v>
                </c:pt>
                <c:pt idx="454">
                  <c:v>-1.1149113471452503</c:v>
                </c:pt>
                <c:pt idx="455">
                  <c:v>-1.6234347335028667</c:v>
                </c:pt>
                <c:pt idx="456">
                  <c:v>-1.4338824790163804</c:v>
                </c:pt>
                <c:pt idx="457">
                  <c:v>-1.108651475128468</c:v>
                </c:pt>
                <c:pt idx="458">
                  <c:v>-0.62497509305961385</c:v>
                </c:pt>
                <c:pt idx="459">
                  <c:v>-0.75414181520346368</c:v>
                </c:pt>
                <c:pt idx="460">
                  <c:v>-1.0419095348662983</c:v>
                </c:pt>
                <c:pt idx="461">
                  <c:v>-1.4614328511490193</c:v>
                </c:pt>
                <c:pt idx="462">
                  <c:v>-1.4148854761193885</c:v>
                </c:pt>
                <c:pt idx="463">
                  <c:v>-1.5529442857115967</c:v>
                </c:pt>
                <c:pt idx="464">
                  <c:v>-1.7530507035429228</c:v>
                </c:pt>
                <c:pt idx="465">
                  <c:v>-1.5199180850959177</c:v>
                </c:pt>
                <c:pt idx="466">
                  <c:v>-1.32374495560065</c:v>
                </c:pt>
                <c:pt idx="467">
                  <c:v>-1.4025909077577186</c:v>
                </c:pt>
                <c:pt idx="468">
                  <c:v>-1.4218907905854694</c:v>
                </c:pt>
                <c:pt idx="469">
                  <c:v>-1.3207463514426117</c:v>
                </c:pt>
                <c:pt idx="470">
                  <c:v>-1.0851763970773942</c:v>
                </c:pt>
                <c:pt idx="471">
                  <c:v>-0.78512424349043763</c:v>
                </c:pt>
                <c:pt idx="472">
                  <c:v>-1.1220909526914962</c:v>
                </c:pt>
                <c:pt idx="473">
                  <c:v>-0.91569997499918843</c:v>
                </c:pt>
                <c:pt idx="474">
                  <c:v>-1.077727012058012</c:v>
                </c:pt>
                <c:pt idx="475">
                  <c:v>-0.59743047511835723</c:v>
                </c:pt>
                <c:pt idx="476">
                  <c:v>-1.0433168356279465</c:v>
                </c:pt>
                <c:pt idx="477">
                  <c:v>-1.4383991216387297</c:v>
                </c:pt>
                <c:pt idx="478">
                  <c:v>-2.1892509649180836</c:v>
                </c:pt>
                <c:pt idx="479">
                  <c:v>-1.1098537467824199</c:v>
                </c:pt>
                <c:pt idx="480">
                  <c:v>-1.708076109969088</c:v>
                </c:pt>
                <c:pt idx="481">
                  <c:v>-2.2437238849690879</c:v>
                </c:pt>
                <c:pt idx="482">
                  <c:v>-2.1391370218007713</c:v>
                </c:pt>
                <c:pt idx="483">
                  <c:v>-1.9738442711242485</c:v>
                </c:pt>
                <c:pt idx="484">
                  <c:v>-1.9879369989922302</c:v>
                </c:pt>
                <c:pt idx="485">
                  <c:v>-1.6277632504990793</c:v>
                </c:pt>
                <c:pt idx="486">
                  <c:v>-1.8623213760612676</c:v>
                </c:pt>
                <c:pt idx="487">
                  <c:v>-1.4559895991612666</c:v>
                </c:pt>
                <c:pt idx="488">
                  <c:v>-1.6865559691612662</c:v>
                </c:pt>
                <c:pt idx="489">
                  <c:v>-1.3900760083898374</c:v>
                </c:pt>
                <c:pt idx="490">
                  <c:v>-1.689059781265827</c:v>
                </c:pt>
                <c:pt idx="491">
                  <c:v>-2.2651392866913587</c:v>
                </c:pt>
                <c:pt idx="492">
                  <c:v>-1.7180911553321363</c:v>
                </c:pt>
                <c:pt idx="493">
                  <c:v>-2.0972471804168813</c:v>
                </c:pt>
                <c:pt idx="494">
                  <c:v>-1.2759462915560789</c:v>
                </c:pt>
                <c:pt idx="495">
                  <c:v>-0.97571936667643222</c:v>
                </c:pt>
                <c:pt idx="496">
                  <c:v>-0.94130098772262172</c:v>
                </c:pt>
                <c:pt idx="497">
                  <c:v>-0.8919107958095791</c:v>
                </c:pt>
                <c:pt idx="498">
                  <c:v>-0.84995245481620185</c:v>
                </c:pt>
                <c:pt idx="499">
                  <c:v>-1.2011906044562017</c:v>
                </c:pt>
                <c:pt idx="500">
                  <c:v>-0.67797762889639379</c:v>
                </c:pt>
                <c:pt idx="501">
                  <c:v>-0.87635707679524744</c:v>
                </c:pt>
                <c:pt idx="502">
                  <c:v>-0.24956328193911959</c:v>
                </c:pt>
                <c:pt idx="503">
                  <c:v>-0.35190707048304498</c:v>
                </c:pt>
                <c:pt idx="504">
                  <c:v>-0.48498949295223914</c:v>
                </c:pt>
                <c:pt idx="505">
                  <c:v>-0.59910306398594704</c:v>
                </c:pt>
                <c:pt idx="506">
                  <c:v>-0.81614150717265976</c:v>
                </c:pt>
                <c:pt idx="507">
                  <c:v>-0.76900707873787688</c:v>
                </c:pt>
                <c:pt idx="508">
                  <c:v>-1.2831084145775762</c:v>
                </c:pt>
                <c:pt idx="509">
                  <c:v>-1.7728585995066655</c:v>
                </c:pt>
                <c:pt idx="510">
                  <c:v>-1.2967439560828677</c:v>
                </c:pt>
                <c:pt idx="511">
                  <c:v>-1.84744495353849</c:v>
                </c:pt>
                <c:pt idx="512">
                  <c:v>-1.342518176655467</c:v>
                </c:pt>
                <c:pt idx="513">
                  <c:v>-1.2772229648509557</c:v>
                </c:pt>
                <c:pt idx="514">
                  <c:v>-0.8468165701185929</c:v>
                </c:pt>
                <c:pt idx="515">
                  <c:v>-0.17754964106198884</c:v>
                </c:pt>
                <c:pt idx="516">
                  <c:v>-0.56713223889297293</c:v>
                </c:pt>
                <c:pt idx="517">
                  <c:v>-0.85065320891397711</c:v>
                </c:pt>
                <c:pt idx="518">
                  <c:v>-1.2591265719981015</c:v>
                </c:pt>
                <c:pt idx="519">
                  <c:v>-0.97572046565524451</c:v>
                </c:pt>
                <c:pt idx="520">
                  <c:v>-1.5547788154543307</c:v>
                </c:pt>
                <c:pt idx="521">
                  <c:v>-1.2276346850883406</c:v>
                </c:pt>
                <c:pt idx="522">
                  <c:v>-1.8600096334091636</c:v>
                </c:pt>
                <c:pt idx="523">
                  <c:v>-1.4955276166894422</c:v>
                </c:pt>
                <c:pt idx="524">
                  <c:v>-1.9143010174982664</c:v>
                </c:pt>
                <c:pt idx="525">
                  <c:v>-1.1731707730795589</c:v>
                </c:pt>
                <c:pt idx="526">
                  <c:v>-1.4480077016410731</c:v>
                </c:pt>
                <c:pt idx="527">
                  <c:v>-1.2870387180338254</c:v>
                </c:pt>
                <c:pt idx="528">
                  <c:v>-1.9562253422359814</c:v>
                </c:pt>
                <c:pt idx="529">
                  <c:v>-1.9562253422359814</c:v>
                </c:pt>
                <c:pt idx="530">
                  <c:v>-2.5450258912359813</c:v>
                </c:pt>
                <c:pt idx="531">
                  <c:v>-2.3174566897359812</c:v>
                </c:pt>
                <c:pt idx="532">
                  <c:v>-2.18080534410606</c:v>
                </c:pt>
                <c:pt idx="533">
                  <c:v>-1.7450762542756588</c:v>
                </c:pt>
                <c:pt idx="534">
                  <c:v>-1.9154667619328012</c:v>
                </c:pt>
                <c:pt idx="535">
                  <c:v>-1.7692627763974937</c:v>
                </c:pt>
                <c:pt idx="536">
                  <c:v>-2.383360585583242</c:v>
                </c:pt>
                <c:pt idx="537">
                  <c:v>-2.6206875092153052</c:v>
                </c:pt>
                <c:pt idx="538">
                  <c:v>-2.9150185554428507</c:v>
                </c:pt>
                <c:pt idx="539">
                  <c:v>-2.8894986375962244</c:v>
                </c:pt>
                <c:pt idx="540">
                  <c:v>-3.3332845991962241</c:v>
                </c:pt>
                <c:pt idx="541">
                  <c:v>-3.6235792935587017</c:v>
                </c:pt>
                <c:pt idx="542">
                  <c:v>-3.3951057367027455</c:v>
                </c:pt>
                <c:pt idx="543">
                  <c:v>-3.5114263426768395</c:v>
                </c:pt>
                <c:pt idx="544">
                  <c:v>-3.7341623500643992</c:v>
                </c:pt>
                <c:pt idx="545">
                  <c:v>-3.2632654790219755</c:v>
                </c:pt>
                <c:pt idx="546">
                  <c:v>-3.0356054386215474</c:v>
                </c:pt>
                <c:pt idx="547">
                  <c:v>-2.9823212350542865</c:v>
                </c:pt>
                <c:pt idx="548">
                  <c:v>-2.8021332070173255</c:v>
                </c:pt>
                <c:pt idx="549">
                  <c:v>-2.697855996001389</c:v>
                </c:pt>
                <c:pt idx="550">
                  <c:v>-2.41405531436906</c:v>
                </c:pt>
                <c:pt idx="551">
                  <c:v>-2.9407383503690601</c:v>
                </c:pt>
                <c:pt idx="552">
                  <c:v>-3.0590925108792639</c:v>
                </c:pt>
                <c:pt idx="553">
                  <c:v>-3.5944879305446853</c:v>
                </c:pt>
                <c:pt idx="554">
                  <c:v>-3.6126502565501299</c:v>
                </c:pt>
                <c:pt idx="555">
                  <c:v>-3.0861234329098428</c:v>
                </c:pt>
                <c:pt idx="556">
                  <c:v>-3.0062289830766407</c:v>
                </c:pt>
                <c:pt idx="557">
                  <c:v>-3.5655236223104207</c:v>
                </c:pt>
                <c:pt idx="558">
                  <c:v>-3.7420077056450505</c:v>
                </c:pt>
                <c:pt idx="559">
                  <c:v>-3.7441220588450506</c:v>
                </c:pt>
                <c:pt idx="560">
                  <c:v>-3.6041336123025398</c:v>
                </c:pt>
                <c:pt idx="561">
                  <c:v>-3.7319346833061431</c:v>
                </c:pt>
                <c:pt idx="562">
                  <c:v>-3.6103006509820057</c:v>
                </c:pt>
                <c:pt idx="563">
                  <c:v>-3.6675010974435445</c:v>
                </c:pt>
                <c:pt idx="564">
                  <c:v>-3.4705937130207798</c:v>
                </c:pt>
                <c:pt idx="565">
                  <c:v>-3.3643493561122626</c:v>
                </c:pt>
                <c:pt idx="566">
                  <c:v>-3.4660041776660075</c:v>
                </c:pt>
                <c:pt idx="567">
                  <c:v>-3.6554642823861245</c:v>
                </c:pt>
                <c:pt idx="568">
                  <c:v>-3.4873459990422093</c:v>
                </c:pt>
                <c:pt idx="569">
                  <c:v>-3.941289158801661</c:v>
                </c:pt>
                <c:pt idx="570">
                  <c:v>-4.185123638192966</c:v>
                </c:pt>
                <c:pt idx="571">
                  <c:v>-4.3760936034179645</c:v>
                </c:pt>
                <c:pt idx="572">
                  <c:v>-4.3591629852858889</c:v>
                </c:pt>
                <c:pt idx="573">
                  <c:v>-4.3842097589525553</c:v>
                </c:pt>
                <c:pt idx="574">
                  <c:v>-4.449204197324649</c:v>
                </c:pt>
                <c:pt idx="575">
                  <c:v>-4.3905156183152148</c:v>
                </c:pt>
                <c:pt idx="576">
                  <c:v>-4.3905156183152148</c:v>
                </c:pt>
                <c:pt idx="577">
                  <c:v>-4.3065444483396051</c:v>
                </c:pt>
                <c:pt idx="578">
                  <c:v>-4.4636795543219048</c:v>
                </c:pt>
                <c:pt idx="579">
                  <c:v>-4.4071361824747433</c:v>
                </c:pt>
                <c:pt idx="580">
                  <c:v>-4.2473682650324367</c:v>
                </c:pt>
                <c:pt idx="581">
                  <c:v>-4.4356408174130815</c:v>
                </c:pt>
                <c:pt idx="582">
                  <c:v>-4.5599767169400529</c:v>
                </c:pt>
                <c:pt idx="583">
                  <c:v>-4.6704727532414214</c:v>
                </c:pt>
                <c:pt idx="584">
                  <c:v>-4.7042449580058197</c:v>
                </c:pt>
                <c:pt idx="585">
                  <c:v>-4.5991686962572498</c:v>
                </c:pt>
                <c:pt idx="586">
                  <c:v>-4.4708367371554516</c:v>
                </c:pt>
                <c:pt idx="587">
                  <c:v>-4.3362365606534761</c:v>
                </c:pt>
                <c:pt idx="588">
                  <c:v>-4.6719427280430335</c:v>
                </c:pt>
                <c:pt idx="589">
                  <c:v>-4.6058971937573183</c:v>
                </c:pt>
                <c:pt idx="590">
                  <c:v>-4.5675304454869332</c:v>
                </c:pt>
                <c:pt idx="591">
                  <c:v>-4.5718901097048823</c:v>
                </c:pt>
                <c:pt idx="592">
                  <c:v>-4.6741726940648824</c:v>
                </c:pt>
                <c:pt idx="593">
                  <c:v>-4.6469059879930263</c:v>
                </c:pt>
                <c:pt idx="594">
                  <c:v>-4.645340240817351</c:v>
                </c:pt>
                <c:pt idx="595">
                  <c:v>-4.8476015338855998</c:v>
                </c:pt>
                <c:pt idx="596">
                  <c:v>-4.694072582131124</c:v>
                </c:pt>
                <c:pt idx="597">
                  <c:v>-4.6007234499829757</c:v>
                </c:pt>
                <c:pt idx="598">
                  <c:v>-4.6123232316539431</c:v>
                </c:pt>
                <c:pt idx="599">
                  <c:v>-4.644384638708738</c:v>
                </c:pt>
                <c:pt idx="600">
                  <c:v>-4.6265315659049993</c:v>
                </c:pt>
                <c:pt idx="601">
                  <c:v>-4.5438966382799988</c:v>
                </c:pt>
                <c:pt idx="602">
                  <c:v>-4.473106406561552</c:v>
                </c:pt>
                <c:pt idx="603">
                  <c:v>-4.5246612781588373</c:v>
                </c:pt>
                <c:pt idx="604">
                  <c:v>-4.5414470111933207</c:v>
                </c:pt>
                <c:pt idx="605">
                  <c:v>-4.5599034139933199</c:v>
                </c:pt>
                <c:pt idx="606">
                  <c:v>-4.6913994125797869</c:v>
                </c:pt>
                <c:pt idx="607">
                  <c:v>-4.5565151402367929</c:v>
                </c:pt>
                <c:pt idx="608">
                  <c:v>-4.6177623952073805</c:v>
                </c:pt>
                <c:pt idx="609">
                  <c:v>-4.6240709575299608</c:v>
                </c:pt>
                <c:pt idx="610">
                  <c:v>-4.1513959581459607</c:v>
                </c:pt>
                <c:pt idx="611">
                  <c:v>-4.1378634814370994</c:v>
                </c:pt>
                <c:pt idx="612">
                  <c:v>-4.0729913002723048</c:v>
                </c:pt>
                <c:pt idx="613">
                  <c:v>-4.2744754256180677</c:v>
                </c:pt>
                <c:pt idx="614">
                  <c:v>-3.9553361803818468</c:v>
                </c:pt>
                <c:pt idx="615">
                  <c:v>-4.1417597978071337</c:v>
                </c:pt>
                <c:pt idx="616">
                  <c:v>-4.181669237339797</c:v>
                </c:pt>
                <c:pt idx="617">
                  <c:v>-4.1879469558715687</c:v>
                </c:pt>
                <c:pt idx="618">
                  <c:v>-4.2399662957707296</c:v>
                </c:pt>
                <c:pt idx="619">
                  <c:v>-4.2626025986707292</c:v>
                </c:pt>
                <c:pt idx="620">
                  <c:v>-4.3781367244676037</c:v>
                </c:pt>
                <c:pt idx="621">
                  <c:v>-4.3461841601192903</c:v>
                </c:pt>
                <c:pt idx="622">
                  <c:v>-4.3205170298849147</c:v>
                </c:pt>
                <c:pt idx="623">
                  <c:v>-4.366434755839717</c:v>
                </c:pt>
                <c:pt idx="624">
                  <c:v>-4.3263421595948195</c:v>
                </c:pt>
                <c:pt idx="625">
                  <c:v>-4.3600455037766368</c:v>
                </c:pt>
                <c:pt idx="626">
                  <c:v>-4.333792054129578</c:v>
                </c:pt>
                <c:pt idx="627">
                  <c:v>-4.2755972824629103</c:v>
                </c:pt>
                <c:pt idx="628">
                  <c:v>-4.2749116023291318</c:v>
                </c:pt>
                <c:pt idx="629">
                  <c:v>-4.2318380672302309</c:v>
                </c:pt>
                <c:pt idx="630">
                  <c:v>-4.1857562786928639</c:v>
                </c:pt>
                <c:pt idx="631">
                  <c:v>-4.1685176489989875</c:v>
                </c:pt>
                <c:pt idx="632">
                  <c:v>-4.0492946723767647</c:v>
                </c:pt>
                <c:pt idx="633">
                  <c:v>-4.0121203941795818</c:v>
                </c:pt>
                <c:pt idx="634">
                  <c:v>-4.0723282989825371</c:v>
                </c:pt>
                <c:pt idx="635">
                  <c:v>-4.017119741036109</c:v>
                </c:pt>
                <c:pt idx="636">
                  <c:v>-3.9950324793404564</c:v>
                </c:pt>
                <c:pt idx="637">
                  <c:v>-4.0606871427690283</c:v>
                </c:pt>
                <c:pt idx="638">
                  <c:v>-3.9999524570282889</c:v>
                </c:pt>
                <c:pt idx="639">
                  <c:v>-4.1736358132305362</c:v>
                </c:pt>
                <c:pt idx="640">
                  <c:v>-4.1524549008270268</c:v>
                </c:pt>
                <c:pt idx="641">
                  <c:v>-4.1314232898607335</c:v>
                </c:pt>
                <c:pt idx="642">
                  <c:v>-4.3544851714714712</c:v>
                </c:pt>
                <c:pt idx="643">
                  <c:v>-4.2543770969509236</c:v>
                </c:pt>
                <c:pt idx="644">
                  <c:v>-4.0889296838565832</c:v>
                </c:pt>
                <c:pt idx="645">
                  <c:v>-4.2224927629092157</c:v>
                </c:pt>
                <c:pt idx="646">
                  <c:v>-4.2759869582003551</c:v>
                </c:pt>
                <c:pt idx="647">
                  <c:v>-4.2128032542485476</c:v>
                </c:pt>
                <c:pt idx="648">
                  <c:v>-3.859477890485052</c:v>
                </c:pt>
                <c:pt idx="649">
                  <c:v>-3.9694270455163014</c:v>
                </c:pt>
                <c:pt idx="650">
                  <c:v>-3.9743126815903751</c:v>
                </c:pt>
                <c:pt idx="651">
                  <c:v>-4.0687465665903755</c:v>
                </c:pt>
                <c:pt idx="652">
                  <c:v>-4.1779855252956892</c:v>
                </c:pt>
                <c:pt idx="653">
                  <c:v>-4.0630204140887924</c:v>
                </c:pt>
                <c:pt idx="654">
                  <c:v>-4.105418078997884</c:v>
                </c:pt>
                <c:pt idx="655">
                  <c:v>-4.2371682545941285</c:v>
                </c:pt>
                <c:pt idx="656">
                  <c:v>-3.8276903220359881</c:v>
                </c:pt>
                <c:pt idx="657">
                  <c:v>-3.9611084299505608</c:v>
                </c:pt>
                <c:pt idx="658">
                  <c:v>-3.7265396773914214</c:v>
                </c:pt>
                <c:pt idx="659">
                  <c:v>-3.6089089171628497</c:v>
                </c:pt>
                <c:pt idx="660">
                  <c:v>-3.688933686908304</c:v>
                </c:pt>
                <c:pt idx="661">
                  <c:v>-3.339758789929137</c:v>
                </c:pt>
                <c:pt idx="662">
                  <c:v>-2.9947279236657911</c:v>
                </c:pt>
                <c:pt idx="663">
                  <c:v>-3.1738925444899659</c:v>
                </c:pt>
                <c:pt idx="664">
                  <c:v>-3.1445377001872634</c:v>
                </c:pt>
                <c:pt idx="665">
                  <c:v>-2.7145629039608479</c:v>
                </c:pt>
                <c:pt idx="666">
                  <c:v>-2.7817857793504586</c:v>
                </c:pt>
                <c:pt idx="667">
                  <c:v>-2.9951168923504583</c:v>
                </c:pt>
                <c:pt idx="668">
                  <c:v>-2.8250178806961381</c:v>
                </c:pt>
                <c:pt idx="669">
                  <c:v>-2.3504447868270897</c:v>
                </c:pt>
                <c:pt idx="670">
                  <c:v>-2.4557420356089068</c:v>
                </c:pt>
                <c:pt idx="671">
                  <c:v>-2.6588315923951664</c:v>
                </c:pt>
                <c:pt idx="672">
                  <c:v>-2.4948480488332936</c:v>
                </c:pt>
                <c:pt idx="673">
                  <c:v>-2.2850972318180838</c:v>
                </c:pt>
                <c:pt idx="674">
                  <c:v>-2.5339955762328303</c:v>
                </c:pt>
                <c:pt idx="675">
                  <c:v>-2.5234750478721746</c:v>
                </c:pt>
                <c:pt idx="676">
                  <c:v>-2.7237655111143266</c:v>
                </c:pt>
                <c:pt idx="677">
                  <c:v>-2.4442216296028763</c:v>
                </c:pt>
                <c:pt idx="678">
                  <c:v>-2.4231487903423723</c:v>
                </c:pt>
                <c:pt idx="679">
                  <c:v>-2.1166219237794355</c:v>
                </c:pt>
                <c:pt idx="680">
                  <c:v>-2.3506453242456931</c:v>
                </c:pt>
                <c:pt idx="681">
                  <c:v>-2.3833734620552169</c:v>
                </c:pt>
                <c:pt idx="682">
                  <c:v>-2.3089124946552175</c:v>
                </c:pt>
                <c:pt idx="683">
                  <c:v>-2.2032315625381442</c:v>
                </c:pt>
                <c:pt idx="684">
                  <c:v>-1.9843997464673477</c:v>
                </c:pt>
                <c:pt idx="685">
                  <c:v>-1.7395328524132938</c:v>
                </c:pt>
                <c:pt idx="686">
                  <c:v>-2.2835313910877124</c:v>
                </c:pt>
                <c:pt idx="687">
                  <c:v>-1.2095249385506206</c:v>
                </c:pt>
                <c:pt idx="688">
                  <c:v>-1.0362721571762128</c:v>
                </c:pt>
                <c:pt idx="689">
                  <c:v>-1.1872950675039442</c:v>
                </c:pt>
                <c:pt idx="690">
                  <c:v>-0.67924081031723949</c:v>
                </c:pt>
                <c:pt idx="691">
                  <c:v>-0.21558163380278786</c:v>
                </c:pt>
                <c:pt idx="692">
                  <c:v>-8.165532177988645E-2</c:v>
                </c:pt>
                <c:pt idx="693">
                  <c:v>3.4030045845114959E-2</c:v>
                </c:pt>
                <c:pt idx="694">
                  <c:v>-0.27006266975624826</c:v>
                </c:pt>
                <c:pt idx="695">
                  <c:v>0.31644233024375179</c:v>
                </c:pt>
                <c:pt idx="696">
                  <c:v>-0.60764026624164169</c:v>
                </c:pt>
                <c:pt idx="697">
                  <c:v>-0.90381791322656657</c:v>
                </c:pt>
                <c:pt idx="698">
                  <c:v>-0.84048033133027034</c:v>
                </c:pt>
                <c:pt idx="699">
                  <c:v>-0.73906059767382859</c:v>
                </c:pt>
                <c:pt idx="700">
                  <c:v>-0.78393211393668605</c:v>
                </c:pt>
                <c:pt idx="701">
                  <c:v>-0.54996519229668595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97-4C9E-A6FA-C7C210504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3589455"/>
        <c:axId val="1633588623"/>
      </c:lineChart>
      <c:dateAx>
        <c:axId val="1633589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588623"/>
        <c:crosses val="autoZero"/>
        <c:auto val="1"/>
        <c:lblOffset val="100"/>
        <c:baseTimeUnit val="days"/>
      </c:dateAx>
      <c:valAx>
        <c:axId val="163358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589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1BF12D5-6E7E-43C4-A0E7-6FC2317D0128}">
  <sheetPr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F3F895-2844-44D8-8B78-1626BA23FCE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0.69399999999999995</v>
      </c>
      <c r="D2" s="4">
        <f>MIN(D3:D1912)</f>
        <v>8.5000000000000006E-3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0.25629999999999997</v>
      </c>
      <c r="C5">
        <v>0.26079999999999998</v>
      </c>
      <c r="D5">
        <v>0.25209999999999999</v>
      </c>
      <c r="E5">
        <v>0.25209999999999999</v>
      </c>
      <c r="F5">
        <v>1699883</v>
      </c>
      <c r="G5">
        <v>0.25209999999999999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-1699883</v>
      </c>
      <c r="R5">
        <f t="shared" ref="R5" si="2">R6+Q5</f>
        <v>-1118957339.3515952</v>
      </c>
      <c r="S5">
        <f t="shared" ref="S5" si="3">R5/100000</f>
        <v>-11189.573393515951</v>
      </c>
      <c r="T5">
        <f t="shared" ref="T5" si="4">S5/1000</f>
        <v>-11.189573393515952</v>
      </c>
    </row>
    <row r="6" spans="1:20" x14ac:dyDescent="0.25">
      <c r="A6" s="5">
        <v>44587</v>
      </c>
      <c r="B6">
        <v>0.25979999999999998</v>
      </c>
      <c r="C6">
        <v>0.28989999999999999</v>
      </c>
      <c r="D6">
        <v>0.25040000000000001</v>
      </c>
      <c r="E6">
        <v>0.25629999999999997</v>
      </c>
      <c r="F6">
        <v>52586573</v>
      </c>
      <c r="G6">
        <v>0.25629999999999997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-0.70126582278481198</v>
      </c>
      <c r="Q6">
        <f t="shared" ref="Q6" si="6">F6*P6</f>
        <v>-36877166.382278576</v>
      </c>
      <c r="R6">
        <f t="shared" ref="R6" si="7">R7+Q6</f>
        <v>-1117257456.3515952</v>
      </c>
      <c r="S6">
        <f t="shared" ref="S6" si="8">R6/100000</f>
        <v>-11172.574563515951</v>
      </c>
      <c r="T6">
        <f t="shared" ref="T6" si="9">S6/1000</f>
        <v>-11.172574563515951</v>
      </c>
    </row>
    <row r="7" spans="1:20" x14ac:dyDescent="0.25">
      <c r="A7" s="5">
        <v>44586</v>
      </c>
      <c r="B7">
        <v>0.26169999999999999</v>
      </c>
      <c r="C7">
        <v>0.27410000000000001</v>
      </c>
      <c r="D7">
        <v>0.246</v>
      </c>
      <c r="E7">
        <v>0.25979999999999998</v>
      </c>
      <c r="F7">
        <v>53918684</v>
      </c>
      <c r="G7">
        <v>0.25979999999999998</v>
      </c>
      <c r="L7" t="s">
        <v>8</v>
      </c>
      <c r="M7" t="s">
        <v>8</v>
      </c>
      <c r="N7" t="s">
        <v>7</v>
      </c>
      <c r="P7">
        <f t="shared" ref="P7" si="10">IF(C7=D7,0,((E7-D7)-(C7-E7))/(C7-D7))</f>
        <v>-1.7793594306051805E-2</v>
      </c>
      <c r="Q7">
        <f t="shared" ref="Q7" si="11">F7*P7</f>
        <v>-959407.18861220661</v>
      </c>
      <c r="R7">
        <f t="shared" ref="R7" si="12">R8+Q7</f>
        <v>-1080380289.9693165</v>
      </c>
      <c r="S7">
        <f t="shared" ref="S7" si="13">R7/100000</f>
        <v>-10803.802899693164</v>
      </c>
      <c r="T7">
        <f t="shared" ref="T7" si="14">S7/1000</f>
        <v>-10.803802899693164</v>
      </c>
    </row>
    <row r="8" spans="1:20" x14ac:dyDescent="0.25">
      <c r="A8" s="5">
        <v>44585</v>
      </c>
      <c r="B8">
        <v>0.26939999999999997</v>
      </c>
      <c r="C8">
        <v>0.27179999999999999</v>
      </c>
      <c r="D8">
        <v>0.2208</v>
      </c>
      <c r="E8">
        <v>0.2616</v>
      </c>
      <c r="F8">
        <v>88156419.799999997</v>
      </c>
      <c r="G8">
        <v>0.2616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0.60000000000000042</v>
      </c>
      <c r="Q8">
        <f t="shared" ref="Q8" si="16">F8*P8</f>
        <v>52893851.880000032</v>
      </c>
      <c r="R8">
        <f t="shared" ref="R8" si="17">R9+Q8</f>
        <v>-1079420882.7807043</v>
      </c>
      <c r="S8">
        <f t="shared" ref="S8" si="18">R8/100000</f>
        <v>-10794.208827807042</v>
      </c>
      <c r="T8">
        <f t="shared" ref="T8" si="19">S8/1000</f>
        <v>-10.794208827807042</v>
      </c>
    </row>
    <row r="9" spans="1:20" x14ac:dyDescent="0.25">
      <c r="A9" s="5">
        <v>44584</v>
      </c>
      <c r="B9">
        <v>0.26400000000000001</v>
      </c>
      <c r="C9">
        <v>0.28699999999999998</v>
      </c>
      <c r="D9">
        <v>0.2515</v>
      </c>
      <c r="E9">
        <v>0.26950000000000002</v>
      </c>
      <c r="F9">
        <v>58226761</v>
      </c>
      <c r="G9">
        <v>0.26950000000000002</v>
      </c>
      <c r="L9" t="s">
        <v>8</v>
      </c>
      <c r="M9" t="s">
        <v>8</v>
      </c>
      <c r="N9" t="s">
        <v>7</v>
      </c>
      <c r="P9">
        <f t="shared" ref="P9" si="20">IF(C9=D9,0,((E9-D9)-(C9-E9))/(C9-D9))</f>
        <v>1.4084507042255107E-2</v>
      </c>
      <c r="Q9">
        <f t="shared" ref="Q9" si="21">F9*P9</f>
        <v>820095.22535220499</v>
      </c>
      <c r="R9">
        <f t="shared" ref="R9" si="22">R10+Q9</f>
        <v>-1132314734.6607044</v>
      </c>
      <c r="S9">
        <f t="shared" ref="S9" si="23">R9/100000</f>
        <v>-11323.147346607044</v>
      </c>
      <c r="T9">
        <f t="shared" ref="T9" si="24">S9/1000</f>
        <v>-11.323147346607044</v>
      </c>
    </row>
    <row r="10" spans="1:20" x14ac:dyDescent="0.25">
      <c r="A10" s="5">
        <v>44583</v>
      </c>
      <c r="B10">
        <v>0.29210000000000003</v>
      </c>
      <c r="C10">
        <v>0.29699999999999999</v>
      </c>
      <c r="D10">
        <v>0.2271</v>
      </c>
      <c r="E10">
        <v>0.26469999999999999</v>
      </c>
      <c r="F10">
        <v>111913362</v>
      </c>
      <c r="G10">
        <v>0.26469999999999999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7.5822603719599424E-2</v>
      </c>
      <c r="Q10">
        <f t="shared" ref="Q10" si="26">F10*P10</f>
        <v>8485562.4978540763</v>
      </c>
      <c r="R10">
        <f t="shared" ref="R10" si="27">R11+Q10</f>
        <v>-1133134829.8860567</v>
      </c>
      <c r="S10">
        <f t="shared" ref="S10" si="28">R10/100000</f>
        <v>-11331.348298860567</v>
      </c>
      <c r="T10">
        <f t="shared" ref="T10" si="29">S10/1000</f>
        <v>-11.331348298860567</v>
      </c>
    </row>
    <row r="11" spans="1:20" x14ac:dyDescent="0.25">
      <c r="A11" s="5">
        <v>44582</v>
      </c>
      <c r="B11">
        <v>0.36930000000000002</v>
      </c>
      <c r="C11">
        <v>0.38500000000000001</v>
      </c>
      <c r="D11">
        <v>0.28360000000000002</v>
      </c>
      <c r="E11">
        <v>0.29210000000000003</v>
      </c>
      <c r="F11">
        <v>107423949</v>
      </c>
      <c r="G11">
        <v>0.29210000000000003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-0.83234714003944754</v>
      </c>
      <c r="Q11">
        <f t="shared" ref="Q11" si="31">F11*P11</f>
        <v>-89414016.721893474</v>
      </c>
      <c r="R11">
        <f t="shared" ref="R11" si="32">R12+Q11</f>
        <v>-1141620392.3839107</v>
      </c>
      <c r="S11">
        <f t="shared" ref="S11" si="33">R11/100000</f>
        <v>-11416.203923839106</v>
      </c>
      <c r="T11">
        <f t="shared" ref="T11" si="34">S11/1000</f>
        <v>-11.416203923839106</v>
      </c>
    </row>
    <row r="12" spans="1:20" x14ac:dyDescent="0.25">
      <c r="A12" s="5">
        <v>44581</v>
      </c>
      <c r="B12">
        <v>0.36620000000000003</v>
      </c>
      <c r="C12">
        <v>0.39900000000000002</v>
      </c>
      <c r="D12">
        <v>0.36270000000000002</v>
      </c>
      <c r="E12">
        <v>0.3695</v>
      </c>
      <c r="F12">
        <v>58476771</v>
      </c>
      <c r="G12">
        <v>0.3695</v>
      </c>
      <c r="L12" t="s">
        <v>7</v>
      </c>
      <c r="M12" t="s">
        <v>8</v>
      </c>
      <c r="N12" t="s">
        <v>7</v>
      </c>
      <c r="P12">
        <f t="shared" ref="P12" si="35">IF(C12=D12,0,((E12-D12)-(C12-E12))/(C12-D12))</f>
        <v>-0.62534435261708143</v>
      </c>
      <c r="Q12">
        <f t="shared" ref="Q12" si="36">F12*P12</f>
        <v>-36568118.504132323</v>
      </c>
      <c r="R12">
        <f t="shared" ref="R12" si="37">R13+Q12</f>
        <v>-1052206375.6620171</v>
      </c>
      <c r="S12">
        <f t="shared" ref="S12" si="38">R12/100000</f>
        <v>-10522.063756620171</v>
      </c>
      <c r="T12">
        <f t="shared" ref="T12" si="39">S12/1000</f>
        <v>-10.522063756620172</v>
      </c>
    </row>
    <row r="13" spans="1:20" x14ac:dyDescent="0.25">
      <c r="A13" s="5">
        <v>44580</v>
      </c>
      <c r="B13">
        <v>0.40970000000000001</v>
      </c>
      <c r="C13">
        <v>0.41449999999999998</v>
      </c>
      <c r="D13">
        <v>0.36480000000000001</v>
      </c>
      <c r="E13">
        <v>0.36649999999999999</v>
      </c>
      <c r="F13">
        <v>88401560</v>
      </c>
      <c r="G13">
        <v>0.36649999999999999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-0.93158953722334081</v>
      </c>
      <c r="Q13">
        <f t="shared" ref="Q13" si="41">F13*P13</f>
        <v>-82353968.370221391</v>
      </c>
      <c r="R13">
        <f t="shared" ref="R13" si="42">R14+Q13</f>
        <v>-1015638257.1578848</v>
      </c>
      <c r="S13">
        <f t="shared" ref="S13" si="43">R13/100000</f>
        <v>-10156.382571578848</v>
      </c>
      <c r="T13">
        <f t="shared" ref="T13" si="44">S13/1000</f>
        <v>-10.156382571578847</v>
      </c>
    </row>
    <row r="14" spans="1:20" x14ac:dyDescent="0.25">
      <c r="A14" s="5">
        <v>44579</v>
      </c>
      <c r="B14">
        <v>0.38819999999999999</v>
      </c>
      <c r="C14">
        <v>0.4219</v>
      </c>
      <c r="D14">
        <v>0.38390000000000002</v>
      </c>
      <c r="E14">
        <v>0.40949999999999998</v>
      </c>
      <c r="F14">
        <v>197987151</v>
      </c>
      <c r="G14">
        <v>0.40949999999999998</v>
      </c>
      <c r="L14" t="s">
        <v>8</v>
      </c>
      <c r="M14" t="s">
        <v>8</v>
      </c>
      <c r="N14" t="s">
        <v>7</v>
      </c>
      <c r="P14">
        <f t="shared" ref="P14" si="45">IF(C14=D14,0,((E14-D14)-(C14-E14))/(C14-D14))</f>
        <v>0.34736842105263005</v>
      </c>
      <c r="Q14">
        <f t="shared" ref="Q14" si="46">F14*P14</f>
        <v>68774484.031578645</v>
      </c>
      <c r="R14">
        <f t="shared" ref="R14" si="47">R15+Q14</f>
        <v>-933284288.78766346</v>
      </c>
      <c r="S14">
        <f t="shared" ref="S14" si="48">R14/100000</f>
        <v>-9332.8428878766354</v>
      </c>
      <c r="T14">
        <f t="shared" ref="T14" si="49">S14/1000</f>
        <v>-9.3328428878766356</v>
      </c>
    </row>
    <row r="15" spans="1:20" x14ac:dyDescent="0.25">
      <c r="A15" s="5">
        <v>44578</v>
      </c>
      <c r="B15">
        <v>0.3412</v>
      </c>
      <c r="C15">
        <v>0.39500000000000002</v>
      </c>
      <c r="D15">
        <v>0.32569999999999999</v>
      </c>
      <c r="E15">
        <v>0.38829999999999998</v>
      </c>
      <c r="F15">
        <v>139841828</v>
      </c>
      <c r="G15">
        <v>0.38829999999999998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0.8066378066378056</v>
      </c>
      <c r="Q15">
        <f t="shared" ref="Q15" si="51">F15*P15</f>
        <v>112801705.41414127</v>
      </c>
      <c r="R15">
        <f t="shared" ref="R15" si="52">R16+Q15</f>
        <v>-1002058772.8192421</v>
      </c>
      <c r="S15">
        <f t="shared" ref="S15" si="53">R15/100000</f>
        <v>-10020.58772819242</v>
      </c>
      <c r="T15">
        <f t="shared" ref="T15" si="54">S15/1000</f>
        <v>-10.020587728192421</v>
      </c>
    </row>
    <row r="16" spans="1:20" x14ac:dyDescent="0.25">
      <c r="A16" s="5">
        <v>44577</v>
      </c>
      <c r="B16">
        <v>0.34100000000000003</v>
      </c>
      <c r="C16">
        <v>0.3493</v>
      </c>
      <c r="D16">
        <v>0.33029999999999998</v>
      </c>
      <c r="E16">
        <v>0.34079999999999999</v>
      </c>
      <c r="F16">
        <v>25413594</v>
      </c>
      <c r="G16">
        <v>0.34079999999999999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0.10526315789473684</v>
      </c>
      <c r="Q16">
        <f t="shared" ref="Q16" si="56">F16*P16</f>
        <v>2675115.1578947366</v>
      </c>
      <c r="R16">
        <f t="shared" ref="R16" si="57">R17+Q16</f>
        <v>-1114860478.2333834</v>
      </c>
      <c r="S16">
        <f t="shared" ref="S16" si="58">R16/100000</f>
        <v>-11148.604782333834</v>
      </c>
      <c r="T16">
        <f t="shared" ref="T16" si="59">S16/1000</f>
        <v>-11.148604782333834</v>
      </c>
    </row>
    <row r="17" spans="1:20" x14ac:dyDescent="0.25">
      <c r="A17" s="5">
        <v>44576</v>
      </c>
      <c r="B17">
        <v>0.33489999999999998</v>
      </c>
      <c r="C17">
        <v>0.34599999999999997</v>
      </c>
      <c r="D17">
        <v>0.33</v>
      </c>
      <c r="E17">
        <v>0.34089999999999998</v>
      </c>
      <c r="F17">
        <v>16834216</v>
      </c>
      <c r="G17">
        <v>0.34089999999999998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0.36249999999999916</v>
      </c>
      <c r="Q17">
        <f t="shared" ref="Q17" si="61">F17*P17</f>
        <v>6102403.2999999858</v>
      </c>
      <c r="R17">
        <f t="shared" ref="R17" si="62">R18+Q17</f>
        <v>-1117535593.3912783</v>
      </c>
      <c r="S17">
        <f t="shared" ref="S17" si="63">R17/100000</f>
        <v>-11175.355933912782</v>
      </c>
      <c r="T17">
        <f t="shared" ref="T17" si="64">S17/1000</f>
        <v>-11.175355933912781</v>
      </c>
    </row>
    <row r="18" spans="1:20" x14ac:dyDescent="0.25">
      <c r="A18" s="5">
        <v>44575</v>
      </c>
      <c r="B18">
        <v>0.33079999999999998</v>
      </c>
      <c r="C18">
        <v>0.33779999999999999</v>
      </c>
      <c r="D18">
        <v>0.32169999999999999</v>
      </c>
      <c r="E18">
        <v>0.3352</v>
      </c>
      <c r="F18">
        <v>20023156</v>
      </c>
      <c r="G18">
        <v>0.3352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0.67701863354037384</v>
      </c>
      <c r="Q18">
        <f t="shared" ref="Q18" si="66">F18*P18</f>
        <v>13556049.714285737</v>
      </c>
      <c r="R18">
        <f t="shared" ref="R18" si="67">R19+Q18</f>
        <v>-1123637996.6912782</v>
      </c>
      <c r="S18">
        <f t="shared" ref="S18" si="68">R18/100000</f>
        <v>-11236.379966912782</v>
      </c>
      <c r="T18">
        <f t="shared" ref="T18" si="69">S18/1000</f>
        <v>-11.236379966912782</v>
      </c>
    </row>
    <row r="19" spans="1:20" x14ac:dyDescent="0.25">
      <c r="A19" s="5">
        <v>44574</v>
      </c>
      <c r="B19">
        <v>0.35399999999999998</v>
      </c>
      <c r="C19">
        <v>0.36280000000000001</v>
      </c>
      <c r="D19">
        <v>0.32879999999999998</v>
      </c>
      <c r="E19">
        <v>0.33119999999999999</v>
      </c>
      <c r="F19">
        <v>31676139</v>
      </c>
      <c r="G19">
        <v>0.33119999999999999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-0.8588235294117641</v>
      </c>
      <c r="Q19">
        <f t="shared" ref="Q19" si="71">F19*P19</f>
        <v>-27204213.494117629</v>
      </c>
      <c r="R19">
        <f t="shared" ref="R19" si="72">R20+Q19</f>
        <v>-1137194046.4055641</v>
      </c>
      <c r="S19">
        <f t="shared" ref="S19" si="73">R19/100000</f>
        <v>-11371.94046405564</v>
      </c>
      <c r="T19">
        <f t="shared" ref="T19" si="74">S19/1000</f>
        <v>-11.371940464055641</v>
      </c>
    </row>
    <row r="20" spans="1:20" x14ac:dyDescent="0.25">
      <c r="A20" s="5">
        <v>44573</v>
      </c>
      <c r="B20">
        <v>0.33610000000000001</v>
      </c>
      <c r="C20">
        <v>0.35470000000000002</v>
      </c>
      <c r="D20">
        <v>0.33239999999999997</v>
      </c>
      <c r="E20">
        <v>0.35420000000000001</v>
      </c>
      <c r="F20">
        <v>27578434</v>
      </c>
      <c r="G20">
        <v>0.35420000000000001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0.95515695067264583</v>
      </c>
      <c r="Q20">
        <f t="shared" ref="Q20" si="76">F20*P20</f>
        <v>26341732.923766818</v>
      </c>
      <c r="R20">
        <f t="shared" ref="R20" si="77">R21+Q20</f>
        <v>-1109989832.9114463</v>
      </c>
      <c r="S20">
        <f t="shared" ref="S20" si="78">R20/100000</f>
        <v>-11099.898329114463</v>
      </c>
      <c r="T20">
        <f t="shared" ref="T20" si="79">S20/1000</f>
        <v>-11.099898329114463</v>
      </c>
    </row>
    <row r="21" spans="1:20" x14ac:dyDescent="0.25">
      <c r="A21" s="5">
        <v>44572</v>
      </c>
      <c r="B21">
        <v>0.31230000000000002</v>
      </c>
      <c r="C21">
        <v>0.3397</v>
      </c>
      <c r="D21">
        <v>0.3095</v>
      </c>
      <c r="E21">
        <v>0.3362</v>
      </c>
      <c r="F21">
        <v>34263332</v>
      </c>
      <c r="G21">
        <v>0.3362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0.76821192052980114</v>
      </c>
      <c r="Q21">
        <f t="shared" ref="Q21" si="81">F21*P21</f>
        <v>26321500.079470191</v>
      </c>
      <c r="R21">
        <f t="shared" ref="R21" si="82">R22+Q21</f>
        <v>-1136331565.8352132</v>
      </c>
      <c r="S21">
        <f t="shared" ref="S21" si="83">R21/100000</f>
        <v>-11363.315658352132</v>
      </c>
      <c r="T21">
        <f t="shared" ref="T21" si="84">S21/1000</f>
        <v>-11.363315658352132</v>
      </c>
    </row>
    <row r="22" spans="1:20" x14ac:dyDescent="0.25">
      <c r="A22" s="5">
        <v>44571</v>
      </c>
      <c r="B22">
        <v>0.3332</v>
      </c>
      <c r="C22">
        <v>0.34050000000000002</v>
      </c>
      <c r="D22">
        <v>0.29609999999999997</v>
      </c>
      <c r="E22">
        <v>0.3125</v>
      </c>
      <c r="F22">
        <v>36747480</v>
      </c>
      <c r="G22">
        <v>0.3125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-0.26126126126126092</v>
      </c>
      <c r="Q22">
        <f t="shared" ref="Q22" si="86">F22*P22</f>
        <v>-9600692.9729729611</v>
      </c>
      <c r="R22">
        <f t="shared" ref="R22" si="87">R23+Q22</f>
        <v>-1162653065.9146833</v>
      </c>
      <c r="S22">
        <f t="shared" ref="S22" si="88">R22/100000</f>
        <v>-11626.530659146834</v>
      </c>
      <c r="T22">
        <f t="shared" ref="T22" si="89">S22/1000</f>
        <v>-11.626530659146834</v>
      </c>
    </row>
    <row r="23" spans="1:20" x14ac:dyDescent="0.25">
      <c r="A23" s="5">
        <v>44570</v>
      </c>
      <c r="B23">
        <v>0.31490000000000001</v>
      </c>
      <c r="C23">
        <v>0.34189999999999998</v>
      </c>
      <c r="D23">
        <v>0.31180000000000002</v>
      </c>
      <c r="E23">
        <v>0.33360000000000001</v>
      </c>
      <c r="F23">
        <v>28644821</v>
      </c>
      <c r="G23">
        <v>0.33360000000000001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0.44850498338870531</v>
      </c>
      <c r="Q23">
        <f t="shared" ref="Q23" si="91">F23*P23</f>
        <v>12847344.966777436</v>
      </c>
      <c r="R23">
        <f t="shared" ref="R23" si="92">R24+Q23</f>
        <v>-1153052372.9417105</v>
      </c>
      <c r="S23">
        <f t="shared" ref="S23" si="93">R23/100000</f>
        <v>-11530.523729417104</v>
      </c>
      <c r="T23">
        <f t="shared" ref="T23" si="94">S23/1000</f>
        <v>-11.530523729417103</v>
      </c>
    </row>
    <row r="24" spans="1:20" x14ac:dyDescent="0.25">
      <c r="A24" s="5">
        <v>44569</v>
      </c>
      <c r="B24">
        <v>0.3377</v>
      </c>
      <c r="C24">
        <v>0.34499999999999997</v>
      </c>
      <c r="D24">
        <v>0.30099999999999999</v>
      </c>
      <c r="E24">
        <v>0.31480000000000002</v>
      </c>
      <c r="F24">
        <v>39581417</v>
      </c>
      <c r="G24">
        <v>0.31480000000000002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-0.37272727272727091</v>
      </c>
      <c r="Q24">
        <f t="shared" ref="Q24" si="96">F24*P24</f>
        <v>-14753073.609090837</v>
      </c>
      <c r="R24">
        <f t="shared" ref="R24" si="97">R25+Q24</f>
        <v>-1165899717.9084878</v>
      </c>
      <c r="S24">
        <f t="shared" ref="S24" si="98">R24/100000</f>
        <v>-11658.997179084878</v>
      </c>
      <c r="T24">
        <f t="shared" ref="T24" si="99">S24/1000</f>
        <v>-11.658997179084878</v>
      </c>
    </row>
    <row r="25" spans="1:20" x14ac:dyDescent="0.25">
      <c r="A25" s="5">
        <v>44568</v>
      </c>
      <c r="B25">
        <v>0.37059999999999998</v>
      </c>
      <c r="C25">
        <v>0.38829999999999998</v>
      </c>
      <c r="D25">
        <v>0.33200000000000002</v>
      </c>
      <c r="E25">
        <v>0.33760000000000001</v>
      </c>
      <c r="F25">
        <v>70729314</v>
      </c>
      <c r="G25">
        <v>0.33760000000000001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-0.80106571936056847</v>
      </c>
      <c r="Q25">
        <f t="shared" ref="Q25" si="101">F25*P25</f>
        <v>-56658828.799289525</v>
      </c>
      <c r="R25">
        <f t="shared" ref="R25" si="102">R26+Q25</f>
        <v>-1151146644.299397</v>
      </c>
      <c r="S25">
        <f t="shared" ref="S25" si="103">R25/100000</f>
        <v>-11511.466442993969</v>
      </c>
      <c r="T25">
        <f t="shared" ref="T25" si="104">S25/1000</f>
        <v>-11.511466442993969</v>
      </c>
    </row>
    <row r="26" spans="1:20" x14ac:dyDescent="0.25">
      <c r="A26" s="5">
        <v>44567</v>
      </c>
      <c r="B26">
        <v>0.36680000000000001</v>
      </c>
      <c r="C26">
        <v>0.37490000000000001</v>
      </c>
      <c r="D26">
        <v>0.3453</v>
      </c>
      <c r="E26">
        <v>0.37059999999999998</v>
      </c>
      <c r="F26">
        <v>33399278</v>
      </c>
      <c r="G26">
        <v>0.37059999999999998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0.70945945945945788</v>
      </c>
      <c r="Q26">
        <f t="shared" ref="Q26" si="106">F26*P26</f>
        <v>23695433.716216162</v>
      </c>
      <c r="R26">
        <f t="shared" ref="R26" si="107">R27+Q26</f>
        <v>-1094487815.5001075</v>
      </c>
      <c r="S26">
        <f t="shared" ref="S26" si="108">R26/100000</f>
        <v>-10944.878155001075</v>
      </c>
      <c r="T26">
        <f t="shared" ref="T26" si="109">S26/1000</f>
        <v>-10.944878155001076</v>
      </c>
    </row>
    <row r="27" spans="1:20" x14ac:dyDescent="0.25">
      <c r="A27" s="5">
        <v>44566</v>
      </c>
      <c r="B27">
        <v>0.39329999999999998</v>
      </c>
      <c r="C27">
        <v>0.42680000000000001</v>
      </c>
      <c r="D27">
        <v>0.3463</v>
      </c>
      <c r="E27">
        <v>0.3669</v>
      </c>
      <c r="F27">
        <v>62777274</v>
      </c>
      <c r="G27">
        <v>0.3669</v>
      </c>
      <c r="L27" t="s">
        <v>8</v>
      </c>
      <c r="M27" t="s">
        <v>7</v>
      </c>
      <c r="N27" t="s">
        <v>8</v>
      </c>
      <c r="P27">
        <f t="shared" ref="P27" si="110">IF(C27=D27,0,((E27-D27)-(C27-E27))/(C27-D27))</f>
        <v>-0.48819875776397509</v>
      </c>
      <c r="Q27">
        <f t="shared" ref="Q27" si="111">F27*P27</f>
        <v>-30647787.18260869</v>
      </c>
      <c r="R27">
        <f t="shared" ref="R27" si="112">R28+Q27</f>
        <v>-1118183249.2163236</v>
      </c>
      <c r="S27">
        <f t="shared" ref="S27" si="113">R27/100000</f>
        <v>-11181.832492163236</v>
      </c>
      <c r="T27">
        <f t="shared" ref="T27" si="114">S27/1000</f>
        <v>-11.181832492163236</v>
      </c>
    </row>
    <row r="28" spans="1:20" x14ac:dyDescent="0.25">
      <c r="A28" s="5">
        <v>44565</v>
      </c>
      <c r="B28">
        <v>0.38929999999999998</v>
      </c>
      <c r="C28">
        <v>0.42099999999999999</v>
      </c>
      <c r="D28">
        <v>0.38750000000000001</v>
      </c>
      <c r="E28">
        <v>0.39319999999999999</v>
      </c>
      <c r="F28">
        <v>41632303</v>
      </c>
      <c r="G28">
        <v>0.39319999999999999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-0.65970149253731425</v>
      </c>
      <c r="Q28">
        <f t="shared" ref="Q28" si="116">F28*P28</f>
        <v>-27464892.426865704</v>
      </c>
      <c r="R28">
        <f t="shared" ref="R28" si="117">R29+Q28</f>
        <v>-1087535462.033715</v>
      </c>
      <c r="S28">
        <f t="shared" ref="S28" si="118">R28/100000</f>
        <v>-10875.35462033715</v>
      </c>
      <c r="T28">
        <f t="shared" ref="T28" si="119">S28/1000</f>
        <v>-10.87535462033715</v>
      </c>
    </row>
    <row r="29" spans="1:20" x14ac:dyDescent="0.25">
      <c r="A29" s="5">
        <v>44564</v>
      </c>
      <c r="B29">
        <v>0.3836</v>
      </c>
      <c r="C29">
        <v>0.39779999999999999</v>
      </c>
      <c r="D29">
        <v>0.37869999999999998</v>
      </c>
      <c r="E29">
        <v>0.38940000000000002</v>
      </c>
      <c r="F29">
        <v>35603801</v>
      </c>
      <c r="G29">
        <v>0.38940000000000002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0.1204188481675434</v>
      </c>
      <c r="Q29">
        <f t="shared" ref="Q29" si="121">F29*P29</f>
        <v>4287368.7068064297</v>
      </c>
      <c r="R29">
        <f t="shared" ref="R29" si="122">R30+Q29</f>
        <v>-1060070569.6068492</v>
      </c>
      <c r="S29">
        <f t="shared" ref="S29" si="123">R29/100000</f>
        <v>-10600.705696068491</v>
      </c>
      <c r="T29">
        <f t="shared" ref="T29" si="124">S29/1000</f>
        <v>-10.600705696068491</v>
      </c>
    </row>
    <row r="30" spans="1:20" x14ac:dyDescent="0.25">
      <c r="A30" s="5">
        <v>44563</v>
      </c>
      <c r="B30">
        <v>0.38769999999999999</v>
      </c>
      <c r="C30">
        <v>0.38919999999999999</v>
      </c>
      <c r="D30">
        <v>0.37590000000000001</v>
      </c>
      <c r="E30">
        <v>0.38400000000000001</v>
      </c>
      <c r="F30">
        <v>20023721</v>
      </c>
      <c r="G30">
        <v>0.38400000000000001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0.21804511278195626</v>
      </c>
      <c r="Q30">
        <f t="shared" ref="Q30" si="126">F30*P30</f>
        <v>4366074.5037594261</v>
      </c>
      <c r="R30">
        <f t="shared" ref="R30" si="127">R31+Q30</f>
        <v>-1064357938.3136556</v>
      </c>
      <c r="S30">
        <f t="shared" ref="S30" si="128">R30/100000</f>
        <v>-10643.579383136555</v>
      </c>
      <c r="T30">
        <f t="shared" ref="T30" si="129">S30/1000</f>
        <v>-10.643579383136556</v>
      </c>
    </row>
    <row r="31" spans="1:20" x14ac:dyDescent="0.25">
      <c r="A31" s="5">
        <v>44562</v>
      </c>
      <c r="B31">
        <v>0.35499999999999998</v>
      </c>
      <c r="C31">
        <v>0.38900000000000001</v>
      </c>
      <c r="D31">
        <v>0.35449999999999998</v>
      </c>
      <c r="E31">
        <v>0.38779999999999998</v>
      </c>
      <c r="F31">
        <v>26781255</v>
      </c>
      <c r="G31">
        <v>0.38779999999999998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0.93043478260869372</v>
      </c>
      <c r="Q31">
        <f t="shared" ref="Q31" si="131">F31*P31</f>
        <v>24918211.173912991</v>
      </c>
      <c r="R31">
        <f t="shared" ref="R31" si="132">R32+Q31</f>
        <v>-1068724012.817415</v>
      </c>
      <c r="S31">
        <f t="shared" ref="S31" si="133">R31/100000</f>
        <v>-10687.24012817415</v>
      </c>
      <c r="T31">
        <f t="shared" ref="T31" si="134">S31/1000</f>
        <v>-10.68724012817415</v>
      </c>
    </row>
    <row r="32" spans="1:20" x14ac:dyDescent="0.25">
      <c r="A32" s="5">
        <v>44561</v>
      </c>
      <c r="B32">
        <v>0.37080000000000002</v>
      </c>
      <c r="C32">
        <v>0.37630000000000002</v>
      </c>
      <c r="D32">
        <v>0.34960000000000002</v>
      </c>
      <c r="E32">
        <v>0.3548</v>
      </c>
      <c r="F32">
        <v>27389864</v>
      </c>
      <c r="G32">
        <v>0.3548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-0.61048689138576917</v>
      </c>
      <c r="Q32">
        <f t="shared" ref="Q32" si="136">F32*P32</f>
        <v>-16721152.928838989</v>
      </c>
      <c r="R32">
        <f t="shared" ref="R32" si="137">R33+Q32</f>
        <v>-1093642223.991328</v>
      </c>
      <c r="S32">
        <f t="shared" ref="S32" si="138">R32/100000</f>
        <v>-10936.42223991328</v>
      </c>
      <c r="T32">
        <f t="shared" ref="T32" si="139">S32/1000</f>
        <v>-10.936422239913279</v>
      </c>
    </row>
    <row r="33" spans="1:20" x14ac:dyDescent="0.25">
      <c r="A33" s="5">
        <v>44560</v>
      </c>
      <c r="B33">
        <v>0.37530000000000002</v>
      </c>
      <c r="C33">
        <v>0.38279999999999997</v>
      </c>
      <c r="D33">
        <v>0.36399999999999999</v>
      </c>
      <c r="E33">
        <v>0.37080000000000002</v>
      </c>
      <c r="F33">
        <v>26485607</v>
      </c>
      <c r="G33">
        <v>0.37080000000000002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-0.27659574468084741</v>
      </c>
      <c r="Q33">
        <f t="shared" ref="Q33" si="141">F33*P33</f>
        <v>-7325806.1914892653</v>
      </c>
      <c r="R33">
        <f t="shared" ref="R33" si="142">R34+Q33</f>
        <v>-1076921071.062489</v>
      </c>
      <c r="S33">
        <f t="shared" ref="S33" si="143">R33/100000</f>
        <v>-10769.21071062489</v>
      </c>
      <c r="T33">
        <f t="shared" ref="T33" si="144">S33/1000</f>
        <v>-10.76921071062489</v>
      </c>
    </row>
    <row r="34" spans="1:20" x14ac:dyDescent="0.25">
      <c r="A34" s="5">
        <v>44559</v>
      </c>
      <c r="B34">
        <v>0.378</v>
      </c>
      <c r="C34">
        <v>0.40679999999999999</v>
      </c>
      <c r="D34">
        <v>0.36559999999999998</v>
      </c>
      <c r="E34">
        <v>0.37509999999999999</v>
      </c>
      <c r="F34">
        <v>47362543</v>
      </c>
      <c r="G34">
        <v>0.37509999999999999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-0.53883495145631044</v>
      </c>
      <c r="Q34">
        <f t="shared" ref="Q34" si="146">F34*P34</f>
        <v>-25520593.558252417</v>
      </c>
      <c r="R34">
        <f t="shared" ref="R34" si="147">R35+Q34</f>
        <v>-1069595264.8709998</v>
      </c>
      <c r="S34">
        <f t="shared" ref="S34" si="148">R34/100000</f>
        <v>-10695.952648709997</v>
      </c>
      <c r="T34">
        <f t="shared" ref="T34" si="149">S34/1000</f>
        <v>-10.695952648709998</v>
      </c>
    </row>
    <row r="35" spans="1:20" x14ac:dyDescent="0.25">
      <c r="A35" s="5">
        <v>44558</v>
      </c>
      <c r="B35">
        <v>0.40160000000000001</v>
      </c>
      <c r="C35">
        <v>0.40610000000000002</v>
      </c>
      <c r="D35">
        <v>0.37069999999999997</v>
      </c>
      <c r="E35">
        <v>0.378</v>
      </c>
      <c r="F35">
        <v>50319051</v>
      </c>
      <c r="G35">
        <v>0.378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-0.58757062146892547</v>
      </c>
      <c r="Q35">
        <f t="shared" ref="Q35" si="151">F35*P35</f>
        <v>-29565996.067796554</v>
      </c>
      <c r="R35">
        <f t="shared" ref="R35" si="152">R36+Q35</f>
        <v>-1044074671.3127474</v>
      </c>
      <c r="S35">
        <f t="shared" ref="S35" si="153">R35/100000</f>
        <v>-10440.746713127473</v>
      </c>
      <c r="T35">
        <f t="shared" ref="T35" si="154">S35/1000</f>
        <v>-10.440746713127474</v>
      </c>
    </row>
    <row r="36" spans="1:20" x14ac:dyDescent="0.25">
      <c r="A36" s="5">
        <v>44557</v>
      </c>
      <c r="B36">
        <v>0.4234</v>
      </c>
      <c r="C36">
        <v>0.42859999999999998</v>
      </c>
      <c r="D36">
        <v>0.39629999999999999</v>
      </c>
      <c r="E36">
        <v>0.40160000000000001</v>
      </c>
      <c r="F36">
        <v>40668632</v>
      </c>
      <c r="G36">
        <v>0.40160000000000001</v>
      </c>
      <c r="L36" t="s">
        <v>7</v>
      </c>
      <c r="M36" t="s">
        <v>7</v>
      </c>
      <c r="N36" t="s">
        <v>8</v>
      </c>
      <c r="P36">
        <f t="shared" ref="P36" si="155">IF(C36=D36,0,((E36-D36)-(C36-E36))/(C36-D36))</f>
        <v>-0.67182662538699522</v>
      </c>
      <c r="Q36">
        <f t="shared" ref="Q36" si="156">F36*P36</f>
        <v>-27322269.795665566</v>
      </c>
      <c r="R36">
        <f t="shared" ref="R36" si="157">R37+Q36</f>
        <v>-1014508675.2449508</v>
      </c>
      <c r="S36">
        <f t="shared" ref="S36" si="158">R36/100000</f>
        <v>-10145.086752449508</v>
      </c>
      <c r="T36">
        <f t="shared" ref="T36" si="159">S36/1000</f>
        <v>-10.145086752449508</v>
      </c>
    </row>
    <row r="37" spans="1:20" x14ac:dyDescent="0.25">
      <c r="A37" s="5">
        <v>44556</v>
      </c>
      <c r="B37">
        <v>0.4173</v>
      </c>
      <c r="C37">
        <v>0.43769999999999998</v>
      </c>
      <c r="D37">
        <v>0.4017</v>
      </c>
      <c r="E37">
        <v>0.42299999999999999</v>
      </c>
      <c r="F37">
        <v>44819121</v>
      </c>
      <c r="G37">
        <v>0.42299999999999999</v>
      </c>
      <c r="L37" t="s">
        <v>8</v>
      </c>
      <c r="M37" t="s">
        <v>7</v>
      </c>
      <c r="N37" t="s">
        <v>8</v>
      </c>
      <c r="P37">
        <f t="shared" ref="P37" si="160">IF(C37=D37,0,((E37-D37)-(C37-E37))/(C37-D37))</f>
        <v>0.18333333333333332</v>
      </c>
      <c r="Q37">
        <f t="shared" ref="Q37" si="161">F37*P37</f>
        <v>8216838.8499999996</v>
      </c>
      <c r="R37">
        <f t="shared" ref="R37" si="162">R38+Q37</f>
        <v>-987186405.44928515</v>
      </c>
      <c r="S37">
        <f t="shared" ref="S37" si="163">R37/100000</f>
        <v>-9871.8640544928512</v>
      </c>
      <c r="T37">
        <f t="shared" ref="T37" si="164">S37/1000</f>
        <v>-9.8718640544928515</v>
      </c>
    </row>
    <row r="38" spans="1:20" x14ac:dyDescent="0.25">
      <c r="A38" s="5">
        <v>44555</v>
      </c>
      <c r="B38">
        <v>0.40639999999999998</v>
      </c>
      <c r="C38">
        <v>0.4249</v>
      </c>
      <c r="D38">
        <v>0.3962</v>
      </c>
      <c r="E38">
        <v>0.41749999999999998</v>
      </c>
      <c r="F38">
        <v>46854817</v>
      </c>
      <c r="G38">
        <v>0.41749999999999998</v>
      </c>
      <c r="L38" t="s">
        <v>8</v>
      </c>
      <c r="M38" t="s">
        <v>7</v>
      </c>
      <c r="N38" t="s">
        <v>8</v>
      </c>
      <c r="P38">
        <f t="shared" ref="P38" si="165">IF(C38=D38,0,((E38-D38)-(C38-E38))/(C38-D38))</f>
        <v>0.48432055749128805</v>
      </c>
      <c r="Q38">
        <f t="shared" ref="Q38" si="166">F38*P38</f>
        <v>22692751.09059228</v>
      </c>
      <c r="R38">
        <f t="shared" ref="R38" si="167">R39+Q38</f>
        <v>-995403244.29928517</v>
      </c>
      <c r="S38">
        <f t="shared" ref="S38" si="168">R38/100000</f>
        <v>-9954.0324429928514</v>
      </c>
      <c r="T38">
        <f t="shared" ref="T38" si="169">S38/1000</f>
        <v>-9.9540324429928511</v>
      </c>
    </row>
    <row r="39" spans="1:20" x14ac:dyDescent="0.25">
      <c r="A39" s="5">
        <v>44554</v>
      </c>
      <c r="B39">
        <v>0.38600000000000001</v>
      </c>
      <c r="C39">
        <v>0.42430000000000001</v>
      </c>
      <c r="D39">
        <v>0.377</v>
      </c>
      <c r="E39">
        <v>0.40610000000000002</v>
      </c>
      <c r="F39">
        <v>87811493</v>
      </c>
      <c r="G39">
        <v>0.40610000000000002</v>
      </c>
      <c r="L39" t="s">
        <v>7</v>
      </c>
      <c r="M39" t="s">
        <v>7</v>
      </c>
      <c r="N39" t="s">
        <v>8</v>
      </c>
      <c r="P39">
        <f t="shared" ref="P39" si="170">IF(C39=D39,0,((E39-D39)-(C39-E39))/(C39-D39))</f>
        <v>0.23044397463002153</v>
      </c>
      <c r="Q39">
        <f t="shared" ref="Q39" si="171">F39*P39</f>
        <v>20235629.465116315</v>
      </c>
      <c r="R39">
        <f t="shared" ref="R39" si="172">R40+Q39</f>
        <v>-1018095995.3898774</v>
      </c>
      <c r="S39">
        <f t="shared" ref="S39" si="173">R39/100000</f>
        <v>-10180.959953898775</v>
      </c>
      <c r="T39">
        <f t="shared" ref="T39" si="174">S39/1000</f>
        <v>-10.180959953898775</v>
      </c>
    </row>
    <row r="40" spans="1:20" x14ac:dyDescent="0.25">
      <c r="A40" s="5">
        <v>44553</v>
      </c>
      <c r="B40">
        <v>0.32919999999999999</v>
      </c>
      <c r="C40">
        <v>0.45979999999999999</v>
      </c>
      <c r="D40">
        <v>0.3201</v>
      </c>
      <c r="E40">
        <v>0.38590000000000002</v>
      </c>
      <c r="F40">
        <v>349187269</v>
      </c>
      <c r="G40">
        <v>0.38590000000000002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-5.7981388690049686E-2</v>
      </c>
      <c r="Q40">
        <f t="shared" ref="Q40" si="176">F40*P40</f>
        <v>-20246362.769505937</v>
      </c>
      <c r="R40">
        <f t="shared" ref="R40" si="177">R41+Q40</f>
        <v>-1038331624.8549937</v>
      </c>
      <c r="S40">
        <f t="shared" ref="S40" si="178">R40/100000</f>
        <v>-10383.316248549938</v>
      </c>
      <c r="T40">
        <f t="shared" ref="T40" si="179">S40/1000</f>
        <v>-10.383316248549939</v>
      </c>
    </row>
    <row r="41" spans="1:20" x14ac:dyDescent="0.25">
      <c r="A41" s="5">
        <v>44552</v>
      </c>
      <c r="B41">
        <v>0.31340000000000001</v>
      </c>
      <c r="C41">
        <v>0.33700000000000002</v>
      </c>
      <c r="D41">
        <v>0.30919999999999997</v>
      </c>
      <c r="E41">
        <v>0.32900000000000001</v>
      </c>
      <c r="F41">
        <v>37692068</v>
      </c>
      <c r="G41">
        <v>0.32900000000000001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0.42446043165467673</v>
      </c>
      <c r="Q41">
        <f t="shared" ref="Q41" si="181">F41*P41</f>
        <v>15998791.453237427</v>
      </c>
      <c r="R41">
        <f t="shared" ref="R41" si="182">R42+Q41</f>
        <v>-1018085262.0854877</v>
      </c>
      <c r="S41">
        <f t="shared" ref="S41" si="183">R41/100000</f>
        <v>-10180.852620854877</v>
      </c>
      <c r="T41">
        <f t="shared" ref="T41" si="184">S41/1000</f>
        <v>-10.180852620854877</v>
      </c>
    </row>
    <row r="42" spans="1:20" x14ac:dyDescent="0.25">
      <c r="A42" s="5">
        <v>44551</v>
      </c>
      <c r="B42">
        <v>0.3019</v>
      </c>
      <c r="C42">
        <v>0.32769999999999999</v>
      </c>
      <c r="D42">
        <v>0.29959999999999998</v>
      </c>
      <c r="E42">
        <v>0.31309999999999999</v>
      </c>
      <c r="F42">
        <v>37546498</v>
      </c>
      <c r="G42">
        <v>0.31309999999999999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-3.9145907473309226E-2</v>
      </c>
      <c r="Q42">
        <f t="shared" ref="Q42" si="186">F42*P42</f>
        <v>-1469791.7366547899</v>
      </c>
      <c r="R42">
        <f t="shared" ref="R42" si="187">R43+Q42</f>
        <v>-1034084053.5387251</v>
      </c>
      <c r="S42">
        <f t="shared" ref="S42" si="188">R42/100000</f>
        <v>-10340.840535387251</v>
      </c>
      <c r="T42">
        <f t="shared" ref="T42" si="189">S42/1000</f>
        <v>-10.340840535387251</v>
      </c>
    </row>
    <row r="43" spans="1:20" x14ac:dyDescent="0.25">
      <c r="A43" s="5">
        <v>44550</v>
      </c>
      <c r="B43">
        <v>0.30609999999999998</v>
      </c>
      <c r="C43">
        <v>0.31430000000000002</v>
      </c>
      <c r="D43">
        <v>0.28639999999999999</v>
      </c>
      <c r="E43">
        <v>0.30130000000000001</v>
      </c>
      <c r="F43">
        <v>30787488</v>
      </c>
      <c r="G43">
        <v>0.30130000000000001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6.8100358422939433E-2</v>
      </c>
      <c r="Q43">
        <f t="shared" ref="Q43" si="191">F43*P43</f>
        <v>2096638.9677419467</v>
      </c>
      <c r="R43">
        <f t="shared" ref="R43" si="192">R44+Q43</f>
        <v>-1032614261.8020704</v>
      </c>
      <c r="S43">
        <f t="shared" ref="S43" si="193">R43/100000</f>
        <v>-10326.142618020704</v>
      </c>
      <c r="T43">
        <f t="shared" ref="T43" si="194">S43/1000</f>
        <v>-10.326142618020704</v>
      </c>
    </row>
    <row r="44" spans="1:20" x14ac:dyDescent="0.25">
      <c r="A44" s="5">
        <v>44549</v>
      </c>
      <c r="B44">
        <v>0.31469999999999998</v>
      </c>
      <c r="C44">
        <v>0.31990000000000002</v>
      </c>
      <c r="D44">
        <v>0.3034</v>
      </c>
      <c r="E44">
        <v>0.30609999999999998</v>
      </c>
      <c r="F44">
        <v>21595276</v>
      </c>
      <c r="G44">
        <v>0.30609999999999998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-0.67272727272727539</v>
      </c>
      <c r="Q44">
        <f t="shared" ref="Q44" si="196">F44*P44</f>
        <v>-14527731.127272785</v>
      </c>
      <c r="R44">
        <f t="shared" ref="R44" si="197">R45+Q44</f>
        <v>-1034710900.7698123</v>
      </c>
      <c r="S44">
        <f t="shared" ref="S44" si="198">R44/100000</f>
        <v>-10347.109007698124</v>
      </c>
      <c r="T44">
        <f t="shared" ref="T44" si="199">S44/1000</f>
        <v>-10.347109007698124</v>
      </c>
    </row>
    <row r="45" spans="1:20" x14ac:dyDescent="0.25">
      <c r="A45" s="5">
        <v>44548</v>
      </c>
      <c r="B45">
        <v>0.3034</v>
      </c>
      <c r="C45">
        <v>0.32269999999999999</v>
      </c>
      <c r="D45">
        <v>0.29830000000000001</v>
      </c>
      <c r="E45">
        <v>0.31540000000000001</v>
      </c>
      <c r="F45">
        <v>17842754</v>
      </c>
      <c r="G45">
        <v>0.31540000000000001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0.40163934426229675</v>
      </c>
      <c r="Q45">
        <f t="shared" ref="Q45" si="201">F45*P45</f>
        <v>7166352.0163934724</v>
      </c>
      <c r="R45">
        <f t="shared" ref="R45" si="202">R46+Q45</f>
        <v>-1020183169.6425396</v>
      </c>
      <c r="S45">
        <f t="shared" ref="S45" si="203">R45/100000</f>
        <v>-10201.831696425395</v>
      </c>
      <c r="T45">
        <f t="shared" ref="T45" si="204">S45/1000</f>
        <v>-10.201831696425396</v>
      </c>
    </row>
    <row r="46" spans="1:20" x14ac:dyDescent="0.25">
      <c r="A46" s="5">
        <v>44547</v>
      </c>
      <c r="B46">
        <v>0.316</v>
      </c>
      <c r="C46">
        <v>0.32179999999999997</v>
      </c>
      <c r="D46">
        <v>0.29530000000000001</v>
      </c>
      <c r="E46">
        <v>0.30359999999999998</v>
      </c>
      <c r="F46">
        <v>27849277</v>
      </c>
      <c r="G46">
        <v>0.30359999999999998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-0.37358490566037855</v>
      </c>
      <c r="Q46">
        <f t="shared" ref="Q46" si="206">F46*P46</f>
        <v>-10404069.520754751</v>
      </c>
      <c r="R46">
        <f t="shared" ref="R46" si="207">R47+Q46</f>
        <v>-1027349521.658933</v>
      </c>
      <c r="S46">
        <f t="shared" ref="S46" si="208">R46/100000</f>
        <v>-10273.49521658933</v>
      </c>
      <c r="T46">
        <f t="shared" ref="T46" si="209">S46/1000</f>
        <v>-10.27349521658933</v>
      </c>
    </row>
    <row r="47" spans="1:20" x14ac:dyDescent="0.25">
      <c r="A47" s="5">
        <v>44546</v>
      </c>
      <c r="B47">
        <v>0.3231</v>
      </c>
      <c r="C47">
        <v>0.33989999999999998</v>
      </c>
      <c r="D47">
        <v>0.31369999999999998</v>
      </c>
      <c r="E47">
        <v>0.31590000000000001</v>
      </c>
      <c r="F47">
        <v>39406214</v>
      </c>
      <c r="G47">
        <v>0.31590000000000001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-0.83206106870228735</v>
      </c>
      <c r="Q47">
        <f t="shared" ref="Q47" si="211">F47*P47</f>
        <v>-32788376.534351036</v>
      </c>
      <c r="R47">
        <f t="shared" ref="R47" si="212">R48+Q47</f>
        <v>-1016945452.1381783</v>
      </c>
      <c r="S47">
        <f t="shared" ref="S47" si="213">R47/100000</f>
        <v>-10169.454521381784</v>
      </c>
      <c r="T47">
        <f t="shared" ref="T47" si="214">S47/1000</f>
        <v>-10.169454521381784</v>
      </c>
    </row>
    <row r="48" spans="1:20" x14ac:dyDescent="0.25">
      <c r="A48" s="5">
        <v>44545</v>
      </c>
      <c r="B48">
        <v>0.30759999999999998</v>
      </c>
      <c r="C48">
        <v>0.32729999999999998</v>
      </c>
      <c r="D48">
        <v>0.28939999999999999</v>
      </c>
      <c r="E48">
        <v>0.32290000000000002</v>
      </c>
      <c r="F48">
        <v>46308875</v>
      </c>
      <c r="G48">
        <v>0.32290000000000002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0.76781002638522633</v>
      </c>
      <c r="Q48">
        <f t="shared" ref="Q48" si="216">F48*P48</f>
        <v>35556418.535620145</v>
      </c>
      <c r="R48">
        <f t="shared" ref="R48" si="217">R49+Q48</f>
        <v>-984157075.60382736</v>
      </c>
      <c r="S48">
        <f t="shared" ref="S48" si="218">R48/100000</f>
        <v>-9841.5707560382743</v>
      </c>
      <c r="T48">
        <f t="shared" ref="T48" si="219">S48/1000</f>
        <v>-9.8415707560382746</v>
      </c>
    </row>
    <row r="49" spans="1:20" x14ac:dyDescent="0.25">
      <c r="A49" s="5">
        <v>44544</v>
      </c>
      <c r="B49">
        <v>0.30009999999999998</v>
      </c>
      <c r="C49">
        <v>0.32500000000000001</v>
      </c>
      <c r="D49">
        <v>0.28810000000000002</v>
      </c>
      <c r="E49">
        <v>0.30740000000000001</v>
      </c>
      <c r="F49">
        <v>51030101</v>
      </c>
      <c r="G49">
        <v>0.30740000000000001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4.6070460704606499E-2</v>
      </c>
      <c r="Q49">
        <f t="shared" ref="Q49" si="221">F49*P49</f>
        <v>2350980.2628726009</v>
      </c>
      <c r="R49">
        <f t="shared" ref="R49" si="222">R50+Q49</f>
        <v>-1019713494.1394475</v>
      </c>
      <c r="S49">
        <f t="shared" ref="S49" si="223">R49/100000</f>
        <v>-10197.134941394475</v>
      </c>
      <c r="T49">
        <f t="shared" ref="T49" si="224">S49/1000</f>
        <v>-10.197134941394475</v>
      </c>
    </row>
    <row r="50" spans="1:20" x14ac:dyDescent="0.25">
      <c r="A50" s="5">
        <v>44543</v>
      </c>
      <c r="B50">
        <v>0.34899999999999998</v>
      </c>
      <c r="C50">
        <v>0.35299999999999998</v>
      </c>
      <c r="D50">
        <v>0.29020000000000001</v>
      </c>
      <c r="E50">
        <v>0.29970000000000002</v>
      </c>
      <c r="F50">
        <v>68798690</v>
      </c>
      <c r="G50">
        <v>0.29970000000000002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-0.69745222929936268</v>
      </c>
      <c r="Q50">
        <f t="shared" ref="Q50" si="226">F50*P50</f>
        <v>-47983799.71337577</v>
      </c>
      <c r="R50">
        <f t="shared" ref="R50" si="227">R51+Q50</f>
        <v>-1022064474.40232</v>
      </c>
      <c r="S50">
        <f t="shared" ref="S50" si="228">R50/100000</f>
        <v>-10220.6447440232</v>
      </c>
      <c r="T50">
        <f t="shared" ref="T50" si="229">S50/1000</f>
        <v>-10.2206447440232</v>
      </c>
    </row>
    <row r="51" spans="1:20" x14ac:dyDescent="0.25">
      <c r="A51" s="5">
        <v>44542</v>
      </c>
      <c r="B51">
        <v>0.31969999999999998</v>
      </c>
      <c r="C51">
        <v>0.36699999999999999</v>
      </c>
      <c r="D51">
        <v>0.30869999999999997</v>
      </c>
      <c r="E51">
        <v>0.34889999999999999</v>
      </c>
      <c r="F51">
        <v>70222520</v>
      </c>
      <c r="G51">
        <v>0.34889999999999999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0.379073756432247</v>
      </c>
      <c r="Q51">
        <f t="shared" ref="Q51" si="231">F51*P51</f>
        <v>26619514.442538593</v>
      </c>
      <c r="R51">
        <f t="shared" ref="R51" si="232">R52+Q51</f>
        <v>-974080674.68894422</v>
      </c>
      <c r="S51">
        <f t="shared" ref="S51" si="233">R51/100000</f>
        <v>-9740.8067468894424</v>
      </c>
      <c r="T51">
        <f t="shared" ref="T51" si="234">S51/1000</f>
        <v>-9.7408067468894419</v>
      </c>
    </row>
    <row r="52" spans="1:20" x14ac:dyDescent="0.25">
      <c r="A52" s="5">
        <v>44541</v>
      </c>
      <c r="B52">
        <v>0.29549999999999998</v>
      </c>
      <c r="C52">
        <v>0.30149999999999999</v>
      </c>
      <c r="D52">
        <v>0.28999999999999998</v>
      </c>
      <c r="E52">
        <v>0.2999</v>
      </c>
      <c r="F52">
        <v>3419092</v>
      </c>
      <c r="G52">
        <v>0.2999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0.72173913043478455</v>
      </c>
      <c r="Q52">
        <f t="shared" ref="Q52" si="236">F52*P52</f>
        <v>2467692.4869565284</v>
      </c>
      <c r="R52">
        <f t="shared" ref="R52" si="237">R53+Q52</f>
        <v>-1000700189.1314828</v>
      </c>
      <c r="S52">
        <f t="shared" ref="S52" si="238">R52/100000</f>
        <v>-10007.001891314829</v>
      </c>
      <c r="T52">
        <f t="shared" ref="T52" si="239">S52/1000</f>
        <v>-10.007001891314829</v>
      </c>
    </row>
    <row r="53" spans="1:20" x14ac:dyDescent="0.25">
      <c r="A53" s="5">
        <v>44540</v>
      </c>
      <c r="B53">
        <v>0.31240000000000001</v>
      </c>
      <c r="C53">
        <v>0.33439999999999998</v>
      </c>
      <c r="D53">
        <v>0.29399999999999998</v>
      </c>
      <c r="E53">
        <v>0.2954</v>
      </c>
      <c r="F53">
        <v>44996995</v>
      </c>
      <c r="G53">
        <v>0.2954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-0.93069306930693008</v>
      </c>
      <c r="Q53">
        <f t="shared" ref="Q53" si="241">F53*P53</f>
        <v>-41878391.386138588</v>
      </c>
      <c r="R53">
        <f t="shared" ref="R53" si="242">R54+Q53</f>
        <v>-1003167881.6184393</v>
      </c>
      <c r="S53">
        <f t="shared" ref="S53" si="243">R53/100000</f>
        <v>-10031.678816184392</v>
      </c>
      <c r="T53">
        <f t="shared" ref="T53" si="244">S53/1000</f>
        <v>-10.031678816184392</v>
      </c>
    </row>
    <row r="54" spans="1:20" x14ac:dyDescent="0.25">
      <c r="A54" s="5">
        <v>44539</v>
      </c>
      <c r="B54">
        <v>0.35820000000000002</v>
      </c>
      <c r="C54">
        <v>0.35980000000000001</v>
      </c>
      <c r="D54">
        <v>0.31159999999999999</v>
      </c>
      <c r="E54">
        <v>0.31259999999999999</v>
      </c>
      <c r="F54">
        <v>39302182</v>
      </c>
      <c r="G54">
        <v>0.31259999999999999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-0.95850622406638997</v>
      </c>
      <c r="Q54">
        <f t="shared" ref="Q54" si="246">F54*P54</f>
        <v>-37671386.066390038</v>
      </c>
      <c r="R54">
        <f t="shared" ref="R54" si="247">R55+Q54</f>
        <v>-961289490.23230076</v>
      </c>
      <c r="S54">
        <f t="shared" ref="S54" si="248">R54/100000</f>
        <v>-9612.894902323007</v>
      </c>
      <c r="T54">
        <f t="shared" ref="T54" si="249">S54/1000</f>
        <v>-9.6128949023230064</v>
      </c>
    </row>
    <row r="55" spans="1:20" x14ac:dyDescent="0.25">
      <c r="A55" s="5">
        <v>44538</v>
      </c>
      <c r="B55">
        <v>0.35349999999999998</v>
      </c>
      <c r="C55">
        <v>0.37030000000000002</v>
      </c>
      <c r="D55">
        <v>0.33550000000000002</v>
      </c>
      <c r="E55">
        <v>0.35820000000000002</v>
      </c>
      <c r="F55">
        <v>46254351</v>
      </c>
      <c r="G55">
        <v>0.35820000000000002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0.30459770114942525</v>
      </c>
      <c r="Q55">
        <f t="shared" ref="Q55" si="251">F55*P55</f>
        <v>14088968.982758619</v>
      </c>
      <c r="R55">
        <f t="shared" ref="R55" si="252">R56+Q55</f>
        <v>-923618104.16591072</v>
      </c>
      <c r="S55">
        <f t="shared" ref="S55" si="253">R55/100000</f>
        <v>-9236.181041659107</v>
      </c>
      <c r="T55">
        <f t="shared" ref="T55" si="254">S55/1000</f>
        <v>-9.2361810416591066</v>
      </c>
    </row>
    <row r="56" spans="1:20" x14ac:dyDescent="0.25">
      <c r="A56" s="5">
        <v>44537</v>
      </c>
      <c r="B56">
        <v>0.35949999999999999</v>
      </c>
      <c r="C56">
        <v>0.38900000000000001</v>
      </c>
      <c r="D56">
        <v>0.34689999999999999</v>
      </c>
      <c r="E56">
        <v>0.35370000000000001</v>
      </c>
      <c r="F56">
        <v>61029497</v>
      </c>
      <c r="G56">
        <v>0.35370000000000001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-0.67695961995249287</v>
      </c>
      <c r="Q56">
        <f t="shared" ref="Q56" si="256">F56*P56</f>
        <v>-41314505.095011801</v>
      </c>
      <c r="R56">
        <f t="shared" ref="R56" si="257">R57+Q56</f>
        <v>-937707073.14866936</v>
      </c>
      <c r="S56">
        <f t="shared" ref="S56" si="258">R56/100000</f>
        <v>-9377.0707314866941</v>
      </c>
      <c r="T56">
        <f t="shared" ref="T56" si="259">S56/1000</f>
        <v>-9.3770707314866932</v>
      </c>
    </row>
    <row r="57" spans="1:20" x14ac:dyDescent="0.25">
      <c r="A57" s="5">
        <v>44536</v>
      </c>
      <c r="B57">
        <v>0.34699999999999998</v>
      </c>
      <c r="C57">
        <v>0.36470000000000002</v>
      </c>
      <c r="D57">
        <v>0.30909999999999999</v>
      </c>
      <c r="E57">
        <v>0.35930000000000001</v>
      </c>
      <c r="F57">
        <v>79128672</v>
      </c>
      <c r="G57">
        <v>0.35930000000000001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0.80575539568345278</v>
      </c>
      <c r="Q57">
        <f t="shared" ref="Q57" si="261">F57*P57</f>
        <v>63758354.417266153</v>
      </c>
      <c r="R57">
        <f t="shared" ref="R57" si="262">R58+Q57</f>
        <v>-896392568.05365753</v>
      </c>
      <c r="S57">
        <f t="shared" ref="S57" si="263">R57/100000</f>
        <v>-8963.9256805365749</v>
      </c>
      <c r="T57">
        <f t="shared" ref="T57" si="264">S57/1000</f>
        <v>-8.9639256805365743</v>
      </c>
    </row>
    <row r="58" spans="1:20" x14ac:dyDescent="0.25">
      <c r="A58" s="5">
        <v>44535</v>
      </c>
      <c r="B58">
        <v>0.38009999999999999</v>
      </c>
      <c r="C58">
        <v>0.38240000000000002</v>
      </c>
      <c r="D58">
        <v>0.32300000000000001</v>
      </c>
      <c r="E58">
        <v>0.34689999999999999</v>
      </c>
      <c r="F58">
        <v>46702135</v>
      </c>
      <c r="G58">
        <v>0.34689999999999999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-0.19528619528619617</v>
      </c>
      <c r="Q58">
        <f t="shared" ref="Q58" si="266">F58*P58</f>
        <v>-9120282.2558922973</v>
      </c>
      <c r="R58">
        <f t="shared" ref="R58" si="267">R59+Q58</f>
        <v>-960150922.47092366</v>
      </c>
      <c r="S58">
        <f t="shared" ref="S58" si="268">R58/100000</f>
        <v>-9601.5092247092362</v>
      </c>
      <c r="T58">
        <f t="shared" ref="T58" si="269">S58/1000</f>
        <v>-9.6015092247092362</v>
      </c>
    </row>
    <row r="59" spans="1:20" x14ac:dyDescent="0.25">
      <c r="A59" s="5">
        <v>44534</v>
      </c>
      <c r="B59">
        <v>0.42180000000000001</v>
      </c>
      <c r="C59">
        <v>0.4224</v>
      </c>
      <c r="D59">
        <v>0.25069999999999998</v>
      </c>
      <c r="E59">
        <v>0.38009999999999999</v>
      </c>
      <c r="F59">
        <v>148868674</v>
      </c>
      <c r="G59">
        <v>0.38009999999999999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0.5072801397786838</v>
      </c>
      <c r="Q59">
        <f t="shared" ref="Q59" si="271">F59*P59</f>
        <v>75518121.755387306</v>
      </c>
      <c r="R59">
        <f t="shared" ref="R59" si="272">R60+Q59</f>
        <v>-951030640.21503139</v>
      </c>
      <c r="S59">
        <f t="shared" ref="S59" si="273">R59/100000</f>
        <v>-9510.3064021503142</v>
      </c>
      <c r="T59">
        <f t="shared" ref="T59" si="274">S59/1000</f>
        <v>-9.5103064021503148</v>
      </c>
    </row>
    <row r="60" spans="1:20" x14ac:dyDescent="0.25">
      <c r="A60" s="5">
        <v>44533</v>
      </c>
      <c r="B60">
        <v>0.45440000000000003</v>
      </c>
      <c r="C60">
        <v>0.4723</v>
      </c>
      <c r="D60">
        <v>0.40410000000000001</v>
      </c>
      <c r="E60">
        <v>0.42159999999999997</v>
      </c>
      <c r="F60">
        <v>63122848</v>
      </c>
      <c r="G60">
        <v>0.42159999999999997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-0.48680351906158464</v>
      </c>
      <c r="Q60">
        <f t="shared" ref="Q60" si="276">F60*P60</f>
        <v>-30728424.539589509</v>
      </c>
      <c r="R60">
        <f t="shared" ref="R60" si="277">R61+Q60</f>
        <v>-1026548761.9704187</v>
      </c>
      <c r="S60">
        <f t="shared" ref="S60" si="278">R60/100000</f>
        <v>-10265.487619704187</v>
      </c>
      <c r="T60">
        <f t="shared" ref="T60" si="279">S60/1000</f>
        <v>-10.265487619704187</v>
      </c>
    </row>
    <row r="61" spans="1:20" x14ac:dyDescent="0.25">
      <c r="A61" s="5">
        <v>44532</v>
      </c>
      <c r="B61">
        <v>0.4758</v>
      </c>
      <c r="C61">
        <v>0.498</v>
      </c>
      <c r="D61">
        <v>0.44819999999999999</v>
      </c>
      <c r="E61">
        <v>0.45450000000000002</v>
      </c>
      <c r="F61">
        <v>67482270</v>
      </c>
      <c r="G61">
        <v>0.45450000000000002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-0.74698795180722788</v>
      </c>
      <c r="Q61">
        <f t="shared" ref="Q61" si="281">F61*P61</f>
        <v>-50408442.650602341</v>
      </c>
      <c r="R61">
        <f t="shared" ref="R61" si="282">R62+Q61</f>
        <v>-995820337.43082917</v>
      </c>
      <c r="S61">
        <f t="shared" ref="S61" si="283">R61/100000</f>
        <v>-9958.203374308292</v>
      </c>
      <c r="T61">
        <f t="shared" ref="T61" si="284">S61/1000</f>
        <v>-9.9582033743082921</v>
      </c>
    </row>
    <row r="62" spans="1:20" x14ac:dyDescent="0.25">
      <c r="A62" s="5">
        <v>44531</v>
      </c>
      <c r="B62">
        <v>0.45290000000000002</v>
      </c>
      <c r="C62">
        <v>0.5121</v>
      </c>
      <c r="D62">
        <v>0.44979999999999998</v>
      </c>
      <c r="E62">
        <v>0.47560000000000002</v>
      </c>
      <c r="F62">
        <v>114045125</v>
      </c>
      <c r="G62">
        <v>0.47560000000000002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-0.17174959871588968</v>
      </c>
      <c r="Q62">
        <f t="shared" ref="Q62" si="286">F62*P62</f>
        <v>-19587204.45425348</v>
      </c>
      <c r="R62">
        <f t="shared" ref="R62" si="287">R63+Q62</f>
        <v>-945411894.78022683</v>
      </c>
      <c r="S62">
        <f t="shared" ref="S62" si="288">R62/100000</f>
        <v>-9454.1189478022679</v>
      </c>
      <c r="T62">
        <f t="shared" ref="T62" si="289">S62/1000</f>
        <v>-9.454118947802268</v>
      </c>
    </row>
    <row r="63" spans="1:20" x14ac:dyDescent="0.25">
      <c r="A63" s="5">
        <v>44530</v>
      </c>
      <c r="B63">
        <v>0.43969999999999998</v>
      </c>
      <c r="C63">
        <v>0.48930000000000001</v>
      </c>
      <c r="D63">
        <v>0.42399999999999999</v>
      </c>
      <c r="E63">
        <v>0.45290000000000002</v>
      </c>
      <c r="F63">
        <v>134848031</v>
      </c>
      <c r="G63">
        <v>0.45290000000000002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-0.11485451761102525</v>
      </c>
      <c r="Q63">
        <f t="shared" ref="Q63" si="291">F63*P63</f>
        <v>-15487905.551301578</v>
      </c>
      <c r="R63">
        <f t="shared" ref="R63" si="292">R64+Q63</f>
        <v>-925824690.32597339</v>
      </c>
      <c r="S63">
        <f t="shared" ref="S63" si="293">R63/100000</f>
        <v>-9258.2469032597346</v>
      </c>
      <c r="T63">
        <f t="shared" ref="T63" si="294">S63/1000</f>
        <v>-9.2582469032597352</v>
      </c>
    </row>
    <row r="64" spans="1:20" x14ac:dyDescent="0.25">
      <c r="A64" s="5">
        <v>44529</v>
      </c>
      <c r="B64">
        <v>0.39829999999999999</v>
      </c>
      <c r="C64">
        <v>0.47620000000000001</v>
      </c>
      <c r="D64">
        <v>0.38990000000000002</v>
      </c>
      <c r="E64">
        <v>0.43930000000000002</v>
      </c>
      <c r="F64">
        <v>175177426</v>
      </c>
      <c r="G64">
        <v>0.43930000000000002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0.14484356894553896</v>
      </c>
      <c r="Q64">
        <f t="shared" ref="Q64" si="296">F64*P64</f>
        <v>25373323.58053305</v>
      </c>
      <c r="R64">
        <f t="shared" ref="R64" si="297">R65+Q64</f>
        <v>-910336784.77467179</v>
      </c>
      <c r="S64">
        <f t="shared" ref="S64" si="298">R64/100000</f>
        <v>-9103.3678477467183</v>
      </c>
      <c r="T64">
        <f t="shared" ref="T64" si="299">S64/1000</f>
        <v>-9.1033678477467177</v>
      </c>
    </row>
    <row r="65" spans="1:20" x14ac:dyDescent="0.25">
      <c r="A65" s="5">
        <v>44528</v>
      </c>
      <c r="B65">
        <v>0.39029999999999998</v>
      </c>
      <c r="C65">
        <v>0.39900000000000002</v>
      </c>
      <c r="D65">
        <v>0.35189999999999999</v>
      </c>
      <c r="E65">
        <v>0.3982</v>
      </c>
      <c r="F65">
        <v>45649590</v>
      </c>
      <c r="G65">
        <v>0.3982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0.96602972399150644</v>
      </c>
      <c r="Q65">
        <f t="shared" ref="Q65" si="301">F65*P65</f>
        <v>44098860.82802543</v>
      </c>
      <c r="R65">
        <f t="shared" ref="R65" si="302">R66+Q65</f>
        <v>-935710108.35520482</v>
      </c>
      <c r="S65">
        <f t="shared" ref="S65" si="303">R65/100000</f>
        <v>-9357.1010835520483</v>
      </c>
      <c r="T65">
        <f t="shared" ref="T65" si="304">S65/1000</f>
        <v>-9.3571010835520489</v>
      </c>
    </row>
    <row r="66" spans="1:20" x14ac:dyDescent="0.25">
      <c r="A66" s="5">
        <v>44527</v>
      </c>
      <c r="B66">
        <v>0.38869999999999999</v>
      </c>
      <c r="C66">
        <v>0.41010000000000002</v>
      </c>
      <c r="D66">
        <v>0.38419999999999999</v>
      </c>
      <c r="E66">
        <v>0.39069999999999999</v>
      </c>
      <c r="F66">
        <v>32159283</v>
      </c>
      <c r="G66">
        <v>0.39069999999999999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-0.4980694980694983</v>
      </c>
      <c r="Q66">
        <f t="shared" ref="Q66" si="306">F66*P66</f>
        <v>-16017557.942084949</v>
      </c>
      <c r="R66">
        <f t="shared" ref="R66" si="307">R67+Q66</f>
        <v>-979808969.18323028</v>
      </c>
      <c r="S66">
        <f t="shared" ref="S66" si="308">R66/100000</f>
        <v>-9798.0896918323033</v>
      </c>
      <c r="T66">
        <f t="shared" ref="T66" si="309">S66/1000</f>
        <v>-9.7980896918323026</v>
      </c>
    </row>
    <row r="67" spans="1:20" x14ac:dyDescent="0.25">
      <c r="A67" s="5">
        <v>44526</v>
      </c>
      <c r="B67">
        <v>0.44890000000000002</v>
      </c>
      <c r="C67">
        <v>0.45269999999999999</v>
      </c>
      <c r="D67">
        <v>0.37059999999999998</v>
      </c>
      <c r="E67">
        <v>0.3886</v>
      </c>
      <c r="F67">
        <v>90663490</v>
      </c>
      <c r="G67">
        <v>0.3886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-0.56151035322777065</v>
      </c>
      <c r="Q67">
        <f t="shared" ref="Q67" si="311">F67*P67</f>
        <v>-50908488.294762455</v>
      </c>
      <c r="R67">
        <f t="shared" ref="R67" si="312">R68+Q67</f>
        <v>-963791411.24114537</v>
      </c>
      <c r="S67">
        <f t="shared" ref="S67" si="313">R67/100000</f>
        <v>-9637.914112411454</v>
      </c>
      <c r="T67">
        <f t="shared" ref="T67" si="314">S67/1000</f>
        <v>-9.6379141124114547</v>
      </c>
    </row>
    <row r="68" spans="1:20" x14ac:dyDescent="0.25">
      <c r="A68" s="5">
        <v>44525</v>
      </c>
      <c r="B68">
        <v>0.41260000000000002</v>
      </c>
      <c r="C68">
        <v>0.46129999999999999</v>
      </c>
      <c r="D68">
        <v>0.40679999999999999</v>
      </c>
      <c r="E68">
        <v>0.44819999999999999</v>
      </c>
      <c r="F68">
        <v>85327024</v>
      </c>
      <c r="G68">
        <v>0.44819999999999999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0.51926605504587142</v>
      </c>
      <c r="Q68">
        <f t="shared" ref="Q68" si="316">F68*P68</f>
        <v>44307427.141284391</v>
      </c>
      <c r="R68">
        <f t="shared" ref="R68" si="317">R69+Q68</f>
        <v>-912882922.94638288</v>
      </c>
      <c r="S68">
        <f t="shared" ref="S68" si="318">R68/100000</f>
        <v>-9128.8292294638286</v>
      </c>
      <c r="T68">
        <f t="shared" ref="T68" si="319">S68/1000</f>
        <v>-9.1288292294638289</v>
      </c>
    </row>
    <row r="69" spans="1:20" x14ac:dyDescent="0.25">
      <c r="A69" s="5">
        <v>44524</v>
      </c>
      <c r="B69">
        <v>0.43130000000000002</v>
      </c>
      <c r="C69">
        <v>0.432</v>
      </c>
      <c r="D69">
        <v>0.41349999999999998</v>
      </c>
      <c r="E69">
        <v>0.4219</v>
      </c>
      <c r="F69">
        <v>12221243</v>
      </c>
      <c r="G69">
        <v>0.4219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-9.189189189189069E-2</v>
      </c>
      <c r="Q69">
        <f t="shared" ref="Q69" si="321">F69*P69</f>
        <v>-1123033.1405405258</v>
      </c>
      <c r="R69">
        <f t="shared" ref="R69" si="322">R70+Q69</f>
        <v>-957190350.08766723</v>
      </c>
      <c r="S69">
        <f t="shared" ref="S69" si="323">R69/100000</f>
        <v>-9571.9035008766714</v>
      </c>
      <c r="T69">
        <f t="shared" ref="T69" si="324">S69/1000</f>
        <v>-9.5719035008766706</v>
      </c>
    </row>
    <row r="70" spans="1:20" x14ac:dyDescent="0.25">
      <c r="A70" s="5">
        <v>44523</v>
      </c>
      <c r="B70">
        <v>0.41089999999999999</v>
      </c>
      <c r="C70">
        <v>0.44600000000000001</v>
      </c>
      <c r="D70">
        <v>0.40679999999999999</v>
      </c>
      <c r="E70">
        <v>0.43109999999999998</v>
      </c>
      <c r="F70">
        <v>47346791</v>
      </c>
      <c r="G70">
        <v>0.43109999999999998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0.23979591836734593</v>
      </c>
      <c r="Q70">
        <f t="shared" ref="Q70" si="326">F70*P70</f>
        <v>11353567.229591789</v>
      </c>
      <c r="R70">
        <f t="shared" ref="R70" si="327">R71+Q70</f>
        <v>-956067316.94712675</v>
      </c>
      <c r="S70">
        <f t="shared" ref="S70" si="328">R70/100000</f>
        <v>-9560.6731694712671</v>
      </c>
      <c r="T70">
        <f t="shared" ref="T70" si="329">S70/1000</f>
        <v>-9.5606731694712668</v>
      </c>
    </row>
    <row r="71" spans="1:20" x14ac:dyDescent="0.25">
      <c r="A71" s="5">
        <v>44522</v>
      </c>
      <c r="B71">
        <v>0.438</v>
      </c>
      <c r="C71">
        <v>0.44290000000000002</v>
      </c>
      <c r="D71">
        <v>0.40500000000000003</v>
      </c>
      <c r="E71">
        <v>0.41139999999999999</v>
      </c>
      <c r="F71">
        <v>43617287</v>
      </c>
      <c r="G71">
        <v>0.41139999999999999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-0.66226912928760084</v>
      </c>
      <c r="Q71">
        <f t="shared" ref="Q71" si="331">F71*P71</f>
        <v>-28886382.683377393</v>
      </c>
      <c r="R71">
        <f t="shared" ref="R71" si="332">R72+Q71</f>
        <v>-967420884.17671859</v>
      </c>
      <c r="S71">
        <f t="shared" ref="S71" si="333">R71/100000</f>
        <v>-9674.2088417671857</v>
      </c>
      <c r="T71">
        <f t="shared" ref="T71" si="334">S71/1000</f>
        <v>-9.6742088417671859</v>
      </c>
    </row>
    <row r="72" spans="1:20" x14ac:dyDescent="0.25">
      <c r="A72" s="5">
        <v>44521</v>
      </c>
      <c r="B72">
        <v>0.45760000000000001</v>
      </c>
      <c r="C72">
        <v>0.45910000000000001</v>
      </c>
      <c r="D72">
        <v>0.43609999999999999</v>
      </c>
      <c r="E72">
        <v>0.43780000000000002</v>
      </c>
      <c r="F72">
        <v>28114040</v>
      </c>
      <c r="G72">
        <v>0.43780000000000002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-0.85217391304347534</v>
      </c>
      <c r="Q72">
        <f t="shared" ref="Q72" si="336">F72*P72</f>
        <v>-23958051.478260789</v>
      </c>
      <c r="R72">
        <f t="shared" ref="R72" si="337">R73+Q72</f>
        <v>-938534501.49334121</v>
      </c>
      <c r="S72">
        <f t="shared" ref="S72" si="338">R72/100000</f>
        <v>-9385.3450149334112</v>
      </c>
      <c r="T72">
        <f t="shared" ref="T72" si="339">S72/1000</f>
        <v>-9.3853450149334119</v>
      </c>
    </row>
    <row r="73" spans="1:20" x14ac:dyDescent="0.25">
      <c r="A73" s="5">
        <v>44520</v>
      </c>
      <c r="B73">
        <v>0.43619999999999998</v>
      </c>
      <c r="C73">
        <v>0.46870000000000001</v>
      </c>
      <c r="D73">
        <v>0.43109999999999998</v>
      </c>
      <c r="E73">
        <v>0.45750000000000002</v>
      </c>
      <c r="F73">
        <v>38768457</v>
      </c>
      <c r="G73">
        <v>0.45750000000000002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0.4042553191489372</v>
      </c>
      <c r="Q73">
        <f t="shared" ref="Q73" si="341">F73*P73</f>
        <v>15672354.957446849</v>
      </c>
      <c r="R73">
        <f t="shared" ref="R73" si="342">R74+Q73</f>
        <v>-914576450.01508045</v>
      </c>
      <c r="S73">
        <f t="shared" ref="S73" si="343">R73/100000</f>
        <v>-9145.7645001508045</v>
      </c>
      <c r="T73">
        <f t="shared" ref="T73" si="344">S73/1000</f>
        <v>-9.1457645001508041</v>
      </c>
    </row>
    <row r="74" spans="1:20" x14ac:dyDescent="0.25">
      <c r="A74" s="5">
        <v>44519</v>
      </c>
      <c r="B74">
        <v>0.41909999999999997</v>
      </c>
      <c r="C74">
        <v>0.4531</v>
      </c>
      <c r="D74">
        <v>0.41239999999999999</v>
      </c>
      <c r="E74">
        <v>0.4365</v>
      </c>
      <c r="F74">
        <v>32121727</v>
      </c>
      <c r="G74">
        <v>0.4365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0.18427518427518438</v>
      </c>
      <c r="Q74">
        <f t="shared" ref="Q74" si="346">F74*P74</f>
        <v>5919237.1621621661</v>
      </c>
      <c r="R74">
        <f t="shared" ref="R74" si="347">R75+Q74</f>
        <v>-930248804.97252727</v>
      </c>
      <c r="S74">
        <f t="shared" ref="S74" si="348">R74/100000</f>
        <v>-9302.4880497252725</v>
      </c>
      <c r="T74">
        <f t="shared" ref="T74" si="349">S74/1000</f>
        <v>-9.3024880497252731</v>
      </c>
    </row>
    <row r="75" spans="1:20" x14ac:dyDescent="0.25">
      <c r="A75" s="5">
        <v>44518</v>
      </c>
      <c r="B75">
        <v>0.46839999999999998</v>
      </c>
      <c r="C75">
        <v>0.47510000000000002</v>
      </c>
      <c r="D75">
        <v>0.4002</v>
      </c>
      <c r="E75">
        <v>0.41909999999999997</v>
      </c>
      <c r="F75">
        <v>42448914</v>
      </c>
      <c r="G75">
        <v>0.41909999999999997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-0.49532710280373921</v>
      </c>
      <c r="Q75">
        <f t="shared" ref="Q75" si="351">F75*P75</f>
        <v>-21026097.588785086</v>
      </c>
      <c r="R75">
        <f t="shared" ref="R75" si="352">R76+Q75</f>
        <v>-936168042.13468945</v>
      </c>
      <c r="S75">
        <f t="shared" ref="S75" si="353">R75/100000</f>
        <v>-9361.6804213468949</v>
      </c>
      <c r="T75">
        <f t="shared" ref="T75" si="354">S75/1000</f>
        <v>-9.3616804213468949</v>
      </c>
    </row>
    <row r="76" spans="1:20" x14ac:dyDescent="0.25">
      <c r="A76" s="5">
        <v>44517</v>
      </c>
      <c r="B76">
        <v>0.45679999999999998</v>
      </c>
      <c r="C76">
        <v>0.4783</v>
      </c>
      <c r="D76">
        <v>0.44379999999999997</v>
      </c>
      <c r="E76">
        <v>0.46800000000000003</v>
      </c>
      <c r="F76">
        <v>39552842</v>
      </c>
      <c r="G76">
        <v>0.46800000000000003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0.40289855072463959</v>
      </c>
      <c r="Q76">
        <f t="shared" ref="Q76" si="356">F76*P76</f>
        <v>15935782.718840655</v>
      </c>
      <c r="R76">
        <f t="shared" ref="R76" si="357">R77+Q76</f>
        <v>-915141944.5459044</v>
      </c>
      <c r="S76">
        <f t="shared" ref="S76" si="358">R76/100000</f>
        <v>-9151.4194454590433</v>
      </c>
      <c r="T76">
        <f t="shared" ref="T76" si="359">S76/1000</f>
        <v>-9.1514194454590427</v>
      </c>
    </row>
    <row r="77" spans="1:20" x14ac:dyDescent="0.25">
      <c r="A77" s="5">
        <v>44516</v>
      </c>
      <c r="B77">
        <v>0.4965</v>
      </c>
      <c r="C77">
        <v>0.4965</v>
      </c>
      <c r="D77">
        <v>0.41299999999999998</v>
      </c>
      <c r="E77">
        <v>0.45639999999999997</v>
      </c>
      <c r="F77">
        <v>90218058</v>
      </c>
      <c r="G77">
        <v>0.45639999999999997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3.9520958083831964E-2</v>
      </c>
      <c r="Q77">
        <f t="shared" ref="Q77" si="361">F77*P77</f>
        <v>3565504.0886227209</v>
      </c>
      <c r="R77">
        <f t="shared" ref="R77" si="362">R78+Q77</f>
        <v>-931077727.264745</v>
      </c>
      <c r="S77">
        <f t="shared" ref="S77" si="363">R77/100000</f>
        <v>-9310.7772726474504</v>
      </c>
      <c r="T77">
        <f t="shared" ref="T77" si="364">S77/1000</f>
        <v>-9.3107772726474511</v>
      </c>
    </row>
    <row r="78" spans="1:20" x14ac:dyDescent="0.25">
      <c r="A78" s="5">
        <v>44515</v>
      </c>
      <c r="B78">
        <v>0.52259999999999995</v>
      </c>
      <c r="C78">
        <v>0.53359999999999996</v>
      </c>
      <c r="D78">
        <v>0.49</v>
      </c>
      <c r="E78">
        <v>0.49609999999999999</v>
      </c>
      <c r="F78">
        <v>53504322</v>
      </c>
      <c r="G78">
        <v>0.49609999999999999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-0.72018348623853223</v>
      </c>
      <c r="Q78">
        <f t="shared" ref="Q78" si="366">F78*P78</f>
        <v>-38532929.146788999</v>
      </c>
      <c r="R78">
        <f t="shared" ref="R78" si="367">R79+Q78</f>
        <v>-934643231.35336769</v>
      </c>
      <c r="S78">
        <f t="shared" ref="S78" si="368">R78/100000</f>
        <v>-9346.4323135336763</v>
      </c>
      <c r="T78">
        <f t="shared" ref="T78" si="369">S78/1000</f>
        <v>-9.3464323135336755</v>
      </c>
    </row>
    <row r="79" spans="1:20" x14ac:dyDescent="0.25">
      <c r="A79" s="5">
        <v>44514</v>
      </c>
      <c r="B79">
        <v>0.53769999999999996</v>
      </c>
      <c r="C79">
        <v>0.54169999999999996</v>
      </c>
      <c r="D79">
        <v>0.50519999999999998</v>
      </c>
      <c r="E79">
        <v>0.52249999999999996</v>
      </c>
      <c r="F79">
        <v>40046360</v>
      </c>
      <c r="G79">
        <v>0.52249999999999996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-5.2054794520548328E-2</v>
      </c>
      <c r="Q79">
        <f t="shared" ref="Q79" si="371">F79*P79</f>
        <v>-2084605.0410959057</v>
      </c>
      <c r="R79">
        <f t="shared" ref="R79" si="372">R80+Q79</f>
        <v>-896110302.20657873</v>
      </c>
      <c r="S79">
        <f t="shared" ref="S79" si="373">R79/100000</f>
        <v>-8961.1030220657867</v>
      </c>
      <c r="T79">
        <f t="shared" ref="T79" si="374">S79/1000</f>
        <v>-8.961103022065787</v>
      </c>
    </row>
    <row r="80" spans="1:20" x14ac:dyDescent="0.25">
      <c r="A80" s="5">
        <v>44513</v>
      </c>
      <c r="B80">
        <v>0.49980000000000002</v>
      </c>
      <c r="C80">
        <v>0.54469999999999996</v>
      </c>
      <c r="D80">
        <v>0.49320000000000003</v>
      </c>
      <c r="E80">
        <v>0.53779999999999994</v>
      </c>
      <c r="F80">
        <v>49746610</v>
      </c>
      <c r="G80">
        <v>0.53779999999999994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0.73203883495145528</v>
      </c>
      <c r="Q80">
        <f t="shared" ref="Q80" si="376">F80*P80</f>
        <v>36416450.427184418</v>
      </c>
      <c r="R80">
        <f t="shared" ref="R80" si="377">R81+Q80</f>
        <v>-894025697.16548288</v>
      </c>
      <c r="S80">
        <f t="shared" ref="S80" si="378">R80/100000</f>
        <v>-8940.2569716548296</v>
      </c>
      <c r="T80">
        <f t="shared" ref="T80" si="379">S80/1000</f>
        <v>-8.9402569716548292</v>
      </c>
    </row>
    <row r="81" spans="1:20" x14ac:dyDescent="0.25">
      <c r="A81" s="5">
        <v>44512</v>
      </c>
      <c r="B81">
        <v>0.51349999999999996</v>
      </c>
      <c r="C81">
        <v>0.52059999999999995</v>
      </c>
      <c r="D81">
        <v>0.4824</v>
      </c>
      <c r="E81">
        <v>0.49940000000000001</v>
      </c>
      <c r="F81">
        <v>52025457</v>
      </c>
      <c r="G81">
        <v>0.49940000000000001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-0.10994764397905578</v>
      </c>
      <c r="Q81">
        <f t="shared" ref="Q81" si="381">F81*P81</f>
        <v>-5720076.4240836753</v>
      </c>
      <c r="R81">
        <f t="shared" ref="R81" si="382">R82+Q81</f>
        <v>-930442147.59266734</v>
      </c>
      <c r="S81">
        <f t="shared" ref="S81" si="383">R81/100000</f>
        <v>-9304.4214759266742</v>
      </c>
      <c r="T81">
        <f t="shared" ref="T81" si="384">S81/1000</f>
        <v>-9.3044214759266737</v>
      </c>
    </row>
    <row r="82" spans="1:20" x14ac:dyDescent="0.25">
      <c r="A82" s="5">
        <v>44511</v>
      </c>
      <c r="B82">
        <v>0.51600000000000001</v>
      </c>
      <c r="C82">
        <v>0.53990000000000005</v>
      </c>
      <c r="D82">
        <v>0.505</v>
      </c>
      <c r="E82">
        <v>0.51339999999999997</v>
      </c>
      <c r="F82">
        <v>88141463</v>
      </c>
      <c r="G82">
        <v>0.51339999999999997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-0.51862464183381363</v>
      </c>
      <c r="Q82">
        <f t="shared" ref="Q82" si="386">F82*P82</f>
        <v>-45712334.679083332</v>
      </c>
      <c r="R82">
        <f t="shared" ref="R82" si="387">R83+Q82</f>
        <v>-924722071.16858363</v>
      </c>
      <c r="S82">
        <f t="shared" ref="S82" si="388">R82/100000</f>
        <v>-9247.2207116858372</v>
      </c>
      <c r="T82">
        <f t="shared" ref="T82" si="389">S82/1000</f>
        <v>-9.2472207116858378</v>
      </c>
    </row>
    <row r="83" spans="1:20" x14ac:dyDescent="0.25">
      <c r="A83" s="5">
        <v>44510</v>
      </c>
      <c r="B83">
        <v>0.5696</v>
      </c>
      <c r="C83">
        <v>0.58020000000000005</v>
      </c>
      <c r="D83">
        <v>0.4677</v>
      </c>
      <c r="E83">
        <v>0.51649999999999996</v>
      </c>
      <c r="F83">
        <v>99668303</v>
      </c>
      <c r="G83">
        <v>0.51649999999999996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-0.13244444444444559</v>
      </c>
      <c r="Q83">
        <f t="shared" ref="Q83" si="391">F83*P83</f>
        <v>-13200513.019555669</v>
      </c>
      <c r="R83">
        <f t="shared" ref="R83" si="392">R84+Q83</f>
        <v>-879009736.48950028</v>
      </c>
      <c r="S83">
        <f t="shared" ref="S83" si="393">R83/100000</f>
        <v>-8790.0973648950021</v>
      </c>
      <c r="T83">
        <f t="shared" ref="T83" si="394">S83/1000</f>
        <v>-8.7900973648950025</v>
      </c>
    </row>
    <row r="84" spans="1:20" x14ac:dyDescent="0.25">
      <c r="A84" s="5">
        <v>44509</v>
      </c>
      <c r="B84">
        <v>0.56950000000000001</v>
      </c>
      <c r="C84">
        <v>0.5917</v>
      </c>
      <c r="D84">
        <v>0.54120000000000001</v>
      </c>
      <c r="E84">
        <v>0.56930000000000003</v>
      </c>
      <c r="F84">
        <v>91286397</v>
      </c>
      <c r="G84">
        <v>0.56930000000000003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0.11287128712871365</v>
      </c>
      <c r="Q84">
        <f t="shared" ref="Q84" si="396">F84*P84</f>
        <v>10303613.126732744</v>
      </c>
      <c r="R84">
        <f t="shared" ref="R84" si="397">R85+Q84</f>
        <v>-865809223.4699446</v>
      </c>
      <c r="S84">
        <f t="shared" ref="S84" si="398">R84/100000</f>
        <v>-8658.0922346994466</v>
      </c>
      <c r="T84">
        <f t="shared" ref="T84" si="399">S84/1000</f>
        <v>-8.6580922346994473</v>
      </c>
    </row>
    <row r="85" spans="1:20" x14ac:dyDescent="0.25">
      <c r="A85" s="5">
        <v>44508</v>
      </c>
      <c r="B85">
        <v>0.53869999999999996</v>
      </c>
      <c r="C85">
        <v>0.57799999999999996</v>
      </c>
      <c r="D85">
        <v>0.52639999999999998</v>
      </c>
      <c r="E85">
        <v>0.56989999999999996</v>
      </c>
      <c r="F85">
        <v>63580633</v>
      </c>
      <c r="G85">
        <v>0.56989999999999996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0.68604651162790697</v>
      </c>
      <c r="Q85">
        <f t="shared" ref="Q85" si="401">F85*P85</f>
        <v>43619271.476744182</v>
      </c>
      <c r="R85">
        <f t="shared" ref="R85" si="402">R86+Q85</f>
        <v>-876112836.5966773</v>
      </c>
      <c r="S85">
        <f t="shared" ref="S85" si="403">R85/100000</f>
        <v>-8761.1283659667733</v>
      </c>
      <c r="T85">
        <f t="shared" ref="T85" si="404">S85/1000</f>
        <v>-8.7611283659667727</v>
      </c>
    </row>
    <row r="86" spans="1:20" x14ac:dyDescent="0.25">
      <c r="A86" s="5">
        <v>44507</v>
      </c>
      <c r="B86">
        <v>0.53920000000000001</v>
      </c>
      <c r="C86">
        <v>0.55410000000000004</v>
      </c>
      <c r="D86">
        <v>0.53369999999999995</v>
      </c>
      <c r="E86">
        <v>0.53849999999999998</v>
      </c>
      <c r="F86">
        <v>39919550</v>
      </c>
      <c r="G86">
        <v>0.53849999999999998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-0.52941176470588169</v>
      </c>
      <c r="Q86">
        <f t="shared" ref="Q86" si="406">F86*P86</f>
        <v>-21133879.411764681</v>
      </c>
      <c r="R86">
        <f t="shared" ref="R86" si="407">R87+Q86</f>
        <v>-919732108.07342148</v>
      </c>
      <c r="S86">
        <f t="shared" ref="S86" si="408">R86/100000</f>
        <v>-9197.3210807342148</v>
      </c>
      <c r="T86">
        <f t="shared" ref="T86" si="409">S86/1000</f>
        <v>-9.1973210807342145</v>
      </c>
    </row>
    <row r="87" spans="1:20" x14ac:dyDescent="0.25">
      <c r="A87" s="5">
        <v>44506</v>
      </c>
      <c r="B87">
        <v>0.54530000000000001</v>
      </c>
      <c r="C87">
        <v>0.55820000000000003</v>
      </c>
      <c r="D87">
        <v>0.51170000000000004</v>
      </c>
      <c r="E87">
        <v>0.53920000000000001</v>
      </c>
      <c r="F87">
        <v>51384110</v>
      </c>
      <c r="G87">
        <v>0.53920000000000001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0.18279569892473022</v>
      </c>
      <c r="Q87">
        <f t="shared" ref="Q87" si="411">F87*P87</f>
        <v>9392794.3010752182</v>
      </c>
      <c r="R87">
        <f t="shared" ref="R87" si="412">R88+Q87</f>
        <v>-898598228.66165686</v>
      </c>
      <c r="S87">
        <f t="shared" ref="S87" si="413">R87/100000</f>
        <v>-8985.9822866165687</v>
      </c>
      <c r="T87">
        <f t="shared" ref="T87" si="414">S87/1000</f>
        <v>-8.9859822866165686</v>
      </c>
    </row>
    <row r="88" spans="1:20" x14ac:dyDescent="0.25">
      <c r="A88" s="5">
        <v>44505</v>
      </c>
      <c r="B88">
        <v>0.56769999999999998</v>
      </c>
      <c r="C88">
        <v>0.58499999999999996</v>
      </c>
      <c r="D88">
        <v>0.53659999999999997</v>
      </c>
      <c r="E88">
        <v>0.54569999999999996</v>
      </c>
      <c r="F88">
        <v>61916646</v>
      </c>
      <c r="G88">
        <v>0.54569999999999996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-0.62396694214876047</v>
      </c>
      <c r="Q88">
        <f t="shared" ref="Q88" si="416">F88*P88</f>
        <v>-38633940.272727281</v>
      </c>
      <c r="R88">
        <f t="shared" ref="R88" si="417">R89+Q88</f>
        <v>-907991022.96273208</v>
      </c>
      <c r="S88">
        <f t="shared" ref="S88" si="418">R88/100000</f>
        <v>-9079.9102296273213</v>
      </c>
      <c r="T88">
        <f t="shared" ref="T88" si="419">S88/1000</f>
        <v>-9.0799102296273215</v>
      </c>
    </row>
    <row r="89" spans="1:20" x14ac:dyDescent="0.25">
      <c r="A89" s="5">
        <v>44504</v>
      </c>
      <c r="B89">
        <v>0.57769999999999999</v>
      </c>
      <c r="C89">
        <v>0.60399999999999998</v>
      </c>
      <c r="D89">
        <v>0.54879999999999995</v>
      </c>
      <c r="E89">
        <v>0.56810000000000005</v>
      </c>
      <c r="F89">
        <v>76004537</v>
      </c>
      <c r="G89">
        <v>0.56810000000000005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-0.30072463768115631</v>
      </c>
      <c r="Q89">
        <f t="shared" ref="Q89" si="421">F89*P89</f>
        <v>-22856436.851449039</v>
      </c>
      <c r="R89">
        <f t="shared" ref="R89" si="422">R90+Q89</f>
        <v>-869357082.69000483</v>
      </c>
      <c r="S89">
        <f t="shared" ref="S89" si="423">R89/100000</f>
        <v>-8693.5708269000479</v>
      </c>
      <c r="T89">
        <f t="shared" ref="T89" si="424">S89/1000</f>
        <v>-8.6935708269000482</v>
      </c>
    </row>
    <row r="90" spans="1:20" x14ac:dyDescent="0.25">
      <c r="A90" s="5">
        <v>44503</v>
      </c>
      <c r="B90">
        <v>0.61019999999999996</v>
      </c>
      <c r="C90">
        <v>0.61050000000000004</v>
      </c>
      <c r="D90">
        <v>0.55989999999999995</v>
      </c>
      <c r="E90">
        <v>0.5776</v>
      </c>
      <c r="F90">
        <v>81046750</v>
      </c>
      <c r="G90">
        <v>0.5776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-0.30039525691699537</v>
      </c>
      <c r="Q90">
        <f t="shared" ref="Q90" si="426">F90*P90</f>
        <v>-24346059.288537495</v>
      </c>
      <c r="R90">
        <f t="shared" ref="R90" si="427">R91+Q90</f>
        <v>-846500645.83855581</v>
      </c>
      <c r="S90">
        <f t="shared" ref="S90" si="428">R90/100000</f>
        <v>-8465.0064583855583</v>
      </c>
      <c r="T90">
        <f t="shared" ref="T90" si="429">S90/1000</f>
        <v>-8.4650064583855578</v>
      </c>
    </row>
    <row r="91" spans="1:20" x14ac:dyDescent="0.25">
      <c r="A91" s="5">
        <v>44502</v>
      </c>
      <c r="B91">
        <v>0.6472</v>
      </c>
      <c r="C91">
        <v>0.67</v>
      </c>
      <c r="D91">
        <v>0.60109999999999997</v>
      </c>
      <c r="E91">
        <v>0.61019999999999996</v>
      </c>
      <c r="F91">
        <v>140934786</v>
      </c>
      <c r="G91">
        <v>0.61019999999999996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-0.73584905660377398</v>
      </c>
      <c r="Q91">
        <f t="shared" ref="Q91" si="431">F91*P91</f>
        <v>-103706729.32075477</v>
      </c>
      <c r="R91">
        <f t="shared" ref="R91" si="432">R92+Q91</f>
        <v>-822154586.55001831</v>
      </c>
      <c r="S91">
        <f t="shared" ref="S91" si="433">R91/100000</f>
        <v>-8221.5458655001839</v>
      </c>
      <c r="T91">
        <f t="shared" ref="T91" si="434">S91/1000</f>
        <v>-8.2215458655001843</v>
      </c>
    </row>
    <row r="92" spans="1:20" x14ac:dyDescent="0.25">
      <c r="A92" s="5">
        <v>44501</v>
      </c>
      <c r="B92">
        <v>0.63900000000000001</v>
      </c>
      <c r="C92">
        <v>0.65939999999999999</v>
      </c>
      <c r="D92">
        <v>0.59399999999999997</v>
      </c>
      <c r="E92">
        <v>0.64759999999999995</v>
      </c>
      <c r="F92">
        <v>135630396</v>
      </c>
      <c r="G92">
        <v>0.64759999999999995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0.63914373088684928</v>
      </c>
      <c r="Q92">
        <f t="shared" ref="Q92" si="436">F92*P92</f>
        <v>86687317.321100801</v>
      </c>
      <c r="R92">
        <f t="shared" ref="R92" si="437">R93+Q92</f>
        <v>-718447857.22926354</v>
      </c>
      <c r="S92">
        <f t="shared" ref="S92" si="438">R92/100000</f>
        <v>-7184.4785722926354</v>
      </c>
      <c r="T92">
        <f t="shared" ref="T92" si="439">S92/1000</f>
        <v>-7.184478572292635</v>
      </c>
    </row>
    <row r="93" spans="1:20" x14ac:dyDescent="0.25">
      <c r="A93" s="5">
        <v>44500</v>
      </c>
      <c r="B93">
        <v>0.53390000000000004</v>
      </c>
      <c r="C93">
        <v>0.69399999999999995</v>
      </c>
      <c r="D93">
        <v>0.51729999999999998</v>
      </c>
      <c r="E93">
        <v>0.63929999999999998</v>
      </c>
      <c r="F93">
        <v>304775562</v>
      </c>
      <c r="G93">
        <v>0.63929999999999998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0.38087153367289212</v>
      </c>
      <c r="Q93">
        <f t="shared" ref="Q93" si="441">F93*P93</f>
        <v>116080335.72495762</v>
      </c>
      <c r="R93">
        <f t="shared" ref="R93" si="442">R94+Q93</f>
        <v>-805135174.55036438</v>
      </c>
      <c r="S93">
        <f t="shared" ref="S93" si="443">R93/100000</f>
        <v>-8051.3517455036435</v>
      </c>
      <c r="T93">
        <f t="shared" ref="T93" si="444">S93/1000</f>
        <v>-8.0513517455036432</v>
      </c>
    </row>
    <row r="94" spans="1:20" x14ac:dyDescent="0.25">
      <c r="A94" s="5">
        <v>44499</v>
      </c>
      <c r="B94">
        <v>0.59589999999999999</v>
      </c>
      <c r="C94">
        <v>0.60580000000000001</v>
      </c>
      <c r="D94">
        <v>0.52059999999999995</v>
      </c>
      <c r="E94">
        <v>0.53400000000000003</v>
      </c>
      <c r="F94">
        <v>84098743</v>
      </c>
      <c r="G94">
        <v>0.53400000000000003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-0.68544600938966971</v>
      </c>
      <c r="Q94">
        <f t="shared" ref="Q94" si="446">F94*P94</f>
        <v>-57645147.784037419</v>
      </c>
      <c r="R94">
        <f t="shared" ref="R94" si="447">R95+Q94</f>
        <v>-921215510.27532196</v>
      </c>
      <c r="S94">
        <f t="shared" ref="S94" si="448">R94/100000</f>
        <v>-9212.1551027532205</v>
      </c>
      <c r="T94">
        <f t="shared" ref="T94" si="449">S94/1000</f>
        <v>-9.2121551027532202</v>
      </c>
    </row>
    <row r="95" spans="1:20" x14ac:dyDescent="0.25">
      <c r="A95" s="5">
        <v>44498</v>
      </c>
      <c r="B95">
        <v>0.5665</v>
      </c>
      <c r="C95">
        <v>0.6</v>
      </c>
      <c r="D95">
        <v>0.54159999999999997</v>
      </c>
      <c r="E95">
        <v>0.59609999999999996</v>
      </c>
      <c r="F95">
        <v>148158772</v>
      </c>
      <c r="G95">
        <v>0.59609999999999996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0.86643835616438303</v>
      </c>
      <c r="Q95">
        <f t="shared" ref="Q95" si="451">F95*P95</f>
        <v>128370442.86301363</v>
      </c>
      <c r="R95">
        <f t="shared" ref="R95" si="452">R96+Q95</f>
        <v>-863570362.49128449</v>
      </c>
      <c r="S95">
        <f t="shared" ref="S95" si="453">R95/100000</f>
        <v>-8635.703624912845</v>
      </c>
      <c r="T95">
        <f t="shared" ref="T95" si="454">S95/1000</f>
        <v>-8.6357036249128445</v>
      </c>
    </row>
    <row r="96" spans="1:20" x14ac:dyDescent="0.25">
      <c r="A96" s="5">
        <v>44497</v>
      </c>
      <c r="B96">
        <v>0.4647</v>
      </c>
      <c r="C96">
        <v>0.5706</v>
      </c>
      <c r="D96">
        <v>0.45950000000000002</v>
      </c>
      <c r="E96">
        <v>0.56630000000000003</v>
      </c>
      <c r="F96">
        <v>193960030</v>
      </c>
      <c r="G96">
        <v>0.56630000000000003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0.92259225922592314</v>
      </c>
      <c r="Q96">
        <f t="shared" ref="Q96" si="456">F96*P96</f>
        <v>178946022.27722782</v>
      </c>
      <c r="R96">
        <f t="shared" ref="R96" si="457">R97+Q96</f>
        <v>-991940805.35429811</v>
      </c>
      <c r="S96">
        <f t="shared" ref="S96" si="458">R96/100000</f>
        <v>-9919.4080535429803</v>
      </c>
      <c r="T96">
        <f t="shared" ref="T96" si="459">S96/1000</f>
        <v>-9.9194080535429805</v>
      </c>
    </row>
    <row r="97" spans="1:20" x14ac:dyDescent="0.25">
      <c r="A97" s="5">
        <v>44496</v>
      </c>
      <c r="B97">
        <v>0.53979999999999995</v>
      </c>
      <c r="C97">
        <v>0.55330000000000001</v>
      </c>
      <c r="D97">
        <v>0.4254</v>
      </c>
      <c r="E97">
        <v>0.46460000000000001</v>
      </c>
      <c r="F97">
        <v>157677874</v>
      </c>
      <c r="G97">
        <v>0.46460000000000001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-0.38702111024237673</v>
      </c>
      <c r="Q97">
        <f t="shared" ref="Q97" si="461">F97*P97</f>
        <v>-61024665.856137589</v>
      </c>
      <c r="R97">
        <f t="shared" ref="R97" si="462">R98+Q97</f>
        <v>-1170886827.631526</v>
      </c>
      <c r="S97">
        <f t="shared" ref="S97" si="463">R97/100000</f>
        <v>-11708.868276315259</v>
      </c>
      <c r="T97">
        <f t="shared" ref="T97" si="464">S97/1000</f>
        <v>-11.708868276315259</v>
      </c>
    </row>
    <row r="98" spans="1:20" x14ac:dyDescent="0.25">
      <c r="A98" s="5">
        <v>44495</v>
      </c>
      <c r="B98">
        <v>0.52400000000000002</v>
      </c>
      <c r="C98">
        <v>0.57589999999999997</v>
      </c>
      <c r="D98">
        <v>0.52190000000000003</v>
      </c>
      <c r="E98">
        <v>0.53959999999999997</v>
      </c>
      <c r="F98">
        <v>125156684</v>
      </c>
      <c r="G98">
        <v>0.53959999999999997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-0.344444444444446</v>
      </c>
      <c r="Q98">
        <f t="shared" ref="Q98" si="466">F98*P98</f>
        <v>-43109524.488889083</v>
      </c>
      <c r="R98">
        <f t="shared" ref="R98" si="467">R99+Q98</f>
        <v>-1109862161.7753885</v>
      </c>
      <c r="S98">
        <f t="shared" ref="S98" si="468">R98/100000</f>
        <v>-11098.621617753884</v>
      </c>
      <c r="T98">
        <f t="shared" ref="T98" si="469">S98/1000</f>
        <v>-11.098621617753885</v>
      </c>
    </row>
    <row r="99" spans="1:20" x14ac:dyDescent="0.25">
      <c r="A99" s="5">
        <v>44494</v>
      </c>
      <c r="B99">
        <v>0.49830000000000002</v>
      </c>
      <c r="C99">
        <v>0.53200000000000003</v>
      </c>
      <c r="D99">
        <v>0.49509999999999998</v>
      </c>
      <c r="E99">
        <v>0.52400000000000002</v>
      </c>
      <c r="F99">
        <v>91985733</v>
      </c>
      <c r="G99">
        <v>0.52400000000000002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0.56639566395663965</v>
      </c>
      <c r="Q99">
        <f t="shared" ref="Q99" si="471">F99*P99</f>
        <v>52100320.317073181</v>
      </c>
      <c r="R99">
        <f t="shared" ref="R99" si="472">R100+Q99</f>
        <v>-1066752637.2864994</v>
      </c>
      <c r="S99">
        <f t="shared" ref="S99" si="473">R99/100000</f>
        <v>-10667.526372864993</v>
      </c>
      <c r="T99">
        <f t="shared" ref="T99" si="474">S99/1000</f>
        <v>-10.667526372864993</v>
      </c>
    </row>
    <row r="100" spans="1:20" x14ac:dyDescent="0.25">
      <c r="A100" s="5">
        <v>44493</v>
      </c>
      <c r="B100">
        <v>0.52310000000000001</v>
      </c>
      <c r="C100">
        <v>0.52449999999999997</v>
      </c>
      <c r="D100">
        <v>0.47249999999999998</v>
      </c>
      <c r="E100">
        <v>0.49859999999999999</v>
      </c>
      <c r="F100">
        <v>78088759</v>
      </c>
      <c r="G100">
        <v>0.49859999999999999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3.8461538461544908E-3</v>
      </c>
      <c r="Q100">
        <f t="shared" ref="Q100" si="476">F100*P100</f>
        <v>300341.38076928112</v>
      </c>
      <c r="R100">
        <f t="shared" ref="R100" si="477">R101+Q100</f>
        <v>-1118852957.6035726</v>
      </c>
      <c r="S100">
        <f t="shared" ref="S100" si="478">R100/100000</f>
        <v>-11188.529576035726</v>
      </c>
      <c r="T100">
        <f t="shared" ref="T100" si="479">S100/1000</f>
        <v>-11.188529576035727</v>
      </c>
    </row>
    <row r="101" spans="1:20" x14ac:dyDescent="0.25">
      <c r="A101" s="5">
        <v>44492</v>
      </c>
      <c r="B101">
        <v>0.53149999999999997</v>
      </c>
      <c r="C101">
        <v>0.54890000000000005</v>
      </c>
      <c r="D101">
        <v>0.51519999999999999</v>
      </c>
      <c r="E101">
        <v>0.52310000000000001</v>
      </c>
      <c r="F101">
        <v>44747448</v>
      </c>
      <c r="G101">
        <v>0.52310000000000001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-0.53115727002967339</v>
      </c>
      <c r="Q101">
        <f t="shared" ref="Q101" si="481">F101*P101</f>
        <v>-23767932.32047477</v>
      </c>
      <c r="R101">
        <f t="shared" ref="R101" si="482">R102+Q101</f>
        <v>-1119153298.9843419</v>
      </c>
      <c r="S101">
        <f t="shared" ref="S101" si="483">R101/100000</f>
        <v>-11191.532989843419</v>
      </c>
      <c r="T101">
        <f t="shared" ref="T101" si="484">S101/1000</f>
        <v>-11.19153298984342</v>
      </c>
    </row>
    <row r="102" spans="1:20" x14ac:dyDescent="0.25">
      <c r="A102" s="5">
        <v>44491</v>
      </c>
      <c r="B102">
        <v>0.50990000000000002</v>
      </c>
      <c r="C102">
        <v>0.56110000000000004</v>
      </c>
      <c r="D102">
        <v>0.50900000000000001</v>
      </c>
      <c r="E102">
        <v>0.53149999999999997</v>
      </c>
      <c r="F102">
        <v>96415366</v>
      </c>
      <c r="G102">
        <v>0.53149999999999997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-0.13627639155470445</v>
      </c>
      <c r="Q102">
        <f t="shared" ref="Q102" si="486">F102*P102</f>
        <v>-13139138.168906137</v>
      </c>
      <c r="R102">
        <f t="shared" ref="R102" si="487">R103+Q102</f>
        <v>-1095385366.663867</v>
      </c>
      <c r="S102">
        <f t="shared" ref="S102" si="488">R102/100000</f>
        <v>-10953.85366663867</v>
      </c>
      <c r="T102">
        <f t="shared" ref="T102" si="489">S102/1000</f>
        <v>-10.95385366663867</v>
      </c>
    </row>
    <row r="103" spans="1:20" x14ac:dyDescent="0.25">
      <c r="A103" s="5">
        <v>44490</v>
      </c>
      <c r="B103">
        <v>0.50390000000000001</v>
      </c>
      <c r="C103">
        <v>0.54079999999999995</v>
      </c>
      <c r="D103">
        <v>0.49690000000000001</v>
      </c>
      <c r="E103">
        <v>0.50980000000000003</v>
      </c>
      <c r="F103">
        <v>87458723</v>
      </c>
      <c r="G103">
        <v>0.50980000000000003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-0.41230068337129655</v>
      </c>
      <c r="Q103">
        <f t="shared" ref="Q103" si="491">F103*P103</f>
        <v>-36059291.259680934</v>
      </c>
      <c r="R103">
        <f t="shared" ref="R103" si="492">R104+Q103</f>
        <v>-1082246228.4949608</v>
      </c>
      <c r="S103">
        <f t="shared" ref="S103" si="493">R103/100000</f>
        <v>-10822.462284949608</v>
      </c>
      <c r="T103">
        <f t="shared" ref="T103" si="494">S103/1000</f>
        <v>-10.822462284949609</v>
      </c>
    </row>
    <row r="104" spans="1:20" x14ac:dyDescent="0.25">
      <c r="A104" s="5">
        <v>44489</v>
      </c>
      <c r="B104">
        <v>0.4904</v>
      </c>
      <c r="C104">
        <v>0.51800000000000002</v>
      </c>
      <c r="D104">
        <v>0.4824</v>
      </c>
      <c r="E104">
        <v>0.50370000000000004</v>
      </c>
      <c r="F104">
        <v>63280314</v>
      </c>
      <c r="G104">
        <v>0.50370000000000004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0.19662921348314769</v>
      </c>
      <c r="Q104">
        <f t="shared" ref="Q104" si="496">F104*P104</f>
        <v>12442758.370786618</v>
      </c>
      <c r="R104">
        <f t="shared" ref="R104" si="497">R105+Q104</f>
        <v>-1046186937.2352798</v>
      </c>
      <c r="S104">
        <f t="shared" ref="S104" si="498">R104/100000</f>
        <v>-10461.869372352798</v>
      </c>
      <c r="T104">
        <f t="shared" ref="T104" si="499">S104/1000</f>
        <v>-10.461869372352798</v>
      </c>
    </row>
    <row r="105" spans="1:20" x14ac:dyDescent="0.25">
      <c r="A105" s="5">
        <v>44488</v>
      </c>
      <c r="B105">
        <v>0.48130000000000001</v>
      </c>
      <c r="C105">
        <v>0.50729999999999997</v>
      </c>
      <c r="D105">
        <v>0.47460000000000002</v>
      </c>
      <c r="E105">
        <v>0.49049999999999999</v>
      </c>
      <c r="F105">
        <v>59652681</v>
      </c>
      <c r="G105">
        <v>0.49049999999999999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-2.7522935779816918E-2</v>
      </c>
      <c r="Q105">
        <f t="shared" ref="Q105" si="501">F105*P105</f>
        <v>-1641816.9082569049</v>
      </c>
      <c r="R105">
        <f t="shared" ref="R105" si="502">R106+Q105</f>
        <v>-1058629695.6060665</v>
      </c>
      <c r="S105">
        <f t="shared" ref="S105" si="503">R105/100000</f>
        <v>-10586.296956060665</v>
      </c>
      <c r="T105">
        <f t="shared" ref="T105" si="504">S105/1000</f>
        <v>-10.586296956060666</v>
      </c>
    </row>
    <row r="106" spans="1:20" x14ac:dyDescent="0.25">
      <c r="A106" s="5">
        <v>44487</v>
      </c>
      <c r="B106">
        <v>0.49049999999999999</v>
      </c>
      <c r="C106">
        <v>0.49780000000000002</v>
      </c>
      <c r="D106">
        <v>0.46850000000000003</v>
      </c>
      <c r="E106">
        <v>0.48130000000000001</v>
      </c>
      <c r="F106">
        <v>41242908</v>
      </c>
      <c r="G106">
        <v>0.48130000000000001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-0.12627986348122994</v>
      </c>
      <c r="Q106">
        <f t="shared" ref="Q106" si="506">F106*P106</f>
        <v>-5208148.7918089256</v>
      </c>
      <c r="R106">
        <f t="shared" ref="R106" si="507">R107+Q106</f>
        <v>-1056987878.6978096</v>
      </c>
      <c r="S106">
        <f t="shared" ref="S106" si="508">R106/100000</f>
        <v>-10569.878786978095</v>
      </c>
      <c r="T106">
        <f t="shared" ref="T106" si="509">S106/1000</f>
        <v>-10.569878786978096</v>
      </c>
    </row>
    <row r="107" spans="1:20" x14ac:dyDescent="0.25">
      <c r="A107" s="5">
        <v>44486</v>
      </c>
      <c r="B107">
        <v>0.50380000000000003</v>
      </c>
      <c r="C107">
        <v>0.51070000000000004</v>
      </c>
      <c r="D107">
        <v>0.46879999999999999</v>
      </c>
      <c r="E107">
        <v>0.49020000000000002</v>
      </c>
      <c r="F107">
        <v>42965907</v>
      </c>
      <c r="G107">
        <v>0.49020000000000002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2.1479713603818874E-2</v>
      </c>
      <c r="Q107">
        <f t="shared" ref="Q107" si="511">F107*P107</f>
        <v>922895.3770883166</v>
      </c>
      <c r="R107">
        <f t="shared" ref="R107" si="512">R108+Q107</f>
        <v>-1051779729.9060006</v>
      </c>
      <c r="S107">
        <f t="shared" ref="S107" si="513">R107/100000</f>
        <v>-10517.797299060006</v>
      </c>
      <c r="T107">
        <f t="shared" ref="T107" si="514">S107/1000</f>
        <v>-10.517797299060007</v>
      </c>
    </row>
    <row r="108" spans="1:20" x14ac:dyDescent="0.25">
      <c r="A108" s="5">
        <v>44485</v>
      </c>
      <c r="B108">
        <v>0.49869999999999998</v>
      </c>
      <c r="C108">
        <v>0.52100000000000002</v>
      </c>
      <c r="D108">
        <v>0.49709999999999999</v>
      </c>
      <c r="E108">
        <v>0.50380000000000003</v>
      </c>
      <c r="F108">
        <v>46242587</v>
      </c>
      <c r="G108">
        <v>0.50380000000000003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-0.43933054393305188</v>
      </c>
      <c r="Q108">
        <f t="shared" ref="Q108" si="516">F108*P108</f>
        <v>-20315780.899581473</v>
      </c>
      <c r="R108">
        <f t="shared" ref="R108" si="517">R109+Q108</f>
        <v>-1052702625.2830889</v>
      </c>
      <c r="S108">
        <f t="shared" ref="S108" si="518">R108/100000</f>
        <v>-10527.026252830889</v>
      </c>
      <c r="T108">
        <f t="shared" ref="T108" si="519">S108/1000</f>
        <v>-10.527026252830888</v>
      </c>
    </row>
    <row r="109" spans="1:20" x14ac:dyDescent="0.25">
      <c r="A109" s="5">
        <v>44484</v>
      </c>
      <c r="B109">
        <v>0.5262</v>
      </c>
      <c r="C109">
        <v>0.54400000000000004</v>
      </c>
      <c r="D109">
        <v>0.495</v>
      </c>
      <c r="E109">
        <v>0.49869999999999998</v>
      </c>
      <c r="F109">
        <v>94073263</v>
      </c>
      <c r="G109">
        <v>0.49869999999999998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-0.84897959183673555</v>
      </c>
      <c r="Q109">
        <f t="shared" ref="Q109" si="521">F109*P109</f>
        <v>-79866280.424489871</v>
      </c>
      <c r="R109">
        <f t="shared" ref="R109" si="522">R110+Q109</f>
        <v>-1032386844.3835075</v>
      </c>
      <c r="S109">
        <f t="shared" ref="S109" si="523">R109/100000</f>
        <v>-10323.868443835076</v>
      </c>
      <c r="T109">
        <f t="shared" ref="T109" si="524">S109/1000</f>
        <v>-10.323868443835076</v>
      </c>
    </row>
    <row r="110" spans="1:20" x14ac:dyDescent="0.25">
      <c r="A110" s="5">
        <v>44483</v>
      </c>
      <c r="B110">
        <v>0.50119999999999998</v>
      </c>
      <c r="C110">
        <v>0.54500000000000004</v>
      </c>
      <c r="D110">
        <v>0.495</v>
      </c>
      <c r="E110">
        <v>0.52610000000000001</v>
      </c>
      <c r="F110">
        <v>68820667</v>
      </c>
      <c r="G110">
        <v>0.52610000000000001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0.24399999999999955</v>
      </c>
      <c r="Q110">
        <f t="shared" ref="Q110" si="526">F110*P110</f>
        <v>16792242.74799997</v>
      </c>
      <c r="R110">
        <f t="shared" ref="R110" si="527">R111+Q110</f>
        <v>-952520563.95901763</v>
      </c>
      <c r="S110">
        <f t="shared" ref="S110" si="528">R110/100000</f>
        <v>-9525.2056395901764</v>
      </c>
      <c r="T110">
        <f t="shared" ref="T110" si="529">S110/1000</f>
        <v>-9.5252056395901761</v>
      </c>
    </row>
    <row r="111" spans="1:20" x14ac:dyDescent="0.25">
      <c r="A111" s="5">
        <v>44482</v>
      </c>
      <c r="B111">
        <v>0.51249999999999996</v>
      </c>
      <c r="C111">
        <v>0.52659999999999996</v>
      </c>
      <c r="D111">
        <v>0.48830000000000001</v>
      </c>
      <c r="E111">
        <v>0.50109999999999999</v>
      </c>
      <c r="F111">
        <v>56391015</v>
      </c>
      <c r="G111">
        <v>0.50109999999999999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-0.33159268929503938</v>
      </c>
      <c r="Q111">
        <f t="shared" ref="Q111" si="531">F111*P111</f>
        <v>-18698848.315926906</v>
      </c>
      <c r="R111">
        <f t="shared" ref="R111" si="532">R112+Q111</f>
        <v>-969312806.70701766</v>
      </c>
      <c r="S111">
        <f t="shared" ref="S111" si="533">R111/100000</f>
        <v>-9693.1280670701763</v>
      </c>
      <c r="T111">
        <f t="shared" ref="T111" si="534">S111/1000</f>
        <v>-9.6931280670701767</v>
      </c>
    </row>
    <row r="112" spans="1:20" x14ac:dyDescent="0.25">
      <c r="A112" s="5">
        <v>44481</v>
      </c>
      <c r="B112">
        <v>0.50900000000000001</v>
      </c>
      <c r="C112">
        <v>0.52149999999999996</v>
      </c>
      <c r="D112">
        <v>0.46539999999999998</v>
      </c>
      <c r="E112">
        <v>0.51249999999999996</v>
      </c>
      <c r="F112">
        <v>87814577</v>
      </c>
      <c r="G112">
        <v>0.51249999999999996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0.67914438502673757</v>
      </c>
      <c r="Q112">
        <f t="shared" ref="Q112" si="536">F112*P112</f>
        <v>59638776.893048093</v>
      </c>
      <c r="R112">
        <f t="shared" ref="R112" si="537">R113+Q112</f>
        <v>-950613958.39109075</v>
      </c>
      <c r="S112">
        <f t="shared" ref="S112" si="538">R112/100000</f>
        <v>-9506.1395839109082</v>
      </c>
      <c r="T112">
        <f t="shared" ref="T112" si="539">S112/1000</f>
        <v>-9.5061395839109082</v>
      </c>
    </row>
    <row r="113" spans="1:20" x14ac:dyDescent="0.25">
      <c r="A113" s="5">
        <v>44480</v>
      </c>
      <c r="B113">
        <v>0.51270000000000004</v>
      </c>
      <c r="C113">
        <v>0.53100000000000003</v>
      </c>
      <c r="D113">
        <v>0.496</v>
      </c>
      <c r="E113">
        <v>0.50890000000000002</v>
      </c>
      <c r="F113">
        <v>77090181</v>
      </c>
      <c r="G113">
        <v>0.50890000000000002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-0.26285714285714223</v>
      </c>
      <c r="Q113">
        <f t="shared" ref="Q113" si="541">F113*P113</f>
        <v>-20263704.71999995</v>
      </c>
      <c r="R113">
        <f t="shared" ref="R113" si="542">R114+Q113</f>
        <v>-1010252735.2841388</v>
      </c>
      <c r="S113">
        <f t="shared" ref="S113" si="543">R113/100000</f>
        <v>-10102.527352841387</v>
      </c>
      <c r="T113">
        <f t="shared" ref="T113" si="544">S113/1000</f>
        <v>-10.102527352841387</v>
      </c>
    </row>
    <row r="114" spans="1:20" x14ac:dyDescent="0.25">
      <c r="A114" s="5">
        <v>44479</v>
      </c>
      <c r="B114">
        <v>0.5494</v>
      </c>
      <c r="C114">
        <v>0.55679999999999996</v>
      </c>
      <c r="D114">
        <v>0.50790000000000002</v>
      </c>
      <c r="E114">
        <v>0.51290000000000002</v>
      </c>
      <c r="F114">
        <v>88398365</v>
      </c>
      <c r="G114">
        <v>0.51290000000000002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-0.79550102249488708</v>
      </c>
      <c r="Q114">
        <f t="shared" ref="Q114" si="546">F114*P114</f>
        <v>-70320989.744376242</v>
      </c>
      <c r="R114">
        <f t="shared" ref="R114" si="547">R115+Q114</f>
        <v>-989989030.56413889</v>
      </c>
      <c r="S114">
        <f t="shared" ref="S114" si="548">R114/100000</f>
        <v>-9899.8903056413892</v>
      </c>
      <c r="T114">
        <f t="shared" ref="T114" si="549">S114/1000</f>
        <v>-9.8998903056413887</v>
      </c>
    </row>
    <row r="115" spans="1:20" x14ac:dyDescent="0.25">
      <c r="A115" s="5">
        <v>44478</v>
      </c>
      <c r="B115">
        <v>0.52300000000000002</v>
      </c>
      <c r="C115">
        <v>0.6099</v>
      </c>
      <c r="D115">
        <v>0.5141</v>
      </c>
      <c r="E115">
        <v>0.5494</v>
      </c>
      <c r="F115">
        <v>226325272</v>
      </c>
      <c r="G115">
        <v>0.5494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-0.26304801670146138</v>
      </c>
      <c r="Q115">
        <f t="shared" ref="Q115" si="551">F115*P115</f>
        <v>-59534413.929018788</v>
      </c>
      <c r="R115">
        <f t="shared" ref="R115" si="552">R116+Q115</f>
        <v>-919668040.81976259</v>
      </c>
      <c r="S115">
        <f t="shared" ref="S115" si="553">R115/100000</f>
        <v>-9196.6804081976261</v>
      </c>
      <c r="T115">
        <f t="shared" ref="T115" si="554">S115/1000</f>
        <v>-9.1966804081976257</v>
      </c>
    </row>
    <row r="116" spans="1:20" x14ac:dyDescent="0.25">
      <c r="A116" s="5">
        <v>44477</v>
      </c>
      <c r="B116">
        <v>0.54690000000000005</v>
      </c>
      <c r="C116">
        <v>0.56659999999999999</v>
      </c>
      <c r="D116">
        <v>0.50370000000000004</v>
      </c>
      <c r="E116">
        <v>0.52300000000000002</v>
      </c>
      <c r="F116">
        <v>103718735</v>
      </c>
      <c r="G116">
        <v>0.52300000000000002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-0.38632750397456289</v>
      </c>
      <c r="Q116">
        <f t="shared" ref="Q116" si="556">F116*P116</f>
        <v>-40069400.007949136</v>
      </c>
      <c r="R116">
        <f t="shared" ref="R116" si="557">R117+Q116</f>
        <v>-860133626.89074385</v>
      </c>
      <c r="S116">
        <f t="shared" ref="S116" si="558">R116/100000</f>
        <v>-8601.3362689074384</v>
      </c>
      <c r="T116">
        <f t="shared" ref="T116" si="559">S116/1000</f>
        <v>-8.6013362689074384</v>
      </c>
    </row>
    <row r="117" spans="1:20" x14ac:dyDescent="0.25">
      <c r="A117" s="5">
        <v>44476</v>
      </c>
      <c r="B117">
        <v>0.50139999999999996</v>
      </c>
      <c r="C117">
        <v>0.57279999999999998</v>
      </c>
      <c r="D117">
        <v>0.48249999999999998</v>
      </c>
      <c r="E117">
        <v>0.54679999999999995</v>
      </c>
      <c r="F117">
        <v>192259198</v>
      </c>
      <c r="G117">
        <v>0.54679999999999995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0.4241417497231445</v>
      </c>
      <c r="Q117">
        <f t="shared" ref="Q117" si="561">F117*P117</f>
        <v>81545152.640088484</v>
      </c>
      <c r="R117">
        <f t="shared" ref="R117" si="562">R118+Q117</f>
        <v>-820064226.88279474</v>
      </c>
      <c r="S117">
        <f t="shared" ref="S117" si="563">R117/100000</f>
        <v>-8200.6422688279472</v>
      </c>
      <c r="T117">
        <f t="shared" ref="T117" si="564">S117/1000</f>
        <v>-8.2006422688279468</v>
      </c>
    </row>
    <row r="118" spans="1:20" x14ac:dyDescent="0.25">
      <c r="A118" s="5">
        <v>44475</v>
      </c>
      <c r="B118">
        <v>0.53380000000000005</v>
      </c>
      <c r="C118">
        <v>0.54239999999999999</v>
      </c>
      <c r="D118">
        <v>0.48780000000000001</v>
      </c>
      <c r="E118">
        <v>0.50129999999999997</v>
      </c>
      <c r="F118">
        <v>147419700</v>
      </c>
      <c r="G118">
        <v>0.50129999999999997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-0.50549450549450692</v>
      </c>
      <c r="Q118">
        <f t="shared" ref="Q118" si="566">F118*P118</f>
        <v>-74519848.351648554</v>
      </c>
      <c r="R118">
        <f t="shared" ref="R118" si="567">R119+Q118</f>
        <v>-901609379.52288318</v>
      </c>
      <c r="S118">
        <f t="shared" ref="S118" si="568">R118/100000</f>
        <v>-9016.0937952288314</v>
      </c>
      <c r="T118">
        <f t="shared" ref="T118" si="569">S118/1000</f>
        <v>-9.0160937952288318</v>
      </c>
    </row>
    <row r="119" spans="1:20" x14ac:dyDescent="0.25">
      <c r="A119" s="5">
        <v>44474</v>
      </c>
      <c r="B119">
        <v>0.52539999999999998</v>
      </c>
      <c r="C119">
        <v>0.57469999999999999</v>
      </c>
      <c r="D119">
        <v>0.51990000000000003</v>
      </c>
      <c r="E119">
        <v>0.53410000000000002</v>
      </c>
      <c r="F119">
        <v>147846992</v>
      </c>
      <c r="G119">
        <v>0.53410000000000002</v>
      </c>
      <c r="L119" t="s">
        <v>8</v>
      </c>
      <c r="M119" t="s">
        <v>7</v>
      </c>
      <c r="N119" t="s">
        <v>8</v>
      </c>
      <c r="P119">
        <f t="shared" ref="P119" si="570">IF(C119=D119,0,((E119-D119)-(C119-E119))/(C119-D119))</f>
        <v>-0.48175182481751821</v>
      </c>
      <c r="Q119">
        <f t="shared" ref="Q119" si="571">F119*P119</f>
        <v>-71225558.18978101</v>
      </c>
      <c r="R119">
        <f t="shared" ref="R119" si="572">R120+Q119</f>
        <v>-827089531.17123461</v>
      </c>
      <c r="S119">
        <f t="shared" ref="S119" si="573">R119/100000</f>
        <v>-8270.8953117123456</v>
      </c>
      <c r="T119">
        <f t="shared" ref="T119" si="574">S119/1000</f>
        <v>-8.270895311712346</v>
      </c>
    </row>
    <row r="120" spans="1:20" x14ac:dyDescent="0.25">
      <c r="A120" s="5">
        <v>44473</v>
      </c>
      <c r="B120">
        <v>0.56110000000000004</v>
      </c>
      <c r="C120">
        <v>0.56110000000000004</v>
      </c>
      <c r="D120">
        <v>0.5202</v>
      </c>
      <c r="E120">
        <v>0.52739999999999998</v>
      </c>
      <c r="F120">
        <v>130673775</v>
      </c>
      <c r="G120">
        <v>0.52739999999999998</v>
      </c>
      <c r="L120" t="s">
        <v>7</v>
      </c>
      <c r="M120" t="s">
        <v>7</v>
      </c>
      <c r="N120" t="s">
        <v>8</v>
      </c>
      <c r="P120">
        <f t="shared" ref="P120" si="575">IF(C120=D120,0,((E120-D120)-(C120-E120))/(C120-D120))</f>
        <v>-0.6479217603911992</v>
      </c>
      <c r="Q120">
        <f t="shared" ref="Q120" si="576">F120*P120</f>
        <v>-84666382.334963471</v>
      </c>
      <c r="R120">
        <f t="shared" ref="R120" si="577">R121+Q120</f>
        <v>-755863972.98145366</v>
      </c>
      <c r="S120">
        <f t="shared" ref="S120" si="578">R120/100000</f>
        <v>-7558.6397298145366</v>
      </c>
      <c r="T120">
        <f t="shared" ref="T120" si="579">S120/1000</f>
        <v>-7.5586397298145362</v>
      </c>
    </row>
    <row r="121" spans="1:20" x14ac:dyDescent="0.25">
      <c r="A121" s="5">
        <v>44472</v>
      </c>
      <c r="B121">
        <v>0.58030000000000004</v>
      </c>
      <c r="C121">
        <v>0.59209999999999996</v>
      </c>
      <c r="D121">
        <v>0.53910000000000002</v>
      </c>
      <c r="E121">
        <v>0.55720000000000003</v>
      </c>
      <c r="F121">
        <v>148577002</v>
      </c>
      <c r="G121">
        <v>0.55720000000000003</v>
      </c>
      <c r="L121" t="s">
        <v>7</v>
      </c>
      <c r="M121" t="s">
        <v>7</v>
      </c>
      <c r="N121" t="s">
        <v>8</v>
      </c>
      <c r="P121">
        <f t="shared" ref="P121" si="580">IF(C121=D121,0,((E121-D121)-(C121-E121))/(C121-D121))</f>
        <v>-0.31698113207547068</v>
      </c>
      <c r="Q121">
        <f t="shared" ref="Q121" si="581">F121*P121</f>
        <v>-47096106.294339471</v>
      </c>
      <c r="R121">
        <f t="shared" ref="R121" si="582">R122+Q121</f>
        <v>-671197590.64649022</v>
      </c>
      <c r="S121">
        <f t="shared" ref="S121" si="583">R121/100000</f>
        <v>-6711.9759064649024</v>
      </c>
      <c r="T121">
        <f t="shared" ref="T121" si="584">S121/1000</f>
        <v>-6.7119759064649021</v>
      </c>
    </row>
    <row r="122" spans="1:20" x14ac:dyDescent="0.25">
      <c r="A122" s="5">
        <v>44471</v>
      </c>
      <c r="B122">
        <v>0.5786</v>
      </c>
      <c r="C122">
        <v>0.62190000000000001</v>
      </c>
      <c r="D122">
        <v>0.56740000000000002</v>
      </c>
      <c r="E122">
        <v>0.58009999999999995</v>
      </c>
      <c r="F122">
        <v>180579439</v>
      </c>
      <c r="G122">
        <v>0.58009999999999995</v>
      </c>
      <c r="L122" t="s">
        <v>8</v>
      </c>
      <c r="M122" t="s">
        <v>7</v>
      </c>
      <c r="N122" t="s">
        <v>8</v>
      </c>
      <c r="P122">
        <f t="shared" ref="P122" si="585">IF(C122=D122,0,((E122-D122)-(C122-E122))/(C122-D122))</f>
        <v>-0.53394495412844278</v>
      </c>
      <c r="Q122">
        <f t="shared" ref="Q122" si="586">F122*P122</f>
        <v>-96419480.273394927</v>
      </c>
      <c r="R122">
        <f t="shared" ref="R122" si="587">R123+Q122</f>
        <v>-624101484.3521508</v>
      </c>
      <c r="S122">
        <f t="shared" ref="S122" si="588">R122/100000</f>
        <v>-6241.0148435215078</v>
      </c>
      <c r="T122">
        <f t="shared" ref="T122" si="589">S122/1000</f>
        <v>-6.2410148435215076</v>
      </c>
    </row>
    <row r="123" spans="1:20" x14ac:dyDescent="0.25">
      <c r="A123" s="5">
        <v>44470</v>
      </c>
      <c r="B123">
        <v>0.62129999999999996</v>
      </c>
      <c r="C123">
        <v>0.62549999999999994</v>
      </c>
      <c r="D123">
        <v>0.57189999999999996</v>
      </c>
      <c r="E123">
        <v>0.57830000000000004</v>
      </c>
      <c r="F123">
        <v>229221210</v>
      </c>
      <c r="G123">
        <v>0.57830000000000004</v>
      </c>
      <c r="L123" t="s">
        <v>7</v>
      </c>
      <c r="M123" t="s">
        <v>7</v>
      </c>
      <c r="N123" t="s">
        <v>8</v>
      </c>
      <c r="P123">
        <f t="shared" ref="P123" si="590">IF(C123=D123,0,((E123-D123)-(C123-E123))/(C123-D123))</f>
        <v>-0.76119402985074347</v>
      </c>
      <c r="Q123">
        <f t="shared" ref="Q123" si="591">F123*P123</f>
        <v>-174481816.56716353</v>
      </c>
      <c r="R123">
        <f t="shared" ref="R123" si="592">R124+Q123</f>
        <v>-527682004.07875592</v>
      </c>
      <c r="S123">
        <f t="shared" ref="S123" si="593">R123/100000</f>
        <v>-5276.8200407875593</v>
      </c>
      <c r="T123">
        <f t="shared" ref="T123" si="594">S123/1000</f>
        <v>-5.276820040787559</v>
      </c>
    </row>
    <row r="124" spans="1:20" x14ac:dyDescent="0.25">
      <c r="A124" s="5">
        <v>44469</v>
      </c>
      <c r="B124">
        <v>0.64839999999999998</v>
      </c>
      <c r="C124">
        <v>0.65500000000000003</v>
      </c>
      <c r="D124">
        <v>0.58599999999999997</v>
      </c>
      <c r="E124">
        <v>0.62129999999999996</v>
      </c>
      <c r="F124">
        <v>231067670</v>
      </c>
      <c r="G124">
        <v>0.62129999999999996</v>
      </c>
      <c r="L124" t="s">
        <v>7</v>
      </c>
      <c r="M124" t="s">
        <v>8</v>
      </c>
      <c r="N124" t="s">
        <v>8</v>
      </c>
      <c r="P124">
        <f t="shared" ref="P124" si="595">IF(C124=D124,0,((E124-D124)-(C124-E124))/(C124-D124))</f>
        <v>2.3188405797100485E-2</v>
      </c>
      <c r="Q124">
        <f t="shared" ref="Q124" si="596">F124*P124</f>
        <v>5358090.898550502</v>
      </c>
      <c r="R124">
        <f t="shared" ref="R124" si="597">R125+Q124</f>
        <v>-353200187.51159239</v>
      </c>
      <c r="S124">
        <f t="shared" ref="S124" si="598">R124/100000</f>
        <v>-3532.0018751159237</v>
      </c>
      <c r="T124">
        <f t="shared" ref="T124" si="599">S124/1000</f>
        <v>-3.5320018751159235</v>
      </c>
    </row>
    <row r="125" spans="1:20" x14ac:dyDescent="0.25">
      <c r="A125" s="5">
        <v>44468</v>
      </c>
      <c r="B125">
        <v>0.56110000000000004</v>
      </c>
      <c r="C125">
        <v>0.6804</v>
      </c>
      <c r="D125">
        <v>0.55940000000000001</v>
      </c>
      <c r="E125">
        <v>0.64849999999999997</v>
      </c>
      <c r="F125">
        <v>433446703</v>
      </c>
      <c r="G125">
        <v>0.64849999999999997</v>
      </c>
      <c r="L125" t="s">
        <v>8</v>
      </c>
      <c r="M125" t="s">
        <v>8</v>
      </c>
      <c r="N125" t="s">
        <v>8</v>
      </c>
      <c r="P125">
        <f t="shared" ref="P125" si="600">IF(C125=D125,0,((E125-D125)-(C125-E125))/(C125-D125))</f>
        <v>0.47272727272727205</v>
      </c>
      <c r="Q125">
        <f t="shared" ref="Q125" si="601">F125*P125</f>
        <v>204902077.78181788</v>
      </c>
      <c r="R125">
        <f t="shared" ref="R125" si="602">R126+Q125</f>
        <v>-358558278.4101429</v>
      </c>
      <c r="S125">
        <f t="shared" ref="S125" si="603">R125/100000</f>
        <v>-3585.5827841014288</v>
      </c>
      <c r="T125">
        <f t="shared" ref="T125" si="604">S125/1000</f>
        <v>-3.5855827841014287</v>
      </c>
    </row>
    <row r="126" spans="1:20" x14ac:dyDescent="0.25">
      <c r="A126" s="5">
        <v>44467</v>
      </c>
      <c r="B126">
        <v>0.61199999999999999</v>
      </c>
      <c r="C126">
        <v>0.65559999999999996</v>
      </c>
      <c r="D126">
        <v>0.5504</v>
      </c>
      <c r="E126">
        <v>0.56159999999999999</v>
      </c>
      <c r="F126">
        <v>460192071</v>
      </c>
      <c r="G126">
        <v>0.56159999999999999</v>
      </c>
      <c r="L126" t="s">
        <v>8</v>
      </c>
      <c r="M126" t="s">
        <v>7</v>
      </c>
      <c r="N126" t="s">
        <v>8</v>
      </c>
      <c r="P126">
        <f t="shared" ref="P126" si="605">IF(C126=D126,0,((E126-D126)-(C126-E126))/(C126-D126))</f>
        <v>-0.78707224334600778</v>
      </c>
      <c r="Q126">
        <f t="shared" ref="Q126" si="606">F126*P126</f>
        <v>-362204405.69201529</v>
      </c>
      <c r="R126">
        <f t="shared" ref="R126" si="607">R127+Q126</f>
        <v>-563460356.19196081</v>
      </c>
      <c r="S126">
        <f t="shared" ref="S126" si="608">R126/100000</f>
        <v>-5634.6035619196082</v>
      </c>
      <c r="T126">
        <f t="shared" ref="T126" si="609">S126/1000</f>
        <v>-5.634603561919608</v>
      </c>
    </row>
    <row r="127" spans="1:20" x14ac:dyDescent="0.25">
      <c r="A127" s="5">
        <v>44466</v>
      </c>
      <c r="B127">
        <v>0.51929999999999998</v>
      </c>
      <c r="C127">
        <v>0.64859999999999995</v>
      </c>
      <c r="D127">
        <v>0.48549999999999999</v>
      </c>
      <c r="E127">
        <v>0.61140000000000005</v>
      </c>
      <c r="F127">
        <v>552319435</v>
      </c>
      <c r="G127">
        <v>0.61140000000000005</v>
      </c>
      <c r="L127" t="s">
        <v>7</v>
      </c>
      <c r="M127" t="s">
        <v>8</v>
      </c>
      <c r="N127" t="s">
        <v>8</v>
      </c>
      <c r="P127">
        <f t="shared" ref="P127" si="610">IF(C127=D127,0,((E127-D127)-(C127-E127))/(C127-D127))</f>
        <v>0.5438381361128154</v>
      </c>
      <c r="Q127">
        <f t="shared" ref="Q127" si="611">F127*P127</f>
        <v>300372372.06928331</v>
      </c>
      <c r="R127">
        <f t="shared" ref="R127" si="612">R128+Q127</f>
        <v>-201255950.49994558</v>
      </c>
      <c r="S127">
        <f t="shared" ref="S127" si="613">R127/100000</f>
        <v>-2012.5595049994558</v>
      </c>
      <c r="T127">
        <f t="shared" ref="T127" si="614">S127/1000</f>
        <v>-2.012559504999456</v>
      </c>
    </row>
    <row r="128" spans="1:20" x14ac:dyDescent="0.25">
      <c r="A128" s="5">
        <v>44465</v>
      </c>
      <c r="B128">
        <v>0.55820000000000003</v>
      </c>
      <c r="C128">
        <v>0.59499999999999997</v>
      </c>
      <c r="D128">
        <v>0.50009999999999999</v>
      </c>
      <c r="E128">
        <v>0.51970000000000005</v>
      </c>
      <c r="F128">
        <v>393282478</v>
      </c>
      <c r="G128">
        <v>0.51970000000000005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-0.58693361433087321</v>
      </c>
      <c r="Q128">
        <f t="shared" ref="Q128" si="616">F128*P128</f>
        <v>-230830706.26554212</v>
      </c>
      <c r="R128">
        <f t="shared" ref="R128" si="617">R129+Q128</f>
        <v>-501628322.56922889</v>
      </c>
      <c r="S128">
        <f t="shared" ref="S128" si="618">R128/100000</f>
        <v>-5016.2832256922893</v>
      </c>
      <c r="T128">
        <f t="shared" ref="T128" si="619">S128/1000</f>
        <v>-5.0162832256922893</v>
      </c>
    </row>
    <row r="129" spans="1:20" x14ac:dyDescent="0.25">
      <c r="A129" s="5">
        <v>44464</v>
      </c>
      <c r="B129">
        <v>0.49509999999999998</v>
      </c>
      <c r="C129">
        <v>0.66700000000000004</v>
      </c>
      <c r="D129">
        <v>0.48570000000000002</v>
      </c>
      <c r="E129">
        <v>0.55869999999999997</v>
      </c>
      <c r="F129">
        <v>651167316</v>
      </c>
      <c r="G129">
        <v>0.55869999999999997</v>
      </c>
      <c r="L129" t="s">
        <v>8</v>
      </c>
      <c r="M129" t="s">
        <v>8</v>
      </c>
      <c r="N129" t="s">
        <v>8</v>
      </c>
      <c r="P129">
        <f t="shared" ref="P129" si="620">IF(C129=D129,0,((E129-D129)-(C129-E129))/(C129-D129))</f>
        <v>-0.19470490899062387</v>
      </c>
      <c r="Q129">
        <f t="shared" ref="Q129" si="621">F129*P129</f>
        <v>-126785472.99944882</v>
      </c>
      <c r="R129">
        <f t="shared" ref="R129" si="622">R130+Q129</f>
        <v>-270797616.30368674</v>
      </c>
      <c r="S129">
        <f t="shared" ref="S129" si="623">R129/100000</f>
        <v>-2707.9761630368675</v>
      </c>
      <c r="T129">
        <f t="shared" ref="T129" si="624">S129/1000</f>
        <v>-2.7079761630368675</v>
      </c>
    </row>
    <row r="130" spans="1:20" x14ac:dyDescent="0.25">
      <c r="A130" s="5">
        <v>44463</v>
      </c>
      <c r="B130">
        <v>0.56369999999999998</v>
      </c>
      <c r="C130">
        <v>0.58930000000000005</v>
      </c>
      <c r="D130">
        <v>0.47249999999999998</v>
      </c>
      <c r="E130">
        <v>0.49519999999999997</v>
      </c>
      <c r="F130">
        <v>682536756</v>
      </c>
      <c r="G130">
        <v>0.49519999999999997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-0.61130136986301398</v>
      </c>
      <c r="Q130">
        <f t="shared" ref="Q130" si="626">F130*P130</f>
        <v>-417235653.9246577</v>
      </c>
      <c r="R130">
        <f t="shared" ref="R130" si="627">R131+Q130</f>
        <v>-144012143.3042379</v>
      </c>
      <c r="S130">
        <f t="shared" ref="S130" si="628">R130/100000</f>
        <v>-1440.1214330423791</v>
      </c>
      <c r="T130">
        <f t="shared" ref="T130" si="629">S130/1000</f>
        <v>-1.4401214330423791</v>
      </c>
    </row>
    <row r="131" spans="1:20" x14ac:dyDescent="0.25">
      <c r="A131" s="5">
        <v>44462</v>
      </c>
      <c r="B131">
        <v>0.39550000000000002</v>
      </c>
      <c r="C131">
        <v>0.61</v>
      </c>
      <c r="D131">
        <v>0.3785</v>
      </c>
      <c r="E131">
        <v>0.56430000000000002</v>
      </c>
      <c r="F131">
        <v>633041296.20000005</v>
      </c>
      <c r="G131">
        <v>0.56430000000000002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0.60518358531317529</v>
      </c>
      <c r="Q131">
        <f t="shared" ref="Q131" si="631">F131*P131</f>
        <v>383106201.2856158</v>
      </c>
      <c r="R131">
        <f t="shared" ref="R131" si="632">R132+Q131</f>
        <v>273223510.6204198</v>
      </c>
      <c r="S131">
        <f t="shared" ref="S131" si="633">R131/100000</f>
        <v>2732.235106204198</v>
      </c>
      <c r="T131">
        <f t="shared" ref="T131" si="634">S131/1000</f>
        <v>2.7322351062041981</v>
      </c>
    </row>
    <row r="132" spans="1:20" x14ac:dyDescent="0.25">
      <c r="A132" s="5">
        <v>44461</v>
      </c>
      <c r="B132">
        <v>0.29570000000000002</v>
      </c>
      <c r="C132">
        <v>0.41599999999999998</v>
      </c>
      <c r="D132">
        <v>0.28770000000000001</v>
      </c>
      <c r="E132">
        <v>0.39550000000000002</v>
      </c>
      <c r="F132">
        <v>296736835</v>
      </c>
      <c r="G132">
        <v>0.39550000000000002</v>
      </c>
      <c r="L132" t="s">
        <v>8</v>
      </c>
      <c r="M132" t="s">
        <v>8</v>
      </c>
      <c r="N132" t="s">
        <v>8</v>
      </c>
      <c r="P132">
        <f t="shared" ref="P132" si="635">IF(C132=D132,0,((E132-D132)-(C132-E132))/(C132-D132))</f>
        <v>0.68043647700701526</v>
      </c>
      <c r="Q132">
        <f t="shared" ref="Q132" si="636">F132*P132</f>
        <v>201910566.60561198</v>
      </c>
      <c r="R132">
        <f t="shared" ref="R132" si="637">R133+Q132</f>
        <v>-109882690.665196</v>
      </c>
      <c r="S132">
        <f t="shared" ref="S132" si="638">R132/100000</f>
        <v>-1098.8269066519599</v>
      </c>
      <c r="T132">
        <f t="shared" ref="T132" si="639">S132/1000</f>
        <v>-1.0988269066519598</v>
      </c>
    </row>
    <row r="133" spans="1:20" x14ac:dyDescent="0.25">
      <c r="A133" s="5">
        <v>44460</v>
      </c>
      <c r="B133">
        <v>0.31409999999999999</v>
      </c>
      <c r="C133">
        <v>0.35899999999999999</v>
      </c>
      <c r="D133">
        <v>0.28439999999999999</v>
      </c>
      <c r="E133">
        <v>0.29570000000000002</v>
      </c>
      <c r="F133">
        <v>199144502</v>
      </c>
      <c r="G133">
        <v>0.29570000000000002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-0.69705093833780074</v>
      </c>
      <c r="Q133">
        <f t="shared" ref="Q133" si="641">F133*P133</f>
        <v>-138813861.98391405</v>
      </c>
      <c r="R133">
        <f t="shared" ref="R133" si="642">R134+Q133</f>
        <v>-311793257.27080798</v>
      </c>
      <c r="S133">
        <f t="shared" ref="S133" si="643">R133/100000</f>
        <v>-3117.93257270808</v>
      </c>
      <c r="T133">
        <f t="shared" ref="T133" si="644">S133/1000</f>
        <v>-3.1179325727080798</v>
      </c>
    </row>
    <row r="134" spans="1:20" x14ac:dyDescent="0.25">
      <c r="A134" s="5">
        <v>44459</v>
      </c>
      <c r="B134">
        <v>0.3679</v>
      </c>
      <c r="C134">
        <v>0.36959999999999998</v>
      </c>
      <c r="D134">
        <v>0.32500000000000001</v>
      </c>
      <c r="E134">
        <v>0.33700000000000002</v>
      </c>
      <c r="F134">
        <v>78802704</v>
      </c>
      <c r="G134">
        <v>0.33700000000000002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-0.4618834080717481</v>
      </c>
      <c r="Q134">
        <f t="shared" ref="Q134" si="646">F134*P134</f>
        <v>-36397661.488789178</v>
      </c>
      <c r="R134">
        <f t="shared" ref="R134" si="647">R135+Q134</f>
        <v>-172979395.28689393</v>
      </c>
      <c r="S134">
        <f t="shared" ref="S134" si="648">R134/100000</f>
        <v>-1729.7939528689394</v>
      </c>
      <c r="T134">
        <f t="shared" ref="T134" si="649">S134/1000</f>
        <v>-1.7297939528689394</v>
      </c>
    </row>
    <row r="135" spans="1:20" x14ac:dyDescent="0.25">
      <c r="A135" s="5">
        <v>44458</v>
      </c>
      <c r="B135">
        <v>0.41189999999999999</v>
      </c>
      <c r="C135">
        <v>0.4178</v>
      </c>
      <c r="D135">
        <v>0.36259999999999998</v>
      </c>
      <c r="E135">
        <v>0.36809999999999998</v>
      </c>
      <c r="F135">
        <v>104758021</v>
      </c>
      <c r="G135">
        <v>0.36809999999999998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-0.80072463768115931</v>
      </c>
      <c r="Q135">
        <f t="shared" ref="Q135" si="651">F135*P135</f>
        <v>-83882328.409420282</v>
      </c>
      <c r="R135">
        <f t="shared" ref="R135" si="652">R136+Q135</f>
        <v>-136581733.79810476</v>
      </c>
      <c r="S135">
        <f t="shared" ref="S135" si="653">R135/100000</f>
        <v>-1365.8173379810476</v>
      </c>
      <c r="T135">
        <f t="shared" ref="T135" si="654">S135/1000</f>
        <v>-1.3658173379810477</v>
      </c>
    </row>
    <row r="136" spans="1:20" x14ac:dyDescent="0.25">
      <c r="A136" s="5">
        <v>44457</v>
      </c>
      <c r="B136">
        <v>0.39179999999999998</v>
      </c>
      <c r="C136">
        <v>0.45350000000000001</v>
      </c>
      <c r="D136">
        <v>0.38829999999999998</v>
      </c>
      <c r="E136">
        <v>0.41189999999999999</v>
      </c>
      <c r="F136">
        <v>259238084.09999999</v>
      </c>
      <c r="G136">
        <v>0.41189999999999999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-0.27607361963190191</v>
      </c>
      <c r="Q136">
        <f t="shared" ref="Q136" si="656">F136*P136</f>
        <v>-71568796.223926395</v>
      </c>
      <c r="R136">
        <f t="shared" ref="R136" si="657">R137+Q136</f>
        <v>-52699405.388684474</v>
      </c>
      <c r="S136">
        <f t="shared" ref="S136" si="658">R136/100000</f>
        <v>-526.99405388684477</v>
      </c>
      <c r="T136">
        <f t="shared" ref="T136" si="659">S136/1000</f>
        <v>-0.52699405388684473</v>
      </c>
    </row>
    <row r="137" spans="1:20" x14ac:dyDescent="0.25">
      <c r="A137" s="5">
        <v>44456</v>
      </c>
      <c r="B137">
        <v>0.37309999999999999</v>
      </c>
      <c r="C137">
        <v>0.41830000000000001</v>
      </c>
      <c r="D137">
        <v>0.35470000000000002</v>
      </c>
      <c r="E137">
        <v>0.39179999999999998</v>
      </c>
      <c r="F137">
        <v>227633034</v>
      </c>
      <c r="G137">
        <v>0.39179999999999998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0.1666666666666658</v>
      </c>
      <c r="Q137">
        <f t="shared" ref="Q137" si="661">F137*P137</f>
        <v>37938838.999999799</v>
      </c>
      <c r="R137">
        <f t="shared" ref="R137" si="662">R138+Q137</f>
        <v>18869390.835241921</v>
      </c>
      <c r="S137">
        <f t="shared" ref="S137" si="663">R137/100000</f>
        <v>188.69390835241921</v>
      </c>
      <c r="T137">
        <f t="shared" ref="T137" si="664">S137/1000</f>
        <v>0.18869390835241923</v>
      </c>
    </row>
    <row r="138" spans="1:20" x14ac:dyDescent="0.25">
      <c r="A138" s="5">
        <v>44455</v>
      </c>
      <c r="B138">
        <v>0.32690000000000002</v>
      </c>
      <c r="C138">
        <v>0.38</v>
      </c>
      <c r="D138">
        <v>0.3125</v>
      </c>
      <c r="E138">
        <v>0.37309999999999999</v>
      </c>
      <c r="F138">
        <v>177524368</v>
      </c>
      <c r="G138">
        <v>0.37309999999999999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0.79555555555555502</v>
      </c>
      <c r="Q138">
        <f t="shared" ref="Q138" si="666">F138*P138</f>
        <v>141230497.2088888</v>
      </c>
      <c r="R138">
        <f t="shared" ref="R138" si="667">R139+Q138</f>
        <v>-19069448.164757878</v>
      </c>
      <c r="S138">
        <f t="shared" ref="S138" si="668">R138/100000</f>
        <v>-190.69448164757878</v>
      </c>
      <c r="T138">
        <f t="shared" ref="T138" si="669">S138/1000</f>
        <v>-0.1906944816475788</v>
      </c>
    </row>
    <row r="139" spans="1:20" x14ac:dyDescent="0.25">
      <c r="A139" s="5">
        <v>44454</v>
      </c>
      <c r="B139">
        <v>0.31009999999999999</v>
      </c>
      <c r="C139">
        <v>0.33700000000000002</v>
      </c>
      <c r="D139">
        <v>0.30609999999999998</v>
      </c>
      <c r="E139">
        <v>0.32690000000000002</v>
      </c>
      <c r="F139">
        <v>66709989</v>
      </c>
      <c r="G139">
        <v>0.32690000000000002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0.3462783171521045</v>
      </c>
      <c r="Q139">
        <f t="shared" ref="Q139" si="671">F139*P139</f>
        <v>23100222.728155401</v>
      </c>
      <c r="R139">
        <f t="shared" ref="R139" si="672">R140+Q139</f>
        <v>-160299945.37364668</v>
      </c>
      <c r="S139">
        <f t="shared" ref="S139" si="673">R139/100000</f>
        <v>-1602.9994537364669</v>
      </c>
      <c r="T139">
        <f t="shared" ref="T139" si="674">S139/1000</f>
        <v>-1.6029994537364669</v>
      </c>
    </row>
    <row r="140" spans="1:20" x14ac:dyDescent="0.25">
      <c r="A140" s="5">
        <v>44453</v>
      </c>
      <c r="B140">
        <v>0.3049</v>
      </c>
      <c r="C140">
        <v>0.31769999999999998</v>
      </c>
      <c r="D140">
        <v>0.2984</v>
      </c>
      <c r="E140">
        <v>0.31040000000000001</v>
      </c>
      <c r="F140">
        <v>58928067</v>
      </c>
      <c r="G140">
        <v>0.31040000000000001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0.24352331606217831</v>
      </c>
      <c r="Q140">
        <f t="shared" ref="Q140" si="676">F140*P140</f>
        <v>14350358.284974219</v>
      </c>
      <c r="R140">
        <f t="shared" ref="R140" si="677">R141+Q140</f>
        <v>-183400168.10180208</v>
      </c>
      <c r="S140">
        <f t="shared" ref="S140" si="678">R140/100000</f>
        <v>-1834.0016810180209</v>
      </c>
      <c r="T140">
        <f t="shared" ref="T140" si="679">S140/1000</f>
        <v>-1.8340016810180209</v>
      </c>
    </row>
    <row r="141" spans="1:20" x14ac:dyDescent="0.25">
      <c r="A141" s="5">
        <v>44452</v>
      </c>
      <c r="B141">
        <v>0.34860000000000002</v>
      </c>
      <c r="C141">
        <v>0.35299999999999998</v>
      </c>
      <c r="D141">
        <v>0.28070000000000001</v>
      </c>
      <c r="E141">
        <v>0.30520000000000003</v>
      </c>
      <c r="F141">
        <v>115556375</v>
      </c>
      <c r="G141">
        <v>0.30520000000000003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-0.3222683264177032</v>
      </c>
      <c r="Q141">
        <f t="shared" ref="Q141" si="681">F141*P141</f>
        <v>-37240159.578146517</v>
      </c>
      <c r="R141">
        <f t="shared" ref="R141" si="682">R142+Q141</f>
        <v>-197750526.3867763</v>
      </c>
      <c r="S141">
        <f t="shared" ref="S141" si="683">R141/100000</f>
        <v>-1977.505263867763</v>
      </c>
      <c r="T141">
        <f t="shared" ref="T141" si="684">S141/1000</f>
        <v>-1.977505263867763</v>
      </c>
    </row>
    <row r="142" spans="1:20" x14ac:dyDescent="0.25">
      <c r="A142" s="5">
        <v>44451</v>
      </c>
      <c r="B142">
        <v>0.30909999999999999</v>
      </c>
      <c r="C142">
        <v>0.35849999999999999</v>
      </c>
      <c r="D142">
        <v>0.30420000000000003</v>
      </c>
      <c r="E142">
        <v>0.34860000000000002</v>
      </c>
      <c r="F142">
        <v>128524557</v>
      </c>
      <c r="G142">
        <v>0.34860000000000002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0.63535911602210049</v>
      </c>
      <c r="Q142">
        <f t="shared" ref="Q142" si="686">F142*P142</f>
        <v>81659248.922652066</v>
      </c>
      <c r="R142">
        <f t="shared" ref="R142" si="687">R143+Q142</f>
        <v>-160510366.80862978</v>
      </c>
      <c r="S142">
        <f t="shared" ref="S142" si="688">R142/100000</f>
        <v>-1605.1036680862978</v>
      </c>
      <c r="T142">
        <f t="shared" ref="T142" si="689">S142/1000</f>
        <v>-1.6051036680862978</v>
      </c>
    </row>
    <row r="143" spans="1:20" x14ac:dyDescent="0.25">
      <c r="A143" s="5">
        <v>44450</v>
      </c>
      <c r="B143">
        <v>0.30059999999999998</v>
      </c>
      <c r="C143">
        <v>0.32319999999999999</v>
      </c>
      <c r="D143">
        <v>0.29289999999999999</v>
      </c>
      <c r="E143">
        <v>0.30909999999999999</v>
      </c>
      <c r="F143">
        <v>70939774</v>
      </c>
      <c r="G143">
        <v>0.30909999999999999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6.9306930693069022E-2</v>
      </c>
      <c r="Q143">
        <f t="shared" ref="Q143" si="691">F143*P143</f>
        <v>4916617.9999999795</v>
      </c>
      <c r="R143">
        <f t="shared" ref="R143" si="692">R144+Q143</f>
        <v>-242169615.73128185</v>
      </c>
      <c r="S143">
        <f t="shared" ref="S143" si="693">R143/100000</f>
        <v>-2421.6961573128183</v>
      </c>
      <c r="T143">
        <f t="shared" ref="T143" si="694">S143/1000</f>
        <v>-2.4216961573128182</v>
      </c>
    </row>
    <row r="144" spans="1:20" x14ac:dyDescent="0.25">
      <c r="A144" s="5">
        <v>44449</v>
      </c>
      <c r="B144">
        <v>0.30070000000000002</v>
      </c>
      <c r="C144">
        <v>0.3498</v>
      </c>
      <c r="D144">
        <v>0.28660000000000002</v>
      </c>
      <c r="E144">
        <v>0.30059999999999998</v>
      </c>
      <c r="F144">
        <v>193503022</v>
      </c>
      <c r="G144">
        <v>0.30059999999999998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-0.55696202531645689</v>
      </c>
      <c r="Q144">
        <f t="shared" ref="Q144" si="696">F144*P144</f>
        <v>-107773835.03797491</v>
      </c>
      <c r="R144">
        <f t="shared" ref="R144" si="697">R145+Q144</f>
        <v>-247086233.73128182</v>
      </c>
      <c r="S144">
        <f t="shared" ref="S144" si="698">R144/100000</f>
        <v>-2470.862337312818</v>
      </c>
      <c r="T144">
        <f t="shared" ref="T144" si="699">S144/1000</f>
        <v>-2.470862337312818</v>
      </c>
    </row>
    <row r="145" spans="1:20" x14ac:dyDescent="0.25">
      <c r="A145" s="5">
        <v>44448</v>
      </c>
      <c r="B145">
        <v>0.3044</v>
      </c>
      <c r="C145">
        <v>0.31879999999999997</v>
      </c>
      <c r="D145">
        <v>0.28699999999999998</v>
      </c>
      <c r="E145">
        <v>0.30080000000000001</v>
      </c>
      <c r="F145">
        <v>91084274</v>
      </c>
      <c r="G145">
        <v>0.30080000000000001</v>
      </c>
      <c r="L145" t="s">
        <v>7</v>
      </c>
      <c r="M145" t="s">
        <v>8</v>
      </c>
      <c r="N145" t="s">
        <v>8</v>
      </c>
      <c r="P145">
        <f t="shared" ref="P145" si="700">IF(C145=D145,0,((E145-D145)-(C145-E145))/(C145-D145))</f>
        <v>-0.1320754716981109</v>
      </c>
      <c r="Q145">
        <f t="shared" ref="Q145" si="701">F145*P145</f>
        <v>-12029998.452829979</v>
      </c>
      <c r="R145">
        <f t="shared" ref="R145" si="702">R146+Q145</f>
        <v>-139312398.69330689</v>
      </c>
      <c r="S145">
        <f t="shared" ref="S145" si="703">R145/100000</f>
        <v>-1393.1239869330689</v>
      </c>
      <c r="T145">
        <f t="shared" ref="T145" si="704">S145/1000</f>
        <v>-1.3931239869330689</v>
      </c>
    </row>
    <row r="146" spans="1:20" x14ac:dyDescent="0.25">
      <c r="A146" s="5">
        <v>44447</v>
      </c>
      <c r="B146">
        <v>0.2923</v>
      </c>
      <c r="C146">
        <v>0.32279999999999998</v>
      </c>
      <c r="D146">
        <v>0.2586</v>
      </c>
      <c r="E146">
        <v>0.30449999999999999</v>
      </c>
      <c r="F146">
        <v>133828730</v>
      </c>
      <c r="G146">
        <v>0.30449999999999999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0.42990654205607509</v>
      </c>
      <c r="Q146">
        <f t="shared" ref="Q146" si="706">F146*P146</f>
        <v>57533846.542056121</v>
      </c>
      <c r="R146">
        <f t="shared" ref="R146" si="707">R147+Q146</f>
        <v>-127282400.24047691</v>
      </c>
      <c r="S146">
        <f t="shared" ref="S146" si="708">R146/100000</f>
        <v>-1272.8240024047691</v>
      </c>
      <c r="T146">
        <f t="shared" ref="T146" si="709">S146/1000</f>
        <v>-1.272824002404769</v>
      </c>
    </row>
    <row r="147" spans="1:20" x14ac:dyDescent="0.25">
      <c r="A147" s="5">
        <v>44446</v>
      </c>
      <c r="B147">
        <v>0.36059999999999998</v>
      </c>
      <c r="C147">
        <v>0.36199999999999999</v>
      </c>
      <c r="D147">
        <v>0.23499999999999999</v>
      </c>
      <c r="E147">
        <v>0.29189999999999999</v>
      </c>
      <c r="F147">
        <v>201493347.5</v>
      </c>
      <c r="G147">
        <v>0.29189999999999999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-0.10393700787401566</v>
      </c>
      <c r="Q147">
        <f t="shared" ref="Q147" si="711">F147*P147</f>
        <v>-20942615.645669274</v>
      </c>
      <c r="R147">
        <f t="shared" ref="R147" si="712">R148+Q147</f>
        <v>-184816246.78253302</v>
      </c>
      <c r="S147">
        <f t="shared" ref="S147" si="713">R147/100000</f>
        <v>-1848.1624678253302</v>
      </c>
      <c r="T147">
        <f t="shared" ref="T147" si="714">S147/1000</f>
        <v>-1.8481624678253301</v>
      </c>
    </row>
    <row r="148" spans="1:20" x14ac:dyDescent="0.25">
      <c r="A148" s="5">
        <v>44445</v>
      </c>
      <c r="B148">
        <v>0.36980000000000002</v>
      </c>
      <c r="C148">
        <v>0.39190000000000003</v>
      </c>
      <c r="D148">
        <v>0.33600000000000002</v>
      </c>
      <c r="E148">
        <v>0.36070000000000002</v>
      </c>
      <c r="F148">
        <v>79606791</v>
      </c>
      <c r="G148">
        <v>0.36070000000000002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-0.11627906976744196</v>
      </c>
      <c r="Q148">
        <f t="shared" ref="Q148" si="716">F148*P148</f>
        <v>-9256603.6046511699</v>
      </c>
      <c r="R148">
        <f t="shared" ref="R148" si="717">R149+Q148</f>
        <v>-163873631.13686374</v>
      </c>
      <c r="S148">
        <f t="shared" ref="S148" si="718">R148/100000</f>
        <v>-1638.7363113686374</v>
      </c>
      <c r="T148">
        <f t="shared" ref="T148" si="719">S148/1000</f>
        <v>-1.6387363113686375</v>
      </c>
    </row>
    <row r="149" spans="1:20" x14ac:dyDescent="0.25">
      <c r="A149" s="5">
        <v>44444</v>
      </c>
      <c r="B149">
        <v>0.36680000000000001</v>
      </c>
      <c r="C149">
        <v>0.37559999999999999</v>
      </c>
      <c r="D149">
        <v>0.35349999999999998</v>
      </c>
      <c r="E149">
        <v>0.36990000000000001</v>
      </c>
      <c r="F149">
        <v>59327766</v>
      </c>
      <c r="G149">
        <v>0.36990000000000001</v>
      </c>
      <c r="L149" t="s">
        <v>7</v>
      </c>
      <c r="M149" t="s">
        <v>8</v>
      </c>
      <c r="N149" t="s">
        <v>7</v>
      </c>
      <c r="P149">
        <f t="shared" ref="P149" si="720">IF(C149=D149,0,((E149-D149)-(C149-E149))/(C149-D149))</f>
        <v>0.48416289592760359</v>
      </c>
      <c r="Q149">
        <f t="shared" ref="Q149" si="721">F149*P149</f>
        <v>28724302.995475218</v>
      </c>
      <c r="R149">
        <f t="shared" ref="R149" si="722">R150+Q149</f>
        <v>-154617027.53221256</v>
      </c>
      <c r="S149">
        <f t="shared" ref="S149" si="723">R149/100000</f>
        <v>-1546.1702753221255</v>
      </c>
      <c r="T149">
        <f t="shared" ref="T149" si="724">S149/1000</f>
        <v>-1.5461702753221254</v>
      </c>
    </row>
    <row r="150" spans="1:20" x14ac:dyDescent="0.25">
      <c r="A150" s="5">
        <v>44443</v>
      </c>
      <c r="B150">
        <v>0.33739999999999998</v>
      </c>
      <c r="C150">
        <v>0.4</v>
      </c>
      <c r="D150">
        <v>0.33500000000000002</v>
      </c>
      <c r="E150">
        <v>0.36680000000000001</v>
      </c>
      <c r="F150">
        <v>170836228</v>
      </c>
      <c r="G150">
        <v>0.36680000000000001</v>
      </c>
      <c r="L150" t="s">
        <v>8</v>
      </c>
      <c r="M150" t="s">
        <v>8</v>
      </c>
      <c r="N150" t="s">
        <v>7</v>
      </c>
      <c r="P150">
        <f t="shared" ref="P150" si="725">IF(C150=D150,0,((E150-D150)-(C150-E150))/(C150-D150))</f>
        <v>-2.1538461538461728E-2</v>
      </c>
      <c r="Q150">
        <f t="shared" ref="Q150" si="726">F150*P150</f>
        <v>-3679549.5261538788</v>
      </c>
      <c r="R150">
        <f t="shared" ref="R150" si="727">R151+Q150</f>
        <v>-183341330.52768779</v>
      </c>
      <c r="S150">
        <f t="shared" ref="S150" si="728">R150/100000</f>
        <v>-1833.413305276878</v>
      </c>
      <c r="T150">
        <f t="shared" ref="T150" si="729">S150/1000</f>
        <v>-1.833413305276878</v>
      </c>
    </row>
    <row r="151" spans="1:20" x14ac:dyDescent="0.25">
      <c r="A151" s="5">
        <v>44442</v>
      </c>
      <c r="B151">
        <v>0.33989999999999998</v>
      </c>
      <c r="C151">
        <v>0.3503</v>
      </c>
      <c r="D151">
        <v>0.3236</v>
      </c>
      <c r="E151">
        <v>0.33750000000000002</v>
      </c>
      <c r="F151">
        <v>68444006</v>
      </c>
      <c r="G151">
        <v>0.33750000000000002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4.1198501872660873E-2</v>
      </c>
      <c r="Q151">
        <f t="shared" ref="Q151" si="731">F151*P151</f>
        <v>2819790.5093634119</v>
      </c>
      <c r="R151">
        <f t="shared" ref="R151" si="732">R152+Q151</f>
        <v>-179661781.0015339</v>
      </c>
      <c r="S151">
        <f t="shared" ref="S151" si="733">R151/100000</f>
        <v>-1796.617810015339</v>
      </c>
      <c r="T151">
        <f t="shared" ref="T151" si="734">S151/1000</f>
        <v>-1.7966178100153392</v>
      </c>
    </row>
    <row r="152" spans="1:20" x14ac:dyDescent="0.25">
      <c r="A152" s="5">
        <v>44441</v>
      </c>
      <c r="B152">
        <v>0.33689999999999998</v>
      </c>
      <c r="C152">
        <v>0.35320000000000001</v>
      </c>
      <c r="D152">
        <v>0.3276</v>
      </c>
      <c r="E152">
        <v>0.3397</v>
      </c>
      <c r="F152">
        <v>95170008</v>
      </c>
      <c r="G152">
        <v>0.3397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-5.4687500000000458E-2</v>
      </c>
      <c r="Q152">
        <f t="shared" ref="Q152" si="736">F152*P152</f>
        <v>-5204609.8125000438</v>
      </c>
      <c r="R152">
        <f t="shared" ref="R152" si="737">R153+Q152</f>
        <v>-182481571.51089731</v>
      </c>
      <c r="S152">
        <f t="shared" ref="S152" si="738">R152/100000</f>
        <v>-1824.8157151089731</v>
      </c>
      <c r="T152">
        <f t="shared" ref="T152" si="739">S152/1000</f>
        <v>-1.824815715108973</v>
      </c>
    </row>
    <row r="153" spans="1:20" x14ac:dyDescent="0.25">
      <c r="A153" s="5">
        <v>44440</v>
      </c>
      <c r="B153">
        <v>0.3135</v>
      </c>
      <c r="C153">
        <v>0.34789999999999999</v>
      </c>
      <c r="D153">
        <v>0.30545</v>
      </c>
      <c r="E153">
        <v>0.33689999999999998</v>
      </c>
      <c r="F153">
        <v>118099738</v>
      </c>
      <c r="G153">
        <v>0.33689999999999998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0.48174322732626557</v>
      </c>
      <c r="Q153">
        <f t="shared" ref="Q153" si="741">F153*P153</f>
        <v>56893748.930506401</v>
      </c>
      <c r="R153">
        <f t="shared" ref="R153" si="742">R154+Q153</f>
        <v>-177276961.69839728</v>
      </c>
      <c r="S153">
        <f t="shared" ref="S153" si="743">R153/100000</f>
        <v>-1772.7696169839728</v>
      </c>
      <c r="T153">
        <f t="shared" ref="T153" si="744">S153/1000</f>
        <v>-1.7727696169839728</v>
      </c>
    </row>
    <row r="154" spans="1:20" x14ac:dyDescent="0.25">
      <c r="A154" s="5">
        <v>44439</v>
      </c>
      <c r="B154">
        <v>0.32579999999999998</v>
      </c>
      <c r="C154">
        <v>0.35909999999999997</v>
      </c>
      <c r="D154">
        <v>0.30640000000000001</v>
      </c>
      <c r="E154">
        <v>0.31380000000000002</v>
      </c>
      <c r="F154">
        <v>135725023.80000001</v>
      </c>
      <c r="G154">
        <v>0.31380000000000002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-0.71916508538899349</v>
      </c>
      <c r="Q154">
        <f t="shared" ref="Q154" si="746">F154*P154</f>
        <v>-97608698.330550179</v>
      </c>
      <c r="R154">
        <f t="shared" ref="R154" si="747">R155+Q154</f>
        <v>-234170710.62890369</v>
      </c>
      <c r="S154">
        <f t="shared" ref="S154" si="748">R154/100000</f>
        <v>-2341.7071062890368</v>
      </c>
      <c r="T154">
        <f t="shared" ref="T154" si="749">S154/1000</f>
        <v>-2.3417071062890367</v>
      </c>
    </row>
    <row r="155" spans="1:20" x14ac:dyDescent="0.25">
      <c r="A155" s="5">
        <v>44438</v>
      </c>
      <c r="B155">
        <v>0.36270000000000002</v>
      </c>
      <c r="C155">
        <v>0.36890000000000001</v>
      </c>
      <c r="D155">
        <v>0.32329999999999998</v>
      </c>
      <c r="E155">
        <v>0.32579999999999998</v>
      </c>
      <c r="F155">
        <v>113841193.90000001</v>
      </c>
      <c r="G155">
        <v>0.32579999999999998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-0.89035087719298245</v>
      </c>
      <c r="Q155">
        <f t="shared" ref="Q155" si="751">F155*P155</f>
        <v>-101358606.84956141</v>
      </c>
      <c r="R155">
        <f t="shared" ref="R155" si="752">R156+Q155</f>
        <v>-136562012.29835349</v>
      </c>
      <c r="S155">
        <f t="shared" ref="S155" si="753">R155/100000</f>
        <v>-1365.6201229835349</v>
      </c>
      <c r="T155">
        <f t="shared" ref="T155" si="754">S155/1000</f>
        <v>-1.365620122983535</v>
      </c>
    </row>
    <row r="156" spans="1:20" x14ac:dyDescent="0.25">
      <c r="A156" s="5">
        <v>44437</v>
      </c>
      <c r="B156">
        <v>0.38290000000000002</v>
      </c>
      <c r="C156">
        <v>0.38519999999999999</v>
      </c>
      <c r="D156">
        <v>0.35099999999999998</v>
      </c>
      <c r="E156">
        <v>0.36270000000000002</v>
      </c>
      <c r="F156">
        <v>110122745</v>
      </c>
      <c r="G156">
        <v>0.36270000000000002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-0.31578947368420812</v>
      </c>
      <c r="Q156">
        <f t="shared" ref="Q156" si="756">F156*P156</f>
        <v>-34775603.684210263</v>
      </c>
      <c r="R156">
        <f t="shared" ref="R156" si="757">R157+Q156</f>
        <v>-35203405.448792078</v>
      </c>
      <c r="S156">
        <f t="shared" ref="S156" si="758">R156/100000</f>
        <v>-352.0340544879208</v>
      </c>
      <c r="T156">
        <f t="shared" ref="T156" si="759">S156/1000</f>
        <v>-0.3520340544879208</v>
      </c>
    </row>
    <row r="157" spans="1:20" x14ac:dyDescent="0.25">
      <c r="A157" s="5">
        <v>44436</v>
      </c>
      <c r="B157">
        <v>0.40089999999999998</v>
      </c>
      <c r="C157">
        <v>0.40739999999999998</v>
      </c>
      <c r="D157">
        <v>0.36549999999999999</v>
      </c>
      <c r="E157">
        <v>0.38290000000000002</v>
      </c>
      <c r="F157">
        <v>133032559</v>
      </c>
      <c r="G157">
        <v>0.38290000000000002</v>
      </c>
      <c r="L157" t="s">
        <v>7</v>
      </c>
      <c r="M157" t="s">
        <v>8</v>
      </c>
      <c r="N157" t="s">
        <v>7</v>
      </c>
      <c r="P157">
        <f t="shared" ref="P157" si="760">IF(C157=D157,0,((E157-D157)-(C157-E157))/(C157-D157))</f>
        <v>-0.16945107398567877</v>
      </c>
      <c r="Q157">
        <f t="shared" ref="Q157" si="761">F157*P157</f>
        <v>-22542509.997613177</v>
      </c>
      <c r="R157">
        <f t="shared" ref="R157" si="762">R158+Q157</f>
        <v>-427801.76458181441</v>
      </c>
      <c r="S157">
        <f t="shared" ref="S157" si="763">R157/100000</f>
        <v>-4.278017645818144</v>
      </c>
      <c r="T157">
        <f t="shared" ref="T157" si="764">S157/1000</f>
        <v>-4.278017645818144E-3</v>
      </c>
    </row>
    <row r="158" spans="1:20" x14ac:dyDescent="0.25">
      <c r="A158" s="5">
        <v>44435</v>
      </c>
      <c r="B158">
        <v>0.36940000000000001</v>
      </c>
      <c r="C158">
        <v>0.42259999999999998</v>
      </c>
      <c r="D158">
        <v>0.34839999999999999</v>
      </c>
      <c r="E158">
        <v>0.40039999999999998</v>
      </c>
      <c r="F158">
        <v>309486732</v>
      </c>
      <c r="G158">
        <v>0.40039999999999998</v>
      </c>
      <c r="L158" t="s">
        <v>8</v>
      </c>
      <c r="M158" t="s">
        <v>8</v>
      </c>
      <c r="N158" t="s">
        <v>7</v>
      </c>
      <c r="P158">
        <f t="shared" ref="P158" si="765">IF(C158=D158,0,((E158-D158)-(C158-E158))/(C158-D158))</f>
        <v>0.4016172506738544</v>
      </c>
      <c r="Q158">
        <f t="shared" ref="Q158" si="766">F158*P158</f>
        <v>124295210.42587599</v>
      </c>
      <c r="R158">
        <f t="shared" ref="R158" si="767">R159+Q158</f>
        <v>22114708.233031362</v>
      </c>
      <c r="S158">
        <f t="shared" ref="S158" si="768">R158/100000</f>
        <v>221.14708233031362</v>
      </c>
      <c r="T158">
        <f t="shared" ref="T158" si="769">S158/1000</f>
        <v>0.22114708233031363</v>
      </c>
    </row>
    <row r="159" spans="1:20" x14ac:dyDescent="0.25">
      <c r="A159" s="5">
        <v>44434</v>
      </c>
      <c r="B159">
        <v>0.47978999999999999</v>
      </c>
      <c r="C159">
        <v>0.48837999999999998</v>
      </c>
      <c r="D159">
        <v>0.3468</v>
      </c>
      <c r="E159">
        <v>0.36940000000000001</v>
      </c>
      <c r="F159">
        <v>830770764.60000002</v>
      </c>
      <c r="G159">
        <v>0.36940000000000001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-0.68074586806046034</v>
      </c>
      <c r="Q159">
        <f t="shared" ref="Q159" si="771">F159*P159</f>
        <v>-565543765.3068794</v>
      </c>
      <c r="R159">
        <f t="shared" ref="R159" si="772">R160+Q159</f>
        <v>-102180502.19284463</v>
      </c>
      <c r="S159">
        <f t="shared" ref="S159" si="773">R159/100000</f>
        <v>-1021.8050219284463</v>
      </c>
      <c r="T159">
        <f t="shared" ref="T159" si="774">S159/1000</f>
        <v>-1.0218050219284462</v>
      </c>
    </row>
    <row r="160" spans="1:20" x14ac:dyDescent="0.25">
      <c r="A160" s="5">
        <v>44433</v>
      </c>
      <c r="B160">
        <v>0.28666999999999998</v>
      </c>
      <c r="C160">
        <v>0.49</v>
      </c>
      <c r="D160">
        <v>0.27033000000000001</v>
      </c>
      <c r="E160">
        <v>0.48003000000000001</v>
      </c>
      <c r="F160">
        <v>288666047.60000002</v>
      </c>
      <c r="G160">
        <v>0.48003000000000001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0.90922747758000655</v>
      </c>
      <c r="Q160">
        <f t="shared" ref="Q160" si="776">F160*P160</f>
        <v>262463102.32233813</v>
      </c>
      <c r="R160">
        <f t="shared" ref="R160" si="777">R161+Q160</f>
        <v>463363263.11403477</v>
      </c>
      <c r="S160">
        <f t="shared" ref="S160" si="778">R160/100000</f>
        <v>4633.6326311403482</v>
      </c>
      <c r="T160">
        <f t="shared" ref="T160" si="779">S160/1000</f>
        <v>4.6336326311403484</v>
      </c>
    </row>
    <row r="161" spans="1:20" x14ac:dyDescent="0.25">
      <c r="A161" s="5">
        <v>44432</v>
      </c>
      <c r="B161">
        <v>0.32068000000000002</v>
      </c>
      <c r="C161">
        <v>0.33689999999999998</v>
      </c>
      <c r="D161">
        <v>0.28000000000000003</v>
      </c>
      <c r="E161">
        <v>0.28676000000000001</v>
      </c>
      <c r="F161">
        <v>124633701.59999999</v>
      </c>
      <c r="G161">
        <v>0.28676000000000001</v>
      </c>
      <c r="L161" t="s">
        <v>8</v>
      </c>
      <c r="M161" t="s">
        <v>7</v>
      </c>
      <c r="N161" t="s">
        <v>8</v>
      </c>
      <c r="P161">
        <f t="shared" ref="P161" si="780">IF(C161=D161,0,((E161-D161)-(C161-E161))/(C161-D161))</f>
        <v>-0.76239015817223221</v>
      </c>
      <c r="Q161">
        <f t="shared" ref="Q161" si="781">F161*P161</f>
        <v>-95019507.476414785</v>
      </c>
      <c r="R161">
        <f t="shared" ref="R161" si="782">R162+Q161</f>
        <v>200900160.79169667</v>
      </c>
      <c r="S161">
        <f t="shared" ref="S161" si="783">R161/100000</f>
        <v>2009.0016079169666</v>
      </c>
      <c r="T161">
        <f t="shared" ref="T161" si="784">S161/1000</f>
        <v>2.0090016079169666</v>
      </c>
    </row>
    <row r="162" spans="1:20" x14ac:dyDescent="0.25">
      <c r="A162" s="5">
        <v>44431</v>
      </c>
      <c r="B162">
        <v>0.30299999999999999</v>
      </c>
      <c r="C162">
        <v>0.33243</v>
      </c>
      <c r="D162">
        <v>0.30206</v>
      </c>
      <c r="E162">
        <v>0.32051000000000002</v>
      </c>
      <c r="F162">
        <v>101388001.7</v>
      </c>
      <c r="G162">
        <v>0.32051000000000002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0.21501481725387006</v>
      </c>
      <c r="Q162">
        <f t="shared" ref="Q162" si="786">F162*P162</f>
        <v>21799922.657260567</v>
      </c>
      <c r="R162">
        <f t="shared" ref="R162" si="787">R163+Q162</f>
        <v>295919668.26811147</v>
      </c>
      <c r="S162">
        <f t="shared" ref="S162" si="788">R162/100000</f>
        <v>2959.1966826811145</v>
      </c>
      <c r="T162">
        <f t="shared" ref="T162" si="789">S162/1000</f>
        <v>2.9591966826811142</v>
      </c>
    </row>
    <row r="163" spans="1:20" x14ac:dyDescent="0.25">
      <c r="A163" s="5">
        <v>44430</v>
      </c>
      <c r="B163">
        <v>0.28377999999999998</v>
      </c>
      <c r="C163">
        <v>0.30525000000000002</v>
      </c>
      <c r="D163">
        <v>0.28272999999999998</v>
      </c>
      <c r="E163">
        <v>0.30417</v>
      </c>
      <c r="F163">
        <v>25411978</v>
      </c>
      <c r="G163">
        <v>0.30417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0.90408525754884339</v>
      </c>
      <c r="Q163">
        <f t="shared" ref="Q163" si="791">F163*P163</f>
        <v>22974594.674955543</v>
      </c>
      <c r="R163">
        <f t="shared" ref="R163" si="792">R164+Q163</f>
        <v>274119745.61085093</v>
      </c>
      <c r="S163">
        <f t="shared" ref="S163" si="793">R163/100000</f>
        <v>2741.1974561085094</v>
      </c>
      <c r="T163">
        <f t="shared" ref="T163" si="794">S163/1000</f>
        <v>2.7411974561085093</v>
      </c>
    </row>
    <row r="164" spans="1:20" x14ac:dyDescent="0.25">
      <c r="A164" s="5">
        <v>44429</v>
      </c>
      <c r="B164">
        <v>0.29419000000000001</v>
      </c>
      <c r="C164">
        <v>0.31895000000000001</v>
      </c>
      <c r="D164">
        <v>0.27900999999999998</v>
      </c>
      <c r="E164">
        <v>0.28341</v>
      </c>
      <c r="F164">
        <v>150795588.69999999</v>
      </c>
      <c r="G164">
        <v>0.28341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-0.77966950425638404</v>
      </c>
      <c r="Q164">
        <f t="shared" ref="Q164" si="796">F164*P164</f>
        <v>-117570721.88577858</v>
      </c>
      <c r="R164">
        <f t="shared" ref="R164" si="797">R165+Q164</f>
        <v>251145150.93589541</v>
      </c>
      <c r="S164">
        <f t="shared" ref="S164" si="798">R164/100000</f>
        <v>2511.4515093589544</v>
      </c>
      <c r="T164">
        <f t="shared" ref="T164" si="799">S164/1000</f>
        <v>2.5114515093589542</v>
      </c>
    </row>
    <row r="165" spans="1:20" x14ac:dyDescent="0.25">
      <c r="A165" s="5">
        <v>44428</v>
      </c>
      <c r="B165">
        <v>0.26234000000000002</v>
      </c>
      <c r="C165">
        <v>0.29837999999999998</v>
      </c>
      <c r="D165">
        <v>0.247</v>
      </c>
      <c r="E165">
        <v>0.29410999999999998</v>
      </c>
      <c r="F165">
        <v>158069778.19999999</v>
      </c>
      <c r="G165">
        <v>0.29410999999999998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0.8337874659400546</v>
      </c>
      <c r="Q165">
        <f t="shared" ref="Q165" si="801">F165*P165</f>
        <v>131796599.80708447</v>
      </c>
      <c r="R165">
        <f t="shared" ref="R165" si="802">R166+Q165</f>
        <v>368715872.82167399</v>
      </c>
      <c r="S165">
        <f t="shared" ref="S165" si="803">R165/100000</f>
        <v>3687.1587282167397</v>
      </c>
      <c r="T165">
        <f t="shared" ref="T165" si="804">S165/1000</f>
        <v>3.68715872821674</v>
      </c>
    </row>
    <row r="166" spans="1:20" x14ac:dyDescent="0.25">
      <c r="A166" s="5">
        <v>44427</v>
      </c>
      <c r="B166">
        <v>0.22131000000000001</v>
      </c>
      <c r="C166">
        <v>0.26400000000000001</v>
      </c>
      <c r="D166">
        <v>0.21681</v>
      </c>
      <c r="E166">
        <v>0.26212000000000002</v>
      </c>
      <c r="F166">
        <v>145350259.90000001</v>
      </c>
      <c r="G166">
        <v>0.26212000000000002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0.92032210214028431</v>
      </c>
      <c r="Q166">
        <f t="shared" ref="Q166" si="806">F166*P166</f>
        <v>133769056.73780468</v>
      </c>
      <c r="R166">
        <f t="shared" ref="R166" si="807">R167+Q166</f>
        <v>236919273.01458955</v>
      </c>
      <c r="S166">
        <f t="shared" ref="S166" si="808">R166/100000</f>
        <v>2369.1927301458954</v>
      </c>
      <c r="T166">
        <f t="shared" ref="T166" si="809">S166/1000</f>
        <v>2.3691927301458953</v>
      </c>
    </row>
    <row r="167" spans="1:20" x14ac:dyDescent="0.25">
      <c r="A167" s="5">
        <v>44426</v>
      </c>
      <c r="B167">
        <v>0.21815999999999999</v>
      </c>
      <c r="C167">
        <v>0.23344000000000001</v>
      </c>
      <c r="D167">
        <v>0.20649999999999999</v>
      </c>
      <c r="E167">
        <v>0.22108</v>
      </c>
      <c r="F167">
        <v>121712502.7</v>
      </c>
      <c r="G167">
        <v>0.22108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8.240534521158123E-2</v>
      </c>
      <c r="Q167">
        <f t="shared" ref="Q167" si="811">F167*P167</f>
        <v>10029760.801559012</v>
      </c>
      <c r="R167">
        <f t="shared" ref="R167" si="812">R168+Q167</f>
        <v>103150216.27678487</v>
      </c>
      <c r="S167">
        <f t="shared" ref="S167" si="813">R167/100000</f>
        <v>1031.5021627678486</v>
      </c>
      <c r="T167">
        <f t="shared" ref="T167" si="814">S167/1000</f>
        <v>1.0315021627678487</v>
      </c>
    </row>
    <row r="168" spans="1:20" x14ac:dyDescent="0.25">
      <c r="A168" s="5">
        <v>44425</v>
      </c>
      <c r="B168">
        <v>0.21467</v>
      </c>
      <c r="C168">
        <v>0.25746999999999998</v>
      </c>
      <c r="D168">
        <v>0.20743</v>
      </c>
      <c r="E168">
        <v>0.21809000000000001</v>
      </c>
      <c r="F168">
        <v>203684392.19999999</v>
      </c>
      <c r="G168">
        <v>0.21809000000000001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-0.5739408473221419</v>
      </c>
      <c r="Q168">
        <f t="shared" ref="Q168" si="816">F168*P168</f>
        <v>-116902792.64556347</v>
      </c>
      <c r="R168">
        <f t="shared" ref="R168" si="817">R169+Q168</f>
        <v>93120455.475225851</v>
      </c>
      <c r="S168">
        <f t="shared" ref="S168" si="818">R168/100000</f>
        <v>931.20455475225856</v>
      </c>
      <c r="T168">
        <f t="shared" ref="T168" si="819">S168/1000</f>
        <v>0.93120455475225861</v>
      </c>
    </row>
    <row r="169" spans="1:20" x14ac:dyDescent="0.25">
      <c r="A169" s="5">
        <v>44424</v>
      </c>
      <c r="B169">
        <v>0.22373000000000001</v>
      </c>
      <c r="C169">
        <v>0.23416999999999999</v>
      </c>
      <c r="D169">
        <v>0.21</v>
      </c>
      <c r="E169">
        <v>0.21462999999999999</v>
      </c>
      <c r="F169">
        <v>107363762.90000001</v>
      </c>
      <c r="G169">
        <v>0.21462999999999999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-0.61688043028547823</v>
      </c>
      <c r="Q169">
        <f t="shared" ref="Q169" si="821">F169*P169</f>
        <v>-66230604.254820071</v>
      </c>
      <c r="R169">
        <f t="shared" ref="R169" si="822">R170+Q169</f>
        <v>210023248.12078932</v>
      </c>
      <c r="S169">
        <f t="shared" ref="S169" si="823">R169/100000</f>
        <v>2100.2324812078932</v>
      </c>
      <c r="T169">
        <f t="shared" ref="T169" si="824">S169/1000</f>
        <v>2.1002324812078932</v>
      </c>
    </row>
    <row r="170" spans="1:20" x14ac:dyDescent="0.25">
      <c r="A170" s="5">
        <v>44423</v>
      </c>
      <c r="B170">
        <v>0.22031000000000001</v>
      </c>
      <c r="C170">
        <v>0.22553999999999999</v>
      </c>
      <c r="D170">
        <v>0.20585999999999999</v>
      </c>
      <c r="E170">
        <v>0.22389999999999999</v>
      </c>
      <c r="F170">
        <v>61211350.200000003</v>
      </c>
      <c r="G170">
        <v>0.22389999999999999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0.83333333333333315</v>
      </c>
      <c r="Q170">
        <f t="shared" ref="Q170" si="826">F170*P170</f>
        <v>51009458.499999993</v>
      </c>
      <c r="R170">
        <f t="shared" ref="R170" si="827">R171+Q170</f>
        <v>276253852.3756094</v>
      </c>
      <c r="S170">
        <f t="shared" ref="S170" si="828">R170/100000</f>
        <v>2762.538523756094</v>
      </c>
      <c r="T170">
        <f t="shared" ref="T170" si="829">S170/1000</f>
        <v>2.7625385237560942</v>
      </c>
    </row>
    <row r="171" spans="1:20" x14ac:dyDescent="0.25">
      <c r="A171" s="5">
        <v>44422</v>
      </c>
      <c r="B171">
        <v>0.22785</v>
      </c>
      <c r="C171">
        <v>0.23515</v>
      </c>
      <c r="D171">
        <v>0.21067</v>
      </c>
      <c r="E171">
        <v>0.22058</v>
      </c>
      <c r="F171">
        <v>94097903.5</v>
      </c>
      <c r="G171">
        <v>0.22058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-0.19035947712418289</v>
      </c>
      <c r="Q171">
        <f t="shared" ref="Q171" si="831">F171*P171</f>
        <v>-17912427.708741818</v>
      </c>
      <c r="R171">
        <f t="shared" ref="R171" si="832">R172+Q171</f>
        <v>225244393.87560943</v>
      </c>
      <c r="S171">
        <f t="shared" ref="S171" si="833">R171/100000</f>
        <v>2252.4439387560942</v>
      </c>
      <c r="T171">
        <f t="shared" ref="T171" si="834">S171/1000</f>
        <v>2.2524439387560942</v>
      </c>
    </row>
    <row r="172" spans="1:20" x14ac:dyDescent="0.25">
      <c r="A172" s="5">
        <v>44421</v>
      </c>
      <c r="B172">
        <v>0.1905</v>
      </c>
      <c r="C172">
        <v>0.22900000000000001</v>
      </c>
      <c r="D172">
        <v>0.18706999999999999</v>
      </c>
      <c r="E172">
        <v>0.22761999999999999</v>
      </c>
      <c r="F172">
        <v>133550668.7</v>
      </c>
      <c r="G172">
        <v>0.22761999999999999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0.93417600763176634</v>
      </c>
      <c r="Q172">
        <f t="shared" ref="Q172" si="836">F172*P172</f>
        <v>124759830.5027187</v>
      </c>
      <c r="R172">
        <f t="shared" ref="R172" si="837">R173+Q172</f>
        <v>243156821.58435124</v>
      </c>
      <c r="S172">
        <f t="shared" ref="S172" si="838">R172/100000</f>
        <v>2431.5682158435125</v>
      </c>
      <c r="T172">
        <f t="shared" ref="T172" si="839">S172/1000</f>
        <v>2.4315682158435123</v>
      </c>
    </row>
    <row r="173" spans="1:20" x14ac:dyDescent="0.25">
      <c r="A173" s="5">
        <v>44420</v>
      </c>
      <c r="B173">
        <v>0.19384999999999999</v>
      </c>
      <c r="C173">
        <v>0.20799999999999999</v>
      </c>
      <c r="D173">
        <v>0.17838999999999999</v>
      </c>
      <c r="E173">
        <v>0.19034999999999999</v>
      </c>
      <c r="F173">
        <v>120047626.59999999</v>
      </c>
      <c r="G173">
        <v>0.19034999999999999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-0.19216480918608581</v>
      </c>
      <c r="Q173">
        <f t="shared" ref="Q173" si="841">F173*P173</f>
        <v>-23068929.258831479</v>
      </c>
      <c r="R173">
        <f t="shared" ref="R173" si="842">R174+Q173</f>
        <v>118396991.08163255</v>
      </c>
      <c r="S173">
        <f t="shared" ref="S173" si="843">R173/100000</f>
        <v>1183.9699108163256</v>
      </c>
      <c r="T173">
        <f t="shared" ref="T173" si="844">S173/1000</f>
        <v>1.1839699108163257</v>
      </c>
    </row>
    <row r="174" spans="1:20" x14ac:dyDescent="0.25">
      <c r="A174" s="5">
        <v>44419</v>
      </c>
      <c r="B174">
        <v>0.19070999999999999</v>
      </c>
      <c r="C174">
        <v>0.20915</v>
      </c>
      <c r="D174">
        <v>0.18978999999999999</v>
      </c>
      <c r="E174">
        <v>0.19358</v>
      </c>
      <c r="F174">
        <v>113410169.90000001</v>
      </c>
      <c r="G174">
        <v>0.19358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-0.60847107438016401</v>
      </c>
      <c r="Q174">
        <f t="shared" ref="Q174" si="846">F174*P174</f>
        <v>-69006807.924689949</v>
      </c>
      <c r="R174">
        <f t="shared" ref="R174" si="847">R175+Q174</f>
        <v>141465920.34046403</v>
      </c>
      <c r="S174">
        <f t="shared" ref="S174" si="848">R174/100000</f>
        <v>1414.6592034046403</v>
      </c>
      <c r="T174">
        <f t="shared" ref="T174" si="849">S174/1000</f>
        <v>1.4146592034046404</v>
      </c>
    </row>
    <row r="175" spans="1:20" x14ac:dyDescent="0.25">
      <c r="A175" s="5">
        <v>44418</v>
      </c>
      <c r="B175">
        <v>0.17752000000000001</v>
      </c>
      <c r="C175">
        <v>0.19686000000000001</v>
      </c>
      <c r="D175">
        <v>0.17521</v>
      </c>
      <c r="E175">
        <v>0.19051999999999999</v>
      </c>
      <c r="F175">
        <v>103578198.7</v>
      </c>
      <c r="G175">
        <v>0.19051999999999999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0.41431870669745852</v>
      </c>
      <c r="Q175">
        <f t="shared" ref="Q175" si="851">F175*P175</f>
        <v>42914385.32743638</v>
      </c>
      <c r="R175">
        <f t="shared" ref="R175" si="852">R176+Q175</f>
        <v>210472728.26515397</v>
      </c>
      <c r="S175">
        <f t="shared" ref="S175" si="853">R175/100000</f>
        <v>2104.7272826515396</v>
      </c>
      <c r="T175">
        <f t="shared" ref="T175" si="854">S175/1000</f>
        <v>2.1047272826515395</v>
      </c>
    </row>
    <row r="176" spans="1:20" x14ac:dyDescent="0.25">
      <c r="A176" s="5">
        <v>44417</v>
      </c>
      <c r="B176">
        <v>0.16494</v>
      </c>
      <c r="C176">
        <v>0.18446000000000001</v>
      </c>
      <c r="D176">
        <v>0.15989999999999999</v>
      </c>
      <c r="E176">
        <v>0.17784</v>
      </c>
      <c r="F176">
        <v>90835991.799999997</v>
      </c>
      <c r="G176">
        <v>0.17784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0.46091205211726322</v>
      </c>
      <c r="Q176">
        <f t="shared" ref="Q176" si="856">F176*P176</f>
        <v>41867403.386644892</v>
      </c>
      <c r="R176">
        <f t="shared" ref="R176" si="857">R177+Q176</f>
        <v>167558342.93771759</v>
      </c>
      <c r="S176">
        <f t="shared" ref="S176" si="858">R176/100000</f>
        <v>1675.5834293771759</v>
      </c>
      <c r="T176">
        <f t="shared" ref="T176" si="859">S176/1000</f>
        <v>1.6755834293771759</v>
      </c>
    </row>
    <row r="177" spans="1:20" x14ac:dyDescent="0.25">
      <c r="A177" s="5">
        <v>44416</v>
      </c>
      <c r="B177">
        <v>0.16880000000000001</v>
      </c>
      <c r="C177">
        <v>0.18063000000000001</v>
      </c>
      <c r="D177">
        <v>0.1623</v>
      </c>
      <c r="E177">
        <v>0.16477</v>
      </c>
      <c r="F177">
        <v>82497296.200000003</v>
      </c>
      <c r="G177">
        <v>0.16477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-0.73049645390070939</v>
      </c>
      <c r="Q177">
        <f t="shared" ref="Q177" si="861">F177*P177</f>
        <v>-60263982.330496468</v>
      </c>
      <c r="R177">
        <f t="shared" ref="R177" si="862">R178+Q177</f>
        <v>125690939.55107269</v>
      </c>
      <c r="S177">
        <f t="shared" ref="S177" si="863">R177/100000</f>
        <v>1256.9093955107269</v>
      </c>
      <c r="T177">
        <f t="shared" ref="T177" si="864">S177/1000</f>
        <v>1.2569093955107269</v>
      </c>
    </row>
    <row r="178" spans="1:20" x14ac:dyDescent="0.25">
      <c r="A178" s="5">
        <v>44415</v>
      </c>
      <c r="B178">
        <v>0.16699</v>
      </c>
      <c r="C178">
        <v>0.17629</v>
      </c>
      <c r="D178">
        <v>0.16261</v>
      </c>
      <c r="E178">
        <v>0.16907</v>
      </c>
      <c r="F178">
        <v>79509786.200000003</v>
      </c>
      <c r="G178">
        <v>0.16907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-5.5555555555556344E-2</v>
      </c>
      <c r="Q178">
        <f t="shared" ref="Q178" si="866">F178*P178</f>
        <v>-4417210.3444445068</v>
      </c>
      <c r="R178">
        <f t="shared" ref="R178" si="867">R179+Q178</f>
        <v>185954921.88156915</v>
      </c>
      <c r="S178">
        <f t="shared" ref="S178" si="868">R178/100000</f>
        <v>1859.5492188156916</v>
      </c>
      <c r="T178">
        <f t="shared" ref="T178" si="869">S178/1000</f>
        <v>1.8595492188156917</v>
      </c>
    </row>
    <row r="179" spans="1:20" x14ac:dyDescent="0.25">
      <c r="A179" s="5">
        <v>44414</v>
      </c>
      <c r="B179">
        <v>0.16711999999999999</v>
      </c>
      <c r="C179">
        <v>0.17544999999999999</v>
      </c>
      <c r="D179">
        <v>0.15876000000000001</v>
      </c>
      <c r="E179">
        <v>0.16697999999999999</v>
      </c>
      <c r="F179">
        <v>99602731.900000006</v>
      </c>
      <c r="G179">
        <v>0.16697999999999999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-1.4979029358899235E-2</v>
      </c>
      <c r="Q179">
        <f t="shared" ref="Q179" si="871">F179*P179</f>
        <v>-1491952.2453566694</v>
      </c>
      <c r="R179">
        <f t="shared" ref="R179" si="872">R180+Q179</f>
        <v>190372132.22601366</v>
      </c>
      <c r="S179">
        <f t="shared" ref="S179" si="873">R179/100000</f>
        <v>1903.7213222601365</v>
      </c>
      <c r="T179">
        <f t="shared" ref="T179" si="874">S179/1000</f>
        <v>1.9037213222601366</v>
      </c>
    </row>
    <row r="180" spans="1:20" x14ac:dyDescent="0.25">
      <c r="A180" s="5">
        <v>44413</v>
      </c>
      <c r="B180">
        <v>0.14696999999999999</v>
      </c>
      <c r="C180">
        <v>0.17</v>
      </c>
      <c r="D180">
        <v>0.14319000000000001</v>
      </c>
      <c r="E180">
        <v>0.16711999999999999</v>
      </c>
      <c r="F180">
        <v>217634482.40000001</v>
      </c>
      <c r="G180">
        <v>0.16711999999999999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0.78515479298768953</v>
      </c>
      <c r="Q180">
        <f t="shared" ref="Q180" si="876">F180*P180</f>
        <v>170876756.97575498</v>
      </c>
      <c r="R180">
        <f t="shared" ref="R180" si="877">R181+Q180</f>
        <v>191864084.47137034</v>
      </c>
      <c r="S180">
        <f t="shared" ref="S180" si="878">R180/100000</f>
        <v>1918.6408447137035</v>
      </c>
      <c r="T180">
        <f t="shared" ref="T180" si="879">S180/1000</f>
        <v>1.9186408447137036</v>
      </c>
    </row>
    <row r="181" spans="1:20" x14ac:dyDescent="0.25">
      <c r="A181" s="5">
        <v>44412</v>
      </c>
      <c r="B181">
        <v>0.14657000000000001</v>
      </c>
      <c r="C181">
        <v>0.14942</v>
      </c>
      <c r="D181">
        <v>0.13838</v>
      </c>
      <c r="E181">
        <v>0.14707999999999999</v>
      </c>
      <c r="F181">
        <v>61199910.700000003</v>
      </c>
      <c r="G181">
        <v>0.14707999999999999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0.57608695652173736</v>
      </c>
      <c r="Q181">
        <f t="shared" ref="Q181" si="881">F181*P181</f>
        <v>35256470.294565111</v>
      </c>
      <c r="R181">
        <f t="shared" ref="R181" si="882">R182+Q181</f>
        <v>20987327.495615378</v>
      </c>
      <c r="S181">
        <f t="shared" ref="S181" si="883">R181/100000</f>
        <v>209.87327495615378</v>
      </c>
      <c r="T181">
        <f t="shared" ref="T181" si="884">S181/1000</f>
        <v>0.20987327495615377</v>
      </c>
    </row>
    <row r="182" spans="1:20" x14ac:dyDescent="0.25">
      <c r="A182" s="5">
        <v>44411</v>
      </c>
      <c r="B182">
        <v>0.13972000000000001</v>
      </c>
      <c r="C182">
        <v>0.1532</v>
      </c>
      <c r="D182">
        <v>0.13347999999999999</v>
      </c>
      <c r="E182">
        <v>0.14666000000000001</v>
      </c>
      <c r="F182">
        <v>105829910.7</v>
      </c>
      <c r="G182">
        <v>0.14666000000000001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0.33671399594320639</v>
      </c>
      <c r="Q182">
        <f t="shared" ref="Q182" si="886">F182*P182</f>
        <v>35634412.122109696</v>
      </c>
      <c r="R182">
        <f t="shared" ref="R182" si="887">R183+Q182</f>
        <v>-14269142.798949733</v>
      </c>
      <c r="S182">
        <f t="shared" ref="S182" si="888">R182/100000</f>
        <v>-142.69142798949733</v>
      </c>
      <c r="T182">
        <f t="shared" ref="T182" si="889">S182/1000</f>
        <v>-0.14269142798949733</v>
      </c>
    </row>
    <row r="183" spans="1:20" x14ac:dyDescent="0.25">
      <c r="A183" s="5">
        <v>44410</v>
      </c>
      <c r="B183">
        <v>0.13561000000000001</v>
      </c>
      <c r="C183">
        <v>0.14443</v>
      </c>
      <c r="D183">
        <v>0.13322999999999999</v>
      </c>
      <c r="E183">
        <v>0.13969999999999999</v>
      </c>
      <c r="F183">
        <v>50525102.799999997</v>
      </c>
      <c r="G183">
        <v>0.13969999999999999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0.15535714285714189</v>
      </c>
      <c r="Q183">
        <f t="shared" ref="Q183" si="891">F183*P183</f>
        <v>7849435.6135713793</v>
      </c>
      <c r="R183">
        <f t="shared" ref="R183" si="892">R184+Q183</f>
        <v>-49903554.92105943</v>
      </c>
      <c r="S183">
        <f t="shared" ref="S183" si="893">R183/100000</f>
        <v>-499.0355492105943</v>
      </c>
      <c r="T183">
        <f t="shared" ref="T183" si="894">S183/1000</f>
        <v>-0.49903554921059429</v>
      </c>
    </row>
    <row r="184" spans="1:20" x14ac:dyDescent="0.25">
      <c r="A184" s="5">
        <v>44409</v>
      </c>
      <c r="B184">
        <v>0.13721</v>
      </c>
      <c r="C184">
        <v>0.14652000000000001</v>
      </c>
      <c r="D184">
        <v>0.13361999999999999</v>
      </c>
      <c r="E184">
        <v>0.13557</v>
      </c>
      <c r="F184">
        <v>62580606.100000001</v>
      </c>
      <c r="G184">
        <v>0.13557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-0.69767441860465051</v>
      </c>
      <c r="Q184">
        <f t="shared" ref="Q184" si="896">F184*P184</f>
        <v>-43660887.976744145</v>
      </c>
      <c r="R184">
        <f t="shared" ref="R184" si="897">R185+Q184</f>
        <v>-57752990.534630805</v>
      </c>
      <c r="S184">
        <f t="shared" ref="S184" si="898">R184/100000</f>
        <v>-577.52990534630806</v>
      </c>
      <c r="T184">
        <f t="shared" ref="T184" si="899">S184/1000</f>
        <v>-0.5775299053463081</v>
      </c>
    </row>
    <row r="185" spans="1:20" x14ac:dyDescent="0.25">
      <c r="A185" s="5">
        <v>44408</v>
      </c>
      <c r="B185">
        <v>0.13371</v>
      </c>
      <c r="C185">
        <v>0.14432</v>
      </c>
      <c r="D185">
        <v>0.12948000000000001</v>
      </c>
      <c r="E185">
        <v>0.13713</v>
      </c>
      <c r="F185">
        <v>76777425.5</v>
      </c>
      <c r="G185">
        <v>0.13713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3.0997304582209464E-2</v>
      </c>
      <c r="Q185">
        <f t="shared" ref="Q185" si="901">F185*P185</f>
        <v>2379893.243261396</v>
      </c>
      <c r="R185">
        <f t="shared" ref="R185" si="902">R186+Q185</f>
        <v>-14092102.55788666</v>
      </c>
      <c r="S185">
        <f t="shared" ref="S185" si="903">R185/100000</f>
        <v>-140.92102557886659</v>
      </c>
      <c r="T185">
        <f t="shared" ref="T185" si="904">S185/1000</f>
        <v>-0.1409210255788666</v>
      </c>
    </row>
    <row r="186" spans="1:20" x14ac:dyDescent="0.25">
      <c r="A186" s="5">
        <v>44407</v>
      </c>
      <c r="B186">
        <v>0.13704</v>
      </c>
      <c r="C186">
        <v>0.13775000000000001</v>
      </c>
      <c r="D186">
        <v>0.1245</v>
      </c>
      <c r="E186">
        <v>0.13372000000000001</v>
      </c>
      <c r="F186">
        <v>53458145.700000003</v>
      </c>
      <c r="G186">
        <v>0.13372000000000001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0.39169811320754683</v>
      </c>
      <c r="Q186">
        <f t="shared" ref="Q186" si="906">F186*P186</f>
        <v>20939454.806264132</v>
      </c>
      <c r="R186">
        <f t="shared" ref="R186" si="907">R187+Q186</f>
        <v>-16471995.801148057</v>
      </c>
      <c r="S186">
        <f t="shared" ref="S186" si="908">R186/100000</f>
        <v>-164.71995801148057</v>
      </c>
      <c r="T186">
        <f t="shared" ref="T186" si="909">S186/1000</f>
        <v>-0.16471995801148057</v>
      </c>
    </row>
    <row r="187" spans="1:20" x14ac:dyDescent="0.25">
      <c r="A187" s="5">
        <v>44406</v>
      </c>
      <c r="B187">
        <v>0.12481</v>
      </c>
      <c r="C187">
        <v>0.13782</v>
      </c>
      <c r="D187">
        <v>0.12101000000000001</v>
      </c>
      <c r="E187">
        <v>0.1371</v>
      </c>
      <c r="F187">
        <v>78191376.5</v>
      </c>
      <c r="G187">
        <v>0.1371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0.91433670434265335</v>
      </c>
      <c r="Q187">
        <f t="shared" ref="Q187" si="911">F187*P187</f>
        <v>71493245.497025594</v>
      </c>
      <c r="R187">
        <f t="shared" ref="R187" si="912">R188+Q187</f>
        <v>-37411450.607412189</v>
      </c>
      <c r="S187">
        <f t="shared" ref="S187" si="913">R187/100000</f>
        <v>-374.11450607412189</v>
      </c>
      <c r="T187">
        <f t="shared" ref="T187" si="914">S187/1000</f>
        <v>-0.37411450607412189</v>
      </c>
    </row>
    <row r="188" spans="1:20" x14ac:dyDescent="0.25">
      <c r="A188" s="5">
        <v>44405</v>
      </c>
      <c r="B188">
        <v>0.12737999999999999</v>
      </c>
      <c r="C188">
        <v>0.12887000000000001</v>
      </c>
      <c r="D188">
        <v>0.122</v>
      </c>
      <c r="E188">
        <v>0.12501999999999999</v>
      </c>
      <c r="F188">
        <v>52612671.299999997</v>
      </c>
      <c r="G188">
        <v>0.12501999999999999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-0.12081513828239059</v>
      </c>
      <c r="Q188">
        <f t="shared" ref="Q188" si="916">F188*P188</f>
        <v>-6356407.1585154617</v>
      </c>
      <c r="R188">
        <f t="shared" ref="R188" si="917">R189+Q188</f>
        <v>-108904696.10443778</v>
      </c>
      <c r="S188">
        <f t="shared" ref="S188" si="918">R188/100000</f>
        <v>-1089.0469610443779</v>
      </c>
      <c r="T188">
        <f t="shared" ref="T188" si="919">S188/1000</f>
        <v>-1.0890469610443778</v>
      </c>
    </row>
    <row r="189" spans="1:20" x14ac:dyDescent="0.25">
      <c r="A189" s="5">
        <v>44404</v>
      </c>
      <c r="B189">
        <v>0.12601999999999999</v>
      </c>
      <c r="C189">
        <v>0.13064999999999999</v>
      </c>
      <c r="D189">
        <v>0.11842999999999999</v>
      </c>
      <c r="E189">
        <v>0.12731000000000001</v>
      </c>
      <c r="F189">
        <v>70168781.900000006</v>
      </c>
      <c r="G189">
        <v>0.12731000000000001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0.4533551554828178</v>
      </c>
      <c r="Q189">
        <f t="shared" ref="Q189" si="921">F189*P189</f>
        <v>31811379.028314434</v>
      </c>
      <c r="R189">
        <f t="shared" ref="R189" si="922">R190+Q189</f>
        <v>-102548288.94592232</v>
      </c>
      <c r="S189">
        <f t="shared" ref="S189" si="923">R189/100000</f>
        <v>-1025.4828894592231</v>
      </c>
      <c r="T189">
        <f t="shared" ref="T189" si="924">S189/1000</f>
        <v>-1.0254828894592232</v>
      </c>
    </row>
    <row r="190" spans="1:20" x14ac:dyDescent="0.25">
      <c r="A190" s="5">
        <v>44403</v>
      </c>
      <c r="B190">
        <v>0.12345</v>
      </c>
      <c r="C190">
        <v>0.14799999999999999</v>
      </c>
      <c r="D190">
        <v>0.12271</v>
      </c>
      <c r="E190">
        <v>0.12601000000000001</v>
      </c>
      <c r="F190">
        <v>158048445.09999999</v>
      </c>
      <c r="G190">
        <v>0.12601000000000001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-0.73902728351126834</v>
      </c>
      <c r="Q190">
        <f t="shared" ref="Q190" si="926">F190*P190</f>
        <v>-116802113.04543282</v>
      </c>
      <c r="R190">
        <f t="shared" ref="R190" si="927">R191+Q190</f>
        <v>-134359667.97423676</v>
      </c>
      <c r="S190">
        <f t="shared" ref="S190" si="928">R190/100000</f>
        <v>-1343.5966797423675</v>
      </c>
      <c r="T190">
        <f t="shared" ref="T190" si="929">S190/1000</f>
        <v>-1.3435966797423675</v>
      </c>
    </row>
    <row r="191" spans="1:20" x14ac:dyDescent="0.25">
      <c r="A191" s="5">
        <v>44402</v>
      </c>
      <c r="B191">
        <v>0.11837</v>
      </c>
      <c r="C191">
        <v>0.1249</v>
      </c>
      <c r="D191">
        <v>0.11521000000000001</v>
      </c>
      <c r="E191">
        <v>0.12345</v>
      </c>
      <c r="F191">
        <v>51498786.100000001</v>
      </c>
      <c r="G191">
        <v>0.12345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0.70072239422084737</v>
      </c>
      <c r="Q191">
        <f t="shared" ref="Q191" si="931">F191*P191</f>
        <v>36086352.695459299</v>
      </c>
      <c r="R191">
        <f t="shared" ref="R191" si="932">R192+Q191</f>
        <v>-17557554.928803943</v>
      </c>
      <c r="S191">
        <f t="shared" ref="S191" si="933">R191/100000</f>
        <v>-175.57554928803944</v>
      </c>
      <c r="T191">
        <f t="shared" ref="T191:T197" si="934">S191/1000</f>
        <v>-0.17557554928803945</v>
      </c>
    </row>
    <row r="192" spans="1:20" x14ac:dyDescent="0.25">
      <c r="A192" s="5">
        <v>44401</v>
      </c>
      <c r="B192">
        <v>0.11836000000000001</v>
      </c>
      <c r="C192">
        <v>0.12809999999999999</v>
      </c>
      <c r="D192">
        <v>0.11481</v>
      </c>
      <c r="E192">
        <v>0.11836000000000001</v>
      </c>
      <c r="F192">
        <v>68856143.5</v>
      </c>
      <c r="G192">
        <v>0.11836000000000001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-0.46576373212941874</v>
      </c>
      <c r="Q192">
        <f t="shared" ref="Q192" si="936">F192*P192</f>
        <v>-32070694.376598816</v>
      </c>
      <c r="R192">
        <f t="shared" ref="R192" si="937">R193+Q192</f>
        <v>-53643907.624263242</v>
      </c>
      <c r="S192">
        <f t="shared" ref="S192" si="938">R192/100000</f>
        <v>-536.43907624263238</v>
      </c>
      <c r="T192">
        <f t="shared" si="934"/>
        <v>-0.53643907624263243</v>
      </c>
    </row>
    <row r="193" spans="1:20" x14ac:dyDescent="0.25">
      <c r="A193" s="5">
        <v>44400</v>
      </c>
      <c r="B193">
        <v>0.10722</v>
      </c>
      <c r="C193">
        <v>0.1235</v>
      </c>
      <c r="D193">
        <v>0.10621999999999999</v>
      </c>
      <c r="E193">
        <v>0.11834</v>
      </c>
      <c r="F193">
        <v>102028699</v>
      </c>
      <c r="G193">
        <v>0.11834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0.40277777777777812</v>
      </c>
      <c r="Q193">
        <f t="shared" ref="Q193" si="940">F193*P193</f>
        <v>41094892.652777813</v>
      </c>
      <c r="R193">
        <f t="shared" ref="R193" si="941">R194+Q193</f>
        <v>-21573213.247664429</v>
      </c>
      <c r="S193">
        <f t="shared" ref="S193" si="942">R193/100000</f>
        <v>-215.7321324766443</v>
      </c>
      <c r="T193">
        <f t="shared" si="934"/>
        <v>-0.2157321324766443</v>
      </c>
    </row>
    <row r="194" spans="1:20" x14ac:dyDescent="0.25">
      <c r="A194" s="5">
        <v>44399</v>
      </c>
      <c r="B194">
        <v>0.10424</v>
      </c>
      <c r="C194">
        <v>0.10964</v>
      </c>
      <c r="D194">
        <v>0.1018</v>
      </c>
      <c r="E194">
        <v>0.10721</v>
      </c>
      <c r="F194">
        <v>34653551.399999999</v>
      </c>
      <c r="G194">
        <v>0.10721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0.38010204081632609</v>
      </c>
      <c r="Q194">
        <f t="shared" ref="Q194" si="944">F194*P194</f>
        <v>13171885.608673453</v>
      </c>
      <c r="R194">
        <f t="shared" ref="R194" si="945">R195+Q194</f>
        <v>-62668105.900442243</v>
      </c>
      <c r="S194">
        <f t="shared" ref="S194" si="946">R194/100000</f>
        <v>-626.68105900442242</v>
      </c>
      <c r="T194">
        <f t="shared" si="934"/>
        <v>-0.62668105900442239</v>
      </c>
    </row>
    <row r="195" spans="1:20" x14ac:dyDescent="0.25">
      <c r="A195" s="5">
        <v>44398</v>
      </c>
      <c r="B195">
        <v>9.3640000000000001E-2</v>
      </c>
      <c r="C195">
        <v>0.10706</v>
      </c>
      <c r="D195">
        <v>9.0240000000000001E-2</v>
      </c>
      <c r="E195">
        <v>0.10424</v>
      </c>
      <c r="F195">
        <v>58238392.299999997</v>
      </c>
      <c r="G195">
        <v>0.10424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0.66468489892984506</v>
      </c>
      <c r="Q195">
        <f t="shared" ref="Q195" si="948">F195*P195</f>
        <v>38710179.899762161</v>
      </c>
      <c r="R195">
        <f t="shared" ref="R195" si="949">R196+Q195</f>
        <v>-75839991.509115696</v>
      </c>
      <c r="S195">
        <f t="shared" ref="S195" si="950">R195/100000</f>
        <v>-758.39991509115691</v>
      </c>
      <c r="T195">
        <f t="shared" si="934"/>
        <v>-0.7583999150911569</v>
      </c>
    </row>
    <row r="196" spans="1:20" x14ac:dyDescent="0.25">
      <c r="A196" s="5">
        <v>44397</v>
      </c>
      <c r="B196">
        <v>0.10322000000000001</v>
      </c>
      <c r="C196">
        <v>0.10521999999999999</v>
      </c>
      <c r="D196">
        <v>8.8789999999999994E-2</v>
      </c>
      <c r="E196">
        <v>9.3490000000000004E-2</v>
      </c>
      <c r="F196">
        <v>62282124.600000001</v>
      </c>
      <c r="G196">
        <v>9.3490000000000004E-2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-0.42787583688374808</v>
      </c>
      <c r="Q196">
        <f t="shared" ref="Q196" si="952">F196*P196</f>
        <v>-26649016.186122876</v>
      </c>
      <c r="R196">
        <f t="shared" ref="R196" si="953">R197+Q196</f>
        <v>-114550171.40887786</v>
      </c>
      <c r="S196">
        <f t="shared" ref="S196" si="954">R196/100000</f>
        <v>-1145.5017140887787</v>
      </c>
      <c r="T196">
        <f t="shared" si="934"/>
        <v>-1.1455017140887787</v>
      </c>
    </row>
    <row r="197" spans="1:20" x14ac:dyDescent="0.25">
      <c r="A197" s="5">
        <v>44396</v>
      </c>
      <c r="B197">
        <v>0.11700000000000001</v>
      </c>
      <c r="C197">
        <v>0.11763999999999999</v>
      </c>
      <c r="D197">
        <v>0.10149</v>
      </c>
      <c r="E197">
        <v>0.10326</v>
      </c>
      <c r="F197">
        <v>58609907.299999997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-0.7808049535603705</v>
      </c>
      <c r="Q197">
        <f t="shared" ref="Q197" si="956">F197*P197</f>
        <v>-45762905.947554119</v>
      </c>
      <c r="R197">
        <f t="shared" ref="R197" si="957">R198+Q197</f>
        <v>-87901155.222754985</v>
      </c>
      <c r="S197">
        <f t="shared" ref="S197" si="958">R197/100000</f>
        <v>-879.01155222754983</v>
      </c>
      <c r="T197">
        <f t="shared" si="934"/>
        <v>-0.87901155222754979</v>
      </c>
    </row>
    <row r="198" spans="1:20" x14ac:dyDescent="0.25">
      <c r="A198" s="5">
        <v>44395</v>
      </c>
      <c r="B198">
        <v>0.10994</v>
      </c>
      <c r="C198">
        <v>0.11999</v>
      </c>
      <c r="D198">
        <v>0.10965999999999999</v>
      </c>
      <c r="E198">
        <v>0.11693000000000001</v>
      </c>
      <c r="F198">
        <v>52718742.200000003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0.40755082284608102</v>
      </c>
      <c r="Q198">
        <f t="shared" ref="Q198:Q261" si="960">F198*P198</f>
        <v>21485566.763020415</v>
      </c>
      <c r="R198">
        <f t="shared" ref="R198:R261" si="961">R199+Q198</f>
        <v>-42138249.275200874</v>
      </c>
      <c r="S198">
        <f t="shared" ref="S198:S261" si="962">R198/100000</f>
        <v>-421.38249275200872</v>
      </c>
      <c r="T198">
        <f t="shared" ref="T198:T261" si="963">S198/1000</f>
        <v>-0.42138249275200873</v>
      </c>
    </row>
    <row r="199" spans="1:20" x14ac:dyDescent="0.25">
      <c r="A199" s="5">
        <v>44394</v>
      </c>
      <c r="B199">
        <v>0.11126999999999999</v>
      </c>
      <c r="C199">
        <v>0.114</v>
      </c>
      <c r="D199">
        <v>0.10749</v>
      </c>
      <c r="E199">
        <v>0.10979</v>
      </c>
      <c r="F199">
        <v>33620372.399999999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-0.29339477726574631</v>
      </c>
      <c r="Q199">
        <f t="shared" si="960"/>
        <v>-9864041.6718894448</v>
      </c>
      <c r="R199">
        <f t="shared" si="961"/>
        <v>-63623816.038221292</v>
      </c>
      <c r="S199">
        <f t="shared" si="962"/>
        <v>-636.23816038221287</v>
      </c>
      <c r="T199">
        <f t="shared" si="963"/>
        <v>-0.63623816038221281</v>
      </c>
    </row>
    <row r="200" spans="1:20" x14ac:dyDescent="0.25">
      <c r="A200" s="5">
        <v>44393</v>
      </c>
      <c r="B200">
        <v>0.12114999999999999</v>
      </c>
      <c r="C200">
        <v>0.12456</v>
      </c>
      <c r="D200">
        <v>0.1108</v>
      </c>
      <c r="E200">
        <v>0.11133999999999999</v>
      </c>
      <c r="F200">
        <v>37586357.100000001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-0.92151162790697694</v>
      </c>
      <c r="Q200">
        <f t="shared" si="960"/>
        <v>-34636265.118313961</v>
      </c>
      <c r="R200">
        <f t="shared" si="961"/>
        <v>-53759774.366331846</v>
      </c>
      <c r="S200">
        <f t="shared" si="962"/>
        <v>-537.59774366331851</v>
      </c>
      <c r="T200">
        <f t="shared" si="963"/>
        <v>-0.53759774366331847</v>
      </c>
    </row>
    <row r="201" spans="1:20" x14ac:dyDescent="0.25">
      <c r="A201" s="5">
        <v>44392</v>
      </c>
      <c r="B201">
        <v>0.12519</v>
      </c>
      <c r="C201">
        <v>0.12817000000000001</v>
      </c>
      <c r="D201">
        <v>0.1178</v>
      </c>
      <c r="E201">
        <v>0.12113</v>
      </c>
      <c r="F201">
        <v>43447383.200000003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-0.35776277724204469</v>
      </c>
      <c r="Q201">
        <f t="shared" si="960"/>
        <v>-15543856.477531357</v>
      </c>
      <c r="R201">
        <f t="shared" si="961"/>
        <v>-19123509.248017885</v>
      </c>
      <c r="S201">
        <f t="shared" si="962"/>
        <v>-191.23509248017885</v>
      </c>
      <c r="T201">
        <f t="shared" si="963"/>
        <v>-0.19123509248017884</v>
      </c>
    </row>
    <row r="202" spans="1:20" x14ac:dyDescent="0.25">
      <c r="A202" s="5">
        <v>44391</v>
      </c>
      <c r="B202">
        <v>0.1255</v>
      </c>
      <c r="C202">
        <v>0.13011</v>
      </c>
      <c r="D202">
        <v>0.11643000000000001</v>
      </c>
      <c r="E202">
        <v>0.12533</v>
      </c>
      <c r="F202">
        <v>69116927.099999994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0.30116959064327381</v>
      </c>
      <c r="Q202">
        <f t="shared" si="960"/>
        <v>20815916.641227998</v>
      </c>
      <c r="R202">
        <f t="shared" si="961"/>
        <v>-3579652.7704865262</v>
      </c>
      <c r="S202">
        <f t="shared" si="962"/>
        <v>-35.796527704865262</v>
      </c>
      <c r="T202">
        <f t="shared" si="963"/>
        <v>-3.5796527704865265E-2</v>
      </c>
    </row>
    <row r="203" spans="1:20" x14ac:dyDescent="0.25">
      <c r="A203" s="5">
        <v>44390</v>
      </c>
      <c r="B203">
        <v>0.12692000000000001</v>
      </c>
      <c r="C203">
        <v>0.12841</v>
      </c>
      <c r="D203">
        <v>0.12056</v>
      </c>
      <c r="E203">
        <v>0.12542</v>
      </c>
      <c r="F203">
        <v>51355189.899999999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0.23821656050955561</v>
      </c>
      <c r="Q203">
        <f t="shared" si="960"/>
        <v>12233656.702293068</v>
      </c>
      <c r="R203">
        <f t="shared" si="961"/>
        <v>-24395569.411714524</v>
      </c>
      <c r="S203">
        <f t="shared" si="962"/>
        <v>-243.95569411714524</v>
      </c>
      <c r="T203">
        <f t="shared" si="963"/>
        <v>-0.24395569411714524</v>
      </c>
    </row>
    <row r="204" spans="1:20" x14ac:dyDescent="0.25">
      <c r="A204" s="5">
        <v>44389</v>
      </c>
      <c r="B204">
        <v>0.13478000000000001</v>
      </c>
      <c r="C204">
        <v>0.13800000000000001</v>
      </c>
      <c r="D204">
        <v>0.12342</v>
      </c>
      <c r="E204">
        <v>0.12722</v>
      </c>
      <c r="F204">
        <v>71418172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-0.47873799725651639</v>
      </c>
      <c r="Q204">
        <f t="shared" si="960"/>
        <v>-34190592.631001413</v>
      </c>
      <c r="R204">
        <f t="shared" si="961"/>
        <v>-36629226.114007592</v>
      </c>
      <c r="S204">
        <f t="shared" si="962"/>
        <v>-366.29226114007594</v>
      </c>
      <c r="T204">
        <f t="shared" si="963"/>
        <v>-0.36629226114007596</v>
      </c>
    </row>
    <row r="205" spans="1:20" x14ac:dyDescent="0.25">
      <c r="A205" s="5">
        <v>44388</v>
      </c>
      <c r="B205">
        <v>0.12569</v>
      </c>
      <c r="C205">
        <v>0.13571</v>
      </c>
      <c r="D205">
        <v>0.12203</v>
      </c>
      <c r="E205">
        <v>0.13472000000000001</v>
      </c>
      <c r="F205">
        <v>43987753.799999997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0.85526315789473817</v>
      </c>
      <c r="Q205">
        <f t="shared" si="960"/>
        <v>37621105.223684266</v>
      </c>
      <c r="R205">
        <f t="shared" si="961"/>
        <v>-2438633.4830061793</v>
      </c>
      <c r="S205">
        <f t="shared" si="962"/>
        <v>-24.386334830061795</v>
      </c>
      <c r="T205">
        <f t="shared" si="963"/>
        <v>-2.4386334830061796E-2</v>
      </c>
    </row>
    <row r="206" spans="1:20" x14ac:dyDescent="0.25">
      <c r="A206" s="5">
        <v>44387</v>
      </c>
      <c r="B206">
        <v>0.12769</v>
      </c>
      <c r="C206">
        <v>0.1308</v>
      </c>
      <c r="D206">
        <v>0.121</v>
      </c>
      <c r="E206">
        <v>0.12559999999999999</v>
      </c>
      <c r="F206">
        <v>30873650.699999999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-6.1224489795920101E-2</v>
      </c>
      <c r="Q206">
        <f t="shared" si="960"/>
        <v>-1890223.5122449514</v>
      </c>
      <c r="R206">
        <f t="shared" si="961"/>
        <v>-40059738.706690446</v>
      </c>
      <c r="S206">
        <f t="shared" si="962"/>
        <v>-400.59738706690445</v>
      </c>
      <c r="T206">
        <f t="shared" si="963"/>
        <v>-0.40059738706690445</v>
      </c>
    </row>
    <row r="207" spans="1:20" x14ac:dyDescent="0.25">
      <c r="A207" s="5">
        <v>44386</v>
      </c>
      <c r="B207">
        <v>0.12872</v>
      </c>
      <c r="C207">
        <v>0.12970000000000001</v>
      </c>
      <c r="D207">
        <v>0.12053999999999999</v>
      </c>
      <c r="E207">
        <v>0.12770000000000001</v>
      </c>
      <c r="F207">
        <v>41066819.200000003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0.56331877729257673</v>
      </c>
      <c r="Q207">
        <f t="shared" si="960"/>
        <v>23133710.379039317</v>
      </c>
      <c r="R207">
        <f t="shared" si="961"/>
        <v>-38169515.194445491</v>
      </c>
      <c r="S207">
        <f t="shared" si="962"/>
        <v>-381.69515194445489</v>
      </c>
      <c r="T207">
        <f t="shared" si="963"/>
        <v>-0.38169515194445491</v>
      </c>
    </row>
    <row r="208" spans="1:20" x14ac:dyDescent="0.25">
      <c r="A208" s="5">
        <v>44385</v>
      </c>
      <c r="B208">
        <v>0.14162</v>
      </c>
      <c r="C208">
        <v>0.14227000000000001</v>
      </c>
      <c r="D208">
        <v>0.125</v>
      </c>
      <c r="E208">
        <v>0.12870999999999999</v>
      </c>
      <c r="F208">
        <v>56908613.200000003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-0.57035321366531677</v>
      </c>
      <c r="Q208">
        <f t="shared" si="960"/>
        <v>-32458010.423856467</v>
      </c>
      <c r="R208">
        <f t="shared" si="961"/>
        <v>-61303225.573484808</v>
      </c>
      <c r="S208">
        <f t="shared" si="962"/>
        <v>-613.03225573484804</v>
      </c>
      <c r="T208">
        <f t="shared" si="963"/>
        <v>-0.61303225573484799</v>
      </c>
    </row>
    <row r="209" spans="1:20" x14ac:dyDescent="0.25">
      <c r="A209" s="5">
        <v>44384</v>
      </c>
      <c r="B209">
        <v>0.14152999999999999</v>
      </c>
      <c r="C209">
        <v>0.14821000000000001</v>
      </c>
      <c r="D209">
        <v>0.13813</v>
      </c>
      <c r="E209">
        <v>0.1416</v>
      </c>
      <c r="F209">
        <v>55301736.700000003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-0.31150793650793673</v>
      </c>
      <c r="Q209">
        <f t="shared" si="960"/>
        <v>-17226929.884722237</v>
      </c>
      <c r="R209">
        <f t="shared" si="961"/>
        <v>-28845215.149628341</v>
      </c>
      <c r="S209">
        <f t="shared" si="962"/>
        <v>-288.45215149628342</v>
      </c>
      <c r="T209">
        <f t="shared" si="963"/>
        <v>-0.28845215149628339</v>
      </c>
    </row>
    <row r="210" spans="1:20" x14ac:dyDescent="0.25">
      <c r="A210" s="5">
        <v>44383</v>
      </c>
      <c r="B210">
        <v>0.13346</v>
      </c>
      <c r="C210">
        <v>0.14579</v>
      </c>
      <c r="D210">
        <v>0.13321</v>
      </c>
      <c r="E210">
        <v>0.14169000000000001</v>
      </c>
      <c r="F210">
        <v>79229396.5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0.34817170111287915</v>
      </c>
      <c r="Q210">
        <f t="shared" si="960"/>
        <v>27585433.757551793</v>
      </c>
      <c r="R210">
        <f t="shared" si="961"/>
        <v>-11618285.264906105</v>
      </c>
      <c r="S210">
        <f t="shared" si="962"/>
        <v>-116.18285264906105</v>
      </c>
      <c r="T210">
        <f t="shared" si="963"/>
        <v>-0.11618285264906104</v>
      </c>
    </row>
    <row r="211" spans="1:20" x14ac:dyDescent="0.25">
      <c r="A211" s="5">
        <v>44382</v>
      </c>
      <c r="B211">
        <v>0.14158999999999999</v>
      </c>
      <c r="C211">
        <v>0.14158999999999999</v>
      </c>
      <c r="D211">
        <v>0.128</v>
      </c>
      <c r="E211">
        <v>0.13321</v>
      </c>
      <c r="F211">
        <v>52477026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-0.23325974981604181</v>
      </c>
      <c r="Q211">
        <f t="shared" si="960"/>
        <v>-12240777.955849921</v>
      </c>
      <c r="R211">
        <f t="shared" si="961"/>
        <v>-39203719.022457898</v>
      </c>
      <c r="S211">
        <f t="shared" si="962"/>
        <v>-392.03719022457898</v>
      </c>
      <c r="T211">
        <f t="shared" si="963"/>
        <v>-0.392037190224579</v>
      </c>
    </row>
    <row r="212" spans="1:20" x14ac:dyDescent="0.25">
      <c r="A212" s="5">
        <v>44381</v>
      </c>
      <c r="B212">
        <v>0.13844999999999999</v>
      </c>
      <c r="C212">
        <v>0.14749000000000001</v>
      </c>
      <c r="D212">
        <v>0.13402</v>
      </c>
      <c r="E212">
        <v>0.14179</v>
      </c>
      <c r="F212">
        <v>38650037.299999997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0.15367483296213713</v>
      </c>
      <c r="Q212">
        <f t="shared" si="960"/>
        <v>5939538.0260578692</v>
      </c>
      <c r="R212">
        <f t="shared" si="961"/>
        <v>-26962941.066607974</v>
      </c>
      <c r="S212">
        <f t="shared" si="962"/>
        <v>-269.62941066607976</v>
      </c>
      <c r="T212">
        <f t="shared" si="963"/>
        <v>-0.26962941066607976</v>
      </c>
    </row>
    <row r="213" spans="1:20" x14ac:dyDescent="0.25">
      <c r="A213" s="5">
        <v>44380</v>
      </c>
      <c r="B213">
        <v>0.13572000000000001</v>
      </c>
      <c r="C213">
        <v>0.1431</v>
      </c>
      <c r="D213">
        <v>0.13200000000000001</v>
      </c>
      <c r="E213">
        <v>0.13852</v>
      </c>
      <c r="F213">
        <v>29530633.899999999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0.17477477477477454</v>
      </c>
      <c r="Q213">
        <f t="shared" si="960"/>
        <v>5161209.8888288215</v>
      </c>
      <c r="R213">
        <f t="shared" si="961"/>
        <v>-32902479.092665844</v>
      </c>
      <c r="S213">
        <f t="shared" si="962"/>
        <v>-329.02479092665845</v>
      </c>
      <c r="T213">
        <f t="shared" si="963"/>
        <v>-0.32902479092665843</v>
      </c>
    </row>
    <row r="214" spans="1:20" x14ac:dyDescent="0.25">
      <c r="A214" s="5">
        <v>44379</v>
      </c>
      <c r="B214">
        <v>0.13914000000000001</v>
      </c>
      <c r="C214">
        <v>0.14118</v>
      </c>
      <c r="D214">
        <v>0.13025</v>
      </c>
      <c r="E214">
        <v>0.13563</v>
      </c>
      <c r="F214">
        <v>42375544.299999997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-1.5553522415370865E-2</v>
      </c>
      <c r="Q214">
        <f t="shared" si="960"/>
        <v>-659088.97813359101</v>
      </c>
      <c r="R214">
        <f t="shared" si="961"/>
        <v>-38063688.981494665</v>
      </c>
      <c r="S214">
        <f t="shared" si="962"/>
        <v>-380.63688981494664</v>
      </c>
      <c r="T214">
        <f t="shared" si="963"/>
        <v>-0.38063688981494664</v>
      </c>
    </row>
    <row r="215" spans="1:20" x14ac:dyDescent="0.25">
      <c r="A215" s="5">
        <v>44378</v>
      </c>
      <c r="B215">
        <v>0.15210000000000001</v>
      </c>
      <c r="C215">
        <v>0.15497</v>
      </c>
      <c r="D215">
        <v>0.13571</v>
      </c>
      <c r="E215">
        <v>0.13915</v>
      </c>
      <c r="F215">
        <v>45079783.899999999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-0.64278296988577377</v>
      </c>
      <c r="Q215">
        <f t="shared" si="960"/>
        <v>-28976517.377050888</v>
      </c>
      <c r="R215">
        <f t="shared" si="961"/>
        <v>-37404600.003361076</v>
      </c>
      <c r="S215">
        <f t="shared" si="962"/>
        <v>-374.04600003361077</v>
      </c>
      <c r="T215">
        <f t="shared" si="963"/>
        <v>-0.37404600003361077</v>
      </c>
    </row>
    <row r="216" spans="1:20" x14ac:dyDescent="0.25">
      <c r="A216" s="5">
        <v>44377</v>
      </c>
      <c r="B216">
        <v>0.15357000000000001</v>
      </c>
      <c r="C216">
        <v>0.15551999999999999</v>
      </c>
      <c r="D216">
        <v>0.13891000000000001</v>
      </c>
      <c r="E216">
        <v>0.152</v>
      </c>
      <c r="F216">
        <v>61049889.100000001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0.57615894039735116</v>
      </c>
      <c r="Q216">
        <f t="shared" si="960"/>
        <v>35174439.415231802</v>
      </c>
      <c r="R216">
        <f t="shared" si="961"/>
        <v>-8428082.6263101846</v>
      </c>
      <c r="S216">
        <f t="shared" si="962"/>
        <v>-84.280826263101844</v>
      </c>
      <c r="T216">
        <f t="shared" si="963"/>
        <v>-8.4280826263101849E-2</v>
      </c>
    </row>
    <row r="217" spans="1:20" x14ac:dyDescent="0.25">
      <c r="A217" s="5">
        <v>44376</v>
      </c>
      <c r="B217">
        <v>0.14462</v>
      </c>
      <c r="C217">
        <v>0.16300000000000001</v>
      </c>
      <c r="D217">
        <v>0.14410000000000001</v>
      </c>
      <c r="E217">
        <v>0.15334</v>
      </c>
      <c r="F217">
        <v>53044979.299999997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-2.2222222222222417E-2</v>
      </c>
      <c r="Q217">
        <f t="shared" si="960"/>
        <v>-1178777.317777788</v>
      </c>
      <c r="R217">
        <f t="shared" si="961"/>
        <v>-43602522.041541986</v>
      </c>
      <c r="S217">
        <f t="shared" si="962"/>
        <v>-436.02522041541988</v>
      </c>
      <c r="T217">
        <f t="shared" si="963"/>
        <v>-0.43602522041541986</v>
      </c>
    </row>
    <row r="218" spans="1:20" x14ac:dyDescent="0.25">
      <c r="A218" s="5">
        <v>44375</v>
      </c>
      <c r="B218">
        <v>0.14208000000000001</v>
      </c>
      <c r="C218">
        <v>0.15076999999999999</v>
      </c>
      <c r="D218">
        <v>0.13833000000000001</v>
      </c>
      <c r="E218">
        <v>0.14463000000000001</v>
      </c>
      <c r="F218">
        <v>51764378.299999997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1.2861736334406874E-2</v>
      </c>
      <c r="Q218">
        <f t="shared" si="960"/>
        <v>665779.78520909266</v>
      </c>
      <c r="R218">
        <f t="shared" si="961"/>
        <v>-42423744.723764196</v>
      </c>
      <c r="S218">
        <f t="shared" si="962"/>
        <v>-424.23744723764196</v>
      </c>
      <c r="T218">
        <f t="shared" si="963"/>
        <v>-0.42423744723764195</v>
      </c>
    </row>
    <row r="219" spans="1:20" x14ac:dyDescent="0.25">
      <c r="A219" s="5">
        <v>44374</v>
      </c>
      <c r="B219">
        <v>0.13400999999999999</v>
      </c>
      <c r="C219">
        <v>0.14219999999999999</v>
      </c>
      <c r="D219">
        <v>0.13084999999999999</v>
      </c>
      <c r="E219">
        <v>0.14208000000000001</v>
      </c>
      <c r="F219">
        <v>38239522.299999997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0.97885462555066405</v>
      </c>
      <c r="Q219">
        <f t="shared" si="960"/>
        <v>37430933.282202765</v>
      </c>
      <c r="R219">
        <f t="shared" si="961"/>
        <v>-43089524.508973286</v>
      </c>
      <c r="S219">
        <f t="shared" si="962"/>
        <v>-430.89524508973284</v>
      </c>
      <c r="T219">
        <f t="shared" si="963"/>
        <v>-0.43089524508973281</v>
      </c>
    </row>
    <row r="220" spans="1:20" x14ac:dyDescent="0.25">
      <c r="A220" s="5">
        <v>44373</v>
      </c>
      <c r="B220">
        <v>0.13309000000000001</v>
      </c>
      <c r="C220">
        <v>0.13872999999999999</v>
      </c>
      <c r="D220">
        <v>0.12725</v>
      </c>
      <c r="E220">
        <v>0.13400999999999999</v>
      </c>
      <c r="F220">
        <v>50040565.299999997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0.17770034843205471</v>
      </c>
      <c r="Q220">
        <f t="shared" si="960"/>
        <v>8892225.8895469848</v>
      </c>
      <c r="R220">
        <f t="shared" si="961"/>
        <v>-80520457.791176051</v>
      </c>
      <c r="S220">
        <f t="shared" si="962"/>
        <v>-805.20457791176045</v>
      </c>
      <c r="T220">
        <f t="shared" si="963"/>
        <v>-0.80520457791176048</v>
      </c>
    </row>
    <row r="221" spans="1:20" x14ac:dyDescent="0.25">
      <c r="A221" s="5">
        <v>44372</v>
      </c>
      <c r="B221">
        <v>0.15232999999999999</v>
      </c>
      <c r="C221">
        <v>0.15645999999999999</v>
      </c>
      <c r="D221">
        <v>0.13138</v>
      </c>
      <c r="E221">
        <v>0.13321</v>
      </c>
      <c r="F221">
        <v>47470234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-0.85406698564593309</v>
      </c>
      <c r="Q221">
        <f t="shared" si="960"/>
        <v>-40542759.660287082</v>
      </c>
      <c r="R221">
        <f t="shared" si="961"/>
        <v>-89412683.680723041</v>
      </c>
      <c r="S221">
        <f t="shared" si="962"/>
        <v>-894.12683680723046</v>
      </c>
      <c r="T221">
        <f t="shared" si="963"/>
        <v>-0.89412683680723049</v>
      </c>
    </row>
    <row r="222" spans="1:20" x14ac:dyDescent="0.25">
      <c r="A222" s="5">
        <v>44371</v>
      </c>
      <c r="B222">
        <v>0.14829000000000001</v>
      </c>
      <c r="C222">
        <v>0.15842000000000001</v>
      </c>
      <c r="D222">
        <v>0.13952000000000001</v>
      </c>
      <c r="E222">
        <v>0.15228</v>
      </c>
      <c r="F222">
        <v>54409267.299999997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0.35026455026454956</v>
      </c>
      <c r="Q222">
        <f t="shared" si="960"/>
        <v>19057637.54105816</v>
      </c>
      <c r="R222">
        <f t="shared" si="961"/>
        <v>-48869924.020435952</v>
      </c>
      <c r="S222">
        <f t="shared" si="962"/>
        <v>-488.69924020435951</v>
      </c>
      <c r="T222">
        <f t="shared" si="963"/>
        <v>-0.48869924020435951</v>
      </c>
    </row>
    <row r="223" spans="1:20" x14ac:dyDescent="0.25">
      <c r="A223" s="5">
        <v>44370</v>
      </c>
      <c r="B223">
        <v>0.13406999999999999</v>
      </c>
      <c r="C223">
        <v>0.15895999999999999</v>
      </c>
      <c r="D223">
        <v>0.12784000000000001</v>
      </c>
      <c r="E223">
        <v>0.14835000000000001</v>
      </c>
      <c r="F223">
        <v>66450514.700000003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0.31812339331619621</v>
      </c>
      <c r="Q223">
        <f t="shared" si="960"/>
        <v>21139463.22397178</v>
      </c>
      <c r="R223">
        <f t="shared" si="961"/>
        <v>-67927561.561494112</v>
      </c>
      <c r="S223">
        <f t="shared" si="962"/>
        <v>-679.2756156149411</v>
      </c>
      <c r="T223">
        <f t="shared" si="963"/>
        <v>-0.6792756156149411</v>
      </c>
    </row>
    <row r="224" spans="1:20" x14ac:dyDescent="0.25">
      <c r="A224" s="5">
        <v>44369</v>
      </c>
      <c r="B224">
        <v>0.13639000000000001</v>
      </c>
      <c r="C224">
        <v>0.1618</v>
      </c>
      <c r="D224">
        <v>0.11552</v>
      </c>
      <c r="E224">
        <v>0.13408999999999999</v>
      </c>
      <c r="F224">
        <v>140711278.5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-0.19749351771823731</v>
      </c>
      <c r="Q224">
        <f t="shared" si="960"/>
        <v>-27789565.373595573</v>
      </c>
      <c r="R224">
        <f t="shared" si="961"/>
        <v>-89067024.785465896</v>
      </c>
      <c r="S224">
        <f t="shared" si="962"/>
        <v>-890.67024785465901</v>
      </c>
      <c r="T224">
        <f t="shared" si="963"/>
        <v>-0.89067024785465898</v>
      </c>
    </row>
    <row r="225" spans="1:20" x14ac:dyDescent="0.25">
      <c r="A225" s="5">
        <v>44368</v>
      </c>
      <c r="B225">
        <v>0.18275</v>
      </c>
      <c r="C225">
        <v>0.18396999999999999</v>
      </c>
      <c r="D225">
        <v>0.13561000000000001</v>
      </c>
      <c r="E225">
        <v>0.13649</v>
      </c>
      <c r="F225">
        <v>91609870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-0.96360628618693167</v>
      </c>
      <c r="Q225">
        <f t="shared" si="960"/>
        <v>-88275846.608767599</v>
      </c>
      <c r="R225">
        <f t="shared" si="961"/>
        <v>-61277459.411870316</v>
      </c>
      <c r="S225">
        <f t="shared" si="962"/>
        <v>-612.77459411870313</v>
      </c>
      <c r="T225">
        <f t="shared" si="963"/>
        <v>-0.61277459411870316</v>
      </c>
    </row>
    <row r="226" spans="1:20" x14ac:dyDescent="0.25">
      <c r="A226" s="5">
        <v>44367</v>
      </c>
      <c r="B226">
        <v>0.17763000000000001</v>
      </c>
      <c r="C226">
        <v>0.18437999999999999</v>
      </c>
      <c r="D226">
        <v>0.16642000000000001</v>
      </c>
      <c r="E226">
        <v>0.18246999999999999</v>
      </c>
      <c r="F226">
        <v>48893210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0.7873051224944323</v>
      </c>
      <c r="Q226">
        <f t="shared" si="960"/>
        <v>38493874.688196003</v>
      </c>
      <c r="R226">
        <f t="shared" si="961"/>
        <v>26998387.196897279</v>
      </c>
      <c r="S226">
        <f t="shared" si="962"/>
        <v>269.98387196897278</v>
      </c>
      <c r="T226">
        <f t="shared" si="963"/>
        <v>0.26998387196897278</v>
      </c>
    </row>
    <row r="227" spans="1:20" x14ac:dyDescent="0.25">
      <c r="A227" s="5">
        <v>44366</v>
      </c>
      <c r="B227">
        <v>0.17968999999999999</v>
      </c>
      <c r="C227">
        <v>0.187</v>
      </c>
      <c r="D227">
        <v>0.17394000000000001</v>
      </c>
      <c r="E227">
        <v>0.17763000000000001</v>
      </c>
      <c r="F227">
        <v>38702107.700000003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-0.43491577335375159</v>
      </c>
      <c r="Q227">
        <f t="shared" si="960"/>
        <v>-16832157.100765686</v>
      </c>
      <c r="R227">
        <f t="shared" si="961"/>
        <v>-11495487.491298724</v>
      </c>
      <c r="S227">
        <f t="shared" si="962"/>
        <v>-114.95487491298724</v>
      </c>
      <c r="T227">
        <f t="shared" si="963"/>
        <v>-0.11495487491298724</v>
      </c>
    </row>
    <row r="228" spans="1:20" x14ac:dyDescent="0.25">
      <c r="A228" s="5">
        <v>44365</v>
      </c>
      <c r="B228">
        <v>0.19864999999999999</v>
      </c>
      <c r="C228">
        <v>0.20122999999999999</v>
      </c>
      <c r="D228">
        <v>0.17222999999999999</v>
      </c>
      <c r="E228">
        <v>0.17968999999999999</v>
      </c>
      <c r="F228">
        <v>74962125.700000003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-0.48551724137931068</v>
      </c>
      <c r="Q228">
        <f t="shared" si="960"/>
        <v>-36395404.477793127</v>
      </c>
      <c r="R228">
        <f t="shared" si="961"/>
        <v>5336669.6094669625</v>
      </c>
      <c r="S228">
        <f t="shared" si="962"/>
        <v>53.366696094669628</v>
      </c>
      <c r="T228">
        <f t="shared" si="963"/>
        <v>5.3366696094669624E-2</v>
      </c>
    </row>
    <row r="229" spans="1:20" x14ac:dyDescent="0.25">
      <c r="A229" s="5">
        <v>44364</v>
      </c>
      <c r="B229">
        <v>0.20386000000000001</v>
      </c>
      <c r="C229">
        <v>0.21365000000000001</v>
      </c>
      <c r="D229">
        <v>0.19313</v>
      </c>
      <c r="E229">
        <v>0.19864999999999999</v>
      </c>
      <c r="F229">
        <v>57086571.299999997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-0.46198830409356778</v>
      </c>
      <c r="Q229">
        <f t="shared" si="960"/>
        <v>-26373328.261403538</v>
      </c>
      <c r="R229">
        <f t="shared" si="961"/>
        <v>41732074.08726009</v>
      </c>
      <c r="S229">
        <f t="shared" si="962"/>
        <v>417.32074087260088</v>
      </c>
      <c r="T229">
        <f t="shared" si="963"/>
        <v>0.4173207408726009</v>
      </c>
    </row>
    <row r="230" spans="1:20" x14ac:dyDescent="0.25">
      <c r="A230" s="5">
        <v>44363</v>
      </c>
      <c r="B230">
        <v>0.20529</v>
      </c>
      <c r="C230">
        <v>0.21199999999999999</v>
      </c>
      <c r="D230">
        <v>0.19467000000000001</v>
      </c>
      <c r="E230">
        <v>0.20386000000000001</v>
      </c>
      <c r="F230">
        <v>66926480.700000003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6.058857472591022E-2</v>
      </c>
      <c r="Q230">
        <f t="shared" si="960"/>
        <v>4054980.0770341381</v>
      </c>
      <c r="R230">
        <f t="shared" si="961"/>
        <v>68105402.348663628</v>
      </c>
      <c r="S230">
        <f t="shared" si="962"/>
        <v>681.05402348663631</v>
      </c>
      <c r="T230">
        <f t="shared" si="963"/>
        <v>0.68105402348663635</v>
      </c>
    </row>
    <row r="231" spans="1:20" x14ac:dyDescent="0.25">
      <c r="A231" s="5">
        <v>44362</v>
      </c>
      <c r="B231">
        <v>0.21149999999999999</v>
      </c>
      <c r="C231">
        <v>0.22473000000000001</v>
      </c>
      <c r="D231">
        <v>0.20501</v>
      </c>
      <c r="E231">
        <v>0.20544000000000001</v>
      </c>
      <c r="F231">
        <v>72292890.200000003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-0.95638945233265582</v>
      </c>
      <c r="Q231">
        <f t="shared" si="960"/>
        <v>-69140157.665922821</v>
      </c>
      <c r="R231">
        <f t="shared" si="961"/>
        <v>64050422.271629497</v>
      </c>
      <c r="S231">
        <f t="shared" si="962"/>
        <v>640.50422271629498</v>
      </c>
      <c r="T231">
        <f t="shared" si="963"/>
        <v>0.64050422271629492</v>
      </c>
    </row>
    <row r="232" spans="1:20" x14ac:dyDescent="0.25">
      <c r="A232" s="5">
        <v>44361</v>
      </c>
      <c r="B232">
        <v>0.21343000000000001</v>
      </c>
      <c r="C232">
        <v>0.21697</v>
      </c>
      <c r="D232">
        <v>0.20333999999999999</v>
      </c>
      <c r="E232">
        <v>0.21146000000000001</v>
      </c>
      <c r="F232">
        <v>67689628</v>
      </c>
      <c r="G232">
        <v>0</v>
      </c>
      <c r="L232" t="s">
        <v>7</v>
      </c>
      <c r="M232" t="s">
        <v>8</v>
      </c>
      <c r="N232" t="s">
        <v>7</v>
      </c>
      <c r="P232">
        <f t="shared" si="959"/>
        <v>0.19148936170212974</v>
      </c>
      <c r="Q232">
        <f t="shared" si="960"/>
        <v>12961843.659574609</v>
      </c>
      <c r="R232">
        <f t="shared" si="961"/>
        <v>133190579.93755232</v>
      </c>
      <c r="S232">
        <f t="shared" si="962"/>
        <v>1331.9057993755232</v>
      </c>
      <c r="T232">
        <f t="shared" si="963"/>
        <v>1.3319057993755232</v>
      </c>
    </row>
    <row r="233" spans="1:20" x14ac:dyDescent="0.25">
      <c r="A233" s="5">
        <v>44360</v>
      </c>
      <c r="B233">
        <v>0.19039</v>
      </c>
      <c r="C233">
        <v>0.218</v>
      </c>
      <c r="D233">
        <v>0.18532000000000001</v>
      </c>
      <c r="E233">
        <v>0.21360999999999999</v>
      </c>
      <c r="F233">
        <v>81156501.299999997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0.73133414932680496</v>
      </c>
      <c r="Q233">
        <f t="shared" si="960"/>
        <v>59352520.840575241</v>
      </c>
      <c r="R233">
        <f t="shared" si="961"/>
        <v>120228736.27797771</v>
      </c>
      <c r="S233">
        <f t="shared" si="962"/>
        <v>1202.2873627797771</v>
      </c>
      <c r="T233">
        <f t="shared" si="963"/>
        <v>1.2022873627797772</v>
      </c>
    </row>
    <row r="234" spans="1:20" x14ac:dyDescent="0.25">
      <c r="A234" s="5">
        <v>44359</v>
      </c>
      <c r="B234">
        <v>0.19209000000000001</v>
      </c>
      <c r="C234">
        <v>0.19858999999999999</v>
      </c>
      <c r="D234">
        <v>0.17957000000000001</v>
      </c>
      <c r="E234">
        <v>0.19051000000000001</v>
      </c>
      <c r="F234">
        <v>69080262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0.15036803364879242</v>
      </c>
      <c r="Q234">
        <f t="shared" si="960"/>
        <v>10387463.160883397</v>
      </c>
      <c r="R234">
        <f t="shared" si="961"/>
        <v>60876215.437402457</v>
      </c>
      <c r="S234">
        <f t="shared" si="962"/>
        <v>608.76215437402459</v>
      </c>
      <c r="T234">
        <f t="shared" si="963"/>
        <v>0.60876215437402459</v>
      </c>
    </row>
    <row r="235" spans="1:20" x14ac:dyDescent="0.25">
      <c r="A235" s="5">
        <v>44358</v>
      </c>
      <c r="B235">
        <v>0.20577000000000001</v>
      </c>
      <c r="C235">
        <v>0.21987999999999999</v>
      </c>
      <c r="D235">
        <v>0.188</v>
      </c>
      <c r="E235">
        <v>0.19176000000000001</v>
      </c>
      <c r="F235">
        <v>95217815.299999997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-0.76411543287327388</v>
      </c>
      <c r="Q235">
        <f t="shared" si="960"/>
        <v>-72757402.155206934</v>
      </c>
      <c r="R235">
        <f t="shared" si="961"/>
        <v>50488752.27651906</v>
      </c>
      <c r="S235">
        <f t="shared" si="962"/>
        <v>504.88752276519062</v>
      </c>
      <c r="T235">
        <f t="shared" si="963"/>
        <v>0.50488752276519067</v>
      </c>
    </row>
    <row r="236" spans="1:20" x14ac:dyDescent="0.25">
      <c r="A236" s="5">
        <v>44357</v>
      </c>
      <c r="B236">
        <v>0.22048999999999999</v>
      </c>
      <c r="C236">
        <v>0.23383000000000001</v>
      </c>
      <c r="D236">
        <v>0.20177</v>
      </c>
      <c r="E236">
        <v>0.20599999999999999</v>
      </c>
      <c r="F236">
        <v>115309246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-0.73611977542108653</v>
      </c>
      <c r="Q236">
        <f t="shared" si="960"/>
        <v>-84881416.269494817</v>
      </c>
      <c r="R236">
        <f t="shared" si="961"/>
        <v>123246154.43172599</v>
      </c>
      <c r="S236">
        <f t="shared" si="962"/>
        <v>1232.4615443172599</v>
      </c>
      <c r="T236">
        <f t="shared" si="963"/>
        <v>1.23246154431726</v>
      </c>
    </row>
    <row r="237" spans="1:20" x14ac:dyDescent="0.25">
      <c r="A237" s="5">
        <v>44356</v>
      </c>
      <c r="B237">
        <v>0.19506999999999999</v>
      </c>
      <c r="C237">
        <v>0.22059999999999999</v>
      </c>
      <c r="D237">
        <v>0.18371999999999999</v>
      </c>
      <c r="E237">
        <v>0.22045000000000001</v>
      </c>
      <c r="F237">
        <v>97621625.200000003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0.99186550976138921</v>
      </c>
      <c r="Q237">
        <f t="shared" si="960"/>
        <v>96827523.042733282</v>
      </c>
      <c r="R237">
        <f t="shared" si="961"/>
        <v>208127570.70122081</v>
      </c>
      <c r="S237">
        <f t="shared" si="962"/>
        <v>2081.2757070122079</v>
      </c>
      <c r="T237">
        <f t="shared" si="963"/>
        <v>2.0812757070122081</v>
      </c>
    </row>
    <row r="238" spans="1:20" x14ac:dyDescent="0.25">
      <c r="A238" s="5">
        <v>44355</v>
      </c>
      <c r="B238">
        <v>0.20044999999999999</v>
      </c>
      <c r="C238">
        <v>0.20776</v>
      </c>
      <c r="D238">
        <v>0.17501</v>
      </c>
      <c r="E238">
        <v>0.19536999999999999</v>
      </c>
      <c r="F238">
        <v>113016056.3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0.24335877862595348</v>
      </c>
      <c r="Q238">
        <f t="shared" si="960"/>
        <v>27503449.426289994</v>
      </c>
      <c r="R238">
        <f t="shared" si="961"/>
        <v>111300047.65848751</v>
      </c>
      <c r="S238">
        <f t="shared" si="962"/>
        <v>1113.0004765848751</v>
      </c>
      <c r="T238">
        <f t="shared" si="963"/>
        <v>1.1130004765848751</v>
      </c>
    </row>
    <row r="239" spans="1:20" x14ac:dyDescent="0.25">
      <c r="A239" s="5">
        <v>44354</v>
      </c>
      <c r="B239">
        <v>0.22620000000000001</v>
      </c>
      <c r="C239">
        <v>0.23968999999999999</v>
      </c>
      <c r="D239">
        <v>0.19803999999999999</v>
      </c>
      <c r="E239">
        <v>0.20046</v>
      </c>
      <c r="F239">
        <v>80196309.200000003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-0.88379351740696255</v>
      </c>
      <c r="Q239">
        <f t="shared" si="960"/>
        <v>-70876978.190924346</v>
      </c>
      <c r="R239">
        <f t="shared" si="961"/>
        <v>83796598.232197523</v>
      </c>
      <c r="S239">
        <f t="shared" si="962"/>
        <v>837.96598232197528</v>
      </c>
      <c r="T239">
        <f t="shared" si="963"/>
        <v>0.83796598232197528</v>
      </c>
    </row>
    <row r="240" spans="1:20" x14ac:dyDescent="0.25">
      <c r="A240" s="5">
        <v>44353</v>
      </c>
      <c r="B240">
        <v>0.21778</v>
      </c>
      <c r="C240">
        <v>0.24328</v>
      </c>
      <c r="D240">
        <v>0.21665000000000001</v>
      </c>
      <c r="E240">
        <v>0.22647999999999999</v>
      </c>
      <c r="F240">
        <v>56852963.200000003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-0.26173488546751916</v>
      </c>
      <c r="Q240">
        <f t="shared" si="960"/>
        <v>-14880403.811641082</v>
      </c>
      <c r="R240">
        <f t="shared" si="961"/>
        <v>154673576.42312187</v>
      </c>
      <c r="S240">
        <f t="shared" si="962"/>
        <v>1546.7357642312188</v>
      </c>
      <c r="T240">
        <f t="shared" si="963"/>
        <v>1.5467357642312187</v>
      </c>
    </row>
    <row r="241" spans="1:20" x14ac:dyDescent="0.25">
      <c r="A241" s="5">
        <v>44352</v>
      </c>
      <c r="B241">
        <v>0.23300000000000001</v>
      </c>
      <c r="C241">
        <v>0.25205</v>
      </c>
      <c r="D241">
        <v>0.20868</v>
      </c>
      <c r="E241">
        <v>0.21814</v>
      </c>
      <c r="F241">
        <v>85328581.5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-0.56375374682960577</v>
      </c>
      <c r="Q241">
        <f t="shared" si="960"/>
        <v>-48104307.532280385</v>
      </c>
      <c r="R241">
        <f t="shared" si="961"/>
        <v>169553980.23476294</v>
      </c>
      <c r="S241">
        <f t="shared" si="962"/>
        <v>1695.5398023476293</v>
      </c>
      <c r="T241">
        <f t="shared" si="963"/>
        <v>1.6955398023476294</v>
      </c>
    </row>
    <row r="242" spans="1:20" x14ac:dyDescent="0.25">
      <c r="A242" s="5">
        <v>44351</v>
      </c>
      <c r="B242">
        <v>0.26327</v>
      </c>
      <c r="C242">
        <v>0.2641</v>
      </c>
      <c r="D242">
        <v>0.21973999999999999</v>
      </c>
      <c r="E242">
        <v>0.23300000000000001</v>
      </c>
      <c r="F242">
        <v>105660186.7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-0.40216411181244283</v>
      </c>
      <c r="Q242">
        <f t="shared" si="960"/>
        <v>-42492735.138142385</v>
      </c>
      <c r="R242">
        <f t="shared" si="961"/>
        <v>217658287.76704332</v>
      </c>
      <c r="S242">
        <f t="shared" si="962"/>
        <v>2176.5828776704334</v>
      </c>
      <c r="T242">
        <f t="shared" si="963"/>
        <v>2.1765828776704335</v>
      </c>
    </row>
    <row r="243" spans="1:20" x14ac:dyDescent="0.25">
      <c r="A243" s="5">
        <v>44350</v>
      </c>
      <c r="B243">
        <v>0.24943000000000001</v>
      </c>
      <c r="C243">
        <v>0.27725</v>
      </c>
      <c r="D243">
        <v>0.24606</v>
      </c>
      <c r="E243">
        <v>0.26327</v>
      </c>
      <c r="F243">
        <v>75139680.5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0.10355883295928217</v>
      </c>
      <c r="Q243">
        <f t="shared" si="960"/>
        <v>7781377.6215133322</v>
      </c>
      <c r="R243">
        <f t="shared" si="961"/>
        <v>260151022.9051857</v>
      </c>
      <c r="S243">
        <f t="shared" si="962"/>
        <v>2601.5102290518571</v>
      </c>
      <c r="T243">
        <f t="shared" si="963"/>
        <v>2.6015102290518572</v>
      </c>
    </row>
    <row r="244" spans="1:20" x14ac:dyDescent="0.25">
      <c r="A244" s="5">
        <v>44349</v>
      </c>
      <c r="B244">
        <v>0.22527</v>
      </c>
      <c r="C244">
        <v>0.26439000000000001</v>
      </c>
      <c r="D244">
        <v>0.21640000000000001</v>
      </c>
      <c r="E244">
        <v>0.24953</v>
      </c>
      <c r="F244">
        <v>118004377.2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0.38070431339862426</v>
      </c>
      <c r="Q244">
        <f t="shared" si="960"/>
        <v>44924775.399958275</v>
      </c>
      <c r="R244">
        <f t="shared" si="961"/>
        <v>252369645.28367236</v>
      </c>
      <c r="S244">
        <f t="shared" si="962"/>
        <v>2523.6964528367234</v>
      </c>
      <c r="T244">
        <f t="shared" si="963"/>
        <v>2.5236964528367234</v>
      </c>
    </row>
    <row r="245" spans="1:20" x14ac:dyDescent="0.25">
      <c r="A245" s="5">
        <v>44348</v>
      </c>
      <c r="B245">
        <v>0.23512</v>
      </c>
      <c r="C245">
        <v>0.24210000000000001</v>
      </c>
      <c r="D245">
        <v>0.21922</v>
      </c>
      <c r="E245">
        <v>0.22549</v>
      </c>
      <c r="F245">
        <v>72166091.900000006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-0.45192307692307737</v>
      </c>
      <c r="Q245">
        <f t="shared" si="960"/>
        <v>-32613522.300961573</v>
      </c>
      <c r="R245">
        <f t="shared" si="961"/>
        <v>207444869.88371408</v>
      </c>
      <c r="S245">
        <f t="shared" si="962"/>
        <v>2074.4486988371409</v>
      </c>
      <c r="T245">
        <f t="shared" si="963"/>
        <v>2.0744486988371409</v>
      </c>
    </row>
    <row r="246" spans="1:20" x14ac:dyDescent="0.25">
      <c r="A246" s="5">
        <v>44347</v>
      </c>
      <c r="B246">
        <v>0.22248999999999999</v>
      </c>
      <c r="C246">
        <v>0.23738000000000001</v>
      </c>
      <c r="D246">
        <v>0.20558000000000001</v>
      </c>
      <c r="E246">
        <v>0.23483999999999999</v>
      </c>
      <c r="F246">
        <v>95600757.799999997</v>
      </c>
      <c r="G246">
        <v>0</v>
      </c>
      <c r="L246" t="s">
        <v>7</v>
      </c>
      <c r="M246" t="s">
        <v>8</v>
      </c>
      <c r="N246" t="s">
        <v>7</v>
      </c>
      <c r="P246">
        <f t="shared" si="959"/>
        <v>0.84025157232704306</v>
      </c>
      <c r="Q246">
        <f t="shared" si="960"/>
        <v>80328687.057106823</v>
      </c>
      <c r="R246">
        <f t="shared" si="961"/>
        <v>240058392.18467566</v>
      </c>
      <c r="S246">
        <f t="shared" si="962"/>
        <v>2400.5839218467568</v>
      </c>
      <c r="T246">
        <f t="shared" si="963"/>
        <v>2.4005839218467568</v>
      </c>
    </row>
    <row r="247" spans="1:20" x14ac:dyDescent="0.25">
      <c r="A247" s="5">
        <v>44346</v>
      </c>
      <c r="B247">
        <v>0.19256000000000001</v>
      </c>
      <c r="C247">
        <v>0.23669999999999999</v>
      </c>
      <c r="D247">
        <v>0.17899999999999999</v>
      </c>
      <c r="E247">
        <v>0.22217999999999999</v>
      </c>
      <c r="F247">
        <v>115681724.90000001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0.49670710571923726</v>
      </c>
      <c r="Q247">
        <f t="shared" si="960"/>
        <v>57459934.759688027</v>
      </c>
      <c r="R247">
        <f t="shared" si="961"/>
        <v>159729705.12756884</v>
      </c>
      <c r="S247">
        <f t="shared" si="962"/>
        <v>1597.2970512756883</v>
      </c>
      <c r="T247">
        <f t="shared" si="963"/>
        <v>1.5972970512756883</v>
      </c>
    </row>
    <row r="248" spans="1:20" x14ac:dyDescent="0.25">
      <c r="A248" s="5">
        <v>44345</v>
      </c>
      <c r="B248">
        <v>0.20488999999999999</v>
      </c>
      <c r="C248">
        <v>0.21773999999999999</v>
      </c>
      <c r="D248">
        <v>0.18162</v>
      </c>
      <c r="E248">
        <v>0.19242999999999999</v>
      </c>
      <c r="F248">
        <v>82662476.5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-0.40143964562569268</v>
      </c>
      <c r="Q248">
        <f t="shared" si="960"/>
        <v>-33183995.27270215</v>
      </c>
      <c r="R248">
        <f t="shared" si="961"/>
        <v>102269770.36788082</v>
      </c>
      <c r="S248">
        <f t="shared" si="962"/>
        <v>1022.6977036788082</v>
      </c>
      <c r="T248">
        <f t="shared" si="963"/>
        <v>1.0226977036788083</v>
      </c>
    </row>
    <row r="249" spans="1:20" x14ac:dyDescent="0.25">
      <c r="A249" s="5">
        <v>44344</v>
      </c>
      <c r="B249">
        <v>0.24329000000000001</v>
      </c>
      <c r="C249">
        <v>0.24681</v>
      </c>
      <c r="D249">
        <v>0.19542000000000001</v>
      </c>
      <c r="E249">
        <v>0.20488999999999999</v>
      </c>
      <c r="F249">
        <v>134428646.30000001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-0.63144580657715588</v>
      </c>
      <c r="Q249">
        <f t="shared" si="960"/>
        <v>-84884404.989978716</v>
      </c>
      <c r="R249">
        <f t="shared" si="961"/>
        <v>135453765.64058298</v>
      </c>
      <c r="S249">
        <f t="shared" si="962"/>
        <v>1354.5376564058297</v>
      </c>
      <c r="T249">
        <f t="shared" si="963"/>
        <v>1.3545376564058298</v>
      </c>
    </row>
    <row r="250" spans="1:20" x14ac:dyDescent="0.25">
      <c r="A250" s="5">
        <v>44343</v>
      </c>
      <c r="B250">
        <v>0.27110000000000001</v>
      </c>
      <c r="C250">
        <v>0.27174999999999999</v>
      </c>
      <c r="D250">
        <v>0.23041</v>
      </c>
      <c r="E250">
        <v>0.24349000000000001</v>
      </c>
      <c r="F250">
        <v>111930178.7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-0.36719883889695154</v>
      </c>
      <c r="Q250">
        <f t="shared" si="960"/>
        <v>-41100631.656168297</v>
      </c>
      <c r="R250">
        <f t="shared" si="961"/>
        <v>220338170.63056171</v>
      </c>
      <c r="S250">
        <f t="shared" si="962"/>
        <v>2203.3817063056172</v>
      </c>
      <c r="T250">
        <f t="shared" si="963"/>
        <v>2.2033817063056174</v>
      </c>
    </row>
    <row r="251" spans="1:20" x14ac:dyDescent="0.25">
      <c r="A251" s="5">
        <v>44342</v>
      </c>
      <c r="B251">
        <v>0.22078999999999999</v>
      </c>
      <c r="C251">
        <v>0.27999000000000002</v>
      </c>
      <c r="D251">
        <v>0.214</v>
      </c>
      <c r="E251">
        <v>0.27110000000000001</v>
      </c>
      <c r="F251">
        <v>179166485.40000001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0.73056523715714483</v>
      </c>
      <c r="Q251">
        <f t="shared" si="960"/>
        <v>130892805.89686313</v>
      </c>
      <c r="R251">
        <f t="shared" si="961"/>
        <v>261438802.28672999</v>
      </c>
      <c r="S251">
        <f t="shared" si="962"/>
        <v>2614.3880228672997</v>
      </c>
      <c r="T251">
        <f t="shared" si="963"/>
        <v>2.6143880228672995</v>
      </c>
    </row>
    <row r="252" spans="1:20" x14ac:dyDescent="0.25">
      <c r="A252" s="5">
        <v>44341</v>
      </c>
      <c r="B252">
        <v>0.21367</v>
      </c>
      <c r="C252">
        <v>0.22699</v>
      </c>
      <c r="D252">
        <v>0.18426999999999999</v>
      </c>
      <c r="E252">
        <v>0.22098999999999999</v>
      </c>
      <c r="F252">
        <v>137935013.90000001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0.71910112359550538</v>
      </c>
      <c r="Q252">
        <f t="shared" si="960"/>
        <v>99189223.478651658</v>
      </c>
      <c r="R252">
        <f t="shared" si="961"/>
        <v>130545996.38986687</v>
      </c>
      <c r="S252">
        <f t="shared" si="962"/>
        <v>1305.4599638986688</v>
      </c>
      <c r="T252">
        <f t="shared" si="963"/>
        <v>1.3054599638986688</v>
      </c>
    </row>
    <row r="253" spans="1:20" x14ac:dyDescent="0.25">
      <c r="A253" s="5">
        <v>44340</v>
      </c>
      <c r="B253">
        <v>0.16142999999999999</v>
      </c>
      <c r="C253">
        <v>0.22</v>
      </c>
      <c r="D253">
        <v>0.16097</v>
      </c>
      <c r="E253">
        <v>0.21367</v>
      </c>
      <c r="F253">
        <v>200437005.40000001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0.78553277994240212</v>
      </c>
      <c r="Q253">
        <f t="shared" si="960"/>
        <v>157449838.05519226</v>
      </c>
      <c r="R253">
        <f t="shared" si="961"/>
        <v>31356772.911215216</v>
      </c>
      <c r="S253">
        <f t="shared" si="962"/>
        <v>313.56772911215216</v>
      </c>
      <c r="T253">
        <f t="shared" si="963"/>
        <v>0.31356772911215214</v>
      </c>
    </row>
    <row r="254" spans="1:20" x14ac:dyDescent="0.25">
      <c r="A254" s="5">
        <v>44339</v>
      </c>
      <c r="B254">
        <v>0.19675000000000001</v>
      </c>
      <c r="C254">
        <v>0.20735000000000001</v>
      </c>
      <c r="D254">
        <v>0.12377000000000001</v>
      </c>
      <c r="E254">
        <v>0.16150999999999999</v>
      </c>
      <c r="F254">
        <v>216712525.5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-9.6913137114142595E-2</v>
      </c>
      <c r="Q254">
        <f t="shared" si="960"/>
        <v>-21002290.698133625</v>
      </c>
      <c r="R254">
        <f t="shared" si="961"/>
        <v>-126093065.14397705</v>
      </c>
      <c r="S254">
        <f t="shared" si="962"/>
        <v>-1260.9306514397704</v>
      </c>
      <c r="T254">
        <f t="shared" si="963"/>
        <v>-1.2609306514397705</v>
      </c>
    </row>
    <row r="255" spans="1:20" x14ac:dyDescent="0.25">
      <c r="A255" s="5">
        <v>44338</v>
      </c>
      <c r="B255">
        <v>0.22520000000000001</v>
      </c>
      <c r="C255">
        <v>0.23261000000000001</v>
      </c>
      <c r="D255">
        <v>0.19045999999999999</v>
      </c>
      <c r="E255">
        <v>0.19742000000000001</v>
      </c>
      <c r="F255">
        <v>107147038.40000001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-0.66975088967971441</v>
      </c>
      <c r="Q255">
        <f t="shared" si="960"/>
        <v>-71761824.294946522</v>
      </c>
      <c r="R255">
        <f t="shared" si="961"/>
        <v>-105090774.44584343</v>
      </c>
      <c r="S255">
        <f t="shared" si="962"/>
        <v>-1050.9077444584343</v>
      </c>
      <c r="T255">
        <f t="shared" si="963"/>
        <v>-1.0509077444584343</v>
      </c>
    </row>
    <row r="256" spans="1:20" x14ac:dyDescent="0.25">
      <c r="A256" s="5">
        <v>44337</v>
      </c>
      <c r="B256">
        <v>0.27484999999999998</v>
      </c>
      <c r="C256">
        <v>0.28894999999999998</v>
      </c>
      <c r="D256">
        <v>0.18622</v>
      </c>
      <c r="E256">
        <v>0.22525000000000001</v>
      </c>
      <c r="F256">
        <v>179831765.5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-0.24014406697167306</v>
      </c>
      <c r="Q256">
        <f t="shared" si="960"/>
        <v>-43185531.537866205</v>
      </c>
      <c r="R256">
        <f t="shared" si="961"/>
        <v>-33328950.150896907</v>
      </c>
      <c r="S256">
        <f t="shared" si="962"/>
        <v>-333.28950150896907</v>
      </c>
      <c r="T256">
        <f t="shared" si="963"/>
        <v>-0.33328950150896908</v>
      </c>
    </row>
    <row r="257" spans="1:20" x14ac:dyDescent="0.25">
      <c r="A257" s="5">
        <v>44336</v>
      </c>
      <c r="B257">
        <v>0.24704000000000001</v>
      </c>
      <c r="C257">
        <v>0.3105</v>
      </c>
      <c r="D257">
        <v>0.21468999999999999</v>
      </c>
      <c r="E257">
        <v>0.27615000000000001</v>
      </c>
      <c r="F257">
        <v>152606817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0.28295585012002944</v>
      </c>
      <c r="Q257">
        <f t="shared" si="960"/>
        <v>43180991.638346761</v>
      </c>
      <c r="R257">
        <f t="shared" si="961"/>
        <v>9856581.3869692981</v>
      </c>
      <c r="S257">
        <f t="shared" si="962"/>
        <v>98.565813869692988</v>
      </c>
      <c r="T257">
        <f t="shared" si="963"/>
        <v>9.8565813869692986E-2</v>
      </c>
    </row>
    <row r="258" spans="1:20" x14ac:dyDescent="0.25">
      <c r="A258" s="5">
        <v>44335</v>
      </c>
      <c r="B258">
        <v>0.36662</v>
      </c>
      <c r="C258">
        <v>0.37675999999999998</v>
      </c>
      <c r="D258">
        <v>0.14624000000000001</v>
      </c>
      <c r="E258">
        <v>0.24728</v>
      </c>
      <c r="F258">
        <v>287858115.30000001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-0.12337324310255074</v>
      </c>
      <c r="Q258">
        <f t="shared" si="960"/>
        <v>-35513989.237948984</v>
      </c>
      <c r="R258">
        <f t="shared" si="961"/>
        <v>-33324410.251377463</v>
      </c>
      <c r="S258">
        <f t="shared" si="962"/>
        <v>-333.24410251377464</v>
      </c>
      <c r="T258">
        <f t="shared" si="963"/>
        <v>-0.33324410251377462</v>
      </c>
    </row>
    <row r="259" spans="1:20" x14ac:dyDescent="0.25">
      <c r="A259" s="5">
        <v>44334</v>
      </c>
      <c r="B259">
        <v>0.36712</v>
      </c>
      <c r="C259">
        <v>0.4</v>
      </c>
      <c r="D259">
        <v>0.36</v>
      </c>
      <c r="E259">
        <v>0.36660999999999999</v>
      </c>
      <c r="F259">
        <v>107052900.40000001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-0.6695000000000001</v>
      </c>
      <c r="Q259">
        <f t="shared" si="960"/>
        <v>-71671916.817800015</v>
      </c>
      <c r="R259">
        <f t="shared" si="961"/>
        <v>2189578.9865715206</v>
      </c>
      <c r="S259">
        <f t="shared" si="962"/>
        <v>21.895789865715205</v>
      </c>
      <c r="T259">
        <f t="shared" si="963"/>
        <v>2.1895789865715207E-2</v>
      </c>
    </row>
    <row r="260" spans="1:20" x14ac:dyDescent="0.25">
      <c r="A260" s="5">
        <v>44333</v>
      </c>
      <c r="B260">
        <v>0.41699000000000003</v>
      </c>
      <c r="C260">
        <v>0.43495</v>
      </c>
      <c r="D260">
        <v>0.35648999999999997</v>
      </c>
      <c r="E260">
        <v>0.36713000000000001</v>
      </c>
      <c r="F260">
        <v>137185935.09999999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-0.72877899566658078</v>
      </c>
      <c r="Q260">
        <f t="shared" si="960"/>
        <v>-99978228.001758724</v>
      </c>
      <c r="R260">
        <f t="shared" si="961"/>
        <v>73861495.804371536</v>
      </c>
      <c r="S260">
        <f t="shared" si="962"/>
        <v>738.61495804371532</v>
      </c>
      <c r="T260">
        <f t="shared" si="963"/>
        <v>0.73861495804371535</v>
      </c>
    </row>
    <row r="261" spans="1:20" x14ac:dyDescent="0.25">
      <c r="A261" s="5">
        <v>44332</v>
      </c>
      <c r="B261">
        <v>0.42803999999999998</v>
      </c>
      <c r="C261">
        <v>0.48593999999999998</v>
      </c>
      <c r="D261">
        <v>0.38313999999999998</v>
      </c>
      <c r="E261">
        <v>0.41693999999999998</v>
      </c>
      <c r="F261">
        <v>221327650.59999999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-0.34241245136186776</v>
      </c>
      <c r="Q261">
        <f t="shared" si="960"/>
        <v>-75785343.396108955</v>
      </c>
      <c r="R261">
        <f t="shared" si="961"/>
        <v>173839723.80613026</v>
      </c>
      <c r="S261">
        <f t="shared" si="962"/>
        <v>1738.3972380613027</v>
      </c>
      <c r="T261">
        <f t="shared" si="963"/>
        <v>1.7383972380613026</v>
      </c>
    </row>
    <row r="262" spans="1:20" x14ac:dyDescent="0.25">
      <c r="A262" s="5">
        <v>44331</v>
      </c>
      <c r="B262">
        <v>0.39250000000000002</v>
      </c>
      <c r="C262">
        <v>0.46631</v>
      </c>
      <c r="D262">
        <v>0.37408000000000002</v>
      </c>
      <c r="E262">
        <v>0.42842000000000002</v>
      </c>
      <c r="F262">
        <v>259015421.90000001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0.17835845169684511</v>
      </c>
      <c r="Q262">
        <f t="shared" ref="Q262:Q325" si="965">F262*P262</f>
        <v>46197589.615689106</v>
      </c>
      <c r="R262">
        <f t="shared" ref="R262:R325" si="966">R263+Q262</f>
        <v>249625067.20223922</v>
      </c>
      <c r="S262">
        <f t="shared" ref="S262:S325" si="967">R262/100000</f>
        <v>2496.2506720223923</v>
      </c>
      <c r="T262">
        <f t="shared" ref="T262:T325" si="968">S262/1000</f>
        <v>2.4962506720223923</v>
      </c>
    </row>
    <row r="263" spans="1:20" x14ac:dyDescent="0.25">
      <c r="A263" s="5">
        <v>44330</v>
      </c>
      <c r="B263">
        <v>0.34049000000000001</v>
      </c>
      <c r="C263">
        <v>0.39317000000000002</v>
      </c>
      <c r="D263">
        <v>0.33860000000000001</v>
      </c>
      <c r="E263">
        <v>0.39251999999999998</v>
      </c>
      <c r="F263">
        <v>108687836.09999999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0.97617738684258604</v>
      </c>
      <c r="Q263">
        <f t="shared" si="965"/>
        <v>106098607.82567328</v>
      </c>
      <c r="R263">
        <f t="shared" si="966"/>
        <v>203427477.58655012</v>
      </c>
      <c r="S263">
        <f t="shared" si="967"/>
        <v>2034.2747758655012</v>
      </c>
      <c r="T263">
        <f t="shared" si="968"/>
        <v>2.0342747758655011</v>
      </c>
    </row>
    <row r="264" spans="1:20" x14ac:dyDescent="0.25">
      <c r="A264" s="5">
        <v>44329</v>
      </c>
      <c r="B264">
        <v>0.31673000000000001</v>
      </c>
      <c r="C264">
        <v>0.37868000000000002</v>
      </c>
      <c r="D264">
        <v>0.29753000000000002</v>
      </c>
      <c r="E264">
        <v>0.34055000000000002</v>
      </c>
      <c r="F264">
        <v>145025332.09999999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6.0258780036968641E-2</v>
      </c>
      <c r="Q264">
        <f t="shared" si="965"/>
        <v>8739049.5868022274</v>
      </c>
      <c r="R264">
        <f t="shared" si="966"/>
        <v>97328869.760876819</v>
      </c>
      <c r="S264">
        <f t="shared" si="967"/>
        <v>973.28869760876819</v>
      </c>
      <c r="T264">
        <f t="shared" si="968"/>
        <v>0.97328869760876824</v>
      </c>
    </row>
    <row r="265" spans="1:20" x14ac:dyDescent="0.25">
      <c r="A265" s="5">
        <v>44328</v>
      </c>
      <c r="B265">
        <v>0.35748000000000002</v>
      </c>
      <c r="C265">
        <v>0.39955000000000002</v>
      </c>
      <c r="D265">
        <v>0.31</v>
      </c>
      <c r="E265">
        <v>0.31673000000000001</v>
      </c>
      <c r="F265">
        <v>174982727.69999999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-0.84969290898939109</v>
      </c>
      <c r="Q265">
        <f t="shared" si="965"/>
        <v>-148681582.92231148</v>
      </c>
      <c r="R265">
        <f t="shared" si="966"/>
        <v>88589820.17407459</v>
      </c>
      <c r="S265">
        <f t="shared" si="967"/>
        <v>885.89820174074589</v>
      </c>
      <c r="T265">
        <f t="shared" si="968"/>
        <v>0.88589820174074585</v>
      </c>
    </row>
    <row r="266" spans="1:20" x14ac:dyDescent="0.25">
      <c r="A266" s="5">
        <v>44327</v>
      </c>
      <c r="B266">
        <v>0.32501000000000002</v>
      </c>
      <c r="C266">
        <v>0.35864000000000001</v>
      </c>
      <c r="D266">
        <v>0.31291999999999998</v>
      </c>
      <c r="E266">
        <v>0.35702</v>
      </c>
      <c r="F266">
        <v>70861745.099999994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0.92913385826771611</v>
      </c>
      <c r="Q266">
        <f t="shared" si="965"/>
        <v>65840046.628346421</v>
      </c>
      <c r="R266">
        <f t="shared" si="966"/>
        <v>237271403.09638608</v>
      </c>
      <c r="S266">
        <f t="shared" si="967"/>
        <v>2372.7140309638608</v>
      </c>
      <c r="T266">
        <f t="shared" si="968"/>
        <v>2.3727140309638606</v>
      </c>
    </row>
    <row r="267" spans="1:20" x14ac:dyDescent="0.25">
      <c r="A267" s="5">
        <v>44326</v>
      </c>
      <c r="B267">
        <v>0.36309000000000002</v>
      </c>
      <c r="C267">
        <v>0.37619000000000002</v>
      </c>
      <c r="D267">
        <v>0.29329</v>
      </c>
      <c r="E267">
        <v>0.32502999999999999</v>
      </c>
      <c r="F267">
        <v>100545565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-0.23425814234016937</v>
      </c>
      <c r="Q267">
        <f t="shared" si="965"/>
        <v>-23553617.27744275</v>
      </c>
      <c r="R267">
        <f t="shared" si="966"/>
        <v>171431356.46803966</v>
      </c>
      <c r="S267">
        <f t="shared" si="967"/>
        <v>1714.3135646803967</v>
      </c>
      <c r="T267">
        <f t="shared" si="968"/>
        <v>1.7143135646803966</v>
      </c>
    </row>
    <row r="268" spans="1:20" x14ac:dyDescent="0.25">
      <c r="A268" s="5">
        <v>44325</v>
      </c>
      <c r="B268">
        <v>0.38324999999999998</v>
      </c>
      <c r="C268">
        <v>0.38600000000000001</v>
      </c>
      <c r="D268">
        <v>0.34477999999999998</v>
      </c>
      <c r="E268">
        <v>0.36259000000000002</v>
      </c>
      <c r="F268">
        <v>76521083.5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-0.13585638039786352</v>
      </c>
      <c r="Q268">
        <f t="shared" si="965"/>
        <v>-10395877.428432677</v>
      </c>
      <c r="R268">
        <f t="shared" si="966"/>
        <v>194984973.74548241</v>
      </c>
      <c r="S268">
        <f t="shared" si="967"/>
        <v>1949.8497374548242</v>
      </c>
      <c r="T268">
        <f t="shared" si="968"/>
        <v>1.9498497374548243</v>
      </c>
    </row>
    <row r="269" spans="1:20" x14ac:dyDescent="0.25">
      <c r="A269" s="5">
        <v>44324</v>
      </c>
      <c r="B269">
        <v>0.35561999999999999</v>
      </c>
      <c r="C269">
        <v>0.39989999999999998</v>
      </c>
      <c r="D269">
        <v>0.34899000000000002</v>
      </c>
      <c r="E269">
        <v>0.38307999999999998</v>
      </c>
      <c r="F269">
        <v>120261243.09999999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0.33922608524847708</v>
      </c>
      <c r="Q269">
        <f t="shared" si="965"/>
        <v>40795750.703928426</v>
      </c>
      <c r="R269">
        <f t="shared" si="966"/>
        <v>205380851.17391509</v>
      </c>
      <c r="S269">
        <f t="shared" si="967"/>
        <v>2053.8085117391511</v>
      </c>
      <c r="T269">
        <f t="shared" si="968"/>
        <v>2.0538085117391511</v>
      </c>
    </row>
    <row r="270" spans="1:20" x14ac:dyDescent="0.25">
      <c r="A270" s="5">
        <v>44323</v>
      </c>
      <c r="B270">
        <v>0.34516999999999998</v>
      </c>
      <c r="C270">
        <v>0.37411</v>
      </c>
      <c r="D270">
        <v>0.33245999999999998</v>
      </c>
      <c r="E270">
        <v>0.35532999999999998</v>
      </c>
      <c r="F270">
        <v>60773607.399999999</v>
      </c>
      <c r="G270">
        <v>0</v>
      </c>
      <c r="L270" t="s">
        <v>8</v>
      </c>
      <c r="M270" t="s">
        <v>7</v>
      </c>
      <c r="N270" t="s">
        <v>8</v>
      </c>
      <c r="P270">
        <f t="shared" si="964"/>
        <v>9.8199279711884288E-2</v>
      </c>
      <c r="Q270">
        <f t="shared" si="965"/>
        <v>5967924.4721728405</v>
      </c>
      <c r="R270">
        <f t="shared" si="966"/>
        <v>164585100.46998668</v>
      </c>
      <c r="S270">
        <f t="shared" si="967"/>
        <v>1645.8510046998667</v>
      </c>
      <c r="T270">
        <f t="shared" si="968"/>
        <v>1.6458510046998667</v>
      </c>
    </row>
    <row r="271" spans="1:20" x14ac:dyDescent="0.25">
      <c r="A271" s="5">
        <v>44322</v>
      </c>
      <c r="B271">
        <v>0.36297000000000001</v>
      </c>
      <c r="C271">
        <v>0.36842000000000003</v>
      </c>
      <c r="D271">
        <v>0.3367</v>
      </c>
      <c r="E271">
        <v>0.3448</v>
      </c>
      <c r="F271">
        <v>68042383.900000006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-0.48928121059268664</v>
      </c>
      <c r="Q271">
        <f t="shared" si="965"/>
        <v>-33291859.966204334</v>
      </c>
      <c r="R271">
        <f t="shared" si="966"/>
        <v>158617175.99781385</v>
      </c>
      <c r="S271">
        <f t="shared" si="967"/>
        <v>1586.1717599781384</v>
      </c>
      <c r="T271">
        <f t="shared" si="968"/>
        <v>1.5861717599781384</v>
      </c>
    </row>
    <row r="272" spans="1:20" x14ac:dyDescent="0.25">
      <c r="A272" s="5">
        <v>44321</v>
      </c>
      <c r="B272">
        <v>0.32955000000000001</v>
      </c>
      <c r="C272">
        <v>0.37609999999999999</v>
      </c>
      <c r="D272">
        <v>0.32264999999999999</v>
      </c>
      <c r="E272">
        <v>0.36188999999999999</v>
      </c>
      <c r="F272">
        <v>77262339.099999994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0.46828811973807294</v>
      </c>
      <c r="Q272">
        <f t="shared" si="965"/>
        <v>36181035.503704391</v>
      </c>
      <c r="R272">
        <f t="shared" si="966"/>
        <v>191909035.9640182</v>
      </c>
      <c r="S272">
        <f t="shared" si="967"/>
        <v>1919.090359640182</v>
      </c>
      <c r="T272">
        <f t="shared" si="968"/>
        <v>1.919090359640182</v>
      </c>
    </row>
    <row r="273" spans="1:20" x14ac:dyDescent="0.25">
      <c r="A273" s="5">
        <v>44320</v>
      </c>
      <c r="B273">
        <v>0.37</v>
      </c>
      <c r="C273">
        <v>0.37579000000000001</v>
      </c>
      <c r="D273">
        <v>0.32502999999999999</v>
      </c>
      <c r="E273">
        <v>0.32940000000000003</v>
      </c>
      <c r="F273">
        <v>98890566.400000006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-0.82781717888100714</v>
      </c>
      <c r="Q273">
        <f t="shared" si="965"/>
        <v>-81863309.695192918</v>
      </c>
      <c r="R273">
        <f t="shared" si="966"/>
        <v>155728000.4603138</v>
      </c>
      <c r="S273">
        <f t="shared" si="967"/>
        <v>1557.280004603138</v>
      </c>
      <c r="T273">
        <f t="shared" si="968"/>
        <v>1.5572800046031379</v>
      </c>
    </row>
    <row r="274" spans="1:20" x14ac:dyDescent="0.25">
      <c r="A274" s="5">
        <v>44319</v>
      </c>
      <c r="B274">
        <v>0.38188</v>
      </c>
      <c r="C274">
        <v>0.39896999999999999</v>
      </c>
      <c r="D274">
        <v>0.36509999999999998</v>
      </c>
      <c r="E274">
        <v>0.37004999999999999</v>
      </c>
      <c r="F274">
        <v>60785529.100000001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-0.70770593445526964</v>
      </c>
      <c r="Q274">
        <f t="shared" si="965"/>
        <v>-43018279.673073485</v>
      </c>
      <c r="R274">
        <f t="shared" si="966"/>
        <v>237591310.15550673</v>
      </c>
      <c r="S274">
        <f t="shared" si="967"/>
        <v>2375.9131015550674</v>
      </c>
      <c r="T274">
        <f t="shared" si="968"/>
        <v>2.3759131015550676</v>
      </c>
    </row>
    <row r="275" spans="1:20" x14ac:dyDescent="0.25">
      <c r="A275" s="5">
        <v>44318</v>
      </c>
      <c r="B275">
        <v>0.40028000000000002</v>
      </c>
      <c r="C275">
        <v>0.40100000000000002</v>
      </c>
      <c r="D275">
        <v>0.36347000000000002</v>
      </c>
      <c r="E275">
        <v>0.38188</v>
      </c>
      <c r="F275">
        <v>65388553.799999997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-1.891819877431505E-2</v>
      </c>
      <c r="Q275">
        <f t="shared" si="965"/>
        <v>-1237033.6583533937</v>
      </c>
      <c r="R275">
        <f t="shared" si="966"/>
        <v>280609589.8285802</v>
      </c>
      <c r="S275">
        <f t="shared" si="967"/>
        <v>2806.0958982858019</v>
      </c>
      <c r="T275">
        <f t="shared" si="968"/>
        <v>2.8060958982858017</v>
      </c>
    </row>
    <row r="276" spans="1:20" x14ac:dyDescent="0.25">
      <c r="A276" s="5">
        <v>44317</v>
      </c>
      <c r="B276">
        <v>0.40389000000000003</v>
      </c>
      <c r="C276">
        <v>0.42899999999999999</v>
      </c>
      <c r="D276">
        <v>0.39196999999999999</v>
      </c>
      <c r="E276">
        <v>0.40028000000000002</v>
      </c>
      <c r="F276">
        <v>77025232.099999994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-0.55117472319740546</v>
      </c>
      <c r="Q276">
        <f t="shared" si="965"/>
        <v>-42454360.981933407</v>
      </c>
      <c r="R276">
        <f t="shared" si="966"/>
        <v>281846623.48693359</v>
      </c>
      <c r="S276">
        <f t="shared" si="967"/>
        <v>2818.4662348693359</v>
      </c>
      <c r="T276">
        <f t="shared" si="968"/>
        <v>2.8184662348693359</v>
      </c>
    </row>
    <row r="277" spans="1:20" x14ac:dyDescent="0.25">
      <c r="A277" s="5">
        <v>44316</v>
      </c>
      <c r="B277">
        <v>0.39617999999999998</v>
      </c>
      <c r="C277">
        <v>0.41687999999999997</v>
      </c>
      <c r="D277">
        <v>0.38658999999999999</v>
      </c>
      <c r="E277">
        <v>0.40332000000000001</v>
      </c>
      <c r="F277">
        <v>99398688.299999997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0.1046550016507119</v>
      </c>
      <c r="Q277">
        <f t="shared" si="965"/>
        <v>10402569.888115097</v>
      </c>
      <c r="R277">
        <f t="shared" si="966"/>
        <v>324300984.468867</v>
      </c>
      <c r="S277">
        <f t="shared" si="967"/>
        <v>3243.00984468867</v>
      </c>
      <c r="T277">
        <f t="shared" si="968"/>
        <v>3.2430098446886699</v>
      </c>
    </row>
    <row r="278" spans="1:20" x14ac:dyDescent="0.25">
      <c r="A278" s="5">
        <v>44315</v>
      </c>
      <c r="B278">
        <v>0.38186999999999999</v>
      </c>
      <c r="C278">
        <v>0.42985000000000001</v>
      </c>
      <c r="D278">
        <v>0.35405999999999999</v>
      </c>
      <c r="E278">
        <v>0.39618999999999999</v>
      </c>
      <c r="F278">
        <v>186956692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0.11175616835994161</v>
      </c>
      <c r="Q278">
        <f t="shared" si="965"/>
        <v>20893563.547169749</v>
      </c>
      <c r="R278">
        <f t="shared" si="966"/>
        <v>313898414.5807519</v>
      </c>
      <c r="S278">
        <f t="shared" si="967"/>
        <v>3138.9841458075189</v>
      </c>
      <c r="T278">
        <f t="shared" si="968"/>
        <v>3.1389841458075187</v>
      </c>
    </row>
    <row r="279" spans="1:20" x14ac:dyDescent="0.25">
      <c r="A279" s="5">
        <v>44314</v>
      </c>
      <c r="B279">
        <v>0.38782</v>
      </c>
      <c r="C279">
        <v>0.39999000000000001</v>
      </c>
      <c r="D279">
        <v>0.33788000000000001</v>
      </c>
      <c r="E279">
        <v>0.38158999999999998</v>
      </c>
      <c r="F279">
        <v>114260263.2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0.40750281758170898</v>
      </c>
      <c r="Q279">
        <f t="shared" si="965"/>
        <v>46561379.191627659</v>
      </c>
      <c r="R279">
        <f t="shared" si="966"/>
        <v>293004851.03358215</v>
      </c>
      <c r="S279">
        <f t="shared" si="967"/>
        <v>2930.0485103358214</v>
      </c>
      <c r="T279">
        <f t="shared" si="968"/>
        <v>2.9300485103358214</v>
      </c>
    </row>
    <row r="280" spans="1:20" x14ac:dyDescent="0.25">
      <c r="A280" s="5">
        <v>44313</v>
      </c>
      <c r="B280">
        <v>0.31474000000000002</v>
      </c>
      <c r="C280">
        <v>0.39673999999999998</v>
      </c>
      <c r="D280">
        <v>0.30908000000000002</v>
      </c>
      <c r="E280">
        <v>0.38785999999999998</v>
      </c>
      <c r="F280">
        <v>152366560.80000001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0.79739904175222442</v>
      </c>
      <c r="Q280">
        <f t="shared" si="965"/>
        <v>121496949.57700205</v>
      </c>
      <c r="R280">
        <f t="shared" si="966"/>
        <v>246443471.84195447</v>
      </c>
      <c r="S280">
        <f t="shared" si="967"/>
        <v>2464.4347184195449</v>
      </c>
      <c r="T280">
        <f t="shared" si="968"/>
        <v>2.464434718419545</v>
      </c>
    </row>
    <row r="281" spans="1:20" x14ac:dyDescent="0.25">
      <c r="A281" s="5">
        <v>44312</v>
      </c>
      <c r="B281">
        <v>0.26411000000000001</v>
      </c>
      <c r="C281">
        <v>0.32300000000000001</v>
      </c>
      <c r="D281">
        <v>0.26201000000000002</v>
      </c>
      <c r="E281">
        <v>0.31474000000000002</v>
      </c>
      <c r="F281">
        <v>80937919.900000006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0.7291359239219547</v>
      </c>
      <c r="Q281">
        <f t="shared" si="965"/>
        <v>59014745.006607667</v>
      </c>
      <c r="R281">
        <f t="shared" si="966"/>
        <v>124946522.26495242</v>
      </c>
      <c r="S281">
        <f t="shared" si="967"/>
        <v>1249.4652226495243</v>
      </c>
      <c r="T281">
        <f t="shared" si="968"/>
        <v>1.2494652226495244</v>
      </c>
    </row>
    <row r="282" spans="1:20" x14ac:dyDescent="0.25">
      <c r="A282" s="5">
        <v>44311</v>
      </c>
      <c r="B282">
        <v>0.26755000000000001</v>
      </c>
      <c r="C282">
        <v>0.29304000000000002</v>
      </c>
      <c r="D282">
        <v>0.24732000000000001</v>
      </c>
      <c r="E282">
        <v>0.26396999999999998</v>
      </c>
      <c r="F282">
        <v>62110834.600000001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-0.27165354330708807</v>
      </c>
      <c r="Q282">
        <f t="shared" si="965"/>
        <v>-16872628.296850484</v>
      </c>
      <c r="R282">
        <f t="shared" si="966"/>
        <v>65931777.258344755</v>
      </c>
      <c r="S282">
        <f t="shared" si="967"/>
        <v>659.31777258344755</v>
      </c>
      <c r="T282">
        <f t="shared" si="968"/>
        <v>0.65931777258344759</v>
      </c>
    </row>
    <row r="283" spans="1:20" x14ac:dyDescent="0.25">
      <c r="A283" s="5">
        <v>44310</v>
      </c>
      <c r="B283">
        <v>0.31241000000000002</v>
      </c>
      <c r="C283">
        <v>0.31276999999999999</v>
      </c>
      <c r="D283">
        <v>0.26212999999999997</v>
      </c>
      <c r="E283">
        <v>0.26788000000000001</v>
      </c>
      <c r="F283">
        <v>81506325.400000006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-0.77290679304897192</v>
      </c>
      <c r="Q283">
        <f t="shared" si="965"/>
        <v>-62996792.578119971</v>
      </c>
      <c r="R283">
        <f t="shared" si="966"/>
        <v>82804405.555195242</v>
      </c>
      <c r="S283">
        <f t="shared" si="967"/>
        <v>828.0440555519524</v>
      </c>
      <c r="T283">
        <f t="shared" si="968"/>
        <v>0.82804405555195237</v>
      </c>
    </row>
    <row r="284" spans="1:20" x14ac:dyDescent="0.25">
      <c r="A284" s="5">
        <v>44309</v>
      </c>
      <c r="B284">
        <v>0.27629999999999999</v>
      </c>
      <c r="C284">
        <v>0.32536999999999999</v>
      </c>
      <c r="D284">
        <v>0.23</v>
      </c>
      <c r="E284">
        <v>0.312</v>
      </c>
      <c r="F284">
        <v>182397586.90000001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0.71961832861486852</v>
      </c>
      <c r="Q284">
        <f t="shared" si="965"/>
        <v>131256646.62836324</v>
      </c>
      <c r="R284">
        <f t="shared" si="966"/>
        <v>145801198.13331521</v>
      </c>
      <c r="S284">
        <f t="shared" si="967"/>
        <v>1458.0119813331521</v>
      </c>
      <c r="T284">
        <f t="shared" si="968"/>
        <v>1.458011981333152</v>
      </c>
    </row>
    <row r="285" spans="1:20" x14ac:dyDescent="0.25">
      <c r="A285" s="5">
        <v>44308</v>
      </c>
      <c r="B285">
        <v>0.30946000000000001</v>
      </c>
      <c r="C285">
        <v>0.32990000000000003</v>
      </c>
      <c r="D285">
        <v>0.27</v>
      </c>
      <c r="E285">
        <v>0.27694999999999997</v>
      </c>
      <c r="F285">
        <v>112237928.40000001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-0.76794657762938379</v>
      </c>
      <c r="Q285">
        <f t="shared" si="965"/>
        <v>-86192732.994991824</v>
      </c>
      <c r="R285">
        <f t="shared" si="966"/>
        <v>14544551.504951969</v>
      </c>
      <c r="S285">
        <f t="shared" si="967"/>
        <v>145.44551504951968</v>
      </c>
      <c r="T285">
        <f t="shared" si="968"/>
        <v>0.14544551504951969</v>
      </c>
    </row>
    <row r="286" spans="1:20" x14ac:dyDescent="0.25">
      <c r="A286" s="5">
        <v>44307</v>
      </c>
      <c r="B286">
        <v>0.33944999999999997</v>
      </c>
      <c r="C286">
        <v>0.38330999999999998</v>
      </c>
      <c r="D286">
        <v>0.30443999999999999</v>
      </c>
      <c r="E286">
        <v>0.31058000000000002</v>
      </c>
      <c r="F286">
        <v>237230333.40000001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-0.84430074806643751</v>
      </c>
      <c r="Q286">
        <f t="shared" si="965"/>
        <v>-200293747.95367038</v>
      </c>
      <c r="R286">
        <f t="shared" si="966"/>
        <v>100737284.49994379</v>
      </c>
      <c r="S286">
        <f t="shared" si="967"/>
        <v>1007.3728449994379</v>
      </c>
      <c r="T286">
        <f t="shared" si="968"/>
        <v>1.0073728449994379</v>
      </c>
    </row>
    <row r="287" spans="1:20" x14ac:dyDescent="0.25">
      <c r="A287" s="5">
        <v>44306</v>
      </c>
      <c r="B287">
        <v>0.26254</v>
      </c>
      <c r="C287">
        <v>0.34893000000000002</v>
      </c>
      <c r="D287">
        <v>0.23629</v>
      </c>
      <c r="E287">
        <v>0.33949000000000001</v>
      </c>
      <c r="F287">
        <v>225136835.5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0.83238636363636365</v>
      </c>
      <c r="Q287">
        <f t="shared" si="965"/>
        <v>187400831.82244319</v>
      </c>
      <c r="R287">
        <f t="shared" si="966"/>
        <v>301031032.45361418</v>
      </c>
      <c r="S287">
        <f t="shared" si="967"/>
        <v>3010.3103245361417</v>
      </c>
      <c r="T287">
        <f t="shared" si="968"/>
        <v>3.0103103245361416</v>
      </c>
    </row>
    <row r="288" spans="1:20" x14ac:dyDescent="0.25">
      <c r="A288" s="5">
        <v>44305</v>
      </c>
      <c r="B288">
        <v>0.30274000000000001</v>
      </c>
      <c r="C288">
        <v>0.318</v>
      </c>
      <c r="D288">
        <v>0.26030999999999999</v>
      </c>
      <c r="E288">
        <v>0.26223999999999997</v>
      </c>
      <c r="F288">
        <v>107484146.5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-0.93309065695961213</v>
      </c>
      <c r="Q288">
        <f t="shared" si="965"/>
        <v>-100292452.87042819</v>
      </c>
      <c r="R288">
        <f t="shared" si="966"/>
        <v>113630200.63117097</v>
      </c>
      <c r="S288">
        <f t="shared" si="967"/>
        <v>1136.3020063117096</v>
      </c>
      <c r="T288">
        <f t="shared" si="968"/>
        <v>1.1363020063117097</v>
      </c>
    </row>
    <row r="289" spans="1:20" x14ac:dyDescent="0.25">
      <c r="A289" s="5">
        <v>44304</v>
      </c>
      <c r="B289">
        <v>0.3483</v>
      </c>
      <c r="C289">
        <v>0.35214000000000001</v>
      </c>
      <c r="D289">
        <v>0.23832999999999999</v>
      </c>
      <c r="E289">
        <v>0.30270999999999998</v>
      </c>
      <c r="F289">
        <v>161818158.40000001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0.13135928301555189</v>
      </c>
      <c r="Q289">
        <f t="shared" si="965"/>
        <v>21256317.266321007</v>
      </c>
      <c r="R289">
        <f t="shared" si="966"/>
        <v>213922653.50159916</v>
      </c>
      <c r="S289">
        <f t="shared" si="967"/>
        <v>2139.2265350159914</v>
      </c>
      <c r="T289">
        <f t="shared" si="968"/>
        <v>2.1392265350159914</v>
      </c>
    </row>
    <row r="290" spans="1:20" x14ac:dyDescent="0.25">
      <c r="A290" s="5">
        <v>44303</v>
      </c>
      <c r="B290">
        <v>0.35759999999999997</v>
      </c>
      <c r="C290">
        <v>0.38478000000000001</v>
      </c>
      <c r="D290">
        <v>0.34615000000000001</v>
      </c>
      <c r="E290">
        <v>0.34828999999999999</v>
      </c>
      <c r="F290">
        <v>68022060.099999994</v>
      </c>
      <c r="G290">
        <v>0</v>
      </c>
      <c r="L290" t="s">
        <v>7</v>
      </c>
      <c r="M290" t="s">
        <v>8</v>
      </c>
      <c r="N290" t="s">
        <v>7</v>
      </c>
      <c r="P290">
        <f t="shared" si="964"/>
        <v>-0.88920528086979156</v>
      </c>
      <c r="Q290">
        <f t="shared" si="965"/>
        <v>-60485575.056562334</v>
      </c>
      <c r="R290">
        <f t="shared" si="966"/>
        <v>192666336.23527816</v>
      </c>
      <c r="S290">
        <f t="shared" si="967"/>
        <v>1926.6633623527816</v>
      </c>
      <c r="T290">
        <f t="shared" si="968"/>
        <v>1.9266633623527816</v>
      </c>
    </row>
    <row r="291" spans="1:20" x14ac:dyDescent="0.25">
      <c r="A291" s="5">
        <v>44302</v>
      </c>
      <c r="B291">
        <v>0.37132999999999999</v>
      </c>
      <c r="C291">
        <v>0.39687</v>
      </c>
      <c r="D291">
        <v>0.34</v>
      </c>
      <c r="E291">
        <v>0.35732000000000003</v>
      </c>
      <c r="F291">
        <v>105614919.90000001</v>
      </c>
      <c r="G291">
        <v>0</v>
      </c>
      <c r="L291" t="s">
        <v>8</v>
      </c>
      <c r="M291" t="s">
        <v>8</v>
      </c>
      <c r="N291" t="s">
        <v>7</v>
      </c>
      <c r="P291">
        <f t="shared" si="964"/>
        <v>-0.39089150694566521</v>
      </c>
      <c r="Q291">
        <f t="shared" si="965"/>
        <v>-41283975.195656724</v>
      </c>
      <c r="R291">
        <f t="shared" si="966"/>
        <v>253151911.29184049</v>
      </c>
      <c r="S291">
        <f t="shared" si="967"/>
        <v>2531.519112918405</v>
      </c>
      <c r="T291">
        <f t="shared" si="968"/>
        <v>2.5315191129184051</v>
      </c>
    </row>
    <row r="292" spans="1:20" x14ac:dyDescent="0.25">
      <c r="A292" s="5">
        <v>44301</v>
      </c>
      <c r="B292">
        <v>0.32921</v>
      </c>
      <c r="C292">
        <v>0.39</v>
      </c>
      <c r="D292">
        <v>0.32888000000000001</v>
      </c>
      <c r="E292">
        <v>0.37179000000000001</v>
      </c>
      <c r="F292">
        <v>137989239.80000001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0.40412303664921462</v>
      </c>
      <c r="Q292">
        <f t="shared" si="965"/>
        <v>55764630.612892672</v>
      </c>
      <c r="R292">
        <f t="shared" si="966"/>
        <v>294435886.48749721</v>
      </c>
      <c r="S292">
        <f t="shared" si="967"/>
        <v>2944.3588648749719</v>
      </c>
      <c r="T292">
        <f t="shared" si="968"/>
        <v>2.9443588648749719</v>
      </c>
    </row>
    <row r="293" spans="1:20" x14ac:dyDescent="0.25">
      <c r="A293" s="5">
        <v>44300</v>
      </c>
      <c r="B293">
        <v>0.34684999999999999</v>
      </c>
      <c r="C293">
        <v>0.34844999999999998</v>
      </c>
      <c r="D293">
        <v>0.29914000000000002</v>
      </c>
      <c r="E293">
        <v>0.32917999999999997</v>
      </c>
      <c r="F293">
        <v>97084212.700000003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0.21841411478401854</v>
      </c>
      <c r="Q293">
        <f t="shared" si="965"/>
        <v>21204562.376373872</v>
      </c>
      <c r="R293">
        <f t="shared" si="966"/>
        <v>238671255.87460452</v>
      </c>
      <c r="S293">
        <f t="shared" si="967"/>
        <v>2386.712558746045</v>
      </c>
      <c r="T293">
        <f t="shared" si="968"/>
        <v>2.3867125587460452</v>
      </c>
    </row>
    <row r="294" spans="1:20" x14ac:dyDescent="0.25">
      <c r="A294" s="5">
        <v>44299</v>
      </c>
      <c r="B294">
        <v>0.35078999999999999</v>
      </c>
      <c r="C294">
        <v>0.35965999999999998</v>
      </c>
      <c r="D294">
        <v>0.34118999999999999</v>
      </c>
      <c r="E294">
        <v>0.34684999999999999</v>
      </c>
      <c r="F294">
        <v>64501673.100000001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-0.38711423930698402</v>
      </c>
      <c r="Q294">
        <f t="shared" si="965"/>
        <v>-24969516.116134256</v>
      </c>
      <c r="R294">
        <f t="shared" si="966"/>
        <v>217466693.49823064</v>
      </c>
      <c r="S294">
        <f t="shared" si="967"/>
        <v>2174.6669349823064</v>
      </c>
      <c r="T294">
        <f t="shared" si="968"/>
        <v>2.1746669349823065</v>
      </c>
    </row>
    <row r="295" spans="1:20" x14ac:dyDescent="0.25">
      <c r="A295" s="5">
        <v>44298</v>
      </c>
      <c r="B295">
        <v>0.36351</v>
      </c>
      <c r="C295">
        <v>0.37769999999999998</v>
      </c>
      <c r="D295">
        <v>0.34051999999999999</v>
      </c>
      <c r="E295">
        <v>0.35133999999999999</v>
      </c>
      <c r="F295">
        <v>60306118.600000001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-0.41796664873587958</v>
      </c>
      <c r="Q295">
        <f t="shared" si="965"/>
        <v>-25205946.289510496</v>
      </c>
      <c r="R295">
        <f t="shared" si="966"/>
        <v>242436209.61436489</v>
      </c>
      <c r="S295">
        <f t="shared" si="967"/>
        <v>2424.3620961436491</v>
      </c>
      <c r="T295">
        <f t="shared" si="968"/>
        <v>2.4243620961436489</v>
      </c>
    </row>
    <row r="296" spans="1:20" x14ac:dyDescent="0.25">
      <c r="A296" s="5">
        <v>44297</v>
      </c>
      <c r="B296">
        <v>0.36451</v>
      </c>
      <c r="C296">
        <v>0.36995</v>
      </c>
      <c r="D296">
        <v>0.34436</v>
      </c>
      <c r="E296">
        <v>0.36352000000000001</v>
      </c>
      <c r="F296">
        <v>57255424.100000001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0.49745994529113008</v>
      </c>
      <c r="Q296">
        <f t="shared" si="965"/>
        <v>28482280.140406452</v>
      </c>
      <c r="R296">
        <f t="shared" si="966"/>
        <v>267642155.90387538</v>
      </c>
      <c r="S296">
        <f t="shared" si="967"/>
        <v>2676.4215590387539</v>
      </c>
      <c r="T296">
        <f t="shared" si="968"/>
        <v>2.6764215590387539</v>
      </c>
    </row>
    <row r="297" spans="1:20" x14ac:dyDescent="0.25">
      <c r="A297" s="5">
        <v>44296</v>
      </c>
      <c r="B297">
        <v>0.38497999999999999</v>
      </c>
      <c r="C297">
        <v>0.39295000000000002</v>
      </c>
      <c r="D297">
        <v>0.35116999999999998</v>
      </c>
      <c r="E297">
        <v>0.36475000000000002</v>
      </c>
      <c r="F297">
        <v>77139448.700000003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-0.34992819530875902</v>
      </c>
      <c r="Q297">
        <f t="shared" si="965"/>
        <v>-26993268.0707036</v>
      </c>
      <c r="R297">
        <f t="shared" si="966"/>
        <v>239159875.76346892</v>
      </c>
      <c r="S297">
        <f t="shared" si="967"/>
        <v>2391.5987576346893</v>
      </c>
      <c r="T297">
        <f t="shared" si="968"/>
        <v>2.3915987576346893</v>
      </c>
    </row>
    <row r="298" spans="1:20" x14ac:dyDescent="0.25">
      <c r="A298" s="5">
        <v>44295</v>
      </c>
      <c r="B298">
        <v>0.38388</v>
      </c>
      <c r="C298">
        <v>0.42099999999999999</v>
      </c>
      <c r="D298">
        <v>0.37481999999999999</v>
      </c>
      <c r="E298">
        <v>0.38463000000000003</v>
      </c>
      <c r="F298">
        <v>92011903.299999997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-0.57514075357297356</v>
      </c>
      <c r="Q298">
        <f t="shared" si="965"/>
        <v>-52919795.401645571</v>
      </c>
      <c r="R298">
        <f t="shared" si="966"/>
        <v>266153143.83417252</v>
      </c>
      <c r="S298">
        <f t="shared" si="967"/>
        <v>2661.5314383417253</v>
      </c>
      <c r="T298">
        <f t="shared" si="968"/>
        <v>2.6615314383417252</v>
      </c>
    </row>
    <row r="299" spans="1:20" x14ac:dyDescent="0.25">
      <c r="A299" s="5">
        <v>44294</v>
      </c>
      <c r="B299">
        <v>0.36993999999999999</v>
      </c>
      <c r="C299">
        <v>0.4</v>
      </c>
      <c r="D299">
        <v>0.36736000000000002</v>
      </c>
      <c r="E299">
        <v>0.38352000000000003</v>
      </c>
      <c r="F299">
        <v>68780059.599999994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-9.8039215686270501E-3</v>
      </c>
      <c r="Q299">
        <f t="shared" si="965"/>
        <v>-674314.30980389391</v>
      </c>
      <c r="R299">
        <f t="shared" si="966"/>
        <v>319072939.23581809</v>
      </c>
      <c r="S299">
        <f t="shared" si="967"/>
        <v>3190.729392358181</v>
      </c>
      <c r="T299">
        <f t="shared" si="968"/>
        <v>3.1907293923581812</v>
      </c>
    </row>
    <row r="300" spans="1:20" x14ac:dyDescent="0.25">
      <c r="A300" s="5">
        <v>44293</v>
      </c>
      <c r="B300">
        <v>0.43430999999999997</v>
      </c>
      <c r="C300">
        <v>0.44386999999999999</v>
      </c>
      <c r="D300">
        <v>0.32</v>
      </c>
      <c r="E300">
        <v>0.36997000000000002</v>
      </c>
      <c r="F300">
        <v>126864103.2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-0.19318640510212284</v>
      </c>
      <c r="Q300">
        <f t="shared" si="965"/>
        <v>-24508420.033712719</v>
      </c>
      <c r="R300">
        <f t="shared" si="966"/>
        <v>319747253.54562199</v>
      </c>
      <c r="S300">
        <f t="shared" si="967"/>
        <v>3197.4725354562197</v>
      </c>
      <c r="T300">
        <f t="shared" si="968"/>
        <v>3.1974725354562197</v>
      </c>
    </row>
    <row r="301" spans="1:20" x14ac:dyDescent="0.25">
      <c r="A301" s="5">
        <v>44292</v>
      </c>
      <c r="B301">
        <v>0.39144000000000001</v>
      </c>
      <c r="C301">
        <v>0.44890999999999998</v>
      </c>
      <c r="D301">
        <v>0.37889</v>
      </c>
      <c r="E301">
        <v>0.43403000000000003</v>
      </c>
      <c r="F301">
        <v>157853703.5</v>
      </c>
      <c r="G301">
        <v>0</v>
      </c>
      <c r="L301" t="s">
        <v>8</v>
      </c>
      <c r="M301" t="s">
        <v>8</v>
      </c>
      <c r="N301" t="s">
        <v>7</v>
      </c>
      <c r="P301">
        <f t="shared" si="964"/>
        <v>0.57497857754927295</v>
      </c>
      <c r="Q301">
        <f t="shared" si="965"/>
        <v>90762497.899314687</v>
      </c>
      <c r="R301">
        <f t="shared" si="966"/>
        <v>344255673.57933474</v>
      </c>
      <c r="S301">
        <f t="shared" si="967"/>
        <v>3442.5567357933473</v>
      </c>
      <c r="T301">
        <f t="shared" si="968"/>
        <v>3.4425567357933473</v>
      </c>
    </row>
    <row r="302" spans="1:20" x14ac:dyDescent="0.25">
      <c r="A302" s="5">
        <v>44291</v>
      </c>
      <c r="B302">
        <v>0.40583999999999998</v>
      </c>
      <c r="C302">
        <v>0.40989999999999999</v>
      </c>
      <c r="D302">
        <v>0.38555</v>
      </c>
      <c r="E302">
        <v>0.39155000000000001</v>
      </c>
      <c r="F302">
        <v>84692690.099999994</v>
      </c>
      <c r="G302">
        <v>0</v>
      </c>
      <c r="L302" t="s">
        <v>8</v>
      </c>
      <c r="M302" t="s">
        <v>7</v>
      </c>
      <c r="N302" t="s">
        <v>7</v>
      </c>
      <c r="P302">
        <f t="shared" si="964"/>
        <v>-0.50718685831622101</v>
      </c>
      <c r="Q302">
        <f t="shared" si="965"/>
        <v>-42955019.414168313</v>
      </c>
      <c r="R302">
        <f t="shared" si="966"/>
        <v>253493175.68002003</v>
      </c>
      <c r="S302">
        <f t="shared" si="967"/>
        <v>2534.9317568002002</v>
      </c>
      <c r="T302">
        <f t="shared" si="968"/>
        <v>2.5349317568002001</v>
      </c>
    </row>
    <row r="303" spans="1:20" x14ac:dyDescent="0.25">
      <c r="A303" s="5">
        <v>44290</v>
      </c>
      <c r="B303">
        <v>0.37748999999999999</v>
      </c>
      <c r="C303">
        <v>0.42499999999999999</v>
      </c>
      <c r="D303">
        <v>0.37</v>
      </c>
      <c r="E303">
        <v>0.40583999999999998</v>
      </c>
      <c r="F303">
        <v>110942921.40000001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0.30327272727272681</v>
      </c>
      <c r="Q303">
        <f t="shared" si="965"/>
        <v>33645962.344581768</v>
      </c>
      <c r="R303">
        <f t="shared" si="966"/>
        <v>296448195.09418833</v>
      </c>
      <c r="S303">
        <f t="shared" si="967"/>
        <v>2964.4819509418835</v>
      </c>
      <c r="T303">
        <f t="shared" si="968"/>
        <v>2.9644819509418836</v>
      </c>
    </row>
    <row r="304" spans="1:20" x14ac:dyDescent="0.25">
      <c r="A304" s="5">
        <v>44289</v>
      </c>
      <c r="B304">
        <v>0.41709000000000002</v>
      </c>
      <c r="C304">
        <v>0.43264999999999998</v>
      </c>
      <c r="D304">
        <v>0.372</v>
      </c>
      <c r="E304">
        <v>0.37752000000000002</v>
      </c>
      <c r="F304">
        <v>124955147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-0.81797197032151603</v>
      </c>
      <c r="Q304">
        <f t="shared" si="965"/>
        <v>-102209807.79340467</v>
      </c>
      <c r="R304">
        <f t="shared" si="966"/>
        <v>262802232.74960658</v>
      </c>
      <c r="S304">
        <f t="shared" si="967"/>
        <v>2628.0223274960658</v>
      </c>
      <c r="T304">
        <f t="shared" si="968"/>
        <v>2.6280223274960659</v>
      </c>
    </row>
    <row r="305" spans="1:20" x14ac:dyDescent="0.25">
      <c r="A305" s="5">
        <v>44288</v>
      </c>
      <c r="B305">
        <v>0.42149999999999999</v>
      </c>
      <c r="C305">
        <v>0.43490000000000001</v>
      </c>
      <c r="D305">
        <v>0.40916000000000002</v>
      </c>
      <c r="E305">
        <v>0.41710000000000003</v>
      </c>
      <c r="F305">
        <v>93742943.099999994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-0.38306138306138249</v>
      </c>
      <c r="Q305">
        <f t="shared" si="965"/>
        <v>-35909301.436130479</v>
      </c>
      <c r="R305">
        <f t="shared" si="966"/>
        <v>365012040.54301125</v>
      </c>
      <c r="S305">
        <f t="shared" si="967"/>
        <v>3650.1204054301124</v>
      </c>
      <c r="T305">
        <f t="shared" si="968"/>
        <v>3.6501204054301124</v>
      </c>
    </row>
    <row r="306" spans="1:20" x14ac:dyDescent="0.25">
      <c r="A306" s="5">
        <v>44287</v>
      </c>
      <c r="B306">
        <v>0.45315</v>
      </c>
      <c r="C306">
        <v>0.46349000000000001</v>
      </c>
      <c r="D306">
        <v>0.40806999999999999</v>
      </c>
      <c r="E306">
        <v>0.42149999999999999</v>
      </c>
      <c r="F306">
        <v>119357398.2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-0.51533742331288379</v>
      </c>
      <c r="Q306">
        <f t="shared" si="965"/>
        <v>-61509334.041717835</v>
      </c>
      <c r="R306">
        <f t="shared" si="966"/>
        <v>400921341.97914171</v>
      </c>
      <c r="S306">
        <f t="shared" si="967"/>
        <v>4009.213419791417</v>
      </c>
      <c r="T306">
        <f t="shared" si="968"/>
        <v>4.0092134197914167</v>
      </c>
    </row>
    <row r="307" spans="1:20" x14ac:dyDescent="0.25">
      <c r="A307" s="5">
        <v>44286</v>
      </c>
      <c r="B307">
        <v>0.51300000000000001</v>
      </c>
      <c r="C307">
        <v>0.51949999999999996</v>
      </c>
      <c r="D307">
        <v>0.4385</v>
      </c>
      <c r="E307">
        <v>0.45266000000000001</v>
      </c>
      <c r="F307">
        <v>152939449.59999999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-0.65037037037037004</v>
      </c>
      <c r="Q307">
        <f t="shared" si="965"/>
        <v>-99467286.480592534</v>
      </c>
      <c r="R307">
        <f t="shared" si="966"/>
        <v>462430676.02085954</v>
      </c>
      <c r="S307">
        <f t="shared" si="967"/>
        <v>4624.3067602085957</v>
      </c>
      <c r="T307">
        <f t="shared" si="968"/>
        <v>4.6243067602085954</v>
      </c>
    </row>
    <row r="308" spans="1:20" x14ac:dyDescent="0.25">
      <c r="A308" s="5">
        <v>44285</v>
      </c>
      <c r="B308">
        <v>0.47443000000000002</v>
      </c>
      <c r="C308">
        <v>0.52900000000000003</v>
      </c>
      <c r="D308">
        <v>0.46711999999999998</v>
      </c>
      <c r="E308">
        <v>0.51327999999999996</v>
      </c>
      <c r="F308">
        <v>145746812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0.49191984486101953</v>
      </c>
      <c r="Q308">
        <f t="shared" si="965"/>
        <v>71695749.14802818</v>
      </c>
      <c r="R308">
        <f t="shared" si="966"/>
        <v>561897962.50145209</v>
      </c>
      <c r="S308">
        <f t="shared" si="967"/>
        <v>5618.9796250145209</v>
      </c>
      <c r="T308">
        <f t="shared" si="968"/>
        <v>5.6189796250145205</v>
      </c>
    </row>
    <row r="309" spans="1:20" x14ac:dyDescent="0.25">
      <c r="A309" s="5">
        <v>44284</v>
      </c>
      <c r="B309">
        <v>0.45329000000000003</v>
      </c>
      <c r="C309">
        <v>0.48499999999999999</v>
      </c>
      <c r="D309">
        <v>0.44512000000000002</v>
      </c>
      <c r="E309">
        <v>0.47481000000000001</v>
      </c>
      <c r="F309">
        <v>110054992.3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0.48896690070210713</v>
      </c>
      <c r="Q309">
        <f t="shared" si="965"/>
        <v>53813248.491725266</v>
      </c>
      <c r="R309">
        <f t="shared" si="966"/>
        <v>490202213.35342389</v>
      </c>
      <c r="S309">
        <f t="shared" si="967"/>
        <v>4902.0221335342385</v>
      </c>
      <c r="T309">
        <f t="shared" si="968"/>
        <v>4.9020221335342384</v>
      </c>
    </row>
    <row r="310" spans="1:20" x14ac:dyDescent="0.25">
      <c r="A310" s="5">
        <v>44283</v>
      </c>
      <c r="B310">
        <v>0.44252999999999998</v>
      </c>
      <c r="C310">
        <v>0.48288999999999999</v>
      </c>
      <c r="D310">
        <v>0.432</v>
      </c>
      <c r="E310">
        <v>0.45327000000000001</v>
      </c>
      <c r="F310">
        <v>102130838.09999999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-0.1640793869129489</v>
      </c>
      <c r="Q310">
        <f t="shared" si="965"/>
        <v>-16757565.300353643</v>
      </c>
      <c r="R310">
        <f t="shared" si="966"/>
        <v>436388964.86169863</v>
      </c>
      <c r="S310">
        <f t="shared" si="967"/>
        <v>4363.8896486169861</v>
      </c>
      <c r="T310">
        <f t="shared" si="968"/>
        <v>4.3638896486169862</v>
      </c>
    </row>
    <row r="311" spans="1:20" x14ac:dyDescent="0.25">
      <c r="A311" s="5">
        <v>44282</v>
      </c>
      <c r="B311">
        <v>0.45261000000000001</v>
      </c>
      <c r="C311">
        <v>0.47899999999999998</v>
      </c>
      <c r="D311">
        <v>0.43472</v>
      </c>
      <c r="E311">
        <v>0.44269999999999998</v>
      </c>
      <c r="F311">
        <v>91746732.400000006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-0.63956639566395712</v>
      </c>
      <c r="Q311">
        <f t="shared" si="965"/>
        <v>-58678126.955013596</v>
      </c>
      <c r="R311">
        <f t="shared" si="966"/>
        <v>453146530.16205227</v>
      </c>
      <c r="S311">
        <f t="shared" si="967"/>
        <v>4531.465301620523</v>
      </c>
      <c r="T311">
        <f t="shared" si="968"/>
        <v>4.5314653016205231</v>
      </c>
    </row>
    <row r="312" spans="1:20" x14ac:dyDescent="0.25">
      <c r="A312" s="5">
        <v>44281</v>
      </c>
      <c r="B312">
        <v>0.42964000000000002</v>
      </c>
      <c r="C312">
        <v>0.5</v>
      </c>
      <c r="D312">
        <v>0.42885000000000001</v>
      </c>
      <c r="E312">
        <v>0.45177</v>
      </c>
      <c r="F312">
        <v>138986102.80000001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-0.35572733661278993</v>
      </c>
      <c r="Q312">
        <f t="shared" si="965"/>
        <v>-49441156.175235428</v>
      </c>
      <c r="R312">
        <f t="shared" si="966"/>
        <v>511824657.11706585</v>
      </c>
      <c r="S312">
        <f t="shared" si="967"/>
        <v>5118.2465711706582</v>
      </c>
      <c r="T312">
        <f t="shared" si="968"/>
        <v>5.1182465711706584</v>
      </c>
    </row>
    <row r="313" spans="1:20" x14ac:dyDescent="0.25">
      <c r="A313" s="5">
        <v>44280</v>
      </c>
      <c r="B313">
        <v>0.41600999999999999</v>
      </c>
      <c r="C313">
        <v>0.45600000000000002</v>
      </c>
      <c r="D313">
        <v>0.38613999999999998</v>
      </c>
      <c r="E313">
        <v>0.42902000000000001</v>
      </c>
      <c r="F313">
        <v>187344453.19999999</v>
      </c>
      <c r="G313">
        <v>0</v>
      </c>
      <c r="L313" t="s">
        <v>8</v>
      </c>
      <c r="M313" t="s">
        <v>8</v>
      </c>
      <c r="N313" t="s">
        <v>7</v>
      </c>
      <c r="P313">
        <f t="shared" si="964"/>
        <v>0.22759805324935611</v>
      </c>
      <c r="Q313">
        <f t="shared" si="965"/>
        <v>42639232.835385099</v>
      </c>
      <c r="R313">
        <f t="shared" si="966"/>
        <v>561265813.2923013</v>
      </c>
      <c r="S313">
        <f t="shared" si="967"/>
        <v>5612.658132923013</v>
      </c>
      <c r="T313">
        <f t="shared" si="968"/>
        <v>5.6126581329230127</v>
      </c>
    </row>
    <row r="314" spans="1:20" x14ac:dyDescent="0.25">
      <c r="A314" s="5">
        <v>44279</v>
      </c>
      <c r="B314">
        <v>0.49925000000000003</v>
      </c>
      <c r="C314">
        <v>0.53905000000000003</v>
      </c>
      <c r="D314">
        <v>0.37</v>
      </c>
      <c r="E314">
        <v>0.41599999999999998</v>
      </c>
      <c r="F314">
        <v>219963742.90000001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-0.45578231292517035</v>
      </c>
      <c r="Q314">
        <f t="shared" si="965"/>
        <v>-100255583.49863952</v>
      </c>
      <c r="R314">
        <f t="shared" si="966"/>
        <v>518626580.45691615</v>
      </c>
      <c r="S314">
        <f t="shared" si="967"/>
        <v>5186.2658045691614</v>
      </c>
      <c r="T314">
        <f t="shared" si="968"/>
        <v>5.1862658045691612</v>
      </c>
    </row>
    <row r="315" spans="1:20" x14ac:dyDescent="0.25">
      <c r="A315" s="5">
        <v>44278</v>
      </c>
      <c r="B315">
        <v>0.49707000000000001</v>
      </c>
      <c r="C315">
        <v>0.57979999999999998</v>
      </c>
      <c r="D315">
        <v>0.48277999999999999</v>
      </c>
      <c r="E315">
        <v>0.49808999999999998</v>
      </c>
      <c r="F315">
        <v>228065393.90000001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-0.68439497010925598</v>
      </c>
      <c r="Q315">
        <f t="shared" si="965"/>
        <v>-156086808.44114619</v>
      </c>
      <c r="R315">
        <f t="shared" si="966"/>
        <v>618882163.95555568</v>
      </c>
      <c r="S315">
        <f t="shared" si="967"/>
        <v>6188.8216395555564</v>
      </c>
      <c r="T315">
        <f t="shared" si="968"/>
        <v>6.1888216395555569</v>
      </c>
    </row>
    <row r="316" spans="1:20" x14ac:dyDescent="0.25">
      <c r="A316" s="5">
        <v>44277</v>
      </c>
      <c r="B316">
        <v>0.46611000000000002</v>
      </c>
      <c r="C316">
        <v>0.55203000000000002</v>
      </c>
      <c r="D316">
        <v>0.43031000000000003</v>
      </c>
      <c r="E316">
        <v>0.49704999999999999</v>
      </c>
      <c r="F316">
        <v>241801960.30000001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9.6615182385802967E-2</v>
      </c>
      <c r="Q316">
        <f t="shared" si="965"/>
        <v>23361740.495629188</v>
      </c>
      <c r="R316">
        <f t="shared" si="966"/>
        <v>774968972.39670193</v>
      </c>
      <c r="S316">
        <f t="shared" si="967"/>
        <v>7749.6897239670197</v>
      </c>
      <c r="T316">
        <f t="shared" si="968"/>
        <v>7.7496897239670197</v>
      </c>
    </row>
    <row r="317" spans="1:20" x14ac:dyDescent="0.25">
      <c r="A317" s="5">
        <v>44276</v>
      </c>
      <c r="B317">
        <v>0.44835000000000003</v>
      </c>
      <c r="C317">
        <v>0.49890000000000001</v>
      </c>
      <c r="D317">
        <v>0.42341000000000001</v>
      </c>
      <c r="E317">
        <v>0.46633999999999998</v>
      </c>
      <c r="F317">
        <v>220100945.5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0.13736918797191594</v>
      </c>
      <c r="Q317">
        <f t="shared" si="965"/>
        <v>30235088.155185927</v>
      </c>
      <c r="R317">
        <f t="shared" si="966"/>
        <v>751607231.90107274</v>
      </c>
      <c r="S317">
        <f t="shared" si="967"/>
        <v>7516.0723190107274</v>
      </c>
      <c r="T317">
        <f t="shared" si="968"/>
        <v>7.5160723190107275</v>
      </c>
    </row>
    <row r="318" spans="1:20" x14ac:dyDescent="0.25">
      <c r="A318" s="5">
        <v>44275</v>
      </c>
      <c r="B318">
        <v>0.41277999999999998</v>
      </c>
      <c r="C318">
        <v>0.46888999999999997</v>
      </c>
      <c r="D318">
        <v>0.41</v>
      </c>
      <c r="E318">
        <v>0.44757000000000002</v>
      </c>
      <c r="F318">
        <v>147275942.59999999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0.2759381898454763</v>
      </c>
      <c r="Q318">
        <f t="shared" si="965"/>
        <v>40639057.008830272</v>
      </c>
      <c r="R318">
        <f t="shared" si="966"/>
        <v>721372143.7458868</v>
      </c>
      <c r="S318">
        <f t="shared" si="967"/>
        <v>7213.7214374588684</v>
      </c>
      <c r="T318">
        <f t="shared" si="968"/>
        <v>7.2137214374588687</v>
      </c>
    </row>
    <row r="319" spans="1:20" x14ac:dyDescent="0.25">
      <c r="A319" s="5">
        <v>44274</v>
      </c>
      <c r="B319">
        <v>0.38840999999999998</v>
      </c>
      <c r="C319">
        <v>0.44</v>
      </c>
      <c r="D319">
        <v>0.37190000000000001</v>
      </c>
      <c r="E319">
        <v>0.4128</v>
      </c>
      <c r="F319">
        <v>156907211.5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0.20117474302496316</v>
      </c>
      <c r="Q319">
        <f t="shared" si="965"/>
        <v>31565767.952276044</v>
      </c>
      <c r="R319">
        <f t="shared" si="966"/>
        <v>680733086.73705649</v>
      </c>
      <c r="S319">
        <f t="shared" si="967"/>
        <v>6807.3308673705651</v>
      </c>
      <c r="T319">
        <f t="shared" si="968"/>
        <v>6.807330867370565</v>
      </c>
    </row>
    <row r="320" spans="1:20" x14ac:dyDescent="0.25">
      <c r="A320" s="5">
        <v>44273</v>
      </c>
      <c r="B320">
        <v>0.41160999999999998</v>
      </c>
      <c r="C320">
        <v>0.42080000000000001</v>
      </c>
      <c r="D320">
        <v>0.38080000000000003</v>
      </c>
      <c r="E320">
        <v>0.38829999999999998</v>
      </c>
      <c r="F320">
        <v>128946770.7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-0.62500000000000222</v>
      </c>
      <c r="Q320">
        <f t="shared" si="965"/>
        <v>-80591731.687500283</v>
      </c>
      <c r="R320">
        <f t="shared" si="966"/>
        <v>649167318.7847805</v>
      </c>
      <c r="S320">
        <f t="shared" si="967"/>
        <v>6491.6731878478049</v>
      </c>
      <c r="T320">
        <f t="shared" si="968"/>
        <v>6.4916731878478053</v>
      </c>
    </row>
    <row r="321" spans="1:20" x14ac:dyDescent="0.25">
      <c r="A321" s="5">
        <v>44272</v>
      </c>
      <c r="B321">
        <v>0.36697000000000002</v>
      </c>
      <c r="C321">
        <v>0.41872999999999999</v>
      </c>
      <c r="D321">
        <v>0.35960999999999999</v>
      </c>
      <c r="E321">
        <v>0.41293000000000002</v>
      </c>
      <c r="F321">
        <v>148106858.59999999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0.80378890392422286</v>
      </c>
      <c r="Q321">
        <f t="shared" si="965"/>
        <v>119046649.53775385</v>
      </c>
      <c r="R321">
        <f t="shared" si="966"/>
        <v>729759050.47228074</v>
      </c>
      <c r="S321">
        <f t="shared" si="967"/>
        <v>7297.5905047228071</v>
      </c>
      <c r="T321">
        <f t="shared" si="968"/>
        <v>7.2975905047228071</v>
      </c>
    </row>
    <row r="322" spans="1:20" x14ac:dyDescent="0.25">
      <c r="A322" s="5">
        <v>44271</v>
      </c>
      <c r="B322">
        <v>0.37757000000000002</v>
      </c>
      <c r="C322">
        <v>0.42499999999999999</v>
      </c>
      <c r="D322">
        <v>0.34687000000000001</v>
      </c>
      <c r="E322">
        <v>0.36760999999999999</v>
      </c>
      <c r="F322">
        <v>224508456.5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-0.46908997824139287</v>
      </c>
      <c r="Q322">
        <f t="shared" si="965"/>
        <v>-105314666.9745937</v>
      </c>
      <c r="R322">
        <f t="shared" si="966"/>
        <v>610712400.93452692</v>
      </c>
      <c r="S322">
        <f t="shared" si="967"/>
        <v>6107.1240093452689</v>
      </c>
      <c r="T322">
        <f t="shared" si="968"/>
        <v>6.1071240093452692</v>
      </c>
    </row>
    <row r="323" spans="1:20" x14ac:dyDescent="0.25">
      <c r="A323" s="5">
        <v>44270</v>
      </c>
      <c r="B323">
        <v>0.35022999999999999</v>
      </c>
      <c r="C323">
        <v>0.41699999999999998</v>
      </c>
      <c r="D323">
        <v>0.32186999999999999</v>
      </c>
      <c r="E323">
        <v>0.37763000000000002</v>
      </c>
      <c r="F323">
        <v>235068227.90000001</v>
      </c>
      <c r="G323">
        <v>0</v>
      </c>
      <c r="L323" t="s">
        <v>8</v>
      </c>
      <c r="M323" t="s">
        <v>8</v>
      </c>
      <c r="N323" t="s">
        <v>7</v>
      </c>
      <c r="P323">
        <f t="shared" si="964"/>
        <v>0.17229054977399424</v>
      </c>
      <c r="Q323">
        <f t="shared" si="965"/>
        <v>40500034.219289571</v>
      </c>
      <c r="R323">
        <f t="shared" si="966"/>
        <v>716027067.90912056</v>
      </c>
      <c r="S323">
        <f t="shared" si="967"/>
        <v>7160.2706790912052</v>
      </c>
      <c r="T323">
        <f t="shared" si="968"/>
        <v>7.1602706790912052</v>
      </c>
    </row>
    <row r="324" spans="1:20" x14ac:dyDescent="0.25">
      <c r="A324" s="5">
        <v>44269</v>
      </c>
      <c r="B324">
        <v>0.38725999999999999</v>
      </c>
      <c r="C324">
        <v>0.41</v>
      </c>
      <c r="D324">
        <v>0.33439999999999998</v>
      </c>
      <c r="E324">
        <v>0.35021999999999998</v>
      </c>
      <c r="F324">
        <v>207663824.30000001</v>
      </c>
      <c r="G324">
        <v>0</v>
      </c>
      <c r="L324" t="s">
        <v>8</v>
      </c>
      <c r="M324" t="s">
        <v>8</v>
      </c>
      <c r="N324" t="s">
        <v>7</v>
      </c>
      <c r="P324">
        <f t="shared" si="964"/>
        <v>-0.58148148148148149</v>
      </c>
      <c r="Q324">
        <f t="shared" si="965"/>
        <v>-120752668.20407408</v>
      </c>
      <c r="R324">
        <f t="shared" si="966"/>
        <v>675527033.68983102</v>
      </c>
      <c r="S324">
        <f t="shared" si="967"/>
        <v>6755.2703368983102</v>
      </c>
      <c r="T324">
        <f t="shared" si="968"/>
        <v>6.7552703368983105</v>
      </c>
    </row>
    <row r="325" spans="1:20" x14ac:dyDescent="0.25">
      <c r="A325" s="5">
        <v>44268</v>
      </c>
      <c r="B325">
        <v>0.34039999999999998</v>
      </c>
      <c r="C325">
        <v>0.39499000000000001</v>
      </c>
      <c r="D325">
        <v>0.31283</v>
      </c>
      <c r="E325">
        <v>0.38786999999999999</v>
      </c>
      <c r="F325">
        <v>236672612.30000001</v>
      </c>
      <c r="G325">
        <v>0</v>
      </c>
      <c r="L325" t="s">
        <v>7</v>
      </c>
      <c r="M325" t="s">
        <v>8</v>
      </c>
      <c r="N325" t="s">
        <v>7</v>
      </c>
      <c r="P325">
        <f t="shared" si="964"/>
        <v>0.82667964946445927</v>
      </c>
      <c r="Q325">
        <f t="shared" si="965"/>
        <v>195652432.17400187</v>
      </c>
      <c r="R325">
        <f t="shared" si="966"/>
        <v>796279701.89390516</v>
      </c>
      <c r="S325">
        <f t="shared" si="967"/>
        <v>7962.7970189390517</v>
      </c>
      <c r="T325">
        <f t="shared" si="968"/>
        <v>7.9627970189390513</v>
      </c>
    </row>
    <row r="326" spans="1:20" x14ac:dyDescent="0.25">
      <c r="A326" s="5">
        <v>44267</v>
      </c>
      <c r="B326">
        <v>0.372</v>
      </c>
      <c r="C326">
        <v>0.39250000000000002</v>
      </c>
      <c r="D326">
        <v>0.32239000000000001</v>
      </c>
      <c r="E326">
        <v>0.34065000000000001</v>
      </c>
      <c r="F326">
        <v>238387120.19999999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-0.47910426472685785</v>
      </c>
      <c r="Q326">
        <f t="shared" ref="Q326:Q389" si="970">F326*P326</f>
        <v>-114212285.94377407</v>
      </c>
      <c r="R326">
        <f t="shared" ref="R326:R389" si="971">R327+Q326</f>
        <v>600627269.71990323</v>
      </c>
      <c r="S326">
        <f t="shared" ref="S326:S389" si="972">R326/100000</f>
        <v>6006.2726971990323</v>
      </c>
      <c r="T326">
        <f t="shared" ref="T326:T389" si="973">S326/1000</f>
        <v>6.0062726971990319</v>
      </c>
    </row>
    <row r="327" spans="1:20" x14ac:dyDescent="0.25">
      <c r="A327" s="5">
        <v>44266</v>
      </c>
      <c r="B327">
        <v>0.40561000000000003</v>
      </c>
      <c r="C327">
        <v>0.4325</v>
      </c>
      <c r="D327">
        <v>0.36047000000000001</v>
      </c>
      <c r="E327">
        <v>0.37146000000000001</v>
      </c>
      <c r="F327">
        <v>297172244.69999999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-0.69484936831875599</v>
      </c>
      <c r="Q327">
        <f t="shared" si="970"/>
        <v>-206489946.51166177</v>
      </c>
      <c r="R327">
        <f t="shared" si="971"/>
        <v>714839555.66367733</v>
      </c>
      <c r="S327">
        <f t="shared" si="972"/>
        <v>7148.3955566367731</v>
      </c>
      <c r="T327">
        <f t="shared" si="973"/>
        <v>7.148395556636773</v>
      </c>
    </row>
    <row r="328" spans="1:20" x14ac:dyDescent="0.25">
      <c r="A328" s="5">
        <v>44265</v>
      </c>
      <c r="B328">
        <v>0.39804</v>
      </c>
      <c r="C328">
        <v>0.48</v>
      </c>
      <c r="D328">
        <v>0.36499999999999999</v>
      </c>
      <c r="E328">
        <v>0.40577999999999997</v>
      </c>
      <c r="F328">
        <v>344745696</v>
      </c>
      <c r="G328">
        <v>0</v>
      </c>
      <c r="L328" t="s">
        <v>8</v>
      </c>
      <c r="M328" t="s">
        <v>8</v>
      </c>
      <c r="N328" t="s">
        <v>7</v>
      </c>
      <c r="P328">
        <f t="shared" si="969"/>
        <v>-0.29078260869565242</v>
      </c>
      <c r="Q328">
        <f t="shared" si="970"/>
        <v>-100246052.81947835</v>
      </c>
      <c r="R328">
        <f t="shared" si="971"/>
        <v>921329502.1753391</v>
      </c>
      <c r="S328">
        <f t="shared" si="972"/>
        <v>9213.2950217533908</v>
      </c>
      <c r="T328">
        <f t="shared" si="973"/>
        <v>9.2132950217533907</v>
      </c>
    </row>
    <row r="329" spans="1:20" x14ac:dyDescent="0.25">
      <c r="A329" s="5">
        <v>44264</v>
      </c>
      <c r="B329">
        <v>0.44001000000000001</v>
      </c>
      <c r="C329">
        <v>0.48483999999999999</v>
      </c>
      <c r="D329">
        <v>0.36</v>
      </c>
      <c r="E329">
        <v>0.39804</v>
      </c>
      <c r="F329">
        <v>364938415</v>
      </c>
      <c r="G329">
        <v>0</v>
      </c>
      <c r="L329" t="s">
        <v>7</v>
      </c>
      <c r="M329" t="s">
        <v>7</v>
      </c>
      <c r="N329" t="s">
        <v>7</v>
      </c>
      <c r="P329">
        <f t="shared" si="969"/>
        <v>-0.39057994232617727</v>
      </c>
      <c r="Q329">
        <f t="shared" si="970"/>
        <v>-142537625.08330655</v>
      </c>
      <c r="R329">
        <f t="shared" si="971"/>
        <v>1021575554.9948175</v>
      </c>
      <c r="S329">
        <f t="shared" si="972"/>
        <v>10215.755549948175</v>
      </c>
      <c r="T329">
        <f t="shared" si="973"/>
        <v>10.215755549948176</v>
      </c>
    </row>
    <row r="330" spans="1:20" x14ac:dyDescent="0.25">
      <c r="A330" s="5">
        <v>44263</v>
      </c>
      <c r="B330">
        <v>0.32789000000000001</v>
      </c>
      <c r="C330">
        <v>0.6</v>
      </c>
      <c r="D330">
        <v>0.32114999999999999</v>
      </c>
      <c r="E330">
        <v>0.44098999999999999</v>
      </c>
      <c r="F330">
        <v>603586498.20000005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-0.14046978662363271</v>
      </c>
      <c r="Q330">
        <f t="shared" si="970"/>
        <v>-84785666.611059681</v>
      </c>
      <c r="R330">
        <f t="shared" si="971"/>
        <v>1164113180.078124</v>
      </c>
      <c r="S330">
        <f t="shared" si="972"/>
        <v>11641.131800781241</v>
      </c>
      <c r="T330">
        <f t="shared" si="973"/>
        <v>11.64113180078124</v>
      </c>
    </row>
    <row r="331" spans="1:20" x14ac:dyDescent="0.25">
      <c r="A331" s="5">
        <v>44262</v>
      </c>
      <c r="B331">
        <v>0.25905</v>
      </c>
      <c r="C331">
        <v>0.33299000000000001</v>
      </c>
      <c r="D331">
        <v>0.24882000000000001</v>
      </c>
      <c r="E331">
        <v>0.32800000000000001</v>
      </c>
      <c r="F331">
        <v>207429029.59999999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0.88143043839847934</v>
      </c>
      <c r="Q331">
        <f t="shared" si="970"/>
        <v>182834260.49689916</v>
      </c>
      <c r="R331">
        <f t="shared" si="971"/>
        <v>1248898846.6891837</v>
      </c>
      <c r="S331">
        <f t="shared" si="972"/>
        <v>12488.988466891837</v>
      </c>
      <c r="T331">
        <f t="shared" si="973"/>
        <v>12.488988466891836</v>
      </c>
    </row>
    <row r="332" spans="1:20" x14ac:dyDescent="0.25">
      <c r="A332" s="5">
        <v>44261</v>
      </c>
      <c r="B332">
        <v>0.25992999999999999</v>
      </c>
      <c r="C332">
        <v>0.26650000000000001</v>
      </c>
      <c r="D332">
        <v>0.23601</v>
      </c>
      <c r="E332">
        <v>0.25894</v>
      </c>
      <c r="F332">
        <v>87733222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0.50409970482125244</v>
      </c>
      <c r="Q332">
        <f t="shared" si="970"/>
        <v>44226291.313217409</v>
      </c>
      <c r="R332">
        <f t="shared" si="971"/>
        <v>1066064586.1922845</v>
      </c>
      <c r="S332">
        <f t="shared" si="972"/>
        <v>10660.645861922845</v>
      </c>
      <c r="T332">
        <f t="shared" si="973"/>
        <v>10.660645861922845</v>
      </c>
    </row>
    <row r="333" spans="1:20" x14ac:dyDescent="0.25">
      <c r="A333" s="5">
        <v>44260</v>
      </c>
      <c r="B333">
        <v>0.26289000000000001</v>
      </c>
      <c r="C333">
        <v>0.28325</v>
      </c>
      <c r="D333">
        <v>0.23294000000000001</v>
      </c>
      <c r="E333">
        <v>0.25997999999999999</v>
      </c>
      <c r="F333">
        <v>158611970.09999999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7.4935400516795231E-2</v>
      </c>
      <c r="Q333">
        <f t="shared" si="970"/>
        <v>11885651.50620145</v>
      </c>
      <c r="R333">
        <f t="shared" si="971"/>
        <v>1021838294.8790671</v>
      </c>
      <c r="S333">
        <f t="shared" si="972"/>
        <v>10218.382948790671</v>
      </c>
      <c r="T333">
        <f t="shared" si="973"/>
        <v>10.218382948790671</v>
      </c>
    </row>
    <row r="334" spans="1:20" x14ac:dyDescent="0.25">
      <c r="A334" s="5">
        <v>44259</v>
      </c>
      <c r="B334">
        <v>0.22173999999999999</v>
      </c>
      <c r="C334">
        <v>0.27333000000000002</v>
      </c>
      <c r="D334">
        <v>0.21815999999999999</v>
      </c>
      <c r="E334">
        <v>0.26290999999999998</v>
      </c>
      <c r="F334">
        <v>225719764.40000001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0.62225847380822785</v>
      </c>
      <c r="Q334">
        <f t="shared" si="970"/>
        <v>140456036.10389677</v>
      </c>
      <c r="R334">
        <f t="shared" si="971"/>
        <v>1009952643.3728656</v>
      </c>
      <c r="S334">
        <f t="shared" si="972"/>
        <v>10099.526433728655</v>
      </c>
      <c r="T334">
        <f t="shared" si="973"/>
        <v>10.099526433728656</v>
      </c>
    </row>
    <row r="335" spans="1:20" x14ac:dyDescent="0.25">
      <c r="A335" s="5">
        <v>44258</v>
      </c>
      <c r="B335">
        <v>0.19486999999999999</v>
      </c>
      <c r="C335">
        <v>0.24464</v>
      </c>
      <c r="D335">
        <v>0.19250999999999999</v>
      </c>
      <c r="E335">
        <v>0.22178</v>
      </c>
      <c r="F335">
        <v>223262606.59999999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0.12296182620372195</v>
      </c>
      <c r="Q335">
        <f t="shared" si="970"/>
        <v>27452777.830539145</v>
      </c>
      <c r="R335">
        <f t="shared" si="971"/>
        <v>869496607.26896882</v>
      </c>
      <c r="S335">
        <f t="shared" si="972"/>
        <v>8694.9660726896891</v>
      </c>
      <c r="T335">
        <f t="shared" si="973"/>
        <v>8.6949660726896898</v>
      </c>
    </row>
    <row r="336" spans="1:20" x14ac:dyDescent="0.25">
      <c r="A336" s="5">
        <v>44257</v>
      </c>
      <c r="B336">
        <v>0.20366999999999999</v>
      </c>
      <c r="C336">
        <v>0.215</v>
      </c>
      <c r="D336">
        <v>0.188</v>
      </c>
      <c r="E336">
        <v>0.19486999999999999</v>
      </c>
      <c r="F336">
        <v>86008427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-0.491111111111112</v>
      </c>
      <c r="Q336">
        <f t="shared" si="970"/>
        <v>-42239694.148888968</v>
      </c>
      <c r="R336">
        <f t="shared" si="971"/>
        <v>842043829.43842971</v>
      </c>
      <c r="S336">
        <f t="shared" si="972"/>
        <v>8420.4382943842975</v>
      </c>
      <c r="T336">
        <f t="shared" si="973"/>
        <v>8.4204382943842973</v>
      </c>
    </row>
    <row r="337" spans="1:20" x14ac:dyDescent="0.25">
      <c r="A337" s="5">
        <v>44256</v>
      </c>
      <c r="B337">
        <v>0.19353999999999999</v>
      </c>
      <c r="C337">
        <v>0.21782000000000001</v>
      </c>
      <c r="D337">
        <v>0.19073999999999999</v>
      </c>
      <c r="E337">
        <v>0.20391999999999999</v>
      </c>
      <c r="F337">
        <v>105315177.59999999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-2.6587887740030489E-2</v>
      </c>
      <c r="Q337">
        <f t="shared" si="970"/>
        <v>-2800108.1193501735</v>
      </c>
      <c r="R337">
        <f t="shared" si="971"/>
        <v>884283523.58731866</v>
      </c>
      <c r="S337">
        <f t="shared" si="972"/>
        <v>8842.8352358731863</v>
      </c>
      <c r="T337">
        <f t="shared" si="973"/>
        <v>8.8428352358731868</v>
      </c>
    </row>
    <row r="338" spans="1:20" x14ac:dyDescent="0.25">
      <c r="A338" s="5">
        <v>44255</v>
      </c>
      <c r="B338">
        <v>0.19642000000000001</v>
      </c>
      <c r="C338">
        <v>0.19814000000000001</v>
      </c>
      <c r="D338">
        <v>0.16744000000000001</v>
      </c>
      <c r="E338">
        <v>0.19348000000000001</v>
      </c>
      <c r="F338">
        <v>99538257.099999994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0.69641693811074945</v>
      </c>
      <c r="Q338">
        <f t="shared" si="970"/>
        <v>69320128.234462559</v>
      </c>
      <c r="R338">
        <f t="shared" si="971"/>
        <v>887083631.70666885</v>
      </c>
      <c r="S338">
        <f t="shared" si="972"/>
        <v>8870.8363170666889</v>
      </c>
      <c r="T338">
        <f t="shared" si="973"/>
        <v>8.8708363170666882</v>
      </c>
    </row>
    <row r="339" spans="1:20" x14ac:dyDescent="0.25">
      <c r="A339" s="5">
        <v>44254</v>
      </c>
      <c r="B339">
        <v>0.21076</v>
      </c>
      <c r="C339">
        <v>0.22087000000000001</v>
      </c>
      <c r="D339">
        <v>0.1883</v>
      </c>
      <c r="E339">
        <v>0.19645000000000001</v>
      </c>
      <c r="F339">
        <v>106649931.59999999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-0.49953945348480105</v>
      </c>
      <c r="Q339">
        <f t="shared" si="970"/>
        <v>-53275848.545655414</v>
      </c>
      <c r="R339">
        <f t="shared" si="971"/>
        <v>817763503.47220623</v>
      </c>
      <c r="S339">
        <f t="shared" si="972"/>
        <v>8177.6350347220623</v>
      </c>
      <c r="T339">
        <f t="shared" si="973"/>
        <v>8.1776350347220621</v>
      </c>
    </row>
    <row r="340" spans="1:20" x14ac:dyDescent="0.25">
      <c r="A340" s="5">
        <v>44253</v>
      </c>
      <c r="B340">
        <v>0.19897000000000001</v>
      </c>
      <c r="C340">
        <v>0.23524999999999999</v>
      </c>
      <c r="D340">
        <v>0.18844</v>
      </c>
      <c r="E340">
        <v>0.21084</v>
      </c>
      <c r="F340">
        <v>248186374.19999999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-4.2939542832727717E-2</v>
      </c>
      <c r="Q340">
        <f t="shared" si="970"/>
        <v>-10657009.445460288</v>
      </c>
      <c r="R340">
        <f t="shared" si="971"/>
        <v>871039352.0178616</v>
      </c>
      <c r="S340">
        <f t="shared" si="972"/>
        <v>8710.3935201786153</v>
      </c>
      <c r="T340">
        <f t="shared" si="973"/>
        <v>8.7103935201786147</v>
      </c>
    </row>
    <row r="341" spans="1:20" x14ac:dyDescent="0.25">
      <c r="A341" s="5">
        <v>44252</v>
      </c>
      <c r="B341">
        <v>0.18287999999999999</v>
      </c>
      <c r="C341">
        <v>0.24970000000000001</v>
      </c>
      <c r="D341">
        <v>0.18</v>
      </c>
      <c r="E341">
        <v>0.19883999999999999</v>
      </c>
      <c r="F341">
        <v>289669825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-0.45939741750358704</v>
      </c>
      <c r="Q341">
        <f t="shared" si="970"/>
        <v>-133073569.53371599</v>
      </c>
      <c r="R341">
        <f t="shared" si="971"/>
        <v>881696361.46332192</v>
      </c>
      <c r="S341">
        <f t="shared" si="972"/>
        <v>8816.9636146332195</v>
      </c>
      <c r="T341">
        <f t="shared" si="973"/>
        <v>8.8169636146332202</v>
      </c>
    </row>
    <row r="342" spans="1:20" x14ac:dyDescent="0.25">
      <c r="A342" s="5">
        <v>44251</v>
      </c>
      <c r="B342">
        <v>0.17594000000000001</v>
      </c>
      <c r="C342">
        <v>0.19980000000000001</v>
      </c>
      <c r="D342">
        <v>0.15926999999999999</v>
      </c>
      <c r="E342">
        <v>0.18335000000000001</v>
      </c>
      <c r="F342">
        <v>128578743.5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0.18825561312608002</v>
      </c>
      <c r="Q342">
        <f t="shared" si="970"/>
        <v>24205670.192573477</v>
      </c>
      <c r="R342">
        <f t="shared" si="971"/>
        <v>1014769930.9970379</v>
      </c>
      <c r="S342">
        <f t="shared" si="972"/>
        <v>10147.69930997038</v>
      </c>
      <c r="T342">
        <f t="shared" si="973"/>
        <v>10.147699309970379</v>
      </c>
    </row>
    <row r="343" spans="1:20" x14ac:dyDescent="0.25">
      <c r="A343" s="5">
        <v>44250</v>
      </c>
      <c r="B343">
        <v>0.20698</v>
      </c>
      <c r="C343">
        <v>0.20732</v>
      </c>
      <c r="D343">
        <v>0.14099999999999999</v>
      </c>
      <c r="E343">
        <v>0.17594000000000001</v>
      </c>
      <c r="F343">
        <v>184930521.90000001</v>
      </c>
      <c r="G343">
        <v>0</v>
      </c>
      <c r="L343" t="s">
        <v>7</v>
      </c>
      <c r="M343" t="s">
        <v>7</v>
      </c>
      <c r="N343" t="s">
        <v>8</v>
      </c>
      <c r="P343">
        <f t="shared" si="969"/>
        <v>5.3679131483715836E-2</v>
      </c>
      <c r="Q343">
        <f t="shared" si="970"/>
        <v>9926909.8004222903</v>
      </c>
      <c r="R343">
        <f t="shared" si="971"/>
        <v>990564260.80446446</v>
      </c>
      <c r="S343">
        <f t="shared" si="972"/>
        <v>9905.6426080446454</v>
      </c>
      <c r="T343">
        <f t="shared" si="973"/>
        <v>9.905642608044646</v>
      </c>
    </row>
    <row r="344" spans="1:20" x14ac:dyDescent="0.25">
      <c r="A344" s="5">
        <v>44249</v>
      </c>
      <c r="B344">
        <v>0.20329</v>
      </c>
      <c r="C344">
        <v>0.21448</v>
      </c>
      <c r="D344">
        <v>0.14499999999999999</v>
      </c>
      <c r="E344">
        <v>0.20732999999999999</v>
      </c>
      <c r="F344">
        <v>182297185.90000001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0.79418537708693104</v>
      </c>
      <c r="Q344">
        <f t="shared" si="970"/>
        <v>144777759.32587788</v>
      </c>
      <c r="R344">
        <f t="shared" si="971"/>
        <v>980637351.00404215</v>
      </c>
      <c r="S344">
        <f t="shared" si="972"/>
        <v>9806.373510040421</v>
      </c>
      <c r="T344">
        <f t="shared" si="973"/>
        <v>9.8063735100404212</v>
      </c>
    </row>
    <row r="345" spans="1:20" x14ac:dyDescent="0.25">
      <c r="A345" s="5">
        <v>44248</v>
      </c>
      <c r="B345">
        <v>0.19461000000000001</v>
      </c>
      <c r="C345">
        <v>0.22500000000000001</v>
      </c>
      <c r="D345">
        <v>0.18068000000000001</v>
      </c>
      <c r="E345">
        <v>0.20275000000000001</v>
      </c>
      <c r="F345">
        <v>176069708.5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-4.0613718411549125E-3</v>
      </c>
      <c r="Q345">
        <f t="shared" si="970"/>
        <v>-715084.55618225376</v>
      </c>
      <c r="R345">
        <f t="shared" si="971"/>
        <v>835859591.67816424</v>
      </c>
      <c r="S345">
        <f t="shared" si="972"/>
        <v>8358.5959167816418</v>
      </c>
      <c r="T345">
        <f t="shared" si="973"/>
        <v>8.3585959167816419</v>
      </c>
    </row>
    <row r="346" spans="1:20" x14ac:dyDescent="0.25">
      <c r="A346" s="5">
        <v>44247</v>
      </c>
      <c r="B346">
        <v>0.17175000000000001</v>
      </c>
      <c r="C346">
        <v>0.215</v>
      </c>
      <c r="D346">
        <v>0.16678000000000001</v>
      </c>
      <c r="E346">
        <v>0.19405</v>
      </c>
      <c r="F346">
        <v>245240436.90000001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0.13106594773952704</v>
      </c>
      <c r="Q346">
        <f t="shared" si="970"/>
        <v>32142670.28635418</v>
      </c>
      <c r="R346">
        <f t="shared" si="971"/>
        <v>836574676.23434651</v>
      </c>
      <c r="S346">
        <f t="shared" si="972"/>
        <v>8365.7467623434659</v>
      </c>
      <c r="T346">
        <f t="shared" si="973"/>
        <v>8.3657467623434663</v>
      </c>
    </row>
    <row r="347" spans="1:20" x14ac:dyDescent="0.25">
      <c r="A347" s="5">
        <v>44246</v>
      </c>
      <c r="B347">
        <v>0.13539000000000001</v>
      </c>
      <c r="C347">
        <v>0.184</v>
      </c>
      <c r="D347">
        <v>0.13120999999999999</v>
      </c>
      <c r="E347">
        <v>0.17204</v>
      </c>
      <c r="F347">
        <v>179534576.09999999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0.54688387952263695</v>
      </c>
      <c r="Q347">
        <f t="shared" si="970"/>
        <v>98184565.486020088</v>
      </c>
      <c r="R347">
        <f t="shared" si="971"/>
        <v>804432005.94799232</v>
      </c>
      <c r="S347">
        <f t="shared" si="972"/>
        <v>8044.3200594799237</v>
      </c>
      <c r="T347">
        <f t="shared" si="973"/>
        <v>8.044320059479924</v>
      </c>
    </row>
    <row r="348" spans="1:20" x14ac:dyDescent="0.25">
      <c r="A348" s="5">
        <v>44245</v>
      </c>
      <c r="B348">
        <v>0.12933</v>
      </c>
      <c r="C348">
        <v>0.13897999999999999</v>
      </c>
      <c r="D348">
        <v>0.12772</v>
      </c>
      <c r="E348">
        <v>0.13522000000000001</v>
      </c>
      <c r="F348">
        <v>59082211.200000003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0.33214920071048165</v>
      </c>
      <c r="Q348">
        <f t="shared" si="970"/>
        <v>19624109.226287868</v>
      </c>
      <c r="R348">
        <f t="shared" si="971"/>
        <v>706247440.46197224</v>
      </c>
      <c r="S348">
        <f t="shared" si="972"/>
        <v>7062.474404619722</v>
      </c>
      <c r="T348">
        <f t="shared" si="973"/>
        <v>7.0624744046197216</v>
      </c>
    </row>
    <row r="349" spans="1:20" x14ac:dyDescent="0.25">
      <c r="A349" s="5">
        <v>44244</v>
      </c>
      <c r="B349">
        <v>0.12348000000000001</v>
      </c>
      <c r="C349">
        <v>0.13485</v>
      </c>
      <c r="D349">
        <v>0.1138</v>
      </c>
      <c r="E349">
        <v>0.12937000000000001</v>
      </c>
      <c r="F349">
        <v>65460924.5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0.47933491686460949</v>
      </c>
      <c r="Q349">
        <f t="shared" si="970"/>
        <v>31377706.80308798</v>
      </c>
      <c r="R349">
        <f t="shared" si="971"/>
        <v>686623331.23568439</v>
      </c>
      <c r="S349">
        <f t="shared" si="972"/>
        <v>6866.2333123568442</v>
      </c>
      <c r="T349">
        <f t="shared" si="973"/>
        <v>6.8662333123568438</v>
      </c>
    </row>
    <row r="350" spans="1:20" x14ac:dyDescent="0.25">
      <c r="A350" s="5">
        <v>44243</v>
      </c>
      <c r="B350">
        <v>0.13228999999999999</v>
      </c>
      <c r="C350">
        <v>0.13883000000000001</v>
      </c>
      <c r="D350">
        <v>0.11903</v>
      </c>
      <c r="E350">
        <v>0.12389</v>
      </c>
      <c r="F350">
        <v>79437531.099999994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-0.50909090909090904</v>
      </c>
      <c r="Q350">
        <f t="shared" si="970"/>
        <v>-40440924.923636355</v>
      </c>
      <c r="R350">
        <f t="shared" si="971"/>
        <v>655245624.43259645</v>
      </c>
      <c r="S350">
        <f t="shared" si="972"/>
        <v>6552.4562443259647</v>
      </c>
      <c r="T350">
        <f t="shared" si="973"/>
        <v>6.5524562443259651</v>
      </c>
    </row>
    <row r="351" spans="1:20" x14ac:dyDescent="0.25">
      <c r="A351" s="5">
        <v>44242</v>
      </c>
      <c r="B351">
        <v>0.12640000000000001</v>
      </c>
      <c r="C351">
        <v>0.14779999999999999</v>
      </c>
      <c r="D351">
        <v>0.11154</v>
      </c>
      <c r="E351">
        <v>0.13175000000000001</v>
      </c>
      <c r="F351">
        <v>116779191.90000001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0.11472697186982973</v>
      </c>
      <c r="Q351">
        <f t="shared" si="970"/>
        <v>13397723.06409275</v>
      </c>
      <c r="R351">
        <f t="shared" si="971"/>
        <v>695686549.35623276</v>
      </c>
      <c r="S351">
        <f t="shared" si="972"/>
        <v>6956.8654935623272</v>
      </c>
      <c r="T351">
        <f t="shared" si="973"/>
        <v>6.9568654935623275</v>
      </c>
    </row>
    <row r="352" spans="1:20" x14ac:dyDescent="0.25">
      <c r="A352" s="5">
        <v>44241</v>
      </c>
      <c r="B352">
        <v>0.12917999999999999</v>
      </c>
      <c r="C352">
        <v>0.13808000000000001</v>
      </c>
      <c r="D352">
        <v>0.11772000000000001</v>
      </c>
      <c r="E352">
        <v>0.12640000000000001</v>
      </c>
      <c r="F352">
        <v>105229472.8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-0.14734774066797585</v>
      </c>
      <c r="Q352">
        <f t="shared" si="970"/>
        <v>-15505325.068762219</v>
      </c>
      <c r="R352">
        <f t="shared" si="971"/>
        <v>682288826.29214001</v>
      </c>
      <c r="S352">
        <f t="shared" si="972"/>
        <v>6822.8882629214004</v>
      </c>
      <c r="T352">
        <f t="shared" si="973"/>
        <v>6.8228882629214</v>
      </c>
    </row>
    <row r="353" spans="1:20" x14ac:dyDescent="0.25">
      <c r="A353" s="5">
        <v>44240</v>
      </c>
      <c r="B353">
        <v>0.14521000000000001</v>
      </c>
      <c r="C353">
        <v>0.15323000000000001</v>
      </c>
      <c r="D353">
        <v>0.12357</v>
      </c>
      <c r="E353">
        <v>0.12917999999999999</v>
      </c>
      <c r="F353">
        <v>95438514.299999997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-0.6217127444369529</v>
      </c>
      <c r="Q353">
        <f t="shared" si="970"/>
        <v>-59335340.650438376</v>
      </c>
      <c r="R353">
        <f t="shared" si="971"/>
        <v>697794151.36090219</v>
      </c>
      <c r="S353">
        <f t="shared" si="972"/>
        <v>6977.941513609022</v>
      </c>
      <c r="T353">
        <f t="shared" si="973"/>
        <v>6.9779415136090224</v>
      </c>
    </row>
    <row r="354" spans="1:20" x14ac:dyDescent="0.25">
      <c r="A354" s="5">
        <v>44239</v>
      </c>
      <c r="B354">
        <v>0.13966000000000001</v>
      </c>
      <c r="C354">
        <v>0.14871000000000001</v>
      </c>
      <c r="D354">
        <v>0.12567999999999999</v>
      </c>
      <c r="E354">
        <v>0.14521000000000001</v>
      </c>
      <c r="F354">
        <v>94580478.299999997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0.69604863221884505</v>
      </c>
      <c r="Q354">
        <f t="shared" si="970"/>
        <v>65832612.555319153</v>
      </c>
      <c r="R354">
        <f t="shared" si="971"/>
        <v>757129492.01134062</v>
      </c>
      <c r="S354">
        <f t="shared" si="972"/>
        <v>7571.2949201134061</v>
      </c>
      <c r="T354">
        <f t="shared" si="973"/>
        <v>7.5712949201134059</v>
      </c>
    </row>
    <row r="355" spans="1:20" x14ac:dyDescent="0.25">
      <c r="A355" s="5">
        <v>44238</v>
      </c>
      <c r="B355">
        <v>0.11568000000000001</v>
      </c>
      <c r="C355">
        <v>0.14280999999999999</v>
      </c>
      <c r="D355">
        <v>0.11252</v>
      </c>
      <c r="E355">
        <v>0.13921</v>
      </c>
      <c r="F355">
        <v>140667536.59999999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0.7622977880488615</v>
      </c>
      <c r="Q355">
        <f t="shared" si="970"/>
        <v>107230552.00046226</v>
      </c>
      <c r="R355">
        <f t="shared" si="971"/>
        <v>691296879.45602143</v>
      </c>
      <c r="S355">
        <f t="shared" si="972"/>
        <v>6912.9687945602145</v>
      </c>
      <c r="T355">
        <f t="shared" si="973"/>
        <v>6.9129687945602143</v>
      </c>
    </row>
    <row r="356" spans="1:20" x14ac:dyDescent="0.25">
      <c r="A356" s="5">
        <v>44237</v>
      </c>
      <c r="B356">
        <v>0.12352</v>
      </c>
      <c r="C356">
        <v>0.12927</v>
      </c>
      <c r="D356">
        <v>0.10202</v>
      </c>
      <c r="E356">
        <v>0.11559999999999999</v>
      </c>
      <c r="F356">
        <v>157859138.19999999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-3.3027522935782294E-3</v>
      </c>
      <c r="Q356">
        <f t="shared" si="970"/>
        <v>-521369.63075233262</v>
      </c>
      <c r="R356">
        <f t="shared" si="971"/>
        <v>584066327.45555913</v>
      </c>
      <c r="S356">
        <f t="shared" si="972"/>
        <v>5840.6632745555917</v>
      </c>
      <c r="T356">
        <f t="shared" si="973"/>
        <v>5.8406632745555918</v>
      </c>
    </row>
    <row r="357" spans="1:20" x14ac:dyDescent="0.25">
      <c r="A357" s="5">
        <v>44236</v>
      </c>
      <c r="B357">
        <v>9.5610000000000001E-2</v>
      </c>
      <c r="C357">
        <v>0.12959999999999999</v>
      </c>
      <c r="D357">
        <v>9.5000000000000001E-2</v>
      </c>
      <c r="E357">
        <v>0.12356</v>
      </c>
      <c r="F357">
        <v>182125530.5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0.65086705202312189</v>
      </c>
      <c r="Q357">
        <f t="shared" si="970"/>
        <v>118539507.13468218</v>
      </c>
      <c r="R357">
        <f t="shared" si="971"/>
        <v>584587697.08631146</v>
      </c>
      <c r="S357">
        <f t="shared" si="972"/>
        <v>5845.8769708631144</v>
      </c>
      <c r="T357">
        <f t="shared" si="973"/>
        <v>5.845876970863114</v>
      </c>
    </row>
    <row r="358" spans="1:20" x14ac:dyDescent="0.25">
      <c r="A358" s="5">
        <v>44235</v>
      </c>
      <c r="B358">
        <v>7.6840000000000006E-2</v>
      </c>
      <c r="C358">
        <v>0.1038</v>
      </c>
      <c r="D358">
        <v>7.6219999999999996E-2</v>
      </c>
      <c r="E358">
        <v>9.5610000000000001E-2</v>
      </c>
      <c r="F358">
        <v>213784563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0.40609137055837558</v>
      </c>
      <c r="Q358">
        <f t="shared" si="970"/>
        <v>86816066.192893386</v>
      </c>
      <c r="R358">
        <f t="shared" si="971"/>
        <v>466048189.95162928</v>
      </c>
      <c r="S358">
        <f t="shared" si="972"/>
        <v>4660.4818995162932</v>
      </c>
      <c r="T358">
        <f t="shared" si="973"/>
        <v>4.6604818995162933</v>
      </c>
    </row>
    <row r="359" spans="1:20" x14ac:dyDescent="0.25">
      <c r="A359" s="5">
        <v>44234</v>
      </c>
      <c r="B359">
        <v>7.3660000000000003E-2</v>
      </c>
      <c r="C359">
        <v>8.1049999999999997E-2</v>
      </c>
      <c r="D359">
        <v>7.1260000000000004E-2</v>
      </c>
      <c r="E359">
        <v>7.6679999999999998E-2</v>
      </c>
      <c r="F359">
        <v>92206322.700000003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0.10725229826353382</v>
      </c>
      <c r="Q359">
        <f t="shared" si="970"/>
        <v>9889340.0240040496</v>
      </c>
      <c r="R359">
        <f t="shared" si="971"/>
        <v>379232123.7587359</v>
      </c>
      <c r="S359">
        <f t="shared" si="972"/>
        <v>3792.3212375873591</v>
      </c>
      <c r="T359">
        <f t="shared" si="973"/>
        <v>3.792321237587359</v>
      </c>
    </row>
    <row r="360" spans="1:20" x14ac:dyDescent="0.25">
      <c r="A360" s="5">
        <v>44233</v>
      </c>
      <c r="B360">
        <v>7.9579999999999998E-2</v>
      </c>
      <c r="C360">
        <v>7.961E-2</v>
      </c>
      <c r="D360">
        <v>6.93E-2</v>
      </c>
      <c r="E360">
        <v>7.3660000000000003E-2</v>
      </c>
      <c r="F360">
        <v>101858660.40000001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-0.15421920465567354</v>
      </c>
      <c r="Q360">
        <f t="shared" si="970"/>
        <v>-15708561.594180351</v>
      </c>
      <c r="R360">
        <f t="shared" si="971"/>
        <v>369342783.73473185</v>
      </c>
      <c r="S360">
        <f t="shared" si="972"/>
        <v>3693.4278373473185</v>
      </c>
      <c r="T360">
        <f t="shared" si="973"/>
        <v>3.6934278373473184</v>
      </c>
    </row>
    <row r="361" spans="1:20" x14ac:dyDescent="0.25">
      <c r="A361" s="5">
        <v>44232</v>
      </c>
      <c r="B361">
        <v>6.8000000000000005E-2</v>
      </c>
      <c r="C361">
        <v>7.9640000000000002E-2</v>
      </c>
      <c r="D361">
        <v>6.7760000000000001E-2</v>
      </c>
      <c r="E361">
        <v>7.961E-2</v>
      </c>
      <c r="F361">
        <v>118061128.7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0.99494949494949458</v>
      </c>
      <c r="Q361">
        <f t="shared" si="970"/>
        <v>117464860.37323229</v>
      </c>
      <c r="R361">
        <f t="shared" si="971"/>
        <v>385051345.3289122</v>
      </c>
      <c r="S361">
        <f t="shared" si="972"/>
        <v>3850.513453289122</v>
      </c>
      <c r="T361">
        <f t="shared" si="973"/>
        <v>3.8505134532891221</v>
      </c>
    </row>
    <row r="362" spans="1:20" x14ac:dyDescent="0.25">
      <c r="A362" s="5">
        <v>44231</v>
      </c>
      <c r="B362">
        <v>6.7369999999999999E-2</v>
      </c>
      <c r="C362">
        <v>7.0809999999999998E-2</v>
      </c>
      <c r="D362">
        <v>6.404E-2</v>
      </c>
      <c r="E362">
        <v>6.7930000000000004E-2</v>
      </c>
      <c r="F362">
        <v>79928443.200000003</v>
      </c>
      <c r="G362">
        <v>0</v>
      </c>
      <c r="L362" t="s">
        <v>8</v>
      </c>
      <c r="M362" t="s">
        <v>8</v>
      </c>
      <c r="N362" t="s">
        <v>7</v>
      </c>
      <c r="P362">
        <f t="shared" si="969"/>
        <v>0.14918759231905629</v>
      </c>
      <c r="Q362">
        <f t="shared" si="970"/>
        <v>11924331.998818448</v>
      </c>
      <c r="R362">
        <f t="shared" si="971"/>
        <v>267586484.95567989</v>
      </c>
      <c r="S362">
        <f t="shared" si="972"/>
        <v>2675.8648495567991</v>
      </c>
      <c r="T362">
        <f t="shared" si="973"/>
        <v>2.6758648495567989</v>
      </c>
    </row>
    <row r="363" spans="1:20" x14ac:dyDescent="0.25">
      <c r="A363" s="5">
        <v>44230</v>
      </c>
      <c r="B363">
        <v>6.6449999999999995E-2</v>
      </c>
      <c r="C363">
        <v>6.9949999999999998E-2</v>
      </c>
      <c r="D363">
        <v>6.6199999999999995E-2</v>
      </c>
      <c r="E363">
        <v>6.7309999999999995E-2</v>
      </c>
      <c r="F363">
        <v>61698137.399999999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-0.40800000000000058</v>
      </c>
      <c r="Q363">
        <f t="shared" si="970"/>
        <v>-25172840.059200037</v>
      </c>
      <c r="R363">
        <f t="shared" si="971"/>
        <v>255662152.95686144</v>
      </c>
      <c r="S363">
        <f t="shared" si="972"/>
        <v>2556.6215295686143</v>
      </c>
      <c r="T363">
        <f t="shared" si="973"/>
        <v>2.5566215295686141</v>
      </c>
    </row>
    <row r="364" spans="1:20" x14ac:dyDescent="0.25">
      <c r="A364" s="5">
        <v>44229</v>
      </c>
      <c r="B364">
        <v>6.615E-2</v>
      </c>
      <c r="C364">
        <v>6.9500000000000006E-2</v>
      </c>
      <c r="D364">
        <v>6.4960000000000004E-2</v>
      </c>
      <c r="E364">
        <v>6.6470000000000001E-2</v>
      </c>
      <c r="F364">
        <v>60953650.700000003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-0.33480176211453894</v>
      </c>
      <c r="Q364">
        <f t="shared" si="970"/>
        <v>-20407389.661674101</v>
      </c>
      <c r="R364">
        <f t="shared" si="971"/>
        <v>280834993.01606148</v>
      </c>
      <c r="S364">
        <f t="shared" si="972"/>
        <v>2808.3499301606148</v>
      </c>
      <c r="T364">
        <f t="shared" si="973"/>
        <v>2.808349930160615</v>
      </c>
    </row>
    <row r="365" spans="1:20" x14ac:dyDescent="0.25">
      <c r="A365" s="5">
        <v>44228</v>
      </c>
      <c r="B365">
        <v>6.4000000000000001E-2</v>
      </c>
      <c r="C365">
        <v>6.6269999999999996E-2</v>
      </c>
      <c r="D365">
        <v>6.0699999999999997E-2</v>
      </c>
      <c r="E365">
        <v>6.5860000000000002E-2</v>
      </c>
      <c r="F365">
        <v>55709410.5</v>
      </c>
      <c r="G365">
        <v>0</v>
      </c>
      <c r="L365" t="s">
        <v>7</v>
      </c>
      <c r="M365" t="s">
        <v>8</v>
      </c>
      <c r="N365" t="s">
        <v>7</v>
      </c>
      <c r="P365">
        <f t="shared" si="969"/>
        <v>0.8527827648114924</v>
      </c>
      <c r="Q365">
        <f t="shared" si="970"/>
        <v>47508025.112208389</v>
      </c>
      <c r="R365">
        <f t="shared" si="971"/>
        <v>301242382.67773557</v>
      </c>
      <c r="S365">
        <f t="shared" si="972"/>
        <v>3012.4238267773558</v>
      </c>
      <c r="T365">
        <f t="shared" si="973"/>
        <v>3.012423826777356</v>
      </c>
    </row>
    <row r="366" spans="1:20" x14ac:dyDescent="0.25">
      <c r="A366" s="5">
        <v>44227</v>
      </c>
      <c r="B366">
        <v>6.7830000000000001E-2</v>
      </c>
      <c r="C366">
        <v>6.9459999999999994E-2</v>
      </c>
      <c r="D366">
        <v>6.2579999999999997E-2</v>
      </c>
      <c r="E366">
        <v>6.4030000000000004E-2</v>
      </c>
      <c r="F366">
        <v>54310935.200000003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-0.57848837209302106</v>
      </c>
      <c r="Q366">
        <f t="shared" si="970"/>
        <v>-31418244.490697555</v>
      </c>
      <c r="R366">
        <f t="shared" si="971"/>
        <v>253734357.5655272</v>
      </c>
      <c r="S366">
        <f t="shared" si="972"/>
        <v>2537.3435756552722</v>
      </c>
      <c r="T366">
        <f t="shared" si="973"/>
        <v>2.5373435756552722</v>
      </c>
    </row>
    <row r="367" spans="1:20" x14ac:dyDescent="0.25">
      <c r="A367" s="5">
        <v>44226</v>
      </c>
      <c r="B367">
        <v>6.2719999999999998E-2</v>
      </c>
      <c r="C367">
        <v>6.8779999999999994E-2</v>
      </c>
      <c r="D367">
        <v>5.9069999999999998E-2</v>
      </c>
      <c r="E367">
        <v>6.7839999999999998E-2</v>
      </c>
      <c r="F367">
        <v>81128161.700000003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0.80638516992791009</v>
      </c>
      <c r="Q367">
        <f t="shared" si="970"/>
        <v>65420546.458393469</v>
      </c>
      <c r="R367">
        <f t="shared" si="971"/>
        <v>285152602.05622476</v>
      </c>
      <c r="S367">
        <f t="shared" si="972"/>
        <v>2851.5260205622476</v>
      </c>
      <c r="T367">
        <f t="shared" si="973"/>
        <v>2.8515260205622477</v>
      </c>
    </row>
    <row r="368" spans="1:20" x14ac:dyDescent="0.25">
      <c r="A368" s="5">
        <v>44225</v>
      </c>
      <c r="B368">
        <v>6.0699999999999997E-2</v>
      </c>
      <c r="C368">
        <v>6.5509999999999999E-2</v>
      </c>
      <c r="D368">
        <v>5.6660000000000002E-2</v>
      </c>
      <c r="E368">
        <v>6.2600000000000003E-2</v>
      </c>
      <c r="F368">
        <v>106713861.5</v>
      </c>
      <c r="G368">
        <v>0</v>
      </c>
      <c r="L368" t="s">
        <v>7</v>
      </c>
      <c r="M368" t="s">
        <v>8</v>
      </c>
      <c r="N368" t="s">
        <v>7</v>
      </c>
      <c r="P368">
        <f t="shared" si="969"/>
        <v>0.34237288135593286</v>
      </c>
      <c r="Q368">
        <f t="shared" si="970"/>
        <v>36535932.242372952</v>
      </c>
      <c r="R368">
        <f t="shared" si="971"/>
        <v>219732055.59783131</v>
      </c>
      <c r="S368">
        <f t="shared" si="972"/>
        <v>2197.3205559783132</v>
      </c>
      <c r="T368">
        <f t="shared" si="973"/>
        <v>2.1973205559783131</v>
      </c>
    </row>
    <row r="369" spans="1:20" x14ac:dyDescent="0.25">
      <c r="A369" s="5">
        <v>44224</v>
      </c>
      <c r="B369">
        <v>5.9360000000000003E-2</v>
      </c>
      <c r="C369">
        <v>6.6500000000000004E-2</v>
      </c>
      <c r="D369">
        <v>5.8000000000000003E-2</v>
      </c>
      <c r="E369">
        <v>6.0699999999999997E-2</v>
      </c>
      <c r="F369">
        <v>58940800.899999999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-0.3647058823529426</v>
      </c>
      <c r="Q369">
        <f t="shared" si="970"/>
        <v>-21496056.798823614</v>
      </c>
      <c r="R369">
        <f t="shared" si="971"/>
        <v>183196123.35545835</v>
      </c>
      <c r="S369">
        <f t="shared" si="972"/>
        <v>1831.9612335545835</v>
      </c>
      <c r="T369">
        <f t="shared" si="973"/>
        <v>1.8319612335545834</v>
      </c>
    </row>
    <row r="370" spans="1:20" x14ac:dyDescent="0.25">
      <c r="A370" s="5">
        <v>44223</v>
      </c>
      <c r="B370">
        <v>6.5280000000000005E-2</v>
      </c>
      <c r="C370">
        <v>6.5390000000000004E-2</v>
      </c>
      <c r="D370">
        <v>5.57E-2</v>
      </c>
      <c r="E370">
        <v>5.919E-2</v>
      </c>
      <c r="F370">
        <v>73291936.400000006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-0.27966976264189919</v>
      </c>
      <c r="Q370">
        <f t="shared" si="970"/>
        <v>-20497538.456553172</v>
      </c>
      <c r="R370">
        <f t="shared" si="971"/>
        <v>204692180.15428197</v>
      </c>
      <c r="S370">
        <f t="shared" si="972"/>
        <v>2046.9218015428198</v>
      </c>
      <c r="T370">
        <f t="shared" si="973"/>
        <v>2.0469218015428199</v>
      </c>
    </row>
    <row r="371" spans="1:20" x14ac:dyDescent="0.25">
      <c r="A371" s="5">
        <v>44222</v>
      </c>
      <c r="B371">
        <v>6.7570000000000005E-2</v>
      </c>
      <c r="C371">
        <v>6.9000000000000006E-2</v>
      </c>
      <c r="D371">
        <v>6.148E-2</v>
      </c>
      <c r="E371">
        <v>6.515E-2</v>
      </c>
      <c r="F371">
        <v>81631364.5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-2.3936170212766807E-2</v>
      </c>
      <c r="Q371">
        <f t="shared" si="970"/>
        <v>-1953942.2353724097</v>
      </c>
      <c r="R371">
        <f t="shared" si="971"/>
        <v>225189718.61083513</v>
      </c>
      <c r="S371">
        <f t="shared" si="972"/>
        <v>2251.8971861083514</v>
      </c>
      <c r="T371">
        <f t="shared" si="973"/>
        <v>2.2518971861083514</v>
      </c>
    </row>
    <row r="372" spans="1:20" x14ac:dyDescent="0.25">
      <c r="A372" s="5">
        <v>44221</v>
      </c>
      <c r="B372">
        <v>7.084E-2</v>
      </c>
      <c r="C372">
        <v>7.8E-2</v>
      </c>
      <c r="D372">
        <v>6.7000000000000004E-2</v>
      </c>
      <c r="E372">
        <v>6.7750000000000005E-2</v>
      </c>
      <c r="F372">
        <v>81812974.299999997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-0.86363636363636342</v>
      </c>
      <c r="Q372">
        <f t="shared" si="970"/>
        <v>-70656659.62272726</v>
      </c>
      <c r="R372">
        <f t="shared" si="971"/>
        <v>227143660.84620756</v>
      </c>
      <c r="S372">
        <f t="shared" si="972"/>
        <v>2271.4366084620756</v>
      </c>
      <c r="T372">
        <f t="shared" si="973"/>
        <v>2.2714366084620754</v>
      </c>
    </row>
    <row r="373" spans="1:20" x14ac:dyDescent="0.25">
      <c r="A373" s="5">
        <v>44220</v>
      </c>
      <c r="B373">
        <v>6.7479999999999998E-2</v>
      </c>
      <c r="C373">
        <v>7.2239999999999999E-2</v>
      </c>
      <c r="D373">
        <v>6.7000000000000004E-2</v>
      </c>
      <c r="E373">
        <v>7.0900000000000005E-2</v>
      </c>
      <c r="F373">
        <v>55710225.399999999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0.48854961832061244</v>
      </c>
      <c r="Q373">
        <f t="shared" si="970"/>
        <v>27217209.355725288</v>
      </c>
      <c r="R373">
        <f t="shared" si="971"/>
        <v>297800320.46893483</v>
      </c>
      <c r="S373">
        <f t="shared" si="972"/>
        <v>2978.0032046893484</v>
      </c>
      <c r="T373">
        <f t="shared" si="973"/>
        <v>2.9780032046893483</v>
      </c>
    </row>
    <row r="374" spans="1:20" x14ac:dyDescent="0.25">
      <c r="A374" s="5">
        <v>44219</v>
      </c>
      <c r="B374">
        <v>7.0910000000000001E-2</v>
      </c>
      <c r="C374">
        <v>7.4389999999999998E-2</v>
      </c>
      <c r="D374">
        <v>6.6669999999999993E-2</v>
      </c>
      <c r="E374">
        <v>6.7479999999999998E-2</v>
      </c>
      <c r="F374">
        <v>62209135.299999997</v>
      </c>
      <c r="G374">
        <v>0</v>
      </c>
      <c r="L374" t="s">
        <v>7</v>
      </c>
      <c r="M374" t="s">
        <v>8</v>
      </c>
      <c r="N374" t="s">
        <v>8</v>
      </c>
      <c r="P374">
        <f t="shared" si="969"/>
        <v>-0.79015544041450658</v>
      </c>
      <c r="Q374">
        <f t="shared" si="970"/>
        <v>-49154886.700777128</v>
      </c>
      <c r="R374">
        <f t="shared" si="971"/>
        <v>270583111.11320955</v>
      </c>
      <c r="S374">
        <f t="shared" si="972"/>
        <v>2705.8311111320954</v>
      </c>
      <c r="T374">
        <f t="shared" si="973"/>
        <v>2.7058311111320954</v>
      </c>
    </row>
    <row r="375" spans="1:20" x14ac:dyDescent="0.25">
      <c r="A375" s="5">
        <v>44218</v>
      </c>
      <c r="B375">
        <v>6.3600000000000004E-2</v>
      </c>
      <c r="C375">
        <v>7.3830000000000007E-2</v>
      </c>
      <c r="D375">
        <v>5.842E-2</v>
      </c>
      <c r="E375">
        <v>7.109E-2</v>
      </c>
      <c r="F375">
        <v>77703946.599999994</v>
      </c>
      <c r="G375">
        <v>0</v>
      </c>
      <c r="L375" t="s">
        <v>8</v>
      </c>
      <c r="M375" t="s">
        <v>7</v>
      </c>
      <c r="N375" t="s">
        <v>8</v>
      </c>
      <c r="P375">
        <f t="shared" si="969"/>
        <v>0.64438676184295851</v>
      </c>
      <c r="Q375">
        <f t="shared" si="970"/>
        <v>50071394.53199216</v>
      </c>
      <c r="R375">
        <f t="shared" si="971"/>
        <v>319737997.81398666</v>
      </c>
      <c r="S375">
        <f t="shared" si="972"/>
        <v>3197.3799781398666</v>
      </c>
      <c r="T375">
        <f t="shared" si="973"/>
        <v>3.1973799781398666</v>
      </c>
    </row>
    <row r="376" spans="1:20" x14ac:dyDescent="0.25">
      <c r="A376" s="5">
        <v>44217</v>
      </c>
      <c r="B376">
        <v>7.2330000000000005E-2</v>
      </c>
      <c r="C376">
        <v>7.2950000000000001E-2</v>
      </c>
      <c r="D376">
        <v>6.2E-2</v>
      </c>
      <c r="E376">
        <v>6.3469999999999999E-2</v>
      </c>
      <c r="F376">
        <v>98225405.799999997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-0.73150684931506871</v>
      </c>
      <c r="Q376">
        <f t="shared" si="970"/>
        <v>-71852557.119452074</v>
      </c>
      <c r="R376">
        <f t="shared" si="971"/>
        <v>269666603.28199452</v>
      </c>
      <c r="S376">
        <f t="shared" si="972"/>
        <v>2696.666032819945</v>
      </c>
      <c r="T376">
        <f t="shared" si="973"/>
        <v>2.696666032819945</v>
      </c>
    </row>
    <row r="377" spans="1:20" x14ac:dyDescent="0.25">
      <c r="A377" s="5">
        <v>44216</v>
      </c>
      <c r="B377">
        <v>6.5989999999999993E-2</v>
      </c>
      <c r="C377">
        <v>7.3349999999999999E-2</v>
      </c>
      <c r="D377">
        <v>6.1949999999999998E-2</v>
      </c>
      <c r="E377">
        <v>7.2330000000000005E-2</v>
      </c>
      <c r="F377">
        <v>97871676.400000006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0.82105263157894859</v>
      </c>
      <c r="Q377">
        <f t="shared" si="970"/>
        <v>80357797.465263277</v>
      </c>
      <c r="R377">
        <f t="shared" si="971"/>
        <v>341519160.40144658</v>
      </c>
      <c r="S377">
        <f t="shared" si="972"/>
        <v>3415.1916040144656</v>
      </c>
      <c r="T377">
        <f t="shared" si="973"/>
        <v>3.4151916040144656</v>
      </c>
    </row>
    <row r="378" spans="1:20" x14ac:dyDescent="0.25">
      <c r="A378" s="5">
        <v>44215</v>
      </c>
      <c r="B378">
        <v>7.331E-2</v>
      </c>
      <c r="C378">
        <v>7.9589999999999994E-2</v>
      </c>
      <c r="D378">
        <v>6.5100000000000005E-2</v>
      </c>
      <c r="E378">
        <v>6.6000000000000003E-2</v>
      </c>
      <c r="F378">
        <v>106551673.90000001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-0.87577639751552816</v>
      </c>
      <c r="Q378">
        <f t="shared" si="970"/>
        <v>-93315441.117391333</v>
      </c>
      <c r="R378">
        <f t="shared" si="971"/>
        <v>261161362.93618333</v>
      </c>
      <c r="S378">
        <f t="shared" si="972"/>
        <v>2611.6136293618333</v>
      </c>
      <c r="T378">
        <f t="shared" si="973"/>
        <v>2.6116136293618335</v>
      </c>
    </row>
    <row r="379" spans="1:20" x14ac:dyDescent="0.25">
      <c r="A379" s="5">
        <v>44214</v>
      </c>
      <c r="B379">
        <v>6.1870000000000001E-2</v>
      </c>
      <c r="C379">
        <v>7.4999999999999997E-2</v>
      </c>
      <c r="D379">
        <v>5.9029999999999999E-2</v>
      </c>
      <c r="E379">
        <v>7.3230000000000003E-2</v>
      </c>
      <c r="F379">
        <v>92335049.099999994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0.77833437695679475</v>
      </c>
      <c r="Q379">
        <f t="shared" si="970"/>
        <v>71867542.912523553</v>
      </c>
      <c r="R379">
        <f t="shared" si="971"/>
        <v>354476804.05357468</v>
      </c>
      <c r="S379">
        <f t="shared" si="972"/>
        <v>3544.7680405357469</v>
      </c>
      <c r="T379">
        <f t="shared" si="973"/>
        <v>3.5447680405357467</v>
      </c>
    </row>
    <row r="380" spans="1:20" x14ac:dyDescent="0.25">
      <c r="A380" s="5">
        <v>44213</v>
      </c>
      <c r="B380">
        <v>5.96E-2</v>
      </c>
      <c r="C380">
        <v>6.3490000000000005E-2</v>
      </c>
      <c r="D380">
        <v>5.5539999999999999E-2</v>
      </c>
      <c r="E380">
        <v>6.1870000000000001E-2</v>
      </c>
      <c r="F380">
        <v>54403611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0.59245283018867867</v>
      </c>
      <c r="Q380">
        <f t="shared" si="970"/>
        <v>32231573.30943393</v>
      </c>
      <c r="R380">
        <f t="shared" si="971"/>
        <v>282609261.14105111</v>
      </c>
      <c r="S380">
        <f t="shared" si="972"/>
        <v>2826.0926114105109</v>
      </c>
      <c r="T380">
        <f t="shared" si="973"/>
        <v>2.8260926114105107</v>
      </c>
    </row>
    <row r="381" spans="1:20" x14ac:dyDescent="0.25">
      <c r="A381" s="5">
        <v>44212</v>
      </c>
      <c r="B381">
        <v>5.7290000000000001E-2</v>
      </c>
      <c r="C381">
        <v>6.7500000000000004E-2</v>
      </c>
      <c r="D381">
        <v>5.6500000000000002E-2</v>
      </c>
      <c r="E381">
        <v>5.9630000000000002E-2</v>
      </c>
      <c r="F381">
        <v>97316697.099999994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-0.43090909090909091</v>
      </c>
      <c r="Q381">
        <f t="shared" si="970"/>
        <v>-41934649.47763636</v>
      </c>
      <c r="R381">
        <f t="shared" si="971"/>
        <v>250377687.83161721</v>
      </c>
      <c r="S381">
        <f t="shared" si="972"/>
        <v>2503.7768783161719</v>
      </c>
      <c r="T381">
        <f t="shared" si="973"/>
        <v>2.503776878316172</v>
      </c>
    </row>
    <row r="382" spans="1:20" x14ac:dyDescent="0.25">
      <c r="A382" s="5">
        <v>44211</v>
      </c>
      <c r="B382">
        <v>5.6950000000000001E-2</v>
      </c>
      <c r="C382">
        <v>5.8000000000000003E-2</v>
      </c>
      <c r="D382">
        <v>0.05</v>
      </c>
      <c r="E382">
        <v>5.7369999999999997E-2</v>
      </c>
      <c r="F382">
        <v>69971251.099999994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0.84249999999999858</v>
      </c>
      <c r="Q382">
        <f t="shared" si="970"/>
        <v>58950779.051749893</v>
      </c>
      <c r="R382">
        <f t="shared" si="971"/>
        <v>292312337.30925357</v>
      </c>
      <c r="S382">
        <f t="shared" si="972"/>
        <v>2923.1233730925355</v>
      </c>
      <c r="T382">
        <f t="shared" si="973"/>
        <v>2.9231233730925354</v>
      </c>
    </row>
    <row r="383" spans="1:20" x14ac:dyDescent="0.25">
      <c r="A383" s="5">
        <v>44210</v>
      </c>
      <c r="B383">
        <v>5.4030000000000002E-2</v>
      </c>
      <c r="C383">
        <v>5.7700000000000001E-2</v>
      </c>
      <c r="D383">
        <v>5.1610000000000003E-2</v>
      </c>
      <c r="E383">
        <v>5.6980000000000003E-2</v>
      </c>
      <c r="F383">
        <v>47225741.100000001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0.76354679802955705</v>
      </c>
      <c r="Q383">
        <f t="shared" si="970"/>
        <v>36059063.401477851</v>
      </c>
      <c r="R383">
        <f t="shared" si="971"/>
        <v>233361558.25750369</v>
      </c>
      <c r="S383">
        <f t="shared" si="972"/>
        <v>2333.615582575037</v>
      </c>
      <c r="T383">
        <f t="shared" si="973"/>
        <v>2.3336155825750371</v>
      </c>
    </row>
    <row r="384" spans="1:20" x14ac:dyDescent="0.25">
      <c r="A384" s="5">
        <v>44209</v>
      </c>
      <c r="B384">
        <v>4.9110000000000001E-2</v>
      </c>
      <c r="C384">
        <v>5.6309999999999999E-2</v>
      </c>
      <c r="D384">
        <v>4.6829999999999997E-2</v>
      </c>
      <c r="E384">
        <v>5.3990000000000003E-2</v>
      </c>
      <c r="F384">
        <v>53065373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0.51054852320675204</v>
      </c>
      <c r="Q384">
        <f t="shared" si="970"/>
        <v>27092447.818565454</v>
      </c>
      <c r="R384">
        <f t="shared" si="971"/>
        <v>197302494.85602584</v>
      </c>
      <c r="S384">
        <f t="shared" si="972"/>
        <v>1973.0249485602585</v>
      </c>
      <c r="T384">
        <f t="shared" si="973"/>
        <v>1.9730249485602585</v>
      </c>
    </row>
    <row r="385" spans="1:20" x14ac:dyDescent="0.25">
      <c r="A385" s="5">
        <v>44208</v>
      </c>
      <c r="B385">
        <v>5.0900000000000001E-2</v>
      </c>
      <c r="C385">
        <v>5.3949999999999998E-2</v>
      </c>
      <c r="D385">
        <v>4.675E-2</v>
      </c>
      <c r="E385">
        <v>4.9059999999999999E-2</v>
      </c>
      <c r="F385">
        <v>42732584.700000003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-0.35833333333333328</v>
      </c>
      <c r="Q385">
        <f t="shared" si="970"/>
        <v>-15312509.517499998</v>
      </c>
      <c r="R385">
        <f t="shared" si="971"/>
        <v>170210047.03746039</v>
      </c>
      <c r="S385">
        <f t="shared" si="972"/>
        <v>1702.1004703746039</v>
      </c>
      <c r="T385">
        <f t="shared" si="973"/>
        <v>1.7021004703746039</v>
      </c>
    </row>
    <row r="386" spans="1:20" x14ac:dyDescent="0.25">
      <c r="A386" s="5">
        <v>44207</v>
      </c>
      <c r="B386">
        <v>5.8569999999999997E-2</v>
      </c>
      <c r="C386">
        <v>5.9220000000000002E-2</v>
      </c>
      <c r="D386">
        <v>4.3409999999999997E-2</v>
      </c>
      <c r="E386">
        <v>5.092E-2</v>
      </c>
      <c r="F386">
        <v>79518021.5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-4.9968374446552742E-2</v>
      </c>
      <c r="Q386">
        <f t="shared" si="970"/>
        <v>-3973386.2735610316</v>
      </c>
      <c r="R386">
        <f t="shared" si="971"/>
        <v>185522556.5549604</v>
      </c>
      <c r="S386">
        <f t="shared" si="972"/>
        <v>1855.225565549604</v>
      </c>
      <c r="T386">
        <f t="shared" si="973"/>
        <v>1.8552255655496039</v>
      </c>
    </row>
    <row r="387" spans="1:20" x14ac:dyDescent="0.25">
      <c r="A387" s="5">
        <v>44206</v>
      </c>
      <c r="B387">
        <v>6.0630000000000003E-2</v>
      </c>
      <c r="C387">
        <v>6.4070000000000002E-2</v>
      </c>
      <c r="D387">
        <v>5.1299999999999998E-2</v>
      </c>
      <c r="E387">
        <v>5.8569999999999997E-2</v>
      </c>
      <c r="F387">
        <v>82648420.299999997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0.13860610806577864</v>
      </c>
      <c r="Q387">
        <f t="shared" si="970"/>
        <v>11455575.875567693</v>
      </c>
      <c r="R387">
        <f t="shared" si="971"/>
        <v>189495942.82852143</v>
      </c>
      <c r="S387">
        <f t="shared" si="972"/>
        <v>1894.9594282852142</v>
      </c>
      <c r="T387">
        <f t="shared" si="973"/>
        <v>1.8949594282852142</v>
      </c>
    </row>
    <row r="388" spans="1:20" x14ac:dyDescent="0.25">
      <c r="A388" s="5">
        <v>44205</v>
      </c>
      <c r="B388">
        <v>5.8180000000000003E-2</v>
      </c>
      <c r="C388">
        <v>6.6000000000000003E-2</v>
      </c>
      <c r="D388">
        <v>5.6180000000000001E-2</v>
      </c>
      <c r="E388">
        <v>6.0519999999999997E-2</v>
      </c>
      <c r="F388">
        <v>82185505.5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-0.11608961303462412</v>
      </c>
      <c r="Q388">
        <f t="shared" si="970"/>
        <v>-9540883.5305499714</v>
      </c>
      <c r="R388">
        <f t="shared" si="971"/>
        <v>178040366.95295373</v>
      </c>
      <c r="S388">
        <f t="shared" si="972"/>
        <v>1780.4036695295372</v>
      </c>
      <c r="T388">
        <f t="shared" si="973"/>
        <v>1.7804036695295371</v>
      </c>
    </row>
    <row r="389" spans="1:20" x14ac:dyDescent="0.25">
      <c r="A389" s="5">
        <v>44204</v>
      </c>
      <c r="B389">
        <v>5.5169999999999997E-2</v>
      </c>
      <c r="C389">
        <v>6.2469999999999998E-2</v>
      </c>
      <c r="D389">
        <v>5.0509999999999999E-2</v>
      </c>
      <c r="E389">
        <v>5.8180000000000003E-2</v>
      </c>
      <c r="F389">
        <v>105047739.8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0.28260869565217461</v>
      </c>
      <c r="Q389">
        <f t="shared" si="970"/>
        <v>29687404.72608703</v>
      </c>
      <c r="R389">
        <f t="shared" si="971"/>
        <v>187581250.4835037</v>
      </c>
      <c r="S389">
        <f t="shared" si="972"/>
        <v>1875.8125048350371</v>
      </c>
      <c r="T389">
        <f t="shared" si="973"/>
        <v>1.8758125048350371</v>
      </c>
    </row>
    <row r="390" spans="1:20" x14ac:dyDescent="0.25">
      <c r="A390" s="5">
        <v>44203</v>
      </c>
      <c r="B390">
        <v>5.0790000000000002E-2</v>
      </c>
      <c r="C390">
        <v>6.3240000000000005E-2</v>
      </c>
      <c r="D390">
        <v>5.0360000000000002E-2</v>
      </c>
      <c r="E390">
        <v>5.5149999999999998E-2</v>
      </c>
      <c r="F390">
        <v>138153579.40000001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-0.25621118012422445</v>
      </c>
      <c r="Q390">
        <f t="shared" ref="Q390:Q453" si="975">F390*P390</f>
        <v>-35396491.616459742</v>
      </c>
      <c r="R390">
        <f t="shared" ref="R390:R453" si="976">R391+Q390</f>
        <v>157893845.75741667</v>
      </c>
      <c r="S390">
        <f t="shared" ref="S390:S453" si="977">R390/100000</f>
        <v>1578.9384575741667</v>
      </c>
      <c r="T390">
        <f t="shared" ref="T390:T453" si="978">S390/1000</f>
        <v>1.5789384575741667</v>
      </c>
    </row>
    <row r="391" spans="1:20" x14ac:dyDescent="0.25">
      <c r="A391" s="5">
        <v>44202</v>
      </c>
      <c r="B391">
        <v>4.802E-2</v>
      </c>
      <c r="C391">
        <v>5.3150000000000003E-2</v>
      </c>
      <c r="D391">
        <v>4.7E-2</v>
      </c>
      <c r="E391">
        <v>5.076E-2</v>
      </c>
      <c r="F391">
        <v>81972778.299999997</v>
      </c>
      <c r="G391">
        <v>0</v>
      </c>
      <c r="L391" t="s">
        <v>8</v>
      </c>
      <c r="M391" t="s">
        <v>7</v>
      </c>
      <c r="N391" t="s">
        <v>7</v>
      </c>
      <c r="P391">
        <f t="shared" si="974"/>
        <v>0.22276422764227571</v>
      </c>
      <c r="Q391">
        <f t="shared" si="975"/>
        <v>18260602.645691</v>
      </c>
      <c r="R391">
        <f t="shared" si="976"/>
        <v>193290337.37387642</v>
      </c>
      <c r="S391">
        <f t="shared" si="977"/>
        <v>1932.9033737387642</v>
      </c>
      <c r="T391">
        <f t="shared" si="978"/>
        <v>1.9329033737387642</v>
      </c>
    </row>
    <row r="392" spans="1:20" x14ac:dyDescent="0.25">
      <c r="A392" s="5">
        <v>44201</v>
      </c>
      <c r="B392">
        <v>4.9119999999999997E-2</v>
      </c>
      <c r="C392">
        <v>5.1650000000000001E-2</v>
      </c>
      <c r="D392">
        <v>4.5499999999999999E-2</v>
      </c>
      <c r="E392">
        <v>4.802E-2</v>
      </c>
      <c r="F392">
        <v>63814346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-0.18048780487804869</v>
      </c>
      <c r="Q392">
        <f t="shared" si="975"/>
        <v>-11517711.229268286</v>
      </c>
      <c r="R392">
        <f t="shared" si="976"/>
        <v>175029734.72818542</v>
      </c>
      <c r="S392">
        <f t="shared" si="977"/>
        <v>1750.2973472818542</v>
      </c>
      <c r="T392">
        <f t="shared" si="978"/>
        <v>1.7502973472818542</v>
      </c>
    </row>
    <row r="393" spans="1:20" x14ac:dyDescent="0.25">
      <c r="A393" s="5">
        <v>44200</v>
      </c>
      <c r="B393">
        <v>5.0970000000000001E-2</v>
      </c>
      <c r="C393">
        <v>5.5399999999999998E-2</v>
      </c>
      <c r="D393">
        <v>4.3959999999999999E-2</v>
      </c>
      <c r="E393">
        <v>4.9020000000000001E-2</v>
      </c>
      <c r="F393">
        <v>95277569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-0.11538461538461495</v>
      </c>
      <c r="Q393">
        <f t="shared" si="975"/>
        <v>-10993565.653846113</v>
      </c>
      <c r="R393">
        <f t="shared" si="976"/>
        <v>186547445.9574537</v>
      </c>
      <c r="S393">
        <f t="shared" si="977"/>
        <v>1865.4744595745369</v>
      </c>
      <c r="T393">
        <f t="shared" si="978"/>
        <v>1.8654744595745369</v>
      </c>
    </row>
    <row r="394" spans="1:20" x14ac:dyDescent="0.25">
      <c r="A394" s="5">
        <v>44199</v>
      </c>
      <c r="B394">
        <v>4.6390000000000001E-2</v>
      </c>
      <c r="C394">
        <v>5.1499999999999997E-2</v>
      </c>
      <c r="D394">
        <v>4.3959999999999999E-2</v>
      </c>
      <c r="E394">
        <v>5.0909999999999997E-2</v>
      </c>
      <c r="F394">
        <v>90337796.299999997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0.84350132625994689</v>
      </c>
      <c r="Q394">
        <f t="shared" si="975"/>
        <v>76200050.990450919</v>
      </c>
      <c r="R394">
        <f t="shared" si="976"/>
        <v>197541011.61129981</v>
      </c>
      <c r="S394">
        <f t="shared" si="977"/>
        <v>1975.4101161129981</v>
      </c>
      <c r="T394">
        <f t="shared" si="978"/>
        <v>1.9754101161129982</v>
      </c>
    </row>
    <row r="395" spans="1:20" x14ac:dyDescent="0.25">
      <c r="A395" s="5">
        <v>44198</v>
      </c>
      <c r="B395">
        <v>4.6249999999999999E-2</v>
      </c>
      <c r="C395">
        <v>4.7E-2</v>
      </c>
      <c r="D395">
        <v>4.3950000000000003E-2</v>
      </c>
      <c r="E395">
        <v>4.6330000000000003E-2</v>
      </c>
      <c r="F395">
        <v>36993495.299999997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0.56065573770491961</v>
      </c>
      <c r="Q395">
        <f t="shared" si="975"/>
        <v>20740615.397704974</v>
      </c>
      <c r="R395">
        <f t="shared" si="976"/>
        <v>121340960.62084888</v>
      </c>
      <c r="S395">
        <f t="shared" si="977"/>
        <v>1213.4096062084889</v>
      </c>
      <c r="T395">
        <f t="shared" si="978"/>
        <v>1.2134096062084889</v>
      </c>
    </row>
    <row r="396" spans="1:20" x14ac:dyDescent="0.25">
      <c r="A396" s="5">
        <v>44197</v>
      </c>
      <c r="B396">
        <v>4.7440000000000003E-2</v>
      </c>
      <c r="C396">
        <v>5.0389999999999997E-2</v>
      </c>
      <c r="D396">
        <v>4.4790000000000003E-2</v>
      </c>
      <c r="E396">
        <v>4.6460000000000001E-2</v>
      </c>
      <c r="F396">
        <v>50404815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-0.40357142857142869</v>
      </c>
      <c r="Q396">
        <f t="shared" si="975"/>
        <v>-20341943.196428578</v>
      </c>
      <c r="R396">
        <f t="shared" si="976"/>
        <v>100600345.22314391</v>
      </c>
      <c r="S396">
        <f t="shared" si="977"/>
        <v>1006.003452231439</v>
      </c>
      <c r="T396">
        <f t="shared" si="978"/>
        <v>1.0060034522314389</v>
      </c>
    </row>
    <row r="397" spans="1:20" x14ac:dyDescent="0.25">
      <c r="A397" s="5">
        <v>44196</v>
      </c>
      <c r="B397">
        <v>4.5699999999999998E-2</v>
      </c>
      <c r="C397">
        <v>4.8779999999999997E-2</v>
      </c>
      <c r="D397">
        <v>4.3569999999999998E-2</v>
      </c>
      <c r="E397">
        <v>4.7379999999999999E-2</v>
      </c>
      <c r="F397">
        <v>60816786.5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0.46257197696737096</v>
      </c>
      <c r="Q397">
        <f t="shared" si="975"/>
        <v>28132141.164107516</v>
      </c>
      <c r="R397">
        <f t="shared" si="976"/>
        <v>120942288.41957249</v>
      </c>
      <c r="S397">
        <f t="shared" si="977"/>
        <v>1209.4228841957249</v>
      </c>
      <c r="T397">
        <f t="shared" si="978"/>
        <v>1.2094228841957249</v>
      </c>
    </row>
    <row r="398" spans="1:20" x14ac:dyDescent="0.25">
      <c r="A398" s="5">
        <v>44195</v>
      </c>
      <c r="B398">
        <v>4.8730000000000002E-2</v>
      </c>
      <c r="C398">
        <v>5.0220000000000001E-2</v>
      </c>
      <c r="D398">
        <v>4.4999999999999998E-2</v>
      </c>
      <c r="E398">
        <v>4.5699999999999998E-2</v>
      </c>
      <c r="F398">
        <v>60260025.200000003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-0.73180076628352531</v>
      </c>
      <c r="Q398">
        <f t="shared" si="975"/>
        <v>-44098332.617624551</v>
      </c>
      <c r="R398">
        <f t="shared" si="976"/>
        <v>92810147.255464971</v>
      </c>
      <c r="S398">
        <f t="shared" si="977"/>
        <v>928.10147255464972</v>
      </c>
      <c r="T398">
        <f t="shared" si="978"/>
        <v>0.9281014725546497</v>
      </c>
    </row>
    <row r="399" spans="1:20" x14ac:dyDescent="0.25">
      <c r="A399" s="5">
        <v>44194</v>
      </c>
      <c r="B399">
        <v>5.1529999999999999E-2</v>
      </c>
      <c r="C399">
        <v>5.3249999999999999E-2</v>
      </c>
      <c r="D399">
        <v>4.5909999999999999E-2</v>
      </c>
      <c r="E399">
        <v>4.8750000000000002E-2</v>
      </c>
      <c r="F399">
        <v>74663917.799999997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-0.22615803814713828</v>
      </c>
      <c r="Q399">
        <f t="shared" si="975"/>
        <v>-16885845.170027196</v>
      </c>
      <c r="R399">
        <f t="shared" si="976"/>
        <v>136908479.87308952</v>
      </c>
      <c r="S399">
        <f t="shared" si="977"/>
        <v>1369.0847987308953</v>
      </c>
      <c r="T399">
        <f t="shared" si="978"/>
        <v>1.3690847987308952</v>
      </c>
    </row>
    <row r="400" spans="1:20" x14ac:dyDescent="0.25">
      <c r="A400" s="5">
        <v>44193</v>
      </c>
      <c r="B400">
        <v>5.0250000000000003E-2</v>
      </c>
      <c r="C400">
        <v>5.5849999999999997E-2</v>
      </c>
      <c r="D400">
        <v>4.9860000000000002E-2</v>
      </c>
      <c r="E400">
        <v>5.144E-2</v>
      </c>
      <c r="F400">
        <v>65487839.700000003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-0.47245409015025064</v>
      </c>
      <c r="Q400">
        <f t="shared" si="975"/>
        <v>-30939997.721368965</v>
      </c>
      <c r="R400">
        <f t="shared" si="976"/>
        <v>153794325.04311672</v>
      </c>
      <c r="S400">
        <f t="shared" si="977"/>
        <v>1537.9432504311671</v>
      </c>
      <c r="T400">
        <f t="shared" si="978"/>
        <v>1.5379432504311672</v>
      </c>
    </row>
    <row r="401" spans="1:20" x14ac:dyDescent="0.25">
      <c r="A401" s="5">
        <v>44192</v>
      </c>
      <c r="B401">
        <v>4.8340000000000001E-2</v>
      </c>
      <c r="C401">
        <v>5.4539999999999998E-2</v>
      </c>
      <c r="D401">
        <v>4.5510000000000002E-2</v>
      </c>
      <c r="E401">
        <v>5.0259999999999999E-2</v>
      </c>
      <c r="F401">
        <v>88656309.400000006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5.2048726467330941E-2</v>
      </c>
      <c r="Q401">
        <f t="shared" si="975"/>
        <v>4614447.9975636611</v>
      </c>
      <c r="R401">
        <f t="shared" si="976"/>
        <v>184734322.76448569</v>
      </c>
      <c r="S401">
        <f t="shared" si="977"/>
        <v>1847.3432276448568</v>
      </c>
      <c r="T401">
        <f t="shared" si="978"/>
        <v>1.8473432276448569</v>
      </c>
    </row>
    <row r="402" spans="1:20" x14ac:dyDescent="0.25">
      <c r="A402" s="5">
        <v>44191</v>
      </c>
      <c r="B402">
        <v>4.6760000000000003E-2</v>
      </c>
      <c r="C402">
        <v>5.0009999999999999E-2</v>
      </c>
      <c r="D402">
        <v>4.5150000000000003E-2</v>
      </c>
      <c r="E402">
        <v>4.8070000000000002E-2</v>
      </c>
      <c r="F402">
        <v>38896285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0.20164609053497992</v>
      </c>
      <c r="Q402">
        <f t="shared" si="975"/>
        <v>7843283.8065843815</v>
      </c>
      <c r="R402">
        <f t="shared" si="976"/>
        <v>180119874.76692203</v>
      </c>
      <c r="S402">
        <f t="shared" si="977"/>
        <v>1801.1987476692202</v>
      </c>
      <c r="T402">
        <f t="shared" si="978"/>
        <v>1.8011987476692202</v>
      </c>
    </row>
    <row r="403" spans="1:20" x14ac:dyDescent="0.25">
      <c r="A403" s="5">
        <v>44190</v>
      </c>
      <c r="B403">
        <v>4.7870000000000003E-2</v>
      </c>
      <c r="C403">
        <v>5.1700000000000003E-2</v>
      </c>
      <c r="D403">
        <v>4.5030000000000001E-2</v>
      </c>
      <c r="E403">
        <v>4.6859999999999999E-2</v>
      </c>
      <c r="F403">
        <v>55438031.100000001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-0.4512743628185914</v>
      </c>
      <c r="Q403">
        <f t="shared" si="975"/>
        <v>-25017762.160569753</v>
      </c>
      <c r="R403">
        <f t="shared" si="976"/>
        <v>172276590.96033764</v>
      </c>
      <c r="S403">
        <f t="shared" si="977"/>
        <v>1722.7659096033765</v>
      </c>
      <c r="T403">
        <f t="shared" si="978"/>
        <v>1.7227659096033765</v>
      </c>
    </row>
    <row r="404" spans="1:20" x14ac:dyDescent="0.25">
      <c r="A404" s="5">
        <v>44189</v>
      </c>
      <c r="B404">
        <v>4.4330000000000001E-2</v>
      </c>
      <c r="C404">
        <v>4.9079999999999999E-2</v>
      </c>
      <c r="D404">
        <v>4.1059999999999999E-2</v>
      </c>
      <c r="E404">
        <v>4.7890000000000002E-2</v>
      </c>
      <c r="F404">
        <v>82439127.099999994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0.70324189526184622</v>
      </c>
      <c r="Q404">
        <f t="shared" si="975"/>
        <v>57974647.985536225</v>
      </c>
      <c r="R404">
        <f t="shared" si="976"/>
        <v>197294353.1209074</v>
      </c>
      <c r="S404">
        <f t="shared" si="977"/>
        <v>1972.9435312090739</v>
      </c>
      <c r="T404">
        <f t="shared" si="978"/>
        <v>1.972943531209074</v>
      </c>
    </row>
    <row r="405" spans="1:20" x14ac:dyDescent="0.25">
      <c r="A405" s="5">
        <v>44188</v>
      </c>
      <c r="B405">
        <v>5.4679999999999999E-2</v>
      </c>
      <c r="C405">
        <v>5.7009999999999998E-2</v>
      </c>
      <c r="D405">
        <v>0.04</v>
      </c>
      <c r="E405">
        <v>4.4339999999999997E-2</v>
      </c>
      <c r="F405">
        <v>91246503.5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-0.48971193415637893</v>
      </c>
      <c r="Q405">
        <f t="shared" si="975"/>
        <v>-44684501.713991798</v>
      </c>
      <c r="R405">
        <f t="shared" si="976"/>
        <v>139319705.13537118</v>
      </c>
      <c r="S405">
        <f t="shared" si="977"/>
        <v>1393.1970513537117</v>
      </c>
      <c r="T405">
        <f t="shared" si="978"/>
        <v>1.3931970513537117</v>
      </c>
    </row>
    <row r="406" spans="1:20" x14ac:dyDescent="0.25">
      <c r="A406" s="5">
        <v>44187</v>
      </c>
      <c r="B406">
        <v>5.2449999999999997E-2</v>
      </c>
      <c r="C406">
        <v>5.7099999999999998E-2</v>
      </c>
      <c r="D406">
        <v>4.7690000000000003E-2</v>
      </c>
      <c r="E406">
        <v>5.4699999999999999E-2</v>
      </c>
      <c r="F406">
        <v>62734021.5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0.4899043570669499</v>
      </c>
      <c r="Q406">
        <f t="shared" si="975"/>
        <v>30733670.469181713</v>
      </c>
      <c r="R406">
        <f t="shared" si="976"/>
        <v>184004206.84936297</v>
      </c>
      <c r="S406">
        <f t="shared" si="977"/>
        <v>1840.0420684936296</v>
      </c>
      <c r="T406">
        <f t="shared" si="978"/>
        <v>1.8400420684936296</v>
      </c>
    </row>
    <row r="407" spans="1:20" x14ac:dyDescent="0.25">
      <c r="A407" s="5">
        <v>44186</v>
      </c>
      <c r="B407">
        <v>5.6439999999999997E-2</v>
      </c>
      <c r="C407">
        <v>5.7579999999999999E-2</v>
      </c>
      <c r="D407">
        <v>4.9639999999999997E-2</v>
      </c>
      <c r="E407">
        <v>5.2350000000000001E-2</v>
      </c>
      <c r="F407">
        <v>73487362.299999997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-0.3173803526448355</v>
      </c>
      <c r="Q407">
        <f t="shared" si="975"/>
        <v>-23323444.961712789</v>
      </c>
      <c r="R407">
        <f t="shared" si="976"/>
        <v>153270536.38018125</v>
      </c>
      <c r="S407">
        <f t="shared" si="977"/>
        <v>1532.7053638018126</v>
      </c>
      <c r="T407">
        <f t="shared" si="978"/>
        <v>1.5327053638018127</v>
      </c>
    </row>
    <row r="408" spans="1:20" x14ac:dyDescent="0.25">
      <c r="A408" s="5">
        <v>44185</v>
      </c>
      <c r="B408">
        <v>6.0150000000000002E-2</v>
      </c>
      <c r="C408">
        <v>6.3539999999999999E-2</v>
      </c>
      <c r="D408">
        <v>5.4219999999999997E-2</v>
      </c>
      <c r="E408">
        <v>5.6439999999999997E-2</v>
      </c>
      <c r="F408">
        <v>80941061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-0.52360515021459242</v>
      </c>
      <c r="Q408">
        <f t="shared" si="975"/>
        <v>-42381156.403433487</v>
      </c>
      <c r="R408">
        <f t="shared" si="976"/>
        <v>176593981.34189403</v>
      </c>
      <c r="S408">
        <f t="shared" si="977"/>
        <v>1765.9398134189403</v>
      </c>
      <c r="T408">
        <f t="shared" si="978"/>
        <v>1.7659398134189404</v>
      </c>
    </row>
    <row r="409" spans="1:20" x14ac:dyDescent="0.25">
      <c r="A409" s="5">
        <v>44184</v>
      </c>
      <c r="B409">
        <v>6.3500000000000001E-2</v>
      </c>
      <c r="C409">
        <v>6.9540000000000005E-2</v>
      </c>
      <c r="D409">
        <v>5.8999999999999997E-2</v>
      </c>
      <c r="E409">
        <v>6.0080000000000001E-2</v>
      </c>
      <c r="F409">
        <v>134906449.19999999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-0.7950664136622384</v>
      </c>
      <c r="Q409">
        <f t="shared" si="975"/>
        <v>-107259586.74535094</v>
      </c>
      <c r="R409">
        <f t="shared" si="976"/>
        <v>218975137.74532753</v>
      </c>
      <c r="S409">
        <f t="shared" si="977"/>
        <v>2189.7513774532754</v>
      </c>
      <c r="T409">
        <f t="shared" si="978"/>
        <v>2.1897513774532755</v>
      </c>
    </row>
    <row r="410" spans="1:20" x14ac:dyDescent="0.25">
      <c r="A410" s="5">
        <v>44183</v>
      </c>
      <c r="B410">
        <v>5.491E-2</v>
      </c>
      <c r="C410">
        <v>6.5000000000000002E-2</v>
      </c>
      <c r="D410">
        <v>5.2670000000000002E-2</v>
      </c>
      <c r="E410">
        <v>6.3369999999999996E-2</v>
      </c>
      <c r="F410">
        <v>142914942.59999999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0.73560421735604109</v>
      </c>
      <c r="Q410">
        <f t="shared" si="975"/>
        <v>105128834.49975653</v>
      </c>
      <c r="R410">
        <f t="shared" si="976"/>
        <v>326234724.49067849</v>
      </c>
      <c r="S410">
        <f t="shared" si="977"/>
        <v>3262.3472449067849</v>
      </c>
      <c r="T410">
        <f t="shared" si="978"/>
        <v>3.2623472449067847</v>
      </c>
    </row>
    <row r="411" spans="1:20" x14ac:dyDescent="0.25">
      <c r="A411" s="5">
        <v>44182</v>
      </c>
      <c r="B411">
        <v>5.2810000000000003E-2</v>
      </c>
      <c r="C411">
        <v>5.8500000000000003E-2</v>
      </c>
      <c r="D411">
        <v>5.2010000000000001E-2</v>
      </c>
      <c r="E411">
        <v>5.4960000000000002E-2</v>
      </c>
      <c r="F411">
        <v>111663205.40000001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-9.0909090909090912E-2</v>
      </c>
      <c r="Q411">
        <f t="shared" si="975"/>
        <v>-10151200.490909092</v>
      </c>
      <c r="R411">
        <f t="shared" si="976"/>
        <v>221105889.99092194</v>
      </c>
      <c r="S411">
        <f t="shared" si="977"/>
        <v>2211.0588999092192</v>
      </c>
      <c r="T411">
        <f t="shared" si="978"/>
        <v>2.2110588999092191</v>
      </c>
    </row>
    <row r="412" spans="1:20" x14ac:dyDescent="0.25">
      <c r="A412" s="5">
        <v>44181</v>
      </c>
      <c r="B412">
        <v>5.4469999999999998E-2</v>
      </c>
      <c r="C412">
        <v>5.7630000000000001E-2</v>
      </c>
      <c r="D412">
        <v>5.1929999999999997E-2</v>
      </c>
      <c r="E412">
        <v>5.2729999999999999E-2</v>
      </c>
      <c r="F412">
        <v>116299952.2</v>
      </c>
      <c r="G412">
        <v>0</v>
      </c>
      <c r="L412" t="s">
        <v>7</v>
      </c>
      <c r="M412" t="s">
        <v>8</v>
      </c>
      <c r="N412" t="s">
        <v>8</v>
      </c>
      <c r="P412">
        <f t="shared" si="974"/>
        <v>-0.71929824561403455</v>
      </c>
      <c r="Q412">
        <f t="shared" si="975"/>
        <v>-83654351.582456082</v>
      </c>
      <c r="R412">
        <f t="shared" si="976"/>
        <v>231257090.48183104</v>
      </c>
      <c r="S412">
        <f t="shared" si="977"/>
        <v>2312.5709048183103</v>
      </c>
      <c r="T412">
        <f t="shared" si="978"/>
        <v>2.3125709048183101</v>
      </c>
    </row>
    <row r="413" spans="1:20" x14ac:dyDescent="0.25">
      <c r="A413" s="5">
        <v>44180</v>
      </c>
      <c r="B413">
        <v>5.6770000000000001E-2</v>
      </c>
      <c r="C413">
        <v>0.06</v>
      </c>
      <c r="D413">
        <v>5.1909999999999998E-2</v>
      </c>
      <c r="E413">
        <v>5.4399999999999997E-2</v>
      </c>
      <c r="F413">
        <v>124921460.7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-0.38442521631644028</v>
      </c>
      <c r="Q413">
        <f t="shared" si="975"/>
        <v>-48022959.552163191</v>
      </c>
      <c r="R413">
        <f t="shared" si="976"/>
        <v>314911442.06428713</v>
      </c>
      <c r="S413">
        <f t="shared" si="977"/>
        <v>3149.1144206428712</v>
      </c>
      <c r="T413">
        <f t="shared" si="978"/>
        <v>3.1491144206428712</v>
      </c>
    </row>
    <row r="414" spans="1:20" x14ac:dyDescent="0.25">
      <c r="A414" s="5">
        <v>44179</v>
      </c>
      <c r="B414">
        <v>5.398E-2</v>
      </c>
      <c r="C414">
        <v>5.8500000000000003E-2</v>
      </c>
      <c r="D414">
        <v>5.1529999999999999E-2</v>
      </c>
      <c r="E414">
        <v>5.672E-2</v>
      </c>
      <c r="F414">
        <v>118442988.59999999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0.48923959827833491</v>
      </c>
      <c r="Q414">
        <f t="shared" si="975"/>
        <v>57947000.161549397</v>
      </c>
      <c r="R414">
        <f t="shared" si="976"/>
        <v>362934401.61645031</v>
      </c>
      <c r="S414">
        <f t="shared" si="977"/>
        <v>3629.344016164503</v>
      </c>
      <c r="T414">
        <f t="shared" si="978"/>
        <v>3.6293440161645032</v>
      </c>
    </row>
    <row r="415" spans="1:20" x14ac:dyDescent="0.25">
      <c r="A415" s="5">
        <v>44178</v>
      </c>
      <c r="B415">
        <v>4.9270000000000001E-2</v>
      </c>
      <c r="C415">
        <v>5.5109999999999999E-2</v>
      </c>
      <c r="D415">
        <v>4.8340000000000001E-2</v>
      </c>
      <c r="E415">
        <v>5.3990000000000003E-2</v>
      </c>
      <c r="F415">
        <v>126188167.09999999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0.66912850812407787</v>
      </c>
      <c r="Q415">
        <f t="shared" si="975"/>
        <v>84436099.994534835</v>
      </c>
      <c r="R415">
        <f t="shared" si="976"/>
        <v>304987401.45490092</v>
      </c>
      <c r="S415">
        <f t="shared" si="977"/>
        <v>3049.8740145490092</v>
      </c>
      <c r="T415">
        <f t="shared" si="978"/>
        <v>3.0498740145490091</v>
      </c>
    </row>
    <row r="416" spans="1:20" x14ac:dyDescent="0.25">
      <c r="A416" s="5">
        <v>44177</v>
      </c>
      <c r="B416">
        <v>4.2909999999999997E-2</v>
      </c>
      <c r="C416">
        <v>5.0999999999999997E-2</v>
      </c>
      <c r="D416">
        <v>4.2840000000000003E-2</v>
      </c>
      <c r="E416">
        <v>4.929E-2</v>
      </c>
      <c r="F416">
        <v>71345388.5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0.58088235294117707</v>
      </c>
      <c r="Q416">
        <f t="shared" si="975"/>
        <v>41443277.143382393</v>
      </c>
      <c r="R416">
        <f t="shared" si="976"/>
        <v>220551301.46036607</v>
      </c>
      <c r="S416">
        <f t="shared" si="977"/>
        <v>2205.5130146036608</v>
      </c>
      <c r="T416">
        <f t="shared" si="978"/>
        <v>2.2055130146036608</v>
      </c>
    </row>
    <row r="417" spans="1:20" x14ac:dyDescent="0.25">
      <c r="A417" s="5">
        <v>44176</v>
      </c>
      <c r="B417">
        <v>4.7079999999999997E-2</v>
      </c>
      <c r="C417">
        <v>4.7309999999999998E-2</v>
      </c>
      <c r="D417">
        <v>4.1799999999999997E-2</v>
      </c>
      <c r="E417">
        <v>4.301E-2</v>
      </c>
      <c r="F417">
        <v>64692702.700000003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-0.56079854809437291</v>
      </c>
      <c r="Q417">
        <f t="shared" si="975"/>
        <v>-36279573.746460922</v>
      </c>
      <c r="R417">
        <f t="shared" si="976"/>
        <v>179108024.31698367</v>
      </c>
      <c r="S417">
        <f t="shared" si="977"/>
        <v>1791.0802431698366</v>
      </c>
      <c r="T417">
        <f t="shared" si="978"/>
        <v>1.7910802431698367</v>
      </c>
    </row>
    <row r="418" spans="1:20" x14ac:dyDescent="0.25">
      <c r="A418" s="5">
        <v>44175</v>
      </c>
      <c r="B418">
        <v>4.3549999999999998E-2</v>
      </c>
      <c r="C418">
        <v>5.0099999999999999E-2</v>
      </c>
      <c r="D418">
        <v>4.3270000000000003E-2</v>
      </c>
      <c r="E418">
        <v>4.7109999999999999E-2</v>
      </c>
      <c r="F418">
        <v>84501563.900000006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0.12445095168374774</v>
      </c>
      <c r="Q418">
        <f t="shared" si="975"/>
        <v>10516300.046120023</v>
      </c>
      <c r="R418">
        <f t="shared" si="976"/>
        <v>215387598.06344458</v>
      </c>
      <c r="S418">
        <f t="shared" si="977"/>
        <v>2153.875980634446</v>
      </c>
      <c r="T418">
        <f t="shared" si="978"/>
        <v>2.1538759806344459</v>
      </c>
    </row>
    <row r="419" spans="1:20" x14ac:dyDescent="0.25">
      <c r="A419" s="5">
        <v>44174</v>
      </c>
      <c r="B419">
        <v>4.233E-2</v>
      </c>
      <c r="C419">
        <v>4.4359999999999997E-2</v>
      </c>
      <c r="D419">
        <v>3.9100000000000003E-2</v>
      </c>
      <c r="E419">
        <v>4.3520000000000003E-2</v>
      </c>
      <c r="F419">
        <v>40944491.5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0.68060836501901345</v>
      </c>
      <c r="Q419">
        <f t="shared" si="975"/>
        <v>27867163.416349895</v>
      </c>
      <c r="R419">
        <f t="shared" si="976"/>
        <v>204871298.01732457</v>
      </c>
      <c r="S419">
        <f t="shared" si="977"/>
        <v>2048.7129801732458</v>
      </c>
      <c r="T419">
        <f t="shared" si="978"/>
        <v>2.0487129801732458</v>
      </c>
    </row>
    <row r="420" spans="1:20" x14ac:dyDescent="0.25">
      <c r="A420" s="5">
        <v>44173</v>
      </c>
      <c r="B420">
        <v>4.3659999999999997E-2</v>
      </c>
      <c r="C420">
        <v>4.5999999999999999E-2</v>
      </c>
      <c r="D420">
        <v>4.1300000000000003E-2</v>
      </c>
      <c r="E420">
        <v>4.233E-2</v>
      </c>
      <c r="F420">
        <v>49702205.5</v>
      </c>
      <c r="G420">
        <v>0</v>
      </c>
      <c r="L420" t="s">
        <v>8</v>
      </c>
      <c r="M420" t="s">
        <v>7</v>
      </c>
      <c r="N420" t="s">
        <v>8</v>
      </c>
      <c r="P420">
        <f t="shared" si="974"/>
        <v>-0.56170212765957572</v>
      </c>
      <c r="Q420">
        <f t="shared" si="975"/>
        <v>-27917834.578723468</v>
      </c>
      <c r="R420">
        <f t="shared" si="976"/>
        <v>177004134.60097468</v>
      </c>
      <c r="S420">
        <f t="shared" si="977"/>
        <v>1770.0413460097468</v>
      </c>
      <c r="T420">
        <f t="shared" si="978"/>
        <v>1.7700413460097468</v>
      </c>
    </row>
    <row r="421" spans="1:20" x14ac:dyDescent="0.25">
      <c r="A421" s="5">
        <v>44172</v>
      </c>
      <c r="B421">
        <v>4.555E-2</v>
      </c>
      <c r="C421">
        <v>4.6080000000000003E-2</v>
      </c>
      <c r="D421">
        <v>4.2000000000000003E-2</v>
      </c>
      <c r="E421">
        <v>4.3650000000000001E-2</v>
      </c>
      <c r="F421">
        <v>42724891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-0.191176470588236</v>
      </c>
      <c r="Q421">
        <f t="shared" si="975"/>
        <v>-8167993.8676470891</v>
      </c>
      <c r="R421">
        <f t="shared" si="976"/>
        <v>204921969.17969814</v>
      </c>
      <c r="S421">
        <f t="shared" si="977"/>
        <v>2049.2196917969814</v>
      </c>
      <c r="T421">
        <f t="shared" si="978"/>
        <v>2.0492196917969814</v>
      </c>
    </row>
    <row r="422" spans="1:20" x14ac:dyDescent="0.25">
      <c r="A422" s="5">
        <v>44171</v>
      </c>
      <c r="B422">
        <v>4.7579999999999997E-2</v>
      </c>
      <c r="C422">
        <v>4.8399999999999999E-2</v>
      </c>
      <c r="D422">
        <v>4.4019999999999997E-2</v>
      </c>
      <c r="E422">
        <v>4.5530000000000001E-2</v>
      </c>
      <c r="F422">
        <v>26527558.800000001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-0.31050228310502115</v>
      </c>
      <c r="Q422">
        <f t="shared" si="975"/>
        <v>-8236867.5726026958</v>
      </c>
      <c r="R422">
        <f t="shared" si="976"/>
        <v>213089963.04734522</v>
      </c>
      <c r="S422">
        <f t="shared" si="977"/>
        <v>2130.8996304734524</v>
      </c>
      <c r="T422">
        <f t="shared" si="978"/>
        <v>2.1308996304734524</v>
      </c>
    </row>
    <row r="423" spans="1:20" x14ac:dyDescent="0.25">
      <c r="A423" s="5">
        <v>44170</v>
      </c>
      <c r="B423">
        <v>4.514E-2</v>
      </c>
      <c r="C423">
        <v>4.7660000000000001E-2</v>
      </c>
      <c r="D423">
        <v>4.4569999999999999E-2</v>
      </c>
      <c r="E423">
        <v>4.7570000000000001E-2</v>
      </c>
      <c r="F423">
        <v>21574728.800000001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0.94174757281553412</v>
      </c>
      <c r="Q423">
        <f t="shared" si="975"/>
        <v>20317948.481553402</v>
      </c>
      <c r="R423">
        <f t="shared" si="976"/>
        <v>221326830.61994791</v>
      </c>
      <c r="S423">
        <f t="shared" si="977"/>
        <v>2213.268306199479</v>
      </c>
      <c r="T423">
        <f t="shared" si="978"/>
        <v>2.2132683061994789</v>
      </c>
    </row>
    <row r="424" spans="1:20" x14ac:dyDescent="0.25">
      <c r="A424" s="5">
        <v>44169</v>
      </c>
      <c r="B424">
        <v>5.0270000000000002E-2</v>
      </c>
      <c r="C424">
        <v>5.1400000000000001E-2</v>
      </c>
      <c r="D424">
        <v>4.4569999999999999E-2</v>
      </c>
      <c r="E424">
        <v>4.5159999999999999E-2</v>
      </c>
      <c r="F424">
        <v>39845574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-0.82723279648609083</v>
      </c>
      <c r="Q424">
        <f t="shared" si="975"/>
        <v>-32961565.60761347</v>
      </c>
      <c r="R424">
        <f t="shared" si="976"/>
        <v>201008882.1383945</v>
      </c>
      <c r="S424">
        <f t="shared" si="977"/>
        <v>2010.0888213839451</v>
      </c>
      <c r="T424">
        <f t="shared" si="978"/>
        <v>2.010088821383945</v>
      </c>
    </row>
    <row r="425" spans="1:20" x14ac:dyDescent="0.25">
      <c r="A425" s="5">
        <v>44168</v>
      </c>
      <c r="B425">
        <v>4.8809999999999999E-2</v>
      </c>
      <c r="C425">
        <v>5.0500000000000003E-2</v>
      </c>
      <c r="D425">
        <v>4.743E-2</v>
      </c>
      <c r="E425">
        <v>5.04E-2</v>
      </c>
      <c r="F425">
        <v>60862530.700000003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0.93485342019543793</v>
      </c>
      <c r="Q425">
        <f t="shared" si="975"/>
        <v>56897544.986644842</v>
      </c>
      <c r="R425">
        <f t="shared" si="976"/>
        <v>233970447.74600798</v>
      </c>
      <c r="S425">
        <f t="shared" si="977"/>
        <v>2339.7044774600799</v>
      </c>
      <c r="T425">
        <f t="shared" si="978"/>
        <v>2.3397044774600801</v>
      </c>
    </row>
    <row r="426" spans="1:20" x14ac:dyDescent="0.25">
      <c r="A426" s="5">
        <v>44167</v>
      </c>
      <c r="B426">
        <v>4.5289999999999997E-2</v>
      </c>
      <c r="C426">
        <v>4.9090000000000002E-2</v>
      </c>
      <c r="D426">
        <v>4.4010000000000001E-2</v>
      </c>
      <c r="E426">
        <v>4.8829999999999998E-2</v>
      </c>
      <c r="F426">
        <v>29266457.399999999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0.89763779527558929</v>
      </c>
      <c r="Q426">
        <f t="shared" si="975"/>
        <v>26270678.296062954</v>
      </c>
      <c r="R426">
        <f t="shared" si="976"/>
        <v>177072902.75936314</v>
      </c>
      <c r="S426">
        <f t="shared" si="977"/>
        <v>1770.7290275936314</v>
      </c>
      <c r="T426">
        <f t="shared" si="978"/>
        <v>1.7707290275936314</v>
      </c>
    </row>
    <row r="427" spans="1:20" x14ac:dyDescent="0.25">
      <c r="A427" s="5">
        <v>44166</v>
      </c>
      <c r="B427">
        <v>4.7030000000000002E-2</v>
      </c>
      <c r="C427">
        <v>4.9529999999999998E-2</v>
      </c>
      <c r="D427">
        <v>4.4729999999999999E-2</v>
      </c>
      <c r="E427">
        <v>4.5379999999999997E-2</v>
      </c>
      <c r="F427">
        <v>50382891.399999999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-0.72916666666666752</v>
      </c>
      <c r="Q427">
        <f t="shared" si="975"/>
        <v>-36737524.979166709</v>
      </c>
      <c r="R427">
        <f t="shared" si="976"/>
        <v>150802224.4633002</v>
      </c>
      <c r="S427">
        <f t="shared" si="977"/>
        <v>1508.0222446330019</v>
      </c>
      <c r="T427">
        <f t="shared" si="978"/>
        <v>1.5080222446330021</v>
      </c>
    </row>
    <row r="428" spans="1:20" x14ac:dyDescent="0.25">
      <c r="A428" s="5">
        <v>44165</v>
      </c>
      <c r="B428">
        <v>4.7079999999999997E-2</v>
      </c>
      <c r="C428">
        <v>4.8430000000000001E-2</v>
      </c>
      <c r="D428">
        <v>4.41E-2</v>
      </c>
      <c r="E428">
        <v>4.7039999999999998E-2</v>
      </c>
      <c r="F428">
        <v>42952615.399999999</v>
      </c>
      <c r="G428">
        <v>0</v>
      </c>
      <c r="L428" t="s">
        <v>7</v>
      </c>
      <c r="M428" t="s">
        <v>7</v>
      </c>
      <c r="N428" t="s">
        <v>8</v>
      </c>
      <c r="P428">
        <f t="shared" si="974"/>
        <v>0.35796766743648861</v>
      </c>
      <c r="Q428">
        <f t="shared" si="975"/>
        <v>15375647.545034599</v>
      </c>
      <c r="R428">
        <f t="shared" si="976"/>
        <v>187539749.44246691</v>
      </c>
      <c r="S428">
        <f t="shared" si="977"/>
        <v>1875.397494424669</v>
      </c>
      <c r="T428">
        <f t="shared" si="978"/>
        <v>1.875397494424669</v>
      </c>
    </row>
    <row r="429" spans="1:20" x14ac:dyDescent="0.25">
      <c r="A429" s="5">
        <v>44164</v>
      </c>
      <c r="B429">
        <v>4.6219999999999997E-2</v>
      </c>
      <c r="C429">
        <v>4.82E-2</v>
      </c>
      <c r="D429">
        <v>4.5179999999999998E-2</v>
      </c>
      <c r="E429">
        <v>4.6940000000000003E-2</v>
      </c>
      <c r="F429">
        <v>19371115.600000001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0.16556291390728711</v>
      </c>
      <c r="Q429">
        <f t="shared" si="975"/>
        <v>3207138.3443709067</v>
      </c>
      <c r="R429">
        <f t="shared" si="976"/>
        <v>172164101.89743233</v>
      </c>
      <c r="S429">
        <f t="shared" si="977"/>
        <v>1721.6410189743233</v>
      </c>
      <c r="T429">
        <f t="shared" si="978"/>
        <v>1.7216410189743232</v>
      </c>
    </row>
    <row r="430" spans="1:20" x14ac:dyDescent="0.25">
      <c r="A430" s="5">
        <v>44163</v>
      </c>
      <c r="B430">
        <v>4.6449999999999998E-2</v>
      </c>
      <c r="C430">
        <v>4.8489999999999998E-2</v>
      </c>
      <c r="D430">
        <v>4.5039999999999997E-2</v>
      </c>
      <c r="E430">
        <v>4.6219999999999997E-2</v>
      </c>
      <c r="F430">
        <v>39179542.299999997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-0.31594202898550727</v>
      </c>
      <c r="Q430">
        <f t="shared" si="975"/>
        <v>-12378464.088985506</v>
      </c>
      <c r="R430">
        <f t="shared" si="976"/>
        <v>168956963.55306143</v>
      </c>
      <c r="S430">
        <f t="shared" si="977"/>
        <v>1689.5696355306143</v>
      </c>
      <c r="T430">
        <f t="shared" si="978"/>
        <v>1.6895696355306142</v>
      </c>
    </row>
    <row r="431" spans="1:20" x14ac:dyDescent="0.25">
      <c r="A431" s="5">
        <v>44162</v>
      </c>
      <c r="B431">
        <v>4.6550000000000001E-2</v>
      </c>
      <c r="C431">
        <v>4.6960000000000002E-2</v>
      </c>
      <c r="D431">
        <v>4.1680000000000002E-2</v>
      </c>
      <c r="E431">
        <v>4.6399999999999997E-2</v>
      </c>
      <c r="F431">
        <v>64887575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0.78787878787878596</v>
      </c>
      <c r="Q431">
        <f t="shared" si="975"/>
        <v>51123543.939393818</v>
      </c>
      <c r="R431">
        <f t="shared" si="976"/>
        <v>181335427.64204693</v>
      </c>
      <c r="S431">
        <f t="shared" si="977"/>
        <v>1813.3542764204692</v>
      </c>
      <c r="T431">
        <f t="shared" si="978"/>
        <v>1.8133542764204693</v>
      </c>
    </row>
    <row r="432" spans="1:20" x14ac:dyDescent="0.25">
      <c r="A432" s="5">
        <v>44161</v>
      </c>
      <c r="B432">
        <v>5.0509999999999999E-2</v>
      </c>
      <c r="C432">
        <v>5.3460000000000001E-2</v>
      </c>
      <c r="D432">
        <v>4.061E-2</v>
      </c>
      <c r="E432">
        <v>4.6399999999999997E-2</v>
      </c>
      <c r="F432">
        <v>159726665.40000001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-9.8832684824903289E-2</v>
      </c>
      <c r="Q432">
        <f t="shared" si="975"/>
        <v>-15786215.179610986</v>
      </c>
      <c r="R432">
        <f t="shared" si="976"/>
        <v>130211883.7026531</v>
      </c>
      <c r="S432">
        <f t="shared" si="977"/>
        <v>1302.1188370265309</v>
      </c>
      <c r="T432">
        <f t="shared" si="978"/>
        <v>1.3021188370265309</v>
      </c>
    </row>
    <row r="433" spans="1:20" x14ac:dyDescent="0.25">
      <c r="A433" s="5">
        <v>44160</v>
      </c>
      <c r="B433">
        <v>4.7640000000000002E-2</v>
      </c>
      <c r="C433">
        <v>5.6980000000000003E-2</v>
      </c>
      <c r="D433">
        <v>4.5170000000000002E-2</v>
      </c>
      <c r="E433">
        <v>5.0560000000000001E-2</v>
      </c>
      <c r="F433">
        <v>122828024.5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-8.721422523285377E-2</v>
      </c>
      <c r="Q433">
        <f t="shared" si="975"/>
        <v>-10712350.993649481</v>
      </c>
      <c r="R433">
        <f t="shared" si="976"/>
        <v>145998098.88226408</v>
      </c>
      <c r="S433">
        <f t="shared" si="977"/>
        <v>1459.9809888226407</v>
      </c>
      <c r="T433">
        <f t="shared" si="978"/>
        <v>1.4599809888226407</v>
      </c>
    </row>
    <row r="434" spans="1:20" x14ac:dyDescent="0.25">
      <c r="A434" s="5">
        <v>44159</v>
      </c>
      <c r="B434">
        <v>4.6440000000000002E-2</v>
      </c>
      <c r="C434">
        <v>4.9000000000000002E-2</v>
      </c>
      <c r="D434">
        <v>4.3499999999999997E-2</v>
      </c>
      <c r="E434">
        <v>4.7629999999999999E-2</v>
      </c>
      <c r="F434">
        <v>56286679.100000001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0.50181818181818116</v>
      </c>
      <c r="Q434">
        <f t="shared" si="975"/>
        <v>28245678.966545418</v>
      </c>
      <c r="R434">
        <f t="shared" si="976"/>
        <v>156710449.87591356</v>
      </c>
      <c r="S434">
        <f t="shared" si="977"/>
        <v>1567.1044987591356</v>
      </c>
      <c r="T434">
        <f t="shared" si="978"/>
        <v>1.5671044987591356</v>
      </c>
    </row>
    <row r="435" spans="1:20" x14ac:dyDescent="0.25">
      <c r="A435" s="5">
        <v>44158</v>
      </c>
      <c r="B435">
        <v>4.2500000000000003E-2</v>
      </c>
      <c r="C435">
        <v>4.7E-2</v>
      </c>
      <c r="D435">
        <v>4.1009999999999998E-2</v>
      </c>
      <c r="E435">
        <v>4.65E-2</v>
      </c>
      <c r="F435">
        <v>53457909.600000001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0.83305509181969939</v>
      </c>
      <c r="Q435">
        <f t="shared" si="975"/>
        <v>44533383.790317193</v>
      </c>
      <c r="R435">
        <f t="shared" si="976"/>
        <v>128464770.90936813</v>
      </c>
      <c r="S435">
        <f t="shared" si="977"/>
        <v>1284.6477090936812</v>
      </c>
      <c r="T435">
        <f t="shared" si="978"/>
        <v>1.2846477090936812</v>
      </c>
    </row>
    <row r="436" spans="1:20" x14ac:dyDescent="0.25">
      <c r="A436" s="5">
        <v>44157</v>
      </c>
      <c r="B436">
        <v>4.4889999999999999E-2</v>
      </c>
      <c r="C436">
        <v>4.5999999999999999E-2</v>
      </c>
      <c r="D436">
        <v>3.8920000000000003E-2</v>
      </c>
      <c r="E436">
        <v>4.2470000000000001E-2</v>
      </c>
      <c r="F436">
        <v>45873878.299999997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2.8248587570620333E-3</v>
      </c>
      <c r="Q436">
        <f t="shared" si="975"/>
        <v>129587.22683615297</v>
      </c>
      <c r="R436">
        <f t="shared" si="976"/>
        <v>83931387.119050935</v>
      </c>
      <c r="S436">
        <f t="shared" si="977"/>
        <v>839.3138711905093</v>
      </c>
      <c r="T436">
        <f t="shared" si="978"/>
        <v>0.83931387119050926</v>
      </c>
    </row>
    <row r="437" spans="1:20" x14ac:dyDescent="0.25">
      <c r="A437" s="5">
        <v>44156</v>
      </c>
      <c r="B437">
        <v>4.1009999999999998E-2</v>
      </c>
      <c r="C437">
        <v>4.5010000000000001E-2</v>
      </c>
      <c r="D437">
        <v>3.9210000000000002E-2</v>
      </c>
      <c r="E437">
        <v>4.4850000000000001E-2</v>
      </c>
      <c r="F437">
        <v>57028059.899999999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0.94482758620689644</v>
      </c>
      <c r="Q437">
        <f t="shared" si="975"/>
        <v>53881684.181379303</v>
      </c>
      <c r="R437">
        <f t="shared" si="976"/>
        <v>83801799.892214775</v>
      </c>
      <c r="S437">
        <f t="shared" si="977"/>
        <v>838.01799892214774</v>
      </c>
      <c r="T437">
        <f t="shared" si="978"/>
        <v>0.83801799892214779</v>
      </c>
    </row>
    <row r="438" spans="1:20" x14ac:dyDescent="0.25">
      <c r="A438" s="5">
        <v>44155</v>
      </c>
      <c r="B438">
        <v>3.8330000000000003E-2</v>
      </c>
      <c r="C438">
        <v>4.2369999999999998E-2</v>
      </c>
      <c r="D438">
        <v>3.8089999999999999E-2</v>
      </c>
      <c r="E438">
        <v>4.1029999999999997E-2</v>
      </c>
      <c r="F438">
        <v>63468095.700000003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0.37383177570093401</v>
      </c>
      <c r="Q438">
        <f t="shared" si="975"/>
        <v>23726390.915887814</v>
      </c>
      <c r="R438">
        <f t="shared" si="976"/>
        <v>29920115.710835468</v>
      </c>
      <c r="S438">
        <f t="shared" si="977"/>
        <v>299.20115710835466</v>
      </c>
      <c r="T438">
        <f t="shared" si="978"/>
        <v>0.29920115710835465</v>
      </c>
    </row>
    <row r="439" spans="1:20" x14ac:dyDescent="0.25">
      <c r="A439" s="5">
        <v>44154</v>
      </c>
      <c r="B439">
        <v>3.662E-2</v>
      </c>
      <c r="C439">
        <v>3.8960000000000002E-2</v>
      </c>
      <c r="D439">
        <v>3.5159999999999997E-2</v>
      </c>
      <c r="E439">
        <v>3.8260000000000002E-2</v>
      </c>
      <c r="F439">
        <v>74950349.700000003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0.63157894736842191</v>
      </c>
      <c r="Q439">
        <f t="shared" si="975"/>
        <v>47337062.968421116</v>
      </c>
      <c r="R439">
        <f t="shared" si="976"/>
        <v>6193724.794947654</v>
      </c>
      <c r="S439">
        <f t="shared" si="977"/>
        <v>61.937247949476543</v>
      </c>
      <c r="T439">
        <f t="shared" si="978"/>
        <v>6.193724794947654E-2</v>
      </c>
    </row>
    <row r="440" spans="1:20" x14ac:dyDescent="0.25">
      <c r="A440" s="5">
        <v>44153</v>
      </c>
      <c r="B440">
        <v>3.857E-2</v>
      </c>
      <c r="C440">
        <v>3.8800000000000001E-2</v>
      </c>
      <c r="D440">
        <v>3.4130000000000001E-2</v>
      </c>
      <c r="E440">
        <v>3.662E-2</v>
      </c>
      <c r="F440">
        <v>85027813.5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6.6381156316916004E-2</v>
      </c>
      <c r="Q440">
        <f t="shared" si="975"/>
        <v>5644244.579229081</v>
      </c>
      <c r="R440">
        <f t="shared" si="976"/>
        <v>-41143338.173473462</v>
      </c>
      <c r="S440">
        <f t="shared" si="977"/>
        <v>-411.43338173473461</v>
      </c>
      <c r="T440">
        <f t="shared" si="978"/>
        <v>-0.41143338173473459</v>
      </c>
    </row>
    <row r="441" spans="1:20" x14ac:dyDescent="0.25">
      <c r="A441" s="5">
        <v>44152</v>
      </c>
      <c r="B441">
        <v>3.8019999999999998E-2</v>
      </c>
      <c r="C441">
        <v>3.8989999999999997E-2</v>
      </c>
      <c r="D441">
        <v>3.6499999999999998E-2</v>
      </c>
      <c r="E441">
        <v>3.8519999999999999E-2</v>
      </c>
      <c r="F441">
        <v>45295297.700000003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0.62248995983935873</v>
      </c>
      <c r="Q441">
        <f t="shared" si="975"/>
        <v>28195868.046184801</v>
      </c>
      <c r="R441">
        <f t="shared" si="976"/>
        <v>-46787582.752702542</v>
      </c>
      <c r="S441">
        <f t="shared" si="977"/>
        <v>-467.87582752702542</v>
      </c>
      <c r="T441">
        <f t="shared" si="978"/>
        <v>-0.46787582752702545</v>
      </c>
    </row>
    <row r="442" spans="1:20" x14ac:dyDescent="0.25">
      <c r="A442" s="5">
        <v>44151</v>
      </c>
      <c r="B442">
        <v>3.619E-2</v>
      </c>
      <c r="C442">
        <v>3.8769999999999999E-2</v>
      </c>
      <c r="D442">
        <v>3.5950000000000003E-2</v>
      </c>
      <c r="E442">
        <v>3.8030000000000001E-2</v>
      </c>
      <c r="F442">
        <v>46589896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0.47517730496453997</v>
      </c>
      <c r="Q442">
        <f t="shared" si="975"/>
        <v>22138461.219858199</v>
      </c>
      <c r="R442">
        <f t="shared" si="976"/>
        <v>-74983450.798887342</v>
      </c>
      <c r="S442">
        <f t="shared" si="977"/>
        <v>-749.83450798887338</v>
      </c>
      <c r="T442">
        <f t="shared" si="978"/>
        <v>-0.74983450798887341</v>
      </c>
    </row>
    <row r="443" spans="1:20" x14ac:dyDescent="0.25">
      <c r="A443" s="5">
        <v>44150</v>
      </c>
      <c r="B443">
        <v>3.4709999999999998E-2</v>
      </c>
      <c r="C443">
        <v>3.8629999999999998E-2</v>
      </c>
      <c r="D443">
        <v>3.4389999999999997E-2</v>
      </c>
      <c r="E443">
        <v>3.619E-2</v>
      </c>
      <c r="F443">
        <v>55931732.899999999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-0.15094339622641384</v>
      </c>
      <c r="Q443">
        <f t="shared" si="975"/>
        <v>-8442525.7207546458</v>
      </c>
      <c r="R443">
        <f t="shared" si="976"/>
        <v>-97121912.018745542</v>
      </c>
      <c r="S443">
        <f t="shared" si="977"/>
        <v>-971.21912018745536</v>
      </c>
      <c r="T443">
        <f t="shared" si="978"/>
        <v>-0.97121912018745538</v>
      </c>
    </row>
    <row r="444" spans="1:20" x14ac:dyDescent="0.25">
      <c r="A444" s="5">
        <v>44149</v>
      </c>
      <c r="B444">
        <v>3.61E-2</v>
      </c>
      <c r="C444">
        <v>3.637E-2</v>
      </c>
      <c r="D444">
        <v>3.3369999999999997E-2</v>
      </c>
      <c r="E444">
        <v>3.4689999999999999E-2</v>
      </c>
      <c r="F444">
        <v>25538198.300000001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-0.11999999999999963</v>
      </c>
      <c r="Q444">
        <f t="shared" si="975"/>
        <v>-3064583.7959999908</v>
      </c>
      <c r="R444">
        <f t="shared" si="976"/>
        <v>-88679386.297990903</v>
      </c>
      <c r="S444">
        <f t="shared" si="977"/>
        <v>-886.79386297990902</v>
      </c>
      <c r="T444">
        <f t="shared" si="978"/>
        <v>-0.88679386297990903</v>
      </c>
    </row>
    <row r="445" spans="1:20" x14ac:dyDescent="0.25">
      <c r="A445" s="5">
        <v>44148</v>
      </c>
      <c r="B445">
        <v>3.4180000000000002E-2</v>
      </c>
      <c r="C445">
        <v>3.8510000000000003E-2</v>
      </c>
      <c r="D445">
        <v>3.2750000000000001E-2</v>
      </c>
      <c r="E445">
        <v>3.6080000000000001E-2</v>
      </c>
      <c r="F445">
        <v>33224749.399999999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0.15624999999999961</v>
      </c>
      <c r="Q445">
        <f t="shared" si="975"/>
        <v>5191367.093749987</v>
      </c>
      <c r="R445">
        <f t="shared" si="976"/>
        <v>-85614802.501990914</v>
      </c>
      <c r="S445">
        <f t="shared" si="977"/>
        <v>-856.14802501990914</v>
      </c>
      <c r="T445">
        <f t="shared" si="978"/>
        <v>-0.85614802501990916</v>
      </c>
    </row>
    <row r="446" spans="1:20" x14ac:dyDescent="0.25">
      <c r="A446" s="5">
        <v>44147</v>
      </c>
      <c r="B446">
        <v>3.6839999999999998E-2</v>
      </c>
      <c r="C446">
        <v>3.9E-2</v>
      </c>
      <c r="D446">
        <v>3.295E-2</v>
      </c>
      <c r="E446">
        <v>3.4009999999999999E-2</v>
      </c>
      <c r="F446">
        <v>41120472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-0.64958677685950461</v>
      </c>
      <c r="Q446">
        <f t="shared" si="975"/>
        <v>-26711314.869421508</v>
      </c>
      <c r="R446">
        <f t="shared" si="976"/>
        <v>-90806169.595740899</v>
      </c>
      <c r="S446">
        <f t="shared" si="977"/>
        <v>-908.06169595740903</v>
      </c>
      <c r="T446">
        <f t="shared" si="978"/>
        <v>-0.90806169595740904</v>
      </c>
    </row>
    <row r="447" spans="1:20" x14ac:dyDescent="0.25">
      <c r="A447" s="5">
        <v>44146</v>
      </c>
      <c r="B447">
        <v>3.8850000000000003E-2</v>
      </c>
      <c r="C447">
        <v>4.0309999999999999E-2</v>
      </c>
      <c r="D447">
        <v>3.6260000000000001E-2</v>
      </c>
      <c r="E447">
        <v>3.6920000000000001E-2</v>
      </c>
      <c r="F447">
        <v>40715299.700000003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-0.67407407407407349</v>
      </c>
      <c r="Q447">
        <f t="shared" si="975"/>
        <v>-27445127.945925903</v>
      </c>
      <c r="R447">
        <f t="shared" si="976"/>
        <v>-64094854.726319388</v>
      </c>
      <c r="S447">
        <f t="shared" si="977"/>
        <v>-640.94854726319386</v>
      </c>
      <c r="T447">
        <f t="shared" si="978"/>
        <v>-0.64094854726319384</v>
      </c>
    </row>
    <row r="448" spans="1:20" x14ac:dyDescent="0.25">
      <c r="A448" s="5">
        <v>44145</v>
      </c>
      <c r="B448">
        <v>3.4500000000000003E-2</v>
      </c>
      <c r="C448">
        <v>4.027E-2</v>
      </c>
      <c r="D448">
        <v>3.388E-2</v>
      </c>
      <c r="E448">
        <v>3.8989999999999997E-2</v>
      </c>
      <c r="F448">
        <v>45496793.799999997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0.59937402190923217</v>
      </c>
      <c r="Q448">
        <f t="shared" si="975"/>
        <v>27269596.283881016</v>
      </c>
      <c r="R448">
        <f t="shared" si="976"/>
        <v>-36649726.780393481</v>
      </c>
      <c r="S448">
        <f t="shared" si="977"/>
        <v>-366.49726780393479</v>
      </c>
      <c r="T448">
        <f t="shared" si="978"/>
        <v>-0.36649726780393477</v>
      </c>
    </row>
    <row r="449" spans="1:20" x14ac:dyDescent="0.25">
      <c r="A449" s="5">
        <v>44144</v>
      </c>
      <c r="B449">
        <v>3.465E-2</v>
      </c>
      <c r="C449">
        <v>3.5470000000000002E-2</v>
      </c>
      <c r="D449">
        <v>3.1600000000000003E-2</v>
      </c>
      <c r="E449">
        <v>3.4500000000000003E-2</v>
      </c>
      <c r="F449">
        <v>33951885.100000001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0.49870801033591783</v>
      </c>
      <c r="Q449">
        <f t="shared" si="975"/>
        <v>16932077.065374695</v>
      </c>
      <c r="R449">
        <f t="shared" si="976"/>
        <v>-63919323.064274497</v>
      </c>
      <c r="S449">
        <f t="shared" si="977"/>
        <v>-639.19323064274499</v>
      </c>
      <c r="T449">
        <f t="shared" si="978"/>
        <v>-0.63919323064274502</v>
      </c>
    </row>
    <row r="450" spans="1:20" x14ac:dyDescent="0.25">
      <c r="A450" s="5">
        <v>44143</v>
      </c>
      <c r="B450">
        <v>3.245E-2</v>
      </c>
      <c r="C450">
        <v>3.6139999999999999E-2</v>
      </c>
      <c r="D450">
        <v>3.211E-2</v>
      </c>
      <c r="E450">
        <v>3.4619999999999998E-2</v>
      </c>
      <c r="F450">
        <v>29576949.399999999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0.24565756823821294</v>
      </c>
      <c r="Q450">
        <f t="shared" si="975"/>
        <v>7265801.4655086705</v>
      </c>
      <c r="R450">
        <f t="shared" si="976"/>
        <v>-80851400.129649192</v>
      </c>
      <c r="S450">
        <f t="shared" si="977"/>
        <v>-808.51400129649187</v>
      </c>
      <c r="T450">
        <f t="shared" si="978"/>
        <v>-0.80851400129649187</v>
      </c>
    </row>
    <row r="451" spans="1:20" x14ac:dyDescent="0.25">
      <c r="A451" s="5">
        <v>44142</v>
      </c>
      <c r="B451">
        <v>3.4360000000000002E-2</v>
      </c>
      <c r="C451">
        <v>3.8550000000000001E-2</v>
      </c>
      <c r="D451">
        <v>3.065E-2</v>
      </c>
      <c r="E451">
        <v>3.2370000000000003E-2</v>
      </c>
      <c r="F451">
        <v>64441834.899999999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-0.5645569620253158</v>
      </c>
      <c r="Q451">
        <f t="shared" si="975"/>
        <v>-36381086.538480967</v>
      </c>
      <c r="R451">
        <f t="shared" si="976"/>
        <v>-88117201.595157862</v>
      </c>
      <c r="S451">
        <f t="shared" si="977"/>
        <v>-881.1720159515786</v>
      </c>
      <c r="T451">
        <f t="shared" si="978"/>
        <v>-0.88117201595157857</v>
      </c>
    </row>
    <row r="452" spans="1:20" x14ac:dyDescent="0.25">
      <c r="A452" s="5">
        <v>44141</v>
      </c>
      <c r="B452">
        <v>3.007E-2</v>
      </c>
      <c r="C452">
        <v>3.5009999999999999E-2</v>
      </c>
      <c r="D452">
        <v>2.981E-2</v>
      </c>
      <c r="E452">
        <v>3.4229999999999997E-2</v>
      </c>
      <c r="F452">
        <v>53869899.5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0.69999999999999885</v>
      </c>
      <c r="Q452">
        <f t="shared" si="975"/>
        <v>37708929.649999939</v>
      </c>
      <c r="R452">
        <f t="shared" si="976"/>
        <v>-51736115.056676902</v>
      </c>
      <c r="S452">
        <f t="shared" si="977"/>
        <v>-517.36115056676897</v>
      </c>
      <c r="T452">
        <f t="shared" si="978"/>
        <v>-0.51736115056676901</v>
      </c>
    </row>
    <row r="453" spans="1:20" x14ac:dyDescent="0.25">
      <c r="A453" s="5">
        <v>44140</v>
      </c>
      <c r="B453">
        <v>2.9219999999999999E-2</v>
      </c>
      <c r="C453">
        <v>3.0599999999999999E-2</v>
      </c>
      <c r="D453">
        <v>2.776E-2</v>
      </c>
      <c r="E453">
        <v>3.0099999999999998E-2</v>
      </c>
      <c r="F453">
        <v>35100069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0.64788732394366155</v>
      </c>
      <c r="Q453">
        <f t="shared" si="975"/>
        <v>22740889.774647873</v>
      </c>
      <c r="R453">
        <f t="shared" si="976"/>
        <v>-89445044.706676841</v>
      </c>
      <c r="S453">
        <f t="shared" si="977"/>
        <v>-894.45044706676845</v>
      </c>
      <c r="T453">
        <f t="shared" si="978"/>
        <v>-0.89445044706676846</v>
      </c>
    </row>
    <row r="454" spans="1:20" x14ac:dyDescent="0.25">
      <c r="A454" s="5">
        <v>44139</v>
      </c>
      <c r="B454">
        <v>2.785E-2</v>
      </c>
      <c r="C454">
        <v>3.0030000000000001E-2</v>
      </c>
      <c r="D454">
        <v>2.7130000000000001E-2</v>
      </c>
      <c r="E454">
        <v>2.911E-2</v>
      </c>
      <c r="F454">
        <v>21152906.5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0.36551724137930985</v>
      </c>
      <c r="Q454">
        <f t="shared" ref="Q454:Q517" si="980">F454*P454</f>
        <v>7731752.0310344724</v>
      </c>
      <c r="R454">
        <f t="shared" ref="R454:R517" si="981">R455+Q454</f>
        <v>-112185934.48132472</v>
      </c>
      <c r="S454">
        <f t="shared" ref="S454:S517" si="982">R454/100000</f>
        <v>-1121.8593448132472</v>
      </c>
      <c r="T454">
        <f t="shared" ref="T454:T517" si="983">S454/1000</f>
        <v>-1.1218593448132472</v>
      </c>
    </row>
    <row r="455" spans="1:20" x14ac:dyDescent="0.25">
      <c r="A455" s="5">
        <v>44138</v>
      </c>
      <c r="B455">
        <v>2.7830000000000001E-2</v>
      </c>
      <c r="C455">
        <v>2.9069999999999999E-2</v>
      </c>
      <c r="D455">
        <v>2.596E-2</v>
      </c>
      <c r="E455">
        <v>2.784E-2</v>
      </c>
      <c r="F455">
        <v>36870522.700000003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0.20900321543408412</v>
      </c>
      <c r="Q455">
        <f t="shared" si="980"/>
        <v>7706057.7990353899</v>
      </c>
      <c r="R455">
        <f t="shared" si="981"/>
        <v>-119917686.51235919</v>
      </c>
      <c r="S455">
        <f t="shared" si="982"/>
        <v>-1199.1768651235918</v>
      </c>
      <c r="T455">
        <f t="shared" si="983"/>
        <v>-1.1991768651235919</v>
      </c>
    </row>
    <row r="456" spans="1:20" x14ac:dyDescent="0.25">
      <c r="A456" s="5">
        <v>44137</v>
      </c>
      <c r="B456">
        <v>3.1460000000000002E-2</v>
      </c>
      <c r="C456">
        <v>3.2099999999999997E-2</v>
      </c>
      <c r="D456">
        <v>2.7529999999999999E-2</v>
      </c>
      <c r="E456">
        <v>2.7830000000000001E-2</v>
      </c>
      <c r="F456">
        <v>30761648</v>
      </c>
      <c r="G456">
        <v>0</v>
      </c>
      <c r="L456" t="s">
        <v>8</v>
      </c>
      <c r="M456" t="s">
        <v>8</v>
      </c>
      <c r="N456" t="s">
        <v>7</v>
      </c>
      <c r="P456">
        <f t="shared" si="979"/>
        <v>-0.86870897155360971</v>
      </c>
      <c r="Q456">
        <f t="shared" si="980"/>
        <v>-26722919.597374156</v>
      </c>
      <c r="R456">
        <f t="shared" si="981"/>
        <v>-127623744.31139457</v>
      </c>
      <c r="S456">
        <f t="shared" si="982"/>
        <v>-1276.2374431139458</v>
      </c>
      <c r="T456">
        <f t="shared" si="983"/>
        <v>-1.2762374431139458</v>
      </c>
    </row>
    <row r="457" spans="1:20" x14ac:dyDescent="0.25">
      <c r="A457" s="5">
        <v>44136</v>
      </c>
      <c r="B457">
        <v>2.894E-2</v>
      </c>
      <c r="C457">
        <v>3.1460000000000002E-2</v>
      </c>
      <c r="D457">
        <v>2.8000000000000001E-2</v>
      </c>
      <c r="E457">
        <v>3.1320000000000001E-2</v>
      </c>
      <c r="F457">
        <v>13352146.800000001</v>
      </c>
      <c r="G457">
        <v>0</v>
      </c>
      <c r="L457" t="s">
        <v>8</v>
      </c>
      <c r="M457" t="s">
        <v>8</v>
      </c>
      <c r="N457" t="s">
        <v>7</v>
      </c>
      <c r="P457">
        <f t="shared" si="979"/>
        <v>0.91907514450866978</v>
      </c>
      <c r="Q457">
        <f t="shared" si="980"/>
        <v>12271626.249710973</v>
      </c>
      <c r="R457">
        <f t="shared" si="981"/>
        <v>-100900824.71402042</v>
      </c>
      <c r="S457">
        <f t="shared" si="982"/>
        <v>-1009.0082471402042</v>
      </c>
      <c r="T457">
        <f t="shared" si="983"/>
        <v>-1.0090082471402042</v>
      </c>
    </row>
    <row r="458" spans="1:20" x14ac:dyDescent="0.25">
      <c r="A458" s="5">
        <v>44135</v>
      </c>
      <c r="B458">
        <v>2.845E-2</v>
      </c>
      <c r="C458">
        <v>3.0329999999999999E-2</v>
      </c>
      <c r="D458">
        <v>2.7810000000000001E-2</v>
      </c>
      <c r="E458">
        <v>2.896E-2</v>
      </c>
      <c r="F458">
        <v>19258713.399999999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-8.7301587301587949E-2</v>
      </c>
      <c r="Q458">
        <f t="shared" si="980"/>
        <v>-1681316.2492063616</v>
      </c>
      <c r="R458">
        <f t="shared" si="981"/>
        <v>-113172450.96373139</v>
      </c>
      <c r="S458">
        <f t="shared" si="982"/>
        <v>-1131.724509637314</v>
      </c>
      <c r="T458">
        <f t="shared" si="983"/>
        <v>-1.1317245096373141</v>
      </c>
    </row>
    <row r="459" spans="1:20" x14ac:dyDescent="0.25">
      <c r="A459" s="5">
        <v>44134</v>
      </c>
      <c r="B459">
        <v>2.8729999999999999E-2</v>
      </c>
      <c r="C459">
        <v>2.894E-2</v>
      </c>
      <c r="D459">
        <v>2.5919999999999999E-2</v>
      </c>
      <c r="E459">
        <v>2.8580000000000001E-2</v>
      </c>
      <c r="F459">
        <v>66771331.600000001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0.7615894039735106</v>
      </c>
      <c r="Q459">
        <f t="shared" si="980"/>
        <v>50852338.635761634</v>
      </c>
      <c r="R459">
        <f t="shared" si="981"/>
        <v>-111491134.71452503</v>
      </c>
      <c r="S459">
        <f t="shared" si="982"/>
        <v>-1114.9113471452504</v>
      </c>
      <c r="T459">
        <f t="shared" si="983"/>
        <v>-1.1149113471452503</v>
      </c>
    </row>
    <row r="460" spans="1:20" x14ac:dyDescent="0.25">
      <c r="A460" s="5">
        <v>44133</v>
      </c>
      <c r="B460">
        <v>2.989E-2</v>
      </c>
      <c r="C460">
        <v>3.0679999999999999E-2</v>
      </c>
      <c r="D460">
        <v>2.7720000000000002E-2</v>
      </c>
      <c r="E460">
        <v>2.8760000000000001E-2</v>
      </c>
      <c r="F460">
        <v>63758485.600000001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-0.29729729729729715</v>
      </c>
      <c r="Q460">
        <f t="shared" si="980"/>
        <v>-18955225.448648639</v>
      </c>
      <c r="R460">
        <f t="shared" si="981"/>
        <v>-162343473.35028666</v>
      </c>
      <c r="S460">
        <f t="shared" si="982"/>
        <v>-1623.4347335028667</v>
      </c>
      <c r="T460">
        <f t="shared" si="983"/>
        <v>-1.6234347335028667</v>
      </c>
    </row>
    <row r="461" spans="1:20" x14ac:dyDescent="0.25">
      <c r="A461" s="5">
        <v>44132</v>
      </c>
      <c r="B461">
        <v>3.3309999999999999E-2</v>
      </c>
      <c r="C461">
        <v>3.3750000000000002E-2</v>
      </c>
      <c r="D461">
        <v>2.92E-2</v>
      </c>
      <c r="E461">
        <v>2.9919999999999999E-2</v>
      </c>
      <c r="F461">
        <v>47582027.899999999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-0.68351648351648431</v>
      </c>
      <c r="Q461">
        <f t="shared" si="980"/>
        <v>-32523100.388791244</v>
      </c>
      <c r="R461">
        <f t="shared" si="981"/>
        <v>-143388247.90163803</v>
      </c>
      <c r="S461">
        <f t="shared" si="982"/>
        <v>-1433.8824790163803</v>
      </c>
      <c r="T461">
        <f t="shared" si="983"/>
        <v>-1.4338824790163804</v>
      </c>
    </row>
    <row r="462" spans="1:20" x14ac:dyDescent="0.25">
      <c r="A462" s="5">
        <v>44131</v>
      </c>
      <c r="B462">
        <v>3.533E-2</v>
      </c>
      <c r="C462">
        <v>3.5920000000000001E-2</v>
      </c>
      <c r="D462">
        <v>3.2870000000000003E-2</v>
      </c>
      <c r="E462">
        <v>3.3309999999999999E-2</v>
      </c>
      <c r="F462">
        <v>67982164.299999997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-0.71147540983606794</v>
      </c>
      <c r="Q462">
        <f t="shared" si="980"/>
        <v>-48367638.206885405</v>
      </c>
      <c r="R462">
        <f t="shared" si="981"/>
        <v>-110865147.5128468</v>
      </c>
      <c r="S462">
        <f t="shared" si="982"/>
        <v>-1108.6514751284681</v>
      </c>
      <c r="T462">
        <f t="shared" si="983"/>
        <v>-1.108651475128468</v>
      </c>
    </row>
    <row r="463" spans="1:20" x14ac:dyDescent="0.25">
      <c r="A463" s="5">
        <v>44130</v>
      </c>
      <c r="B463">
        <v>3.4389999999999997E-2</v>
      </c>
      <c r="C463">
        <v>3.7170000000000002E-2</v>
      </c>
      <c r="D463">
        <v>3.286E-2</v>
      </c>
      <c r="E463">
        <v>3.5319999999999997E-2</v>
      </c>
      <c r="F463">
        <v>91263700.400000006</v>
      </c>
      <c r="G463">
        <v>0</v>
      </c>
      <c r="L463" t="s">
        <v>8</v>
      </c>
      <c r="M463" t="s">
        <v>8</v>
      </c>
      <c r="N463" t="s">
        <v>7</v>
      </c>
      <c r="P463">
        <f t="shared" si="979"/>
        <v>0.14153132250579867</v>
      </c>
      <c r="Q463">
        <f t="shared" si="980"/>
        <v>12916672.214384988</v>
      </c>
      <c r="R463">
        <f t="shared" si="981"/>
        <v>-62497509.305961385</v>
      </c>
      <c r="S463">
        <f t="shared" si="982"/>
        <v>-624.97509305961387</v>
      </c>
      <c r="T463">
        <f t="shared" si="983"/>
        <v>-0.62497509305961385</v>
      </c>
    </row>
    <row r="464" spans="1:20" x14ac:dyDescent="0.25">
      <c r="A464" s="5">
        <v>44129</v>
      </c>
      <c r="B464">
        <v>3.4479999999999997E-2</v>
      </c>
      <c r="C464">
        <v>3.5000000000000003E-2</v>
      </c>
      <c r="D464">
        <v>3.2390000000000002E-2</v>
      </c>
      <c r="E464">
        <v>3.4360000000000002E-2</v>
      </c>
      <c r="F464">
        <v>56471710.399999999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0.50957854406130165</v>
      </c>
      <c r="Q464">
        <f t="shared" si="980"/>
        <v>28776771.966283467</v>
      </c>
      <c r="R464">
        <f t="shared" si="981"/>
        <v>-75414181.520346373</v>
      </c>
      <c r="S464">
        <f t="shared" si="982"/>
        <v>-754.14181520346369</v>
      </c>
      <c r="T464">
        <f t="shared" si="983"/>
        <v>-0.75414181520346368</v>
      </c>
    </row>
    <row r="465" spans="1:20" x14ac:dyDescent="0.25">
      <c r="A465" s="5">
        <v>44128</v>
      </c>
      <c r="B465">
        <v>3.1730000000000001E-2</v>
      </c>
      <c r="C465">
        <v>3.5290000000000002E-2</v>
      </c>
      <c r="D465">
        <v>3.1469999999999998E-2</v>
      </c>
      <c r="E465">
        <v>3.4479999999999997E-2</v>
      </c>
      <c r="F465">
        <v>72844503.099999994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0.57591623036648987</v>
      </c>
      <c r="Q465">
        <f t="shared" si="980"/>
        <v>41952331.628272079</v>
      </c>
      <c r="R465">
        <f t="shared" si="981"/>
        <v>-104190953.48662984</v>
      </c>
      <c r="S465">
        <f t="shared" si="982"/>
        <v>-1041.9095348662984</v>
      </c>
      <c r="T465">
        <f t="shared" si="983"/>
        <v>-1.0419095348662983</v>
      </c>
    </row>
    <row r="466" spans="1:20" x14ac:dyDescent="0.25">
      <c r="A466" s="5">
        <v>44127</v>
      </c>
      <c r="B466">
        <v>3.2969999999999999E-2</v>
      </c>
      <c r="C466">
        <v>3.3230000000000003E-2</v>
      </c>
      <c r="D466">
        <v>3.0530000000000002E-2</v>
      </c>
      <c r="E466">
        <v>3.177E-2</v>
      </c>
      <c r="F466">
        <v>57126323.899999999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-8.1481481481483264E-2</v>
      </c>
      <c r="Q466">
        <f t="shared" si="980"/>
        <v>-4654737.5029630642</v>
      </c>
      <c r="R466">
        <f t="shared" si="981"/>
        <v>-146143285.11490193</v>
      </c>
      <c r="S466">
        <f t="shared" si="982"/>
        <v>-1461.4328511490194</v>
      </c>
      <c r="T466">
        <f t="shared" si="983"/>
        <v>-1.4614328511490193</v>
      </c>
    </row>
    <row r="467" spans="1:20" x14ac:dyDescent="0.25">
      <c r="A467" s="5">
        <v>44126</v>
      </c>
      <c r="B467">
        <v>3.0710000000000001E-2</v>
      </c>
      <c r="C467">
        <v>3.4500000000000003E-2</v>
      </c>
      <c r="D467">
        <v>3.065E-2</v>
      </c>
      <c r="E467">
        <v>3.2980000000000002E-2</v>
      </c>
      <c r="F467">
        <v>65620545.299999997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0.21038961038961068</v>
      </c>
      <c r="Q467">
        <f t="shared" si="980"/>
        <v>13805880.959220799</v>
      </c>
      <c r="R467">
        <f t="shared" si="981"/>
        <v>-141488547.61193886</v>
      </c>
      <c r="S467">
        <f t="shared" si="982"/>
        <v>-1414.8854761193886</v>
      </c>
      <c r="T467">
        <f t="shared" si="983"/>
        <v>-1.4148854761193885</v>
      </c>
    </row>
    <row r="468" spans="1:20" x14ac:dyDescent="0.25">
      <c r="A468" s="5">
        <v>44125</v>
      </c>
      <c r="B468">
        <v>2.8910000000000002E-2</v>
      </c>
      <c r="C468">
        <v>3.1899999999999998E-2</v>
      </c>
      <c r="D468">
        <v>2.8580000000000001E-2</v>
      </c>
      <c r="E468">
        <v>3.0720000000000001E-2</v>
      </c>
      <c r="F468">
        <v>69203469.5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0.28915662650602514</v>
      </c>
      <c r="Q468">
        <f t="shared" si="980"/>
        <v>20010641.783132602</v>
      </c>
      <c r="R468">
        <f t="shared" si="981"/>
        <v>-155294428.57115966</v>
      </c>
      <c r="S468">
        <f t="shared" si="982"/>
        <v>-1552.9442857115966</v>
      </c>
      <c r="T468">
        <f t="shared" si="983"/>
        <v>-1.5529442857115967</v>
      </c>
    </row>
    <row r="469" spans="1:20" x14ac:dyDescent="0.25">
      <c r="A469" s="5">
        <v>44124</v>
      </c>
      <c r="B469">
        <v>3.0620000000000001E-2</v>
      </c>
      <c r="C469">
        <v>3.0620000000000001E-2</v>
      </c>
      <c r="D469">
        <v>2.845E-2</v>
      </c>
      <c r="E469">
        <v>2.8879999999999999E-2</v>
      </c>
      <c r="F469">
        <v>38618151.299999997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-0.60368663594470096</v>
      </c>
      <c r="Q469">
        <f t="shared" si="980"/>
        <v>-23313261.844700478</v>
      </c>
      <c r="R469">
        <f t="shared" si="981"/>
        <v>-175305070.35429227</v>
      </c>
      <c r="S469">
        <f t="shared" si="982"/>
        <v>-1753.0507035429227</v>
      </c>
      <c r="T469">
        <f t="shared" si="983"/>
        <v>-1.7530507035429228</v>
      </c>
    </row>
    <row r="470" spans="1:20" x14ac:dyDescent="0.25">
      <c r="A470" s="5">
        <v>44123</v>
      </c>
      <c r="B470">
        <v>3.322E-2</v>
      </c>
      <c r="C470">
        <v>3.3419999999999998E-2</v>
      </c>
      <c r="D470">
        <v>3.0249999999999999E-2</v>
      </c>
      <c r="E470">
        <v>3.066E-2</v>
      </c>
      <c r="F470">
        <v>26462503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-0.74132492113564619</v>
      </c>
      <c r="Q470">
        <f t="shared" si="980"/>
        <v>-19617312.949526802</v>
      </c>
      <c r="R470">
        <f t="shared" si="981"/>
        <v>-151991808.50959179</v>
      </c>
      <c r="S470">
        <f t="shared" si="982"/>
        <v>-1519.9180850959178</v>
      </c>
      <c r="T470">
        <f t="shared" si="983"/>
        <v>-1.5199180850959177</v>
      </c>
    </row>
    <row r="471" spans="1:20" x14ac:dyDescent="0.25">
      <c r="A471" s="5">
        <v>44122</v>
      </c>
      <c r="B471">
        <v>3.1980000000000001E-2</v>
      </c>
      <c r="C471">
        <v>3.3599999999999998E-2</v>
      </c>
      <c r="D471">
        <v>3.1690000000000003E-2</v>
      </c>
      <c r="E471">
        <v>3.3140000000000003E-2</v>
      </c>
      <c r="F471">
        <v>15211693.800000001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0.51832460732984675</v>
      </c>
      <c r="Q471">
        <f t="shared" si="980"/>
        <v>7884595.2157068644</v>
      </c>
      <c r="R471">
        <f t="shared" si="981"/>
        <v>-132374495.56006499</v>
      </c>
      <c r="S471">
        <f t="shared" si="982"/>
        <v>-1323.74495560065</v>
      </c>
      <c r="T471">
        <f t="shared" si="983"/>
        <v>-1.32374495560065</v>
      </c>
    </row>
    <row r="472" spans="1:20" x14ac:dyDescent="0.25">
      <c r="A472" s="5">
        <v>44121</v>
      </c>
      <c r="B472">
        <v>3.124E-2</v>
      </c>
      <c r="C472">
        <v>3.3000000000000002E-2</v>
      </c>
      <c r="D472">
        <v>3.091E-2</v>
      </c>
      <c r="E472">
        <v>3.2099999999999997E-2</v>
      </c>
      <c r="F472">
        <v>13909225.9</v>
      </c>
      <c r="G472">
        <v>0</v>
      </c>
      <c r="L472" t="s">
        <v>8</v>
      </c>
      <c r="M472" t="s">
        <v>7</v>
      </c>
      <c r="N472" t="s">
        <v>8</v>
      </c>
      <c r="P472">
        <f t="shared" si="979"/>
        <v>0.13875598086123991</v>
      </c>
      <c r="Q472">
        <f t="shared" si="980"/>
        <v>1929988.2827750626</v>
      </c>
      <c r="R472">
        <f t="shared" si="981"/>
        <v>-140259090.77577186</v>
      </c>
      <c r="S472">
        <f t="shared" si="982"/>
        <v>-1402.5909077577185</v>
      </c>
      <c r="T472">
        <f t="shared" si="983"/>
        <v>-1.4025909077577186</v>
      </c>
    </row>
    <row r="473" spans="1:20" x14ac:dyDescent="0.25">
      <c r="A473" s="5">
        <v>44120</v>
      </c>
      <c r="B473">
        <v>3.338E-2</v>
      </c>
      <c r="C473">
        <v>3.3649999999999999E-2</v>
      </c>
      <c r="D473">
        <v>3.0009999999999998E-2</v>
      </c>
      <c r="E473">
        <v>3.1309999999999998E-2</v>
      </c>
      <c r="F473">
        <v>35400553.700000003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-0.28571428571428642</v>
      </c>
      <c r="Q473">
        <f t="shared" si="980"/>
        <v>-10114443.91428574</v>
      </c>
      <c r="R473">
        <f t="shared" si="981"/>
        <v>-142189079.05854693</v>
      </c>
      <c r="S473">
        <f t="shared" si="982"/>
        <v>-1421.8907905854694</v>
      </c>
      <c r="T473">
        <f t="shared" si="983"/>
        <v>-1.4218907905854694</v>
      </c>
    </row>
    <row r="474" spans="1:20" x14ac:dyDescent="0.25">
      <c r="A474" s="5">
        <v>44119</v>
      </c>
      <c r="B474">
        <v>3.644E-2</v>
      </c>
      <c r="C474">
        <v>3.7190000000000001E-2</v>
      </c>
      <c r="D474">
        <v>3.2590000000000001E-2</v>
      </c>
      <c r="E474">
        <v>3.3360000000000001E-2</v>
      </c>
      <c r="F474">
        <v>35412476.799999997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-0.66521739130434787</v>
      </c>
      <c r="Q474">
        <f t="shared" si="980"/>
        <v>-23556995.436521739</v>
      </c>
      <c r="R474">
        <f t="shared" si="981"/>
        <v>-132074635.14426118</v>
      </c>
      <c r="S474">
        <f t="shared" si="982"/>
        <v>-1320.7463514426117</v>
      </c>
      <c r="T474">
        <f t="shared" si="983"/>
        <v>-1.3207463514426117</v>
      </c>
    </row>
    <row r="475" spans="1:20" x14ac:dyDescent="0.25">
      <c r="A475" s="5">
        <v>44118</v>
      </c>
      <c r="B475">
        <v>3.8980000000000001E-2</v>
      </c>
      <c r="C475">
        <v>4.1050000000000003E-2</v>
      </c>
      <c r="D475">
        <v>3.5529999999999999E-2</v>
      </c>
      <c r="E475">
        <v>3.6339999999999997E-2</v>
      </c>
      <c r="F475">
        <v>42468920.200000003</v>
      </c>
      <c r="G475">
        <v>0</v>
      </c>
      <c r="L475" t="s">
        <v>8</v>
      </c>
      <c r="M475" t="s">
        <v>8</v>
      </c>
      <c r="N475" t="s">
        <v>8</v>
      </c>
      <c r="P475">
        <f t="shared" si="979"/>
        <v>-0.70652173913043559</v>
      </c>
      <c r="Q475">
        <f t="shared" si="980"/>
        <v>-30005215.35869569</v>
      </c>
      <c r="R475">
        <f t="shared" si="981"/>
        <v>-108517639.70773944</v>
      </c>
      <c r="S475">
        <f t="shared" si="982"/>
        <v>-1085.1763970773943</v>
      </c>
      <c r="T475">
        <f t="shared" si="983"/>
        <v>-1.0851763970773942</v>
      </c>
    </row>
    <row r="476" spans="1:20" x14ac:dyDescent="0.25">
      <c r="A476" s="5">
        <v>44117</v>
      </c>
      <c r="B476">
        <v>3.4509999999999999E-2</v>
      </c>
      <c r="C476">
        <v>3.986E-2</v>
      </c>
      <c r="D476">
        <v>3.4189999999999998E-2</v>
      </c>
      <c r="E476">
        <v>3.8940000000000002E-2</v>
      </c>
      <c r="F476">
        <v>49885149.899999999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0.67548500881834317</v>
      </c>
      <c r="Q476">
        <f t="shared" si="980"/>
        <v>33696670.920105867</v>
      </c>
      <c r="R476">
        <f t="shared" si="981"/>
        <v>-78512424.349043757</v>
      </c>
      <c r="S476">
        <f t="shared" si="982"/>
        <v>-785.12424349043761</v>
      </c>
      <c r="T476">
        <f t="shared" si="983"/>
        <v>-0.78512424349043763</v>
      </c>
    </row>
    <row r="477" spans="1:20" x14ac:dyDescent="0.25">
      <c r="A477" s="5">
        <v>44116</v>
      </c>
      <c r="B477">
        <v>3.669E-2</v>
      </c>
      <c r="C477">
        <v>3.7740000000000003E-2</v>
      </c>
      <c r="D477">
        <v>3.3579999999999999E-2</v>
      </c>
      <c r="E477">
        <v>3.4509999999999999E-2</v>
      </c>
      <c r="F477">
        <v>37329846.399999999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-0.55288461538461564</v>
      </c>
      <c r="Q477">
        <f t="shared" si="980"/>
        <v>-20639097.769230779</v>
      </c>
      <c r="R477">
        <f t="shared" si="981"/>
        <v>-112209095.26914962</v>
      </c>
      <c r="S477">
        <f t="shared" si="982"/>
        <v>-1122.0909526914961</v>
      </c>
      <c r="T477">
        <f t="shared" si="983"/>
        <v>-1.1220909526914962</v>
      </c>
    </row>
    <row r="478" spans="1:20" x14ac:dyDescent="0.25">
      <c r="A478" s="5">
        <v>44115</v>
      </c>
      <c r="B478">
        <v>3.3259999999999998E-2</v>
      </c>
      <c r="C478">
        <v>3.7879999999999997E-2</v>
      </c>
      <c r="D478">
        <v>3.2779999999999997E-2</v>
      </c>
      <c r="E478">
        <v>3.6679999999999997E-2</v>
      </c>
      <c r="F478">
        <v>30605107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0.52941176470588247</v>
      </c>
      <c r="Q478">
        <f t="shared" si="980"/>
        <v>16202703.705882357</v>
      </c>
      <c r="R478">
        <f t="shared" si="981"/>
        <v>-91569997.499918833</v>
      </c>
      <c r="S478">
        <f t="shared" si="982"/>
        <v>-915.69997499918838</v>
      </c>
      <c r="T478">
        <f t="shared" si="983"/>
        <v>-0.91569997499918843</v>
      </c>
    </row>
    <row r="479" spans="1:20" x14ac:dyDescent="0.25">
      <c r="A479" s="5">
        <v>44114</v>
      </c>
      <c r="B479">
        <v>3.3750000000000002E-2</v>
      </c>
      <c r="C479">
        <v>3.5249999999999997E-2</v>
      </c>
      <c r="D479">
        <v>3.2930000000000001E-2</v>
      </c>
      <c r="E479">
        <v>3.3180000000000001E-2</v>
      </c>
      <c r="F479">
        <v>61224613.5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-0.78448275862068906</v>
      </c>
      <c r="Q479">
        <f t="shared" si="980"/>
        <v>-48029653.69396548</v>
      </c>
      <c r="R479">
        <f t="shared" si="981"/>
        <v>-107772701.20580119</v>
      </c>
      <c r="S479">
        <f t="shared" si="982"/>
        <v>-1077.727012058012</v>
      </c>
      <c r="T479">
        <f t="shared" si="983"/>
        <v>-1.077727012058012</v>
      </c>
    </row>
    <row r="480" spans="1:20" x14ac:dyDescent="0.25">
      <c r="A480" s="5">
        <v>44113</v>
      </c>
      <c r="B480">
        <v>3.134E-2</v>
      </c>
      <c r="C480">
        <v>3.4430000000000002E-2</v>
      </c>
      <c r="D480">
        <v>3.0779999999999998E-2</v>
      </c>
      <c r="E480">
        <v>3.3750000000000002E-2</v>
      </c>
      <c r="F480">
        <v>71069223.400000006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0.62739726027397302</v>
      </c>
      <c r="Q480">
        <f t="shared" si="980"/>
        <v>44588636.050958939</v>
      </c>
      <c r="R480">
        <f t="shared" si="981"/>
        <v>-59743047.511835717</v>
      </c>
      <c r="S480">
        <f t="shared" si="982"/>
        <v>-597.43047511835721</v>
      </c>
      <c r="T480">
        <f t="shared" si="983"/>
        <v>-0.59743047511835723</v>
      </c>
    </row>
    <row r="481" spans="1:20" x14ac:dyDescent="0.25">
      <c r="A481" s="5">
        <v>44112</v>
      </c>
      <c r="B481">
        <v>3.0609999999999998E-2</v>
      </c>
      <c r="C481">
        <v>3.2309999999999998E-2</v>
      </c>
      <c r="D481">
        <v>2.86E-2</v>
      </c>
      <c r="E481">
        <v>3.1370000000000002E-2</v>
      </c>
      <c r="F481">
        <v>80095917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0.49326145552560813</v>
      </c>
      <c r="Q481">
        <f t="shared" si="980"/>
        <v>39508228.601078302</v>
      </c>
      <c r="R481">
        <f t="shared" si="981"/>
        <v>-104331683.56279466</v>
      </c>
      <c r="S481">
        <f t="shared" si="982"/>
        <v>-1043.3168356279466</v>
      </c>
      <c r="T481">
        <f t="shared" si="983"/>
        <v>-1.0433168356279465</v>
      </c>
    </row>
    <row r="482" spans="1:20" x14ac:dyDescent="0.25">
      <c r="A482" s="5">
        <v>44111</v>
      </c>
      <c r="B482">
        <v>2.9989999999999999E-2</v>
      </c>
      <c r="C482">
        <v>3.0689999999999999E-2</v>
      </c>
      <c r="D482">
        <v>2.8219999999999999E-2</v>
      </c>
      <c r="E482">
        <v>3.0630000000000001E-2</v>
      </c>
      <c r="F482">
        <v>78919321.400000006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0.95141700404858498</v>
      </c>
      <c r="Q482">
        <f t="shared" si="980"/>
        <v>75085184.327935383</v>
      </c>
      <c r="R482">
        <f t="shared" si="981"/>
        <v>-143839912.16387296</v>
      </c>
      <c r="S482">
        <f t="shared" si="982"/>
        <v>-1438.3991216387296</v>
      </c>
      <c r="T482">
        <f t="shared" si="983"/>
        <v>-1.4383991216387297</v>
      </c>
    </row>
    <row r="483" spans="1:20" x14ac:dyDescent="0.25">
      <c r="A483" s="5">
        <v>44110</v>
      </c>
      <c r="B483">
        <v>3.7499999999999999E-2</v>
      </c>
      <c r="C483">
        <v>3.9489999999999997E-2</v>
      </c>
      <c r="D483">
        <v>2.9760000000000002E-2</v>
      </c>
      <c r="E483">
        <v>2.9919999999999999E-2</v>
      </c>
      <c r="F483">
        <v>111610360.59999999</v>
      </c>
      <c r="G483">
        <v>0</v>
      </c>
      <c r="L483" t="s">
        <v>8</v>
      </c>
      <c r="M483" t="s">
        <v>7</v>
      </c>
      <c r="N483" t="s">
        <v>7</v>
      </c>
      <c r="P483">
        <f t="shared" si="979"/>
        <v>-0.96711202466598212</v>
      </c>
      <c r="Q483">
        <f t="shared" si="980"/>
        <v>-107939721.81356636</v>
      </c>
      <c r="R483">
        <f t="shared" si="981"/>
        <v>-218925096.49180835</v>
      </c>
      <c r="S483">
        <f t="shared" si="982"/>
        <v>-2189.2509649180834</v>
      </c>
      <c r="T483">
        <f t="shared" si="983"/>
        <v>-2.1892509649180836</v>
      </c>
    </row>
    <row r="484" spans="1:20" x14ac:dyDescent="0.25">
      <c r="A484" s="5">
        <v>44109</v>
      </c>
      <c r="B484">
        <v>3.4869999999999998E-2</v>
      </c>
      <c r="C484">
        <v>3.7819999999999999E-2</v>
      </c>
      <c r="D484">
        <v>3.4070000000000003E-2</v>
      </c>
      <c r="E484">
        <v>3.7470000000000003E-2</v>
      </c>
      <c r="F484">
        <v>73551929.900000006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0.81333333333333524</v>
      </c>
      <c r="Q484">
        <f t="shared" si="980"/>
        <v>59822236.318666808</v>
      </c>
      <c r="R484">
        <f t="shared" si="981"/>
        <v>-110985374.678242</v>
      </c>
      <c r="S484">
        <f t="shared" si="982"/>
        <v>-1109.8537467824199</v>
      </c>
      <c r="T484">
        <f t="shared" si="983"/>
        <v>-1.1098537467824199</v>
      </c>
    </row>
    <row r="485" spans="1:20" x14ac:dyDescent="0.25">
      <c r="A485" s="5">
        <v>44108</v>
      </c>
      <c r="B485">
        <v>3.4369999999999998E-2</v>
      </c>
      <c r="C485">
        <v>3.4840000000000003E-2</v>
      </c>
      <c r="D485">
        <v>3.288E-2</v>
      </c>
      <c r="E485">
        <v>3.4840000000000003E-2</v>
      </c>
      <c r="F485">
        <v>53564777.5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1</v>
      </c>
      <c r="Q485">
        <f t="shared" si="980"/>
        <v>53564777.5</v>
      </c>
      <c r="R485">
        <f t="shared" si="981"/>
        <v>-170807610.99690881</v>
      </c>
      <c r="S485">
        <f t="shared" si="982"/>
        <v>-1708.0761099690881</v>
      </c>
      <c r="T485">
        <f t="shared" si="983"/>
        <v>-1.708076109969088</v>
      </c>
    </row>
    <row r="486" spans="1:20" x14ac:dyDescent="0.25">
      <c r="A486" s="5">
        <v>44107</v>
      </c>
      <c r="B486">
        <v>3.4189999999999998E-2</v>
      </c>
      <c r="C486">
        <v>3.5589999999999997E-2</v>
      </c>
      <c r="D486">
        <v>3.3570000000000003E-2</v>
      </c>
      <c r="E486">
        <v>3.44E-2</v>
      </c>
      <c r="F486">
        <v>58684851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-0.17821782178217835</v>
      </c>
      <c r="Q486">
        <f t="shared" si="980"/>
        <v>-10458686.316831691</v>
      </c>
      <c r="R486">
        <f t="shared" si="981"/>
        <v>-224372388.49690881</v>
      </c>
      <c r="S486">
        <f t="shared" si="982"/>
        <v>-2243.723884969088</v>
      </c>
      <c r="T486">
        <f t="shared" si="983"/>
        <v>-2.2437238849690879</v>
      </c>
    </row>
    <row r="487" spans="1:20" x14ac:dyDescent="0.25">
      <c r="A487" s="5">
        <v>44106</v>
      </c>
      <c r="B487">
        <v>3.746E-2</v>
      </c>
      <c r="C487">
        <v>3.7650000000000003E-2</v>
      </c>
      <c r="D487">
        <v>3.1899999999999998E-2</v>
      </c>
      <c r="E487">
        <v>3.4229999999999997E-2</v>
      </c>
      <c r="F487">
        <v>87195717.099999994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-0.1895652173913055</v>
      </c>
      <c r="Q487">
        <f t="shared" si="980"/>
        <v>-16529275.067652272</v>
      </c>
      <c r="R487">
        <f t="shared" si="981"/>
        <v>-213913702.18007714</v>
      </c>
      <c r="S487">
        <f t="shared" si="982"/>
        <v>-2139.1370218007714</v>
      </c>
      <c r="T487">
        <f t="shared" si="983"/>
        <v>-2.1391370218007713</v>
      </c>
    </row>
    <row r="488" spans="1:20" x14ac:dyDescent="0.25">
      <c r="A488" s="5">
        <v>44105</v>
      </c>
      <c r="B488">
        <v>3.9170000000000003E-2</v>
      </c>
      <c r="C488">
        <v>4.0689999999999997E-2</v>
      </c>
      <c r="D488">
        <v>3.4099999999999998E-2</v>
      </c>
      <c r="E488">
        <v>3.7449999999999997E-2</v>
      </c>
      <c r="F488">
        <v>84428251.5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1.669195751138073E-2</v>
      </c>
      <c r="Q488">
        <f t="shared" si="980"/>
        <v>1409272.7867981663</v>
      </c>
      <c r="R488">
        <f t="shared" si="981"/>
        <v>-197384427.11242485</v>
      </c>
      <c r="S488">
        <f t="shared" si="982"/>
        <v>-1973.8442711242485</v>
      </c>
      <c r="T488">
        <f t="shared" si="983"/>
        <v>-1.9738442711242485</v>
      </c>
    </row>
    <row r="489" spans="1:20" x14ac:dyDescent="0.25">
      <c r="A489" s="5">
        <v>44104</v>
      </c>
      <c r="B489">
        <v>4.113E-2</v>
      </c>
      <c r="C489">
        <v>4.1390000000000003E-2</v>
      </c>
      <c r="D489">
        <v>3.8469999999999997E-2</v>
      </c>
      <c r="E489">
        <v>3.9129999999999998E-2</v>
      </c>
      <c r="F489">
        <v>65731709.100000001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-0.54794520547945236</v>
      </c>
      <c r="Q489">
        <f t="shared" si="980"/>
        <v>-36017374.849315092</v>
      </c>
      <c r="R489">
        <f t="shared" si="981"/>
        <v>-198793699.89922303</v>
      </c>
      <c r="S489">
        <f t="shared" si="982"/>
        <v>-1987.9369989922302</v>
      </c>
      <c r="T489">
        <f t="shared" si="983"/>
        <v>-1.9879369989922302</v>
      </c>
    </row>
    <row r="490" spans="1:20" x14ac:dyDescent="0.25">
      <c r="A490" s="5">
        <v>44103</v>
      </c>
      <c r="B490">
        <v>4.1200000000000001E-2</v>
      </c>
      <c r="C490">
        <v>4.1750000000000002E-2</v>
      </c>
      <c r="D490">
        <v>3.9739999999999998E-2</v>
      </c>
      <c r="E490">
        <v>4.113E-2</v>
      </c>
      <c r="F490">
        <v>61228809.399999999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0.38308457711442684</v>
      </c>
      <c r="Q490">
        <f t="shared" si="980"/>
        <v>23455812.556218844</v>
      </c>
      <c r="R490">
        <f t="shared" si="981"/>
        <v>-162776325.04990792</v>
      </c>
      <c r="S490">
        <f t="shared" si="982"/>
        <v>-1627.7632504990793</v>
      </c>
      <c r="T490">
        <f t="shared" si="983"/>
        <v>-1.6277632504990793</v>
      </c>
    </row>
    <row r="491" spans="1:20" x14ac:dyDescent="0.25">
      <c r="A491" s="5">
        <v>44102</v>
      </c>
      <c r="B491">
        <v>4.1610000000000001E-2</v>
      </c>
      <c r="C491">
        <v>4.5260000000000002E-2</v>
      </c>
      <c r="D491">
        <v>4.0660000000000002E-2</v>
      </c>
      <c r="E491">
        <v>4.1349999999999998E-2</v>
      </c>
      <c r="F491">
        <v>58047396.700000003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-0.70000000000000162</v>
      </c>
      <c r="Q491">
        <f t="shared" si="980"/>
        <v>-40633177.690000094</v>
      </c>
      <c r="R491">
        <f t="shared" si="981"/>
        <v>-186232137.60612676</v>
      </c>
      <c r="S491">
        <f t="shared" si="982"/>
        <v>-1862.3213760612675</v>
      </c>
      <c r="T491">
        <f t="shared" si="983"/>
        <v>-1.8623213760612676</v>
      </c>
    </row>
    <row r="492" spans="1:20" x14ac:dyDescent="0.25">
      <c r="A492" s="5">
        <v>44101</v>
      </c>
      <c r="B492">
        <v>4.2389999999999997E-2</v>
      </c>
      <c r="C492">
        <v>4.2930000000000003E-2</v>
      </c>
      <c r="D492">
        <v>3.8769999999999999E-2</v>
      </c>
      <c r="E492">
        <v>4.165E-2</v>
      </c>
      <c r="F492">
        <v>59947256.200000003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0.38461538461538358</v>
      </c>
      <c r="Q492">
        <f t="shared" si="980"/>
        <v>23056636.99999994</v>
      </c>
      <c r="R492">
        <f t="shared" si="981"/>
        <v>-145598959.91612667</v>
      </c>
      <c r="S492">
        <f t="shared" si="982"/>
        <v>-1455.9895991612666</v>
      </c>
      <c r="T492">
        <f t="shared" si="983"/>
        <v>-1.4559895991612666</v>
      </c>
    </row>
    <row r="493" spans="1:20" x14ac:dyDescent="0.25">
      <c r="A493" s="5">
        <v>44100</v>
      </c>
      <c r="B493">
        <v>4.3240000000000001E-2</v>
      </c>
      <c r="C493">
        <v>4.6300000000000001E-2</v>
      </c>
      <c r="D493">
        <v>4.1050000000000003E-2</v>
      </c>
      <c r="E493">
        <v>4.2340000000000003E-2</v>
      </c>
      <c r="F493">
        <v>58296621.5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-0.50857142857142856</v>
      </c>
      <c r="Q493">
        <f t="shared" si="980"/>
        <v>-29647996.077142857</v>
      </c>
      <c r="R493">
        <f t="shared" si="981"/>
        <v>-168655596.91612661</v>
      </c>
      <c r="S493">
        <f t="shared" si="982"/>
        <v>-1686.5559691612661</v>
      </c>
      <c r="T493">
        <f t="shared" si="983"/>
        <v>-1.6865559691612662</v>
      </c>
    </row>
    <row r="494" spans="1:20" x14ac:dyDescent="0.25">
      <c r="A494" s="5">
        <v>44099</v>
      </c>
      <c r="B494">
        <v>4.0439999999999997E-2</v>
      </c>
      <c r="C494">
        <v>4.5409999999999999E-2</v>
      </c>
      <c r="D494">
        <v>3.7830000000000003E-2</v>
      </c>
      <c r="E494">
        <v>4.3220000000000001E-2</v>
      </c>
      <c r="F494">
        <v>70821781.200000003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0.42216358839050172</v>
      </c>
      <c r="Q494">
        <f t="shared" si="980"/>
        <v>29898377.287598975</v>
      </c>
      <c r="R494">
        <f t="shared" si="981"/>
        <v>-139007600.83898374</v>
      </c>
      <c r="S494">
        <f t="shared" si="982"/>
        <v>-1390.0760083898374</v>
      </c>
      <c r="T494">
        <f t="shared" si="983"/>
        <v>-1.3900760083898374</v>
      </c>
    </row>
    <row r="495" spans="1:20" x14ac:dyDescent="0.25">
      <c r="A495" s="5">
        <v>44098</v>
      </c>
      <c r="B495">
        <v>3.347E-2</v>
      </c>
      <c r="C495">
        <v>4.1689999999999998E-2</v>
      </c>
      <c r="D495">
        <v>3.2759999999999997E-2</v>
      </c>
      <c r="E495">
        <v>4.0419999999999998E-2</v>
      </c>
      <c r="F495">
        <v>80506885.5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0.71556550951847697</v>
      </c>
      <c r="Q495">
        <f t="shared" si="980"/>
        <v>57607950.542553186</v>
      </c>
      <c r="R495">
        <f t="shared" si="981"/>
        <v>-168905978.12658271</v>
      </c>
      <c r="S495">
        <f t="shared" si="982"/>
        <v>-1689.059781265827</v>
      </c>
      <c r="T495">
        <f t="shared" si="983"/>
        <v>-1.689059781265827</v>
      </c>
    </row>
    <row r="496" spans="1:20" x14ac:dyDescent="0.25">
      <c r="A496" s="5">
        <v>44097</v>
      </c>
      <c r="B496">
        <v>4.0750000000000001E-2</v>
      </c>
      <c r="C496">
        <v>4.0930000000000001E-2</v>
      </c>
      <c r="D496">
        <v>3.2689999999999997E-2</v>
      </c>
      <c r="E496">
        <v>3.3410000000000002E-2</v>
      </c>
      <c r="F496">
        <v>66289361.799999997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-0.82524271844660069</v>
      </c>
      <c r="Q496">
        <f t="shared" si="980"/>
        <v>-54704813.135922246</v>
      </c>
      <c r="R496">
        <f t="shared" si="981"/>
        <v>-226513928.6691359</v>
      </c>
      <c r="S496">
        <f t="shared" si="982"/>
        <v>-2265.1392866913588</v>
      </c>
      <c r="T496">
        <f t="shared" si="983"/>
        <v>-2.2651392866913587</v>
      </c>
    </row>
    <row r="497" spans="1:20" x14ac:dyDescent="0.25">
      <c r="A497" s="5">
        <v>44096</v>
      </c>
      <c r="B497">
        <v>3.7949999999999998E-2</v>
      </c>
      <c r="C497">
        <v>4.1520000000000001E-2</v>
      </c>
      <c r="D497">
        <v>3.6799999999999999E-2</v>
      </c>
      <c r="E497">
        <v>4.0759999999999998E-2</v>
      </c>
      <c r="F497">
        <v>55925513.700000003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0.67796610169491378</v>
      </c>
      <c r="Q497">
        <f t="shared" si="980"/>
        <v>37915602.508474499</v>
      </c>
      <c r="R497">
        <f t="shared" si="981"/>
        <v>-171809115.53321365</v>
      </c>
      <c r="S497">
        <f t="shared" si="982"/>
        <v>-1718.0911553321364</v>
      </c>
      <c r="T497">
        <f t="shared" si="983"/>
        <v>-1.7180911553321363</v>
      </c>
    </row>
    <row r="498" spans="1:20" x14ac:dyDescent="0.25">
      <c r="A498" s="5">
        <v>44095</v>
      </c>
      <c r="B498">
        <v>4.6370000000000001E-2</v>
      </c>
      <c r="C498">
        <v>4.9000000000000002E-2</v>
      </c>
      <c r="D498">
        <v>3.7289999999999997E-2</v>
      </c>
      <c r="E498">
        <v>3.8039999999999997E-2</v>
      </c>
      <c r="F498">
        <v>94196213.599999994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-0.87190435525192134</v>
      </c>
      <c r="Q498">
        <f t="shared" si="980"/>
        <v>-82130088.886080265</v>
      </c>
      <c r="R498">
        <f t="shared" si="981"/>
        <v>-209724718.04168814</v>
      </c>
      <c r="S498">
        <f t="shared" si="982"/>
        <v>-2097.2471804168813</v>
      </c>
      <c r="T498">
        <f t="shared" si="983"/>
        <v>-2.0972471804168813</v>
      </c>
    </row>
    <row r="499" spans="1:20" x14ac:dyDescent="0.25">
      <c r="A499" s="5">
        <v>44094</v>
      </c>
      <c r="B499">
        <v>5.0979999999999998E-2</v>
      </c>
      <c r="C499">
        <v>5.1049999999999998E-2</v>
      </c>
      <c r="D499">
        <v>4.5400000000000003E-2</v>
      </c>
      <c r="E499">
        <v>4.6379999999999998E-2</v>
      </c>
      <c r="F499">
        <v>45969705.299999997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-0.65309734513274498</v>
      </c>
      <c r="Q499">
        <f t="shared" si="980"/>
        <v>-30022692.487964675</v>
      </c>
      <c r="R499">
        <f t="shared" si="981"/>
        <v>-127594629.15560789</v>
      </c>
      <c r="S499">
        <f t="shared" si="982"/>
        <v>-1275.9462915560789</v>
      </c>
      <c r="T499">
        <f t="shared" si="983"/>
        <v>-1.2759462915560789</v>
      </c>
    </row>
    <row r="500" spans="1:20" x14ac:dyDescent="0.25">
      <c r="A500" s="5">
        <v>44093</v>
      </c>
      <c r="B500">
        <v>5.0130000000000001E-2</v>
      </c>
      <c r="C500">
        <v>5.3330000000000002E-2</v>
      </c>
      <c r="D500">
        <v>4.9000000000000002E-2</v>
      </c>
      <c r="E500">
        <v>5.1020000000000003E-2</v>
      </c>
      <c r="F500">
        <v>51390200.299999997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-6.6974595842955786E-2</v>
      </c>
      <c r="Q500">
        <f t="shared" si="980"/>
        <v>-3441837.8953810451</v>
      </c>
      <c r="R500">
        <f t="shared" si="981"/>
        <v>-97571936.667643219</v>
      </c>
      <c r="S500">
        <f t="shared" si="982"/>
        <v>-975.71936667643217</v>
      </c>
      <c r="T500">
        <f t="shared" si="983"/>
        <v>-0.97571936667643222</v>
      </c>
    </row>
    <row r="501" spans="1:20" x14ac:dyDescent="0.25">
      <c r="A501" s="5">
        <v>44092</v>
      </c>
      <c r="B501">
        <v>5.1569999999999998E-2</v>
      </c>
      <c r="C501">
        <v>5.3659999999999999E-2</v>
      </c>
      <c r="D501">
        <v>4.7219999999999998E-2</v>
      </c>
      <c r="E501">
        <v>5.0160000000000003E-2</v>
      </c>
      <c r="F501">
        <v>56798720.700000003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-8.6956521739129031E-2</v>
      </c>
      <c r="Q501">
        <f t="shared" si="980"/>
        <v>-4939019.1913042683</v>
      </c>
      <c r="R501">
        <f t="shared" si="981"/>
        <v>-94130098.772262171</v>
      </c>
      <c r="S501">
        <f t="shared" si="982"/>
        <v>-941.3009877226217</v>
      </c>
      <c r="T501">
        <f t="shared" si="983"/>
        <v>-0.94130098772262172</v>
      </c>
    </row>
    <row r="502" spans="1:20" x14ac:dyDescent="0.25">
      <c r="A502" s="5">
        <v>44091</v>
      </c>
      <c r="B502">
        <v>4.9829999999999999E-2</v>
      </c>
      <c r="C502">
        <v>5.4739999999999997E-2</v>
      </c>
      <c r="D502">
        <v>4.87E-2</v>
      </c>
      <c r="E502">
        <v>5.1490000000000001E-2</v>
      </c>
      <c r="F502">
        <v>55093126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-7.615894039735023E-2</v>
      </c>
      <c r="Q502">
        <f t="shared" si="980"/>
        <v>-4195834.0993377063</v>
      </c>
      <c r="R502">
        <f t="shared" si="981"/>
        <v>-89191079.580957904</v>
      </c>
      <c r="S502">
        <f t="shared" si="982"/>
        <v>-891.9107958095791</v>
      </c>
      <c r="T502">
        <f t="shared" si="983"/>
        <v>-0.8919107958095791</v>
      </c>
    </row>
    <row r="503" spans="1:20" x14ac:dyDescent="0.25">
      <c r="A503" s="5">
        <v>44090</v>
      </c>
      <c r="B503">
        <v>4.9489999999999999E-2</v>
      </c>
      <c r="C503">
        <v>5.0250000000000003E-2</v>
      </c>
      <c r="D503">
        <v>4.5999999999999999E-2</v>
      </c>
      <c r="E503">
        <v>4.9770000000000002E-2</v>
      </c>
      <c r="F503">
        <v>45372709.299999997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0.77411764705882313</v>
      </c>
      <c r="Q503">
        <f t="shared" si="980"/>
        <v>35123814.963999979</v>
      </c>
      <c r="R503">
        <f t="shared" si="981"/>
        <v>-84995245.481620193</v>
      </c>
      <c r="S503">
        <f t="shared" si="982"/>
        <v>-849.95245481620191</v>
      </c>
      <c r="T503">
        <f t="shared" si="983"/>
        <v>-0.84995245481620185</v>
      </c>
    </row>
    <row r="504" spans="1:20" x14ac:dyDescent="0.25">
      <c r="A504" s="5">
        <v>44089</v>
      </c>
      <c r="B504">
        <v>5.4809999999999998E-2</v>
      </c>
      <c r="C504">
        <v>5.7439999999999998E-2</v>
      </c>
      <c r="D504">
        <v>4.9079999999999999E-2</v>
      </c>
      <c r="E504">
        <v>4.9480000000000003E-2</v>
      </c>
      <c r="F504">
        <v>57857942.799999997</v>
      </c>
      <c r="G504">
        <v>0</v>
      </c>
      <c r="L504" t="s">
        <v>8</v>
      </c>
      <c r="M504" t="s">
        <v>7</v>
      </c>
      <c r="N504" t="s">
        <v>7</v>
      </c>
      <c r="P504">
        <f t="shared" si="979"/>
        <v>-0.90430622009569273</v>
      </c>
      <c r="Q504">
        <f t="shared" si="980"/>
        <v>-52321297.555980794</v>
      </c>
      <c r="R504">
        <f t="shared" si="981"/>
        <v>-120119060.44562018</v>
      </c>
      <c r="S504">
        <f t="shared" si="982"/>
        <v>-1201.1906044562018</v>
      </c>
      <c r="T504">
        <f t="shared" si="983"/>
        <v>-1.2011906044562017</v>
      </c>
    </row>
    <row r="505" spans="1:20" x14ac:dyDescent="0.25">
      <c r="A505" s="5">
        <v>44088</v>
      </c>
      <c r="B505">
        <v>5.0619999999999998E-2</v>
      </c>
      <c r="C505">
        <v>5.8459999999999998E-2</v>
      </c>
      <c r="D505">
        <v>4.8869999999999997E-2</v>
      </c>
      <c r="E505">
        <v>5.4730000000000001E-2</v>
      </c>
      <c r="F505">
        <v>89317319.5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0.22210636079249288</v>
      </c>
      <c r="Q505">
        <f t="shared" si="980"/>
        <v>19837944.789885361</v>
      </c>
      <c r="R505">
        <f t="shared" si="981"/>
        <v>-67797762.889639378</v>
      </c>
      <c r="S505">
        <f t="shared" si="982"/>
        <v>-677.97762889639375</v>
      </c>
      <c r="T505">
        <f t="shared" si="983"/>
        <v>-0.67797762889639379</v>
      </c>
    </row>
    <row r="506" spans="1:20" x14ac:dyDescent="0.25">
      <c r="A506" s="5">
        <v>44087</v>
      </c>
      <c r="B506">
        <v>5.8939999999999999E-2</v>
      </c>
      <c r="C506">
        <v>6.0789999999999997E-2</v>
      </c>
      <c r="D506">
        <v>4.9529999999999998E-2</v>
      </c>
      <c r="E506">
        <v>5.0599999999999999E-2</v>
      </c>
      <c r="F506">
        <v>77387040.900000006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-0.80994671403197127</v>
      </c>
      <c r="Q506">
        <f t="shared" si="980"/>
        <v>-62679379.485612772</v>
      </c>
      <c r="R506">
        <f t="shared" si="981"/>
        <v>-87635707.679524735</v>
      </c>
      <c r="S506">
        <f t="shared" si="982"/>
        <v>-876.35707679524739</v>
      </c>
      <c r="T506">
        <f t="shared" si="983"/>
        <v>-0.87635707679524744</v>
      </c>
    </row>
    <row r="507" spans="1:20" x14ac:dyDescent="0.25">
      <c r="A507" s="5">
        <v>44086</v>
      </c>
      <c r="B507">
        <v>5.8380000000000001E-2</v>
      </c>
      <c r="C507">
        <v>6.0999999999999999E-2</v>
      </c>
      <c r="D507">
        <v>5.5649999999999998E-2</v>
      </c>
      <c r="E507">
        <v>5.8939999999999999E-2</v>
      </c>
      <c r="F507">
        <v>44515387.700000003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0.22990654205607511</v>
      </c>
      <c r="Q507">
        <f t="shared" si="980"/>
        <v>10234378.85439254</v>
      </c>
      <c r="R507">
        <f t="shared" si="981"/>
        <v>-24956328.193911958</v>
      </c>
      <c r="S507">
        <f t="shared" si="982"/>
        <v>-249.56328193911958</v>
      </c>
      <c r="T507">
        <f t="shared" si="983"/>
        <v>-0.24956328193911959</v>
      </c>
    </row>
    <row r="508" spans="1:20" x14ac:dyDescent="0.25">
      <c r="A508" s="5">
        <v>44085</v>
      </c>
      <c r="B508">
        <v>5.9769999999999997E-2</v>
      </c>
      <c r="C508">
        <v>6.0490000000000002E-2</v>
      </c>
      <c r="D508">
        <v>5.416E-2</v>
      </c>
      <c r="E508">
        <v>5.824E-2</v>
      </c>
      <c r="F508">
        <v>46033428.100000001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0.28909952606635031</v>
      </c>
      <c r="Q508">
        <f t="shared" si="980"/>
        <v>13308242.246919414</v>
      </c>
      <c r="R508">
        <f t="shared" si="981"/>
        <v>-35190707.048304498</v>
      </c>
      <c r="S508">
        <f t="shared" si="982"/>
        <v>-351.907070483045</v>
      </c>
      <c r="T508">
        <f t="shared" si="983"/>
        <v>-0.35190707048304498</v>
      </c>
    </row>
    <row r="509" spans="1:20" x14ac:dyDescent="0.25">
      <c r="A509" s="5">
        <v>44084</v>
      </c>
      <c r="B509">
        <v>5.8630000000000002E-2</v>
      </c>
      <c r="C509">
        <v>6.1159999999999999E-2</v>
      </c>
      <c r="D509">
        <v>5.7599999999999998E-2</v>
      </c>
      <c r="E509">
        <v>5.9799999999999999E-2</v>
      </c>
      <c r="F509">
        <v>48362418.200000003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0.23595505617977536</v>
      </c>
      <c r="Q509">
        <f t="shared" si="980"/>
        <v>11411357.103370791</v>
      </c>
      <c r="R509">
        <f t="shared" si="981"/>
        <v>-48498949.295223914</v>
      </c>
      <c r="S509">
        <f t="shared" si="982"/>
        <v>-484.98949295223912</v>
      </c>
      <c r="T509">
        <f t="shared" si="983"/>
        <v>-0.48498949295223914</v>
      </c>
    </row>
    <row r="510" spans="1:20" x14ac:dyDescent="0.25">
      <c r="A510" s="5">
        <v>44083</v>
      </c>
      <c r="B510">
        <v>5.6399999999999999E-2</v>
      </c>
      <c r="C510">
        <v>6.1530000000000001E-2</v>
      </c>
      <c r="D510">
        <v>5.28E-2</v>
      </c>
      <c r="E510">
        <v>5.8610000000000002E-2</v>
      </c>
      <c r="F510">
        <v>65562131.799999997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0.33104238258877472</v>
      </c>
      <c r="Q510">
        <f t="shared" si="980"/>
        <v>21703844.318671271</v>
      </c>
      <c r="R510">
        <f t="shared" si="981"/>
        <v>-59910306.398594707</v>
      </c>
      <c r="S510">
        <f t="shared" si="982"/>
        <v>-599.10306398594707</v>
      </c>
      <c r="T510">
        <f t="shared" si="983"/>
        <v>-0.59910306398594704</v>
      </c>
    </row>
    <row r="511" spans="1:20" x14ac:dyDescent="0.25">
      <c r="A511" s="5">
        <v>44082</v>
      </c>
      <c r="B511">
        <v>5.4670000000000003E-2</v>
      </c>
      <c r="C511">
        <v>6.1679999999999999E-2</v>
      </c>
      <c r="D511">
        <v>5.1560000000000002E-2</v>
      </c>
      <c r="E511">
        <v>5.6399999999999999E-2</v>
      </c>
      <c r="F511">
        <v>108409185.40000001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-4.3478260869565515E-2</v>
      </c>
      <c r="Q511">
        <f t="shared" si="980"/>
        <v>-4713442.8434782932</v>
      </c>
      <c r="R511">
        <f t="shared" si="981"/>
        <v>-81614150.717265978</v>
      </c>
      <c r="S511">
        <f t="shared" si="982"/>
        <v>-816.14150717265977</v>
      </c>
      <c r="T511">
        <f t="shared" si="983"/>
        <v>-0.81614150717265976</v>
      </c>
    </row>
    <row r="512" spans="1:20" x14ac:dyDescent="0.25">
      <c r="A512" s="5">
        <v>44081</v>
      </c>
      <c r="B512">
        <v>5.3990000000000003E-2</v>
      </c>
      <c r="C512">
        <v>5.9069999999999998E-2</v>
      </c>
      <c r="D512">
        <v>4.3099999999999999E-2</v>
      </c>
      <c r="E512">
        <v>5.4719999999999998E-2</v>
      </c>
      <c r="F512">
        <v>112932576.8</v>
      </c>
      <c r="G512">
        <v>0</v>
      </c>
      <c r="L512" t="s">
        <v>7</v>
      </c>
      <c r="M512" t="s">
        <v>8</v>
      </c>
      <c r="N512" t="s">
        <v>7</v>
      </c>
      <c r="P512">
        <f t="shared" si="979"/>
        <v>0.4552285535378835</v>
      </c>
      <c r="Q512">
        <f t="shared" si="980"/>
        <v>51410133.583969936</v>
      </c>
      <c r="R512">
        <f t="shared" si="981"/>
        <v>-76900707.873787686</v>
      </c>
      <c r="S512">
        <f t="shared" si="982"/>
        <v>-769.0070787378769</v>
      </c>
      <c r="T512">
        <f t="shared" si="983"/>
        <v>-0.76900707873787688</v>
      </c>
    </row>
    <row r="513" spans="1:20" x14ac:dyDescent="0.25">
      <c r="A513" s="5">
        <v>44080</v>
      </c>
      <c r="B513">
        <v>4.9939999999999998E-2</v>
      </c>
      <c r="C513">
        <v>5.645E-2</v>
      </c>
      <c r="D513">
        <v>4.4040000000000003E-2</v>
      </c>
      <c r="E513">
        <v>5.3999999999999999E-2</v>
      </c>
      <c r="F513">
        <v>80929424.700000003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0.60515713134568871</v>
      </c>
      <c r="Q513">
        <f t="shared" si="980"/>
        <v>48975018.492908925</v>
      </c>
      <c r="R513">
        <f t="shared" si="981"/>
        <v>-128310841.45775762</v>
      </c>
      <c r="S513">
        <f t="shared" si="982"/>
        <v>-1283.1084145775762</v>
      </c>
      <c r="T513">
        <f t="shared" si="983"/>
        <v>-1.2831084145775762</v>
      </c>
    </row>
    <row r="514" spans="1:20" x14ac:dyDescent="0.25">
      <c r="A514" s="5">
        <v>44079</v>
      </c>
      <c r="B514">
        <v>6.6689999999999999E-2</v>
      </c>
      <c r="C514">
        <v>6.9220000000000004E-2</v>
      </c>
      <c r="D514">
        <v>4.4679999999999997E-2</v>
      </c>
      <c r="E514">
        <v>4.9919999999999999E-2</v>
      </c>
      <c r="F514">
        <v>83099952.700000003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-0.57294213528932358</v>
      </c>
      <c r="Q514">
        <f t="shared" si="980"/>
        <v>-47611464.342379794</v>
      </c>
      <c r="R514">
        <f t="shared" si="981"/>
        <v>-177285859.95066655</v>
      </c>
      <c r="S514">
        <f t="shared" si="982"/>
        <v>-1772.8585995066655</v>
      </c>
      <c r="T514">
        <f t="shared" si="983"/>
        <v>-1.7728585995066655</v>
      </c>
    </row>
    <row r="515" spans="1:20" x14ac:dyDescent="0.25">
      <c r="A515" s="5">
        <v>44078</v>
      </c>
      <c r="B515">
        <v>6.6030000000000005E-2</v>
      </c>
      <c r="C515">
        <v>6.9139999999999993E-2</v>
      </c>
      <c r="D515">
        <v>5.5620000000000003E-2</v>
      </c>
      <c r="E515">
        <v>6.6680000000000003E-2</v>
      </c>
      <c r="F515">
        <v>86575319.599999994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0.63609467455621427</v>
      </c>
      <c r="Q515">
        <f t="shared" si="980"/>
        <v>55070099.745562233</v>
      </c>
      <c r="R515">
        <f t="shared" si="981"/>
        <v>-129674395.60828677</v>
      </c>
      <c r="S515">
        <f t="shared" si="982"/>
        <v>-1296.7439560828677</v>
      </c>
      <c r="T515">
        <f t="shared" si="983"/>
        <v>-1.2967439560828677</v>
      </c>
    </row>
    <row r="516" spans="1:20" x14ac:dyDescent="0.25">
      <c r="A516" s="5">
        <v>44077</v>
      </c>
      <c r="B516">
        <v>8.2140000000000005E-2</v>
      </c>
      <c r="C516">
        <v>8.3180000000000004E-2</v>
      </c>
      <c r="D516">
        <v>6.386E-2</v>
      </c>
      <c r="E516">
        <v>6.6129999999999994E-2</v>
      </c>
      <c r="F516">
        <v>66002607.100000001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-0.76501035196687439</v>
      </c>
      <c r="Q516">
        <f t="shared" si="980"/>
        <v>-50492677.688302323</v>
      </c>
      <c r="R516">
        <f t="shared" si="981"/>
        <v>-184744495.35384899</v>
      </c>
      <c r="S516">
        <f t="shared" si="982"/>
        <v>-1847.4449535384899</v>
      </c>
      <c r="T516">
        <f t="shared" si="983"/>
        <v>-1.84744495353849</v>
      </c>
    </row>
    <row r="517" spans="1:20" x14ac:dyDescent="0.25">
      <c r="A517" s="5">
        <v>44076</v>
      </c>
      <c r="B517">
        <v>8.3089999999999997E-2</v>
      </c>
      <c r="C517">
        <v>8.8080000000000006E-2</v>
      </c>
      <c r="D517">
        <v>7.7439999999999995E-2</v>
      </c>
      <c r="E517">
        <v>8.2150000000000001E-2</v>
      </c>
      <c r="F517">
        <v>56945988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-0.11466165413533813</v>
      </c>
      <c r="Q517">
        <f t="shared" si="980"/>
        <v>-6529521.1804511156</v>
      </c>
      <c r="R517">
        <f t="shared" si="981"/>
        <v>-134251817.66554669</v>
      </c>
      <c r="S517">
        <f t="shared" si="982"/>
        <v>-1342.518176655467</v>
      </c>
      <c r="T517">
        <f t="shared" si="983"/>
        <v>-1.342518176655467</v>
      </c>
    </row>
    <row r="518" spans="1:20" x14ac:dyDescent="0.25">
      <c r="A518" s="5">
        <v>44075</v>
      </c>
      <c r="B518">
        <v>8.6300000000000002E-2</v>
      </c>
      <c r="C518">
        <v>9.0999999999999998E-2</v>
      </c>
      <c r="D518">
        <v>8.2070000000000004E-2</v>
      </c>
      <c r="E518">
        <v>8.3320000000000005E-2</v>
      </c>
      <c r="F518">
        <v>59774947.200000003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-0.72004479283314626</v>
      </c>
      <c r="Q518">
        <f t="shared" ref="Q518:Q581" si="985">F518*P518</f>
        <v>-43040639.473236255</v>
      </c>
      <c r="R518">
        <f t="shared" ref="R518:R581" si="986">R519+Q518</f>
        <v>-127722296.48509556</v>
      </c>
      <c r="S518">
        <f t="shared" ref="S518:S581" si="987">R518/100000</f>
        <v>-1277.2229648509556</v>
      </c>
      <c r="T518">
        <f t="shared" ref="T518:T581" si="988">S518/1000</f>
        <v>-1.2772229648509557</v>
      </c>
    </row>
    <row r="519" spans="1:20" x14ac:dyDescent="0.25">
      <c r="A519" s="5">
        <v>44074</v>
      </c>
      <c r="B519">
        <v>8.9990000000000001E-2</v>
      </c>
      <c r="C519">
        <v>9.8360000000000003E-2</v>
      </c>
      <c r="D519">
        <v>8.4580000000000002E-2</v>
      </c>
      <c r="E519">
        <v>8.6269999999999999E-2</v>
      </c>
      <c r="F519">
        <v>88677868.099999994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-0.75471698113207586</v>
      </c>
      <c r="Q519">
        <f t="shared" si="985"/>
        <v>-66926692.905660406</v>
      </c>
      <c r="R519">
        <f t="shared" si="986"/>
        <v>-84681657.011859298</v>
      </c>
      <c r="S519">
        <f t="shared" si="987"/>
        <v>-846.81657011859295</v>
      </c>
      <c r="T519">
        <f t="shared" si="988"/>
        <v>-0.8468165701185929</v>
      </c>
    </row>
    <row r="520" spans="1:20" x14ac:dyDescent="0.25">
      <c r="A520" s="5">
        <v>44073</v>
      </c>
      <c r="B520">
        <v>8.2979999999999998E-2</v>
      </c>
      <c r="C520">
        <v>9.2050000000000007E-2</v>
      </c>
      <c r="D520">
        <v>8.2820000000000005E-2</v>
      </c>
      <c r="E520">
        <v>8.9969999999999994E-2</v>
      </c>
      <c r="F520">
        <v>70924011.400000006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0.5492957746478847</v>
      </c>
      <c r="Q520">
        <f t="shared" si="985"/>
        <v>38958259.783098407</v>
      </c>
      <c r="R520">
        <f t="shared" si="986"/>
        <v>-17754964.106198885</v>
      </c>
      <c r="S520">
        <f t="shared" si="987"/>
        <v>-177.54964106198884</v>
      </c>
      <c r="T520">
        <f t="shared" si="988"/>
        <v>-0.17754964106198884</v>
      </c>
    </row>
    <row r="521" spans="1:20" x14ac:dyDescent="0.25">
      <c r="A521" s="5">
        <v>44072</v>
      </c>
      <c r="B521">
        <v>7.6999999999999999E-2</v>
      </c>
      <c r="C521">
        <v>8.5400000000000004E-2</v>
      </c>
      <c r="D521">
        <v>7.6829999999999996E-2</v>
      </c>
      <c r="E521">
        <v>8.2960000000000006E-2</v>
      </c>
      <c r="F521">
        <v>65847553.200000003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0.43057176196032781</v>
      </c>
      <c r="Q521">
        <f t="shared" si="985"/>
        <v>28352097.002100423</v>
      </c>
      <c r="R521">
        <f t="shared" si="986"/>
        <v>-56713223.889297292</v>
      </c>
      <c r="S521">
        <f t="shared" si="987"/>
        <v>-567.13223889297296</v>
      </c>
      <c r="T521">
        <f t="shared" si="988"/>
        <v>-0.56713223889297293</v>
      </c>
    </row>
    <row r="522" spans="1:20" x14ac:dyDescent="0.25">
      <c r="A522" s="5">
        <v>44071</v>
      </c>
      <c r="B522">
        <v>7.0999999999999994E-2</v>
      </c>
      <c r="C522">
        <v>7.7539999999999998E-2</v>
      </c>
      <c r="D522">
        <v>7.0169999999999996E-2</v>
      </c>
      <c r="E522">
        <v>7.6939999999999995E-2</v>
      </c>
      <c r="F522">
        <v>48791712.899999999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0.83717774762550801</v>
      </c>
      <c r="Q522">
        <f t="shared" si="985"/>
        <v>40847336.30841244</v>
      </c>
      <c r="R522">
        <f t="shared" si="986"/>
        <v>-85065320.891397715</v>
      </c>
      <c r="S522">
        <f t="shared" si="987"/>
        <v>-850.6532089139771</v>
      </c>
      <c r="T522">
        <f t="shared" si="988"/>
        <v>-0.85065320891397711</v>
      </c>
    </row>
    <row r="523" spans="1:20" x14ac:dyDescent="0.25">
      <c r="A523" s="5">
        <v>44070</v>
      </c>
      <c r="B523">
        <v>7.7880000000000005E-2</v>
      </c>
      <c r="C523">
        <v>7.8909999999999994E-2</v>
      </c>
      <c r="D523">
        <v>6.7710000000000006E-2</v>
      </c>
      <c r="E523">
        <v>7.1150000000000005E-2</v>
      </c>
      <c r="F523">
        <v>73475657.200000003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-0.38571428571428529</v>
      </c>
      <c r="Q523">
        <f t="shared" si="985"/>
        <v>-28340610.634285685</v>
      </c>
      <c r="R523">
        <f t="shared" si="986"/>
        <v>-125912657.19981015</v>
      </c>
      <c r="S523">
        <f t="shared" si="987"/>
        <v>-1259.1265719981016</v>
      </c>
      <c r="T523">
        <f t="shared" si="988"/>
        <v>-1.2591265719981015</v>
      </c>
    </row>
    <row r="524" spans="1:20" x14ac:dyDescent="0.25">
      <c r="A524" s="5">
        <v>44069</v>
      </c>
      <c r="B524">
        <v>7.2300000000000003E-2</v>
      </c>
      <c r="C524">
        <v>7.8810000000000005E-2</v>
      </c>
      <c r="D524">
        <v>7.0050000000000001E-2</v>
      </c>
      <c r="E524">
        <v>7.7890000000000001E-2</v>
      </c>
      <c r="F524">
        <v>73302762.200000003</v>
      </c>
      <c r="G524">
        <v>0</v>
      </c>
      <c r="L524" t="s">
        <v>7</v>
      </c>
      <c r="M524" t="s">
        <v>8</v>
      </c>
      <c r="N524" t="s">
        <v>7</v>
      </c>
      <c r="P524">
        <f t="shared" si="984"/>
        <v>0.7899543378995425</v>
      </c>
      <c r="Q524">
        <f t="shared" si="985"/>
        <v>57905834.979908615</v>
      </c>
      <c r="R524">
        <f t="shared" si="986"/>
        <v>-97572046.565524459</v>
      </c>
      <c r="S524">
        <f t="shared" si="987"/>
        <v>-975.72046565524454</v>
      </c>
      <c r="T524">
        <f t="shared" si="988"/>
        <v>-0.97572046565524451</v>
      </c>
    </row>
    <row r="525" spans="1:20" x14ac:dyDescent="0.25">
      <c r="A525" s="5">
        <v>44068</v>
      </c>
      <c r="B525">
        <v>7.4709999999999999E-2</v>
      </c>
      <c r="C525">
        <v>8.1549999999999997E-2</v>
      </c>
      <c r="D525">
        <v>6.726E-2</v>
      </c>
      <c r="E525">
        <v>7.2309999999999999E-2</v>
      </c>
      <c r="F525">
        <v>111572544.7</v>
      </c>
      <c r="G525">
        <v>0</v>
      </c>
      <c r="L525" t="s">
        <v>8</v>
      </c>
      <c r="M525" t="s">
        <v>8</v>
      </c>
      <c r="N525" t="s">
        <v>7</v>
      </c>
      <c r="P525">
        <f t="shared" si="984"/>
        <v>-0.29321203638908327</v>
      </c>
      <c r="Q525">
        <f t="shared" si="985"/>
        <v>-32714413.036599021</v>
      </c>
      <c r="R525">
        <f t="shared" si="986"/>
        <v>-155477881.54543307</v>
      </c>
      <c r="S525">
        <f t="shared" si="987"/>
        <v>-1554.7788154543307</v>
      </c>
      <c r="T525">
        <f t="shared" si="988"/>
        <v>-1.5547788154543307</v>
      </c>
    </row>
    <row r="526" spans="1:20" x14ac:dyDescent="0.25">
      <c r="A526" s="5">
        <v>44067</v>
      </c>
      <c r="B526">
        <v>6.4920000000000005E-2</v>
      </c>
      <c r="C526">
        <v>7.5649999999999995E-2</v>
      </c>
      <c r="D526">
        <v>6.4460000000000003E-2</v>
      </c>
      <c r="E526">
        <v>7.4700000000000003E-2</v>
      </c>
      <c r="F526">
        <v>76170889.900000006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0.83020554066130592</v>
      </c>
      <c r="Q526">
        <f t="shared" si="985"/>
        <v>63237494.832082309</v>
      </c>
      <c r="R526">
        <f t="shared" si="986"/>
        <v>-122763468.50883406</v>
      </c>
      <c r="S526">
        <f t="shared" si="987"/>
        <v>-1227.6346850883406</v>
      </c>
      <c r="T526">
        <f t="shared" si="988"/>
        <v>-1.2276346850883406</v>
      </c>
    </row>
    <row r="527" spans="1:20" x14ac:dyDescent="0.25">
      <c r="A527" s="5">
        <v>44066</v>
      </c>
      <c r="B527">
        <v>6.9599999999999995E-2</v>
      </c>
      <c r="C527">
        <v>6.9690000000000002E-2</v>
      </c>
      <c r="D527">
        <v>6.3909999999999995E-2</v>
      </c>
      <c r="E527">
        <v>6.4920000000000005E-2</v>
      </c>
      <c r="F527">
        <v>56029416.399999999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-0.65051903114186516</v>
      </c>
      <c r="Q527">
        <f t="shared" si="985"/>
        <v>-36448201.671972126</v>
      </c>
      <c r="R527">
        <f t="shared" si="986"/>
        <v>-186000963.34091637</v>
      </c>
      <c r="S527">
        <f t="shared" si="987"/>
        <v>-1860.0096334091636</v>
      </c>
      <c r="T527">
        <f t="shared" si="988"/>
        <v>-1.8600096334091636</v>
      </c>
    </row>
    <row r="528" spans="1:20" x14ac:dyDescent="0.25">
      <c r="A528" s="5">
        <v>44065</v>
      </c>
      <c r="B528">
        <v>6.5820000000000004E-2</v>
      </c>
      <c r="C528">
        <v>7.1319999999999995E-2</v>
      </c>
      <c r="D528">
        <v>6.0440000000000001E-2</v>
      </c>
      <c r="E528">
        <v>6.948E-2</v>
      </c>
      <c r="F528">
        <v>63281313.899999999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0.66176470588235381</v>
      </c>
      <c r="Q528">
        <f t="shared" si="985"/>
        <v>41877340.080882408</v>
      </c>
      <c r="R528">
        <f t="shared" si="986"/>
        <v>-149552761.66894424</v>
      </c>
      <c r="S528">
        <f t="shared" si="987"/>
        <v>-1495.5276166894423</v>
      </c>
      <c r="T528">
        <f t="shared" si="988"/>
        <v>-1.4955276166894422</v>
      </c>
    </row>
    <row r="529" spans="1:20" x14ac:dyDescent="0.25">
      <c r="A529" s="5">
        <v>44064</v>
      </c>
      <c r="B529">
        <v>8.2750000000000004E-2</v>
      </c>
      <c r="C529">
        <v>8.3580000000000002E-2</v>
      </c>
      <c r="D529">
        <v>6.5619999999999998E-2</v>
      </c>
      <c r="E529">
        <v>6.5780000000000005E-2</v>
      </c>
      <c r="F529">
        <v>75457478.400000006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-0.98218262806236001</v>
      </c>
      <c r="Q529">
        <f t="shared" si="985"/>
        <v>-74113024.441870764</v>
      </c>
      <c r="R529">
        <f t="shared" si="986"/>
        <v>-191430101.74982664</v>
      </c>
      <c r="S529">
        <f t="shared" si="987"/>
        <v>-1914.3010174982664</v>
      </c>
      <c r="T529">
        <f t="shared" si="988"/>
        <v>-1.9143010174982664</v>
      </c>
    </row>
    <row r="530" spans="1:20" x14ac:dyDescent="0.25">
      <c r="A530" s="5">
        <v>44063</v>
      </c>
      <c r="B530">
        <v>8.0460000000000004E-2</v>
      </c>
      <c r="C530">
        <v>8.4339999999999998E-2</v>
      </c>
      <c r="D530">
        <v>7.8E-2</v>
      </c>
      <c r="E530">
        <v>8.2979999999999998E-2</v>
      </c>
      <c r="F530">
        <v>48134423.399999999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0.57097791798107245</v>
      </c>
      <c r="Q530">
        <f t="shared" si="985"/>
        <v>27483692.856151413</v>
      </c>
      <c r="R530">
        <f t="shared" si="986"/>
        <v>-117317077.30795588</v>
      </c>
      <c r="S530">
        <f t="shared" si="987"/>
        <v>-1173.1707730795588</v>
      </c>
      <c r="T530">
        <f t="shared" si="988"/>
        <v>-1.1731707730795589</v>
      </c>
    </row>
    <row r="531" spans="1:20" x14ac:dyDescent="0.25">
      <c r="A531" s="5">
        <v>44062</v>
      </c>
      <c r="B531">
        <v>8.6499999999999994E-2</v>
      </c>
      <c r="C531">
        <v>8.6730000000000002E-2</v>
      </c>
      <c r="D531">
        <v>7.6520000000000005E-2</v>
      </c>
      <c r="E531">
        <v>8.0490000000000006E-2</v>
      </c>
      <c r="F531">
        <v>72400586.900000006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-0.22233104799216405</v>
      </c>
      <c r="Q531">
        <f t="shared" si="985"/>
        <v>-16096898.360724745</v>
      </c>
      <c r="R531">
        <f t="shared" si="986"/>
        <v>-144800770.16410729</v>
      </c>
      <c r="S531">
        <f t="shared" si="987"/>
        <v>-1448.007701641073</v>
      </c>
      <c r="T531">
        <f t="shared" si="988"/>
        <v>-1.4480077016410731</v>
      </c>
    </row>
    <row r="532" spans="1:20" x14ac:dyDescent="0.25">
      <c r="A532" s="5">
        <v>44061</v>
      </c>
      <c r="B532">
        <v>7.707E-2</v>
      </c>
      <c r="C532">
        <v>8.6809999999999998E-2</v>
      </c>
      <c r="D532">
        <v>7.5679999999999997E-2</v>
      </c>
      <c r="E532">
        <v>8.6239999999999997E-2</v>
      </c>
      <c r="F532">
        <v>74555026.299999997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0.8975741239892181</v>
      </c>
      <c r="Q532">
        <f t="shared" si="985"/>
        <v>66918662.420215614</v>
      </c>
      <c r="R532">
        <f t="shared" si="986"/>
        <v>-128703871.80338255</v>
      </c>
      <c r="S532">
        <f t="shared" si="987"/>
        <v>-1287.0387180338255</v>
      </c>
      <c r="T532">
        <f t="shared" si="988"/>
        <v>-1.2870387180338254</v>
      </c>
    </row>
    <row r="533" spans="1:20" x14ac:dyDescent="0.25">
      <c r="A533" s="5">
        <v>44060</v>
      </c>
      <c r="B533">
        <v>8.0070000000000002E-2</v>
      </c>
      <c r="C533">
        <v>8.0100000000000005E-2</v>
      </c>
      <c r="D533">
        <v>7.4039999999999995E-2</v>
      </c>
      <c r="E533">
        <v>7.707E-2</v>
      </c>
      <c r="F533">
        <v>57388597.700000003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0</v>
      </c>
      <c r="Q533">
        <f t="shared" si="985"/>
        <v>0</v>
      </c>
      <c r="R533">
        <f t="shared" si="986"/>
        <v>-195622534.22359815</v>
      </c>
      <c r="S533">
        <f t="shared" si="987"/>
        <v>-1956.2253422359815</v>
      </c>
      <c r="T533">
        <f t="shared" si="988"/>
        <v>-1.9562253422359814</v>
      </c>
    </row>
    <row r="534" spans="1:20" x14ac:dyDescent="0.25">
      <c r="A534" s="5">
        <v>44059</v>
      </c>
      <c r="B534">
        <v>7.2370000000000004E-2</v>
      </c>
      <c r="C534">
        <v>8.0060000000000006E-2</v>
      </c>
      <c r="D534">
        <v>7.1110000000000007E-2</v>
      </c>
      <c r="E534">
        <v>8.0060000000000006E-2</v>
      </c>
      <c r="F534">
        <v>58880054.899999999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1</v>
      </c>
      <c r="Q534">
        <f t="shared" si="985"/>
        <v>58880054.899999999</v>
      </c>
      <c r="R534">
        <f t="shared" si="986"/>
        <v>-195622534.22359815</v>
      </c>
      <c r="S534">
        <f t="shared" si="987"/>
        <v>-1956.2253422359815</v>
      </c>
      <c r="T534">
        <f t="shared" si="988"/>
        <v>-1.9562253422359814</v>
      </c>
    </row>
    <row r="535" spans="1:20" x14ac:dyDescent="0.25">
      <c r="A535" s="5">
        <v>44058</v>
      </c>
      <c r="B535">
        <v>7.3789999999999994E-2</v>
      </c>
      <c r="C535">
        <v>7.5999999999999998E-2</v>
      </c>
      <c r="D535">
        <v>7.1120000000000003E-2</v>
      </c>
      <c r="E535">
        <v>7.2340000000000002E-2</v>
      </c>
      <c r="F535">
        <v>45513840.299999997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-0.5</v>
      </c>
      <c r="Q535">
        <f t="shared" si="985"/>
        <v>-22756920.149999999</v>
      </c>
      <c r="R535">
        <f t="shared" si="986"/>
        <v>-254502589.12359816</v>
      </c>
      <c r="S535">
        <f t="shared" si="987"/>
        <v>-2545.0258912359814</v>
      </c>
      <c r="T535">
        <f t="shared" si="988"/>
        <v>-2.5450258912359813</v>
      </c>
    </row>
    <row r="536" spans="1:20" x14ac:dyDescent="0.25">
      <c r="A536" s="5">
        <v>44057</v>
      </c>
      <c r="B536">
        <v>7.1809999999999999E-2</v>
      </c>
      <c r="C536">
        <v>7.9399999999999998E-2</v>
      </c>
      <c r="D536">
        <v>7.0510000000000003E-2</v>
      </c>
      <c r="E536">
        <v>7.3950000000000002E-2</v>
      </c>
      <c r="F536">
        <v>60439326.5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-0.22609673790776141</v>
      </c>
      <c r="Q536">
        <f t="shared" si="985"/>
        <v>-13665134.562992118</v>
      </c>
      <c r="R536">
        <f t="shared" si="986"/>
        <v>-231745668.97359815</v>
      </c>
      <c r="S536">
        <f t="shared" si="987"/>
        <v>-2317.4566897359814</v>
      </c>
      <c r="T536">
        <f t="shared" si="988"/>
        <v>-2.3174566897359812</v>
      </c>
    </row>
    <row r="537" spans="1:20" x14ac:dyDescent="0.25">
      <c r="A537" s="5">
        <v>44056</v>
      </c>
      <c r="B537">
        <v>7.3319999999999996E-2</v>
      </c>
      <c r="C537">
        <v>8.1000000000000003E-2</v>
      </c>
      <c r="D537">
        <v>6.8500000000000005E-2</v>
      </c>
      <c r="E537">
        <v>7.1859999999999993E-2</v>
      </c>
      <c r="F537">
        <v>94232069.599999994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-0.46240000000000181</v>
      </c>
      <c r="Q537">
        <f t="shared" si="985"/>
        <v>-43572908.983040169</v>
      </c>
      <c r="R537">
        <f t="shared" si="986"/>
        <v>-218080534.41060603</v>
      </c>
      <c r="S537">
        <f t="shared" si="987"/>
        <v>-2180.8053441060601</v>
      </c>
      <c r="T537">
        <f t="shared" si="988"/>
        <v>-2.18080534410606</v>
      </c>
    </row>
    <row r="538" spans="1:20" x14ac:dyDescent="0.25">
      <c r="A538" s="5">
        <v>44055</v>
      </c>
      <c r="B538">
        <v>6.726E-2</v>
      </c>
      <c r="C538">
        <v>7.7719999999999997E-2</v>
      </c>
      <c r="D538">
        <v>6.6170000000000007E-2</v>
      </c>
      <c r="E538">
        <v>7.3429999999999995E-2</v>
      </c>
      <c r="F538">
        <v>66262975.200000003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0.25714285714285617</v>
      </c>
      <c r="Q538">
        <f t="shared" si="985"/>
        <v>17039050.765714221</v>
      </c>
      <c r="R538">
        <f t="shared" si="986"/>
        <v>-174507625.42756587</v>
      </c>
      <c r="S538">
        <f t="shared" si="987"/>
        <v>-1745.0762542756588</v>
      </c>
      <c r="T538">
        <f t="shared" si="988"/>
        <v>-1.7450762542756588</v>
      </c>
    </row>
    <row r="539" spans="1:20" x14ac:dyDescent="0.25">
      <c r="A539" s="5">
        <v>44054</v>
      </c>
      <c r="B539">
        <v>7.3709999999999998E-2</v>
      </c>
      <c r="C539">
        <v>7.5179999999999997E-2</v>
      </c>
      <c r="D539">
        <v>6.2010000000000003E-2</v>
      </c>
      <c r="E539">
        <v>6.7290000000000003E-2</v>
      </c>
      <c r="F539">
        <v>73774195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-0.19817767653758508</v>
      </c>
      <c r="Q539">
        <f t="shared" si="985"/>
        <v>-14620398.553530727</v>
      </c>
      <c r="R539">
        <f t="shared" si="986"/>
        <v>-191546676.1932801</v>
      </c>
      <c r="S539">
        <f t="shared" si="987"/>
        <v>-1915.4667619328011</v>
      </c>
      <c r="T539">
        <f t="shared" si="988"/>
        <v>-1.9154667619328012</v>
      </c>
    </row>
    <row r="540" spans="1:20" x14ac:dyDescent="0.25">
      <c r="A540" s="5">
        <v>44053</v>
      </c>
      <c r="B540">
        <v>5.8000000000000003E-2</v>
      </c>
      <c r="C540">
        <v>7.6170000000000002E-2</v>
      </c>
      <c r="D540">
        <v>5.5120000000000002E-2</v>
      </c>
      <c r="E540">
        <v>7.374E-2</v>
      </c>
      <c r="F540">
        <v>79844094.400000006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0.76912114014251765</v>
      </c>
      <c r="Q540">
        <f t="shared" si="985"/>
        <v>61409780.91857481</v>
      </c>
      <c r="R540">
        <f t="shared" si="986"/>
        <v>-176926277.63974938</v>
      </c>
      <c r="S540">
        <f t="shared" si="987"/>
        <v>-1769.2627763974938</v>
      </c>
      <c r="T540">
        <f t="shared" si="988"/>
        <v>-1.7692627763974937</v>
      </c>
    </row>
    <row r="541" spans="1:20" x14ac:dyDescent="0.25">
      <c r="A541" s="5">
        <v>44052</v>
      </c>
      <c r="B541">
        <v>5.4269999999999999E-2</v>
      </c>
      <c r="C541">
        <v>0.06</v>
      </c>
      <c r="D541">
        <v>5.2389999999999999E-2</v>
      </c>
      <c r="E541">
        <v>5.8000000000000003E-2</v>
      </c>
      <c r="F541">
        <v>50029304.399999999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0.4743758212877805</v>
      </c>
      <c r="Q541">
        <f t="shared" si="985"/>
        <v>23732692.363206368</v>
      </c>
      <c r="R541">
        <f t="shared" si="986"/>
        <v>-238336058.55832419</v>
      </c>
      <c r="S541">
        <f t="shared" si="987"/>
        <v>-2383.360585583242</v>
      </c>
      <c r="T541">
        <f t="shared" si="988"/>
        <v>-2.383360585583242</v>
      </c>
    </row>
    <row r="542" spans="1:20" x14ac:dyDescent="0.25">
      <c r="A542" s="5">
        <v>44051</v>
      </c>
      <c r="B542">
        <v>5.0310000000000001E-2</v>
      </c>
      <c r="C542">
        <v>5.4559999999999997E-2</v>
      </c>
      <c r="D542">
        <v>4.9549999999999997E-2</v>
      </c>
      <c r="E542">
        <v>5.425E-2</v>
      </c>
      <c r="F542">
        <v>33589944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0.87624750499002091</v>
      </c>
      <c r="Q542">
        <f t="shared" si="985"/>
        <v>29433104.622754522</v>
      </c>
      <c r="R542">
        <f t="shared" si="986"/>
        <v>-262068750.92153054</v>
      </c>
      <c r="S542">
        <f t="shared" si="987"/>
        <v>-2620.6875092153055</v>
      </c>
      <c r="T542">
        <f t="shared" si="988"/>
        <v>-2.6206875092153052</v>
      </c>
    </row>
    <row r="543" spans="1:20" x14ac:dyDescent="0.25">
      <c r="A543" s="5">
        <v>44050</v>
      </c>
      <c r="B543">
        <v>5.1499999999999997E-2</v>
      </c>
      <c r="C543">
        <v>5.3650000000000003E-2</v>
      </c>
      <c r="D543">
        <v>4.7129999999999998E-2</v>
      </c>
      <c r="E543">
        <v>5.0220000000000001E-2</v>
      </c>
      <c r="F543">
        <v>48938195.399999999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-5.2147239263803644E-2</v>
      </c>
      <c r="Q543">
        <f t="shared" si="985"/>
        <v>-2551991.784662575</v>
      </c>
      <c r="R543">
        <f t="shared" si="986"/>
        <v>-291501855.54428506</v>
      </c>
      <c r="S543">
        <f t="shared" si="987"/>
        <v>-2915.0185554428508</v>
      </c>
      <c r="T543">
        <f t="shared" si="988"/>
        <v>-2.9150185554428507</v>
      </c>
    </row>
    <row r="544" spans="1:20" x14ac:dyDescent="0.25">
      <c r="A544" s="5">
        <v>44049</v>
      </c>
      <c r="B544">
        <v>4.7079999999999997E-2</v>
      </c>
      <c r="C544">
        <v>5.1999999999999998E-2</v>
      </c>
      <c r="D544">
        <v>4.7E-2</v>
      </c>
      <c r="E544">
        <v>5.1499999999999997E-2</v>
      </c>
      <c r="F544">
        <v>55473245.200000003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0.79999999999999971</v>
      </c>
      <c r="Q544">
        <f t="shared" si="985"/>
        <v>44378596.159999989</v>
      </c>
      <c r="R544">
        <f t="shared" si="986"/>
        <v>-288949863.75962245</v>
      </c>
      <c r="S544">
        <f t="shared" si="987"/>
        <v>-2889.4986375962244</v>
      </c>
      <c r="T544">
        <f t="shared" si="988"/>
        <v>-2.8894986375962244</v>
      </c>
    </row>
    <row r="545" spans="1:20" x14ac:dyDescent="0.25">
      <c r="A545" s="5">
        <v>44048</v>
      </c>
      <c r="B545">
        <v>4.3040000000000002E-2</v>
      </c>
      <c r="C545">
        <v>4.8000000000000001E-2</v>
      </c>
      <c r="D545">
        <v>4.2509999999999999E-2</v>
      </c>
      <c r="E545">
        <v>4.7230000000000001E-2</v>
      </c>
      <c r="F545">
        <v>40347287.899999999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0.71948998178506385</v>
      </c>
      <c r="Q545">
        <f t="shared" si="985"/>
        <v>29029469.436247725</v>
      </c>
      <c r="R545">
        <f t="shared" si="986"/>
        <v>-333328459.91962242</v>
      </c>
      <c r="S545">
        <f t="shared" si="987"/>
        <v>-3333.284599196224</v>
      </c>
      <c r="T545">
        <f t="shared" si="988"/>
        <v>-3.3332845991962241</v>
      </c>
    </row>
    <row r="546" spans="1:20" x14ac:dyDescent="0.25">
      <c r="A546" s="5">
        <v>44047</v>
      </c>
      <c r="B546">
        <v>4.3499999999999997E-2</v>
      </c>
      <c r="C546">
        <v>4.6089999999999999E-2</v>
      </c>
      <c r="D546">
        <v>4.2479999999999997E-2</v>
      </c>
      <c r="E546">
        <v>4.3159999999999997E-2</v>
      </c>
      <c r="F546">
        <v>36657312.899999999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-0.62326869806094198</v>
      </c>
      <c r="Q546">
        <f t="shared" si="985"/>
        <v>-22847355.685595572</v>
      </c>
      <c r="R546">
        <f t="shared" si="986"/>
        <v>-362357929.35587013</v>
      </c>
      <c r="S546">
        <f t="shared" si="987"/>
        <v>-3623.5792935587015</v>
      </c>
      <c r="T546">
        <f t="shared" si="988"/>
        <v>-3.6235792935587017</v>
      </c>
    </row>
    <row r="547" spans="1:20" x14ac:dyDescent="0.25">
      <c r="A547" s="5">
        <v>44046</v>
      </c>
      <c r="B547">
        <v>4.0939999999999997E-2</v>
      </c>
      <c r="C547">
        <v>4.48E-2</v>
      </c>
      <c r="D547">
        <v>4.0939999999999997E-2</v>
      </c>
      <c r="E547">
        <v>4.36E-2</v>
      </c>
      <c r="F547">
        <v>30753256.100000001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0.37823834196891248</v>
      </c>
      <c r="Q547">
        <f t="shared" si="985"/>
        <v>11632060.597409345</v>
      </c>
      <c r="R547">
        <f t="shared" si="986"/>
        <v>-339510573.67027456</v>
      </c>
      <c r="S547">
        <f t="shared" si="987"/>
        <v>-3395.1057367027456</v>
      </c>
      <c r="T547">
        <f t="shared" si="988"/>
        <v>-3.3951057367027455</v>
      </c>
    </row>
    <row r="548" spans="1:20" x14ac:dyDescent="0.25">
      <c r="A548" s="5">
        <v>44045</v>
      </c>
      <c r="B548">
        <v>4.0489999999999998E-2</v>
      </c>
      <c r="C548">
        <v>4.249E-2</v>
      </c>
      <c r="D548">
        <v>3.6220000000000002E-2</v>
      </c>
      <c r="E548">
        <v>4.1070000000000002E-2</v>
      </c>
      <c r="F548">
        <v>40715882.399999999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0.54704944178628445</v>
      </c>
      <c r="Q548">
        <f t="shared" si="985"/>
        <v>22273600.738756001</v>
      </c>
      <c r="R548">
        <f t="shared" si="986"/>
        <v>-351142634.26768392</v>
      </c>
      <c r="S548">
        <f t="shared" si="987"/>
        <v>-3511.4263426768393</v>
      </c>
      <c r="T548">
        <f t="shared" si="988"/>
        <v>-3.5114263426768395</v>
      </c>
    </row>
    <row r="549" spans="1:20" x14ac:dyDescent="0.25">
      <c r="A549" s="5">
        <v>44044</v>
      </c>
      <c r="B549">
        <v>4.2180000000000002E-2</v>
      </c>
      <c r="C549">
        <v>4.3610000000000003E-2</v>
      </c>
      <c r="D549">
        <v>4.0309999999999999E-2</v>
      </c>
      <c r="E549">
        <v>4.0469999999999999E-2</v>
      </c>
      <c r="F549">
        <v>52146297.799999997</v>
      </c>
      <c r="G549">
        <v>0</v>
      </c>
      <c r="L549" t="s">
        <v>7</v>
      </c>
      <c r="M549" t="s">
        <v>8</v>
      </c>
      <c r="N549" t="s">
        <v>7</v>
      </c>
      <c r="P549">
        <f t="shared" si="984"/>
        <v>-0.90303030303030285</v>
      </c>
      <c r="Q549">
        <f t="shared" si="985"/>
        <v>-47089687.104242414</v>
      </c>
      <c r="R549">
        <f t="shared" si="986"/>
        <v>-373416235.00643992</v>
      </c>
      <c r="S549">
        <f t="shared" si="987"/>
        <v>-3734.1623500643991</v>
      </c>
      <c r="T549">
        <f t="shared" si="988"/>
        <v>-3.7341623500643992</v>
      </c>
    </row>
    <row r="550" spans="1:20" x14ac:dyDescent="0.25">
      <c r="A550" s="5">
        <v>44043</v>
      </c>
      <c r="B550">
        <v>4.3459999999999999E-2</v>
      </c>
      <c r="C550">
        <v>4.6170000000000003E-2</v>
      </c>
      <c r="D550">
        <v>4.1500000000000002E-2</v>
      </c>
      <c r="E550">
        <v>4.1980000000000003E-2</v>
      </c>
      <c r="F550">
        <v>28656937.699999999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-0.79443254817987097</v>
      </c>
      <c r="Q550">
        <f t="shared" si="985"/>
        <v>-22766004.04004281</v>
      </c>
      <c r="R550">
        <f t="shared" si="986"/>
        <v>-326326547.90219754</v>
      </c>
      <c r="S550">
        <f t="shared" si="987"/>
        <v>-3263.2654790219754</v>
      </c>
      <c r="T550">
        <f t="shared" si="988"/>
        <v>-3.2632654790219755</v>
      </c>
    </row>
    <row r="551" spans="1:20" x14ac:dyDescent="0.25">
      <c r="A551" s="5">
        <v>44042</v>
      </c>
      <c r="B551">
        <v>4.0899999999999999E-2</v>
      </c>
      <c r="C551">
        <v>4.7E-2</v>
      </c>
      <c r="D551">
        <v>4.0829999999999998E-2</v>
      </c>
      <c r="E551">
        <v>4.3459999999999999E-2</v>
      </c>
      <c r="F551">
        <v>36127861.100000001</v>
      </c>
      <c r="G551">
        <v>0</v>
      </c>
      <c r="L551" t="s">
        <v>8</v>
      </c>
      <c r="M551" t="s">
        <v>8</v>
      </c>
      <c r="N551" t="s">
        <v>7</v>
      </c>
      <c r="P551">
        <f t="shared" si="984"/>
        <v>-0.14748784440842802</v>
      </c>
      <c r="Q551">
        <f t="shared" si="985"/>
        <v>-5328420.3567260997</v>
      </c>
      <c r="R551">
        <f t="shared" si="986"/>
        <v>-303560543.86215472</v>
      </c>
      <c r="S551">
        <f t="shared" si="987"/>
        <v>-3035.6054386215474</v>
      </c>
      <c r="T551">
        <f t="shared" si="988"/>
        <v>-3.0356054386215474</v>
      </c>
    </row>
    <row r="552" spans="1:20" x14ac:dyDescent="0.25">
      <c r="A552" s="5">
        <v>44041</v>
      </c>
      <c r="B552">
        <v>4.3740000000000001E-2</v>
      </c>
      <c r="C552">
        <v>4.4900000000000002E-2</v>
      </c>
      <c r="D552">
        <v>4.0030000000000003E-2</v>
      </c>
      <c r="E552">
        <v>4.0960000000000003E-2</v>
      </c>
      <c r="F552">
        <v>29153345.399999999</v>
      </c>
      <c r="G552">
        <v>0</v>
      </c>
      <c r="L552" t="s">
        <v>7</v>
      </c>
      <c r="M552" t="s">
        <v>8</v>
      </c>
      <c r="N552" t="s">
        <v>7</v>
      </c>
      <c r="P552">
        <f t="shared" si="984"/>
        <v>-0.61806981519507176</v>
      </c>
      <c r="Q552">
        <f t="shared" si="985"/>
        <v>-18018802.803696096</v>
      </c>
      <c r="R552">
        <f t="shared" si="986"/>
        <v>-298232123.50542861</v>
      </c>
      <c r="S552">
        <f t="shared" si="987"/>
        <v>-2982.3212350542863</v>
      </c>
      <c r="T552">
        <f t="shared" si="988"/>
        <v>-2.9823212350542865</v>
      </c>
    </row>
    <row r="553" spans="1:20" x14ac:dyDescent="0.25">
      <c r="A553" s="5">
        <v>44040</v>
      </c>
      <c r="B553">
        <v>4.326E-2</v>
      </c>
      <c r="C553">
        <v>4.6899999999999997E-2</v>
      </c>
      <c r="D553">
        <v>4.1880000000000001E-2</v>
      </c>
      <c r="E553">
        <v>4.3740000000000001E-2</v>
      </c>
      <c r="F553">
        <v>40267046.100000001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-0.25896414342629409</v>
      </c>
      <c r="Q553">
        <f t="shared" si="985"/>
        <v>-10427721.101593597</v>
      </c>
      <c r="R553">
        <f t="shared" si="986"/>
        <v>-280213320.70173252</v>
      </c>
      <c r="S553">
        <f t="shared" si="987"/>
        <v>-2802.1332070173253</v>
      </c>
      <c r="T553">
        <f t="shared" si="988"/>
        <v>-2.8021332070173255</v>
      </c>
    </row>
    <row r="554" spans="1:20" x14ac:dyDescent="0.25">
      <c r="A554" s="5">
        <v>44039</v>
      </c>
      <c r="B554">
        <v>5.1520000000000003E-2</v>
      </c>
      <c r="C554">
        <v>5.1520000000000003E-2</v>
      </c>
      <c r="D554">
        <v>3.8899999999999997E-2</v>
      </c>
      <c r="E554">
        <v>4.326E-2</v>
      </c>
      <c r="F554">
        <v>91834989.799999997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-0.30903328050713141</v>
      </c>
      <c r="Q554">
        <f t="shared" si="985"/>
        <v>-28380068.163232952</v>
      </c>
      <c r="R554">
        <f t="shared" si="986"/>
        <v>-269785599.6001389</v>
      </c>
      <c r="S554">
        <f t="shared" si="987"/>
        <v>-2697.855996001389</v>
      </c>
      <c r="T554">
        <f t="shared" si="988"/>
        <v>-2.697855996001389</v>
      </c>
    </row>
    <row r="555" spans="1:20" x14ac:dyDescent="0.25">
      <c r="A555" s="5">
        <v>44038</v>
      </c>
      <c r="B555">
        <v>4.8500000000000001E-2</v>
      </c>
      <c r="C555">
        <v>5.2449999999999997E-2</v>
      </c>
      <c r="D555">
        <v>4.369E-2</v>
      </c>
      <c r="E555">
        <v>5.1549999999999999E-2</v>
      </c>
      <c r="F555">
        <v>66289416.600000001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0.79452054794520588</v>
      </c>
      <c r="Q555">
        <f t="shared" si="985"/>
        <v>52668303.600000031</v>
      </c>
      <c r="R555">
        <f t="shared" si="986"/>
        <v>-241405531.43690598</v>
      </c>
      <c r="S555">
        <f t="shared" si="987"/>
        <v>-2414.0553143690599</v>
      </c>
      <c r="T555">
        <f t="shared" si="988"/>
        <v>-2.41405531436906</v>
      </c>
    </row>
    <row r="556" spans="1:20" x14ac:dyDescent="0.25">
      <c r="A556" s="5">
        <v>44037</v>
      </c>
      <c r="B556">
        <v>4.6800000000000001E-2</v>
      </c>
      <c r="C556">
        <v>5.2679999999999998E-2</v>
      </c>
      <c r="D556">
        <v>4.2880000000000001E-2</v>
      </c>
      <c r="E556">
        <v>4.8529999999999997E-2</v>
      </c>
      <c r="F556">
        <v>77324718.200000003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0.15306122448979539</v>
      </c>
      <c r="Q556">
        <f t="shared" si="985"/>
        <v>11835416.051020369</v>
      </c>
      <c r="R556">
        <f t="shared" si="986"/>
        <v>-294073835.036906</v>
      </c>
      <c r="S556">
        <f t="shared" si="987"/>
        <v>-2940.7383503690598</v>
      </c>
      <c r="T556">
        <f t="shared" si="988"/>
        <v>-2.9407383503690601</v>
      </c>
    </row>
    <row r="557" spans="1:20" x14ac:dyDescent="0.25">
      <c r="A557" s="5">
        <v>44036</v>
      </c>
      <c r="B557">
        <v>4.165E-2</v>
      </c>
      <c r="C557">
        <v>4.7E-2</v>
      </c>
      <c r="D557">
        <v>4.165E-2</v>
      </c>
      <c r="E557">
        <v>4.6940000000000003E-2</v>
      </c>
      <c r="F557">
        <v>54767982.700000003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0.97757009345794488</v>
      </c>
      <c r="Q557">
        <f t="shared" si="985"/>
        <v>53539541.96654211</v>
      </c>
      <c r="R557">
        <f t="shared" si="986"/>
        <v>-305909251.08792639</v>
      </c>
      <c r="S557">
        <f t="shared" si="987"/>
        <v>-3059.092510879264</v>
      </c>
      <c r="T557">
        <f t="shared" si="988"/>
        <v>-3.0590925108792639</v>
      </c>
    </row>
    <row r="558" spans="1:20" x14ac:dyDescent="0.25">
      <c r="A558" s="5">
        <v>44035</v>
      </c>
      <c r="B558">
        <v>4.1050000000000003E-2</v>
      </c>
      <c r="C558">
        <v>4.4319999999999998E-2</v>
      </c>
      <c r="D558">
        <v>3.8809999999999997E-2</v>
      </c>
      <c r="E558">
        <v>4.165E-2</v>
      </c>
      <c r="F558">
        <v>58867303.700000003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3.0852994555354528E-2</v>
      </c>
      <c r="Q558">
        <f t="shared" si="985"/>
        <v>1816232.6005445016</v>
      </c>
      <c r="R558">
        <f t="shared" si="986"/>
        <v>-359448793.05446851</v>
      </c>
      <c r="S558">
        <f t="shared" si="987"/>
        <v>-3594.4879305446852</v>
      </c>
      <c r="T558">
        <f t="shared" si="988"/>
        <v>-3.5944879305446853</v>
      </c>
    </row>
    <row r="559" spans="1:20" x14ac:dyDescent="0.25">
      <c r="A559" s="5">
        <v>44034</v>
      </c>
      <c r="B559">
        <v>4.3889999999999998E-2</v>
      </c>
      <c r="C559">
        <v>4.6240000000000003E-2</v>
      </c>
      <c r="D559">
        <v>4.0680000000000001E-2</v>
      </c>
      <c r="E559">
        <v>4.1050000000000003E-2</v>
      </c>
      <c r="F559">
        <v>60736289.200000003</v>
      </c>
      <c r="G559">
        <v>0</v>
      </c>
      <c r="L559" t="s">
        <v>7</v>
      </c>
      <c r="M559" t="s">
        <v>7</v>
      </c>
      <c r="N559" t="s">
        <v>8</v>
      </c>
      <c r="P559">
        <f t="shared" si="984"/>
        <v>-0.86690647482014316</v>
      </c>
      <c r="Q559">
        <f t="shared" si="985"/>
        <v>-52652682.364028737</v>
      </c>
      <c r="R559">
        <f t="shared" si="986"/>
        <v>-361265025.65501302</v>
      </c>
      <c r="S559">
        <f t="shared" si="987"/>
        <v>-3612.6502565501301</v>
      </c>
      <c r="T559">
        <f t="shared" si="988"/>
        <v>-3.6126502565501299</v>
      </c>
    </row>
    <row r="560" spans="1:20" x14ac:dyDescent="0.25">
      <c r="A560" s="5">
        <v>44033</v>
      </c>
      <c r="B560">
        <v>3.9800000000000002E-2</v>
      </c>
      <c r="C560">
        <v>5.0509999999999999E-2</v>
      </c>
      <c r="D560">
        <v>3.7920000000000002E-2</v>
      </c>
      <c r="E560">
        <v>4.3889999999999998E-2</v>
      </c>
      <c r="F560">
        <v>154749403.59999999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-5.1628276409849475E-2</v>
      </c>
      <c r="Q560">
        <f t="shared" si="985"/>
        <v>-7989444.9833201552</v>
      </c>
      <c r="R560">
        <f t="shared" si="986"/>
        <v>-308612343.29098427</v>
      </c>
      <c r="S560">
        <f t="shared" si="987"/>
        <v>-3086.1234329098429</v>
      </c>
      <c r="T560">
        <f t="shared" si="988"/>
        <v>-3.0861234329098428</v>
      </c>
    </row>
    <row r="561" spans="1:104" x14ac:dyDescent="0.25">
      <c r="A561" s="5">
        <v>44032</v>
      </c>
      <c r="B561">
        <v>3.2829999999999998E-2</v>
      </c>
      <c r="C561">
        <v>4.2200000000000001E-2</v>
      </c>
      <c r="D561">
        <v>3.2489999999999998E-2</v>
      </c>
      <c r="E561">
        <v>3.9800000000000002E-2</v>
      </c>
      <c r="F561">
        <v>110605925.59999999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0.50566426364572636</v>
      </c>
      <c r="Q561">
        <f t="shared" si="985"/>
        <v>55929463.923377991</v>
      </c>
      <c r="R561">
        <f t="shared" si="986"/>
        <v>-300622898.3076641</v>
      </c>
      <c r="S561">
        <f t="shared" si="987"/>
        <v>-3006.2289830766408</v>
      </c>
      <c r="T561">
        <f t="shared" si="988"/>
        <v>-3.0062289830766407</v>
      </c>
      <c r="CZ561" t="s">
        <v>7</v>
      </c>
    </row>
    <row r="562" spans="1:104" x14ac:dyDescent="0.25">
      <c r="A562" s="5">
        <v>44031</v>
      </c>
      <c r="B562">
        <v>3.065E-2</v>
      </c>
      <c r="C562">
        <v>3.3000000000000002E-2</v>
      </c>
      <c r="D562">
        <v>3.0429999999999999E-2</v>
      </c>
      <c r="E562">
        <v>3.2849999999999997E-2</v>
      </c>
      <c r="F562">
        <v>19980797.100000001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0.88326848249026912</v>
      </c>
      <c r="Q562">
        <f t="shared" si="985"/>
        <v>17648408.333462972</v>
      </c>
      <c r="R562">
        <f t="shared" si="986"/>
        <v>-356552362.23104209</v>
      </c>
      <c r="S562">
        <f t="shared" si="987"/>
        <v>-3565.5236223104207</v>
      </c>
      <c r="T562">
        <f t="shared" si="988"/>
        <v>-3.5655236223104207</v>
      </c>
      <c r="CZ562" t="s">
        <v>7</v>
      </c>
    </row>
    <row r="563" spans="1:104" x14ac:dyDescent="0.25">
      <c r="A563" s="5">
        <v>44030</v>
      </c>
      <c r="B563">
        <v>3.0099999999999998E-2</v>
      </c>
      <c r="C563">
        <v>3.175E-2</v>
      </c>
      <c r="D563">
        <v>2.9499999999999998E-2</v>
      </c>
      <c r="E563">
        <v>3.0640000000000001E-2</v>
      </c>
      <c r="F563">
        <v>15857649</v>
      </c>
      <c r="G563">
        <v>0</v>
      </c>
      <c r="L563" t="s">
        <v>7</v>
      </c>
      <c r="M563" t="s">
        <v>7</v>
      </c>
      <c r="N563" t="s">
        <v>8</v>
      </c>
      <c r="P563">
        <f t="shared" si="984"/>
        <v>1.333333333333432E-2</v>
      </c>
      <c r="Q563">
        <f t="shared" si="985"/>
        <v>211435.32000001564</v>
      </c>
      <c r="R563">
        <f t="shared" si="986"/>
        <v>-374200770.56450504</v>
      </c>
      <c r="S563">
        <f t="shared" si="987"/>
        <v>-3742.0077056450505</v>
      </c>
      <c r="T563">
        <f t="shared" si="988"/>
        <v>-3.7420077056450505</v>
      </c>
      <c r="CZ563" t="s">
        <v>7</v>
      </c>
    </row>
    <row r="564" spans="1:104" x14ac:dyDescent="0.25">
      <c r="A564" s="5">
        <v>44029</v>
      </c>
      <c r="B564">
        <v>3.0839999999999999E-2</v>
      </c>
      <c r="C564">
        <v>3.2329999999999998E-2</v>
      </c>
      <c r="D564">
        <v>2.9860000000000001E-2</v>
      </c>
      <c r="E564">
        <v>3.0099999999999998E-2</v>
      </c>
      <c r="F564">
        <v>17375450.399999999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-0.80566801619433404</v>
      </c>
      <c r="Q564">
        <f t="shared" si="985"/>
        <v>-13998844.654251046</v>
      </c>
      <c r="R564">
        <f t="shared" si="986"/>
        <v>-374412205.88450503</v>
      </c>
      <c r="S564">
        <f t="shared" si="987"/>
        <v>-3744.1220588450506</v>
      </c>
      <c r="T564">
        <f t="shared" si="988"/>
        <v>-3.7441220588450506</v>
      </c>
    </row>
    <row r="565" spans="1:104" x14ac:dyDescent="0.25">
      <c r="A565" s="5">
        <v>44028</v>
      </c>
      <c r="B565">
        <v>3.0120000000000001E-2</v>
      </c>
      <c r="C565">
        <v>3.2800000000000003E-2</v>
      </c>
      <c r="D565">
        <v>2.725E-2</v>
      </c>
      <c r="E565">
        <v>3.083E-2</v>
      </c>
      <c r="F565">
        <v>44055648.700000003</v>
      </c>
      <c r="G565">
        <v>0</v>
      </c>
      <c r="L565" t="s">
        <v>8</v>
      </c>
      <c r="M565" t="s">
        <v>7</v>
      </c>
      <c r="N565" t="s">
        <v>8</v>
      </c>
      <c r="P565">
        <f t="shared" si="984"/>
        <v>0.29009009009008935</v>
      </c>
      <c r="Q565">
        <f t="shared" si="985"/>
        <v>12780107.100360328</v>
      </c>
      <c r="R565">
        <f t="shared" si="986"/>
        <v>-360413361.23025399</v>
      </c>
      <c r="S565">
        <f t="shared" si="987"/>
        <v>-3604.1336123025399</v>
      </c>
      <c r="T565">
        <f t="shared" si="988"/>
        <v>-3.6041336123025398</v>
      </c>
    </row>
    <row r="566" spans="1:104" x14ac:dyDescent="0.25">
      <c r="A566" s="5">
        <v>44027</v>
      </c>
      <c r="B566">
        <v>3.1629999999999998E-2</v>
      </c>
      <c r="C566">
        <v>3.2500000000000001E-2</v>
      </c>
      <c r="D566">
        <v>2.9600000000000001E-2</v>
      </c>
      <c r="E566">
        <v>3.0120000000000001E-2</v>
      </c>
      <c r="F566">
        <v>18964445.899999999</v>
      </c>
      <c r="G566">
        <v>0</v>
      </c>
      <c r="L566" t="s">
        <v>8</v>
      </c>
      <c r="M566" t="s">
        <v>7</v>
      </c>
      <c r="N566" t="s">
        <v>8</v>
      </c>
      <c r="P566">
        <f t="shared" si="984"/>
        <v>-0.64137931034482787</v>
      </c>
      <c r="Q566">
        <f t="shared" si="985"/>
        <v>-12163403.232413797</v>
      </c>
      <c r="R566">
        <f t="shared" si="986"/>
        <v>-373193468.33061433</v>
      </c>
      <c r="S566">
        <f t="shared" si="987"/>
        <v>-3731.9346833061431</v>
      </c>
      <c r="T566">
        <f t="shared" si="988"/>
        <v>-3.7319346833061431</v>
      </c>
    </row>
    <row r="567" spans="1:104" x14ac:dyDescent="0.25">
      <c r="A567" s="5">
        <v>44026</v>
      </c>
      <c r="B567">
        <v>3.2129999999999999E-2</v>
      </c>
      <c r="C567">
        <v>3.338E-2</v>
      </c>
      <c r="D567">
        <v>2.9219999999999999E-2</v>
      </c>
      <c r="E567">
        <v>3.1620000000000002E-2</v>
      </c>
      <c r="F567">
        <v>37180290.200000003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0.15384615384615508</v>
      </c>
      <c r="Q567">
        <f t="shared" si="985"/>
        <v>5720044.6461538924</v>
      </c>
      <c r="R567">
        <f t="shared" si="986"/>
        <v>-361030065.09820056</v>
      </c>
      <c r="S567">
        <f t="shared" si="987"/>
        <v>-3610.3006509820057</v>
      </c>
      <c r="T567">
        <f t="shared" si="988"/>
        <v>-3.6103006509820057</v>
      </c>
    </row>
    <row r="568" spans="1:104" x14ac:dyDescent="0.25">
      <c r="A568" s="5">
        <v>44025</v>
      </c>
      <c r="B568">
        <v>3.2559999999999999E-2</v>
      </c>
      <c r="C568">
        <v>3.5520000000000003E-2</v>
      </c>
      <c r="D568">
        <v>3.1829999999999997E-2</v>
      </c>
      <c r="E568">
        <v>3.2129999999999999E-2</v>
      </c>
      <c r="F568">
        <v>23514182.800000001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-0.83739837398373917</v>
      </c>
      <c r="Q568">
        <f t="shared" si="985"/>
        <v>-19690738.442276407</v>
      </c>
      <c r="R568">
        <f t="shared" si="986"/>
        <v>-366750109.74435443</v>
      </c>
      <c r="S568">
        <f t="shared" si="987"/>
        <v>-3667.5010974435445</v>
      </c>
      <c r="T568">
        <f t="shared" si="988"/>
        <v>-3.6675010974435445</v>
      </c>
    </row>
    <row r="569" spans="1:104" x14ac:dyDescent="0.25">
      <c r="A569" s="5">
        <v>44024</v>
      </c>
      <c r="B569">
        <v>3.3099999999999997E-2</v>
      </c>
      <c r="C569">
        <v>3.499E-2</v>
      </c>
      <c r="D569">
        <v>3.1820000000000001E-2</v>
      </c>
      <c r="E569">
        <v>3.2570000000000002E-2</v>
      </c>
      <c r="F569">
        <v>20167342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-0.52681388012618247</v>
      </c>
      <c r="Q569">
        <f t="shared" si="985"/>
        <v>-10624435.690851726</v>
      </c>
      <c r="R569">
        <f t="shared" si="986"/>
        <v>-347059371.30207801</v>
      </c>
      <c r="S569">
        <f t="shared" si="987"/>
        <v>-3470.5937130207799</v>
      </c>
      <c r="T569">
        <f t="shared" si="988"/>
        <v>-3.4705937130207798</v>
      </c>
    </row>
    <row r="570" spans="1:104" x14ac:dyDescent="0.25">
      <c r="A570" s="5">
        <v>44023</v>
      </c>
      <c r="B570">
        <v>3.1370000000000002E-2</v>
      </c>
      <c r="C570">
        <v>3.4000000000000002E-2</v>
      </c>
      <c r="D570">
        <v>3.0929999999999999E-2</v>
      </c>
      <c r="E570">
        <v>3.3149999999999999E-2</v>
      </c>
      <c r="F570">
        <v>22779584.100000001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0.4462540716612361</v>
      </c>
      <c r="Q570">
        <f t="shared" si="985"/>
        <v>10165482.155374555</v>
      </c>
      <c r="R570">
        <f t="shared" si="986"/>
        <v>-336434935.61122626</v>
      </c>
      <c r="S570">
        <f t="shared" si="987"/>
        <v>-3364.3493561122627</v>
      </c>
      <c r="T570">
        <f t="shared" si="988"/>
        <v>-3.3643493561122626</v>
      </c>
    </row>
    <row r="571" spans="1:104" x14ac:dyDescent="0.25">
      <c r="A571" s="5">
        <v>44022</v>
      </c>
      <c r="B571">
        <v>2.938E-2</v>
      </c>
      <c r="C571">
        <v>3.143E-2</v>
      </c>
      <c r="D571">
        <v>2.8000000000000001E-2</v>
      </c>
      <c r="E571">
        <v>3.1370000000000002E-2</v>
      </c>
      <c r="F571">
        <v>19632874.899999999</v>
      </c>
      <c r="G571">
        <v>0</v>
      </c>
      <c r="L571" t="s">
        <v>7</v>
      </c>
      <c r="M571" t="s">
        <v>7</v>
      </c>
      <c r="N571" t="s">
        <v>8</v>
      </c>
      <c r="P571">
        <f t="shared" si="984"/>
        <v>0.96501457725947659</v>
      </c>
      <c r="Q571">
        <f t="shared" si="985"/>
        <v>18946010.472011689</v>
      </c>
      <c r="R571">
        <f t="shared" si="986"/>
        <v>-346600417.76660079</v>
      </c>
      <c r="S571">
        <f t="shared" si="987"/>
        <v>-3466.0041776660078</v>
      </c>
      <c r="T571">
        <f t="shared" si="988"/>
        <v>-3.4660041776660075</v>
      </c>
    </row>
    <row r="572" spans="1:104" x14ac:dyDescent="0.25">
      <c r="A572" s="5">
        <v>44021</v>
      </c>
      <c r="B572">
        <v>3.1890000000000002E-2</v>
      </c>
      <c r="C572">
        <v>3.2539999999999999E-2</v>
      </c>
      <c r="D572">
        <v>2.8760000000000001E-2</v>
      </c>
      <c r="E572">
        <v>2.938E-2</v>
      </c>
      <c r="F572">
        <v>25019177.600000001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-0.67195767195767231</v>
      </c>
      <c r="Q572">
        <f t="shared" si="985"/>
        <v>-16811828.334391546</v>
      </c>
      <c r="R572">
        <f t="shared" si="986"/>
        <v>-365546428.23861247</v>
      </c>
      <c r="S572">
        <f t="shared" si="987"/>
        <v>-3655.4642823861245</v>
      </c>
      <c r="T572">
        <f t="shared" si="988"/>
        <v>-3.6554642823861245</v>
      </c>
    </row>
    <row r="573" spans="1:104" x14ac:dyDescent="0.25">
      <c r="A573" s="5">
        <v>44020</v>
      </c>
      <c r="B573">
        <v>2.87E-2</v>
      </c>
      <c r="C573">
        <v>3.3119999999999997E-2</v>
      </c>
      <c r="D573">
        <v>2.7300000000000001E-2</v>
      </c>
      <c r="E573">
        <v>3.1940000000000003E-2</v>
      </c>
      <c r="F573">
        <v>76356913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0.5945017182130603</v>
      </c>
      <c r="Q573">
        <f t="shared" si="985"/>
        <v>45394315.97594516</v>
      </c>
      <c r="R573">
        <f t="shared" si="986"/>
        <v>-348734599.90422094</v>
      </c>
      <c r="S573">
        <f t="shared" si="987"/>
        <v>-3487.3459990422093</v>
      </c>
      <c r="T573">
        <f t="shared" si="988"/>
        <v>-3.4873459990422093</v>
      </c>
    </row>
    <row r="574" spans="1:104" x14ac:dyDescent="0.25">
      <c r="A574" s="5">
        <v>44019</v>
      </c>
      <c r="B574">
        <v>2.6079999999999999E-2</v>
      </c>
      <c r="C574">
        <v>2.9080000000000002E-2</v>
      </c>
      <c r="D574">
        <v>2.5399999999999999E-2</v>
      </c>
      <c r="E574">
        <v>2.87E-2</v>
      </c>
      <c r="F574">
        <v>30729824.800000001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0.79347826086956441</v>
      </c>
      <c r="Q574">
        <f t="shared" si="985"/>
        <v>24383447.939130411</v>
      </c>
      <c r="R574">
        <f t="shared" si="986"/>
        <v>-394128915.88016611</v>
      </c>
      <c r="S574">
        <f t="shared" si="987"/>
        <v>-3941.289158801661</v>
      </c>
      <c r="T574">
        <f t="shared" si="988"/>
        <v>-3.941289158801661</v>
      </c>
    </row>
    <row r="575" spans="1:104" x14ac:dyDescent="0.25">
      <c r="A575" s="5">
        <v>44018</v>
      </c>
      <c r="B575">
        <v>2.5149999999999999E-2</v>
      </c>
      <c r="C575">
        <v>2.6110000000000001E-2</v>
      </c>
      <c r="D575">
        <v>2.4510000000000001E-2</v>
      </c>
      <c r="E575">
        <v>2.6089999999999999E-2</v>
      </c>
      <c r="F575">
        <v>19586663.100000001</v>
      </c>
      <c r="G575">
        <v>0</v>
      </c>
      <c r="L575" t="s">
        <v>7</v>
      </c>
      <c r="M575" t="s">
        <v>7</v>
      </c>
      <c r="N575" t="s">
        <v>8</v>
      </c>
      <c r="P575">
        <f t="shared" si="984"/>
        <v>0.97499999999999665</v>
      </c>
      <c r="Q575">
        <f t="shared" si="985"/>
        <v>19096996.522499938</v>
      </c>
      <c r="R575">
        <f t="shared" si="986"/>
        <v>-418512363.81929654</v>
      </c>
      <c r="S575">
        <f t="shared" si="987"/>
        <v>-4185.1236381929657</v>
      </c>
      <c r="T575">
        <f t="shared" si="988"/>
        <v>-4.185123638192966</v>
      </c>
    </row>
    <row r="576" spans="1:104" x14ac:dyDescent="0.25">
      <c r="A576" s="5">
        <v>44017</v>
      </c>
      <c r="B576">
        <v>2.6239999999999999E-2</v>
      </c>
      <c r="C576">
        <v>2.6380000000000001E-2</v>
      </c>
      <c r="D576">
        <v>2.426E-2</v>
      </c>
      <c r="E576">
        <v>2.5139999999999999E-2</v>
      </c>
      <c r="F576">
        <v>9970252.9000000004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-0.16981132075471822</v>
      </c>
      <c r="Q576">
        <f t="shared" si="985"/>
        <v>-1693061.8132075595</v>
      </c>
      <c r="R576">
        <f t="shared" si="986"/>
        <v>-437609360.34179646</v>
      </c>
      <c r="S576">
        <f t="shared" si="987"/>
        <v>-4376.0936034179649</v>
      </c>
      <c r="T576">
        <f t="shared" si="988"/>
        <v>-4.3760936034179645</v>
      </c>
    </row>
    <row r="577" spans="1:20" x14ac:dyDescent="0.25">
      <c r="A577" s="5">
        <v>44016</v>
      </c>
      <c r="B577">
        <v>2.6360000000000001E-2</v>
      </c>
      <c r="C577">
        <v>2.6499999999999999E-2</v>
      </c>
      <c r="D577">
        <v>2.572E-2</v>
      </c>
      <c r="E577">
        <v>2.6239999999999999E-2</v>
      </c>
      <c r="F577">
        <v>7514032.0999999996</v>
      </c>
      <c r="G577">
        <v>0</v>
      </c>
      <c r="L577" t="s">
        <v>8</v>
      </c>
      <c r="M577" t="s">
        <v>7</v>
      </c>
      <c r="N577" t="s">
        <v>8</v>
      </c>
      <c r="P577">
        <f t="shared" si="984"/>
        <v>0.33333333333333331</v>
      </c>
      <c r="Q577">
        <f t="shared" si="985"/>
        <v>2504677.3666666662</v>
      </c>
      <c r="R577">
        <f t="shared" si="986"/>
        <v>-435916298.52858889</v>
      </c>
      <c r="S577">
        <f t="shared" si="987"/>
        <v>-4359.1629852858887</v>
      </c>
      <c r="T577">
        <f t="shared" si="988"/>
        <v>-4.3591629852858889</v>
      </c>
    </row>
    <row r="578" spans="1:20" x14ac:dyDescent="0.25">
      <c r="A578" s="5">
        <v>44015</v>
      </c>
      <c r="B578">
        <v>2.546E-2</v>
      </c>
      <c r="C578">
        <v>2.6919999999999999E-2</v>
      </c>
      <c r="D578">
        <v>2.52E-2</v>
      </c>
      <c r="E578">
        <v>2.648E-2</v>
      </c>
      <c r="F578">
        <v>13308385</v>
      </c>
      <c r="G578">
        <v>0</v>
      </c>
      <c r="L578" t="s">
        <v>8</v>
      </c>
      <c r="M578" t="s">
        <v>7</v>
      </c>
      <c r="N578" t="s">
        <v>8</v>
      </c>
      <c r="P578">
        <f t="shared" si="984"/>
        <v>0.48837209302325629</v>
      </c>
      <c r="Q578">
        <f t="shared" si="985"/>
        <v>6499443.8372093085</v>
      </c>
      <c r="R578">
        <f t="shared" si="986"/>
        <v>-438420975.89525557</v>
      </c>
      <c r="S578">
        <f t="shared" si="987"/>
        <v>-4384.2097589525556</v>
      </c>
      <c r="T578">
        <f t="shared" si="988"/>
        <v>-4.3842097589525553</v>
      </c>
    </row>
    <row r="579" spans="1:20" x14ac:dyDescent="0.25">
      <c r="A579" s="5">
        <v>44014</v>
      </c>
      <c r="B579">
        <v>2.4660000000000001E-2</v>
      </c>
      <c r="C579">
        <v>2.6769999999999999E-2</v>
      </c>
      <c r="D579">
        <v>2.4649999999999998E-2</v>
      </c>
      <c r="E579">
        <v>2.546E-2</v>
      </c>
      <c r="F579">
        <v>24883957.5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-0.23584905660377212</v>
      </c>
      <c r="Q579">
        <f t="shared" si="985"/>
        <v>-5868857.9009433594</v>
      </c>
      <c r="R579">
        <f t="shared" si="986"/>
        <v>-444920419.73246485</v>
      </c>
      <c r="S579">
        <f t="shared" si="987"/>
        <v>-4449.2041973246487</v>
      </c>
      <c r="T579">
        <f t="shared" si="988"/>
        <v>-4.449204197324649</v>
      </c>
    </row>
    <row r="580" spans="1:20" x14ac:dyDescent="0.25">
      <c r="A580" s="5">
        <v>44013</v>
      </c>
      <c r="B580">
        <v>2.4559999999999998E-2</v>
      </c>
      <c r="C580">
        <v>2.521E-2</v>
      </c>
      <c r="D580">
        <v>2.4070000000000001E-2</v>
      </c>
      <c r="E580">
        <v>2.4639999999999999E-2</v>
      </c>
      <c r="F580">
        <v>13934570.699999999</v>
      </c>
      <c r="G580">
        <v>0</v>
      </c>
      <c r="L580" t="s">
        <v>7</v>
      </c>
      <c r="M580" t="s">
        <v>7</v>
      </c>
      <c r="N580" t="s">
        <v>8</v>
      </c>
      <c r="P580">
        <f t="shared" si="984"/>
        <v>-3.04337451925756E-15</v>
      </c>
      <c r="Q580">
        <f t="shared" si="985"/>
        <v>-4.2408117405172982E-8</v>
      </c>
      <c r="R580">
        <f t="shared" si="986"/>
        <v>-439051561.83152151</v>
      </c>
      <c r="S580">
        <f t="shared" si="987"/>
        <v>-4390.5156183152149</v>
      </c>
      <c r="T580">
        <f t="shared" si="988"/>
        <v>-4.3905156183152148</v>
      </c>
    </row>
    <row r="581" spans="1:20" x14ac:dyDescent="0.25">
      <c r="A581" s="5">
        <v>44012</v>
      </c>
      <c r="B581">
        <v>2.6259999999999999E-2</v>
      </c>
      <c r="C581">
        <v>2.631E-2</v>
      </c>
      <c r="D581">
        <v>2.426E-2</v>
      </c>
      <c r="E581">
        <v>2.4559999999999998E-2</v>
      </c>
      <c r="F581">
        <v>11871786.1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-0.70731707317073345</v>
      </c>
      <c r="Q581">
        <f t="shared" si="985"/>
        <v>-8397116.9975609966</v>
      </c>
      <c r="R581">
        <f t="shared" si="986"/>
        <v>-439051561.83152145</v>
      </c>
      <c r="S581">
        <f t="shared" si="987"/>
        <v>-4390.5156183152149</v>
      </c>
      <c r="T581">
        <f t="shared" si="988"/>
        <v>-4.3905156183152148</v>
      </c>
    </row>
    <row r="582" spans="1:20" x14ac:dyDescent="0.25">
      <c r="A582" s="5">
        <v>44011</v>
      </c>
      <c r="B582">
        <v>2.5080000000000002E-2</v>
      </c>
      <c r="C582">
        <v>2.6270000000000002E-2</v>
      </c>
      <c r="D582">
        <v>2.401E-2</v>
      </c>
      <c r="E582">
        <v>2.6259999999999999E-2</v>
      </c>
      <c r="F582">
        <v>15853809.800000001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0.99115044247787343</v>
      </c>
      <c r="Q582">
        <f t="shared" ref="Q582:Q645" si="990">F582*P582</f>
        <v>15713510.598230047</v>
      </c>
      <c r="R582">
        <f t="shared" ref="R582:R645" si="991">R583+Q582</f>
        <v>-430654444.83396047</v>
      </c>
      <c r="S582">
        <f t="shared" ref="S582:S645" si="992">R582/100000</f>
        <v>-4306.544448339605</v>
      </c>
      <c r="T582">
        <f t="shared" ref="T582:T645" si="993">S582/1000</f>
        <v>-4.3065444483396051</v>
      </c>
    </row>
    <row r="583" spans="1:20" x14ac:dyDescent="0.25">
      <c r="A583" s="5">
        <v>44010</v>
      </c>
      <c r="B583">
        <v>2.5430000000000001E-2</v>
      </c>
      <c r="C583">
        <v>2.6720000000000001E-2</v>
      </c>
      <c r="D583">
        <v>2.443E-2</v>
      </c>
      <c r="E583">
        <v>2.5229999999999999E-2</v>
      </c>
      <c r="F583">
        <v>18765843.699999999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-0.30131004366812358</v>
      </c>
      <c r="Q583">
        <f t="shared" si="990"/>
        <v>-5654337.1847161818</v>
      </c>
      <c r="R583">
        <f t="shared" si="991"/>
        <v>-446367955.43219054</v>
      </c>
      <c r="S583">
        <f t="shared" si="992"/>
        <v>-4463.679554321905</v>
      </c>
      <c r="T583">
        <f t="shared" si="993"/>
        <v>-4.4636795543219048</v>
      </c>
    </row>
    <row r="584" spans="1:20" x14ac:dyDescent="0.25">
      <c r="A584" s="5">
        <v>44009</v>
      </c>
      <c r="B584">
        <v>2.7189999999999999E-2</v>
      </c>
      <c r="C584">
        <v>2.8969999999999999E-2</v>
      </c>
      <c r="D584">
        <v>2.3769999999999999E-2</v>
      </c>
      <c r="E584">
        <v>2.5440000000000001E-2</v>
      </c>
      <c r="F584">
        <v>44666299.5</v>
      </c>
      <c r="G584">
        <v>0</v>
      </c>
      <c r="L584" t="s">
        <v>8</v>
      </c>
      <c r="M584" t="s">
        <v>8</v>
      </c>
      <c r="N584" t="s">
        <v>8</v>
      </c>
      <c r="P584">
        <f t="shared" si="989"/>
        <v>-0.35769230769230714</v>
      </c>
      <c r="Q584">
        <f t="shared" si="990"/>
        <v>-15976791.744230745</v>
      </c>
      <c r="R584">
        <f t="shared" si="991"/>
        <v>-440713618.24747437</v>
      </c>
      <c r="S584">
        <f t="shared" si="992"/>
        <v>-4407.1361824747437</v>
      </c>
      <c r="T584">
        <f t="shared" si="993"/>
        <v>-4.4071361824747433</v>
      </c>
    </row>
    <row r="585" spans="1:20" x14ac:dyDescent="0.25">
      <c r="A585" s="5">
        <v>44008</v>
      </c>
      <c r="B585">
        <v>2.656E-2</v>
      </c>
      <c r="C585">
        <v>2.7869999999999999E-2</v>
      </c>
      <c r="D585">
        <v>2.477E-2</v>
      </c>
      <c r="E585">
        <v>2.7349999999999999E-2</v>
      </c>
      <c r="F585">
        <v>28332277.300000001</v>
      </c>
      <c r="G585">
        <v>0</v>
      </c>
      <c r="L585" t="s">
        <v>8</v>
      </c>
      <c r="M585" t="s">
        <v>8</v>
      </c>
      <c r="N585" t="s">
        <v>8</v>
      </c>
      <c r="P585">
        <f t="shared" si="989"/>
        <v>0.6645161290322581</v>
      </c>
      <c r="Q585">
        <f t="shared" si="990"/>
        <v>18827255.238064516</v>
      </c>
      <c r="R585">
        <f t="shared" si="991"/>
        <v>-424736826.50324363</v>
      </c>
      <c r="S585">
        <f t="shared" si="992"/>
        <v>-4247.3682650324363</v>
      </c>
      <c r="T585">
        <f t="shared" si="993"/>
        <v>-4.2473682650324367</v>
      </c>
    </row>
    <row r="586" spans="1:20" x14ac:dyDescent="0.25">
      <c r="A586" s="5">
        <v>44007</v>
      </c>
      <c r="B586">
        <v>2.5739999999999999E-2</v>
      </c>
      <c r="C586">
        <v>2.6759999999999999E-2</v>
      </c>
      <c r="D586">
        <v>2.435E-2</v>
      </c>
      <c r="E586">
        <v>2.6710000000000001E-2</v>
      </c>
      <c r="F586">
        <v>12971840.6</v>
      </c>
      <c r="G586">
        <v>0</v>
      </c>
      <c r="L586" t="s">
        <v>8</v>
      </c>
      <c r="M586" t="s">
        <v>7</v>
      </c>
      <c r="N586" t="s">
        <v>8</v>
      </c>
      <c r="P586">
        <f t="shared" si="989"/>
        <v>0.95850622406639174</v>
      </c>
      <c r="Q586">
        <f t="shared" si="990"/>
        <v>12433589.952697117</v>
      </c>
      <c r="R586">
        <f t="shared" si="991"/>
        <v>-443564081.74130815</v>
      </c>
      <c r="S586">
        <f t="shared" si="992"/>
        <v>-4435.6408174130811</v>
      </c>
      <c r="T586">
        <f t="shared" si="993"/>
        <v>-4.4356408174130815</v>
      </c>
    </row>
    <row r="587" spans="1:20" x14ac:dyDescent="0.25">
      <c r="A587" s="5">
        <v>44006</v>
      </c>
      <c r="B587">
        <v>2.743E-2</v>
      </c>
      <c r="C587">
        <v>2.7560000000000001E-2</v>
      </c>
      <c r="D587">
        <v>2.2450000000000001E-2</v>
      </c>
      <c r="E587">
        <v>2.588E-2</v>
      </c>
      <c r="F587">
        <v>32264842.600000001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0.34246575342465718</v>
      </c>
      <c r="Q587">
        <f t="shared" si="990"/>
        <v>11049603.630136976</v>
      </c>
      <c r="R587">
        <f t="shared" si="991"/>
        <v>-455997671.69400525</v>
      </c>
      <c r="S587">
        <f t="shared" si="992"/>
        <v>-4559.9767169400529</v>
      </c>
      <c r="T587">
        <f t="shared" si="993"/>
        <v>-4.5599767169400529</v>
      </c>
    </row>
    <row r="588" spans="1:20" x14ac:dyDescent="0.25">
      <c r="A588" s="5">
        <v>44005</v>
      </c>
      <c r="B588">
        <v>2.7640000000000001E-2</v>
      </c>
      <c r="C588">
        <v>2.8049999999999999E-2</v>
      </c>
      <c r="D588">
        <v>2.614E-2</v>
      </c>
      <c r="E588">
        <v>2.7269999999999999E-2</v>
      </c>
      <c r="F588">
        <v>18429974.600000001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0.18324607329842926</v>
      </c>
      <c r="Q588">
        <f t="shared" si="990"/>
        <v>3377220.4764397899</v>
      </c>
      <c r="R588">
        <f t="shared" si="991"/>
        <v>-467047275.32414222</v>
      </c>
      <c r="S588">
        <f t="shared" si="992"/>
        <v>-4670.4727532414217</v>
      </c>
      <c r="T588">
        <f t="shared" si="993"/>
        <v>-4.6704727532414214</v>
      </c>
    </row>
    <row r="589" spans="1:20" x14ac:dyDescent="0.25">
      <c r="A589" s="5">
        <v>44004</v>
      </c>
      <c r="B589">
        <v>2.7629999999999998E-2</v>
      </c>
      <c r="C589">
        <v>2.895E-2</v>
      </c>
      <c r="D589">
        <v>2.7199999999999998E-2</v>
      </c>
      <c r="E589">
        <v>2.7720000000000002E-2</v>
      </c>
      <c r="F589">
        <v>25899078.600000001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-0.4057142857142827</v>
      </c>
      <c r="Q589">
        <f t="shared" si="990"/>
        <v>-10507626.174857065</v>
      </c>
      <c r="R589">
        <f t="shared" si="991"/>
        <v>-470424495.80058199</v>
      </c>
      <c r="S589">
        <f t="shared" si="992"/>
        <v>-4704.2449580058201</v>
      </c>
      <c r="T589">
        <f t="shared" si="993"/>
        <v>-4.7042449580058197</v>
      </c>
    </row>
    <row r="590" spans="1:20" x14ac:dyDescent="0.25">
      <c r="A590" s="5">
        <v>44003</v>
      </c>
      <c r="B590">
        <v>2.717E-2</v>
      </c>
      <c r="C590">
        <v>2.9950000000000001E-2</v>
      </c>
      <c r="D590">
        <v>2.6610000000000002E-2</v>
      </c>
      <c r="E590">
        <v>2.7629999999999998E-2</v>
      </c>
      <c r="F590">
        <v>32971441.800000001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-0.38922155688622945</v>
      </c>
      <c r="Q590">
        <f t="shared" si="990"/>
        <v>-12833195.910179704</v>
      </c>
      <c r="R590">
        <f t="shared" si="991"/>
        <v>-459916869.62572491</v>
      </c>
      <c r="S590">
        <f t="shared" si="992"/>
        <v>-4599.1686962572494</v>
      </c>
      <c r="T590">
        <f t="shared" si="993"/>
        <v>-4.5991686962572498</v>
      </c>
    </row>
    <row r="591" spans="1:20" x14ac:dyDescent="0.25">
      <c r="A591" s="5">
        <v>44002</v>
      </c>
      <c r="B591">
        <v>2.7060000000000001E-2</v>
      </c>
      <c r="C591">
        <v>2.878E-2</v>
      </c>
      <c r="D591">
        <v>2.6249999999999999E-2</v>
      </c>
      <c r="E591">
        <v>2.7099999999999999E-2</v>
      </c>
      <c r="F591">
        <v>41028728.5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-0.32806324110671958</v>
      </c>
      <c r="Q591">
        <f t="shared" si="990"/>
        <v>-13460017.650197638</v>
      </c>
      <c r="R591">
        <f t="shared" si="991"/>
        <v>-447083673.71554518</v>
      </c>
      <c r="S591">
        <f t="shared" si="992"/>
        <v>-4470.8367371554514</v>
      </c>
      <c r="T591">
        <f t="shared" si="993"/>
        <v>-4.4708367371554516</v>
      </c>
    </row>
    <row r="592" spans="1:20" x14ac:dyDescent="0.25">
      <c r="A592" s="5">
        <v>44001</v>
      </c>
      <c r="B592">
        <v>2.3800000000000002E-2</v>
      </c>
      <c r="C592">
        <v>2.8000000000000001E-2</v>
      </c>
      <c r="D592">
        <v>2.3019999999999999E-2</v>
      </c>
      <c r="E592">
        <v>2.7E-2</v>
      </c>
      <c r="F592">
        <v>56101232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0.59839357429718854</v>
      </c>
      <c r="Q592">
        <f t="shared" si="990"/>
        <v>33570616.738955811</v>
      </c>
      <c r="R592">
        <f t="shared" si="991"/>
        <v>-433623656.06534755</v>
      </c>
      <c r="S592">
        <f t="shared" si="992"/>
        <v>-4336.2365606534759</v>
      </c>
      <c r="T592">
        <f t="shared" si="993"/>
        <v>-4.3362365606534761</v>
      </c>
    </row>
    <row r="593" spans="1:20" x14ac:dyDescent="0.25">
      <c r="A593" s="5">
        <v>44000</v>
      </c>
      <c r="B593">
        <v>2.4080000000000001E-2</v>
      </c>
      <c r="C593">
        <v>2.46E-2</v>
      </c>
      <c r="D593">
        <v>2.3480000000000001E-2</v>
      </c>
      <c r="E593">
        <v>2.3779999999999999E-2</v>
      </c>
      <c r="F593">
        <v>14225192</v>
      </c>
      <c r="G593">
        <v>0</v>
      </c>
      <c r="L593" t="s">
        <v>7</v>
      </c>
      <c r="M593" t="s">
        <v>8</v>
      </c>
      <c r="N593" t="s">
        <v>8</v>
      </c>
      <c r="P593">
        <f t="shared" si="989"/>
        <v>-0.4642857142857173</v>
      </c>
      <c r="Q593">
        <f t="shared" si="990"/>
        <v>-6604553.428571471</v>
      </c>
      <c r="R593">
        <f t="shared" si="991"/>
        <v>-467194272.80430335</v>
      </c>
      <c r="S593">
        <f t="shared" si="992"/>
        <v>-4671.9427280430336</v>
      </c>
      <c r="T593">
        <f t="shared" si="993"/>
        <v>-4.6719427280430335</v>
      </c>
    </row>
    <row r="594" spans="1:20" x14ac:dyDescent="0.25">
      <c r="A594" s="5">
        <v>43999</v>
      </c>
      <c r="B594">
        <v>2.4510000000000001E-2</v>
      </c>
      <c r="C594">
        <v>2.547E-2</v>
      </c>
      <c r="D594">
        <v>2.3140000000000001E-2</v>
      </c>
      <c r="E594">
        <v>2.4060000000000002E-2</v>
      </c>
      <c r="F594">
        <v>18243780.300000001</v>
      </c>
      <c r="G594">
        <v>0</v>
      </c>
      <c r="L594" t="s">
        <v>7</v>
      </c>
      <c r="M594" t="s">
        <v>8</v>
      </c>
      <c r="N594" t="s">
        <v>8</v>
      </c>
      <c r="P594">
        <f t="shared" si="989"/>
        <v>-0.21030042918454836</v>
      </c>
      <c r="Q594">
        <f t="shared" si="990"/>
        <v>-3836674.8270386085</v>
      </c>
      <c r="R594">
        <f t="shared" si="991"/>
        <v>-460589719.37573189</v>
      </c>
      <c r="S594">
        <f t="shared" si="992"/>
        <v>-4605.8971937573187</v>
      </c>
      <c r="T594">
        <f t="shared" si="993"/>
        <v>-4.6058971937573183</v>
      </c>
    </row>
    <row r="595" spans="1:20" x14ac:dyDescent="0.25">
      <c r="A595" s="5">
        <v>43998</v>
      </c>
      <c r="B595">
        <v>2.383E-2</v>
      </c>
      <c r="C595">
        <v>2.5950000000000001E-2</v>
      </c>
      <c r="D595">
        <v>2.283E-2</v>
      </c>
      <c r="E595">
        <v>2.4410000000000001E-2</v>
      </c>
      <c r="F595">
        <v>34005380.899999999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1.2820512820513405E-2</v>
      </c>
      <c r="Q595">
        <f t="shared" si="990"/>
        <v>435966.42179489165</v>
      </c>
      <c r="R595">
        <f t="shared" si="991"/>
        <v>-456753044.5486933</v>
      </c>
      <c r="S595">
        <f t="shared" si="992"/>
        <v>-4567.5304454869329</v>
      </c>
      <c r="T595">
        <f t="shared" si="993"/>
        <v>-4.5675304454869332</v>
      </c>
    </row>
    <row r="596" spans="1:20" x14ac:dyDescent="0.25">
      <c r="A596" s="5">
        <v>43997</v>
      </c>
      <c r="B596">
        <v>2.4379999999999999E-2</v>
      </c>
      <c r="C596">
        <v>2.4809999999999999E-2</v>
      </c>
      <c r="D596">
        <v>2.181E-2</v>
      </c>
      <c r="E596">
        <v>2.3970000000000002E-2</v>
      </c>
      <c r="F596">
        <v>23246041.899999999</v>
      </c>
      <c r="G596">
        <v>0</v>
      </c>
      <c r="L596" t="s">
        <v>7</v>
      </c>
      <c r="M596" t="s">
        <v>8</v>
      </c>
      <c r="N596" t="s">
        <v>8</v>
      </c>
      <c r="P596">
        <f t="shared" si="989"/>
        <v>0.44000000000000183</v>
      </c>
      <c r="Q596">
        <f t="shared" si="990"/>
        <v>10228258.436000042</v>
      </c>
      <c r="R596">
        <f t="shared" si="991"/>
        <v>-457189010.97048819</v>
      </c>
      <c r="S596">
        <f t="shared" si="992"/>
        <v>-4571.890109704882</v>
      </c>
      <c r="T596">
        <f t="shared" si="993"/>
        <v>-4.5718901097048823</v>
      </c>
    </row>
    <row r="597" spans="1:20" x14ac:dyDescent="0.25">
      <c r="A597" s="5">
        <v>43996</v>
      </c>
      <c r="B597">
        <v>2.4289999999999999E-2</v>
      </c>
      <c r="C597">
        <v>2.546E-2</v>
      </c>
      <c r="D597">
        <v>2.3789999999999999E-2</v>
      </c>
      <c r="E597">
        <v>2.452E-2</v>
      </c>
      <c r="F597">
        <v>21683523.399999999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-0.12574850299401091</v>
      </c>
      <c r="Q597">
        <f t="shared" si="990"/>
        <v>-2726670.6071856054</v>
      </c>
      <c r="R597">
        <f t="shared" si="991"/>
        <v>-467417269.40648824</v>
      </c>
      <c r="S597">
        <f t="shared" si="992"/>
        <v>-4674.1726940648823</v>
      </c>
      <c r="T597">
        <f t="shared" si="993"/>
        <v>-4.6741726940648824</v>
      </c>
    </row>
    <row r="598" spans="1:20" x14ac:dyDescent="0.25">
      <c r="A598" s="5">
        <v>43995</v>
      </c>
      <c r="B598">
        <v>2.5000000000000001E-2</v>
      </c>
      <c r="C598">
        <v>2.504E-2</v>
      </c>
      <c r="D598">
        <v>2.3560000000000001E-2</v>
      </c>
      <c r="E598">
        <v>2.4289999999999999E-2</v>
      </c>
      <c r="F598">
        <v>11586529.1</v>
      </c>
      <c r="G598">
        <v>0</v>
      </c>
      <c r="L598" t="s">
        <v>7</v>
      </c>
      <c r="M598" t="s">
        <v>8</v>
      </c>
      <c r="N598" t="s">
        <v>8</v>
      </c>
      <c r="P598">
        <f t="shared" si="989"/>
        <v>-1.3513513513515318E-2</v>
      </c>
      <c r="Q598">
        <f t="shared" si="990"/>
        <v>-156574.71756758846</v>
      </c>
      <c r="R598">
        <f t="shared" si="991"/>
        <v>-464690598.79930264</v>
      </c>
      <c r="S598">
        <f t="shared" si="992"/>
        <v>-4646.9059879930264</v>
      </c>
      <c r="T598">
        <f t="shared" si="993"/>
        <v>-4.6469059879930263</v>
      </c>
    </row>
    <row r="599" spans="1:20" x14ac:dyDescent="0.25">
      <c r="A599" s="5">
        <v>43994</v>
      </c>
      <c r="B599">
        <v>2.2419999999999999E-2</v>
      </c>
      <c r="C599">
        <v>2.5649999999999999E-2</v>
      </c>
      <c r="D599">
        <v>2.2280000000000001E-2</v>
      </c>
      <c r="E599">
        <v>2.4899999999999999E-2</v>
      </c>
      <c r="F599">
        <v>36450297.200000003</v>
      </c>
      <c r="G599">
        <v>0</v>
      </c>
      <c r="L599" t="s">
        <v>8</v>
      </c>
      <c r="M599" t="s">
        <v>8</v>
      </c>
      <c r="N599" t="s">
        <v>8</v>
      </c>
      <c r="P599">
        <f t="shared" si="989"/>
        <v>0.55489614243323371</v>
      </c>
      <c r="Q599">
        <f t="shared" si="990"/>
        <v>20226129.3068249</v>
      </c>
      <c r="R599">
        <f t="shared" si="991"/>
        <v>-464534024.08173507</v>
      </c>
      <c r="S599">
        <f t="shared" si="992"/>
        <v>-4645.3402408173506</v>
      </c>
      <c r="T599">
        <f t="shared" si="993"/>
        <v>-4.645340240817351</v>
      </c>
    </row>
    <row r="600" spans="1:20" x14ac:dyDescent="0.25">
      <c r="A600" s="5">
        <v>43993</v>
      </c>
      <c r="B600">
        <v>2.2579999999999999E-2</v>
      </c>
      <c r="C600">
        <v>2.5090000000000001E-2</v>
      </c>
      <c r="D600">
        <v>2.1180000000000001E-2</v>
      </c>
      <c r="E600">
        <v>2.2530000000000001E-2</v>
      </c>
      <c r="F600">
        <v>49611421.600000001</v>
      </c>
      <c r="G600">
        <v>0</v>
      </c>
      <c r="L600" t="s">
        <v>8</v>
      </c>
      <c r="M600" t="s">
        <v>8</v>
      </c>
      <c r="N600" t="s">
        <v>8</v>
      </c>
      <c r="P600">
        <f t="shared" si="989"/>
        <v>-0.30946291560102279</v>
      </c>
      <c r="Q600">
        <f t="shared" si="990"/>
        <v>-15352895.175447559</v>
      </c>
      <c r="R600">
        <f t="shared" si="991"/>
        <v>-484760153.38856</v>
      </c>
      <c r="S600">
        <f t="shared" si="992"/>
        <v>-4847.6015338855996</v>
      </c>
      <c r="T600">
        <f t="shared" si="993"/>
        <v>-4.8476015338855998</v>
      </c>
    </row>
    <row r="601" spans="1:20" x14ac:dyDescent="0.25">
      <c r="A601" s="5">
        <v>43992</v>
      </c>
      <c r="B601">
        <v>2.2460000000000001E-2</v>
      </c>
      <c r="C601">
        <v>2.3390000000000001E-2</v>
      </c>
      <c r="D601">
        <v>2.231E-2</v>
      </c>
      <c r="E601">
        <v>2.2409999999999999E-2</v>
      </c>
      <c r="F601">
        <v>11456484.4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-0.8148148148148161</v>
      </c>
      <c r="Q601">
        <f t="shared" si="990"/>
        <v>-9334913.2148148306</v>
      </c>
      <c r="R601">
        <f t="shared" si="991"/>
        <v>-469407258.21311241</v>
      </c>
      <c r="S601">
        <f t="shared" si="992"/>
        <v>-4694.0725821311244</v>
      </c>
      <c r="T601">
        <f t="shared" si="993"/>
        <v>-4.694072582131124</v>
      </c>
    </row>
    <row r="602" spans="1:20" x14ac:dyDescent="0.25">
      <c r="A602" s="5">
        <v>43991</v>
      </c>
      <c r="B602">
        <v>2.197E-2</v>
      </c>
      <c r="C602">
        <v>2.3060000000000001E-2</v>
      </c>
      <c r="D602">
        <v>2.1510000000000001E-2</v>
      </c>
      <c r="E602">
        <v>2.2339999999999999E-2</v>
      </c>
      <c r="F602">
        <v>16345146.9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7.0967741935481013E-2</v>
      </c>
      <c r="Q602">
        <f t="shared" si="990"/>
        <v>1159978.1670967275</v>
      </c>
      <c r="R602">
        <f t="shared" si="991"/>
        <v>-460072344.99829757</v>
      </c>
      <c r="S602">
        <f t="shared" si="992"/>
        <v>-4600.7234499829756</v>
      </c>
      <c r="T602">
        <f t="shared" si="993"/>
        <v>-4.6007234499829757</v>
      </c>
    </row>
    <row r="603" spans="1:20" x14ac:dyDescent="0.25">
      <c r="A603" s="5">
        <v>43990</v>
      </c>
      <c r="B603">
        <v>2.196E-2</v>
      </c>
      <c r="C603">
        <v>2.2190000000000001E-2</v>
      </c>
      <c r="D603">
        <v>2.146E-2</v>
      </c>
      <c r="E603">
        <v>2.196E-2</v>
      </c>
      <c r="F603">
        <v>8668454.5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0.36986301369862856</v>
      </c>
      <c r="Q603">
        <f t="shared" si="990"/>
        <v>3206140.7054794384</v>
      </c>
      <c r="R603">
        <f t="shared" si="991"/>
        <v>-461232323.16539431</v>
      </c>
      <c r="S603">
        <f t="shared" si="992"/>
        <v>-4612.3232316539434</v>
      </c>
      <c r="T603">
        <f t="shared" si="993"/>
        <v>-4.6123232316539431</v>
      </c>
    </row>
    <row r="604" spans="1:20" x14ac:dyDescent="0.25">
      <c r="A604" s="5">
        <v>43989</v>
      </c>
      <c r="B604">
        <v>2.196E-2</v>
      </c>
      <c r="C604">
        <v>2.3140000000000001E-2</v>
      </c>
      <c r="D604">
        <v>2.1000000000000001E-2</v>
      </c>
      <c r="E604">
        <v>2.1930000000000002E-2</v>
      </c>
      <c r="F604">
        <v>13644848.5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-0.13084112149532667</v>
      </c>
      <c r="Q604">
        <f t="shared" si="990"/>
        <v>-1785307.2803738259</v>
      </c>
      <c r="R604">
        <f t="shared" si="991"/>
        <v>-464438463.87087375</v>
      </c>
      <c r="S604">
        <f t="shared" si="992"/>
        <v>-4644.3846387087378</v>
      </c>
      <c r="T604">
        <f t="shared" si="993"/>
        <v>-4.644384638708738</v>
      </c>
    </row>
    <row r="605" spans="1:20" x14ac:dyDescent="0.25">
      <c r="A605" s="5">
        <v>43988</v>
      </c>
      <c r="B605">
        <v>2.2679999999999999E-2</v>
      </c>
      <c r="C605">
        <v>2.2749999999999999E-2</v>
      </c>
      <c r="D605">
        <v>2.179E-2</v>
      </c>
      <c r="E605">
        <v>2.1999999999999999E-2</v>
      </c>
      <c r="F605">
        <v>14690653.800000001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-0.56250000000000289</v>
      </c>
      <c r="Q605">
        <f t="shared" si="990"/>
        <v>-8263492.762500043</v>
      </c>
      <c r="R605">
        <f t="shared" si="991"/>
        <v>-462653156.59049994</v>
      </c>
      <c r="S605">
        <f t="shared" si="992"/>
        <v>-4626.5315659049993</v>
      </c>
      <c r="T605">
        <f t="shared" si="993"/>
        <v>-4.6265315659049993</v>
      </c>
    </row>
    <row r="606" spans="1:20" x14ac:dyDescent="0.25">
      <c r="A606" s="5">
        <v>43987</v>
      </c>
      <c r="B606">
        <v>2.281E-2</v>
      </c>
      <c r="C606">
        <v>2.35E-2</v>
      </c>
      <c r="D606">
        <v>2.247E-2</v>
      </c>
      <c r="E606">
        <v>2.2679999999999999E-2</v>
      </c>
      <c r="F606">
        <v>11953104.699999999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-0.59223300970874082</v>
      </c>
      <c r="Q606">
        <f t="shared" si="990"/>
        <v>-7079023.1718446948</v>
      </c>
      <c r="R606">
        <f t="shared" si="991"/>
        <v>-454389663.82799989</v>
      </c>
      <c r="S606">
        <f t="shared" si="992"/>
        <v>-4543.896638279999</v>
      </c>
      <c r="T606">
        <f t="shared" si="993"/>
        <v>-4.5438966382799988</v>
      </c>
    </row>
    <row r="607" spans="1:20" x14ac:dyDescent="0.25">
      <c r="A607" s="5">
        <v>43986</v>
      </c>
      <c r="B607">
        <v>2.1739999999999999E-2</v>
      </c>
      <c r="C607">
        <v>2.368E-2</v>
      </c>
      <c r="D607">
        <v>2.147E-2</v>
      </c>
      <c r="E607">
        <v>2.2790000000000001E-2</v>
      </c>
      <c r="F607">
        <v>26496806.100000001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0.19457013574660781</v>
      </c>
      <c r="Q607">
        <f t="shared" si="990"/>
        <v>5155487.1597285457</v>
      </c>
      <c r="R607">
        <f t="shared" si="991"/>
        <v>-447310640.65615517</v>
      </c>
      <c r="S607">
        <f t="shared" si="992"/>
        <v>-4473.1064065615519</v>
      </c>
      <c r="T607">
        <f t="shared" si="993"/>
        <v>-4.473106406561552</v>
      </c>
    </row>
    <row r="608" spans="1:20" x14ac:dyDescent="0.25">
      <c r="A608" s="5">
        <v>43985</v>
      </c>
      <c r="B608">
        <v>2.129E-2</v>
      </c>
      <c r="C608">
        <v>2.2200000000000001E-2</v>
      </c>
      <c r="D608">
        <v>2.104E-2</v>
      </c>
      <c r="E608">
        <v>2.1680000000000001E-2</v>
      </c>
      <c r="F608">
        <v>16226208.6</v>
      </c>
      <c r="G608">
        <v>0</v>
      </c>
      <c r="L608" t="s">
        <v>8</v>
      </c>
      <c r="M608" t="s">
        <v>7</v>
      </c>
      <c r="N608" t="s">
        <v>8</v>
      </c>
      <c r="P608">
        <f t="shared" si="989"/>
        <v>0.10344827586207062</v>
      </c>
      <c r="Q608">
        <f t="shared" si="990"/>
        <v>1678573.3034483027</v>
      </c>
      <c r="R608">
        <f t="shared" si="991"/>
        <v>-452466127.8158837</v>
      </c>
      <c r="S608">
        <f t="shared" si="992"/>
        <v>-4524.6612781588374</v>
      </c>
      <c r="T608">
        <f t="shared" si="993"/>
        <v>-4.5246612781588373</v>
      </c>
    </row>
    <row r="609" spans="1:20" x14ac:dyDescent="0.25">
      <c r="A609" s="5">
        <v>43984</v>
      </c>
      <c r="B609">
        <v>2.1350000000000001E-2</v>
      </c>
      <c r="C609">
        <v>2.2499999999999999E-2</v>
      </c>
      <c r="D609">
        <v>0.02</v>
      </c>
      <c r="E609">
        <v>2.1350000000000001E-2</v>
      </c>
      <c r="F609">
        <v>23070503.5</v>
      </c>
      <c r="G609">
        <v>0</v>
      </c>
      <c r="L609" t="s">
        <v>8</v>
      </c>
      <c r="M609" t="s">
        <v>7</v>
      </c>
      <c r="N609" t="s">
        <v>8</v>
      </c>
      <c r="P609">
        <f t="shared" si="989"/>
        <v>8.0000000000000945E-2</v>
      </c>
      <c r="Q609">
        <f t="shared" si="990"/>
        <v>1845640.2800000219</v>
      </c>
      <c r="R609">
        <f t="shared" si="991"/>
        <v>-454144701.11933202</v>
      </c>
      <c r="S609">
        <f t="shared" si="992"/>
        <v>-4541.4470111933206</v>
      </c>
      <c r="T609">
        <f t="shared" si="993"/>
        <v>-4.5414470111933207</v>
      </c>
    </row>
    <row r="610" spans="1:20" x14ac:dyDescent="0.25">
      <c r="A610" s="5">
        <v>43983</v>
      </c>
      <c r="B610">
        <v>2.0250000000000001E-2</v>
      </c>
      <c r="C610">
        <v>2.1499999999999998E-2</v>
      </c>
      <c r="D610">
        <v>2.017E-2</v>
      </c>
      <c r="E610">
        <v>2.1350000000000001E-2</v>
      </c>
      <c r="F610">
        <v>16979580.399999999</v>
      </c>
      <c r="G610">
        <v>0</v>
      </c>
      <c r="L610" t="s">
        <v>8</v>
      </c>
      <c r="M610" t="s">
        <v>7</v>
      </c>
      <c r="N610" t="s">
        <v>8</v>
      </c>
      <c r="P610">
        <f t="shared" si="989"/>
        <v>0.77443609022556748</v>
      </c>
      <c r="Q610">
        <f t="shared" si="990"/>
        <v>13149599.858646676</v>
      </c>
      <c r="R610">
        <f t="shared" si="991"/>
        <v>-455990341.39933205</v>
      </c>
      <c r="S610">
        <f t="shared" si="992"/>
        <v>-4559.9034139933201</v>
      </c>
      <c r="T610">
        <f t="shared" si="993"/>
        <v>-4.5599034139933199</v>
      </c>
    </row>
    <row r="611" spans="1:20" x14ac:dyDescent="0.25">
      <c r="A611" s="5">
        <v>43982</v>
      </c>
      <c r="B611">
        <v>2.163E-2</v>
      </c>
      <c r="C611">
        <v>2.2169999999999999E-2</v>
      </c>
      <c r="D611">
        <v>2.01E-2</v>
      </c>
      <c r="E611">
        <v>2.026E-2</v>
      </c>
      <c r="F611">
        <v>15954882.5</v>
      </c>
      <c r="G611">
        <v>0</v>
      </c>
      <c r="L611" t="s">
        <v>7</v>
      </c>
      <c r="M611" t="s">
        <v>7</v>
      </c>
      <c r="N611" t="s">
        <v>8</v>
      </c>
      <c r="P611">
        <f t="shared" si="989"/>
        <v>-0.84541062801932321</v>
      </c>
      <c r="Q611">
        <f t="shared" si="990"/>
        <v>-13488427.234299509</v>
      </c>
      <c r="R611">
        <f t="shared" si="991"/>
        <v>-469139941.25797874</v>
      </c>
      <c r="S611">
        <f t="shared" si="992"/>
        <v>-4691.3994125797872</v>
      </c>
      <c r="T611">
        <f t="shared" si="993"/>
        <v>-4.6913994125797869</v>
      </c>
    </row>
    <row r="612" spans="1:20" x14ac:dyDescent="0.25">
      <c r="A612" s="5">
        <v>43981</v>
      </c>
      <c r="B612">
        <v>2.1930000000000002E-2</v>
      </c>
      <c r="C612">
        <v>2.205E-2</v>
      </c>
      <c r="D612">
        <v>2.069E-2</v>
      </c>
      <c r="E612">
        <v>2.1559999999999999E-2</v>
      </c>
      <c r="F612">
        <v>21920070.199999999</v>
      </c>
      <c r="G612">
        <v>0</v>
      </c>
      <c r="L612" t="s">
        <v>7</v>
      </c>
      <c r="M612" t="s">
        <v>7</v>
      </c>
      <c r="N612" t="s">
        <v>8</v>
      </c>
      <c r="P612">
        <f t="shared" si="989"/>
        <v>0.27941176470588114</v>
      </c>
      <c r="Q612">
        <f t="shared" si="990"/>
        <v>6124725.4970587967</v>
      </c>
      <c r="R612">
        <f t="shared" si="991"/>
        <v>-455651514.02367926</v>
      </c>
      <c r="S612">
        <f t="shared" si="992"/>
        <v>-4556.5151402367928</v>
      </c>
      <c r="T612">
        <f t="shared" si="993"/>
        <v>-4.5565151402367929</v>
      </c>
    </row>
    <row r="613" spans="1:20" x14ac:dyDescent="0.25">
      <c r="A613" s="5">
        <v>43980</v>
      </c>
      <c r="B613">
        <v>2.1930000000000002E-2</v>
      </c>
      <c r="C613">
        <v>2.2519999999999998E-2</v>
      </c>
      <c r="D613">
        <v>2.128E-2</v>
      </c>
      <c r="E613">
        <v>2.1919999999999999E-2</v>
      </c>
      <c r="F613">
        <v>19556543.199999999</v>
      </c>
      <c r="G613">
        <v>0</v>
      </c>
      <c r="L613" t="s">
        <v>7</v>
      </c>
      <c r="M613" t="s">
        <v>8</v>
      </c>
      <c r="N613" t="s">
        <v>8</v>
      </c>
      <c r="P613">
        <f t="shared" si="989"/>
        <v>3.2258064516127768E-2</v>
      </c>
      <c r="Q613">
        <f t="shared" si="990"/>
        <v>630856.23225803976</v>
      </c>
      <c r="R613">
        <f t="shared" si="991"/>
        <v>-461776239.52073807</v>
      </c>
      <c r="S613">
        <f t="shared" si="992"/>
        <v>-4617.7623952073809</v>
      </c>
      <c r="T613">
        <f t="shared" si="993"/>
        <v>-4.6177623952073805</v>
      </c>
    </row>
    <row r="614" spans="1:20" x14ac:dyDescent="0.25">
      <c r="A614" s="5">
        <v>43979</v>
      </c>
      <c r="B614">
        <v>2.2069999999999999E-2</v>
      </c>
      <c r="C614">
        <v>2.5340000000000001E-2</v>
      </c>
      <c r="D614">
        <v>2.1590000000000002E-2</v>
      </c>
      <c r="E614">
        <v>2.1899999999999999E-2</v>
      </c>
      <c r="F614">
        <v>56630391.299999997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-0.83466666666666789</v>
      </c>
      <c r="Q614">
        <f t="shared" si="990"/>
        <v>-47267499.938400067</v>
      </c>
      <c r="R614">
        <f t="shared" si="991"/>
        <v>-462407095.75299609</v>
      </c>
      <c r="S614">
        <f t="shared" si="992"/>
        <v>-4624.0709575299607</v>
      </c>
      <c r="T614">
        <f t="shared" si="993"/>
        <v>-4.6240709575299608</v>
      </c>
    </row>
    <row r="615" spans="1:20" x14ac:dyDescent="0.25">
      <c r="A615" s="5">
        <v>43978</v>
      </c>
      <c r="B615">
        <v>2.266E-2</v>
      </c>
      <c r="C615">
        <v>2.332E-2</v>
      </c>
      <c r="D615">
        <v>2.095E-2</v>
      </c>
      <c r="E615">
        <v>2.2069999999999999E-2</v>
      </c>
      <c r="F615">
        <v>24670746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-5.4852320675106161E-2</v>
      </c>
      <c r="Q615">
        <f t="shared" si="990"/>
        <v>-1353247.6708860926</v>
      </c>
      <c r="R615">
        <f t="shared" si="991"/>
        <v>-415139595.814596</v>
      </c>
      <c r="S615">
        <f t="shared" si="992"/>
        <v>-4151.3959581459603</v>
      </c>
      <c r="T615">
        <f t="shared" si="993"/>
        <v>-4.1513959581459607</v>
      </c>
    </row>
    <row r="616" spans="1:20" x14ac:dyDescent="0.25">
      <c r="A616" s="5">
        <v>43977</v>
      </c>
      <c r="B616">
        <v>2.3879999999999998E-2</v>
      </c>
      <c r="C616">
        <v>2.445E-2</v>
      </c>
      <c r="D616">
        <v>2.1780000000000001E-2</v>
      </c>
      <c r="E616">
        <v>2.2720000000000001E-2</v>
      </c>
      <c r="F616">
        <v>21925154.899999999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-0.29588014981273386</v>
      </c>
      <c r="Q616">
        <f t="shared" si="990"/>
        <v>-6487218.1164793959</v>
      </c>
      <c r="R616">
        <f t="shared" si="991"/>
        <v>-413786348.1437099</v>
      </c>
      <c r="S616">
        <f t="shared" si="992"/>
        <v>-4137.8634814370989</v>
      </c>
      <c r="T616">
        <f t="shared" si="993"/>
        <v>-4.1378634814370994</v>
      </c>
    </row>
    <row r="617" spans="1:20" x14ac:dyDescent="0.25">
      <c r="A617" s="5">
        <v>43976</v>
      </c>
      <c r="B617">
        <v>2.188E-2</v>
      </c>
      <c r="C617">
        <v>2.4199999999999999E-2</v>
      </c>
      <c r="D617">
        <v>2.1250000000000002E-2</v>
      </c>
      <c r="E617">
        <v>2.3879999999999998E-2</v>
      </c>
      <c r="F617">
        <v>25730656.699999999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0.78305084745762643</v>
      </c>
      <c r="Q617">
        <f t="shared" si="990"/>
        <v>20148412.534576252</v>
      </c>
      <c r="R617">
        <f t="shared" si="991"/>
        <v>-407299130.0272305</v>
      </c>
      <c r="S617">
        <f t="shared" si="992"/>
        <v>-4072.9913002723051</v>
      </c>
      <c r="T617">
        <f t="shared" si="993"/>
        <v>-4.0729913002723048</v>
      </c>
    </row>
    <row r="618" spans="1:20" x14ac:dyDescent="0.25">
      <c r="A618" s="5">
        <v>43975</v>
      </c>
      <c r="B618">
        <v>2.3210000000000001E-2</v>
      </c>
      <c r="C618">
        <v>2.5329999999999998E-2</v>
      </c>
      <c r="D618">
        <v>2.1520000000000001E-2</v>
      </c>
      <c r="E618">
        <v>2.1899999999999999E-2</v>
      </c>
      <c r="F618">
        <v>39866246.700000003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-0.80052493438320282</v>
      </c>
      <c r="Q618">
        <f t="shared" si="990"/>
        <v>-31913924.523622077</v>
      </c>
      <c r="R618">
        <f t="shared" si="991"/>
        <v>-427447542.56180674</v>
      </c>
      <c r="S618">
        <f t="shared" si="992"/>
        <v>-4274.4754256180677</v>
      </c>
      <c r="T618">
        <f t="shared" si="993"/>
        <v>-4.2744754256180677</v>
      </c>
    </row>
    <row r="619" spans="1:20" x14ac:dyDescent="0.25">
      <c r="A619" s="5">
        <v>43974</v>
      </c>
      <c r="B619">
        <v>2.1049999999999999E-2</v>
      </c>
      <c r="C619">
        <v>2.3449999999999999E-2</v>
      </c>
      <c r="D619">
        <v>2.0840000000000001E-2</v>
      </c>
      <c r="E619">
        <v>2.324E-2</v>
      </c>
      <c r="F619">
        <v>22217609.199999999</v>
      </c>
      <c r="G619">
        <v>0</v>
      </c>
      <c r="L619" t="s">
        <v>8</v>
      </c>
      <c r="M619" t="s">
        <v>8</v>
      </c>
      <c r="N619" t="s">
        <v>7</v>
      </c>
      <c r="P619">
        <f t="shared" si="989"/>
        <v>0.83908045977011603</v>
      </c>
      <c r="Q619">
        <f t="shared" si="990"/>
        <v>18642361.742528759</v>
      </c>
      <c r="R619">
        <f t="shared" si="991"/>
        <v>-395533618.03818464</v>
      </c>
      <c r="S619">
        <f t="shared" si="992"/>
        <v>-3955.3361803818466</v>
      </c>
      <c r="T619">
        <f t="shared" si="993"/>
        <v>-3.9553361803818468</v>
      </c>
    </row>
    <row r="620" spans="1:20" x14ac:dyDescent="0.25">
      <c r="A620" s="5">
        <v>43973</v>
      </c>
      <c r="B620">
        <v>2.0209999999999999E-2</v>
      </c>
      <c r="C620">
        <v>2.164E-2</v>
      </c>
      <c r="D620">
        <v>1.9650000000000001E-2</v>
      </c>
      <c r="E620">
        <v>2.104E-2</v>
      </c>
      <c r="F620">
        <v>10053137.300000001</v>
      </c>
      <c r="G620">
        <v>0</v>
      </c>
      <c r="L620" t="s">
        <v>8</v>
      </c>
      <c r="M620" t="s">
        <v>7</v>
      </c>
      <c r="N620" t="s">
        <v>7</v>
      </c>
      <c r="P620">
        <f t="shared" si="989"/>
        <v>0.39698492462311535</v>
      </c>
      <c r="Q620">
        <f t="shared" si="990"/>
        <v>3990943.9532663296</v>
      </c>
      <c r="R620">
        <f t="shared" si="991"/>
        <v>-414175979.78071338</v>
      </c>
      <c r="S620">
        <f t="shared" si="992"/>
        <v>-4141.7597978071335</v>
      </c>
      <c r="T620">
        <f t="shared" si="993"/>
        <v>-4.1417597978071337</v>
      </c>
    </row>
    <row r="621" spans="1:20" x14ac:dyDescent="0.25">
      <c r="A621" s="5">
        <v>43972</v>
      </c>
      <c r="B621">
        <v>2.1499999999999998E-2</v>
      </c>
      <c r="C621">
        <v>2.172E-2</v>
      </c>
      <c r="D621">
        <v>1.873E-2</v>
      </c>
      <c r="E621">
        <v>2.026E-2</v>
      </c>
      <c r="F621">
        <v>26814826.300000001</v>
      </c>
      <c r="G621">
        <v>0</v>
      </c>
      <c r="L621" t="s">
        <v>7</v>
      </c>
      <c r="M621" t="s">
        <v>7</v>
      </c>
      <c r="N621" t="s">
        <v>7</v>
      </c>
      <c r="P621">
        <f t="shared" si="989"/>
        <v>2.3411371237458404E-2</v>
      </c>
      <c r="Q621">
        <f t="shared" si="990"/>
        <v>627771.85317726317</v>
      </c>
      <c r="R621">
        <f t="shared" si="991"/>
        <v>-418166923.7339797</v>
      </c>
      <c r="S621">
        <f t="shared" si="992"/>
        <v>-4181.6692373397973</v>
      </c>
      <c r="T621">
        <f t="shared" si="993"/>
        <v>-4.181669237339797</v>
      </c>
    </row>
    <row r="622" spans="1:20" x14ac:dyDescent="0.25">
      <c r="A622" s="5">
        <v>43971</v>
      </c>
      <c r="B622">
        <v>2.051E-2</v>
      </c>
      <c r="C622">
        <v>2.2509999999999999E-2</v>
      </c>
      <c r="D622">
        <v>2.0129999999999999E-2</v>
      </c>
      <c r="E622">
        <v>2.1499999999999998E-2</v>
      </c>
      <c r="F622">
        <v>34390563.600000001</v>
      </c>
      <c r="G622">
        <v>0</v>
      </c>
      <c r="L622" t="s">
        <v>8</v>
      </c>
      <c r="M622" t="s">
        <v>8</v>
      </c>
      <c r="N622" t="s">
        <v>7</v>
      </c>
      <c r="P622">
        <f t="shared" si="989"/>
        <v>0.15126050420168033</v>
      </c>
      <c r="Q622">
        <f t="shared" si="990"/>
        <v>5201933.9899159549</v>
      </c>
      <c r="R622">
        <f t="shared" si="991"/>
        <v>-418794695.58715695</v>
      </c>
      <c r="S622">
        <f t="shared" si="992"/>
        <v>-4187.9469558715691</v>
      </c>
      <c r="T622">
        <f t="shared" si="993"/>
        <v>-4.1879469558715687</v>
      </c>
    </row>
    <row r="623" spans="1:20" x14ac:dyDescent="0.25">
      <c r="A623" s="5">
        <v>43970</v>
      </c>
      <c r="B623">
        <v>2.0080000000000001E-2</v>
      </c>
      <c r="C623">
        <v>2.129E-2</v>
      </c>
      <c r="D623">
        <v>1.9689999999999999E-2</v>
      </c>
      <c r="E623">
        <v>2.061E-2</v>
      </c>
      <c r="F623">
        <v>15090868.6</v>
      </c>
      <c r="G623">
        <v>0</v>
      </c>
      <c r="L623" t="s">
        <v>8</v>
      </c>
      <c r="M623" t="s">
        <v>8</v>
      </c>
      <c r="N623" t="s">
        <v>7</v>
      </c>
      <c r="P623">
        <f t="shared" si="989"/>
        <v>0.15000000000000033</v>
      </c>
      <c r="Q623">
        <f t="shared" si="990"/>
        <v>2263630.2900000047</v>
      </c>
      <c r="R623">
        <f t="shared" si="991"/>
        <v>-423996629.57707292</v>
      </c>
      <c r="S623">
        <f t="shared" si="992"/>
        <v>-4239.9662957707296</v>
      </c>
      <c r="T623">
        <f t="shared" si="993"/>
        <v>-4.2399662957707296</v>
      </c>
    </row>
    <row r="624" spans="1:20" x14ac:dyDescent="0.25">
      <c r="A624" s="5">
        <v>43969</v>
      </c>
      <c r="B624">
        <v>1.8880000000000001E-2</v>
      </c>
      <c r="C624">
        <v>2.087E-2</v>
      </c>
      <c r="D624">
        <v>1.831E-2</v>
      </c>
      <c r="E624">
        <v>2.01E-2</v>
      </c>
      <c r="F624">
        <v>28996800.199999999</v>
      </c>
      <c r="G624">
        <v>0</v>
      </c>
      <c r="L624" t="s">
        <v>7</v>
      </c>
      <c r="M624" t="s">
        <v>8</v>
      </c>
      <c r="N624" t="s">
        <v>7</v>
      </c>
      <c r="P624">
        <f t="shared" si="989"/>
        <v>0.39843750000000006</v>
      </c>
      <c r="Q624">
        <f t="shared" si="990"/>
        <v>11553412.579687502</v>
      </c>
      <c r="R624">
        <f t="shared" si="991"/>
        <v>-426260259.86707294</v>
      </c>
      <c r="S624">
        <f t="shared" si="992"/>
        <v>-4262.6025986707291</v>
      </c>
      <c r="T624">
        <f t="shared" si="993"/>
        <v>-4.2626025986707292</v>
      </c>
    </row>
    <row r="625" spans="1:20" x14ac:dyDescent="0.25">
      <c r="A625" s="5">
        <v>43968</v>
      </c>
      <c r="B625">
        <v>1.9109999999999999E-2</v>
      </c>
      <c r="C625">
        <v>1.95E-2</v>
      </c>
      <c r="D625">
        <v>1.8610000000000002E-2</v>
      </c>
      <c r="E625">
        <v>1.8870000000000001E-2</v>
      </c>
      <c r="F625">
        <v>7685887.0999999996</v>
      </c>
      <c r="G625">
        <v>0</v>
      </c>
      <c r="L625" t="s">
        <v>7</v>
      </c>
      <c r="M625" t="s">
        <v>7</v>
      </c>
      <c r="N625" t="s">
        <v>7</v>
      </c>
      <c r="P625">
        <f t="shared" si="989"/>
        <v>-0.41573033707865109</v>
      </c>
      <c r="Q625">
        <f t="shared" si="990"/>
        <v>-3195256.4348314558</v>
      </c>
      <c r="R625">
        <f t="shared" si="991"/>
        <v>-437813672.44676042</v>
      </c>
      <c r="S625">
        <f t="shared" si="992"/>
        <v>-4378.1367244676039</v>
      </c>
      <c r="T625">
        <f t="shared" si="993"/>
        <v>-4.3781367244676037</v>
      </c>
    </row>
    <row r="626" spans="1:20" x14ac:dyDescent="0.25">
      <c r="A626" s="5">
        <v>43967</v>
      </c>
      <c r="B626">
        <v>1.9130000000000001E-2</v>
      </c>
      <c r="C626">
        <v>1.9900000000000001E-2</v>
      </c>
      <c r="D626">
        <v>1.8620000000000001E-2</v>
      </c>
      <c r="E626">
        <v>1.9109999999999999E-2</v>
      </c>
      <c r="F626">
        <v>10951308.9</v>
      </c>
      <c r="G626">
        <v>0</v>
      </c>
      <c r="L626" t="s">
        <v>7</v>
      </c>
      <c r="M626" t="s">
        <v>7</v>
      </c>
      <c r="N626" t="s">
        <v>7</v>
      </c>
      <c r="P626">
        <f t="shared" si="989"/>
        <v>-0.23437500000000402</v>
      </c>
      <c r="Q626">
        <f t="shared" si="990"/>
        <v>-2566713.0234375442</v>
      </c>
      <c r="R626">
        <f t="shared" si="991"/>
        <v>-434618416.01192898</v>
      </c>
      <c r="S626">
        <f t="shared" si="992"/>
        <v>-4346.18416011929</v>
      </c>
      <c r="T626">
        <f t="shared" si="993"/>
        <v>-4.3461841601192903</v>
      </c>
    </row>
    <row r="627" spans="1:20" x14ac:dyDescent="0.25">
      <c r="A627" s="5">
        <v>43966</v>
      </c>
      <c r="B627">
        <v>1.8550000000000001E-2</v>
      </c>
      <c r="C627">
        <v>1.9879999999999998E-2</v>
      </c>
      <c r="D627">
        <v>1.8110000000000001E-2</v>
      </c>
      <c r="E627">
        <v>1.9230000000000001E-2</v>
      </c>
      <c r="F627">
        <v>17292420.199999999</v>
      </c>
      <c r="G627">
        <v>0</v>
      </c>
      <c r="L627" t="s">
        <v>8</v>
      </c>
      <c r="M627" t="s">
        <v>7</v>
      </c>
      <c r="N627" t="s">
        <v>7</v>
      </c>
      <c r="P627">
        <f t="shared" si="989"/>
        <v>0.26553672316384314</v>
      </c>
      <c r="Q627">
        <f t="shared" si="990"/>
        <v>4591772.5954802483</v>
      </c>
      <c r="R627">
        <f t="shared" si="991"/>
        <v>-432051702.98849142</v>
      </c>
      <c r="S627">
        <f t="shared" si="992"/>
        <v>-4320.5170298849143</v>
      </c>
      <c r="T627">
        <f t="shared" si="993"/>
        <v>-4.3205170298849147</v>
      </c>
    </row>
    <row r="628" spans="1:20" x14ac:dyDescent="0.25">
      <c r="A628" s="5">
        <v>43965</v>
      </c>
      <c r="B628">
        <v>1.8839999999999999E-2</v>
      </c>
      <c r="C628">
        <v>1.9199999999999998E-2</v>
      </c>
      <c r="D628">
        <v>1.822E-2</v>
      </c>
      <c r="E628">
        <v>1.8550000000000001E-2</v>
      </c>
      <c r="F628">
        <v>12278357.6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-0.32653061224489588</v>
      </c>
      <c r="Q628">
        <f t="shared" si="990"/>
        <v>-4009259.6244897703</v>
      </c>
      <c r="R628">
        <f t="shared" si="991"/>
        <v>-436643475.58397168</v>
      </c>
      <c r="S628">
        <f t="shared" si="992"/>
        <v>-4366.4347558397167</v>
      </c>
      <c r="T628">
        <f t="shared" si="993"/>
        <v>-4.366434755839717</v>
      </c>
    </row>
    <row r="629" spans="1:20" x14ac:dyDescent="0.25">
      <c r="A629" s="5">
        <v>43964</v>
      </c>
      <c r="B629">
        <v>1.831E-2</v>
      </c>
      <c r="C629">
        <v>1.899E-2</v>
      </c>
      <c r="D629">
        <v>1.8110000000000001E-2</v>
      </c>
      <c r="E629">
        <v>1.8689999999999998E-2</v>
      </c>
      <c r="F629">
        <v>10592479.6</v>
      </c>
      <c r="G629">
        <v>0</v>
      </c>
      <c r="L629" t="s">
        <v>7</v>
      </c>
      <c r="M629" t="s">
        <v>7</v>
      </c>
      <c r="N629" t="s">
        <v>7</v>
      </c>
      <c r="P629">
        <f t="shared" si="989"/>
        <v>0.31818181818181351</v>
      </c>
      <c r="Q629">
        <f t="shared" si="990"/>
        <v>3370334.4181817686</v>
      </c>
      <c r="R629">
        <f t="shared" si="991"/>
        <v>-432634215.95948189</v>
      </c>
      <c r="S629">
        <f t="shared" si="992"/>
        <v>-4326.3421595948193</v>
      </c>
      <c r="T629">
        <f t="shared" si="993"/>
        <v>-4.3263421595948195</v>
      </c>
    </row>
    <row r="630" spans="1:20" x14ac:dyDescent="0.25">
      <c r="A630" s="5">
        <v>43963</v>
      </c>
      <c r="B630">
        <v>1.8190000000000001E-2</v>
      </c>
      <c r="C630">
        <v>1.8800000000000001E-2</v>
      </c>
      <c r="D630">
        <v>1.7950000000000001E-2</v>
      </c>
      <c r="E630">
        <v>1.83E-2</v>
      </c>
      <c r="F630">
        <v>14876954.800000001</v>
      </c>
      <c r="G630">
        <v>0</v>
      </c>
      <c r="L630" t="s">
        <v>7</v>
      </c>
      <c r="M630" t="s">
        <v>7</v>
      </c>
      <c r="N630" t="s">
        <v>7</v>
      </c>
      <c r="P630">
        <f t="shared" si="989"/>
        <v>-0.17647058823529507</v>
      </c>
      <c r="Q630">
        <f t="shared" si="990"/>
        <v>-2625344.9647058966</v>
      </c>
      <c r="R630">
        <f t="shared" si="991"/>
        <v>-436004550.37766367</v>
      </c>
      <c r="S630">
        <f t="shared" si="992"/>
        <v>-4360.0455037766369</v>
      </c>
      <c r="T630">
        <f t="shared" si="993"/>
        <v>-4.3600455037766368</v>
      </c>
    </row>
    <row r="631" spans="1:20" x14ac:dyDescent="0.25">
      <c r="A631" s="5">
        <v>43962</v>
      </c>
      <c r="B631">
        <v>1.848E-2</v>
      </c>
      <c r="C631">
        <v>1.9990000000000001E-2</v>
      </c>
      <c r="D631">
        <v>1.7229999999999999E-2</v>
      </c>
      <c r="E631">
        <v>1.8239999999999999E-2</v>
      </c>
      <c r="F631">
        <v>21705077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-0.2681159420289857</v>
      </c>
      <c r="Q631">
        <f t="shared" si="990"/>
        <v>-5819477.1666666707</v>
      </c>
      <c r="R631">
        <f t="shared" si="991"/>
        <v>-433379205.41295779</v>
      </c>
      <c r="S631">
        <f t="shared" si="992"/>
        <v>-4333.792054129578</v>
      </c>
      <c r="T631">
        <f t="shared" si="993"/>
        <v>-4.333792054129578</v>
      </c>
    </row>
    <row r="632" spans="1:20" x14ac:dyDescent="0.25">
      <c r="A632" s="5">
        <v>43961</v>
      </c>
      <c r="B632">
        <v>1.9900000000000001E-2</v>
      </c>
      <c r="C632">
        <v>1.9990000000000001E-2</v>
      </c>
      <c r="D632">
        <v>1.7000000000000001E-2</v>
      </c>
      <c r="E632">
        <v>1.8489999999999999E-2</v>
      </c>
      <c r="F632">
        <v>20501836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-3.3444816053521953E-3</v>
      </c>
      <c r="Q632">
        <f t="shared" si="990"/>
        <v>-68568.013377947427</v>
      </c>
      <c r="R632">
        <f t="shared" si="991"/>
        <v>-427559728.2462911</v>
      </c>
      <c r="S632">
        <f t="shared" si="992"/>
        <v>-4275.5972824629107</v>
      </c>
      <c r="T632">
        <f t="shared" si="993"/>
        <v>-4.2755972824629103</v>
      </c>
    </row>
    <row r="633" spans="1:20" x14ac:dyDescent="0.25">
      <c r="A633" s="5">
        <v>43960</v>
      </c>
      <c r="B633">
        <v>1.95E-2</v>
      </c>
      <c r="C633">
        <v>2.104E-2</v>
      </c>
      <c r="D633">
        <v>1.9220000000000001E-2</v>
      </c>
      <c r="E633">
        <v>1.9900000000000001E-2</v>
      </c>
      <c r="F633">
        <v>17042137.800000001</v>
      </c>
      <c r="G633">
        <v>0</v>
      </c>
      <c r="L633" t="s">
        <v>7</v>
      </c>
      <c r="M633" t="s">
        <v>8</v>
      </c>
      <c r="N633" t="s">
        <v>7</v>
      </c>
      <c r="P633">
        <f t="shared" si="989"/>
        <v>-0.25274725274725218</v>
      </c>
      <c r="Q633">
        <f t="shared" si="990"/>
        <v>-4307353.5098901</v>
      </c>
      <c r="R633">
        <f t="shared" si="991"/>
        <v>-427491160.23291314</v>
      </c>
      <c r="S633">
        <f t="shared" si="992"/>
        <v>-4274.9116023291317</v>
      </c>
      <c r="T633">
        <f t="shared" si="993"/>
        <v>-4.2749116023291318</v>
      </c>
    </row>
    <row r="634" spans="1:20" x14ac:dyDescent="0.25">
      <c r="A634" s="5">
        <v>43959</v>
      </c>
      <c r="B634">
        <v>1.8620000000000001E-2</v>
      </c>
      <c r="C634">
        <v>2.12E-2</v>
      </c>
      <c r="D634">
        <v>1.839E-2</v>
      </c>
      <c r="E634">
        <v>1.95E-2</v>
      </c>
      <c r="F634">
        <v>21947428.100000001</v>
      </c>
      <c r="G634">
        <v>0</v>
      </c>
      <c r="L634" t="s">
        <v>8</v>
      </c>
      <c r="M634" t="s">
        <v>8</v>
      </c>
      <c r="N634" t="s">
        <v>7</v>
      </c>
      <c r="P634">
        <f t="shared" si="989"/>
        <v>-0.209964412811388</v>
      </c>
      <c r="Q634">
        <f t="shared" si="990"/>
        <v>-4608178.8537366576</v>
      </c>
      <c r="R634">
        <f t="shared" si="991"/>
        <v>-423183806.72302306</v>
      </c>
      <c r="S634">
        <f t="shared" si="992"/>
        <v>-4231.838067230231</v>
      </c>
      <c r="T634">
        <f t="shared" si="993"/>
        <v>-4.2318380672302309</v>
      </c>
    </row>
    <row r="635" spans="1:20" x14ac:dyDescent="0.25">
      <c r="A635" s="5">
        <v>43958</v>
      </c>
      <c r="B635">
        <v>1.9109999999999999E-2</v>
      </c>
      <c r="C635">
        <v>1.966E-2</v>
      </c>
      <c r="D635">
        <v>1.77E-2</v>
      </c>
      <c r="E635">
        <v>1.8620000000000001E-2</v>
      </c>
      <c r="F635">
        <v>28156428.5</v>
      </c>
      <c r="G635">
        <v>0</v>
      </c>
      <c r="L635" t="s">
        <v>7</v>
      </c>
      <c r="M635" t="s">
        <v>7</v>
      </c>
      <c r="N635" t="s">
        <v>7</v>
      </c>
      <c r="P635">
        <f t="shared" si="989"/>
        <v>-6.1224489795917644E-2</v>
      </c>
      <c r="Q635">
        <f t="shared" si="990"/>
        <v>-1723862.9693877348</v>
      </c>
      <c r="R635">
        <f t="shared" si="991"/>
        <v>-418575627.86928642</v>
      </c>
      <c r="S635">
        <f t="shared" si="992"/>
        <v>-4185.7562786928638</v>
      </c>
      <c r="T635">
        <f t="shared" si="993"/>
        <v>-4.1857562786928639</v>
      </c>
    </row>
    <row r="636" spans="1:20" x14ac:dyDescent="0.25">
      <c r="A636" s="5">
        <v>43957</v>
      </c>
      <c r="B636">
        <v>2.0490000000000001E-2</v>
      </c>
      <c r="C636">
        <v>2.1499999999999998E-2</v>
      </c>
      <c r="D636">
        <v>1.8800000000000001E-2</v>
      </c>
      <c r="E636">
        <v>1.9140000000000001E-2</v>
      </c>
      <c r="F636">
        <v>15935744.4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-0.7481481481481479</v>
      </c>
      <c r="Q636">
        <f t="shared" si="990"/>
        <v>-11922297.662222218</v>
      </c>
      <c r="R636">
        <f t="shared" si="991"/>
        <v>-416851764.89989871</v>
      </c>
      <c r="S636">
        <f t="shared" si="992"/>
        <v>-4168.5176489989872</v>
      </c>
      <c r="T636">
        <f t="shared" si="993"/>
        <v>-4.1685176489989875</v>
      </c>
    </row>
    <row r="637" spans="1:20" x14ac:dyDescent="0.25">
      <c r="A637" s="5">
        <v>43956</v>
      </c>
      <c r="B637">
        <v>2.1270000000000001E-2</v>
      </c>
      <c r="C637">
        <v>2.1489999999999999E-2</v>
      </c>
      <c r="D637">
        <v>2.0070000000000001E-2</v>
      </c>
      <c r="E637">
        <v>2.0490000000000001E-2</v>
      </c>
      <c r="F637">
        <v>9101288.8000000007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-0.40845070422535079</v>
      </c>
      <c r="Q637">
        <f t="shared" si="990"/>
        <v>-3717427.819718298</v>
      </c>
      <c r="R637">
        <f t="shared" si="991"/>
        <v>-404929467.2376765</v>
      </c>
      <c r="S637">
        <f t="shared" si="992"/>
        <v>-4049.294672376765</v>
      </c>
      <c r="T637">
        <f t="shared" si="993"/>
        <v>-4.0492946723767647</v>
      </c>
    </row>
    <row r="638" spans="1:20" x14ac:dyDescent="0.25">
      <c r="A638" s="5">
        <v>43955</v>
      </c>
      <c r="B638">
        <v>2.0729999999999998E-2</v>
      </c>
      <c r="C638">
        <v>2.1700000000000001E-2</v>
      </c>
      <c r="D638">
        <v>1.967E-2</v>
      </c>
      <c r="E638">
        <v>2.1059999999999999E-2</v>
      </c>
      <c r="F638">
        <v>16296272.9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0.36945812807881623</v>
      </c>
      <c r="Q638">
        <f t="shared" si="990"/>
        <v>6020790.4802955417</v>
      </c>
      <c r="R638">
        <f t="shared" si="991"/>
        <v>-401212039.4179582</v>
      </c>
      <c r="S638">
        <f t="shared" si="992"/>
        <v>-4012.120394179582</v>
      </c>
      <c r="T638">
        <f t="shared" si="993"/>
        <v>-4.0121203941795818</v>
      </c>
    </row>
    <row r="639" spans="1:20" x14ac:dyDescent="0.25">
      <c r="A639" s="5">
        <v>43954</v>
      </c>
      <c r="B639">
        <v>2.214E-2</v>
      </c>
      <c r="C639">
        <v>2.222E-2</v>
      </c>
      <c r="D639">
        <v>1.9980000000000001E-2</v>
      </c>
      <c r="E639">
        <v>2.0760000000000001E-2</v>
      </c>
      <c r="F639">
        <v>18186348.5</v>
      </c>
      <c r="G639">
        <v>0</v>
      </c>
      <c r="L639" t="s">
        <v>7</v>
      </c>
      <c r="M639" t="s">
        <v>7</v>
      </c>
      <c r="N639" t="s">
        <v>8</v>
      </c>
      <c r="P639">
        <f t="shared" si="989"/>
        <v>-0.30357142857142871</v>
      </c>
      <c r="Q639">
        <f t="shared" si="990"/>
        <v>-5520855.7946428601</v>
      </c>
      <c r="R639">
        <f t="shared" si="991"/>
        <v>-407232829.89825374</v>
      </c>
      <c r="S639">
        <f t="shared" si="992"/>
        <v>-4072.3282989825375</v>
      </c>
      <c r="T639">
        <f t="shared" si="993"/>
        <v>-4.0723282989825371</v>
      </c>
    </row>
    <row r="640" spans="1:20" x14ac:dyDescent="0.25">
      <c r="A640" s="5">
        <v>43953</v>
      </c>
      <c r="B640">
        <v>2.2280000000000001E-2</v>
      </c>
      <c r="C640">
        <v>2.266E-2</v>
      </c>
      <c r="D640">
        <v>2.1739999999999999E-2</v>
      </c>
      <c r="E640">
        <v>2.214E-2</v>
      </c>
      <c r="F640">
        <v>16933567.300000001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-0.13043478260869401</v>
      </c>
      <c r="Q640">
        <f t="shared" si="990"/>
        <v>-2208726.1695651896</v>
      </c>
      <c r="R640">
        <f t="shared" si="991"/>
        <v>-401711974.10361087</v>
      </c>
      <c r="S640">
        <f t="shared" si="992"/>
        <v>-4017.1197410361087</v>
      </c>
      <c r="T640">
        <f t="shared" si="993"/>
        <v>-4.017119741036109</v>
      </c>
    </row>
    <row r="641" spans="1:20" x14ac:dyDescent="0.25">
      <c r="A641" s="5">
        <v>43952</v>
      </c>
      <c r="B641">
        <v>2.2169999999999999E-2</v>
      </c>
      <c r="C641">
        <v>2.2839999999999999E-2</v>
      </c>
      <c r="D641">
        <v>2.1299999999999999E-2</v>
      </c>
      <c r="E641">
        <v>2.2290000000000001E-2</v>
      </c>
      <c r="F641">
        <v>22979132.199999999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0.28571428571428764</v>
      </c>
      <c r="Q641">
        <f t="shared" si="990"/>
        <v>6565466.3428571867</v>
      </c>
      <c r="R641">
        <f t="shared" si="991"/>
        <v>-399503247.93404567</v>
      </c>
      <c r="S641">
        <f t="shared" si="992"/>
        <v>-3995.0324793404566</v>
      </c>
      <c r="T641">
        <f t="shared" si="993"/>
        <v>-3.9950324793404564</v>
      </c>
    </row>
    <row r="642" spans="1:20" x14ac:dyDescent="0.25">
      <c r="A642" s="5">
        <v>43951</v>
      </c>
      <c r="B642">
        <v>2.29E-2</v>
      </c>
      <c r="C642">
        <v>2.3E-2</v>
      </c>
      <c r="D642">
        <v>2.1649999999999999E-2</v>
      </c>
      <c r="E642">
        <v>2.2200000000000001E-2</v>
      </c>
      <c r="F642">
        <v>32796730.300000001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-0.1851851851851827</v>
      </c>
      <c r="Q642">
        <f t="shared" si="990"/>
        <v>-6073468.5740739927</v>
      </c>
      <c r="R642">
        <f t="shared" si="991"/>
        <v>-406068714.27690285</v>
      </c>
      <c r="S642">
        <f t="shared" si="992"/>
        <v>-4060.6871427690285</v>
      </c>
      <c r="T642">
        <f t="shared" si="993"/>
        <v>-4.0606871427690283</v>
      </c>
    </row>
    <row r="643" spans="1:20" x14ac:dyDescent="0.25">
      <c r="A643" s="5">
        <v>43950</v>
      </c>
      <c r="B643">
        <v>2.2599999999999999E-2</v>
      </c>
      <c r="C643">
        <v>2.3400000000000001E-2</v>
      </c>
      <c r="D643">
        <v>2.162E-2</v>
      </c>
      <c r="E643">
        <v>2.2970000000000001E-2</v>
      </c>
      <c r="F643">
        <v>33603953.700000003</v>
      </c>
      <c r="G643">
        <v>0</v>
      </c>
      <c r="L643" t="s">
        <v>7</v>
      </c>
      <c r="M643" t="s">
        <v>8</v>
      </c>
      <c r="N643" t="s">
        <v>8</v>
      </c>
      <c r="P643">
        <f t="shared" si="989"/>
        <v>0.51685393258426993</v>
      </c>
      <c r="Q643">
        <f t="shared" si="990"/>
        <v>17368335.620224729</v>
      </c>
      <c r="R643">
        <f t="shared" si="991"/>
        <v>-399995245.70282888</v>
      </c>
      <c r="S643">
        <f t="shared" si="992"/>
        <v>-3999.9524570282888</v>
      </c>
      <c r="T643">
        <f t="shared" si="993"/>
        <v>-3.9999524570282889</v>
      </c>
    </row>
    <row r="644" spans="1:20" x14ac:dyDescent="0.25">
      <c r="A644" s="5">
        <v>43949</v>
      </c>
      <c r="B644">
        <v>2.2769999999999999E-2</v>
      </c>
      <c r="C644">
        <v>2.3259999999999999E-2</v>
      </c>
      <c r="D644">
        <v>2.2120000000000001E-2</v>
      </c>
      <c r="E644">
        <v>2.2579999999999999E-2</v>
      </c>
      <c r="F644">
        <v>10975563.699999999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-0.19298245614035237</v>
      </c>
      <c r="Q644">
        <f t="shared" si="990"/>
        <v>-2118091.2403508932</v>
      </c>
      <c r="R644">
        <f t="shared" si="991"/>
        <v>-417363581.3230536</v>
      </c>
      <c r="S644">
        <f t="shared" si="992"/>
        <v>-4173.6358132305359</v>
      </c>
      <c r="T644">
        <f t="shared" si="993"/>
        <v>-4.1736358132305362</v>
      </c>
    </row>
    <row r="645" spans="1:20" x14ac:dyDescent="0.25">
      <c r="A645" s="5">
        <v>43948</v>
      </c>
      <c r="B645">
        <v>2.3529999999999999E-2</v>
      </c>
      <c r="C645">
        <v>2.3720000000000001E-2</v>
      </c>
      <c r="D645">
        <v>2.1940000000000001E-2</v>
      </c>
      <c r="E645">
        <v>2.2769999999999999E-2</v>
      </c>
      <c r="F645">
        <v>31196889.600000001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-6.7415730337081745E-2</v>
      </c>
      <c r="Q645">
        <f t="shared" si="990"/>
        <v>-2103161.0966293099</v>
      </c>
      <c r="R645">
        <f t="shared" si="991"/>
        <v>-415245490.0827027</v>
      </c>
      <c r="S645">
        <f t="shared" si="992"/>
        <v>-4152.4549008270269</v>
      </c>
      <c r="T645">
        <f t="shared" si="993"/>
        <v>-4.1524549008270268</v>
      </c>
    </row>
    <row r="646" spans="1:20" x14ac:dyDescent="0.25">
      <c r="A646" s="5">
        <v>43947</v>
      </c>
      <c r="B646">
        <v>2.1489999999999999E-2</v>
      </c>
      <c r="C646">
        <v>2.4420000000000001E-2</v>
      </c>
      <c r="D646">
        <v>2.1440000000000001E-2</v>
      </c>
      <c r="E646">
        <v>2.3529999999999999E-2</v>
      </c>
      <c r="F646">
        <v>55393700.600000001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0.40268456375838801</v>
      </c>
      <c r="Q646">
        <f t="shared" ref="Q646:Q709" si="995">F646*P646</f>
        <v>22306188.161073755</v>
      </c>
      <c r="R646">
        <f t="shared" ref="R646:R709" si="996">R647+Q646</f>
        <v>-413142328.98607337</v>
      </c>
      <c r="S646">
        <f t="shared" ref="S646:S709" si="997">R646/100000</f>
        <v>-4131.4232898607333</v>
      </c>
      <c r="T646">
        <f t="shared" ref="T646:T709" si="998">S646/1000</f>
        <v>-4.1314232898607335</v>
      </c>
    </row>
    <row r="647" spans="1:20" x14ac:dyDescent="0.25">
      <c r="A647" s="5">
        <v>43946</v>
      </c>
      <c r="B647">
        <v>2.1569999999999999E-2</v>
      </c>
      <c r="C647">
        <v>2.273E-2</v>
      </c>
      <c r="D647">
        <v>2.1270000000000001E-2</v>
      </c>
      <c r="E647">
        <v>2.162E-2</v>
      </c>
      <c r="F647">
        <v>19231288</v>
      </c>
      <c r="G647">
        <v>0</v>
      </c>
      <c r="L647" t="s">
        <v>7</v>
      </c>
      <c r="M647" t="s">
        <v>8</v>
      </c>
      <c r="N647" t="s">
        <v>8</v>
      </c>
      <c r="P647">
        <f t="shared" si="994"/>
        <v>-0.52054794520547976</v>
      </c>
      <c r="Q647">
        <f t="shared" si="995"/>
        <v>-10010807.4520548</v>
      </c>
      <c r="R647">
        <f t="shared" si="996"/>
        <v>-435448517.14714712</v>
      </c>
      <c r="S647">
        <f t="shared" si="997"/>
        <v>-4354.4851714714714</v>
      </c>
      <c r="T647">
        <f t="shared" si="998"/>
        <v>-4.3544851714714712</v>
      </c>
    </row>
    <row r="648" spans="1:20" x14ac:dyDescent="0.25">
      <c r="A648" s="5">
        <v>43945</v>
      </c>
      <c r="B648">
        <v>2.1250000000000002E-2</v>
      </c>
      <c r="C648">
        <v>2.2839999999999999E-2</v>
      </c>
      <c r="D648">
        <v>2.1250000000000002E-2</v>
      </c>
      <c r="E648">
        <v>2.1559999999999999E-2</v>
      </c>
      <c r="F648">
        <v>27119730.600000001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-0.6100628930817632</v>
      </c>
      <c r="Q648">
        <f t="shared" si="995"/>
        <v>-16544741.309434023</v>
      </c>
      <c r="R648">
        <f t="shared" si="996"/>
        <v>-425437709.69509232</v>
      </c>
      <c r="S648">
        <f t="shared" si="997"/>
        <v>-4254.3770969509233</v>
      </c>
      <c r="T648">
        <f t="shared" si="998"/>
        <v>-4.2543770969509236</v>
      </c>
    </row>
    <row r="649" spans="1:20" x14ac:dyDescent="0.25">
      <c r="A649" s="5">
        <v>43944</v>
      </c>
      <c r="B649">
        <v>1.9769999999999999E-2</v>
      </c>
      <c r="C649">
        <v>2.1999999999999999E-2</v>
      </c>
      <c r="D649">
        <v>1.915E-2</v>
      </c>
      <c r="E649">
        <v>2.1129999999999999E-2</v>
      </c>
      <c r="F649">
        <v>34293223</v>
      </c>
      <c r="G649">
        <v>0</v>
      </c>
      <c r="L649" t="s">
        <v>8</v>
      </c>
      <c r="M649" t="s">
        <v>8</v>
      </c>
      <c r="N649" t="s">
        <v>7</v>
      </c>
      <c r="P649">
        <f t="shared" si="994"/>
        <v>0.38947368421052647</v>
      </c>
      <c r="Q649">
        <f t="shared" si="995"/>
        <v>13356307.905263163</v>
      </c>
      <c r="R649">
        <f t="shared" si="996"/>
        <v>-408892968.38565832</v>
      </c>
      <c r="S649">
        <f t="shared" si="997"/>
        <v>-4088.9296838565833</v>
      </c>
      <c r="T649">
        <f t="shared" si="998"/>
        <v>-4.0889296838565832</v>
      </c>
    </row>
    <row r="650" spans="1:20" x14ac:dyDescent="0.25">
      <c r="A650" s="5">
        <v>43943</v>
      </c>
      <c r="B650">
        <v>1.8859999999999998E-2</v>
      </c>
      <c r="C650">
        <v>2.0320000000000001E-2</v>
      </c>
      <c r="D650">
        <v>1.874E-2</v>
      </c>
      <c r="E650">
        <v>1.9810000000000001E-2</v>
      </c>
      <c r="F650">
        <v>15093005.1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0.354430379746836</v>
      </c>
      <c r="Q650">
        <f t="shared" si="995"/>
        <v>5349419.5291139325</v>
      </c>
      <c r="R650">
        <f t="shared" si="996"/>
        <v>-422249276.29092151</v>
      </c>
      <c r="S650">
        <f t="shared" si="997"/>
        <v>-4222.4927629092153</v>
      </c>
      <c r="T650">
        <f t="shared" si="998"/>
        <v>-4.2224927629092157</v>
      </c>
    </row>
    <row r="651" spans="1:20" x14ac:dyDescent="0.25">
      <c r="A651" s="5">
        <v>43942</v>
      </c>
      <c r="B651">
        <v>1.8579999999999999E-2</v>
      </c>
      <c r="C651">
        <v>0.02</v>
      </c>
      <c r="D651">
        <v>1.8339999999999999E-2</v>
      </c>
      <c r="E651">
        <v>1.8960000000000001E-2</v>
      </c>
      <c r="F651">
        <v>24972606.800000001</v>
      </c>
      <c r="G651">
        <v>0</v>
      </c>
      <c r="L651" t="s">
        <v>8</v>
      </c>
      <c r="M651" t="s">
        <v>7</v>
      </c>
      <c r="N651" t="s">
        <v>7</v>
      </c>
      <c r="P651">
        <f t="shared" si="994"/>
        <v>-0.25301204819276885</v>
      </c>
      <c r="Q651">
        <f t="shared" si="995"/>
        <v>-6318370.3951806668</v>
      </c>
      <c r="R651">
        <f t="shared" si="996"/>
        <v>-427598695.82003546</v>
      </c>
      <c r="S651">
        <f t="shared" si="997"/>
        <v>-4275.9869582003548</v>
      </c>
      <c r="T651">
        <f t="shared" si="998"/>
        <v>-4.2759869582003551</v>
      </c>
    </row>
    <row r="652" spans="1:20" x14ac:dyDescent="0.25">
      <c r="A652" s="5">
        <v>43941</v>
      </c>
      <c r="B652">
        <v>2.1059999999999999E-2</v>
      </c>
      <c r="C652">
        <v>2.1940000000000001E-2</v>
      </c>
      <c r="D652">
        <v>1.805E-2</v>
      </c>
      <c r="E652">
        <v>1.866E-2</v>
      </c>
      <c r="F652">
        <v>51476991.200000003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-0.68637532133676127</v>
      </c>
      <c r="Q652">
        <f t="shared" si="995"/>
        <v>-35332536.376349635</v>
      </c>
      <c r="R652">
        <f t="shared" si="996"/>
        <v>-421280325.42485482</v>
      </c>
      <c r="S652">
        <f t="shared" si="997"/>
        <v>-4212.803254248548</v>
      </c>
      <c r="T652">
        <f t="shared" si="998"/>
        <v>-4.2128032542485476</v>
      </c>
    </row>
    <row r="653" spans="1:20" x14ac:dyDescent="0.25">
      <c r="A653" s="5">
        <v>43940</v>
      </c>
      <c r="B653">
        <v>1.967E-2</v>
      </c>
      <c r="C653">
        <v>2.198E-2</v>
      </c>
      <c r="D653">
        <v>1.942E-2</v>
      </c>
      <c r="E653">
        <v>2.1059999999999999E-2</v>
      </c>
      <c r="F653">
        <v>39093032.899999999</v>
      </c>
      <c r="G653">
        <v>0</v>
      </c>
      <c r="L653" t="s">
        <v>8</v>
      </c>
      <c r="M653" t="s">
        <v>8</v>
      </c>
      <c r="N653" t="s">
        <v>7</v>
      </c>
      <c r="P653">
        <f t="shared" si="994"/>
        <v>0.28124999999999939</v>
      </c>
      <c r="Q653">
        <f t="shared" si="995"/>
        <v>10994915.503124977</v>
      </c>
      <c r="R653">
        <f t="shared" si="996"/>
        <v>-385947789.04850519</v>
      </c>
      <c r="S653">
        <f t="shared" si="997"/>
        <v>-3859.4778904850518</v>
      </c>
      <c r="T653">
        <f t="shared" si="998"/>
        <v>-3.859477890485052</v>
      </c>
    </row>
    <row r="654" spans="1:20" x14ac:dyDescent="0.25">
      <c r="A654" s="5">
        <v>43939</v>
      </c>
      <c r="B654">
        <v>1.9120000000000002E-2</v>
      </c>
      <c r="C654">
        <v>2.0199999999999999E-2</v>
      </c>
      <c r="D654">
        <v>1.9120000000000002E-2</v>
      </c>
      <c r="E654">
        <v>1.967E-2</v>
      </c>
      <c r="F654">
        <v>26382434.800000001</v>
      </c>
      <c r="G654">
        <v>0</v>
      </c>
      <c r="L654" t="s">
        <v>8</v>
      </c>
      <c r="M654" t="s">
        <v>8</v>
      </c>
      <c r="N654" t="s">
        <v>7</v>
      </c>
      <c r="P654">
        <f t="shared" si="994"/>
        <v>1.8518518518517806E-2</v>
      </c>
      <c r="Q654">
        <f t="shared" si="995"/>
        <v>488563.60740738863</v>
      </c>
      <c r="R654">
        <f t="shared" si="996"/>
        <v>-396942704.55163014</v>
      </c>
      <c r="S654">
        <f t="shared" si="997"/>
        <v>-3969.4270455163014</v>
      </c>
      <c r="T654">
        <f t="shared" si="998"/>
        <v>-3.9694270455163014</v>
      </c>
    </row>
    <row r="655" spans="1:20" x14ac:dyDescent="0.25">
      <c r="A655" s="5">
        <v>43938</v>
      </c>
      <c r="B655">
        <v>1.821E-2</v>
      </c>
      <c r="C655">
        <v>1.9269999999999999E-2</v>
      </c>
      <c r="D655">
        <v>1.7950000000000001E-2</v>
      </c>
      <c r="E655">
        <v>1.9029999999999998E-2</v>
      </c>
      <c r="F655">
        <v>14839610.5</v>
      </c>
      <c r="G655">
        <v>0</v>
      </c>
      <c r="L655" t="s">
        <v>8</v>
      </c>
      <c r="M655" t="s">
        <v>8</v>
      </c>
      <c r="N655" t="s">
        <v>7</v>
      </c>
      <c r="P655">
        <f t="shared" si="994"/>
        <v>0.63636363636363491</v>
      </c>
      <c r="Q655">
        <f t="shared" si="995"/>
        <v>9443388.4999999776</v>
      </c>
      <c r="R655">
        <f t="shared" si="996"/>
        <v>-397431268.15903753</v>
      </c>
      <c r="S655">
        <f t="shared" si="997"/>
        <v>-3974.3126815903752</v>
      </c>
      <c r="T655">
        <f t="shared" si="998"/>
        <v>-3.9743126815903751</v>
      </c>
    </row>
    <row r="656" spans="1:20" x14ac:dyDescent="0.25">
      <c r="A656" s="5">
        <v>43937</v>
      </c>
      <c r="B656">
        <v>1.702E-2</v>
      </c>
      <c r="C656">
        <v>1.8499999999999999E-2</v>
      </c>
      <c r="D656">
        <v>1.643E-2</v>
      </c>
      <c r="E656">
        <v>1.8249999999999999E-2</v>
      </c>
      <c r="F656">
        <v>14402843.6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0.75845410628019294</v>
      </c>
      <c r="Q656">
        <f t="shared" si="995"/>
        <v>10923895.870531397</v>
      </c>
      <c r="R656">
        <f t="shared" si="996"/>
        <v>-406874656.65903753</v>
      </c>
      <c r="S656">
        <f t="shared" si="997"/>
        <v>-4068.7465665903751</v>
      </c>
      <c r="T656">
        <f t="shared" si="998"/>
        <v>-4.0687465665903755</v>
      </c>
    </row>
    <row r="657" spans="1:20" x14ac:dyDescent="0.25">
      <c r="A657" s="5">
        <v>43936</v>
      </c>
      <c r="B657">
        <v>1.8329999999999999E-2</v>
      </c>
      <c r="C657">
        <v>1.864E-2</v>
      </c>
      <c r="D657">
        <v>1.6899999999999998E-2</v>
      </c>
      <c r="E657">
        <v>1.702E-2</v>
      </c>
      <c r="F657">
        <v>13335952.9</v>
      </c>
      <c r="G657">
        <v>0</v>
      </c>
      <c r="L657" t="s">
        <v>7</v>
      </c>
      <c r="M657" t="s">
        <v>7</v>
      </c>
      <c r="N657" t="s">
        <v>7</v>
      </c>
      <c r="P657">
        <f t="shared" si="994"/>
        <v>-0.86206896551723922</v>
      </c>
      <c r="Q657">
        <f t="shared" si="995"/>
        <v>-11496511.120689627</v>
      </c>
      <c r="R657">
        <f t="shared" si="996"/>
        <v>-417798552.52956891</v>
      </c>
      <c r="S657">
        <f t="shared" si="997"/>
        <v>-4177.9855252956895</v>
      </c>
      <c r="T657">
        <f t="shared" si="998"/>
        <v>-4.1779855252956892</v>
      </c>
    </row>
    <row r="658" spans="1:20" x14ac:dyDescent="0.25">
      <c r="A658" s="5">
        <v>43935</v>
      </c>
      <c r="B658">
        <v>1.7680000000000001E-2</v>
      </c>
      <c r="C658">
        <v>1.9E-2</v>
      </c>
      <c r="D658">
        <v>1.746E-2</v>
      </c>
      <c r="E658">
        <v>1.8370000000000001E-2</v>
      </c>
      <c r="F658">
        <v>23318715.699999999</v>
      </c>
      <c r="G658">
        <v>0</v>
      </c>
      <c r="L658" t="s">
        <v>8</v>
      </c>
      <c r="M658" t="s">
        <v>7</v>
      </c>
      <c r="N658" t="s">
        <v>7</v>
      </c>
      <c r="P658">
        <f t="shared" si="994"/>
        <v>0.18181818181818346</v>
      </c>
      <c r="Q658">
        <f t="shared" si="995"/>
        <v>4239766.4909091294</v>
      </c>
      <c r="R658">
        <f t="shared" si="996"/>
        <v>-406302041.40887928</v>
      </c>
      <c r="S658">
        <f t="shared" si="997"/>
        <v>-4063.0204140887927</v>
      </c>
      <c r="T658">
        <f t="shared" si="998"/>
        <v>-4.0630204140887924</v>
      </c>
    </row>
    <row r="659" spans="1:20" x14ac:dyDescent="0.25">
      <c r="A659" s="5">
        <v>43934</v>
      </c>
      <c r="B659">
        <v>1.6959999999999999E-2</v>
      </c>
      <c r="C659">
        <v>1.823E-2</v>
      </c>
      <c r="D659">
        <v>1.61E-2</v>
      </c>
      <c r="E659">
        <v>1.7610000000000001E-2</v>
      </c>
      <c r="F659">
        <v>31531221.800000001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0.41784037558685538</v>
      </c>
      <c r="Q659">
        <f t="shared" si="995"/>
        <v>13175017.559624443</v>
      </c>
      <c r="R659">
        <f t="shared" si="996"/>
        <v>-410541807.89978838</v>
      </c>
      <c r="S659">
        <f t="shared" si="997"/>
        <v>-4105.4180789978836</v>
      </c>
      <c r="T659">
        <f t="shared" si="998"/>
        <v>-4.105418078997884</v>
      </c>
    </row>
    <row r="660" spans="1:20" x14ac:dyDescent="0.25">
      <c r="A660" s="5">
        <v>43933</v>
      </c>
      <c r="B660">
        <v>1.7489999999999999E-2</v>
      </c>
      <c r="C660">
        <v>1.857E-2</v>
      </c>
      <c r="D660">
        <v>1.685E-2</v>
      </c>
      <c r="E660">
        <v>1.6959999999999999E-2</v>
      </c>
      <c r="F660">
        <v>46953469.600000001</v>
      </c>
      <c r="G660">
        <v>0</v>
      </c>
      <c r="L660" t="s">
        <v>8</v>
      </c>
      <c r="M660" t="s">
        <v>7</v>
      </c>
      <c r="N660" t="s">
        <v>7</v>
      </c>
      <c r="P660">
        <f t="shared" si="994"/>
        <v>-0.87209302325581506</v>
      </c>
      <c r="Q660">
        <f t="shared" si="995"/>
        <v>-40947793.255814008</v>
      </c>
      <c r="R660">
        <f t="shared" si="996"/>
        <v>-423716825.45941281</v>
      </c>
      <c r="S660">
        <f t="shared" si="997"/>
        <v>-4237.1682545941285</v>
      </c>
      <c r="T660">
        <f t="shared" si="998"/>
        <v>-4.2371682545941285</v>
      </c>
    </row>
    <row r="661" spans="1:20" x14ac:dyDescent="0.25">
      <c r="A661" s="5">
        <v>43932</v>
      </c>
      <c r="B661">
        <v>1.6760000000000001E-2</v>
      </c>
      <c r="C661">
        <v>1.8089999999999998E-2</v>
      </c>
      <c r="D661">
        <v>1.61E-2</v>
      </c>
      <c r="E661">
        <v>1.7489999999999999E-2</v>
      </c>
      <c r="F661">
        <v>33607852.5</v>
      </c>
      <c r="G661">
        <v>0</v>
      </c>
      <c r="L661" t="s">
        <v>7</v>
      </c>
      <c r="M661" t="s">
        <v>7</v>
      </c>
      <c r="N661" t="s">
        <v>7</v>
      </c>
      <c r="P661">
        <f t="shared" si="994"/>
        <v>0.39698492462311535</v>
      </c>
      <c r="Q661">
        <f t="shared" si="995"/>
        <v>13341810.791457279</v>
      </c>
      <c r="R661">
        <f t="shared" si="996"/>
        <v>-382769032.2035988</v>
      </c>
      <c r="S661">
        <f t="shared" si="997"/>
        <v>-3827.6903220359882</v>
      </c>
      <c r="T661">
        <f t="shared" si="998"/>
        <v>-3.8276903220359881</v>
      </c>
    </row>
    <row r="662" spans="1:20" x14ac:dyDescent="0.25">
      <c r="A662" s="5">
        <v>43931</v>
      </c>
      <c r="B662">
        <v>1.9019999999999999E-2</v>
      </c>
      <c r="C662">
        <v>1.9130000000000001E-2</v>
      </c>
      <c r="D662">
        <v>1.634E-2</v>
      </c>
      <c r="E662">
        <v>1.6670000000000001E-2</v>
      </c>
      <c r="F662">
        <v>30725202.800000001</v>
      </c>
      <c r="G662">
        <v>0</v>
      </c>
      <c r="L662" t="s">
        <v>7</v>
      </c>
      <c r="M662" t="s">
        <v>7</v>
      </c>
      <c r="N662" t="s">
        <v>7</v>
      </c>
      <c r="P662">
        <f t="shared" si="994"/>
        <v>-0.76344086021505353</v>
      </c>
      <c r="Q662">
        <f t="shared" si="995"/>
        <v>-23456875.255913973</v>
      </c>
      <c r="R662">
        <f t="shared" si="996"/>
        <v>-396110842.99505609</v>
      </c>
      <c r="S662">
        <f t="shared" si="997"/>
        <v>-3961.108429950561</v>
      </c>
      <c r="T662">
        <f t="shared" si="998"/>
        <v>-3.9611084299505608</v>
      </c>
    </row>
    <row r="663" spans="1:20" x14ac:dyDescent="0.25">
      <c r="A663" s="5">
        <v>43930</v>
      </c>
      <c r="B663">
        <v>2.009E-2</v>
      </c>
      <c r="C663">
        <v>2.0500000000000001E-2</v>
      </c>
      <c r="D663">
        <v>1.84E-2</v>
      </c>
      <c r="E663">
        <v>1.9130000000000001E-2</v>
      </c>
      <c r="F663">
        <v>38597593.200000003</v>
      </c>
      <c r="G663">
        <v>0</v>
      </c>
      <c r="L663" t="s">
        <v>7</v>
      </c>
      <c r="M663" t="s">
        <v>7</v>
      </c>
      <c r="N663" t="s">
        <v>8</v>
      </c>
      <c r="P663">
        <f t="shared" si="994"/>
        <v>-0.30476190476190373</v>
      </c>
      <c r="Q663">
        <f t="shared" si="995"/>
        <v>-11763076.022857103</v>
      </c>
      <c r="R663">
        <f t="shared" si="996"/>
        <v>-372653967.73914212</v>
      </c>
      <c r="S663">
        <f t="shared" si="997"/>
        <v>-3726.5396773914213</v>
      </c>
      <c r="T663">
        <f t="shared" si="998"/>
        <v>-3.7265396773914214</v>
      </c>
    </row>
    <row r="664" spans="1:20" x14ac:dyDescent="0.25">
      <c r="A664" s="5">
        <v>43929</v>
      </c>
      <c r="B664">
        <v>1.9939999999999999E-2</v>
      </c>
      <c r="C664">
        <v>2.0500000000000001E-2</v>
      </c>
      <c r="D664">
        <v>1.9400000000000001E-2</v>
      </c>
      <c r="E664">
        <v>2.009E-2</v>
      </c>
      <c r="F664">
        <v>31438302.399999999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0.25454545454545358</v>
      </c>
      <c r="Q664">
        <f t="shared" si="995"/>
        <v>8002476.9745454239</v>
      </c>
      <c r="R664">
        <f t="shared" si="996"/>
        <v>-360890891.71628499</v>
      </c>
      <c r="S664">
        <f t="shared" si="997"/>
        <v>-3608.9089171628498</v>
      </c>
      <c r="T664">
        <f t="shared" si="998"/>
        <v>-3.6089089171628497</v>
      </c>
    </row>
    <row r="665" spans="1:20" x14ac:dyDescent="0.25">
      <c r="A665" s="5">
        <v>43928</v>
      </c>
      <c r="B665">
        <v>2.0389999999999998E-2</v>
      </c>
      <c r="C665">
        <v>2.1520000000000001E-2</v>
      </c>
      <c r="D665">
        <v>1.9599999999999999E-2</v>
      </c>
      <c r="E665">
        <v>1.9939999999999999E-2</v>
      </c>
      <c r="F665">
        <v>54065790.5</v>
      </c>
      <c r="G665">
        <v>0</v>
      </c>
      <c r="L665" t="s">
        <v>7</v>
      </c>
      <c r="M665" t="s">
        <v>8</v>
      </c>
      <c r="N665" t="s">
        <v>8</v>
      </c>
      <c r="P665">
        <f t="shared" si="994"/>
        <v>-0.64583333333333359</v>
      </c>
      <c r="Q665">
        <f t="shared" si="995"/>
        <v>-34917489.697916679</v>
      </c>
      <c r="R665">
        <f t="shared" si="996"/>
        <v>-368893368.69083041</v>
      </c>
      <c r="S665">
        <f t="shared" si="997"/>
        <v>-3688.933686908304</v>
      </c>
      <c r="T665">
        <f t="shared" si="998"/>
        <v>-3.688933686908304</v>
      </c>
    </row>
    <row r="666" spans="1:20" x14ac:dyDescent="0.25">
      <c r="A666" s="5">
        <v>43927</v>
      </c>
      <c r="B666">
        <v>2.0729999999999998E-2</v>
      </c>
      <c r="C666">
        <v>2.256E-2</v>
      </c>
      <c r="D666">
        <v>1.975E-2</v>
      </c>
      <c r="E666">
        <v>2.0389999999999998E-2</v>
      </c>
      <c r="F666">
        <v>63368414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-0.5444839857651258</v>
      </c>
      <c r="Q666">
        <f t="shared" si="995"/>
        <v>-34503086.6263346</v>
      </c>
      <c r="R666">
        <f t="shared" si="996"/>
        <v>-333975878.99291372</v>
      </c>
      <c r="S666">
        <f t="shared" si="997"/>
        <v>-3339.758789929137</v>
      </c>
      <c r="T666">
        <f t="shared" si="998"/>
        <v>-3.339758789929137</v>
      </c>
    </row>
    <row r="667" spans="1:20" x14ac:dyDescent="0.25">
      <c r="A667" s="5">
        <v>43926</v>
      </c>
      <c r="B667">
        <v>2.0080000000000001E-2</v>
      </c>
      <c r="C667">
        <v>2.1000000000000001E-2</v>
      </c>
      <c r="D667">
        <v>1.9179999999999999E-2</v>
      </c>
      <c r="E667">
        <v>2.0639999999999999E-2</v>
      </c>
      <c r="F667">
        <v>29643600.899999999</v>
      </c>
      <c r="G667">
        <v>0</v>
      </c>
      <c r="L667" t="s">
        <v>8</v>
      </c>
      <c r="M667" t="s">
        <v>7</v>
      </c>
      <c r="N667" t="s">
        <v>8</v>
      </c>
      <c r="P667">
        <f t="shared" si="994"/>
        <v>0.60439560439560192</v>
      </c>
      <c r="Q667">
        <f t="shared" si="995"/>
        <v>17916462.082417507</v>
      </c>
      <c r="R667">
        <f t="shared" si="996"/>
        <v>-299472792.36657912</v>
      </c>
      <c r="S667">
        <f t="shared" si="997"/>
        <v>-2994.727923665791</v>
      </c>
      <c r="T667">
        <f t="shared" si="998"/>
        <v>-2.9947279236657911</v>
      </c>
    </row>
    <row r="668" spans="1:20" x14ac:dyDescent="0.25">
      <c r="A668" s="5">
        <v>43925</v>
      </c>
      <c r="B668">
        <v>1.951E-2</v>
      </c>
      <c r="C668">
        <v>2.1100000000000001E-2</v>
      </c>
      <c r="D668">
        <v>1.925E-2</v>
      </c>
      <c r="E668">
        <v>2.0080000000000001E-2</v>
      </c>
      <c r="F668">
        <v>28582348.399999999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-0.10270270270270222</v>
      </c>
      <c r="Q668">
        <f t="shared" si="995"/>
        <v>-2935484.4302702565</v>
      </c>
      <c r="R668">
        <f t="shared" si="996"/>
        <v>-317389254.4489966</v>
      </c>
      <c r="S668">
        <f t="shared" si="997"/>
        <v>-3173.892544489966</v>
      </c>
      <c r="T668">
        <f t="shared" si="998"/>
        <v>-3.1738925444899659</v>
      </c>
    </row>
    <row r="669" spans="1:20" x14ac:dyDescent="0.25">
      <c r="A669" s="5">
        <v>43924</v>
      </c>
      <c r="B669">
        <v>1.9259999999999999E-2</v>
      </c>
      <c r="C669">
        <v>2.249E-2</v>
      </c>
      <c r="D669">
        <v>1.8780000000000002E-2</v>
      </c>
      <c r="E669">
        <v>1.951E-2</v>
      </c>
      <c r="F669">
        <v>70898066.400000006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-0.6064690026954187</v>
      </c>
      <c r="Q669">
        <f t="shared" si="995"/>
        <v>-42997479.622641578</v>
      </c>
      <c r="R669">
        <f t="shared" si="996"/>
        <v>-314453770.01872635</v>
      </c>
      <c r="S669">
        <f t="shared" si="997"/>
        <v>-3144.5377001872635</v>
      </c>
      <c r="T669">
        <f t="shared" si="998"/>
        <v>-3.1445377001872634</v>
      </c>
    </row>
    <row r="670" spans="1:20" x14ac:dyDescent="0.25">
      <c r="A670" s="5">
        <v>43923</v>
      </c>
      <c r="B670">
        <v>1.754E-2</v>
      </c>
      <c r="C670">
        <v>2.1000000000000001E-2</v>
      </c>
      <c r="D670">
        <v>1.7149999999999999E-2</v>
      </c>
      <c r="E670">
        <v>1.9300000000000001E-2</v>
      </c>
      <c r="F670">
        <v>57512904.5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0.11688311688311745</v>
      </c>
      <c r="Q670">
        <f t="shared" si="995"/>
        <v>6722287.5389610715</v>
      </c>
      <c r="R670">
        <f t="shared" si="996"/>
        <v>-271456290.39608479</v>
      </c>
      <c r="S670">
        <f t="shared" si="997"/>
        <v>-2714.562903960848</v>
      </c>
      <c r="T670">
        <f t="shared" si="998"/>
        <v>-2.7145629039608479</v>
      </c>
    </row>
    <row r="671" spans="1:20" x14ac:dyDescent="0.25">
      <c r="A671" s="5">
        <v>43922</v>
      </c>
      <c r="B671">
        <v>1.6719999999999999E-2</v>
      </c>
      <c r="C671">
        <v>1.7749999999999998E-2</v>
      </c>
      <c r="D671">
        <v>1.5800000000000002E-2</v>
      </c>
      <c r="E671">
        <v>1.754E-2</v>
      </c>
      <c r="F671">
        <v>27189259.5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0.78461538461538594</v>
      </c>
      <c r="Q671">
        <f t="shared" si="995"/>
        <v>21333111.300000034</v>
      </c>
      <c r="R671">
        <f t="shared" si="996"/>
        <v>-278178577.93504584</v>
      </c>
      <c r="S671">
        <f t="shared" si="997"/>
        <v>-2781.7857793504586</v>
      </c>
      <c r="T671">
        <f t="shared" si="998"/>
        <v>-2.7817857793504586</v>
      </c>
    </row>
    <row r="672" spans="1:20" x14ac:dyDescent="0.25">
      <c r="A672" s="5">
        <v>43921</v>
      </c>
      <c r="B672">
        <v>1.6549999999999999E-2</v>
      </c>
      <c r="C672">
        <v>1.7999999999999999E-2</v>
      </c>
      <c r="D672">
        <v>1.6379999999999999E-2</v>
      </c>
      <c r="E672">
        <v>1.6670000000000001E-2</v>
      </c>
      <c r="F672">
        <v>26496192.199999999</v>
      </c>
      <c r="G672">
        <v>0</v>
      </c>
      <c r="L672" t="s">
        <v>7</v>
      </c>
      <c r="M672" t="s">
        <v>8</v>
      </c>
      <c r="N672" t="s">
        <v>8</v>
      </c>
      <c r="P672">
        <f t="shared" si="994"/>
        <v>-0.64197530864197272</v>
      </c>
      <c r="Q672">
        <f t="shared" si="995"/>
        <v>-17009901.165432028</v>
      </c>
      <c r="R672">
        <f t="shared" si="996"/>
        <v>-299511689.23504585</v>
      </c>
      <c r="S672">
        <f t="shared" si="997"/>
        <v>-2995.1168923504583</v>
      </c>
      <c r="T672">
        <f t="shared" si="998"/>
        <v>-2.9951168923504583</v>
      </c>
    </row>
    <row r="673" spans="1:20" x14ac:dyDescent="0.25">
      <c r="A673" s="5">
        <v>43920</v>
      </c>
      <c r="B673">
        <v>1.5720000000000001E-2</v>
      </c>
      <c r="C673">
        <v>1.908E-2</v>
      </c>
      <c r="D673">
        <v>1.5720000000000001E-2</v>
      </c>
      <c r="E673">
        <v>1.6549999999999999E-2</v>
      </c>
      <c r="F673">
        <v>93797976.200000003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-0.50595238095238226</v>
      </c>
      <c r="Q673">
        <f t="shared" si="995"/>
        <v>-47457309.386904888</v>
      </c>
      <c r="R673">
        <f t="shared" si="996"/>
        <v>-282501788.06961381</v>
      </c>
      <c r="S673">
        <f t="shared" si="997"/>
        <v>-2825.017880696138</v>
      </c>
      <c r="T673">
        <f t="shared" si="998"/>
        <v>-2.8250178806961381</v>
      </c>
    </row>
    <row r="674" spans="1:20" x14ac:dyDescent="0.25">
      <c r="A674" s="5">
        <v>43919</v>
      </c>
      <c r="B674">
        <v>1.443E-2</v>
      </c>
      <c r="C674">
        <v>1.6910000000000001E-2</v>
      </c>
      <c r="D674">
        <v>1.4160000000000001E-2</v>
      </c>
      <c r="E674">
        <v>1.576E-2</v>
      </c>
      <c r="F674">
        <v>64348318.700000003</v>
      </c>
      <c r="G674">
        <v>0</v>
      </c>
      <c r="L674" t="s">
        <v>8</v>
      </c>
      <c r="M674" t="s">
        <v>8</v>
      </c>
      <c r="N674" t="s">
        <v>8</v>
      </c>
      <c r="P674">
        <f t="shared" si="994"/>
        <v>0.16363636363636261</v>
      </c>
      <c r="Q674">
        <f t="shared" si="995"/>
        <v>10529724.878181752</v>
      </c>
      <c r="R674">
        <f t="shared" si="996"/>
        <v>-235044478.68270895</v>
      </c>
      <c r="S674">
        <f t="shared" si="997"/>
        <v>-2350.4447868270895</v>
      </c>
      <c r="T674">
        <f t="shared" si="998"/>
        <v>-2.3504447868270897</v>
      </c>
    </row>
    <row r="675" spans="1:20" x14ac:dyDescent="0.25">
      <c r="A675" s="5">
        <v>43918</v>
      </c>
      <c r="B675">
        <v>1.438E-2</v>
      </c>
      <c r="C675">
        <v>1.457E-2</v>
      </c>
      <c r="D675">
        <v>1.3259999999999999E-2</v>
      </c>
      <c r="E675">
        <v>1.44E-2</v>
      </c>
      <c r="F675">
        <v>27427558.699999999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0.74045801526717558</v>
      </c>
      <c r="Q675">
        <f t="shared" si="995"/>
        <v>20308955.678625952</v>
      </c>
      <c r="R675">
        <f t="shared" si="996"/>
        <v>-245574203.5608907</v>
      </c>
      <c r="S675">
        <f t="shared" si="997"/>
        <v>-2455.7420356089069</v>
      </c>
      <c r="T675">
        <f t="shared" si="998"/>
        <v>-2.4557420356089068</v>
      </c>
    </row>
    <row r="676" spans="1:20" x14ac:dyDescent="0.25">
      <c r="A676" s="5">
        <v>43917</v>
      </c>
      <c r="B676">
        <v>1.5789999999999998E-2</v>
      </c>
      <c r="C676">
        <v>1.6990000000000002E-2</v>
      </c>
      <c r="D676">
        <v>1.4E-2</v>
      </c>
      <c r="E676">
        <v>1.4370000000000001E-2</v>
      </c>
      <c r="F676">
        <v>21791590.899999999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-0.7525083612040131</v>
      </c>
      <c r="Q676">
        <f t="shared" si="995"/>
        <v>-16398354.356187284</v>
      </c>
      <c r="R676">
        <f t="shared" si="996"/>
        <v>-265883159.23951665</v>
      </c>
      <c r="S676">
        <f t="shared" si="997"/>
        <v>-2658.8315923951664</v>
      </c>
      <c r="T676">
        <f t="shared" si="998"/>
        <v>-2.6588315923951664</v>
      </c>
    </row>
    <row r="677" spans="1:20" x14ac:dyDescent="0.25">
      <c r="A677" s="5">
        <v>43916</v>
      </c>
      <c r="B677">
        <v>1.6199999999999999E-2</v>
      </c>
      <c r="C677">
        <v>1.7729999999999999E-2</v>
      </c>
      <c r="D677">
        <v>1.5100000000000001E-2</v>
      </c>
      <c r="E677">
        <v>1.5789999999999998E-2</v>
      </c>
      <c r="F677">
        <v>44131571.899999999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-0.47528517110266294</v>
      </c>
      <c r="Q677">
        <f t="shared" si="995"/>
        <v>-20975081.701520972</v>
      </c>
      <c r="R677">
        <f t="shared" si="996"/>
        <v>-249484804.88332936</v>
      </c>
      <c r="S677">
        <f t="shared" si="997"/>
        <v>-2494.8480488332934</v>
      </c>
      <c r="T677">
        <f t="shared" si="998"/>
        <v>-2.4948480488332936</v>
      </c>
    </row>
    <row r="678" spans="1:20" x14ac:dyDescent="0.25">
      <c r="A678" s="5">
        <v>43915</v>
      </c>
      <c r="B678">
        <v>1.3820000000000001E-2</v>
      </c>
      <c r="C678">
        <v>1.7500000000000002E-2</v>
      </c>
      <c r="D678">
        <v>1.316E-2</v>
      </c>
      <c r="E678">
        <v>1.6150000000000001E-2</v>
      </c>
      <c r="F678">
        <v>65867000.899999999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0.37788018433179726</v>
      </c>
      <c r="Q678">
        <f t="shared" si="995"/>
        <v>24889834.441474658</v>
      </c>
      <c r="R678">
        <f t="shared" si="996"/>
        <v>-228509723.18180838</v>
      </c>
      <c r="S678">
        <f t="shared" si="997"/>
        <v>-2285.0972318180839</v>
      </c>
      <c r="T678">
        <f t="shared" si="998"/>
        <v>-2.2850972318180838</v>
      </c>
    </row>
    <row r="679" spans="1:20" x14ac:dyDescent="0.25">
      <c r="A679" s="5">
        <v>43914</v>
      </c>
      <c r="B679">
        <v>1.3729999999999999E-2</v>
      </c>
      <c r="C679">
        <v>1.438E-2</v>
      </c>
      <c r="D679">
        <v>1.316E-2</v>
      </c>
      <c r="E679">
        <v>1.372E-2</v>
      </c>
      <c r="F679">
        <v>12835044.6</v>
      </c>
      <c r="G679">
        <v>0</v>
      </c>
      <c r="L679" t="s">
        <v>8</v>
      </c>
      <c r="M679" t="s">
        <v>8</v>
      </c>
      <c r="N679" t="s">
        <v>7</v>
      </c>
      <c r="P679">
        <f t="shared" si="994"/>
        <v>-8.196721311475498E-2</v>
      </c>
      <c r="Q679">
        <f t="shared" si="995"/>
        <v>-1052052.836065585</v>
      </c>
      <c r="R679">
        <f t="shared" si="996"/>
        <v>-253399557.62328303</v>
      </c>
      <c r="S679">
        <f t="shared" si="997"/>
        <v>-2533.9955762328304</v>
      </c>
      <c r="T679">
        <f t="shared" si="998"/>
        <v>-2.5339955762328303</v>
      </c>
    </row>
    <row r="680" spans="1:20" x14ac:dyDescent="0.25">
      <c r="A680" s="5">
        <v>43913</v>
      </c>
      <c r="B680">
        <v>1.209E-2</v>
      </c>
      <c r="C680">
        <v>1.383E-2</v>
      </c>
      <c r="D680">
        <v>1.1599999999999999E-2</v>
      </c>
      <c r="E680">
        <v>1.371E-2</v>
      </c>
      <c r="F680">
        <v>22444609.699999999</v>
      </c>
      <c r="G680">
        <v>0</v>
      </c>
      <c r="L680" t="s">
        <v>7</v>
      </c>
      <c r="M680" t="s">
        <v>7</v>
      </c>
      <c r="N680" t="s">
        <v>7</v>
      </c>
      <c r="P680">
        <f t="shared" si="994"/>
        <v>0.89237668161434958</v>
      </c>
      <c r="Q680">
        <f t="shared" si="995"/>
        <v>20029046.324215241</v>
      </c>
      <c r="R680">
        <f t="shared" si="996"/>
        <v>-252347504.78721744</v>
      </c>
      <c r="S680">
        <f t="shared" si="997"/>
        <v>-2523.4750478721744</v>
      </c>
      <c r="T680">
        <f t="shared" si="998"/>
        <v>-2.5234750478721746</v>
      </c>
    </row>
    <row r="681" spans="1:20" x14ac:dyDescent="0.25">
      <c r="A681" s="5">
        <v>43912</v>
      </c>
      <c r="B681">
        <v>1.4319999999999999E-2</v>
      </c>
      <c r="C681">
        <v>1.5730000000000001E-2</v>
      </c>
      <c r="D681">
        <v>1.18E-2</v>
      </c>
      <c r="E681">
        <v>1.206E-2</v>
      </c>
      <c r="F681">
        <v>32217227.399999999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-0.86768447837150142</v>
      </c>
      <c r="Q681">
        <f t="shared" si="995"/>
        <v>-27954388.151145041</v>
      </c>
      <c r="R681">
        <f t="shared" si="996"/>
        <v>-272376551.11143267</v>
      </c>
      <c r="S681">
        <f t="shared" si="997"/>
        <v>-2723.7655111143267</v>
      </c>
      <c r="T681">
        <f t="shared" si="998"/>
        <v>-2.7237655111143266</v>
      </c>
    </row>
    <row r="682" spans="1:20" x14ac:dyDescent="0.25">
      <c r="A682" s="5">
        <v>43911</v>
      </c>
      <c r="B682">
        <v>1.507E-2</v>
      </c>
      <c r="C682">
        <v>1.5630000000000002E-2</v>
      </c>
      <c r="D682">
        <v>1.325E-2</v>
      </c>
      <c r="E682">
        <v>1.436E-2</v>
      </c>
      <c r="F682">
        <v>31345848.399999999</v>
      </c>
      <c r="G682">
        <v>0</v>
      </c>
      <c r="L682" t="s">
        <v>7</v>
      </c>
      <c r="M682" t="s">
        <v>7</v>
      </c>
      <c r="N682" t="s">
        <v>7</v>
      </c>
      <c r="P682">
        <f t="shared" si="994"/>
        <v>-6.7226890756303379E-2</v>
      </c>
      <c r="Q682">
        <f t="shared" si="995"/>
        <v>-2107283.9260504469</v>
      </c>
      <c r="R682">
        <f t="shared" si="996"/>
        <v>-244422162.96028766</v>
      </c>
      <c r="S682">
        <f t="shared" si="997"/>
        <v>-2444.2216296028764</v>
      </c>
      <c r="T682">
        <f t="shared" si="998"/>
        <v>-2.4442216296028763</v>
      </c>
    </row>
    <row r="683" spans="1:20" x14ac:dyDescent="0.25">
      <c r="A683" s="5">
        <v>43910</v>
      </c>
      <c r="B683">
        <v>1.427E-2</v>
      </c>
      <c r="C683">
        <v>1.9179999999999999E-2</v>
      </c>
      <c r="D683">
        <v>1.346E-2</v>
      </c>
      <c r="E683">
        <v>1.5010000000000001E-2</v>
      </c>
      <c r="F683">
        <v>66921132.700000003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-0.45804195804195763</v>
      </c>
      <c r="Q683">
        <f t="shared" si="995"/>
        <v>-30652686.656293679</v>
      </c>
      <c r="R683">
        <f t="shared" si="996"/>
        <v>-242314879.03423721</v>
      </c>
      <c r="S683">
        <f t="shared" si="997"/>
        <v>-2423.1487903423722</v>
      </c>
      <c r="T683">
        <f t="shared" si="998"/>
        <v>-2.4231487903423723</v>
      </c>
    </row>
    <row r="684" spans="1:20" x14ac:dyDescent="0.25">
      <c r="A684" s="5">
        <v>43909</v>
      </c>
      <c r="B684">
        <v>1.226E-2</v>
      </c>
      <c r="C684">
        <v>1.5219999999999999E-2</v>
      </c>
      <c r="D684">
        <v>1.196E-2</v>
      </c>
      <c r="E684">
        <v>1.427E-2</v>
      </c>
      <c r="F684">
        <v>56096785.700000003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0.41717791411042959</v>
      </c>
      <c r="Q684">
        <f t="shared" si="995"/>
        <v>23402340.046625778</v>
      </c>
      <c r="R684">
        <f t="shared" si="996"/>
        <v>-211662192.37794352</v>
      </c>
      <c r="S684">
        <f t="shared" si="997"/>
        <v>-2116.6219237794353</v>
      </c>
      <c r="T684">
        <f t="shared" si="998"/>
        <v>-2.1166219237794355</v>
      </c>
    </row>
    <row r="685" spans="1:20" x14ac:dyDescent="0.25">
      <c r="A685" s="5">
        <v>43908</v>
      </c>
      <c r="B685">
        <v>1.23E-2</v>
      </c>
      <c r="C685">
        <v>1.2999999999999999E-2</v>
      </c>
      <c r="D685">
        <v>1.111E-2</v>
      </c>
      <c r="E685">
        <v>1.221E-2</v>
      </c>
      <c r="F685">
        <v>19953606.600000001</v>
      </c>
      <c r="G685">
        <v>0</v>
      </c>
      <c r="L685" t="s">
        <v>7</v>
      </c>
      <c r="M685" t="s">
        <v>7</v>
      </c>
      <c r="N685" t="s">
        <v>8</v>
      </c>
      <c r="P685">
        <f t="shared" si="994"/>
        <v>0.16402116402116473</v>
      </c>
      <c r="Q685">
        <f t="shared" si="995"/>
        <v>3272813.7809523954</v>
      </c>
      <c r="R685">
        <f t="shared" si="996"/>
        <v>-235064532.42456931</v>
      </c>
      <c r="S685">
        <f t="shared" si="997"/>
        <v>-2350.6453242456932</v>
      </c>
      <c r="T685">
        <f t="shared" si="998"/>
        <v>-2.3506453242456931</v>
      </c>
    </row>
    <row r="686" spans="1:20" x14ac:dyDescent="0.25">
      <c r="A686" s="5">
        <v>43907</v>
      </c>
      <c r="B686">
        <v>1.1259999999999999E-2</v>
      </c>
      <c r="C686">
        <v>1.4319999999999999E-2</v>
      </c>
      <c r="D686">
        <v>1.107E-2</v>
      </c>
      <c r="E686">
        <v>1.2370000000000001E-2</v>
      </c>
      <c r="F686">
        <v>37230483.700000003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-0.19999999999999937</v>
      </c>
      <c r="Q686">
        <f t="shared" si="995"/>
        <v>-7446096.7399999769</v>
      </c>
      <c r="R686">
        <f t="shared" si="996"/>
        <v>-238337346.2055217</v>
      </c>
      <c r="S686">
        <f t="shared" si="997"/>
        <v>-2383.3734620552168</v>
      </c>
      <c r="T686">
        <f t="shared" si="998"/>
        <v>-2.3833734620552169</v>
      </c>
    </row>
    <row r="687" spans="1:20" x14ac:dyDescent="0.25">
      <c r="A687" s="5">
        <v>43906</v>
      </c>
      <c r="B687">
        <v>1.363E-2</v>
      </c>
      <c r="C687">
        <v>1.37E-2</v>
      </c>
      <c r="D687">
        <v>9.5999999999999992E-3</v>
      </c>
      <c r="E687">
        <v>1.1270000000000001E-2</v>
      </c>
      <c r="F687">
        <v>57012081.799999997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-0.18536585365853617</v>
      </c>
      <c r="Q687">
        <f t="shared" si="995"/>
        <v>-10568093.211707292</v>
      </c>
      <c r="R687">
        <f t="shared" si="996"/>
        <v>-230891249.46552172</v>
      </c>
      <c r="S687">
        <f t="shared" si="997"/>
        <v>-2308.9124946552174</v>
      </c>
      <c r="T687">
        <f t="shared" si="998"/>
        <v>-2.3089124946552175</v>
      </c>
    </row>
    <row r="688" spans="1:20" x14ac:dyDescent="0.25">
      <c r="A688" s="5">
        <v>43905</v>
      </c>
      <c r="B688">
        <v>1.4189999999999999E-2</v>
      </c>
      <c r="C688">
        <v>1.524E-2</v>
      </c>
      <c r="D688">
        <v>1.298E-2</v>
      </c>
      <c r="E688">
        <v>1.363E-2</v>
      </c>
      <c r="F688">
        <v>51516656.700000003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-0.42477876106194729</v>
      </c>
      <c r="Q688">
        <f t="shared" si="995"/>
        <v>-21883181.607079666</v>
      </c>
      <c r="R688">
        <f t="shared" si="996"/>
        <v>-220323156.25381443</v>
      </c>
      <c r="S688">
        <f t="shared" si="997"/>
        <v>-2203.2315625381443</v>
      </c>
      <c r="T688">
        <f t="shared" si="998"/>
        <v>-2.2032315625381442</v>
      </c>
    </row>
    <row r="689" spans="1:20" x14ac:dyDescent="0.25">
      <c r="A689" s="5">
        <v>43904</v>
      </c>
      <c r="B689">
        <v>1.6E-2</v>
      </c>
      <c r="C689">
        <v>1.7000000000000001E-2</v>
      </c>
      <c r="D689">
        <v>1.3299999999999999E-2</v>
      </c>
      <c r="E689">
        <v>1.4149999999999999E-2</v>
      </c>
      <c r="F689">
        <v>45300375.399999999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-0.54054054054054079</v>
      </c>
      <c r="Q689">
        <f t="shared" si="995"/>
        <v>-24486689.405405417</v>
      </c>
      <c r="R689">
        <f t="shared" si="996"/>
        <v>-198439974.64673477</v>
      </c>
      <c r="S689">
        <f t="shared" si="997"/>
        <v>-1984.3997464673478</v>
      </c>
      <c r="T689">
        <f t="shared" si="998"/>
        <v>-1.9843997464673477</v>
      </c>
    </row>
    <row r="690" spans="1:20" x14ac:dyDescent="0.25">
      <c r="A690" s="5">
        <v>43903</v>
      </c>
      <c r="B690">
        <v>1.2E-2</v>
      </c>
      <c r="C690">
        <v>1.753E-2</v>
      </c>
      <c r="D690">
        <v>8.5000000000000006E-3</v>
      </c>
      <c r="E690">
        <v>1.5900000000000001E-2</v>
      </c>
      <c r="F690">
        <v>85135299.900000006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0.63898117386489495</v>
      </c>
      <c r="Q690">
        <f t="shared" si="995"/>
        <v>54399853.867441878</v>
      </c>
      <c r="R690">
        <f t="shared" si="996"/>
        <v>-173953285.24132937</v>
      </c>
      <c r="S690">
        <f t="shared" si="997"/>
        <v>-1739.5328524132938</v>
      </c>
      <c r="T690">
        <f t="shared" si="998"/>
        <v>-1.7395328524132938</v>
      </c>
    </row>
    <row r="691" spans="1:20" x14ac:dyDescent="0.25">
      <c r="A691" s="5">
        <v>43902</v>
      </c>
      <c r="B691">
        <v>2.7099999999999999E-2</v>
      </c>
      <c r="C691">
        <v>2.725E-2</v>
      </c>
      <c r="D691">
        <v>1.04E-2</v>
      </c>
      <c r="E691">
        <v>1.2E-2</v>
      </c>
      <c r="F691">
        <v>132578818.5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-0.81008902077151324</v>
      </c>
      <c r="Q691">
        <f t="shared" si="995"/>
        <v>-107400645.25370918</v>
      </c>
      <c r="R691">
        <f t="shared" si="996"/>
        <v>-228353139.10877123</v>
      </c>
      <c r="S691">
        <f t="shared" si="997"/>
        <v>-2283.5313910877126</v>
      </c>
      <c r="T691">
        <f t="shared" si="998"/>
        <v>-2.2835313910877124</v>
      </c>
    </row>
    <row r="692" spans="1:20" x14ac:dyDescent="0.25">
      <c r="A692" s="5">
        <v>43901</v>
      </c>
      <c r="B692">
        <v>3.083E-2</v>
      </c>
      <c r="C692">
        <v>3.1640000000000001E-2</v>
      </c>
      <c r="D692">
        <v>2.5309999999999999E-2</v>
      </c>
      <c r="E692">
        <v>2.7E-2</v>
      </c>
      <c r="F692">
        <v>37175935.799999997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-0.46603475513428122</v>
      </c>
      <c r="Q692">
        <f t="shared" si="995"/>
        <v>-17325278.137440756</v>
      </c>
      <c r="R692">
        <f t="shared" si="996"/>
        <v>-120952493.85506205</v>
      </c>
      <c r="S692">
        <f t="shared" si="997"/>
        <v>-1209.5249385506206</v>
      </c>
      <c r="T692">
        <f t="shared" si="998"/>
        <v>-1.2095249385506206</v>
      </c>
    </row>
    <row r="693" spans="1:20" x14ac:dyDescent="0.25">
      <c r="A693" s="5">
        <v>43900</v>
      </c>
      <c r="B693">
        <v>3.0159999999999999E-2</v>
      </c>
      <c r="C693">
        <v>3.261E-2</v>
      </c>
      <c r="D693">
        <v>2.785E-2</v>
      </c>
      <c r="E693">
        <v>3.082E-2</v>
      </c>
      <c r="F693">
        <v>60921106.200000003</v>
      </c>
      <c r="G693">
        <v>0</v>
      </c>
      <c r="L693" t="s">
        <v>7</v>
      </c>
      <c r="M693" t="s">
        <v>7</v>
      </c>
      <c r="N693" t="s">
        <v>8</v>
      </c>
      <c r="P693">
        <f t="shared" si="994"/>
        <v>0.24789915966386564</v>
      </c>
      <c r="Q693">
        <f t="shared" si="995"/>
        <v>15102291.032773115</v>
      </c>
      <c r="R693">
        <f t="shared" si="996"/>
        <v>-103627215.7176213</v>
      </c>
      <c r="S693">
        <f t="shared" si="997"/>
        <v>-1036.2721571762129</v>
      </c>
      <c r="T693">
        <f t="shared" si="998"/>
        <v>-1.0362721571762128</v>
      </c>
    </row>
    <row r="694" spans="1:20" x14ac:dyDescent="0.25">
      <c r="A694" s="5">
        <v>43899</v>
      </c>
      <c r="B694">
        <v>3.3779999999999998E-2</v>
      </c>
      <c r="C694">
        <v>3.6159999999999998E-2</v>
      </c>
      <c r="D694">
        <v>2.9090000000000001E-2</v>
      </c>
      <c r="E694">
        <v>3.0169999999999999E-2</v>
      </c>
      <c r="F694">
        <v>73155674.099999994</v>
      </c>
      <c r="G694">
        <v>0</v>
      </c>
      <c r="L694" t="s">
        <v>7</v>
      </c>
      <c r="M694" t="s">
        <v>7</v>
      </c>
      <c r="N694" t="s">
        <v>8</v>
      </c>
      <c r="P694">
        <f t="shared" si="994"/>
        <v>-0.69448373408769504</v>
      </c>
      <c r="Q694">
        <f t="shared" si="995"/>
        <v>-50805425.718670473</v>
      </c>
      <c r="R694">
        <f t="shared" si="996"/>
        <v>-118729506.75039442</v>
      </c>
      <c r="S694">
        <f t="shared" si="997"/>
        <v>-1187.2950675039442</v>
      </c>
      <c r="T694">
        <f t="shared" si="998"/>
        <v>-1.1872950675039442</v>
      </c>
    </row>
    <row r="695" spans="1:20" x14ac:dyDescent="0.25">
      <c r="A695" s="5">
        <v>43898</v>
      </c>
      <c r="B695">
        <v>3.4680000000000002E-2</v>
      </c>
      <c r="C695">
        <v>3.8899999999999997E-2</v>
      </c>
      <c r="D695">
        <v>3.1980000000000001E-2</v>
      </c>
      <c r="E695">
        <v>3.3779999999999998E-2</v>
      </c>
      <c r="F695">
        <v>96642213.900000006</v>
      </c>
      <c r="G695">
        <v>0</v>
      </c>
      <c r="L695" t="s">
        <v>8</v>
      </c>
      <c r="M695" t="s">
        <v>7</v>
      </c>
      <c r="N695" t="s">
        <v>8</v>
      </c>
      <c r="P695">
        <f t="shared" si="994"/>
        <v>-0.47976878612716845</v>
      </c>
      <c r="Q695">
        <f t="shared" si="995"/>
        <v>-46365917.651445165</v>
      </c>
      <c r="R695">
        <f t="shared" si="996"/>
        <v>-67924081.031723946</v>
      </c>
      <c r="S695">
        <f t="shared" si="997"/>
        <v>-679.24081031723949</v>
      </c>
      <c r="T695">
        <f t="shared" si="998"/>
        <v>-0.67924081031723949</v>
      </c>
    </row>
    <row r="696" spans="1:20" x14ac:dyDescent="0.25">
      <c r="A696" s="5">
        <v>43897</v>
      </c>
      <c r="B696">
        <v>3.4299999999999997E-2</v>
      </c>
      <c r="C696">
        <v>3.8460000000000001E-2</v>
      </c>
      <c r="D696">
        <v>3.1910000000000001E-2</v>
      </c>
      <c r="E696">
        <v>3.4689999999999999E-2</v>
      </c>
      <c r="F696">
        <v>88607812.5</v>
      </c>
      <c r="G696">
        <v>0</v>
      </c>
      <c r="L696" t="s">
        <v>8</v>
      </c>
      <c r="M696" t="s">
        <v>8</v>
      </c>
      <c r="N696" t="s">
        <v>8</v>
      </c>
      <c r="P696">
        <f t="shared" si="994"/>
        <v>-0.15114503816793964</v>
      </c>
      <c r="Q696">
        <f t="shared" si="995"/>
        <v>-13392631.20229014</v>
      </c>
      <c r="R696">
        <f t="shared" si="996"/>
        <v>-21558163.380278785</v>
      </c>
      <c r="S696">
        <f t="shared" si="997"/>
        <v>-215.58163380278785</v>
      </c>
      <c r="T696">
        <f t="shared" si="998"/>
        <v>-0.21558163380278786</v>
      </c>
    </row>
    <row r="697" spans="1:20" x14ac:dyDescent="0.25">
      <c r="A697" s="5">
        <v>43896</v>
      </c>
      <c r="B697">
        <v>3.3950000000000001E-2</v>
      </c>
      <c r="C697">
        <v>3.7900000000000003E-2</v>
      </c>
      <c r="D697">
        <v>3.1660000000000001E-2</v>
      </c>
      <c r="E697">
        <v>3.4389999999999997E-2</v>
      </c>
      <c r="F697">
        <v>92548294.099999994</v>
      </c>
      <c r="G697">
        <v>0</v>
      </c>
      <c r="L697" t="s">
        <v>7</v>
      </c>
      <c r="M697" t="s">
        <v>8</v>
      </c>
      <c r="N697" t="s">
        <v>8</v>
      </c>
      <c r="P697">
        <f t="shared" si="994"/>
        <v>-0.12500000000000153</v>
      </c>
      <c r="Q697">
        <f t="shared" si="995"/>
        <v>-11568536.762500141</v>
      </c>
      <c r="R697">
        <f t="shared" si="996"/>
        <v>-8165532.1779886447</v>
      </c>
      <c r="S697">
        <f t="shared" si="997"/>
        <v>-81.655321779886449</v>
      </c>
      <c r="T697">
        <f t="shared" si="998"/>
        <v>-8.165532177988645E-2</v>
      </c>
    </row>
    <row r="698" spans="1:20" x14ac:dyDescent="0.25">
      <c r="A698" s="5">
        <v>43895</v>
      </c>
      <c r="B698">
        <v>2.7099999999999999E-2</v>
      </c>
      <c r="C698">
        <v>3.7789999999999997E-2</v>
      </c>
      <c r="D698">
        <v>2.605E-2</v>
      </c>
      <c r="E698">
        <v>3.3950000000000001E-2</v>
      </c>
      <c r="F698">
        <v>87932228.599999994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0.34582623509369725</v>
      </c>
      <c r="Q698">
        <f t="shared" si="995"/>
        <v>30409271.560136326</v>
      </c>
      <c r="R698">
        <f t="shared" si="996"/>
        <v>3403004.5845114961</v>
      </c>
      <c r="S698">
        <f t="shared" si="997"/>
        <v>34.030045845114962</v>
      </c>
      <c r="T698">
        <f t="shared" si="998"/>
        <v>3.4030045845114959E-2</v>
      </c>
    </row>
    <row r="699" spans="1:20" x14ac:dyDescent="0.25">
      <c r="A699" s="5">
        <v>43894</v>
      </c>
      <c r="B699">
        <v>3.0929999999999999E-2</v>
      </c>
      <c r="C699">
        <v>3.3329999999999999E-2</v>
      </c>
      <c r="D699">
        <v>2.605E-2</v>
      </c>
      <c r="E699">
        <v>2.7089999999999999E-2</v>
      </c>
      <c r="F699">
        <v>82110700</v>
      </c>
      <c r="G699">
        <v>0</v>
      </c>
      <c r="L699" t="s">
        <v>8</v>
      </c>
      <c r="M699" t="s">
        <v>8</v>
      </c>
      <c r="N699" t="s">
        <v>8</v>
      </c>
      <c r="P699">
        <f t="shared" si="994"/>
        <v>-0.71428571428571441</v>
      </c>
      <c r="Q699">
        <f t="shared" si="995"/>
        <v>-58650500.000000007</v>
      </c>
      <c r="R699">
        <f t="shared" si="996"/>
        <v>-27006266.97562483</v>
      </c>
      <c r="S699">
        <f t="shared" si="997"/>
        <v>-270.06266975624828</v>
      </c>
      <c r="T699">
        <f t="shared" si="998"/>
        <v>-0.27006266975624826</v>
      </c>
    </row>
    <row r="700" spans="1:20" x14ac:dyDescent="0.25">
      <c r="A700" s="5">
        <v>43893</v>
      </c>
      <c r="B700">
        <v>2.4320000000000001E-2</v>
      </c>
      <c r="C700">
        <v>3.2309999999999998E-2</v>
      </c>
      <c r="D700">
        <v>2.341E-2</v>
      </c>
      <c r="E700">
        <v>3.092E-2</v>
      </c>
      <c r="F700">
        <v>134384560.59999999</v>
      </c>
      <c r="G700">
        <v>0</v>
      </c>
      <c r="L700" t="s">
        <v>8</v>
      </c>
      <c r="M700" t="s">
        <v>8</v>
      </c>
      <c r="N700" t="s">
        <v>8</v>
      </c>
      <c r="P700">
        <f t="shared" si="994"/>
        <v>0.68764044943820246</v>
      </c>
      <c r="Q700">
        <f t="shared" si="995"/>
        <v>92408259.648539349</v>
      </c>
      <c r="R700">
        <f t="shared" si="996"/>
        <v>31644233.024375178</v>
      </c>
      <c r="S700">
        <f t="shared" si="997"/>
        <v>316.44233024375177</v>
      </c>
      <c r="T700">
        <f t="shared" si="998"/>
        <v>0.31644233024375179</v>
      </c>
    </row>
    <row r="701" spans="1:20" x14ac:dyDescent="0.25">
      <c r="A701" s="5">
        <v>43892</v>
      </c>
      <c r="B701">
        <v>1.9E-2</v>
      </c>
      <c r="C701">
        <v>2.4799999999999999E-2</v>
      </c>
      <c r="D701">
        <v>1.883E-2</v>
      </c>
      <c r="E701">
        <v>2.4320000000000001E-2</v>
      </c>
      <c r="F701">
        <v>35293025</v>
      </c>
      <c r="G701">
        <v>0</v>
      </c>
      <c r="L701" t="s">
        <v>8</v>
      </c>
      <c r="M701" t="s">
        <v>8</v>
      </c>
      <c r="N701" t="s">
        <v>8</v>
      </c>
      <c r="P701">
        <f t="shared" si="994"/>
        <v>0.83919597989949823</v>
      </c>
      <c r="Q701">
        <f t="shared" si="995"/>
        <v>29617764.69849249</v>
      </c>
      <c r="R701">
        <f t="shared" si="996"/>
        <v>-60764026.624164172</v>
      </c>
      <c r="S701">
        <f t="shared" si="997"/>
        <v>-607.64026624164171</v>
      </c>
      <c r="T701">
        <f t="shared" si="998"/>
        <v>-0.60764026624164169</v>
      </c>
    </row>
    <row r="702" spans="1:20" x14ac:dyDescent="0.25">
      <c r="A702" s="5">
        <v>43891</v>
      </c>
      <c r="B702">
        <v>1.8849999999999999E-2</v>
      </c>
      <c r="C702">
        <v>2.0990000000000002E-2</v>
      </c>
      <c r="D702">
        <v>1.8290000000000001E-2</v>
      </c>
      <c r="E702">
        <v>1.9060000000000001E-2</v>
      </c>
      <c r="F702">
        <v>14742368.199999999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-0.42962962962962997</v>
      </c>
      <c r="Q702">
        <f t="shared" si="995"/>
        <v>-6333758.1896296339</v>
      </c>
      <c r="R702">
        <f t="shared" si="996"/>
        <v>-90381791.322656661</v>
      </c>
      <c r="S702">
        <f t="shared" si="997"/>
        <v>-903.81791322656659</v>
      </c>
      <c r="T702">
        <f t="shared" si="998"/>
        <v>-0.90381791322656657</v>
      </c>
    </row>
    <row r="703" spans="1:20" x14ac:dyDescent="0.25">
      <c r="A703" s="5">
        <v>43890</v>
      </c>
      <c r="B703">
        <v>1.9400000000000001E-2</v>
      </c>
      <c r="C703">
        <v>2.1600000000000001E-2</v>
      </c>
      <c r="D703">
        <v>1.8339999999999999E-2</v>
      </c>
      <c r="E703">
        <v>1.8839999999999999E-2</v>
      </c>
      <c r="F703">
        <v>14629572.199999999</v>
      </c>
      <c r="G703">
        <v>0</v>
      </c>
      <c r="L703" t="s">
        <v>8</v>
      </c>
      <c r="M703" t="s">
        <v>8</v>
      </c>
      <c r="N703" t="s">
        <v>7</v>
      </c>
      <c r="P703">
        <f t="shared" si="994"/>
        <v>-0.69325153374233128</v>
      </c>
      <c r="Q703">
        <f t="shared" si="995"/>
        <v>-10141973.365644172</v>
      </c>
      <c r="R703">
        <f t="shared" si="996"/>
        <v>-84048033.133027032</v>
      </c>
      <c r="S703">
        <f t="shared" si="997"/>
        <v>-840.48033133027036</v>
      </c>
      <c r="T703">
        <f t="shared" si="998"/>
        <v>-0.84048033133027034</v>
      </c>
    </row>
    <row r="704" spans="1:20" x14ac:dyDescent="0.25">
      <c r="A704" s="5">
        <v>43889</v>
      </c>
      <c r="B704">
        <v>2.0279999999999999E-2</v>
      </c>
      <c r="C704">
        <v>2.0889999999999999E-2</v>
      </c>
      <c r="D704">
        <v>1.7389999999999999E-2</v>
      </c>
      <c r="E704">
        <v>1.9400000000000001E-2</v>
      </c>
      <c r="F704">
        <v>30201982.100000001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0.14857142857142946</v>
      </c>
      <c r="Q704">
        <f t="shared" si="995"/>
        <v>4487151.6262857411</v>
      </c>
      <c r="R704">
        <f t="shared" si="996"/>
        <v>-73906059.76738286</v>
      </c>
      <c r="S704">
        <f t="shared" si="997"/>
        <v>-739.06059767382862</v>
      </c>
      <c r="T704">
        <f t="shared" si="998"/>
        <v>-0.73906059767382859</v>
      </c>
    </row>
    <row r="705" spans="1:20" x14ac:dyDescent="0.25">
      <c r="A705" s="5">
        <v>43888</v>
      </c>
      <c r="B705">
        <v>2.0760000000000001E-2</v>
      </c>
      <c r="C705">
        <v>2.35E-2</v>
      </c>
      <c r="D705">
        <v>1.9E-2</v>
      </c>
      <c r="E705">
        <v>2.0279999999999999E-2</v>
      </c>
      <c r="F705">
        <v>54270677.700000003</v>
      </c>
      <c r="G705">
        <v>0</v>
      </c>
      <c r="L705" t="s">
        <v>7</v>
      </c>
      <c r="M705" t="s">
        <v>7</v>
      </c>
      <c r="N705" t="s">
        <v>7</v>
      </c>
      <c r="P705">
        <f t="shared" si="994"/>
        <v>-0.43111111111111122</v>
      </c>
      <c r="Q705">
        <f t="shared" si="995"/>
        <v>-23396692.164000008</v>
      </c>
      <c r="R705">
        <f t="shared" si="996"/>
        <v>-78393211.393668607</v>
      </c>
      <c r="S705">
        <f t="shared" si="997"/>
        <v>-783.93211393668605</v>
      </c>
      <c r="T705">
        <f t="shared" si="998"/>
        <v>-0.78393211393668605</v>
      </c>
    </row>
    <row r="706" spans="1:20" x14ac:dyDescent="0.25">
      <c r="A706" s="5">
        <v>43887</v>
      </c>
      <c r="B706">
        <v>2.955E-2</v>
      </c>
      <c r="C706">
        <v>2.955E-2</v>
      </c>
      <c r="D706">
        <v>1.7180000000000001E-2</v>
      </c>
      <c r="E706">
        <v>2.0899999999999998E-2</v>
      </c>
      <c r="F706">
        <v>137993294.69999999</v>
      </c>
      <c r="G706">
        <v>0</v>
      </c>
      <c r="P706">
        <f t="shared" si="994"/>
        <v>-0.39854486661277316</v>
      </c>
      <c r="Q706">
        <f t="shared" si="995"/>
        <v>-54996519.229668595</v>
      </c>
      <c r="R706">
        <f t="shared" si="996"/>
        <v>-54996519.229668595</v>
      </c>
      <c r="S706">
        <f t="shared" si="997"/>
        <v>-549.96519229668593</v>
      </c>
      <c r="T706">
        <f t="shared" si="998"/>
        <v>-0.54996519229668595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NP656" sqref="NP65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$A$655</v>
      </c>
      <c r="D111" s="1" t="str">
        <f>ADDRESS(C121-1,D121,1,1)</f>
        <v>$NP$655</v>
      </c>
      <c r="E111"/>
    </row>
    <row r="112" spans="1:5" x14ac:dyDescent="0.25">
      <c r="A112" s="7">
        <v>12164.144957890772</v>
      </c>
      <c r="C112" s="1" t="str">
        <f>ADDRESS(C121,1,1,1)</f>
        <v>$A$656</v>
      </c>
      <c r="D112" s="1" t="str">
        <f>ADDRESS(C121,D121-1,1,1)</f>
        <v>$NO$656</v>
      </c>
      <c r="E112"/>
    </row>
    <row r="113" spans="1:5" x14ac:dyDescent="0.25">
      <c r="A113" s="7">
        <v>11925.63231165762</v>
      </c>
      <c r="C113" s="1" t="str">
        <f>ADDRESS(C121+1,1,1,1)</f>
        <v>$A$657</v>
      </c>
      <c r="D113" s="1" t="str">
        <f>ADDRESS(C121-1,D121+1,1,1)</f>
        <v>$NQ$655</v>
      </c>
    </row>
    <row r="114" spans="1:5" x14ac:dyDescent="0.25">
      <c r="A114" s="7">
        <v>11691.796383978059</v>
      </c>
      <c r="C114" s="1" t="str">
        <f>ADDRESS(C121,D121,1,1)</f>
        <v>$NP$656</v>
      </c>
      <c r="D114" s="1" t="str">
        <f>ADDRESS(C121+1,D121+1,1,1)</f>
        <v>$NQ$657</v>
      </c>
    </row>
    <row r="115" spans="1:5" x14ac:dyDescent="0.25">
      <c r="A115" s="7">
        <v>11462.545474488292</v>
      </c>
      <c r="C115" s="1" t="str">
        <f>ADDRESS(C121+1,D121,1,1)</f>
        <v>$NP$657</v>
      </c>
    </row>
    <row r="116" spans="1:5" x14ac:dyDescent="0.25">
      <c r="A116" s="7">
        <v>11237.789680870874</v>
      </c>
      <c r="C116" s="1">
        <f>C117-1</f>
        <v>655</v>
      </c>
    </row>
    <row r="117" spans="1:5" x14ac:dyDescent="0.25">
      <c r="A117" s="7">
        <v>11017.440863598895</v>
      </c>
      <c r="C117" s="1">
        <f>C121</f>
        <v>656</v>
      </c>
      <c r="D117" s="1">
        <f>D121</f>
        <v>380</v>
      </c>
    </row>
    <row r="118" spans="1:5" x14ac:dyDescent="0.25">
      <c r="A118" s="7">
        <v>10801.412611371465</v>
      </c>
      <c r="C118" s="1">
        <f>C117+1</f>
        <v>657</v>
      </c>
      <c r="D118" s="1">
        <f>D117+1</f>
        <v>381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656</v>
      </c>
      <c r="D121" s="19">
        <v>380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R656</v>
      </c>
      <c r="D123" s="1" t="str">
        <f>"C"&amp;D121</f>
        <v>C380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0.25502816640423093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333" x14ac:dyDescent="0.25">
      <c r="A593" s="7">
        <v>0.8879713821861922</v>
      </c>
      <c r="B593"/>
      <c r="C593"/>
      <c r="D593"/>
      <c r="E593"/>
      <c r="F593" s="27" t="s">
        <v>7</v>
      </c>
    </row>
    <row r="594" spans="1:333" x14ac:dyDescent="0.25">
      <c r="A594" s="7">
        <v>0.87056017861391399</v>
      </c>
      <c r="B594"/>
      <c r="C594"/>
      <c r="D594"/>
      <c r="E594"/>
      <c r="F594" s="27" t="s">
        <v>7</v>
      </c>
    </row>
    <row r="595" spans="1:333" x14ac:dyDescent="0.25">
      <c r="A595" s="7">
        <v>0.85349037119011173</v>
      </c>
      <c r="B595"/>
      <c r="C595"/>
      <c r="D595"/>
      <c r="E595"/>
      <c r="F595" s="27" t="s">
        <v>7</v>
      </c>
    </row>
    <row r="596" spans="1:333" x14ac:dyDescent="0.25">
      <c r="A596" s="7">
        <v>0.83675526587265858</v>
      </c>
      <c r="B596"/>
      <c r="C596"/>
      <c r="D596"/>
      <c r="E596"/>
      <c r="F596" s="27" t="s">
        <v>7</v>
      </c>
    </row>
    <row r="597" spans="1:333" x14ac:dyDescent="0.25">
      <c r="A597" s="7">
        <v>0.82034829987515545</v>
      </c>
      <c r="B597"/>
      <c r="C597"/>
      <c r="D597"/>
      <c r="E597"/>
      <c r="F597" s="27" t="s">
        <v>7</v>
      </c>
    </row>
    <row r="598" spans="1:333" x14ac:dyDescent="0.25">
      <c r="A598" s="7">
        <v>0.80426303909328967</v>
      </c>
      <c r="B598"/>
      <c r="C598"/>
      <c r="D598"/>
      <c r="E598"/>
      <c r="F598" s="27" t="s">
        <v>7</v>
      </c>
    </row>
    <row r="599" spans="1:333" x14ac:dyDescent="0.25">
      <c r="A599" s="7">
        <v>0.78849317558165644</v>
      </c>
      <c r="B599"/>
      <c r="C599"/>
      <c r="D599"/>
      <c r="E599"/>
      <c r="F599" s="27" t="s">
        <v>7</v>
      </c>
    </row>
    <row r="600" spans="1:333" x14ac:dyDescent="0.25">
      <c r="A600" s="7">
        <v>0.77303252508005538</v>
      </c>
      <c r="B600"/>
      <c r="C600"/>
      <c r="D600"/>
      <c r="E600"/>
      <c r="F600" s="27" t="s">
        <v>7</v>
      </c>
    </row>
    <row r="601" spans="1:333" x14ac:dyDescent="0.25">
      <c r="A601" s="7">
        <v>0.75787502458828959</v>
      </c>
      <c r="B601"/>
      <c r="C601"/>
      <c r="D601"/>
      <c r="E601"/>
      <c r="F601" s="27" t="s">
        <v>7</v>
      </c>
    </row>
    <row r="602" spans="1:333" x14ac:dyDescent="0.25">
      <c r="A602" s="7">
        <v>0.74301472998851925</v>
      </c>
      <c r="B602"/>
      <c r="C602"/>
      <c r="D602"/>
      <c r="E602"/>
      <c r="F602" s="27" t="s">
        <v>7</v>
      </c>
    </row>
    <row r="603" spans="1:333" x14ac:dyDescent="0.25">
      <c r="A603" s="7">
        <v>0.72844581371423456</v>
      </c>
      <c r="B603"/>
      <c r="C603"/>
      <c r="D603"/>
      <c r="E603"/>
      <c r="F603" s="27" t="s">
        <v>7</v>
      </c>
    </row>
    <row r="604" spans="1:333" x14ac:dyDescent="0.25">
      <c r="A604" s="7">
        <v>0.71416256246493581</v>
      </c>
      <c r="B604"/>
      <c r="C604"/>
      <c r="D604"/>
      <c r="E604"/>
      <c r="F604" s="27" t="s">
        <v>7</v>
      </c>
    </row>
    <row r="605" spans="1:333" x14ac:dyDescent="0.25">
      <c r="A605" s="7">
        <v>0.7001593749656233</v>
      </c>
      <c r="B605"/>
      <c r="C605"/>
      <c r="D605"/>
      <c r="E605"/>
      <c r="F605" s="27" t="s">
        <v>7</v>
      </c>
    </row>
    <row r="606" spans="1:333" x14ac:dyDescent="0.25">
      <c r="A606" s="7">
        <v>0.68643075977021883</v>
      </c>
      <c r="B606"/>
      <c r="C606"/>
      <c r="D606"/>
      <c r="E606"/>
      <c r="F606" s="27" t="s">
        <v>7</v>
      </c>
    </row>
    <row r="607" spans="1:333" x14ac:dyDescent="0.25">
      <c r="A607" s="7">
        <v>0.67297133310805768</v>
      </c>
      <c r="B607"/>
      <c r="C607"/>
      <c r="D607"/>
      <c r="E607"/>
      <c r="F607" s="27" t="s">
        <v>7</v>
      </c>
      <c r="LC607" s="27" t="s">
        <v>8</v>
      </c>
    </row>
    <row r="608" spans="1:333" x14ac:dyDescent="0.25">
      <c r="A608" s="7">
        <v>0.65977581677260566</v>
      </c>
      <c r="B608"/>
      <c r="C608"/>
      <c r="D608"/>
      <c r="E608"/>
      <c r="F608" s="27" t="s">
        <v>7</v>
      </c>
      <c r="LA608" s="27" t="s">
        <v>8</v>
      </c>
      <c r="LC608" s="27" t="s">
        <v>8</v>
      </c>
      <c r="LD608" s="27" t="s">
        <v>7</v>
      </c>
      <c r="LU608" s="27" t="s">
        <v>8</v>
      </c>
    </row>
    <row r="609" spans="1:350" x14ac:dyDescent="0.25">
      <c r="A609" s="7">
        <v>0.64683903605157422</v>
      </c>
      <c r="B609"/>
      <c r="C609"/>
      <c r="D609"/>
      <c r="E609"/>
      <c r="F609" s="27" t="s">
        <v>7</v>
      </c>
      <c r="LA609" s="27" t="s">
        <v>8</v>
      </c>
      <c r="LB609" s="27" t="s">
        <v>7</v>
      </c>
      <c r="LC609" s="27" t="s">
        <v>8</v>
      </c>
      <c r="LD609" s="27" t="s">
        <v>7</v>
      </c>
      <c r="LU609" s="27" t="s">
        <v>8</v>
      </c>
      <c r="LV609" s="27" t="s">
        <v>7</v>
      </c>
    </row>
    <row r="610" spans="1:350" x14ac:dyDescent="0.25">
      <c r="A610" s="7">
        <v>0.63415591769762181</v>
      </c>
      <c r="B610"/>
      <c r="C610"/>
      <c r="D610"/>
      <c r="E610"/>
      <c r="F610" s="27" t="s">
        <v>7</v>
      </c>
      <c r="LA610" s="27" t="s">
        <v>8</v>
      </c>
      <c r="LB610" s="27" t="s">
        <v>7</v>
      </c>
      <c r="LC610" s="27" t="s">
        <v>8</v>
      </c>
      <c r="LD610" s="27" t="s">
        <v>7</v>
      </c>
      <c r="LU610" s="27" t="s">
        <v>8</v>
      </c>
      <c r="LV610" s="27" t="s">
        <v>7</v>
      </c>
    </row>
    <row r="611" spans="1:350" x14ac:dyDescent="0.25">
      <c r="A611" s="7">
        <v>0.62172148793884496</v>
      </c>
      <c r="B611"/>
      <c r="C611"/>
      <c r="D611"/>
      <c r="E611"/>
      <c r="F611" s="27" t="s">
        <v>7</v>
      </c>
      <c r="LA611" s="27" t="s">
        <v>8</v>
      </c>
      <c r="LB611" s="27" t="s">
        <v>7</v>
      </c>
      <c r="LC611" s="27" t="s">
        <v>8</v>
      </c>
      <c r="LD611" s="27" t="s">
        <v>7</v>
      </c>
      <c r="LE611" s="27" t="s">
        <v>8</v>
      </c>
      <c r="LU611" s="27" t="s">
        <v>8</v>
      </c>
      <c r="LV611" s="27" t="s">
        <v>7</v>
      </c>
    </row>
    <row r="612" spans="1:350" x14ac:dyDescent="0.25">
      <c r="A612" s="7">
        <v>0.60953087052827937</v>
      </c>
      <c r="B612"/>
      <c r="C612"/>
      <c r="D612"/>
      <c r="E612"/>
      <c r="F612" s="27" t="s">
        <v>7</v>
      </c>
      <c r="KY612" s="27" t="s">
        <v>8</v>
      </c>
      <c r="LA612" s="27" t="s">
        <v>8</v>
      </c>
      <c r="LB612" s="27" t="s">
        <v>7</v>
      </c>
      <c r="LC612" s="27" t="s">
        <v>8</v>
      </c>
      <c r="LD612" s="27" t="s">
        <v>7</v>
      </c>
      <c r="LE612" s="27" t="s">
        <v>8</v>
      </c>
      <c r="LF612" s="27" t="s">
        <v>7</v>
      </c>
      <c r="LK612" s="27" t="s">
        <v>8</v>
      </c>
      <c r="LU612" s="27" t="s">
        <v>8</v>
      </c>
      <c r="LV612" s="27" t="s">
        <v>7</v>
      </c>
    </row>
    <row r="613" spans="1:350" x14ac:dyDescent="0.25">
      <c r="A613" s="7">
        <v>0.59757928483164646</v>
      </c>
      <c r="B613"/>
      <c r="C613"/>
      <c r="D613"/>
      <c r="E613"/>
      <c r="F613" s="27" t="s">
        <v>7</v>
      </c>
      <c r="GS613" s="27" t="s">
        <v>8</v>
      </c>
      <c r="KY613" s="27" t="s">
        <v>8</v>
      </c>
      <c r="KZ613" s="27" t="s">
        <v>7</v>
      </c>
      <c r="LA613" s="27" t="s">
        <v>8</v>
      </c>
      <c r="LB613" s="27" t="s">
        <v>7</v>
      </c>
      <c r="LC613" s="27" t="s">
        <v>8</v>
      </c>
      <c r="LD613" s="27" t="s">
        <v>7</v>
      </c>
      <c r="LE613" s="27" t="s">
        <v>8</v>
      </c>
      <c r="LF613" s="27" t="s">
        <v>7</v>
      </c>
      <c r="LK613" s="27" t="s">
        <v>8</v>
      </c>
      <c r="LL613" s="27" t="s">
        <v>7</v>
      </c>
      <c r="LS613" s="27" t="s">
        <v>8</v>
      </c>
      <c r="LU613" s="27" t="s">
        <v>8</v>
      </c>
      <c r="LV613" s="27" t="s">
        <v>7</v>
      </c>
    </row>
    <row r="614" spans="1:350" x14ac:dyDescent="0.25">
      <c r="A614" s="7">
        <v>0.58586204395259456</v>
      </c>
      <c r="B614"/>
      <c r="C614"/>
      <c r="D614"/>
      <c r="E614"/>
      <c r="F614" s="27" t="s">
        <v>7</v>
      </c>
      <c r="GS614" s="27" t="s">
        <v>8</v>
      </c>
      <c r="GT614" s="27" t="s">
        <v>7</v>
      </c>
      <c r="KY614" s="27" t="s">
        <v>8</v>
      </c>
      <c r="KZ614" s="27" t="s">
        <v>7</v>
      </c>
      <c r="LA614" s="27" t="s">
        <v>8</v>
      </c>
      <c r="LB614" s="27" t="s">
        <v>7</v>
      </c>
      <c r="LC614" s="27" t="s">
        <v>8</v>
      </c>
      <c r="LD614" s="27" t="s">
        <v>7</v>
      </c>
      <c r="LE614" s="27" t="s">
        <v>8</v>
      </c>
      <c r="LF614" s="27" t="s">
        <v>7</v>
      </c>
      <c r="LK614" s="27" t="s">
        <v>8</v>
      </c>
      <c r="LL614" s="27" t="s">
        <v>7</v>
      </c>
      <c r="LS614" s="27" t="s">
        <v>8</v>
      </c>
      <c r="LT614" s="27" t="s">
        <v>7</v>
      </c>
      <c r="LU614" s="27" t="s">
        <v>8</v>
      </c>
      <c r="LV614" s="27" t="s">
        <v>7</v>
      </c>
      <c r="LW614" s="27" t="s">
        <v>8</v>
      </c>
    </row>
    <row r="615" spans="1:350" x14ac:dyDescent="0.25">
      <c r="A615" s="7">
        <v>0.57437455289470052</v>
      </c>
      <c r="B615"/>
      <c r="C615"/>
      <c r="D615"/>
      <c r="E615"/>
      <c r="F615" s="27" t="s">
        <v>7</v>
      </c>
      <c r="GS615" s="27" t="s">
        <v>8</v>
      </c>
      <c r="GT615" s="27" t="s">
        <v>7</v>
      </c>
      <c r="GY615" s="27" t="s">
        <v>8</v>
      </c>
      <c r="KY615" s="27" t="s">
        <v>8</v>
      </c>
      <c r="KZ615" s="27" t="s">
        <v>7</v>
      </c>
      <c r="LA615" s="27" t="s">
        <v>8</v>
      </c>
      <c r="LB615" s="27" t="s">
        <v>7</v>
      </c>
      <c r="LC615" s="27" t="s">
        <v>8</v>
      </c>
      <c r="LD615" s="27" t="s">
        <v>7</v>
      </c>
      <c r="LF615" s="27" t="s">
        <v>7</v>
      </c>
      <c r="LG615" s="27" t="s">
        <v>8</v>
      </c>
      <c r="LK615" s="27" t="s">
        <v>8</v>
      </c>
      <c r="LL615" s="27" t="s">
        <v>7</v>
      </c>
      <c r="LQ615" s="27" t="s">
        <v>8</v>
      </c>
      <c r="LS615" s="27" t="s">
        <v>8</v>
      </c>
      <c r="LT615" s="27" t="s">
        <v>7</v>
      </c>
      <c r="LU615" s="27" t="s">
        <v>8</v>
      </c>
      <c r="LV615" s="27" t="s">
        <v>7</v>
      </c>
      <c r="LW615" s="27" t="s">
        <v>8</v>
      </c>
      <c r="LX615" s="27" t="s">
        <v>7</v>
      </c>
    </row>
    <row r="616" spans="1:350" x14ac:dyDescent="0.25">
      <c r="A616" s="7">
        <v>0.56311230675951029</v>
      </c>
      <c r="B616"/>
      <c r="C616"/>
      <c r="D616"/>
      <c r="E616"/>
      <c r="F616" s="27" t="s">
        <v>7</v>
      </c>
      <c r="GS616" s="27" t="s">
        <v>8</v>
      </c>
      <c r="GT616" s="27" t="s">
        <v>7</v>
      </c>
      <c r="GY616" s="27" t="s">
        <v>8</v>
      </c>
      <c r="GZ616" s="27" t="s">
        <v>7</v>
      </c>
      <c r="KY616" s="27" t="s">
        <v>8</v>
      </c>
      <c r="KZ616" s="27" t="s">
        <v>7</v>
      </c>
      <c r="LA616" s="27" t="s">
        <v>8</v>
      </c>
      <c r="LB616" s="27" t="s">
        <v>7</v>
      </c>
      <c r="LC616" s="27" t="s">
        <v>8</v>
      </c>
      <c r="LF616" s="27" t="s">
        <v>7</v>
      </c>
      <c r="LG616" s="27" t="s">
        <v>8</v>
      </c>
      <c r="LH616" s="27" t="s">
        <v>7</v>
      </c>
      <c r="LI616" s="27" t="s">
        <v>8</v>
      </c>
      <c r="LK616" s="27" t="s">
        <v>8</v>
      </c>
      <c r="LL616" s="27" t="s">
        <v>7</v>
      </c>
      <c r="LQ616" s="27" t="s">
        <v>8</v>
      </c>
      <c r="LR616" s="27" t="s">
        <v>7</v>
      </c>
      <c r="LS616" s="27" t="s">
        <v>8</v>
      </c>
      <c r="LT616" s="27" t="s">
        <v>7</v>
      </c>
      <c r="LU616" s="27" t="s">
        <v>8</v>
      </c>
      <c r="LV616" s="27" t="s">
        <v>7</v>
      </c>
      <c r="LW616" s="27" t="s">
        <v>8</v>
      </c>
      <c r="LX616" s="27" t="s">
        <v>7</v>
      </c>
    </row>
    <row r="617" spans="1:350" x14ac:dyDescent="0.25">
      <c r="A617" s="7">
        <v>0.55207088897991208</v>
      </c>
      <c r="B617"/>
      <c r="C617"/>
      <c r="D617"/>
      <c r="E617"/>
      <c r="F617" s="27" t="s">
        <v>7</v>
      </c>
      <c r="GS617" s="27" t="s">
        <v>8</v>
      </c>
      <c r="GT617" s="27" t="s">
        <v>7</v>
      </c>
      <c r="GY617" s="27" t="s">
        <v>8</v>
      </c>
      <c r="GZ617" s="27" t="s">
        <v>7</v>
      </c>
      <c r="KY617" s="27" t="s">
        <v>8</v>
      </c>
      <c r="KZ617" s="27" t="s">
        <v>7</v>
      </c>
      <c r="LA617" s="27" t="s">
        <v>8</v>
      </c>
      <c r="LB617" s="27" t="s">
        <v>7</v>
      </c>
      <c r="LC617" s="27" t="s">
        <v>8</v>
      </c>
      <c r="LF617" s="27" t="s">
        <v>7</v>
      </c>
      <c r="LG617" s="27" t="s">
        <v>8</v>
      </c>
      <c r="LH617" s="27" t="s">
        <v>7</v>
      </c>
      <c r="LI617" s="27" t="s">
        <v>8</v>
      </c>
      <c r="LJ617" s="27" t="s">
        <v>7</v>
      </c>
      <c r="LK617" s="27" t="s">
        <v>8</v>
      </c>
      <c r="LL617" s="27" t="s">
        <v>7</v>
      </c>
      <c r="LO617" s="27" t="s">
        <v>8</v>
      </c>
      <c r="LQ617" s="27" t="s">
        <v>8</v>
      </c>
      <c r="LR617" s="27" t="s">
        <v>7</v>
      </c>
      <c r="LS617" s="27" t="s">
        <v>8</v>
      </c>
      <c r="LT617" s="27" t="s">
        <v>7</v>
      </c>
      <c r="LU617" s="27" t="s">
        <v>8</v>
      </c>
      <c r="LV617" s="27" t="s">
        <v>7</v>
      </c>
      <c r="LW617" s="27" t="s">
        <v>8</v>
      </c>
      <c r="LX617" s="27" t="s">
        <v>7</v>
      </c>
    </row>
    <row r="618" spans="1:350" x14ac:dyDescent="0.25">
      <c r="A618" s="7">
        <v>0.54124596958814908</v>
      </c>
      <c r="B618"/>
      <c r="C618"/>
      <c r="D618"/>
      <c r="E618"/>
      <c r="F618" s="27" t="s">
        <v>7</v>
      </c>
      <c r="GS618" s="27" t="s">
        <v>8</v>
      </c>
      <c r="GT618" s="27" t="s">
        <v>7</v>
      </c>
      <c r="GY618" s="27" t="s">
        <v>8</v>
      </c>
      <c r="GZ618" s="27" t="s">
        <v>7</v>
      </c>
      <c r="KY618" s="27" t="s">
        <v>8</v>
      </c>
      <c r="KZ618" s="27" t="s">
        <v>7</v>
      </c>
      <c r="LA618" s="27" t="s">
        <v>8</v>
      </c>
      <c r="LB618" s="27" t="s">
        <v>7</v>
      </c>
      <c r="LC618" s="27" t="s">
        <v>8</v>
      </c>
      <c r="LF618" s="27" t="s">
        <v>7</v>
      </c>
      <c r="LG618" s="27" t="s">
        <v>8</v>
      </c>
      <c r="LH618" s="27" t="s">
        <v>7</v>
      </c>
      <c r="LI618" s="27" t="s">
        <v>8</v>
      </c>
      <c r="LJ618" s="27" t="s">
        <v>7</v>
      </c>
      <c r="LK618" s="27" t="s">
        <v>8</v>
      </c>
      <c r="LL618" s="27" t="s">
        <v>7</v>
      </c>
      <c r="LM618" s="27" t="s">
        <v>8</v>
      </c>
      <c r="LO618" s="27" t="s">
        <v>8</v>
      </c>
      <c r="LP618" s="27" t="s">
        <v>7</v>
      </c>
      <c r="LQ618" s="27" t="s">
        <v>8</v>
      </c>
      <c r="LR618" s="27" t="s">
        <v>7</v>
      </c>
      <c r="LS618" s="27" t="s">
        <v>8</v>
      </c>
      <c r="LT618" s="27" t="s">
        <v>7</v>
      </c>
      <c r="LU618" s="27" t="s">
        <v>8</v>
      </c>
      <c r="LV618" s="27" t="s">
        <v>7</v>
      </c>
      <c r="LW618" s="27" t="s">
        <v>8</v>
      </c>
      <c r="LX618" s="27" t="s">
        <v>7</v>
      </c>
      <c r="MA618" s="27" t="s">
        <v>8</v>
      </c>
    </row>
    <row r="619" spans="1:350" x14ac:dyDescent="0.25">
      <c r="A619" s="7">
        <v>0.53063330351779314</v>
      </c>
      <c r="B619"/>
      <c r="C619"/>
      <c r="D619"/>
      <c r="E619"/>
      <c r="F619" s="27" t="s">
        <v>7</v>
      </c>
      <c r="GS619" s="27" t="s">
        <v>8</v>
      </c>
      <c r="GT619" s="27" t="s">
        <v>7</v>
      </c>
      <c r="GY619" s="27" t="s">
        <v>8</v>
      </c>
      <c r="GZ619" s="27" t="s">
        <v>7</v>
      </c>
      <c r="KY619" s="27" t="s">
        <v>8</v>
      </c>
      <c r="KZ619" s="27" t="s">
        <v>7</v>
      </c>
      <c r="LA619" s="27" t="s">
        <v>8</v>
      </c>
      <c r="LB619" s="27" t="s">
        <v>7</v>
      </c>
      <c r="LC619" s="27" t="s">
        <v>8</v>
      </c>
      <c r="LF619" s="27" t="s">
        <v>7</v>
      </c>
      <c r="LG619" s="27" t="s">
        <v>8</v>
      </c>
      <c r="LH619" s="27" t="s">
        <v>7</v>
      </c>
      <c r="LI619" s="27" t="s">
        <v>8</v>
      </c>
      <c r="LJ619" s="27" t="s">
        <v>7</v>
      </c>
      <c r="LK619" s="27" t="s">
        <v>8</v>
      </c>
      <c r="LL619" s="27" t="s">
        <v>7</v>
      </c>
      <c r="LM619" s="27" t="s">
        <v>8</v>
      </c>
      <c r="LN619" s="27" t="s">
        <v>7</v>
      </c>
      <c r="LO619" s="27" t="s">
        <v>8</v>
      </c>
      <c r="LP619" s="27" t="s">
        <v>7</v>
      </c>
      <c r="LQ619" s="27" t="s">
        <v>8</v>
      </c>
      <c r="LR619" s="27" t="s">
        <v>7</v>
      </c>
      <c r="LS619" s="27" t="s">
        <v>8</v>
      </c>
      <c r="LT619" s="27" t="s">
        <v>7</v>
      </c>
      <c r="LU619" s="27" t="s">
        <v>8</v>
      </c>
      <c r="LV619" s="27" t="s">
        <v>7</v>
      </c>
      <c r="LW619" s="27" t="s">
        <v>8</v>
      </c>
      <c r="LX619" s="27" t="s">
        <v>7</v>
      </c>
      <c r="LY619" s="27" t="s">
        <v>8</v>
      </c>
      <c r="MA619" s="27" t="s">
        <v>8</v>
      </c>
      <c r="MB619" s="27" t="s">
        <v>7</v>
      </c>
    </row>
    <row r="620" spans="1:350" x14ac:dyDescent="0.25">
      <c r="A620" s="7">
        <v>0.52022872893901284</v>
      </c>
      <c r="B620"/>
      <c r="C620"/>
      <c r="D620"/>
      <c r="E620"/>
      <c r="F620" s="27" t="s">
        <v>7</v>
      </c>
      <c r="GS620" s="27" t="s">
        <v>8</v>
      </c>
      <c r="GT620" s="27" t="s">
        <v>7</v>
      </c>
      <c r="GY620" s="27" t="s">
        <v>8</v>
      </c>
      <c r="GZ620" s="27" t="s">
        <v>7</v>
      </c>
      <c r="HE620" s="27" t="s">
        <v>8</v>
      </c>
      <c r="KY620" s="27" t="s">
        <v>8</v>
      </c>
      <c r="KZ620" s="27" t="s">
        <v>7</v>
      </c>
      <c r="LA620" s="27" t="s">
        <v>8</v>
      </c>
      <c r="LB620" s="27" t="s">
        <v>7</v>
      </c>
      <c r="LC620" s="27" t="s">
        <v>8</v>
      </c>
      <c r="LF620" s="27" t="s">
        <v>7</v>
      </c>
      <c r="LH620" s="27" t="s">
        <v>7</v>
      </c>
      <c r="LI620" s="27" t="s">
        <v>8</v>
      </c>
      <c r="LJ620" s="27" t="s">
        <v>7</v>
      </c>
      <c r="LK620" s="27" t="s">
        <v>8</v>
      </c>
      <c r="LL620" s="27" t="s">
        <v>7</v>
      </c>
      <c r="LM620" s="27" t="s">
        <v>8</v>
      </c>
      <c r="LN620" s="27" t="s">
        <v>7</v>
      </c>
      <c r="LO620" s="27" t="s">
        <v>8</v>
      </c>
      <c r="LP620" s="27" t="s">
        <v>7</v>
      </c>
      <c r="LQ620" s="27" t="s">
        <v>8</v>
      </c>
      <c r="LR620" s="27" t="s">
        <v>7</v>
      </c>
      <c r="LS620" s="27" t="s">
        <v>8</v>
      </c>
      <c r="LT620" s="27" t="s">
        <v>7</v>
      </c>
      <c r="LV620" s="27" t="s">
        <v>7</v>
      </c>
      <c r="LX620" s="27" t="s">
        <v>7</v>
      </c>
      <c r="LY620" s="27" t="s">
        <v>8</v>
      </c>
      <c r="LZ620" s="27" t="s">
        <v>7</v>
      </c>
      <c r="MA620" s="27" t="s">
        <v>8</v>
      </c>
      <c r="MB620" s="27" t="s">
        <v>7</v>
      </c>
    </row>
    <row r="621" spans="1:350" x14ac:dyDescent="0.25">
      <c r="A621" s="7">
        <v>0.51002816562648323</v>
      </c>
      <c r="B621"/>
      <c r="C621"/>
      <c r="D621"/>
      <c r="E621"/>
      <c r="F621" s="27" t="s">
        <v>7</v>
      </c>
      <c r="GS621" s="27" t="s">
        <v>8</v>
      </c>
      <c r="GT621" s="27" t="s">
        <v>7</v>
      </c>
      <c r="GY621" s="27" t="s">
        <v>8</v>
      </c>
      <c r="GZ621" s="27" t="s">
        <v>7</v>
      </c>
      <c r="HE621" s="27" t="s">
        <v>8</v>
      </c>
      <c r="HF621" s="27" t="s">
        <v>7</v>
      </c>
      <c r="KY621" s="27" t="s">
        <v>8</v>
      </c>
      <c r="KZ621" s="27" t="s">
        <v>7</v>
      </c>
      <c r="LA621" s="27" t="s">
        <v>8</v>
      </c>
      <c r="LB621" s="27" t="s">
        <v>7</v>
      </c>
      <c r="LC621" s="27" t="s">
        <v>8</v>
      </c>
      <c r="LH621" s="27" t="s">
        <v>7</v>
      </c>
      <c r="LI621" s="27" t="s">
        <v>8</v>
      </c>
      <c r="LJ621" s="27" t="s">
        <v>7</v>
      </c>
      <c r="LL621" s="27" t="s">
        <v>7</v>
      </c>
      <c r="LM621" s="27" t="s">
        <v>8</v>
      </c>
      <c r="LN621" s="27" t="s">
        <v>7</v>
      </c>
      <c r="LO621" s="27" t="s">
        <v>8</v>
      </c>
      <c r="LP621" s="27" t="s">
        <v>7</v>
      </c>
      <c r="LQ621" s="27" t="s">
        <v>8</v>
      </c>
      <c r="LR621" s="27" t="s">
        <v>7</v>
      </c>
      <c r="LS621" s="27" t="s">
        <v>8</v>
      </c>
      <c r="LX621" s="27" t="s">
        <v>7</v>
      </c>
      <c r="LY621" s="27" t="s">
        <v>8</v>
      </c>
      <c r="LZ621" s="27" t="s">
        <v>7</v>
      </c>
      <c r="MA621" s="27" t="s">
        <v>8</v>
      </c>
      <c r="MB621" s="27" t="s">
        <v>7</v>
      </c>
      <c r="MK621" s="27" t="s">
        <v>8</v>
      </c>
    </row>
    <row r="622" spans="1:350" x14ac:dyDescent="0.25">
      <c r="A622" s="7">
        <v>0.50002761335929735</v>
      </c>
      <c r="B622"/>
      <c r="C622"/>
      <c r="D622"/>
      <c r="E622"/>
      <c r="F622" s="27" t="s">
        <v>7</v>
      </c>
      <c r="GS622" s="27" t="s">
        <v>8</v>
      </c>
      <c r="GT622" s="27" t="s">
        <v>7</v>
      </c>
      <c r="GY622" s="27" t="s">
        <v>8</v>
      </c>
      <c r="GZ622" s="27" t="s">
        <v>7</v>
      </c>
      <c r="HE622" s="27" t="s">
        <v>8</v>
      </c>
      <c r="HF622" s="27" t="s">
        <v>7</v>
      </c>
      <c r="KY622" s="27" t="s">
        <v>8</v>
      </c>
      <c r="KZ622" s="27" t="s">
        <v>7</v>
      </c>
      <c r="LA622" s="27" t="s">
        <v>8</v>
      </c>
      <c r="LB622" s="27" t="s">
        <v>7</v>
      </c>
      <c r="LC622" s="27" t="s">
        <v>8</v>
      </c>
      <c r="LH622" s="27" t="s">
        <v>7</v>
      </c>
      <c r="LI622" s="27" t="s">
        <v>8</v>
      </c>
      <c r="LL622" s="27" t="s">
        <v>7</v>
      </c>
      <c r="LM622" s="27" t="s">
        <v>8</v>
      </c>
      <c r="LN622" s="27" t="s">
        <v>7</v>
      </c>
      <c r="LO622" s="27" t="s">
        <v>8</v>
      </c>
      <c r="LP622" s="27" t="s">
        <v>7</v>
      </c>
      <c r="LQ622" s="27" t="s">
        <v>8</v>
      </c>
      <c r="LR622" s="27" t="s">
        <v>7</v>
      </c>
      <c r="LS622" s="27" t="s">
        <v>8</v>
      </c>
      <c r="LX622" s="27" t="s">
        <v>7</v>
      </c>
      <c r="LY622" s="27" t="s">
        <v>8</v>
      </c>
      <c r="LZ622" s="27" t="s">
        <v>7</v>
      </c>
      <c r="MA622" s="27" t="s">
        <v>8</v>
      </c>
      <c r="MB622" s="27" t="s">
        <v>7</v>
      </c>
      <c r="MK622" s="27" t="s">
        <v>8</v>
      </c>
      <c r="ML622" s="27" t="s">
        <v>7</v>
      </c>
    </row>
    <row r="623" spans="1:350" x14ac:dyDescent="0.25">
      <c r="A623" s="7">
        <v>0.49022315035225228</v>
      </c>
      <c r="B623"/>
      <c r="C623"/>
      <c r="D623"/>
      <c r="E623"/>
      <c r="F623" s="27" t="s">
        <v>7</v>
      </c>
      <c r="GS623" s="27" t="s">
        <v>8</v>
      </c>
      <c r="GT623" s="27" t="s">
        <v>7</v>
      </c>
      <c r="GY623" s="27" t="s">
        <v>8</v>
      </c>
      <c r="GZ623" s="27" t="s">
        <v>7</v>
      </c>
      <c r="HA623" s="27" t="s">
        <v>8</v>
      </c>
      <c r="HE623" s="27" t="s">
        <v>8</v>
      </c>
      <c r="HF623" s="27" t="s">
        <v>7</v>
      </c>
      <c r="KY623" s="27" t="s">
        <v>8</v>
      </c>
      <c r="KZ623" s="27" t="s">
        <v>7</v>
      </c>
      <c r="LA623" s="27" t="s">
        <v>8</v>
      </c>
      <c r="LB623" s="27" t="s">
        <v>7</v>
      </c>
      <c r="LH623" s="27" t="s">
        <v>7</v>
      </c>
      <c r="LL623" s="27" t="s">
        <v>7</v>
      </c>
      <c r="LM623" s="27" t="s">
        <v>8</v>
      </c>
      <c r="LN623" s="27" t="s">
        <v>7</v>
      </c>
      <c r="LO623" s="27" t="s">
        <v>8</v>
      </c>
      <c r="LP623" s="27" t="s">
        <v>7</v>
      </c>
      <c r="LQ623" s="27" t="s">
        <v>8</v>
      </c>
      <c r="LR623" s="27" t="s">
        <v>7</v>
      </c>
      <c r="LS623" s="27" t="s">
        <v>8</v>
      </c>
      <c r="LX623" s="27" t="s">
        <v>7</v>
      </c>
      <c r="LY623" s="27" t="s">
        <v>8</v>
      </c>
      <c r="LZ623" s="27" t="s">
        <v>7</v>
      </c>
      <c r="MB623" s="27" t="s">
        <v>7</v>
      </c>
      <c r="MK623" s="27" t="s">
        <v>8</v>
      </c>
      <c r="ML623" s="27" t="s">
        <v>7</v>
      </c>
    </row>
    <row r="624" spans="1:350" x14ac:dyDescent="0.25">
      <c r="A624" s="7">
        <v>0.48061093171789437</v>
      </c>
      <c r="B624"/>
      <c r="C624"/>
      <c r="D624"/>
      <c r="E624"/>
      <c r="F624" s="27" t="s">
        <v>7</v>
      </c>
      <c r="GS624" s="27" t="s">
        <v>8</v>
      </c>
      <c r="GT624" s="27" t="s">
        <v>7</v>
      </c>
      <c r="GY624" s="27" t="s">
        <v>8</v>
      </c>
      <c r="GZ624" s="27" t="s">
        <v>7</v>
      </c>
      <c r="HA624" s="27" t="s">
        <v>8</v>
      </c>
      <c r="HB624" s="27" t="s">
        <v>7</v>
      </c>
      <c r="HC624" s="27" t="s">
        <v>8</v>
      </c>
      <c r="HE624" s="27" t="s">
        <v>8</v>
      </c>
      <c r="HF624" s="27" t="s">
        <v>7</v>
      </c>
      <c r="IC624" s="27" t="s">
        <v>8</v>
      </c>
      <c r="KI624" s="27" t="s">
        <v>8</v>
      </c>
      <c r="KY624" s="27" t="s">
        <v>8</v>
      </c>
      <c r="KZ624" s="27" t="s">
        <v>7</v>
      </c>
      <c r="LL624" s="27" t="s">
        <v>7</v>
      </c>
      <c r="LM624" s="27" t="s">
        <v>8</v>
      </c>
      <c r="LN624" s="27" t="s">
        <v>7</v>
      </c>
      <c r="LO624" s="27" t="s">
        <v>8</v>
      </c>
      <c r="LP624" s="27" t="s">
        <v>7</v>
      </c>
      <c r="LR624" s="27" t="s">
        <v>7</v>
      </c>
      <c r="LS624" s="27" t="s">
        <v>8</v>
      </c>
      <c r="LX624" s="27" t="s">
        <v>7</v>
      </c>
      <c r="LY624" s="27" t="s">
        <v>8</v>
      </c>
      <c r="MB624" s="27" t="s">
        <v>7</v>
      </c>
      <c r="MK624" s="27" t="s">
        <v>8</v>
      </c>
      <c r="ML624" s="27" t="s">
        <v>7</v>
      </c>
    </row>
    <row r="625" spans="1:376" x14ac:dyDescent="0.25">
      <c r="A625" s="7">
        <v>0.47118718795871994</v>
      </c>
      <c r="B625"/>
      <c r="C625"/>
      <c r="D625"/>
      <c r="E625"/>
      <c r="F625" s="27" t="s">
        <v>7</v>
      </c>
      <c r="GS625" s="27" t="s">
        <v>8</v>
      </c>
      <c r="GT625" s="27" t="s">
        <v>7</v>
      </c>
      <c r="GU625" s="27" t="s">
        <v>8</v>
      </c>
      <c r="GY625" s="27" t="s">
        <v>8</v>
      </c>
      <c r="GZ625" s="27" t="s">
        <v>7</v>
      </c>
      <c r="HA625" s="27" t="s">
        <v>8</v>
      </c>
      <c r="HB625" s="27" t="s">
        <v>7</v>
      </c>
      <c r="HC625" s="27" t="s">
        <v>8</v>
      </c>
      <c r="HD625" s="27" t="s">
        <v>7</v>
      </c>
      <c r="HE625" s="27" t="s">
        <v>8</v>
      </c>
      <c r="HF625" s="27" t="s">
        <v>7</v>
      </c>
      <c r="IC625" s="27" t="s">
        <v>8</v>
      </c>
      <c r="ID625" s="27" t="s">
        <v>7</v>
      </c>
      <c r="KI625" s="27" t="s">
        <v>8</v>
      </c>
      <c r="KJ625" s="27" t="s">
        <v>7</v>
      </c>
      <c r="KY625" s="27" t="s">
        <v>8</v>
      </c>
      <c r="LL625" s="27" t="s">
        <v>7</v>
      </c>
      <c r="LN625" s="27" t="s">
        <v>7</v>
      </c>
      <c r="LR625" s="27" t="s">
        <v>7</v>
      </c>
      <c r="LS625" s="27" t="s">
        <v>8</v>
      </c>
      <c r="LX625" s="27" t="s">
        <v>7</v>
      </c>
      <c r="MB625" s="27" t="s">
        <v>7</v>
      </c>
      <c r="MC625" s="27" t="s">
        <v>8</v>
      </c>
      <c r="MK625" s="27" t="s">
        <v>8</v>
      </c>
      <c r="ML625" s="27" t="s">
        <v>7</v>
      </c>
    </row>
    <row r="626" spans="1:376" x14ac:dyDescent="0.25">
      <c r="A626" s="7">
        <v>0.46194822348894116</v>
      </c>
      <c r="B626"/>
      <c r="C626"/>
      <c r="D626"/>
      <c r="E626"/>
      <c r="F626" s="27" t="s">
        <v>7</v>
      </c>
      <c r="GS626" s="27" t="s">
        <v>8</v>
      </c>
      <c r="GT626" s="27" t="s">
        <v>7</v>
      </c>
      <c r="GU626" s="27" t="s">
        <v>8</v>
      </c>
      <c r="GV626" s="27" t="s">
        <v>7</v>
      </c>
      <c r="GY626" s="27" t="s">
        <v>8</v>
      </c>
      <c r="GZ626" s="27" t="s">
        <v>7</v>
      </c>
      <c r="HA626" s="27" t="s">
        <v>8</v>
      </c>
      <c r="HB626" s="27" t="s">
        <v>7</v>
      </c>
      <c r="HC626" s="27" t="s">
        <v>8</v>
      </c>
      <c r="HD626" s="27" t="s">
        <v>7</v>
      </c>
      <c r="HE626" s="27" t="s">
        <v>8</v>
      </c>
      <c r="HF626" s="27" t="s">
        <v>7</v>
      </c>
      <c r="IC626" s="27" t="s">
        <v>8</v>
      </c>
      <c r="ID626" s="27" t="s">
        <v>7</v>
      </c>
      <c r="KI626" s="27" t="s">
        <v>8</v>
      </c>
      <c r="KJ626" s="27" t="s">
        <v>7</v>
      </c>
      <c r="KY626" s="27" t="s">
        <v>8</v>
      </c>
      <c r="LR626" s="27" t="s">
        <v>7</v>
      </c>
      <c r="LS626" s="27" t="s">
        <v>8</v>
      </c>
      <c r="MB626" s="27" t="s">
        <v>7</v>
      </c>
      <c r="MC626" s="27" t="s">
        <v>8</v>
      </c>
      <c r="MD626" s="27" t="s">
        <v>7</v>
      </c>
      <c r="ME626" s="27" t="s">
        <v>8</v>
      </c>
      <c r="MK626" s="27" t="s">
        <v>8</v>
      </c>
      <c r="ML626" s="27" t="s">
        <v>7</v>
      </c>
    </row>
    <row r="627" spans="1:376" x14ac:dyDescent="0.25">
      <c r="A627" s="7">
        <v>0.45289041518523643</v>
      </c>
      <c r="B627"/>
      <c r="C627"/>
      <c r="D627"/>
      <c r="E627"/>
      <c r="F627" s="27" t="s">
        <v>7</v>
      </c>
      <c r="GS627" s="27" t="s">
        <v>8</v>
      </c>
      <c r="GT627" s="27" t="s">
        <v>7</v>
      </c>
      <c r="GU627" s="27" t="s">
        <v>8</v>
      </c>
      <c r="GV627" s="27" t="s">
        <v>7</v>
      </c>
      <c r="GY627" s="27" t="s">
        <v>8</v>
      </c>
      <c r="GZ627" s="27" t="s">
        <v>7</v>
      </c>
      <c r="HA627" s="27" t="s">
        <v>8</v>
      </c>
      <c r="HB627" s="27" t="s">
        <v>7</v>
      </c>
      <c r="HC627" s="27" t="s">
        <v>8</v>
      </c>
      <c r="HD627" s="27" t="s">
        <v>7</v>
      </c>
      <c r="HF627" s="27" t="s">
        <v>7</v>
      </c>
      <c r="IC627" s="27" t="s">
        <v>8</v>
      </c>
      <c r="ID627" s="27" t="s">
        <v>7</v>
      </c>
      <c r="KI627" s="27" t="s">
        <v>8</v>
      </c>
      <c r="KJ627" s="27" t="s">
        <v>7</v>
      </c>
      <c r="KW627" s="27" t="s">
        <v>8</v>
      </c>
      <c r="KY627" s="27" t="s">
        <v>8</v>
      </c>
      <c r="LR627" s="27" t="s">
        <v>7</v>
      </c>
      <c r="LS627" s="27" t="s">
        <v>8</v>
      </c>
      <c r="MB627" s="27" t="s">
        <v>7</v>
      </c>
      <c r="MC627" s="27" t="s">
        <v>8</v>
      </c>
      <c r="MD627" s="27" t="s">
        <v>7</v>
      </c>
      <c r="ME627" s="27" t="s">
        <v>8</v>
      </c>
      <c r="MF627" s="27" t="s">
        <v>7</v>
      </c>
      <c r="MK627" s="27" t="s">
        <v>8</v>
      </c>
      <c r="ML627" s="27" t="s">
        <v>7</v>
      </c>
      <c r="MY627" s="27" t="s">
        <v>8</v>
      </c>
    </row>
    <row r="628" spans="1:376" x14ac:dyDescent="0.25">
      <c r="A628" s="7">
        <v>0.44401021096591808</v>
      </c>
      <c r="B628"/>
      <c r="C628"/>
      <c r="D628"/>
      <c r="E628"/>
      <c r="F628" s="27" t="s">
        <v>7</v>
      </c>
      <c r="GS628" s="27" t="s">
        <v>8</v>
      </c>
      <c r="GT628" s="27" t="s">
        <v>7</v>
      </c>
      <c r="GU628" s="27" t="s">
        <v>8</v>
      </c>
      <c r="GV628" s="27" t="s">
        <v>7</v>
      </c>
      <c r="GY628" s="27" t="s">
        <v>8</v>
      </c>
      <c r="GZ628" s="27" t="s">
        <v>7</v>
      </c>
      <c r="HA628" s="27" t="s">
        <v>8</v>
      </c>
      <c r="HB628" s="27" t="s">
        <v>7</v>
      </c>
      <c r="HC628" s="27" t="s">
        <v>8</v>
      </c>
      <c r="HF628" s="27" t="s">
        <v>7</v>
      </c>
      <c r="HG628" s="27" t="s">
        <v>8</v>
      </c>
      <c r="IC628" s="27" t="s">
        <v>8</v>
      </c>
      <c r="ID628" s="27" t="s">
        <v>7</v>
      </c>
      <c r="KI628" s="27" t="s">
        <v>8</v>
      </c>
      <c r="KJ628" s="27" t="s">
        <v>7</v>
      </c>
      <c r="KW628" s="27" t="s">
        <v>8</v>
      </c>
      <c r="KX628" s="27" t="s">
        <v>7</v>
      </c>
      <c r="KY628" s="27" t="s">
        <v>8</v>
      </c>
      <c r="LR628" s="27" t="s">
        <v>7</v>
      </c>
      <c r="LS628" s="27" t="s">
        <v>8</v>
      </c>
      <c r="MB628" s="27" t="s">
        <v>7</v>
      </c>
      <c r="MC628" s="27" t="s">
        <v>8</v>
      </c>
      <c r="MD628" s="27" t="s">
        <v>7</v>
      </c>
      <c r="ME628" s="27" t="s">
        <v>8</v>
      </c>
      <c r="MF628" s="27" t="s">
        <v>7</v>
      </c>
      <c r="MG628" s="27" t="s">
        <v>8</v>
      </c>
      <c r="MK628" s="27" t="s">
        <v>8</v>
      </c>
      <c r="ML628" s="27" t="s">
        <v>7</v>
      </c>
      <c r="MY628" s="27" t="s">
        <v>8</v>
      </c>
      <c r="MZ628" s="27" t="s">
        <v>7</v>
      </c>
    </row>
    <row r="629" spans="1:376" x14ac:dyDescent="0.25">
      <c r="A629" s="7">
        <v>0.4353041283979589</v>
      </c>
      <c r="B629"/>
      <c r="C629"/>
      <c r="D629"/>
      <c r="E629"/>
      <c r="F629" s="27" t="s">
        <v>7</v>
      </c>
      <c r="GS629" s="27" t="s">
        <v>8</v>
      </c>
      <c r="GT629" s="27" t="s">
        <v>7</v>
      </c>
      <c r="GU629" s="27" t="s">
        <v>8</v>
      </c>
      <c r="GV629" s="27" t="s">
        <v>7</v>
      </c>
      <c r="GY629" s="27" t="s">
        <v>8</v>
      </c>
      <c r="GZ629" s="27" t="s">
        <v>7</v>
      </c>
      <c r="HA629" s="27" t="s">
        <v>8</v>
      </c>
      <c r="HB629" s="27" t="s">
        <v>7</v>
      </c>
      <c r="HF629" s="27" t="s">
        <v>7</v>
      </c>
      <c r="HG629" s="27" t="s">
        <v>8</v>
      </c>
      <c r="HH629" s="27" t="s">
        <v>7</v>
      </c>
      <c r="IC629" s="27" t="s">
        <v>8</v>
      </c>
      <c r="ID629" s="27" t="s">
        <v>7</v>
      </c>
      <c r="KI629" s="27" t="s">
        <v>8</v>
      </c>
      <c r="KJ629" s="27" t="s">
        <v>7</v>
      </c>
      <c r="KW629" s="27" t="s">
        <v>8</v>
      </c>
      <c r="KX629" s="27" t="s">
        <v>7</v>
      </c>
      <c r="KY629" s="27" t="s">
        <v>8</v>
      </c>
      <c r="LR629" s="27" t="s">
        <v>7</v>
      </c>
      <c r="LS629" s="27" t="s">
        <v>8</v>
      </c>
      <c r="MB629" s="27" t="s">
        <v>7</v>
      </c>
      <c r="MC629" s="27" t="s">
        <v>8</v>
      </c>
      <c r="MD629" s="27" t="s">
        <v>7</v>
      </c>
      <c r="ME629" s="27" t="s">
        <v>8</v>
      </c>
      <c r="MF629" s="27" t="s">
        <v>7</v>
      </c>
      <c r="MG629" s="27" t="s">
        <v>8</v>
      </c>
      <c r="MH629" s="27" t="s">
        <v>7</v>
      </c>
      <c r="MK629" s="27" t="s">
        <v>8</v>
      </c>
      <c r="ML629" s="27" t="s">
        <v>7</v>
      </c>
      <c r="MY629" s="27" t="s">
        <v>8</v>
      </c>
      <c r="MZ629" s="27" t="s">
        <v>7</v>
      </c>
      <c r="NA629" s="27" t="s">
        <v>8</v>
      </c>
    </row>
    <row r="630" spans="1:376" x14ac:dyDescent="0.25">
      <c r="A630" s="7">
        <v>0.4267687533313323</v>
      </c>
      <c r="B630"/>
      <c r="C630"/>
      <c r="D630"/>
      <c r="E630"/>
      <c r="F630" s="27" t="s">
        <v>7</v>
      </c>
      <c r="GS630" s="27" t="s">
        <v>8</v>
      </c>
      <c r="GT630" s="27" t="s">
        <v>7</v>
      </c>
      <c r="GU630" s="27" t="s">
        <v>8</v>
      </c>
      <c r="GV630" s="27" t="s">
        <v>7</v>
      </c>
      <c r="GY630" s="27" t="s">
        <v>8</v>
      </c>
      <c r="GZ630" s="27" t="s">
        <v>7</v>
      </c>
      <c r="HA630" s="27" t="s">
        <v>8</v>
      </c>
      <c r="HF630" s="27" t="s">
        <v>7</v>
      </c>
      <c r="HG630" s="27" t="s">
        <v>8</v>
      </c>
      <c r="HH630" s="27" t="s">
        <v>7</v>
      </c>
      <c r="HS630" s="27" t="s">
        <v>8</v>
      </c>
      <c r="HU630" s="27" t="s">
        <v>8</v>
      </c>
      <c r="IC630" s="27" t="s">
        <v>8</v>
      </c>
      <c r="ID630" s="27" t="s">
        <v>7</v>
      </c>
      <c r="KI630" s="27" t="s">
        <v>8</v>
      </c>
      <c r="KJ630" s="27" t="s">
        <v>7</v>
      </c>
      <c r="KW630" s="27" t="s">
        <v>8</v>
      </c>
      <c r="KX630" s="27" t="s">
        <v>7</v>
      </c>
      <c r="KY630" s="27" t="s">
        <v>8</v>
      </c>
      <c r="LR630" s="27" t="s">
        <v>7</v>
      </c>
      <c r="MB630" s="27" t="s">
        <v>7</v>
      </c>
      <c r="MC630" s="27" t="s">
        <v>8</v>
      </c>
      <c r="MD630" s="27" t="s">
        <v>7</v>
      </c>
      <c r="ME630" s="27" t="s">
        <v>8</v>
      </c>
      <c r="MF630" s="27" t="s">
        <v>7</v>
      </c>
      <c r="MG630" s="27" t="s">
        <v>8</v>
      </c>
      <c r="MH630" s="27" t="s">
        <v>7</v>
      </c>
      <c r="MK630" s="27" t="s">
        <v>8</v>
      </c>
      <c r="ML630" s="27" t="s">
        <v>7</v>
      </c>
      <c r="MY630" s="27" t="s">
        <v>8</v>
      </c>
      <c r="MZ630" s="27" t="s">
        <v>7</v>
      </c>
      <c r="NA630" s="27" t="s">
        <v>8</v>
      </c>
      <c r="NB630" s="27" t="s">
        <v>7</v>
      </c>
      <c r="NE630" s="27" t="s">
        <v>8</v>
      </c>
    </row>
    <row r="631" spans="1:376" x14ac:dyDescent="0.25">
      <c r="A631" s="7">
        <v>0.41840073856012971</v>
      </c>
      <c r="B631"/>
      <c r="C631"/>
      <c r="D631"/>
      <c r="E631"/>
      <c r="F631" s="27" t="s">
        <v>7</v>
      </c>
      <c r="GS631" s="27" t="s">
        <v>8</v>
      </c>
      <c r="GT631" s="27" t="s">
        <v>7</v>
      </c>
      <c r="GU631" s="27" t="s">
        <v>8</v>
      </c>
      <c r="GV631" s="27" t="s">
        <v>7</v>
      </c>
      <c r="GW631" s="27" t="s">
        <v>8</v>
      </c>
      <c r="GY631" s="27" t="s">
        <v>8</v>
      </c>
      <c r="GZ631" s="27" t="s">
        <v>7</v>
      </c>
      <c r="HA631" s="27" t="s">
        <v>8</v>
      </c>
      <c r="HF631" s="27" t="s">
        <v>7</v>
      </c>
      <c r="HG631" s="27" t="s">
        <v>8</v>
      </c>
      <c r="HH631" s="27" t="s">
        <v>7</v>
      </c>
      <c r="HI631" s="27" t="s">
        <v>8</v>
      </c>
      <c r="HS631" s="27" t="s">
        <v>8</v>
      </c>
      <c r="HT631" s="27" t="s">
        <v>7</v>
      </c>
      <c r="HU631" s="27" t="s">
        <v>8</v>
      </c>
      <c r="HV631" s="27" t="s">
        <v>7</v>
      </c>
      <c r="IC631" s="27" t="s">
        <v>8</v>
      </c>
      <c r="ID631" s="27" t="s">
        <v>7</v>
      </c>
      <c r="KI631" s="27" t="s">
        <v>8</v>
      </c>
      <c r="KJ631" s="27" t="s">
        <v>7</v>
      </c>
      <c r="KK631" s="27" t="s">
        <v>8</v>
      </c>
      <c r="KW631" s="27" t="s">
        <v>8</v>
      </c>
      <c r="KX631" s="27" t="s">
        <v>7</v>
      </c>
      <c r="KY631" s="27" t="s">
        <v>8</v>
      </c>
      <c r="MB631" s="27" t="s">
        <v>7</v>
      </c>
      <c r="MD631" s="27" t="s">
        <v>7</v>
      </c>
      <c r="ME631" s="27" t="s">
        <v>8</v>
      </c>
      <c r="MF631" s="27" t="s">
        <v>7</v>
      </c>
      <c r="MG631" s="27" t="s">
        <v>8</v>
      </c>
      <c r="MH631" s="27" t="s">
        <v>7</v>
      </c>
      <c r="MK631" s="27" t="s">
        <v>8</v>
      </c>
      <c r="ML631" s="27" t="s">
        <v>7</v>
      </c>
      <c r="MY631" s="27" t="s">
        <v>8</v>
      </c>
      <c r="MZ631" s="27" t="s">
        <v>7</v>
      </c>
      <c r="NA631" s="27" t="s">
        <v>8</v>
      </c>
      <c r="NB631" s="27" t="s">
        <v>7</v>
      </c>
      <c r="NE631" s="27" t="s">
        <v>8</v>
      </c>
      <c r="NF631" s="27" t="s">
        <v>7</v>
      </c>
      <c r="NK631" s="27" t="s">
        <v>8</v>
      </c>
    </row>
    <row r="632" spans="1:376" x14ac:dyDescent="0.25">
      <c r="A632" s="7">
        <v>0.41019680250993112</v>
      </c>
      <c r="B632"/>
      <c r="C632"/>
      <c r="D632"/>
      <c r="E632"/>
      <c r="F632" s="27" t="s">
        <v>7</v>
      </c>
      <c r="GS632" s="27" t="s">
        <v>8</v>
      </c>
      <c r="GT632" s="27" t="s">
        <v>7</v>
      </c>
      <c r="GU632" s="27" t="s">
        <v>8</v>
      </c>
      <c r="GV632" s="27" t="s">
        <v>7</v>
      </c>
      <c r="GW632" s="27" t="s">
        <v>8</v>
      </c>
      <c r="GX632" s="27" t="s">
        <v>7</v>
      </c>
      <c r="GY632" s="27" t="s">
        <v>8</v>
      </c>
      <c r="GZ632" s="27" t="s">
        <v>7</v>
      </c>
      <c r="HA632" s="27" t="s">
        <v>8</v>
      </c>
      <c r="HF632" s="27" t="s">
        <v>7</v>
      </c>
      <c r="HG632" s="27" t="s">
        <v>8</v>
      </c>
      <c r="HH632" s="27" t="s">
        <v>7</v>
      </c>
      <c r="HI632" s="27" t="s">
        <v>8</v>
      </c>
      <c r="HJ632" s="27" t="s">
        <v>7</v>
      </c>
      <c r="HS632" s="27" t="s">
        <v>8</v>
      </c>
      <c r="HT632" s="27" t="s">
        <v>7</v>
      </c>
      <c r="HU632" s="27" t="s">
        <v>8</v>
      </c>
      <c r="HV632" s="27" t="s">
        <v>7</v>
      </c>
      <c r="IC632" s="27" t="s">
        <v>8</v>
      </c>
      <c r="ID632" s="27" t="s">
        <v>7</v>
      </c>
      <c r="KI632" s="27" t="s">
        <v>8</v>
      </c>
      <c r="KJ632" s="27" t="s">
        <v>7</v>
      </c>
      <c r="KK632" s="27" t="s">
        <v>8</v>
      </c>
      <c r="KL632" s="27" t="s">
        <v>7</v>
      </c>
      <c r="KW632" s="27" t="s">
        <v>8</v>
      </c>
      <c r="KX632" s="27" t="s">
        <v>7</v>
      </c>
      <c r="KY632" s="27" t="s">
        <v>8</v>
      </c>
      <c r="MD632" s="27" t="s">
        <v>7</v>
      </c>
      <c r="ME632" s="27" t="s">
        <v>8</v>
      </c>
      <c r="MF632" s="27" t="s">
        <v>7</v>
      </c>
      <c r="MH632" s="27" t="s">
        <v>7</v>
      </c>
      <c r="MK632" s="27" t="s">
        <v>8</v>
      </c>
      <c r="ML632" s="27" t="s">
        <v>7</v>
      </c>
      <c r="MY632" s="27" t="s">
        <v>8</v>
      </c>
      <c r="MZ632" s="27" t="s">
        <v>7</v>
      </c>
      <c r="NA632" s="27" t="s">
        <v>8</v>
      </c>
      <c r="NB632" s="27" t="s">
        <v>7</v>
      </c>
      <c r="NE632" s="27" t="s">
        <v>8</v>
      </c>
      <c r="NF632" s="27" t="s">
        <v>7</v>
      </c>
      <c r="NK632" s="27" t="s">
        <v>8</v>
      </c>
      <c r="NL632" s="27" t="s">
        <v>7</v>
      </c>
    </row>
    <row r="633" spans="1:376" x14ac:dyDescent="0.25">
      <c r="A633" s="7">
        <v>0.40215372795091286</v>
      </c>
      <c r="B633"/>
      <c r="C633"/>
      <c r="D633"/>
      <c r="E633"/>
      <c r="F633" s="27" t="s">
        <v>7</v>
      </c>
      <c r="GS633" s="27" t="s">
        <v>8</v>
      </c>
      <c r="GT633" s="27" t="s">
        <v>7</v>
      </c>
      <c r="GU633" s="27" t="s">
        <v>8</v>
      </c>
      <c r="GV633" s="27" t="s">
        <v>7</v>
      </c>
      <c r="GW633" s="27" t="s">
        <v>8</v>
      </c>
      <c r="GX633" s="27" t="s">
        <v>7</v>
      </c>
      <c r="GY633" s="27" t="s">
        <v>8</v>
      </c>
      <c r="GZ633" s="27" t="s">
        <v>7</v>
      </c>
      <c r="HA633" s="27" t="s">
        <v>8</v>
      </c>
      <c r="HF633" s="27" t="s">
        <v>7</v>
      </c>
      <c r="HG633" s="27" t="s">
        <v>8</v>
      </c>
      <c r="HH633" s="27" t="s">
        <v>7</v>
      </c>
      <c r="HI633" s="27" t="s">
        <v>8</v>
      </c>
      <c r="HJ633" s="27" t="s">
        <v>7</v>
      </c>
      <c r="HS633" s="27" t="s">
        <v>8</v>
      </c>
      <c r="HT633" s="27" t="s">
        <v>7</v>
      </c>
      <c r="HU633" s="27" t="s">
        <v>8</v>
      </c>
      <c r="HV633" s="27" t="s">
        <v>7</v>
      </c>
      <c r="IC633" s="27" t="s">
        <v>8</v>
      </c>
      <c r="ID633" s="27" t="s">
        <v>7</v>
      </c>
      <c r="KI633" s="27" t="s">
        <v>8</v>
      </c>
      <c r="KJ633" s="27" t="s">
        <v>7</v>
      </c>
      <c r="KK633" s="27" t="s">
        <v>8</v>
      </c>
      <c r="KL633" s="27" t="s">
        <v>7</v>
      </c>
      <c r="KW633" s="27" t="s">
        <v>8</v>
      </c>
      <c r="KX633" s="27" t="s">
        <v>7</v>
      </c>
      <c r="KY633" s="27" t="s">
        <v>8</v>
      </c>
      <c r="MD633" s="27" t="s">
        <v>7</v>
      </c>
      <c r="MH633" s="27" t="s">
        <v>7</v>
      </c>
      <c r="MI633" s="27" t="s">
        <v>8</v>
      </c>
      <c r="MK633" s="27" t="s">
        <v>8</v>
      </c>
      <c r="ML633" s="27" t="s">
        <v>7</v>
      </c>
      <c r="MY633" s="27" t="s">
        <v>8</v>
      </c>
      <c r="MZ633" s="27" t="s">
        <v>7</v>
      </c>
      <c r="NA633" s="27" t="s">
        <v>8</v>
      </c>
      <c r="NB633" s="27" t="s">
        <v>7</v>
      </c>
      <c r="NC633" s="27" t="s">
        <v>8</v>
      </c>
      <c r="NE633" s="27" t="s">
        <v>8</v>
      </c>
      <c r="NF633" s="27" t="s">
        <v>7</v>
      </c>
      <c r="NK633" s="27" t="s">
        <v>8</v>
      </c>
      <c r="NL633" s="27" t="s">
        <v>7</v>
      </c>
    </row>
    <row r="634" spans="1:376" x14ac:dyDescent="0.25">
      <c r="A634" s="7">
        <v>0.39426836073618904</v>
      </c>
      <c r="B634"/>
      <c r="C634"/>
      <c r="D634"/>
      <c r="E634"/>
      <c r="F634" s="27" t="s">
        <v>7</v>
      </c>
      <c r="GS634" s="27" t="s">
        <v>8</v>
      </c>
      <c r="GT634" s="27" t="s">
        <v>7</v>
      </c>
      <c r="GU634" s="27" t="s">
        <v>8</v>
      </c>
      <c r="GV634" s="27" t="s">
        <v>7</v>
      </c>
      <c r="GW634" s="27" t="s">
        <v>8</v>
      </c>
      <c r="GX634" s="27" t="s">
        <v>7</v>
      </c>
      <c r="GY634" s="27" t="s">
        <v>8</v>
      </c>
      <c r="GZ634" s="27" t="s">
        <v>7</v>
      </c>
      <c r="HA634" s="27" t="s">
        <v>8</v>
      </c>
      <c r="HF634" s="27" t="s">
        <v>7</v>
      </c>
      <c r="HG634" s="27" t="s">
        <v>8</v>
      </c>
      <c r="HH634" s="27" t="s">
        <v>7</v>
      </c>
      <c r="HI634" s="27" t="s">
        <v>8</v>
      </c>
      <c r="HJ634" s="27" t="s">
        <v>7</v>
      </c>
      <c r="HK634" s="27" t="s">
        <v>8</v>
      </c>
      <c r="HQ634" s="27" t="s">
        <v>8</v>
      </c>
      <c r="HS634" s="27" t="s">
        <v>8</v>
      </c>
      <c r="HT634" s="27" t="s">
        <v>7</v>
      </c>
      <c r="HV634" s="27" t="s">
        <v>7</v>
      </c>
      <c r="HW634" s="27" t="s">
        <v>8</v>
      </c>
      <c r="HY634" s="27" t="s">
        <v>8</v>
      </c>
      <c r="IA634" s="27" t="s">
        <v>8</v>
      </c>
      <c r="IC634" s="27" t="s">
        <v>8</v>
      </c>
      <c r="ID634" s="27" t="s">
        <v>7</v>
      </c>
      <c r="IE634" s="27" t="s">
        <v>8</v>
      </c>
      <c r="KI634" s="27" t="s">
        <v>8</v>
      </c>
      <c r="KJ634" s="27" t="s">
        <v>7</v>
      </c>
      <c r="KK634" s="27" t="s">
        <v>8</v>
      </c>
      <c r="KL634" s="27" t="s">
        <v>7</v>
      </c>
      <c r="KO634" s="27" t="s">
        <v>8</v>
      </c>
      <c r="KW634" s="27" t="s">
        <v>8</v>
      </c>
      <c r="KX634" s="27" t="s">
        <v>7</v>
      </c>
      <c r="KY634" s="27" t="s">
        <v>8</v>
      </c>
      <c r="MH634" s="27" t="s">
        <v>7</v>
      </c>
      <c r="MI634" s="27" t="s">
        <v>8</v>
      </c>
      <c r="MJ634" s="27" t="s">
        <v>7</v>
      </c>
      <c r="MK634" s="27" t="s">
        <v>8</v>
      </c>
      <c r="ML634" s="27" t="s">
        <v>7</v>
      </c>
      <c r="MY634" s="27" t="s">
        <v>8</v>
      </c>
      <c r="MZ634" s="27" t="s">
        <v>7</v>
      </c>
      <c r="NA634" s="27" t="s">
        <v>8</v>
      </c>
      <c r="NB634" s="27" t="s">
        <v>7</v>
      </c>
      <c r="NC634" s="27" t="s">
        <v>8</v>
      </c>
      <c r="ND634" s="27" t="s">
        <v>7</v>
      </c>
      <c r="NE634" s="27" t="s">
        <v>8</v>
      </c>
      <c r="NF634" s="27" t="s">
        <v>7</v>
      </c>
      <c r="NK634" s="27" t="s">
        <v>8</v>
      </c>
      <c r="NL634" s="27" t="s">
        <v>7</v>
      </c>
    </row>
    <row r="635" spans="1:376" x14ac:dyDescent="0.25">
      <c r="A635" s="7">
        <v>0.38653760856489122</v>
      </c>
      <c r="B635"/>
      <c r="C635"/>
      <c r="D635"/>
      <c r="E635"/>
      <c r="F635" s="27" t="s">
        <v>7</v>
      </c>
      <c r="GS635" s="27" t="s">
        <v>8</v>
      </c>
      <c r="GT635" s="27" t="s">
        <v>7</v>
      </c>
      <c r="GU635" s="27" t="s">
        <v>8</v>
      </c>
      <c r="GV635" s="27" t="s">
        <v>7</v>
      </c>
      <c r="GW635" s="27" t="s">
        <v>8</v>
      </c>
      <c r="GX635" s="27" t="s">
        <v>7</v>
      </c>
      <c r="GY635" s="27" t="s">
        <v>8</v>
      </c>
      <c r="GZ635" s="27" t="s">
        <v>7</v>
      </c>
      <c r="HA635" s="27" t="s">
        <v>8</v>
      </c>
      <c r="HF635" s="27" t="s">
        <v>7</v>
      </c>
      <c r="HG635" s="27" t="s">
        <v>8</v>
      </c>
      <c r="HH635" s="27" t="s">
        <v>7</v>
      </c>
      <c r="HI635" s="27" t="s">
        <v>8</v>
      </c>
      <c r="HJ635" s="27" t="s">
        <v>7</v>
      </c>
      <c r="HK635" s="27" t="s">
        <v>8</v>
      </c>
      <c r="HL635" s="27" t="s">
        <v>7</v>
      </c>
      <c r="HQ635" s="27" t="s">
        <v>8</v>
      </c>
      <c r="HR635" s="27" t="s">
        <v>7</v>
      </c>
      <c r="HS635" s="27" t="s">
        <v>8</v>
      </c>
      <c r="HV635" s="27" t="s">
        <v>7</v>
      </c>
      <c r="HW635" s="27" t="s">
        <v>8</v>
      </c>
      <c r="HX635" s="27" t="s">
        <v>7</v>
      </c>
      <c r="HY635" s="27" t="s">
        <v>8</v>
      </c>
      <c r="HZ635" s="27" t="s">
        <v>7</v>
      </c>
      <c r="IA635" s="27" t="s">
        <v>8</v>
      </c>
      <c r="IB635" s="27" t="s">
        <v>7</v>
      </c>
      <c r="IC635" s="27" t="s">
        <v>8</v>
      </c>
      <c r="ID635" s="27" t="s">
        <v>7</v>
      </c>
      <c r="IE635" s="27" t="s">
        <v>8</v>
      </c>
      <c r="IF635" s="27" t="s">
        <v>7</v>
      </c>
      <c r="KI635" s="27" t="s">
        <v>8</v>
      </c>
      <c r="KJ635" s="27" t="s">
        <v>7</v>
      </c>
      <c r="KK635" s="27" t="s">
        <v>8</v>
      </c>
      <c r="KL635" s="27" t="s">
        <v>7</v>
      </c>
      <c r="KO635" s="27" t="s">
        <v>8</v>
      </c>
      <c r="KP635" s="27" t="s">
        <v>7</v>
      </c>
      <c r="KW635" s="27" t="s">
        <v>8</v>
      </c>
      <c r="KX635" s="27" t="s">
        <v>7</v>
      </c>
      <c r="KY635" s="27" t="s">
        <v>8</v>
      </c>
      <c r="MH635" s="27" t="s">
        <v>7</v>
      </c>
      <c r="MI635" s="27" t="s">
        <v>8</v>
      </c>
      <c r="MJ635" s="27" t="s">
        <v>7</v>
      </c>
      <c r="MK635" s="27" t="s">
        <v>8</v>
      </c>
      <c r="ML635" s="27" t="s">
        <v>7</v>
      </c>
      <c r="MO635" s="27" t="s">
        <v>8</v>
      </c>
      <c r="MY635" s="27" t="s">
        <v>8</v>
      </c>
      <c r="MZ635" s="27" t="s">
        <v>7</v>
      </c>
      <c r="NA635" s="27" t="s">
        <v>8</v>
      </c>
      <c r="NB635" s="27" t="s">
        <v>7</v>
      </c>
      <c r="NC635" s="27" t="s">
        <v>8</v>
      </c>
      <c r="ND635" s="27" t="s">
        <v>7</v>
      </c>
      <c r="NE635" s="27" t="s">
        <v>8</v>
      </c>
      <c r="NF635" s="27" t="s">
        <v>7</v>
      </c>
      <c r="NK635" s="27" t="s">
        <v>8</v>
      </c>
      <c r="NL635" s="27" t="s">
        <v>7</v>
      </c>
    </row>
    <row r="636" spans="1:376" x14ac:dyDescent="0.25">
      <c r="A636" s="7">
        <v>0.37895843976950117</v>
      </c>
      <c r="B636"/>
      <c r="C636"/>
      <c r="D636"/>
      <c r="E636"/>
      <c r="F636" s="27" t="s">
        <v>7</v>
      </c>
      <c r="GS636" s="27" t="s">
        <v>8</v>
      </c>
      <c r="GT636" s="27" t="s">
        <v>7</v>
      </c>
      <c r="GU636" s="27" t="s">
        <v>8</v>
      </c>
      <c r="GV636" s="27" t="s">
        <v>7</v>
      </c>
      <c r="GW636" s="27" t="s">
        <v>8</v>
      </c>
      <c r="GX636" s="27" t="s">
        <v>7</v>
      </c>
      <c r="GY636" s="27" t="s">
        <v>8</v>
      </c>
      <c r="GZ636" s="27" t="s">
        <v>7</v>
      </c>
      <c r="HA636" s="27" t="s">
        <v>8</v>
      </c>
      <c r="HF636" s="27" t="s">
        <v>7</v>
      </c>
      <c r="HG636" s="27" t="s">
        <v>8</v>
      </c>
      <c r="HH636" s="27" t="s">
        <v>7</v>
      </c>
      <c r="HI636" s="27" t="s">
        <v>8</v>
      </c>
      <c r="HJ636" s="27" t="s">
        <v>7</v>
      </c>
      <c r="HK636" s="27" t="s">
        <v>8</v>
      </c>
      <c r="HL636" s="27" t="s">
        <v>7</v>
      </c>
      <c r="HM636" s="27" t="s">
        <v>8</v>
      </c>
      <c r="HQ636" s="27" t="s">
        <v>8</v>
      </c>
      <c r="HR636" s="27" t="s">
        <v>7</v>
      </c>
      <c r="HS636" s="27" t="s">
        <v>8</v>
      </c>
      <c r="HV636" s="27" t="s">
        <v>7</v>
      </c>
      <c r="HW636" s="27" t="s">
        <v>8</v>
      </c>
      <c r="HX636" s="27" t="s">
        <v>7</v>
      </c>
      <c r="HY636" s="27" t="s">
        <v>8</v>
      </c>
      <c r="HZ636" s="27" t="s">
        <v>7</v>
      </c>
      <c r="IA636" s="27" t="s">
        <v>8</v>
      </c>
      <c r="IB636" s="27" t="s">
        <v>7</v>
      </c>
      <c r="IC636" s="27" t="s">
        <v>8</v>
      </c>
      <c r="ID636" s="27" t="s">
        <v>7</v>
      </c>
      <c r="IE636" s="27" t="s">
        <v>8</v>
      </c>
      <c r="IF636" s="27" t="s">
        <v>7</v>
      </c>
      <c r="KI636" s="27" t="s">
        <v>8</v>
      </c>
      <c r="KJ636" s="27" t="s">
        <v>7</v>
      </c>
      <c r="KK636" s="27" t="s">
        <v>8</v>
      </c>
      <c r="KL636" s="27" t="s">
        <v>7</v>
      </c>
      <c r="KO636" s="27" t="s">
        <v>8</v>
      </c>
      <c r="KP636" s="27" t="s">
        <v>7</v>
      </c>
      <c r="KW636" s="27" t="s">
        <v>8</v>
      </c>
      <c r="KX636" s="27" t="s">
        <v>7</v>
      </c>
      <c r="KY636" s="27" t="s">
        <v>8</v>
      </c>
      <c r="MH636" s="27" t="s">
        <v>7</v>
      </c>
      <c r="MI636" s="27" t="s">
        <v>8</v>
      </c>
      <c r="MJ636" s="27" t="s">
        <v>7</v>
      </c>
      <c r="MK636" s="27" t="s">
        <v>8</v>
      </c>
      <c r="ML636" s="27" t="s">
        <v>7</v>
      </c>
      <c r="MM636" s="27" t="s">
        <v>8</v>
      </c>
      <c r="MO636" s="27" t="s">
        <v>8</v>
      </c>
      <c r="MP636" s="27" t="s">
        <v>7</v>
      </c>
      <c r="MY636" s="27" t="s">
        <v>8</v>
      </c>
      <c r="MZ636" s="27" t="s">
        <v>7</v>
      </c>
      <c r="NB636" s="27" t="s">
        <v>7</v>
      </c>
      <c r="NC636" s="27" t="s">
        <v>8</v>
      </c>
      <c r="ND636" s="27" t="s">
        <v>7</v>
      </c>
      <c r="NE636" s="27" t="s">
        <v>8</v>
      </c>
      <c r="NF636" s="27" t="s">
        <v>7</v>
      </c>
      <c r="NK636" s="27" t="s">
        <v>8</v>
      </c>
      <c r="NL636" s="27" t="s">
        <v>7</v>
      </c>
    </row>
    <row r="637" spans="1:376" x14ac:dyDescent="0.25">
      <c r="A637" s="7">
        <v>0.37152788212696197</v>
      </c>
      <c r="B637"/>
      <c r="C637"/>
      <c r="D637"/>
      <c r="E637"/>
      <c r="F637" s="27" t="s">
        <v>7</v>
      </c>
      <c r="GS637" s="27" t="s">
        <v>8</v>
      </c>
      <c r="GT637" s="27" t="s">
        <v>7</v>
      </c>
      <c r="GU637" s="27" t="s">
        <v>8</v>
      </c>
      <c r="GV637" s="27" t="s">
        <v>7</v>
      </c>
      <c r="GW637" s="27" t="s">
        <v>8</v>
      </c>
      <c r="GX637" s="27" t="s">
        <v>7</v>
      </c>
      <c r="GY637" s="27" t="s">
        <v>8</v>
      </c>
      <c r="GZ637" s="27" t="s">
        <v>7</v>
      </c>
      <c r="HF637" s="27" t="s">
        <v>7</v>
      </c>
      <c r="HH637" s="27" t="s">
        <v>7</v>
      </c>
      <c r="HI637" s="27" t="s">
        <v>8</v>
      </c>
      <c r="HJ637" s="27" t="s">
        <v>7</v>
      </c>
      <c r="HK637" s="27" t="s">
        <v>8</v>
      </c>
      <c r="HL637" s="27" t="s">
        <v>7</v>
      </c>
      <c r="HM637" s="27" t="s">
        <v>8</v>
      </c>
      <c r="HN637" s="27" t="s">
        <v>7</v>
      </c>
      <c r="HQ637" s="27" t="s">
        <v>8</v>
      </c>
      <c r="HR637" s="27" t="s">
        <v>7</v>
      </c>
      <c r="HS637" s="27" t="s">
        <v>8</v>
      </c>
      <c r="HV637" s="27" t="s">
        <v>7</v>
      </c>
      <c r="HW637" s="27" t="s">
        <v>8</v>
      </c>
      <c r="HX637" s="27" t="s">
        <v>7</v>
      </c>
      <c r="HY637" s="27" t="s">
        <v>8</v>
      </c>
      <c r="HZ637" s="27" t="s">
        <v>7</v>
      </c>
      <c r="IA637" s="27" t="s">
        <v>8</v>
      </c>
      <c r="IB637" s="27" t="s">
        <v>7</v>
      </c>
      <c r="IC637" s="27" t="s">
        <v>8</v>
      </c>
      <c r="ID637" s="27" t="s">
        <v>7</v>
      </c>
      <c r="IE637" s="27" t="s">
        <v>8</v>
      </c>
      <c r="IF637" s="27" t="s">
        <v>7</v>
      </c>
      <c r="KI637" s="27" t="s">
        <v>8</v>
      </c>
      <c r="KJ637" s="27" t="s">
        <v>7</v>
      </c>
      <c r="KK637" s="27" t="s">
        <v>8</v>
      </c>
      <c r="KL637" s="27" t="s">
        <v>7</v>
      </c>
      <c r="KO637" s="27" t="s">
        <v>8</v>
      </c>
      <c r="KP637" s="27" t="s">
        <v>7</v>
      </c>
      <c r="KW637" s="27" t="s">
        <v>8</v>
      </c>
      <c r="KX637" s="27" t="s">
        <v>7</v>
      </c>
      <c r="KY637" s="27" t="s">
        <v>8</v>
      </c>
      <c r="MH637" s="27" t="s">
        <v>7</v>
      </c>
      <c r="MJ637" s="27" t="s">
        <v>7</v>
      </c>
      <c r="MK637" s="27" t="s">
        <v>8</v>
      </c>
      <c r="ML637" s="27" t="s">
        <v>7</v>
      </c>
      <c r="MM637" s="27" t="s">
        <v>8</v>
      </c>
      <c r="MN637" s="27" t="s">
        <v>7</v>
      </c>
      <c r="MO637" s="27" t="s">
        <v>8</v>
      </c>
      <c r="MP637" s="27" t="s">
        <v>7</v>
      </c>
      <c r="MY637" s="27" t="s">
        <v>8</v>
      </c>
      <c r="NB637" s="27" t="s">
        <v>7</v>
      </c>
      <c r="ND637" s="27" t="s">
        <v>7</v>
      </c>
      <c r="NE637" s="27" t="s">
        <v>8</v>
      </c>
      <c r="NF637" s="27" t="s">
        <v>7</v>
      </c>
      <c r="NK637" s="27" t="s">
        <v>8</v>
      </c>
      <c r="NL637" s="27" t="s">
        <v>7</v>
      </c>
    </row>
    <row r="638" spans="1:376" x14ac:dyDescent="0.25">
      <c r="A638" s="7">
        <v>0.36424302169310002</v>
      </c>
      <c r="B638"/>
      <c r="C638"/>
      <c r="D638"/>
      <c r="E638"/>
      <c r="F638" s="27" t="s">
        <v>7</v>
      </c>
      <c r="GS638" s="27" t="s">
        <v>8</v>
      </c>
      <c r="GT638" s="27" t="s">
        <v>7</v>
      </c>
      <c r="GV638" s="27" t="s">
        <v>7</v>
      </c>
      <c r="GW638" s="27" t="s">
        <v>8</v>
      </c>
      <c r="GX638" s="27" t="s">
        <v>7</v>
      </c>
      <c r="HH638" s="27" t="s">
        <v>7</v>
      </c>
      <c r="HI638" s="27" t="s">
        <v>8</v>
      </c>
      <c r="HJ638" s="27" t="s">
        <v>7</v>
      </c>
      <c r="HK638" s="27" t="s">
        <v>8</v>
      </c>
      <c r="HL638" s="27" t="s">
        <v>7</v>
      </c>
      <c r="HM638" s="27" t="s">
        <v>8</v>
      </c>
      <c r="HN638" s="27" t="s">
        <v>7</v>
      </c>
      <c r="HQ638" s="27" t="s">
        <v>8</v>
      </c>
      <c r="HR638" s="27" t="s">
        <v>7</v>
      </c>
      <c r="HS638" s="27" t="s">
        <v>8</v>
      </c>
      <c r="HV638" s="27" t="s">
        <v>7</v>
      </c>
      <c r="HX638" s="27" t="s">
        <v>7</v>
      </c>
      <c r="HY638" s="27" t="s">
        <v>8</v>
      </c>
      <c r="HZ638" s="27" t="s">
        <v>7</v>
      </c>
      <c r="IA638" s="27" t="s">
        <v>8</v>
      </c>
      <c r="IB638" s="27" t="s">
        <v>7</v>
      </c>
      <c r="IC638" s="27" t="s">
        <v>8</v>
      </c>
      <c r="ID638" s="27" t="s">
        <v>7</v>
      </c>
      <c r="IE638" s="27" t="s">
        <v>8</v>
      </c>
      <c r="IF638" s="27" t="s">
        <v>7</v>
      </c>
      <c r="KI638" s="27" t="s">
        <v>8</v>
      </c>
      <c r="KJ638" s="27" t="s">
        <v>7</v>
      </c>
      <c r="KK638" s="27" t="s">
        <v>8</v>
      </c>
      <c r="KL638" s="27" t="s">
        <v>7</v>
      </c>
      <c r="KO638" s="27" t="s">
        <v>8</v>
      </c>
      <c r="KP638" s="27" t="s">
        <v>7</v>
      </c>
      <c r="KW638" s="27" t="s">
        <v>8</v>
      </c>
      <c r="KX638" s="27" t="s">
        <v>7</v>
      </c>
      <c r="KY638" s="27" t="s">
        <v>8</v>
      </c>
      <c r="MJ638" s="27" t="s">
        <v>7</v>
      </c>
      <c r="MK638" s="27" t="s">
        <v>8</v>
      </c>
      <c r="ML638" s="27" t="s">
        <v>7</v>
      </c>
      <c r="MM638" s="27" t="s">
        <v>8</v>
      </c>
      <c r="MN638" s="27" t="s">
        <v>7</v>
      </c>
      <c r="MO638" s="27" t="s">
        <v>8</v>
      </c>
      <c r="MP638" s="27" t="s">
        <v>7</v>
      </c>
      <c r="MQ638" s="27" t="s">
        <v>8</v>
      </c>
      <c r="MY638" s="27" t="s">
        <v>8</v>
      </c>
      <c r="ND638" s="27" t="s">
        <v>7</v>
      </c>
      <c r="NE638" s="27" t="s">
        <v>8</v>
      </c>
      <c r="NF638" s="27" t="s">
        <v>7</v>
      </c>
      <c r="NK638" s="27" t="s">
        <v>8</v>
      </c>
      <c r="NL638" s="27" t="s">
        <v>7</v>
      </c>
    </row>
    <row r="639" spans="1:376" x14ac:dyDescent="0.25">
      <c r="A639" s="7">
        <v>0.35710100165990194</v>
      </c>
      <c r="B639"/>
      <c r="C639"/>
      <c r="D639"/>
      <c r="E639"/>
      <c r="F639" s="27" t="s">
        <v>7</v>
      </c>
      <c r="GS639" s="27" t="s">
        <v>8</v>
      </c>
      <c r="GV639" s="27" t="s">
        <v>7</v>
      </c>
      <c r="GW639" s="27" t="s">
        <v>8</v>
      </c>
      <c r="HH639" s="27" t="s">
        <v>7</v>
      </c>
      <c r="HI639" s="27" t="s">
        <v>8</v>
      </c>
      <c r="HJ639" s="27" t="s">
        <v>7</v>
      </c>
      <c r="HK639" s="27" t="s">
        <v>8</v>
      </c>
      <c r="HL639" s="27" t="s">
        <v>7</v>
      </c>
      <c r="HM639" s="27" t="s">
        <v>8</v>
      </c>
      <c r="HN639" s="27" t="s">
        <v>7</v>
      </c>
      <c r="HQ639" s="27" t="s">
        <v>8</v>
      </c>
      <c r="HR639" s="27" t="s">
        <v>7</v>
      </c>
      <c r="HS639" s="27" t="s">
        <v>8</v>
      </c>
      <c r="HX639" s="27" t="s">
        <v>7</v>
      </c>
      <c r="HY639" s="27" t="s">
        <v>8</v>
      </c>
      <c r="HZ639" s="27" t="s">
        <v>7</v>
      </c>
      <c r="IA639" s="27" t="s">
        <v>8</v>
      </c>
      <c r="IB639" s="27" t="s">
        <v>7</v>
      </c>
      <c r="IC639" s="27" t="s">
        <v>8</v>
      </c>
      <c r="ID639" s="27" t="s">
        <v>7</v>
      </c>
      <c r="IF639" s="27" t="s">
        <v>7</v>
      </c>
      <c r="KI639" s="27" t="s">
        <v>8</v>
      </c>
      <c r="KJ639" s="27" t="s">
        <v>7</v>
      </c>
      <c r="KK639" s="27" t="s">
        <v>8</v>
      </c>
      <c r="KL639" s="27" t="s">
        <v>7</v>
      </c>
      <c r="KO639" s="27" t="s">
        <v>8</v>
      </c>
      <c r="KP639" s="27" t="s">
        <v>7</v>
      </c>
      <c r="KU639" s="27" t="s">
        <v>8</v>
      </c>
      <c r="KW639" s="27" t="s">
        <v>8</v>
      </c>
      <c r="KX639" s="27" t="s">
        <v>7</v>
      </c>
      <c r="KY639" s="27" t="s">
        <v>8</v>
      </c>
      <c r="MJ639" s="27" t="s">
        <v>7</v>
      </c>
      <c r="ML639" s="27" t="s">
        <v>7</v>
      </c>
      <c r="MM639" s="27" t="s">
        <v>8</v>
      </c>
      <c r="MN639" s="27" t="s">
        <v>7</v>
      </c>
      <c r="MO639" s="27" t="s">
        <v>8</v>
      </c>
      <c r="MP639" s="27" t="s">
        <v>7</v>
      </c>
      <c r="MQ639" s="27" t="s">
        <v>8</v>
      </c>
      <c r="MR639" s="27" t="s">
        <v>7</v>
      </c>
      <c r="MY639" s="27" t="s">
        <v>8</v>
      </c>
      <c r="ND639" s="27" t="s">
        <v>7</v>
      </c>
      <c r="NE639" s="27" t="s">
        <v>8</v>
      </c>
      <c r="NF639" s="27" t="s">
        <v>7</v>
      </c>
      <c r="NI639" s="27" t="s">
        <v>8</v>
      </c>
      <c r="NK639" s="27" t="s">
        <v>8</v>
      </c>
      <c r="NL639" s="27" t="s">
        <v>7</v>
      </c>
    </row>
    <row r="640" spans="1:376" x14ac:dyDescent="0.25">
      <c r="A640" s="7">
        <v>0.35009902123519804</v>
      </c>
      <c r="B640"/>
      <c r="C640"/>
      <c r="D640"/>
      <c r="E640"/>
      <c r="F640" s="27" t="s">
        <v>7</v>
      </c>
      <c r="GS640" s="27" t="s">
        <v>8</v>
      </c>
      <c r="GV640" s="27" t="s">
        <v>7</v>
      </c>
      <c r="GW640" s="27" t="s">
        <v>8</v>
      </c>
      <c r="HH640" s="27" t="s">
        <v>7</v>
      </c>
      <c r="HI640" s="27" t="s">
        <v>8</v>
      </c>
      <c r="HJ640" s="27" t="s">
        <v>7</v>
      </c>
      <c r="HK640" s="27" t="s">
        <v>8</v>
      </c>
      <c r="HL640" s="27" t="s">
        <v>7</v>
      </c>
      <c r="HM640" s="27" t="s">
        <v>8</v>
      </c>
      <c r="HN640" s="27" t="s">
        <v>7</v>
      </c>
      <c r="HQ640" s="27" t="s">
        <v>8</v>
      </c>
      <c r="HR640" s="27" t="s">
        <v>7</v>
      </c>
      <c r="HS640" s="27" t="s">
        <v>8</v>
      </c>
      <c r="HX640" s="27" t="s">
        <v>7</v>
      </c>
      <c r="HY640" s="27" t="s">
        <v>8</v>
      </c>
      <c r="HZ640" s="27" t="s">
        <v>7</v>
      </c>
      <c r="IA640" s="27" t="s">
        <v>8</v>
      </c>
      <c r="IB640" s="27" t="s">
        <v>7</v>
      </c>
      <c r="IC640" s="27" t="s">
        <v>8</v>
      </c>
      <c r="IF640" s="27" t="s">
        <v>7</v>
      </c>
      <c r="KI640" s="27" t="s">
        <v>8</v>
      </c>
      <c r="KJ640" s="27" t="s">
        <v>7</v>
      </c>
      <c r="KL640" s="27" t="s">
        <v>7</v>
      </c>
      <c r="KM640" s="27" t="s">
        <v>8</v>
      </c>
      <c r="KO640" s="27" t="s">
        <v>8</v>
      </c>
      <c r="KP640" s="27" t="s">
        <v>7</v>
      </c>
      <c r="KU640" s="27" t="s">
        <v>8</v>
      </c>
      <c r="KV640" s="27" t="s">
        <v>7</v>
      </c>
      <c r="KW640" s="27" t="s">
        <v>8</v>
      </c>
      <c r="KX640" s="27" t="s">
        <v>7</v>
      </c>
      <c r="KY640" s="27" t="s">
        <v>8</v>
      </c>
      <c r="ML640" s="27" t="s">
        <v>7</v>
      </c>
      <c r="MM640" s="27" t="s">
        <v>8</v>
      </c>
      <c r="MN640" s="27" t="s">
        <v>7</v>
      </c>
      <c r="MO640" s="27" t="s">
        <v>8</v>
      </c>
      <c r="MP640" s="27" t="s">
        <v>7</v>
      </c>
      <c r="MQ640" s="27" t="s">
        <v>8</v>
      </c>
      <c r="MR640" s="27" t="s">
        <v>7</v>
      </c>
      <c r="MY640" s="27" t="s">
        <v>8</v>
      </c>
      <c r="ND640" s="27" t="s">
        <v>7</v>
      </c>
      <c r="NF640" s="27" t="s">
        <v>7</v>
      </c>
      <c r="NI640" s="27" t="s">
        <v>8</v>
      </c>
      <c r="NJ640" s="27" t="s">
        <v>7</v>
      </c>
      <c r="NK640" s="27" t="s">
        <v>8</v>
      </c>
      <c r="NL640" s="27" t="s">
        <v>7</v>
      </c>
    </row>
    <row r="641" spans="1:380" x14ac:dyDescent="0.25">
      <c r="A641" s="7">
        <v>0.34323433454431179</v>
      </c>
      <c r="B641"/>
      <c r="C641"/>
      <c r="D641"/>
      <c r="E641"/>
      <c r="F641" s="27" t="s">
        <v>7</v>
      </c>
      <c r="GS641" s="27" t="s">
        <v>8</v>
      </c>
      <c r="GV641" s="27" t="s">
        <v>7</v>
      </c>
      <c r="GW641" s="27" t="s">
        <v>8</v>
      </c>
      <c r="HH641" s="27" t="s">
        <v>7</v>
      </c>
      <c r="HI641" s="27" t="s">
        <v>8</v>
      </c>
      <c r="HJ641" s="27" t="s">
        <v>7</v>
      </c>
      <c r="HK641" s="27" t="s">
        <v>8</v>
      </c>
      <c r="HL641" s="27" t="s">
        <v>7</v>
      </c>
      <c r="HM641" s="27" t="s">
        <v>8</v>
      </c>
      <c r="HN641" s="27" t="s">
        <v>7</v>
      </c>
      <c r="HQ641" s="27" t="s">
        <v>8</v>
      </c>
      <c r="HR641" s="27" t="s">
        <v>7</v>
      </c>
      <c r="HX641" s="27" t="s">
        <v>7</v>
      </c>
      <c r="HY641" s="27" t="s">
        <v>8</v>
      </c>
      <c r="HZ641" s="27" t="s">
        <v>7</v>
      </c>
      <c r="IA641" s="27" t="s">
        <v>8</v>
      </c>
      <c r="IB641" s="27" t="s">
        <v>7</v>
      </c>
      <c r="IC641" s="27" t="s">
        <v>8</v>
      </c>
      <c r="IF641" s="27" t="s">
        <v>7</v>
      </c>
      <c r="KI641" s="27" t="s">
        <v>8</v>
      </c>
      <c r="KL641" s="27" t="s">
        <v>7</v>
      </c>
      <c r="KM641" s="27" t="s">
        <v>8</v>
      </c>
      <c r="KN641" s="27" t="s">
        <v>7</v>
      </c>
      <c r="KO641" s="27" t="s">
        <v>8</v>
      </c>
      <c r="KP641" s="27" t="s">
        <v>7</v>
      </c>
      <c r="KS641" s="27" t="s">
        <v>8</v>
      </c>
      <c r="KU641" s="27" t="s">
        <v>8</v>
      </c>
      <c r="KV641" s="27" t="s">
        <v>7</v>
      </c>
      <c r="KW641" s="27" t="s">
        <v>8</v>
      </c>
      <c r="KX641" s="27" t="s">
        <v>7</v>
      </c>
      <c r="KY641" s="27" t="s">
        <v>8</v>
      </c>
      <c r="ML641" s="27" t="s">
        <v>7</v>
      </c>
      <c r="MM641" s="27" t="s">
        <v>8</v>
      </c>
      <c r="MN641" s="27" t="s">
        <v>7</v>
      </c>
      <c r="MO641" s="27" t="s">
        <v>8</v>
      </c>
      <c r="MP641" s="27" t="s">
        <v>7</v>
      </c>
      <c r="MQ641" s="27" t="s">
        <v>8</v>
      </c>
      <c r="MR641" s="27" t="s">
        <v>7</v>
      </c>
      <c r="MY641" s="27" t="s">
        <v>8</v>
      </c>
      <c r="NF641" s="27" t="s">
        <v>7</v>
      </c>
      <c r="NI641" s="27" t="s">
        <v>8</v>
      </c>
      <c r="NJ641" s="27" t="s">
        <v>7</v>
      </c>
      <c r="NK641" s="27" t="s">
        <v>8</v>
      </c>
      <c r="NL641" s="27" t="s">
        <v>7</v>
      </c>
    </row>
    <row r="642" spans="1:380" x14ac:dyDescent="0.25">
      <c r="A642" s="7">
        <v>0.33650424955324681</v>
      </c>
      <c r="B642"/>
      <c r="C642"/>
      <c r="D642"/>
      <c r="E642"/>
      <c r="F642" s="27" t="s">
        <v>7</v>
      </c>
      <c r="GS642" s="27" t="s">
        <v>8</v>
      </c>
      <c r="GV642" s="27" t="s">
        <v>7</v>
      </c>
      <c r="GW642" s="27" t="s">
        <v>8</v>
      </c>
      <c r="HH642" s="27" t="s">
        <v>7</v>
      </c>
      <c r="HI642" s="27" t="s">
        <v>8</v>
      </c>
      <c r="HJ642" s="27" t="s">
        <v>7</v>
      </c>
      <c r="HK642" s="27" t="s">
        <v>8</v>
      </c>
      <c r="HL642" s="27" t="s">
        <v>7</v>
      </c>
      <c r="HM642" s="27" t="s">
        <v>8</v>
      </c>
      <c r="HN642" s="27" t="s">
        <v>7</v>
      </c>
      <c r="HQ642" s="27" t="s">
        <v>8</v>
      </c>
      <c r="HX642" s="27" t="s">
        <v>7</v>
      </c>
      <c r="HY642" s="27" t="s">
        <v>8</v>
      </c>
      <c r="HZ642" s="27" t="s">
        <v>7</v>
      </c>
      <c r="IA642" s="27" t="s">
        <v>8</v>
      </c>
      <c r="IB642" s="27" t="s">
        <v>7</v>
      </c>
      <c r="IC642" s="27" t="s">
        <v>8</v>
      </c>
      <c r="IF642" s="27" t="s">
        <v>7</v>
      </c>
      <c r="KI642" s="27" t="s">
        <v>8</v>
      </c>
      <c r="KL642" s="27" t="s">
        <v>7</v>
      </c>
      <c r="KM642" s="27" t="s">
        <v>8</v>
      </c>
      <c r="KN642" s="27" t="s">
        <v>7</v>
      </c>
      <c r="KO642" s="27" t="s">
        <v>8</v>
      </c>
      <c r="KP642" s="27" t="s">
        <v>7</v>
      </c>
      <c r="KS642" s="27" t="s">
        <v>8</v>
      </c>
      <c r="KT642" s="27" t="s">
        <v>7</v>
      </c>
      <c r="KU642" s="27" t="s">
        <v>8</v>
      </c>
      <c r="KV642" s="27" t="s">
        <v>7</v>
      </c>
      <c r="KW642" s="27" t="s">
        <v>8</v>
      </c>
      <c r="KX642" s="27" t="s">
        <v>7</v>
      </c>
      <c r="KY642" s="27" t="s">
        <v>8</v>
      </c>
      <c r="ML642" s="27" t="s">
        <v>7</v>
      </c>
      <c r="MM642" s="27" t="s">
        <v>8</v>
      </c>
      <c r="MN642" s="27" t="s">
        <v>7</v>
      </c>
      <c r="MO642" s="27" t="s">
        <v>8</v>
      </c>
      <c r="MP642" s="27" t="s">
        <v>7</v>
      </c>
      <c r="MQ642" s="27" t="s">
        <v>8</v>
      </c>
      <c r="MR642" s="27" t="s">
        <v>7</v>
      </c>
      <c r="MU642" s="27" t="s">
        <v>8</v>
      </c>
      <c r="MY642" s="27" t="s">
        <v>8</v>
      </c>
      <c r="NF642" s="27" t="s">
        <v>7</v>
      </c>
      <c r="NG642" s="27" t="s">
        <v>8</v>
      </c>
      <c r="NI642" s="27" t="s">
        <v>8</v>
      </c>
      <c r="NJ642" s="27" t="s">
        <v>7</v>
      </c>
      <c r="NK642" s="27" t="s">
        <v>8</v>
      </c>
      <c r="NL642" s="27" t="s">
        <v>7</v>
      </c>
    </row>
    <row r="643" spans="1:380" x14ac:dyDescent="0.25">
      <c r="A643" s="7">
        <v>0.3299061270129871</v>
      </c>
      <c r="B643"/>
      <c r="C643"/>
      <c r="D643"/>
      <c r="E643"/>
      <c r="F643" s="27" t="s">
        <v>7</v>
      </c>
      <c r="GS643" s="27" t="s">
        <v>8</v>
      </c>
      <c r="GV643" s="27" t="s">
        <v>7</v>
      </c>
      <c r="GW643" s="27" t="s">
        <v>8</v>
      </c>
      <c r="HH643" s="27" t="s">
        <v>7</v>
      </c>
      <c r="HI643" s="27" t="s">
        <v>8</v>
      </c>
      <c r="HJ643" s="27" t="s">
        <v>7</v>
      </c>
      <c r="HK643" s="27" t="s">
        <v>8</v>
      </c>
      <c r="HL643" s="27" t="s">
        <v>7</v>
      </c>
      <c r="HM643" s="27" t="s">
        <v>8</v>
      </c>
      <c r="HN643" s="27" t="s">
        <v>7</v>
      </c>
      <c r="HQ643" s="27" t="s">
        <v>8</v>
      </c>
      <c r="HX643" s="27" t="s">
        <v>7</v>
      </c>
      <c r="HY643" s="27" t="s">
        <v>8</v>
      </c>
      <c r="HZ643" s="27" t="s">
        <v>7</v>
      </c>
      <c r="IA643" s="27" t="s">
        <v>8</v>
      </c>
      <c r="IB643" s="27" t="s">
        <v>7</v>
      </c>
      <c r="IC643" s="27" t="s">
        <v>8</v>
      </c>
      <c r="IF643" s="27" t="s">
        <v>7</v>
      </c>
      <c r="KI643" s="27" t="s">
        <v>8</v>
      </c>
      <c r="KL643" s="27" t="s">
        <v>7</v>
      </c>
      <c r="KM643" s="27" t="s">
        <v>8</v>
      </c>
      <c r="KN643" s="27" t="s">
        <v>7</v>
      </c>
      <c r="KP643" s="27" t="s">
        <v>7</v>
      </c>
      <c r="KS643" s="27" t="s">
        <v>8</v>
      </c>
      <c r="KT643" s="27" t="s">
        <v>7</v>
      </c>
      <c r="KU643" s="27" t="s">
        <v>8</v>
      </c>
      <c r="KV643" s="27" t="s">
        <v>7</v>
      </c>
      <c r="KW643" s="27" t="s">
        <v>8</v>
      </c>
      <c r="KX643" s="27" t="s">
        <v>7</v>
      </c>
      <c r="KY643" s="27" t="s">
        <v>8</v>
      </c>
      <c r="ML643" s="27" t="s">
        <v>7</v>
      </c>
      <c r="MM643" s="27" t="s">
        <v>8</v>
      </c>
      <c r="MN643" s="27" t="s">
        <v>7</v>
      </c>
      <c r="MO643" s="27" t="s">
        <v>8</v>
      </c>
      <c r="MP643" s="27" t="s">
        <v>7</v>
      </c>
      <c r="MQ643" s="27" t="s">
        <v>8</v>
      </c>
      <c r="MR643" s="27" t="s">
        <v>7</v>
      </c>
      <c r="MU643" s="27" t="s">
        <v>8</v>
      </c>
      <c r="MV643" s="27" t="s">
        <v>7</v>
      </c>
      <c r="MY643" s="27" t="s">
        <v>8</v>
      </c>
      <c r="NF643" s="27" t="s">
        <v>7</v>
      </c>
      <c r="NG643" s="27" t="s">
        <v>8</v>
      </c>
      <c r="NH643" s="27" t="s">
        <v>7</v>
      </c>
      <c r="NI643" s="27" t="s">
        <v>8</v>
      </c>
      <c r="NJ643" s="27" t="s">
        <v>7</v>
      </c>
      <c r="NK643" s="27" t="s">
        <v>8</v>
      </c>
      <c r="NL643" s="27" t="s">
        <v>7</v>
      </c>
    </row>
    <row r="644" spans="1:380" x14ac:dyDescent="0.25">
      <c r="A644" s="7">
        <v>0.32343737942449713</v>
      </c>
      <c r="B644"/>
      <c r="C644"/>
      <c r="D644"/>
      <c r="E644"/>
      <c r="F644" s="27" t="s">
        <v>7</v>
      </c>
      <c r="GS644" s="27" t="s">
        <v>8</v>
      </c>
      <c r="GV644" s="27" t="s">
        <v>7</v>
      </c>
      <c r="GW644" s="27" t="s">
        <v>8</v>
      </c>
      <c r="HH644" s="27" t="s">
        <v>7</v>
      </c>
      <c r="HJ644" s="27" t="s">
        <v>7</v>
      </c>
      <c r="HK644" s="27" t="s">
        <v>8</v>
      </c>
      <c r="HL644" s="27" t="s">
        <v>7</v>
      </c>
      <c r="HM644" s="27" t="s">
        <v>8</v>
      </c>
      <c r="HN644" s="27" t="s">
        <v>7</v>
      </c>
      <c r="HQ644" s="27" t="s">
        <v>8</v>
      </c>
      <c r="HX644" s="27" t="s">
        <v>7</v>
      </c>
      <c r="HZ644" s="27" t="s">
        <v>7</v>
      </c>
      <c r="IA644" s="27" t="s">
        <v>8</v>
      </c>
      <c r="IB644" s="27" t="s">
        <v>7</v>
      </c>
      <c r="IC644" s="27" t="s">
        <v>8</v>
      </c>
      <c r="IF644" s="27" t="s">
        <v>7</v>
      </c>
      <c r="KI644" s="27" t="s">
        <v>8</v>
      </c>
      <c r="KL644" s="27" t="s">
        <v>7</v>
      </c>
      <c r="KM644" s="27" t="s">
        <v>8</v>
      </c>
      <c r="KP644" s="27" t="s">
        <v>7</v>
      </c>
      <c r="KS644" s="27" t="s">
        <v>8</v>
      </c>
      <c r="KT644" s="27" t="s">
        <v>7</v>
      </c>
      <c r="KU644" s="27" t="s">
        <v>8</v>
      </c>
      <c r="KV644" s="27" t="s">
        <v>7</v>
      </c>
      <c r="KW644" s="27" t="s">
        <v>8</v>
      </c>
      <c r="KX644" s="27" t="s">
        <v>7</v>
      </c>
      <c r="KY644" s="27" t="s">
        <v>8</v>
      </c>
      <c r="ML644" s="27" t="s">
        <v>7</v>
      </c>
      <c r="MM644" s="27" t="s">
        <v>8</v>
      </c>
      <c r="MN644" s="27" t="s">
        <v>7</v>
      </c>
      <c r="MO644" s="27" t="s">
        <v>8</v>
      </c>
      <c r="MP644" s="27" t="s">
        <v>7</v>
      </c>
      <c r="MQ644" s="27" t="s">
        <v>8</v>
      </c>
      <c r="MR644" s="27" t="s">
        <v>7</v>
      </c>
      <c r="MS644" s="27" t="s">
        <v>8</v>
      </c>
      <c r="MU644" s="27" t="s">
        <v>8</v>
      </c>
      <c r="MV644" s="27" t="s">
        <v>7</v>
      </c>
      <c r="MY644" s="27" t="s">
        <v>8</v>
      </c>
      <c r="NF644" s="27" t="s">
        <v>7</v>
      </c>
      <c r="NG644" s="27" t="s">
        <v>8</v>
      </c>
      <c r="NH644" s="27" t="s">
        <v>7</v>
      </c>
      <c r="NI644" s="27" t="s">
        <v>8</v>
      </c>
      <c r="NJ644" s="27" t="s">
        <v>7</v>
      </c>
      <c r="NL644" s="27" t="s">
        <v>7</v>
      </c>
    </row>
    <row r="645" spans="1:380" x14ac:dyDescent="0.25">
      <c r="A645" s="7">
        <v>0.31709547002401678</v>
      </c>
      <c r="B645"/>
      <c r="C645"/>
      <c r="D645"/>
      <c r="E645"/>
      <c r="F645" s="27" t="s">
        <v>7</v>
      </c>
      <c r="GS645" s="27" t="s">
        <v>8</v>
      </c>
      <c r="GV645" s="27" t="s">
        <v>7</v>
      </c>
      <c r="HJ645" s="27" t="s">
        <v>7</v>
      </c>
      <c r="HK645" s="27" t="s">
        <v>8</v>
      </c>
      <c r="HL645" s="27" t="s">
        <v>7</v>
      </c>
      <c r="HM645" s="27" t="s">
        <v>8</v>
      </c>
      <c r="HN645" s="27" t="s">
        <v>7</v>
      </c>
      <c r="HQ645" s="27" t="s">
        <v>8</v>
      </c>
      <c r="HZ645" s="27" t="s">
        <v>7</v>
      </c>
      <c r="IA645" s="27" t="s">
        <v>8</v>
      </c>
      <c r="IB645" s="27" t="s">
        <v>7</v>
      </c>
      <c r="IC645" s="27" t="s">
        <v>8</v>
      </c>
      <c r="IF645" s="27" t="s">
        <v>7</v>
      </c>
      <c r="KG645" s="27" t="s">
        <v>8</v>
      </c>
      <c r="KI645" s="27" t="s">
        <v>8</v>
      </c>
      <c r="KL645" s="27" t="s">
        <v>7</v>
      </c>
      <c r="KM645" s="27" t="s">
        <v>8</v>
      </c>
      <c r="KP645" s="27" t="s">
        <v>7</v>
      </c>
      <c r="KQ645" s="27" t="s">
        <v>8</v>
      </c>
      <c r="KS645" s="27" t="s">
        <v>8</v>
      </c>
      <c r="KT645" s="27" t="s">
        <v>7</v>
      </c>
      <c r="KU645" s="27" t="s">
        <v>8</v>
      </c>
      <c r="KV645" s="27" t="s">
        <v>7</v>
      </c>
      <c r="KW645" s="27" t="s">
        <v>8</v>
      </c>
      <c r="KX645" s="27" t="s">
        <v>7</v>
      </c>
      <c r="KY645" s="27" t="s">
        <v>8</v>
      </c>
      <c r="ML645" s="27" t="s">
        <v>7</v>
      </c>
      <c r="MM645" s="27" t="s">
        <v>8</v>
      </c>
      <c r="MN645" s="27" t="s">
        <v>7</v>
      </c>
      <c r="MO645" s="27" t="s">
        <v>8</v>
      </c>
      <c r="MP645" s="27" t="s">
        <v>7</v>
      </c>
      <c r="MQ645" s="27" t="s">
        <v>8</v>
      </c>
      <c r="MR645" s="27" t="s">
        <v>7</v>
      </c>
      <c r="MS645" s="27" t="s">
        <v>8</v>
      </c>
      <c r="MT645" s="27" t="s">
        <v>7</v>
      </c>
      <c r="MU645" s="27" t="s">
        <v>8</v>
      </c>
      <c r="MV645" s="27" t="s">
        <v>7</v>
      </c>
      <c r="MW645" s="27" t="s">
        <v>8</v>
      </c>
      <c r="MY645" s="27" t="s">
        <v>8</v>
      </c>
      <c r="NF645" s="27" t="s">
        <v>7</v>
      </c>
      <c r="NG645" s="27" t="s">
        <v>8</v>
      </c>
      <c r="NH645" s="27" t="s">
        <v>7</v>
      </c>
      <c r="NI645" s="27" t="s">
        <v>8</v>
      </c>
      <c r="NL645" s="27" t="s">
        <v>7</v>
      </c>
    </row>
    <row r="646" spans="1:380" x14ac:dyDescent="0.25">
      <c r="A646" s="7">
        <v>0.31087791178825175</v>
      </c>
      <c r="B646"/>
      <c r="C646"/>
      <c r="D646"/>
      <c r="E646"/>
      <c r="F646" s="27" t="s">
        <v>7</v>
      </c>
      <c r="GS646" s="27" t="s">
        <v>8</v>
      </c>
      <c r="HJ646" s="27" t="s">
        <v>7</v>
      </c>
      <c r="HK646" s="27" t="s">
        <v>8</v>
      </c>
      <c r="HL646" s="27" t="s">
        <v>7</v>
      </c>
      <c r="HM646" s="27" t="s">
        <v>8</v>
      </c>
      <c r="HN646" s="27" t="s">
        <v>7</v>
      </c>
      <c r="HO646" s="27" t="s">
        <v>8</v>
      </c>
      <c r="HQ646" s="27" t="s">
        <v>8</v>
      </c>
      <c r="HZ646" s="27" t="s">
        <v>7</v>
      </c>
      <c r="IA646" s="27" t="s">
        <v>8</v>
      </c>
      <c r="IB646" s="27" t="s">
        <v>7</v>
      </c>
      <c r="IC646" s="27" t="s">
        <v>8</v>
      </c>
      <c r="IF646" s="27" t="s">
        <v>7</v>
      </c>
      <c r="KG646" s="27" t="s">
        <v>8</v>
      </c>
      <c r="KH646" s="27" t="s">
        <v>7</v>
      </c>
      <c r="KI646" s="27" t="s">
        <v>8</v>
      </c>
      <c r="KL646" s="27" t="s">
        <v>7</v>
      </c>
      <c r="KP646" s="27" t="s">
        <v>7</v>
      </c>
      <c r="KQ646" s="27" t="s">
        <v>8</v>
      </c>
      <c r="KR646" s="27" t="s">
        <v>7</v>
      </c>
      <c r="KS646" s="27" t="s">
        <v>8</v>
      </c>
      <c r="KT646" s="27" t="s">
        <v>7</v>
      </c>
      <c r="KU646" s="27" t="s">
        <v>8</v>
      </c>
      <c r="KV646" s="27" t="s">
        <v>7</v>
      </c>
      <c r="KW646" s="27" t="s">
        <v>8</v>
      </c>
      <c r="KX646" s="27" t="s">
        <v>7</v>
      </c>
      <c r="KY646" s="27" t="s">
        <v>8</v>
      </c>
      <c r="ML646" s="27" t="s">
        <v>7</v>
      </c>
      <c r="MM646" s="27" t="s">
        <v>8</v>
      </c>
      <c r="MN646" s="27" t="s">
        <v>7</v>
      </c>
      <c r="MP646" s="27" t="s">
        <v>7</v>
      </c>
      <c r="MQ646" s="27" t="s">
        <v>8</v>
      </c>
      <c r="MR646" s="27" t="s">
        <v>7</v>
      </c>
      <c r="MS646" s="27" t="s">
        <v>8</v>
      </c>
      <c r="MT646" s="27" t="s">
        <v>7</v>
      </c>
      <c r="MU646" s="27" t="s">
        <v>8</v>
      </c>
      <c r="MV646" s="27" t="s">
        <v>7</v>
      </c>
      <c r="MW646" s="27" t="s">
        <v>8</v>
      </c>
      <c r="MX646" s="27" t="s">
        <v>7</v>
      </c>
      <c r="MY646" s="27" t="s">
        <v>8</v>
      </c>
      <c r="NF646" s="27" t="s">
        <v>7</v>
      </c>
      <c r="NG646" s="27" t="s">
        <v>8</v>
      </c>
      <c r="NH646" s="27" t="s">
        <v>7</v>
      </c>
      <c r="NI646" s="27" t="s">
        <v>8</v>
      </c>
      <c r="NL646" s="27" t="s">
        <v>7</v>
      </c>
    </row>
    <row r="647" spans="1:380" x14ac:dyDescent="0.25">
      <c r="A647" s="7">
        <v>0.30478226645907036</v>
      </c>
      <c r="B647"/>
      <c r="C647"/>
      <c r="D647"/>
      <c r="E647"/>
      <c r="F647" s="27" t="s">
        <v>7</v>
      </c>
      <c r="GS647" s="27" t="s">
        <v>8</v>
      </c>
      <c r="HJ647" s="27" t="s">
        <v>7</v>
      </c>
      <c r="HL647" s="27" t="s">
        <v>7</v>
      </c>
      <c r="HM647" s="27" t="s">
        <v>8</v>
      </c>
      <c r="HN647" s="27" t="s">
        <v>7</v>
      </c>
      <c r="HO647" s="27" t="s">
        <v>8</v>
      </c>
      <c r="HP647" s="27" t="s">
        <v>7</v>
      </c>
      <c r="HQ647" s="27" t="s">
        <v>8</v>
      </c>
      <c r="HZ647" s="27" t="s">
        <v>7</v>
      </c>
      <c r="IA647" s="27" t="s">
        <v>8</v>
      </c>
      <c r="IB647" s="27" t="s">
        <v>7</v>
      </c>
      <c r="IC647" s="27" t="s">
        <v>8</v>
      </c>
      <c r="IF647" s="27" t="s">
        <v>7</v>
      </c>
      <c r="IG647" s="27" t="s">
        <v>8</v>
      </c>
      <c r="KG647" s="27" t="s">
        <v>8</v>
      </c>
      <c r="KH647" s="27" t="s">
        <v>7</v>
      </c>
      <c r="KI647" s="27" t="s">
        <v>8</v>
      </c>
      <c r="KP647" s="27" t="s">
        <v>7</v>
      </c>
      <c r="KQ647" s="27" t="s">
        <v>8</v>
      </c>
      <c r="KR647" s="27" t="s">
        <v>7</v>
      </c>
      <c r="KS647" s="27" t="s">
        <v>8</v>
      </c>
      <c r="KT647" s="27" t="s">
        <v>7</v>
      </c>
      <c r="KU647" s="27" t="s">
        <v>8</v>
      </c>
      <c r="KV647" s="27" t="s">
        <v>7</v>
      </c>
      <c r="KW647" s="27" t="s">
        <v>8</v>
      </c>
      <c r="KX647" s="27" t="s">
        <v>7</v>
      </c>
      <c r="KY647" s="27" t="s">
        <v>8</v>
      </c>
      <c r="ML647" s="27" t="s">
        <v>7</v>
      </c>
      <c r="MM647" s="27" t="s">
        <v>8</v>
      </c>
      <c r="MP647" s="27" t="s">
        <v>7</v>
      </c>
      <c r="MQ647" s="27" t="s">
        <v>8</v>
      </c>
      <c r="MR647" s="27" t="s">
        <v>7</v>
      </c>
      <c r="MS647" s="27" t="s">
        <v>8</v>
      </c>
      <c r="MT647" s="27" t="s">
        <v>7</v>
      </c>
      <c r="MU647" s="27" t="s">
        <v>8</v>
      </c>
      <c r="MV647" s="27" t="s">
        <v>7</v>
      </c>
      <c r="MW647" s="27" t="s">
        <v>8</v>
      </c>
      <c r="MX647" s="27" t="s">
        <v>7</v>
      </c>
      <c r="MY647" s="27" t="s">
        <v>8</v>
      </c>
      <c r="NF647" s="27" t="s">
        <v>7</v>
      </c>
      <c r="NH647" s="27" t="s">
        <v>7</v>
      </c>
      <c r="NI647" s="27" t="s">
        <v>8</v>
      </c>
      <c r="NL647" s="27" t="s">
        <v>7</v>
      </c>
    </row>
    <row r="648" spans="1:380" x14ac:dyDescent="0.25">
      <c r="A648" s="7">
        <v>0.29880614358732388</v>
      </c>
      <c r="B648"/>
      <c r="C648"/>
      <c r="D648"/>
      <c r="E648"/>
      <c r="F648" s="27" t="s">
        <v>7</v>
      </c>
      <c r="GS648" s="27" t="s">
        <v>8</v>
      </c>
      <c r="HL648" s="27" t="s">
        <v>7</v>
      </c>
      <c r="HM648" s="27" t="s">
        <v>8</v>
      </c>
      <c r="HN648" s="27" t="s">
        <v>7</v>
      </c>
      <c r="HO648" s="27" t="s">
        <v>8</v>
      </c>
      <c r="HP648" s="27" t="s">
        <v>7</v>
      </c>
      <c r="HQ648" s="27" t="s">
        <v>8</v>
      </c>
      <c r="HZ648" s="27" t="s">
        <v>7</v>
      </c>
      <c r="IB648" s="27" t="s">
        <v>7</v>
      </c>
      <c r="IF648" s="27" t="s">
        <v>7</v>
      </c>
      <c r="IG648" s="27" t="s">
        <v>8</v>
      </c>
      <c r="IH648" s="27" t="s">
        <v>7</v>
      </c>
      <c r="KG648" s="27" t="s">
        <v>8</v>
      </c>
      <c r="KH648" s="27" t="s">
        <v>7</v>
      </c>
      <c r="KI648" s="27" t="s">
        <v>8</v>
      </c>
      <c r="KP648" s="27" t="s">
        <v>7</v>
      </c>
      <c r="KQ648" s="27" t="s">
        <v>8</v>
      </c>
      <c r="KR648" s="27" t="s">
        <v>7</v>
      </c>
      <c r="KS648" s="27" t="s">
        <v>8</v>
      </c>
      <c r="KT648" s="27" t="s">
        <v>7</v>
      </c>
      <c r="KU648" s="27" t="s">
        <v>8</v>
      </c>
      <c r="KV648" s="27" t="s">
        <v>7</v>
      </c>
      <c r="KW648" s="27" t="s">
        <v>8</v>
      </c>
      <c r="KX648" s="27" t="s">
        <v>7</v>
      </c>
      <c r="KY648" s="27" t="s">
        <v>8</v>
      </c>
      <c r="ML648" s="27" t="s">
        <v>7</v>
      </c>
      <c r="MM648" s="27" t="s">
        <v>8</v>
      </c>
      <c r="MP648" s="27" t="s">
        <v>7</v>
      </c>
      <c r="MQ648" s="27" t="s">
        <v>8</v>
      </c>
      <c r="MR648" s="27" t="s">
        <v>7</v>
      </c>
      <c r="MS648" s="27" t="s">
        <v>8</v>
      </c>
      <c r="MT648" s="27" t="s">
        <v>7</v>
      </c>
      <c r="MU648" s="27" t="s">
        <v>8</v>
      </c>
      <c r="MV648" s="27" t="s">
        <v>7</v>
      </c>
      <c r="MX648" s="27" t="s">
        <v>7</v>
      </c>
      <c r="MY648" s="27" t="s">
        <v>8</v>
      </c>
      <c r="NH648" s="27" t="s">
        <v>7</v>
      </c>
      <c r="NL648" s="27" t="s">
        <v>7</v>
      </c>
    </row>
    <row r="649" spans="1:380" x14ac:dyDescent="0.25">
      <c r="A649" s="7">
        <v>0.2929471995954156</v>
      </c>
      <c r="B649"/>
      <c r="C649"/>
      <c r="D649"/>
      <c r="E649"/>
      <c r="F649" s="27" t="s">
        <v>7</v>
      </c>
      <c r="GS649" s="27" t="s">
        <v>8</v>
      </c>
      <c r="HL649" s="27" t="s">
        <v>7</v>
      </c>
      <c r="HM649" s="27" t="s">
        <v>8</v>
      </c>
      <c r="HN649" s="27" t="s">
        <v>7</v>
      </c>
      <c r="HO649" s="27" t="s">
        <v>8</v>
      </c>
      <c r="HP649" s="27" t="s">
        <v>7</v>
      </c>
      <c r="HQ649" s="27" t="s">
        <v>8</v>
      </c>
      <c r="IF649" s="27" t="s">
        <v>7</v>
      </c>
      <c r="IG649" s="27" t="s">
        <v>8</v>
      </c>
      <c r="IH649" s="27" t="s">
        <v>7</v>
      </c>
      <c r="KG649" s="27" t="s">
        <v>8</v>
      </c>
      <c r="KH649" s="27" t="s">
        <v>7</v>
      </c>
      <c r="KI649" s="27" t="s">
        <v>8</v>
      </c>
      <c r="KP649" s="27" t="s">
        <v>7</v>
      </c>
      <c r="KQ649" s="27" t="s">
        <v>8</v>
      </c>
      <c r="KR649" s="27" t="s">
        <v>7</v>
      </c>
      <c r="KS649" s="27" t="s">
        <v>8</v>
      </c>
      <c r="KT649" s="27" t="s">
        <v>7</v>
      </c>
      <c r="KV649" s="27" t="s">
        <v>7</v>
      </c>
      <c r="KW649" s="27" t="s">
        <v>8</v>
      </c>
      <c r="KX649" s="27" t="s">
        <v>7</v>
      </c>
      <c r="KY649" s="27" t="s">
        <v>8</v>
      </c>
      <c r="ML649" s="27" t="s">
        <v>7</v>
      </c>
      <c r="MM649" s="27" t="s">
        <v>8</v>
      </c>
      <c r="MP649" s="27" t="s">
        <v>7</v>
      </c>
      <c r="MR649" s="27" t="s">
        <v>7</v>
      </c>
      <c r="MT649" s="27" t="s">
        <v>7</v>
      </c>
      <c r="MX649" s="27" t="s">
        <v>7</v>
      </c>
      <c r="MY649" s="27" t="s">
        <v>8</v>
      </c>
      <c r="NL649" s="27" t="s">
        <v>7</v>
      </c>
    </row>
    <row r="650" spans="1:380" x14ac:dyDescent="0.25">
      <c r="A650" s="7">
        <v>0.28720313685825055</v>
      </c>
      <c r="B650"/>
      <c r="C650"/>
      <c r="D650"/>
      <c r="E650"/>
      <c r="F650" s="27" t="s">
        <v>7</v>
      </c>
      <c r="GS650" s="27" t="s">
        <v>8</v>
      </c>
      <c r="HL650" s="27" t="s">
        <v>7</v>
      </c>
      <c r="HM650" s="27" t="s">
        <v>8</v>
      </c>
      <c r="HN650" s="27" t="s">
        <v>7</v>
      </c>
      <c r="HO650" s="27" t="s">
        <v>8</v>
      </c>
      <c r="HP650" s="27" t="s">
        <v>7</v>
      </c>
      <c r="HQ650" s="27" t="s">
        <v>8</v>
      </c>
      <c r="IF650" s="27" t="s">
        <v>7</v>
      </c>
      <c r="IG650" s="27" t="s">
        <v>8</v>
      </c>
      <c r="IH650" s="27" t="s">
        <v>7</v>
      </c>
      <c r="KG650" s="27" t="s">
        <v>8</v>
      </c>
      <c r="KH650" s="27" t="s">
        <v>7</v>
      </c>
      <c r="KP650" s="27" t="s">
        <v>7</v>
      </c>
      <c r="KQ650" s="27" t="s">
        <v>8</v>
      </c>
      <c r="KR650" s="27" t="s">
        <v>7</v>
      </c>
      <c r="KV650" s="27" t="s">
        <v>7</v>
      </c>
      <c r="KW650" s="27" t="s">
        <v>8</v>
      </c>
      <c r="KX650" s="27" t="s">
        <v>7</v>
      </c>
      <c r="ML650" s="27" t="s">
        <v>7</v>
      </c>
      <c r="MM650" s="27" t="s">
        <v>8</v>
      </c>
      <c r="MX650" s="27" t="s">
        <v>7</v>
      </c>
      <c r="NL650" s="27" t="s">
        <v>7</v>
      </c>
      <c r="NO650" s="27" t="s">
        <v>8</v>
      </c>
    </row>
    <row r="651" spans="1:380" x14ac:dyDescent="0.25">
      <c r="A651" s="7">
        <v>0.28157170280220645</v>
      </c>
      <c r="B651"/>
      <c r="C651"/>
      <c r="D651"/>
      <c r="E651"/>
      <c r="F651" s="27" t="s">
        <v>7</v>
      </c>
      <c r="GQ651" s="27" t="s">
        <v>8</v>
      </c>
      <c r="GS651" s="27" t="s">
        <v>8</v>
      </c>
      <c r="HL651" s="27" t="s">
        <v>7</v>
      </c>
      <c r="HM651" s="27" t="s">
        <v>8</v>
      </c>
      <c r="HN651" s="27" t="s">
        <v>7</v>
      </c>
      <c r="HO651" s="27" t="s">
        <v>8</v>
      </c>
      <c r="HP651" s="27" t="s">
        <v>7</v>
      </c>
      <c r="HQ651" s="27" t="s">
        <v>8</v>
      </c>
      <c r="IF651" s="27" t="s">
        <v>7</v>
      </c>
      <c r="IG651" s="27" t="s">
        <v>8</v>
      </c>
      <c r="IH651" s="27" t="s">
        <v>7</v>
      </c>
      <c r="KG651" s="27" t="s">
        <v>8</v>
      </c>
      <c r="KP651" s="27" t="s">
        <v>7</v>
      </c>
      <c r="KQ651" s="27" t="s">
        <v>8</v>
      </c>
      <c r="KV651" s="27" t="s">
        <v>7</v>
      </c>
      <c r="ML651" s="27" t="s">
        <v>7</v>
      </c>
      <c r="MM651" s="27" t="s">
        <v>8</v>
      </c>
      <c r="NL651" s="27" t="s">
        <v>7</v>
      </c>
      <c r="NM651" s="27" t="s">
        <v>8</v>
      </c>
      <c r="NO651" s="27" t="s">
        <v>8</v>
      </c>
      <c r="NP651" s="27" t="s">
        <v>7</v>
      </c>
    </row>
    <row r="652" spans="1:380" x14ac:dyDescent="0.25">
      <c r="A652" s="7">
        <v>0.27605068902177105</v>
      </c>
      <c r="B652"/>
      <c r="C652"/>
      <c r="D652"/>
      <c r="E652"/>
      <c r="F652" s="27" t="s">
        <v>7</v>
      </c>
      <c r="GQ652" s="27" t="s">
        <v>8</v>
      </c>
      <c r="GR652" s="27" t="s">
        <v>7</v>
      </c>
      <c r="GS652" s="27" t="s">
        <v>8</v>
      </c>
      <c r="HL652" s="27" t="s">
        <v>7</v>
      </c>
      <c r="HM652" s="27" t="s">
        <v>8</v>
      </c>
      <c r="HN652" s="27" t="s">
        <v>7</v>
      </c>
      <c r="HO652" s="27" t="s">
        <v>8</v>
      </c>
      <c r="HP652" s="27" t="s">
        <v>7</v>
      </c>
      <c r="HQ652" s="27" t="s">
        <v>8</v>
      </c>
      <c r="IF652" s="27" t="s">
        <v>7</v>
      </c>
      <c r="IG652" s="27" t="s">
        <v>8</v>
      </c>
      <c r="IH652" s="27" t="s">
        <v>7</v>
      </c>
      <c r="IK652" s="27" t="s">
        <v>8</v>
      </c>
      <c r="IO652" s="27" t="s">
        <v>8</v>
      </c>
      <c r="KG652" s="27" t="s">
        <v>8</v>
      </c>
      <c r="KP652" s="27" t="s">
        <v>7</v>
      </c>
      <c r="KQ652" s="27" t="s">
        <v>8</v>
      </c>
      <c r="ML652" s="27" t="s">
        <v>7</v>
      </c>
      <c r="MM652" s="27" t="s">
        <v>8</v>
      </c>
      <c r="NL652" s="27" t="s">
        <v>7</v>
      </c>
      <c r="NM652" s="27" t="s">
        <v>8</v>
      </c>
      <c r="NN652" s="27" t="s">
        <v>7</v>
      </c>
      <c r="NO652" s="27" t="s">
        <v>8</v>
      </c>
      <c r="NP652" s="27" t="s">
        <v>7</v>
      </c>
    </row>
    <row r="653" spans="1:380" x14ac:dyDescent="0.25">
      <c r="A653" s="7">
        <v>0.27063793041350104</v>
      </c>
      <c r="B653"/>
      <c r="C653"/>
      <c r="D653"/>
      <c r="E653"/>
      <c r="F653" s="27" t="s">
        <v>7</v>
      </c>
      <c r="GQ653" s="27" t="s">
        <v>8</v>
      </c>
      <c r="GR653" s="27" t="s">
        <v>7</v>
      </c>
      <c r="GS653" s="27" t="s">
        <v>8</v>
      </c>
      <c r="HL653" s="27" t="s">
        <v>7</v>
      </c>
      <c r="HM653" s="27" t="s">
        <v>8</v>
      </c>
      <c r="HN653" s="27" t="s">
        <v>7</v>
      </c>
      <c r="HO653" s="27" t="s">
        <v>8</v>
      </c>
      <c r="HP653" s="27" t="s">
        <v>7</v>
      </c>
      <c r="HQ653" s="27" t="s">
        <v>8</v>
      </c>
      <c r="IF653" s="27" t="s">
        <v>7</v>
      </c>
      <c r="IG653" s="27" t="s">
        <v>8</v>
      </c>
      <c r="IH653" s="27" t="s">
        <v>7</v>
      </c>
      <c r="IK653" s="27" t="s">
        <v>8</v>
      </c>
      <c r="IL653" s="27" t="s">
        <v>7</v>
      </c>
      <c r="IO653" s="27" t="s">
        <v>8</v>
      </c>
      <c r="IP653" s="27" t="s">
        <v>7</v>
      </c>
      <c r="KG653" s="27" t="s">
        <v>8</v>
      </c>
      <c r="KP653" s="27" t="s">
        <v>7</v>
      </c>
      <c r="KQ653" s="27" t="s">
        <v>8</v>
      </c>
      <c r="ML653" s="27" t="s">
        <v>7</v>
      </c>
      <c r="MM653" s="27" t="s">
        <v>8</v>
      </c>
      <c r="NL653" s="27" t="s">
        <v>7</v>
      </c>
      <c r="NM653" s="27" t="s">
        <v>8</v>
      </c>
      <c r="NN653" s="27" t="s">
        <v>7</v>
      </c>
      <c r="NO653" s="27" t="s">
        <v>8</v>
      </c>
      <c r="NP653" s="27" t="s">
        <v>7</v>
      </c>
    </row>
    <row r="654" spans="1:380" x14ac:dyDescent="0.25">
      <c r="A654" s="7">
        <v>0.26533130432696184</v>
      </c>
      <c r="B654"/>
      <c r="C654"/>
      <c r="D654"/>
      <c r="E654"/>
      <c r="F654" s="27" t="s">
        <v>7</v>
      </c>
      <c r="GQ654" s="27" t="s">
        <v>8</v>
      </c>
      <c r="GR654" s="27" t="s">
        <v>7</v>
      </c>
      <c r="GS654" s="27" t="s">
        <v>8</v>
      </c>
      <c r="HL654" s="27" t="s">
        <v>7</v>
      </c>
      <c r="HM654" s="27" t="s">
        <v>8</v>
      </c>
      <c r="HN654" s="27" t="s">
        <v>7</v>
      </c>
      <c r="HO654" s="27" t="s">
        <v>8</v>
      </c>
      <c r="HP654" s="27" t="s">
        <v>7</v>
      </c>
      <c r="HQ654" s="27" t="s">
        <v>8</v>
      </c>
      <c r="IF654" s="27" t="s">
        <v>7</v>
      </c>
      <c r="IG654" s="27" t="s">
        <v>8</v>
      </c>
      <c r="IH654" s="27" t="s">
        <v>7</v>
      </c>
      <c r="IK654" s="27" t="s">
        <v>8</v>
      </c>
      <c r="IL654" s="27" t="s">
        <v>7</v>
      </c>
      <c r="IO654" s="27" t="s">
        <v>8</v>
      </c>
      <c r="IP654" s="27" t="s">
        <v>7</v>
      </c>
      <c r="KG654" s="27" t="s">
        <v>8</v>
      </c>
      <c r="KP654" s="27" t="s">
        <v>7</v>
      </c>
      <c r="KQ654" s="27" t="s">
        <v>8</v>
      </c>
      <c r="ML654" s="27" t="s">
        <v>7</v>
      </c>
      <c r="MM654" s="27" t="s">
        <v>8</v>
      </c>
      <c r="NL654" s="27" t="s">
        <v>7</v>
      </c>
      <c r="NM654" s="27" t="s">
        <v>8</v>
      </c>
      <c r="NN654" s="27" t="s">
        <v>7</v>
      </c>
      <c r="NO654" s="27" t="s">
        <v>8</v>
      </c>
      <c r="NP654" s="27" t="s">
        <v>7</v>
      </c>
    </row>
    <row r="655" spans="1:380" x14ac:dyDescent="0.25">
      <c r="A655" s="7">
        <v>0.26012872973231554</v>
      </c>
      <c r="B655"/>
      <c r="C655"/>
      <c r="D655"/>
      <c r="E655"/>
      <c r="F655" s="27" t="s">
        <v>7</v>
      </c>
      <c r="GQ655" s="27" t="s">
        <v>8</v>
      </c>
      <c r="GR655" s="27" t="s">
        <v>7</v>
      </c>
      <c r="GS655" s="27" t="s">
        <v>8</v>
      </c>
      <c r="HL655" s="27" t="s">
        <v>7</v>
      </c>
      <c r="HM655" s="27" t="s">
        <v>8</v>
      </c>
      <c r="HN655" s="27" t="s">
        <v>7</v>
      </c>
      <c r="HO655" s="27" t="s">
        <v>8</v>
      </c>
      <c r="HP655" s="27" t="s">
        <v>7</v>
      </c>
      <c r="HQ655" s="27" t="s">
        <v>8</v>
      </c>
      <c r="IF655" s="27" t="s">
        <v>7</v>
      </c>
      <c r="IG655" s="27" t="s">
        <v>8</v>
      </c>
      <c r="IH655" s="27" t="s">
        <v>7</v>
      </c>
      <c r="IK655" s="27" t="s">
        <v>8</v>
      </c>
      <c r="IL655" s="27" t="s">
        <v>7</v>
      </c>
      <c r="IO655" s="27" t="s">
        <v>8</v>
      </c>
      <c r="IP655" s="27" t="s">
        <v>7</v>
      </c>
      <c r="KG655" s="27" t="s">
        <v>8</v>
      </c>
      <c r="KP655" s="27" t="s">
        <v>7</v>
      </c>
      <c r="KQ655" s="27" t="s">
        <v>8</v>
      </c>
      <c r="ML655" s="27" t="s">
        <v>7</v>
      </c>
      <c r="MM655" s="27" t="s">
        <v>8</v>
      </c>
      <c r="NL655" s="27" t="s">
        <v>7</v>
      </c>
      <c r="NM655" s="27" t="s">
        <v>8</v>
      </c>
      <c r="NN655" s="27" t="s">
        <v>7</v>
      </c>
      <c r="NO655" s="27" t="s">
        <v>8</v>
      </c>
      <c r="NP655" s="27" t="s">
        <v>7</v>
      </c>
    </row>
    <row r="656" spans="1:380" x14ac:dyDescent="0.25">
      <c r="A656" s="7">
        <v>0.25502816640423093</v>
      </c>
      <c r="B656"/>
      <c r="C656"/>
      <c r="D656"/>
      <c r="E656"/>
      <c r="F656" s="27" t="s">
        <v>7</v>
      </c>
      <c r="GQ656" s="27" t="s">
        <v>8</v>
      </c>
      <c r="GR656" s="27" t="s">
        <v>7</v>
      </c>
      <c r="GS656" s="27" t="s">
        <v>8</v>
      </c>
      <c r="HL656" s="27" t="s">
        <v>7</v>
      </c>
      <c r="HM656" s="27" t="s">
        <v>8</v>
      </c>
      <c r="HN656" s="27" t="s">
        <v>7</v>
      </c>
      <c r="HO656" s="27" t="s">
        <v>8</v>
      </c>
      <c r="HP656" s="27" t="s">
        <v>7</v>
      </c>
      <c r="HQ656" s="27" t="s">
        <v>8</v>
      </c>
      <c r="IF656" s="27" t="s">
        <v>7</v>
      </c>
      <c r="IG656" s="27" t="s">
        <v>8</v>
      </c>
      <c r="IH656" s="27" t="s">
        <v>7</v>
      </c>
      <c r="IK656" s="27" t="s">
        <v>8</v>
      </c>
      <c r="IL656" s="27" t="s">
        <v>7</v>
      </c>
      <c r="IO656" s="27" t="s">
        <v>8</v>
      </c>
      <c r="IP656" s="27" t="s">
        <v>7</v>
      </c>
      <c r="KE656" s="27" t="s">
        <v>8</v>
      </c>
      <c r="KG656" s="27" t="s">
        <v>8</v>
      </c>
      <c r="KP656" s="27" t="s">
        <v>7</v>
      </c>
      <c r="KQ656" s="27" t="s">
        <v>8</v>
      </c>
      <c r="ML656" s="27" t="s">
        <v>7</v>
      </c>
      <c r="NL656" s="27" t="s">
        <v>7</v>
      </c>
      <c r="NM656" s="27" t="s">
        <v>8</v>
      </c>
      <c r="NN656" s="27" t="s">
        <v>7</v>
      </c>
      <c r="NO656" s="27" t="s">
        <v>8</v>
      </c>
      <c r="NP656" s="27" t="s">
        <v>7</v>
      </c>
    </row>
    <row r="657" spans="1:379" x14ac:dyDescent="0.25">
      <c r="A657" s="7">
        <v>0.25002761412179503</v>
      </c>
      <c r="B657"/>
      <c r="C657"/>
      <c r="D657"/>
      <c r="E657"/>
      <c r="F657" s="27" t="s">
        <v>7</v>
      </c>
      <c r="GQ657" s="27" t="s">
        <v>8</v>
      </c>
      <c r="GR657" s="27" t="s">
        <v>7</v>
      </c>
      <c r="GS657" s="27" t="s">
        <v>8</v>
      </c>
      <c r="HL657" s="27" t="s">
        <v>7</v>
      </c>
      <c r="HM657" s="27" t="s">
        <v>8</v>
      </c>
      <c r="HN657" s="27" t="s">
        <v>7</v>
      </c>
      <c r="HO657" s="27" t="s">
        <v>8</v>
      </c>
      <c r="HP657" s="27" t="s">
        <v>7</v>
      </c>
      <c r="IF657" s="27" t="s">
        <v>7</v>
      </c>
      <c r="IG657" s="27" t="s">
        <v>8</v>
      </c>
      <c r="IH657" s="27" t="s">
        <v>7</v>
      </c>
      <c r="IK657" s="27" t="s">
        <v>8</v>
      </c>
      <c r="IL657" s="27" t="s">
        <v>7</v>
      </c>
      <c r="IO657" s="27" t="s">
        <v>8</v>
      </c>
      <c r="IP657" s="27" t="s">
        <v>7</v>
      </c>
      <c r="KE657" s="27" t="s">
        <v>8</v>
      </c>
      <c r="KF657" s="27" t="s">
        <v>7</v>
      </c>
      <c r="KG657" s="27" t="s">
        <v>8</v>
      </c>
      <c r="KP657" s="27" t="s">
        <v>7</v>
      </c>
      <c r="KQ657" s="27" t="s">
        <v>8</v>
      </c>
      <c r="NL657" s="27" t="s">
        <v>7</v>
      </c>
      <c r="NM657" s="27" t="s">
        <v>8</v>
      </c>
      <c r="NN657" s="27" t="s">
        <v>7</v>
      </c>
      <c r="NO657" s="27" t="s">
        <v>8</v>
      </c>
    </row>
    <row r="658" spans="1:379" x14ac:dyDescent="0.25">
      <c r="A658" s="7">
        <v>0.24512511188411276</v>
      </c>
      <c r="B658"/>
      <c r="C658"/>
      <c r="D658"/>
      <c r="E658"/>
      <c r="F658" s="27" t="s">
        <v>7</v>
      </c>
      <c r="GK658" s="27" t="s">
        <v>8</v>
      </c>
      <c r="GQ658" s="27" t="s">
        <v>8</v>
      </c>
      <c r="GR658" s="27" t="s">
        <v>7</v>
      </c>
      <c r="GS658" s="27" t="s">
        <v>8</v>
      </c>
      <c r="HL658" s="27" t="s">
        <v>7</v>
      </c>
      <c r="HM658" s="27" t="s">
        <v>8</v>
      </c>
      <c r="HN658" s="27" t="s">
        <v>7</v>
      </c>
      <c r="HO658" s="27" t="s">
        <v>8</v>
      </c>
      <c r="IF658" s="27" t="s">
        <v>7</v>
      </c>
      <c r="IG658" s="27" t="s">
        <v>8</v>
      </c>
      <c r="IH658" s="27" t="s">
        <v>7</v>
      </c>
      <c r="IK658" s="27" t="s">
        <v>8</v>
      </c>
      <c r="IL658" s="27" t="s">
        <v>7</v>
      </c>
      <c r="IO658" s="27" t="s">
        <v>8</v>
      </c>
      <c r="IP658" s="27" t="s">
        <v>7</v>
      </c>
      <c r="KE658" s="27" t="s">
        <v>8</v>
      </c>
      <c r="KF658" s="27" t="s">
        <v>7</v>
      </c>
      <c r="KG658" s="27" t="s">
        <v>8</v>
      </c>
      <c r="KP658" s="27" t="s">
        <v>7</v>
      </c>
      <c r="KQ658" s="27" t="s">
        <v>8</v>
      </c>
      <c r="NL658" s="27" t="s">
        <v>7</v>
      </c>
      <c r="NM658" s="27" t="s">
        <v>8</v>
      </c>
      <c r="NN658" s="27" t="s">
        <v>7</v>
      </c>
      <c r="NO658" s="27" t="s">
        <v>8</v>
      </c>
    </row>
    <row r="659" spans="1:379" x14ac:dyDescent="0.25">
      <c r="A659" s="7">
        <v>0.24031873714128701</v>
      </c>
      <c r="B659"/>
      <c r="C659"/>
      <c r="D659"/>
      <c r="E659"/>
      <c r="F659" s="27" t="s">
        <v>7</v>
      </c>
      <c r="GK659" s="27" t="s">
        <v>8</v>
      </c>
      <c r="GL659" s="27" t="s">
        <v>7</v>
      </c>
      <c r="GQ659" s="27" t="s">
        <v>8</v>
      </c>
      <c r="GR659" s="27" t="s">
        <v>7</v>
      </c>
      <c r="HL659" s="27" t="s">
        <v>7</v>
      </c>
      <c r="HN659" s="27" t="s">
        <v>7</v>
      </c>
      <c r="HO659" s="27" t="s">
        <v>8</v>
      </c>
      <c r="IF659" s="27" t="s">
        <v>7</v>
      </c>
      <c r="IG659" s="27" t="s">
        <v>8</v>
      </c>
      <c r="IH659" s="27" t="s">
        <v>7</v>
      </c>
      <c r="IK659" s="27" t="s">
        <v>8</v>
      </c>
      <c r="IL659" s="27" t="s">
        <v>7</v>
      </c>
      <c r="IO659" s="27" t="s">
        <v>8</v>
      </c>
      <c r="IP659" s="27" t="s">
        <v>7</v>
      </c>
      <c r="IQ659" s="27" t="s">
        <v>8</v>
      </c>
      <c r="KE659" s="27" t="s">
        <v>8</v>
      </c>
      <c r="KF659" s="27" t="s">
        <v>7</v>
      </c>
      <c r="KG659" s="27" t="s">
        <v>8</v>
      </c>
      <c r="KP659" s="27" t="s">
        <v>7</v>
      </c>
      <c r="KQ659" s="27" t="s">
        <v>8</v>
      </c>
      <c r="NL659" s="27" t="s">
        <v>7</v>
      </c>
      <c r="NM659" s="27" t="s">
        <v>8</v>
      </c>
      <c r="NN659" s="27" t="s">
        <v>7</v>
      </c>
      <c r="NO659" s="27" t="s">
        <v>8</v>
      </c>
    </row>
    <row r="660" spans="1:379" x14ac:dyDescent="0.25">
      <c r="A660" s="7">
        <v>0.23560660504047748</v>
      </c>
      <c r="B660"/>
      <c r="C660"/>
      <c r="D660"/>
      <c r="E660"/>
      <c r="F660" s="27" t="s">
        <v>7</v>
      </c>
      <c r="GK660" s="27" t="s">
        <v>8</v>
      </c>
      <c r="GL660" s="27" t="s">
        <v>7</v>
      </c>
      <c r="GQ660" s="27" t="s">
        <v>8</v>
      </c>
      <c r="HN660" s="27" t="s">
        <v>7</v>
      </c>
      <c r="HO660" s="27" t="s">
        <v>8</v>
      </c>
      <c r="IF660" s="27" t="s">
        <v>7</v>
      </c>
      <c r="IG660" s="27" t="s">
        <v>8</v>
      </c>
      <c r="IH660" s="27" t="s">
        <v>7</v>
      </c>
      <c r="IK660" s="27" t="s">
        <v>8</v>
      </c>
      <c r="IL660" s="27" t="s">
        <v>7</v>
      </c>
      <c r="IM660" s="27" t="s">
        <v>8</v>
      </c>
      <c r="IO660" s="27" t="s">
        <v>8</v>
      </c>
      <c r="IP660" s="27" t="s">
        <v>7</v>
      </c>
      <c r="IQ660" s="27" t="s">
        <v>8</v>
      </c>
      <c r="IR660" s="27" t="s">
        <v>7</v>
      </c>
      <c r="KE660" s="27" t="s">
        <v>8</v>
      </c>
      <c r="KF660" s="27" t="s">
        <v>7</v>
      </c>
      <c r="KG660" s="27" t="s">
        <v>8</v>
      </c>
      <c r="KP660" s="27" t="s">
        <v>7</v>
      </c>
      <c r="NL660" s="27" t="s">
        <v>7</v>
      </c>
      <c r="NM660" s="27" t="s">
        <v>8</v>
      </c>
      <c r="NN660" s="27" t="s">
        <v>7</v>
      </c>
      <c r="NO660" s="27" t="s">
        <v>8</v>
      </c>
    </row>
    <row r="661" spans="1:379" x14ac:dyDescent="0.25">
      <c r="A661" s="7">
        <v>0.23098686768674265</v>
      </c>
      <c r="B661"/>
      <c r="C661"/>
      <c r="D661"/>
      <c r="E661"/>
      <c r="F661" s="27" t="s">
        <v>7</v>
      </c>
      <c r="GK661" s="27" t="s">
        <v>8</v>
      </c>
      <c r="GL661" s="27" t="s">
        <v>7</v>
      </c>
      <c r="GQ661" s="27" t="s">
        <v>8</v>
      </c>
      <c r="HN661" s="27" t="s">
        <v>7</v>
      </c>
      <c r="IF661" s="27" t="s">
        <v>7</v>
      </c>
      <c r="IG661" s="27" t="s">
        <v>8</v>
      </c>
      <c r="IH661" s="27" t="s">
        <v>7</v>
      </c>
      <c r="II661" s="27" t="s">
        <v>8</v>
      </c>
      <c r="IK661" s="27" t="s">
        <v>8</v>
      </c>
      <c r="IL661" s="27" t="s">
        <v>7</v>
      </c>
      <c r="IM661" s="27" t="s">
        <v>8</v>
      </c>
      <c r="IN661" s="27" t="s">
        <v>7</v>
      </c>
      <c r="IO661" s="27" t="s">
        <v>8</v>
      </c>
      <c r="IP661" s="27" t="s">
        <v>7</v>
      </c>
      <c r="IQ661" s="27" t="s">
        <v>8</v>
      </c>
      <c r="IR661" s="27" t="s">
        <v>7</v>
      </c>
      <c r="IS661" s="27" t="s">
        <v>8</v>
      </c>
      <c r="KC661" s="27" t="s">
        <v>8</v>
      </c>
      <c r="KE661" s="27" t="s">
        <v>8</v>
      </c>
      <c r="KF661" s="27" t="s">
        <v>7</v>
      </c>
      <c r="KG661" s="27" t="s">
        <v>8</v>
      </c>
      <c r="NL661" s="27" t="s">
        <v>7</v>
      </c>
      <c r="NN661" s="27" t="s">
        <v>7</v>
      </c>
      <c r="NO661" s="27" t="s">
        <v>8</v>
      </c>
    </row>
    <row r="662" spans="1:379" x14ac:dyDescent="0.25">
      <c r="A662" s="7">
        <v>0.22645771341837515</v>
      </c>
      <c r="B662"/>
      <c r="C662"/>
      <c r="D662"/>
      <c r="E662"/>
      <c r="F662" s="27" t="s">
        <v>7</v>
      </c>
      <c r="GK662" s="27" t="s">
        <v>8</v>
      </c>
      <c r="GL662" s="27" t="s">
        <v>7</v>
      </c>
      <c r="GQ662" s="27" t="s">
        <v>8</v>
      </c>
      <c r="IF662" s="27" t="s">
        <v>7</v>
      </c>
      <c r="IG662" s="27" t="s">
        <v>8</v>
      </c>
      <c r="IH662" s="27" t="s">
        <v>7</v>
      </c>
      <c r="II662" s="27" t="s">
        <v>8</v>
      </c>
      <c r="IJ662" s="27" t="s">
        <v>7</v>
      </c>
      <c r="IK662" s="27" t="s">
        <v>8</v>
      </c>
      <c r="IL662" s="27" t="s">
        <v>7</v>
      </c>
      <c r="IM662" s="27" t="s">
        <v>8</v>
      </c>
      <c r="IN662" s="27" t="s">
        <v>7</v>
      </c>
      <c r="IO662" s="27" t="s">
        <v>8</v>
      </c>
      <c r="IP662" s="27" t="s">
        <v>7</v>
      </c>
      <c r="IQ662" s="27" t="s">
        <v>8</v>
      </c>
      <c r="IR662" s="27" t="s">
        <v>7</v>
      </c>
      <c r="IS662" s="27" t="s">
        <v>8</v>
      </c>
      <c r="IT662" s="27" t="s">
        <v>7</v>
      </c>
      <c r="KC662" s="27" t="s">
        <v>8</v>
      </c>
      <c r="KD662" s="27" t="s">
        <v>7</v>
      </c>
      <c r="KE662" s="27" t="s">
        <v>8</v>
      </c>
      <c r="KF662" s="27" t="s">
        <v>7</v>
      </c>
      <c r="KG662" s="27" t="s">
        <v>8</v>
      </c>
      <c r="NN662" s="27" t="s">
        <v>7</v>
      </c>
      <c r="NO662" s="27" t="s">
        <v>8</v>
      </c>
    </row>
    <row r="663" spans="1:379" x14ac:dyDescent="0.25">
      <c r="A663" s="7">
        <v>0.22201736609644623</v>
      </c>
      <c r="B663"/>
      <c r="C663"/>
      <c r="D663"/>
      <c r="E663"/>
      <c r="F663" s="27" t="s">
        <v>7</v>
      </c>
      <c r="GI663" s="27" t="s">
        <v>8</v>
      </c>
      <c r="GK663" s="27" t="s">
        <v>8</v>
      </c>
      <c r="GL663" s="27" t="s">
        <v>7</v>
      </c>
      <c r="GQ663" s="27" t="s">
        <v>8</v>
      </c>
      <c r="IF663" s="27" t="s">
        <v>7</v>
      </c>
      <c r="IG663" s="27" t="s">
        <v>8</v>
      </c>
      <c r="IH663" s="27" t="s">
        <v>7</v>
      </c>
      <c r="II663" s="27" t="s">
        <v>8</v>
      </c>
      <c r="IJ663" s="27" t="s">
        <v>7</v>
      </c>
      <c r="IK663" s="27" t="s">
        <v>8</v>
      </c>
      <c r="IL663" s="27" t="s">
        <v>7</v>
      </c>
      <c r="IM663" s="27" t="s">
        <v>8</v>
      </c>
      <c r="IN663" s="27" t="s">
        <v>7</v>
      </c>
      <c r="IO663" s="27" t="s">
        <v>8</v>
      </c>
      <c r="IP663" s="27" t="s">
        <v>7</v>
      </c>
      <c r="IQ663" s="27" t="s">
        <v>8</v>
      </c>
      <c r="IR663" s="27" t="s">
        <v>7</v>
      </c>
      <c r="IS663" s="27" t="s">
        <v>8</v>
      </c>
      <c r="IT663" s="27" t="s">
        <v>7</v>
      </c>
      <c r="IW663" s="27" t="s">
        <v>8</v>
      </c>
      <c r="KC663" s="27" t="s">
        <v>8</v>
      </c>
      <c r="KD663" s="27" t="s">
        <v>7</v>
      </c>
      <c r="KE663" s="27" t="s">
        <v>8</v>
      </c>
      <c r="KF663" s="27" t="s">
        <v>7</v>
      </c>
      <c r="KG663" s="27" t="s">
        <v>8</v>
      </c>
      <c r="NN663" s="27" t="s">
        <v>7</v>
      </c>
    </row>
    <row r="664" spans="1:379" x14ac:dyDescent="0.25">
      <c r="A664" s="7">
        <v>0.21766408440828061</v>
      </c>
      <c r="B664"/>
      <c r="C664"/>
      <c r="D664"/>
      <c r="E664"/>
      <c r="F664" s="27" t="s">
        <v>7</v>
      </c>
      <c r="GI664" s="27" t="s">
        <v>8</v>
      </c>
      <c r="GJ664" s="27" t="s">
        <v>7</v>
      </c>
      <c r="GK664" s="27" t="s">
        <v>8</v>
      </c>
      <c r="GL664" s="27" t="s">
        <v>7</v>
      </c>
      <c r="GM664" s="27" t="s">
        <v>8</v>
      </c>
      <c r="GO664" s="27" t="s">
        <v>8</v>
      </c>
      <c r="GQ664" s="27" t="s">
        <v>8</v>
      </c>
      <c r="IF664" s="27" t="s">
        <v>7</v>
      </c>
      <c r="IG664" s="27" t="s">
        <v>8</v>
      </c>
      <c r="IH664" s="27" t="s">
        <v>7</v>
      </c>
      <c r="II664" s="27" t="s">
        <v>8</v>
      </c>
      <c r="IJ664" s="27" t="s">
        <v>7</v>
      </c>
      <c r="IK664" s="27" t="s">
        <v>8</v>
      </c>
      <c r="IL664" s="27" t="s">
        <v>7</v>
      </c>
      <c r="IM664" s="27" t="s">
        <v>8</v>
      </c>
      <c r="IN664" s="27" t="s">
        <v>7</v>
      </c>
      <c r="IO664" s="27" t="s">
        <v>8</v>
      </c>
      <c r="IP664" s="27" t="s">
        <v>7</v>
      </c>
      <c r="IQ664" s="27" t="s">
        <v>8</v>
      </c>
      <c r="IR664" s="27" t="s">
        <v>7</v>
      </c>
      <c r="IS664" s="27" t="s">
        <v>8</v>
      </c>
      <c r="IT664" s="27" t="s">
        <v>7</v>
      </c>
      <c r="IU664" s="27" t="s">
        <v>8</v>
      </c>
      <c r="IW664" s="27" t="s">
        <v>8</v>
      </c>
      <c r="IX664" s="27" t="s">
        <v>7</v>
      </c>
      <c r="KC664" s="27" t="s">
        <v>8</v>
      </c>
      <c r="KD664" s="27" t="s">
        <v>7</v>
      </c>
      <c r="KE664" s="27" t="s">
        <v>8</v>
      </c>
      <c r="KF664" s="27" t="s">
        <v>7</v>
      </c>
      <c r="KG664" s="27" t="s">
        <v>8</v>
      </c>
    </row>
    <row r="665" spans="1:379" x14ac:dyDescent="0.25">
      <c r="A665" s="7">
        <v>0.21339616118458882</v>
      </c>
      <c r="B665"/>
      <c r="C665"/>
      <c r="D665"/>
      <c r="E665"/>
      <c r="F665" s="27" t="s">
        <v>7</v>
      </c>
      <c r="GI665" s="27" t="s">
        <v>8</v>
      </c>
      <c r="GJ665" s="27" t="s">
        <v>7</v>
      </c>
      <c r="GK665" s="27" t="s">
        <v>8</v>
      </c>
      <c r="GL665" s="27" t="s">
        <v>7</v>
      </c>
      <c r="GM665" s="27" t="s">
        <v>8</v>
      </c>
      <c r="GN665" s="27" t="s">
        <v>7</v>
      </c>
      <c r="GO665" s="27" t="s">
        <v>8</v>
      </c>
      <c r="GP665" s="27" t="s">
        <v>7</v>
      </c>
      <c r="GQ665" s="27" t="s">
        <v>8</v>
      </c>
      <c r="IF665" s="27" t="s">
        <v>7</v>
      </c>
      <c r="IG665" s="27" t="s">
        <v>8</v>
      </c>
      <c r="IH665" s="27" t="s">
        <v>7</v>
      </c>
      <c r="II665" s="27" t="s">
        <v>8</v>
      </c>
      <c r="IJ665" s="27" t="s">
        <v>7</v>
      </c>
      <c r="IK665" s="27" t="s">
        <v>8</v>
      </c>
      <c r="IL665" s="27" t="s">
        <v>7</v>
      </c>
      <c r="IM665" s="27" t="s">
        <v>8</v>
      </c>
      <c r="IN665" s="27" t="s">
        <v>7</v>
      </c>
      <c r="IO665" s="27" t="s">
        <v>8</v>
      </c>
      <c r="IP665" s="27" t="s">
        <v>7</v>
      </c>
      <c r="IQ665" s="27" t="s">
        <v>8</v>
      </c>
      <c r="IR665" s="27" t="s">
        <v>7</v>
      </c>
      <c r="IS665" s="27" t="s">
        <v>8</v>
      </c>
      <c r="IT665" s="27" t="s">
        <v>7</v>
      </c>
      <c r="IU665" s="27" t="s">
        <v>8</v>
      </c>
      <c r="IV665" s="27" t="s">
        <v>7</v>
      </c>
      <c r="IW665" s="27" t="s">
        <v>8</v>
      </c>
      <c r="IX665" s="27" t="s">
        <v>7</v>
      </c>
      <c r="KC665" s="27" t="s">
        <v>8</v>
      </c>
      <c r="KD665" s="27" t="s">
        <v>7</v>
      </c>
      <c r="KE665" s="27" t="s">
        <v>8</v>
      </c>
      <c r="KF665" s="27" t="s">
        <v>7</v>
      </c>
      <c r="KG665" s="27" t="s">
        <v>8</v>
      </c>
    </row>
    <row r="666" spans="1:379" x14ac:dyDescent="0.25">
      <c r="A666" s="7">
        <v>0.20921192272998904</v>
      </c>
      <c r="B666"/>
      <c r="C666"/>
      <c r="D666"/>
      <c r="E666"/>
      <c r="F666" s="27" t="s">
        <v>7</v>
      </c>
      <c r="GI666" s="27" t="s">
        <v>8</v>
      </c>
      <c r="GJ666" s="27" t="s">
        <v>7</v>
      </c>
      <c r="GK666" s="27" t="s">
        <v>8</v>
      </c>
      <c r="GL666" s="27" t="s">
        <v>7</v>
      </c>
      <c r="GM666" s="27" t="s">
        <v>8</v>
      </c>
      <c r="GN666" s="27" t="s">
        <v>7</v>
      </c>
      <c r="GO666" s="27" t="s">
        <v>8</v>
      </c>
      <c r="GP666" s="27" t="s">
        <v>7</v>
      </c>
      <c r="GQ666" s="27" t="s">
        <v>8</v>
      </c>
      <c r="IF666" s="27" t="s">
        <v>7</v>
      </c>
      <c r="IG666" s="27" t="s">
        <v>8</v>
      </c>
      <c r="IH666" s="27" t="s">
        <v>7</v>
      </c>
      <c r="II666" s="27" t="s">
        <v>8</v>
      </c>
      <c r="IJ666" s="27" t="s">
        <v>7</v>
      </c>
      <c r="IK666" s="27" t="s">
        <v>8</v>
      </c>
      <c r="IL666" s="27" t="s">
        <v>7</v>
      </c>
      <c r="IM666" s="27" t="s">
        <v>8</v>
      </c>
      <c r="IN666" s="27" t="s">
        <v>7</v>
      </c>
      <c r="IP666" s="27" t="s">
        <v>7</v>
      </c>
      <c r="IR666" s="27" t="s">
        <v>7</v>
      </c>
      <c r="IS666" s="27" t="s">
        <v>8</v>
      </c>
      <c r="IT666" s="27" t="s">
        <v>7</v>
      </c>
      <c r="IU666" s="27" t="s">
        <v>8</v>
      </c>
      <c r="IV666" s="27" t="s">
        <v>7</v>
      </c>
      <c r="IW666" s="27" t="s">
        <v>8</v>
      </c>
      <c r="IX666" s="27" t="s">
        <v>7</v>
      </c>
      <c r="KC666" s="27" t="s">
        <v>8</v>
      </c>
      <c r="KD666" s="27" t="s">
        <v>7</v>
      </c>
      <c r="KF666" s="27" t="s">
        <v>7</v>
      </c>
    </row>
    <row r="667" spans="1:379" x14ac:dyDescent="0.25">
      <c r="A667" s="7">
        <v>0.20510972816665593</v>
      </c>
      <c r="B667"/>
      <c r="C667"/>
      <c r="D667"/>
      <c r="E667"/>
      <c r="F667" s="27" t="s">
        <v>7</v>
      </c>
      <c r="GI667" s="27" t="s">
        <v>8</v>
      </c>
      <c r="GJ667" s="27" t="s">
        <v>7</v>
      </c>
      <c r="GK667" s="27" t="s">
        <v>8</v>
      </c>
      <c r="GL667" s="27" t="s">
        <v>7</v>
      </c>
      <c r="GM667" s="27" t="s">
        <v>8</v>
      </c>
      <c r="GN667" s="27" t="s">
        <v>7</v>
      </c>
      <c r="GO667" s="27" t="s">
        <v>8</v>
      </c>
      <c r="GP667" s="27" t="s">
        <v>7</v>
      </c>
      <c r="GQ667" s="27" t="s">
        <v>8</v>
      </c>
      <c r="IF667" s="27" t="s">
        <v>7</v>
      </c>
      <c r="IG667" s="27" t="s">
        <v>8</v>
      </c>
      <c r="IH667" s="27" t="s">
        <v>7</v>
      </c>
      <c r="II667" s="27" t="s">
        <v>8</v>
      </c>
      <c r="IJ667" s="27" t="s">
        <v>7</v>
      </c>
      <c r="IK667" s="27" t="s">
        <v>8</v>
      </c>
      <c r="IL667" s="27" t="s">
        <v>7</v>
      </c>
      <c r="IM667" s="27" t="s">
        <v>8</v>
      </c>
      <c r="IR667" s="27" t="s">
        <v>7</v>
      </c>
      <c r="IS667" s="27" t="s">
        <v>8</v>
      </c>
      <c r="IT667" s="27" t="s">
        <v>7</v>
      </c>
      <c r="IU667" s="27" t="s">
        <v>8</v>
      </c>
      <c r="IV667" s="27" t="s">
        <v>7</v>
      </c>
      <c r="IX667" s="27" t="s">
        <v>7</v>
      </c>
      <c r="KA667" s="27" t="s">
        <v>8</v>
      </c>
      <c r="KC667" s="27" t="s">
        <v>8</v>
      </c>
    </row>
    <row r="668" spans="1:379" x14ac:dyDescent="0.25">
      <c r="A668" s="7">
        <v>0.20108796879083912</v>
      </c>
      <c r="B668"/>
      <c r="C668"/>
      <c r="D668"/>
      <c r="E668"/>
      <c r="F668" s="27" t="s">
        <v>7</v>
      </c>
      <c r="GI668" s="27" t="s">
        <v>8</v>
      </c>
      <c r="GJ668" s="27" t="s">
        <v>7</v>
      </c>
      <c r="GK668" s="27" t="s">
        <v>8</v>
      </c>
      <c r="GL668" s="27" t="s">
        <v>7</v>
      </c>
      <c r="GM668" s="27" t="s">
        <v>8</v>
      </c>
      <c r="GN668" s="27" t="s">
        <v>7</v>
      </c>
      <c r="GO668" s="27" t="s">
        <v>8</v>
      </c>
      <c r="GP668" s="27" t="s">
        <v>7</v>
      </c>
      <c r="GQ668" s="27" t="s">
        <v>8</v>
      </c>
      <c r="IF668" s="27" t="s">
        <v>7</v>
      </c>
      <c r="IG668" s="27" t="s">
        <v>8</v>
      </c>
      <c r="IH668" s="27" t="s">
        <v>7</v>
      </c>
      <c r="II668" s="27" t="s">
        <v>8</v>
      </c>
      <c r="IJ668" s="27" t="s">
        <v>7</v>
      </c>
      <c r="IK668" s="27" t="s">
        <v>8</v>
      </c>
      <c r="IL668" s="27" t="s">
        <v>7</v>
      </c>
      <c r="IM668" s="27" t="s">
        <v>8</v>
      </c>
      <c r="IR668" s="27" t="s">
        <v>7</v>
      </c>
      <c r="IS668" s="27" t="s">
        <v>8</v>
      </c>
      <c r="IT668" s="27" t="s">
        <v>7</v>
      </c>
      <c r="IU668" s="27" t="s">
        <v>8</v>
      </c>
      <c r="IX668" s="27" t="s">
        <v>7</v>
      </c>
      <c r="KA668" s="27" t="s">
        <v>8</v>
      </c>
      <c r="KB668" s="27" t="s">
        <v>7</v>
      </c>
      <c r="KC668" s="27" t="s">
        <v>8</v>
      </c>
    </row>
    <row r="669" spans="1:379" x14ac:dyDescent="0.25">
      <c r="A669" s="7">
        <v>0.19714506744199917</v>
      </c>
      <c r="B669"/>
      <c r="C669"/>
      <c r="D669"/>
      <c r="E669"/>
      <c r="F669" s="27" t="s">
        <v>7</v>
      </c>
      <c r="GI669" s="27" t="s">
        <v>8</v>
      </c>
      <c r="GJ669" s="27" t="s">
        <v>7</v>
      </c>
      <c r="GK669" s="27" t="s">
        <v>8</v>
      </c>
      <c r="GL669" s="27" t="s">
        <v>7</v>
      </c>
      <c r="GM669" s="27" t="s">
        <v>8</v>
      </c>
      <c r="GN669" s="27" t="s">
        <v>7</v>
      </c>
      <c r="GO669" s="27" t="s">
        <v>8</v>
      </c>
      <c r="GP669" s="27" t="s">
        <v>7</v>
      </c>
      <c r="GQ669" s="27" t="s">
        <v>8</v>
      </c>
      <c r="IF669" s="27" t="s">
        <v>7</v>
      </c>
      <c r="IG669" s="27" t="s">
        <v>8</v>
      </c>
      <c r="IH669" s="27" t="s">
        <v>7</v>
      </c>
      <c r="II669" s="27" t="s">
        <v>8</v>
      </c>
      <c r="IJ669" s="27" t="s">
        <v>7</v>
      </c>
      <c r="IK669" s="27" t="s">
        <v>8</v>
      </c>
      <c r="IL669" s="27" t="s">
        <v>7</v>
      </c>
      <c r="IM669" s="27" t="s">
        <v>8</v>
      </c>
      <c r="IR669" s="27" t="s">
        <v>7</v>
      </c>
      <c r="IS669" s="27" t="s">
        <v>8</v>
      </c>
      <c r="IT669" s="27" t="s">
        <v>7</v>
      </c>
      <c r="IU669" s="27" t="s">
        <v>8</v>
      </c>
      <c r="IX669" s="27" t="s">
        <v>7</v>
      </c>
      <c r="KA669" s="27" t="s">
        <v>8</v>
      </c>
      <c r="KB669" s="27" t="s">
        <v>7</v>
      </c>
      <c r="KC669" s="27" t="s">
        <v>8</v>
      </c>
    </row>
    <row r="670" spans="1:379" x14ac:dyDescent="0.25">
      <c r="A670" s="7">
        <v>0.19327947788431293</v>
      </c>
      <c r="B670"/>
      <c r="C670"/>
      <c r="D670"/>
      <c r="E670"/>
      <c r="F670" s="27" t="s">
        <v>7</v>
      </c>
      <c r="GI670" s="27" t="s">
        <v>8</v>
      </c>
      <c r="GJ670" s="27" t="s">
        <v>7</v>
      </c>
      <c r="GK670" s="27" t="s">
        <v>8</v>
      </c>
      <c r="GL670" s="27" t="s">
        <v>7</v>
      </c>
      <c r="GM670" s="27" t="s">
        <v>8</v>
      </c>
      <c r="GN670" s="27" t="s">
        <v>7</v>
      </c>
      <c r="GO670" s="27" t="s">
        <v>8</v>
      </c>
      <c r="GP670" s="27" t="s">
        <v>7</v>
      </c>
      <c r="GQ670" s="27" t="s">
        <v>8</v>
      </c>
      <c r="IF670" s="27" t="s">
        <v>7</v>
      </c>
      <c r="IG670" s="27" t="s">
        <v>8</v>
      </c>
      <c r="IH670" s="27" t="s">
        <v>7</v>
      </c>
      <c r="II670" s="27" t="s">
        <v>8</v>
      </c>
      <c r="IJ670" s="27" t="s">
        <v>7</v>
      </c>
      <c r="IK670" s="27" t="s">
        <v>8</v>
      </c>
      <c r="IL670" s="27" t="s">
        <v>7</v>
      </c>
      <c r="IM670" s="27" t="s">
        <v>8</v>
      </c>
      <c r="IR670" s="27" t="s">
        <v>7</v>
      </c>
      <c r="IS670" s="27" t="s">
        <v>8</v>
      </c>
      <c r="IT670" s="27" t="s">
        <v>7</v>
      </c>
      <c r="IU670" s="27" t="s">
        <v>8</v>
      </c>
      <c r="IX670" s="27" t="s">
        <v>7</v>
      </c>
      <c r="KA670" s="27" t="s">
        <v>8</v>
      </c>
      <c r="KB670" s="27" t="s">
        <v>7</v>
      </c>
      <c r="KC670" s="27" t="s">
        <v>8</v>
      </c>
    </row>
    <row r="671" spans="1:379" x14ac:dyDescent="0.25">
      <c r="A671" s="7">
        <v>0.18948968420030682</v>
      </c>
      <c r="B671"/>
      <c r="C671"/>
      <c r="D671"/>
      <c r="E671"/>
      <c r="F671" s="27" t="s">
        <v>7</v>
      </c>
      <c r="GI671" s="27" t="s">
        <v>8</v>
      </c>
      <c r="GJ671" s="27" t="s">
        <v>7</v>
      </c>
      <c r="GK671" s="27" t="s">
        <v>8</v>
      </c>
      <c r="GL671" s="27" t="s">
        <v>7</v>
      </c>
      <c r="GN671" s="27" t="s">
        <v>7</v>
      </c>
      <c r="GO671" s="27" t="s">
        <v>8</v>
      </c>
      <c r="GP671" s="27" t="s">
        <v>7</v>
      </c>
      <c r="IF671" s="27" t="s">
        <v>7</v>
      </c>
      <c r="IG671" s="27" t="s">
        <v>8</v>
      </c>
      <c r="IH671" s="27" t="s">
        <v>7</v>
      </c>
      <c r="IJ671" s="27" t="s">
        <v>7</v>
      </c>
      <c r="IK671" s="27" t="s">
        <v>8</v>
      </c>
      <c r="IL671" s="27" t="s">
        <v>7</v>
      </c>
      <c r="IM671" s="27" t="s">
        <v>8</v>
      </c>
      <c r="IR671" s="27" t="s">
        <v>7</v>
      </c>
      <c r="IS671" s="27" t="s">
        <v>8</v>
      </c>
      <c r="IT671" s="27" t="s">
        <v>7</v>
      </c>
      <c r="IU671" s="27" t="s">
        <v>8</v>
      </c>
      <c r="IX671" s="27" t="s">
        <v>7</v>
      </c>
      <c r="KA671" s="27" t="s">
        <v>8</v>
      </c>
      <c r="KB671" s="27" t="s">
        <v>7</v>
      </c>
      <c r="KC671" s="27" t="s">
        <v>8</v>
      </c>
    </row>
    <row r="672" spans="1:379" x14ac:dyDescent="0.25">
      <c r="A672" s="7">
        <v>0.18577420019637925</v>
      </c>
      <c r="B672"/>
      <c r="C672"/>
      <c r="D672"/>
      <c r="E672"/>
      <c r="F672" s="27" t="s">
        <v>7</v>
      </c>
      <c r="GI672" s="27" t="s">
        <v>8</v>
      </c>
      <c r="GJ672" s="27" t="s">
        <v>7</v>
      </c>
      <c r="GK672" s="27" t="s">
        <v>8</v>
      </c>
      <c r="GN672" s="27" t="s">
        <v>7</v>
      </c>
      <c r="GO672" s="27" t="s">
        <v>8</v>
      </c>
      <c r="IF672" s="27" t="s">
        <v>7</v>
      </c>
      <c r="IG672" s="27" t="s">
        <v>8</v>
      </c>
      <c r="IJ672" s="27" t="s">
        <v>7</v>
      </c>
      <c r="IK672" s="27" t="s">
        <v>8</v>
      </c>
      <c r="IL672" s="27" t="s">
        <v>7</v>
      </c>
      <c r="IM672" s="27" t="s">
        <v>8</v>
      </c>
      <c r="IR672" s="27" t="s">
        <v>7</v>
      </c>
      <c r="IS672" s="27" t="s">
        <v>8</v>
      </c>
      <c r="IT672" s="27" t="s">
        <v>7</v>
      </c>
      <c r="IU672" s="27" t="s">
        <v>8</v>
      </c>
      <c r="IX672" s="27" t="s">
        <v>7</v>
      </c>
      <c r="IY672" s="27" t="s">
        <v>8</v>
      </c>
      <c r="KA672" s="27" t="s">
        <v>8</v>
      </c>
      <c r="KB672" s="27" t="s">
        <v>7</v>
      </c>
      <c r="KC672" s="27" t="s">
        <v>8</v>
      </c>
    </row>
    <row r="673" spans="1:289" x14ac:dyDescent="0.25">
      <c r="A673" s="7">
        <v>0.18213156881997963</v>
      </c>
      <c r="B673"/>
      <c r="C673"/>
      <c r="D673"/>
      <c r="E673"/>
      <c r="F673" s="27" t="s">
        <v>7</v>
      </c>
      <c r="GI673" s="27" t="s">
        <v>8</v>
      </c>
      <c r="GJ673" s="27" t="s">
        <v>7</v>
      </c>
      <c r="GK673" s="27" t="s">
        <v>8</v>
      </c>
      <c r="GN673" s="27" t="s">
        <v>7</v>
      </c>
      <c r="GO673" s="27" t="s">
        <v>8</v>
      </c>
      <c r="IF673" s="27" t="s">
        <v>7</v>
      </c>
      <c r="IG673" s="27" t="s">
        <v>8</v>
      </c>
      <c r="IJ673" s="27" t="s">
        <v>7</v>
      </c>
      <c r="IK673" s="27" t="s">
        <v>8</v>
      </c>
      <c r="IL673" s="27" t="s">
        <v>7</v>
      </c>
      <c r="IR673" s="27" t="s">
        <v>7</v>
      </c>
      <c r="IS673" s="27" t="s">
        <v>8</v>
      </c>
      <c r="IT673" s="27" t="s">
        <v>7</v>
      </c>
      <c r="IX673" s="27" t="s">
        <v>7</v>
      </c>
      <c r="IY673" s="27" t="s">
        <v>8</v>
      </c>
      <c r="IZ673" s="27" t="s">
        <v>7</v>
      </c>
      <c r="KA673" s="27" t="s">
        <v>8</v>
      </c>
      <c r="KB673" s="27" t="s">
        <v>7</v>
      </c>
      <c r="KC673" s="27" t="s">
        <v>8</v>
      </c>
    </row>
    <row r="674" spans="1:289" x14ac:dyDescent="0.25">
      <c r="A674" s="7">
        <v>0.17856036158821534</v>
      </c>
      <c r="B674"/>
      <c r="C674"/>
      <c r="D674"/>
      <c r="E674"/>
      <c r="F674" s="27" t="s">
        <v>7</v>
      </c>
      <c r="GI674" s="27" t="s">
        <v>8</v>
      </c>
      <c r="GJ674" s="27" t="s">
        <v>7</v>
      </c>
      <c r="GK674" s="27" t="s">
        <v>8</v>
      </c>
      <c r="GN674" s="27" t="s">
        <v>7</v>
      </c>
      <c r="GO674" s="27" t="s">
        <v>8</v>
      </c>
      <c r="IF674" s="27" t="s">
        <v>7</v>
      </c>
      <c r="IG674" s="27" t="s">
        <v>8</v>
      </c>
      <c r="IJ674" s="27" t="s">
        <v>7</v>
      </c>
      <c r="IK674" s="27" t="s">
        <v>8</v>
      </c>
      <c r="IR674" s="27" t="s">
        <v>7</v>
      </c>
      <c r="IS674" s="27" t="s">
        <v>8</v>
      </c>
      <c r="IX674" s="27" t="s">
        <v>7</v>
      </c>
      <c r="IY674" s="27" t="s">
        <v>8</v>
      </c>
      <c r="IZ674" s="27" t="s">
        <v>7</v>
      </c>
      <c r="KA674" s="27" t="s">
        <v>8</v>
      </c>
      <c r="KB674" s="27" t="s">
        <v>7</v>
      </c>
    </row>
    <row r="675" spans="1:289" x14ac:dyDescent="0.25">
      <c r="A675" s="7">
        <v>0.17505917802766208</v>
      </c>
      <c r="B675"/>
      <c r="C675"/>
      <c r="D675"/>
      <c r="E675"/>
      <c r="F675" s="27" t="s">
        <v>7</v>
      </c>
      <c r="GI675" s="27" t="s">
        <v>8</v>
      </c>
      <c r="GJ675" s="27" t="s">
        <v>7</v>
      </c>
      <c r="GK675" s="27" t="s">
        <v>8</v>
      </c>
      <c r="GN675" s="27" t="s">
        <v>7</v>
      </c>
      <c r="GO675" s="27" t="s">
        <v>8</v>
      </c>
      <c r="IF675" s="27" t="s">
        <v>7</v>
      </c>
      <c r="IG675" s="27" t="s">
        <v>8</v>
      </c>
      <c r="IJ675" s="27" t="s">
        <v>7</v>
      </c>
      <c r="IK675" s="27" t="s">
        <v>8</v>
      </c>
      <c r="IR675" s="27" t="s">
        <v>7</v>
      </c>
      <c r="IX675" s="27" t="s">
        <v>7</v>
      </c>
      <c r="IZ675" s="27" t="s">
        <v>7</v>
      </c>
      <c r="JY675" s="27" t="s">
        <v>8</v>
      </c>
      <c r="KA675" s="27" t="s">
        <v>8</v>
      </c>
    </row>
    <row r="676" spans="1:289" x14ac:dyDescent="0.25">
      <c r="A676" s="7">
        <v>0.17162664512515888</v>
      </c>
      <c r="B676"/>
      <c r="C676"/>
      <c r="D676"/>
      <c r="E676"/>
      <c r="F676" s="27" t="s">
        <v>7</v>
      </c>
      <c r="GI676" s="27" t="s">
        <v>8</v>
      </c>
      <c r="GJ676" s="27" t="s">
        <v>7</v>
      </c>
      <c r="GK676" s="27" t="s">
        <v>8</v>
      </c>
      <c r="GN676" s="27" t="s">
        <v>7</v>
      </c>
      <c r="GO676" s="27" t="s">
        <v>8</v>
      </c>
      <c r="IF676" s="27" t="s">
        <v>7</v>
      </c>
      <c r="IG676" s="27" t="s">
        <v>8</v>
      </c>
      <c r="IJ676" s="27" t="s">
        <v>7</v>
      </c>
      <c r="IK676" s="27" t="s">
        <v>8</v>
      </c>
      <c r="IZ676" s="27" t="s">
        <v>7</v>
      </c>
      <c r="JY676" s="27" t="s">
        <v>8</v>
      </c>
      <c r="JZ676" s="27" t="s">
        <v>7</v>
      </c>
      <c r="KA676" s="27" t="s">
        <v>8</v>
      </c>
    </row>
    <row r="677" spans="1:289" x14ac:dyDescent="0.25">
      <c r="A677" s="7">
        <v>0.16826141678937145</v>
      </c>
      <c r="B677"/>
      <c r="C677"/>
      <c r="D677"/>
      <c r="E677"/>
      <c r="F677" s="27" t="s">
        <v>7</v>
      </c>
      <c r="GI677" s="27" t="s">
        <v>8</v>
      </c>
      <c r="GJ677" s="27" t="s">
        <v>7</v>
      </c>
      <c r="GK677" s="27" t="s">
        <v>8</v>
      </c>
      <c r="GN677" s="27" t="s">
        <v>7</v>
      </c>
      <c r="IF677" s="27" t="s">
        <v>7</v>
      </c>
      <c r="IG677" s="27" t="s">
        <v>8</v>
      </c>
      <c r="IJ677" s="27" t="s">
        <v>7</v>
      </c>
      <c r="IK677" s="27" t="s">
        <v>8</v>
      </c>
      <c r="IZ677" s="27" t="s">
        <v>7</v>
      </c>
      <c r="JY677" s="27" t="s">
        <v>8</v>
      </c>
      <c r="JZ677" s="27" t="s">
        <v>7</v>
      </c>
      <c r="KA677" s="27" t="s">
        <v>8</v>
      </c>
    </row>
    <row r="678" spans="1:289" x14ac:dyDescent="0.25">
      <c r="A678" s="7">
        <v>0.16496217332291319</v>
      </c>
      <c r="B678"/>
      <c r="C678"/>
      <c r="D678"/>
      <c r="E678"/>
      <c r="F678" s="27" t="s">
        <v>7</v>
      </c>
      <c r="GI678" s="27" t="s">
        <v>8</v>
      </c>
      <c r="GJ678" s="27" t="s">
        <v>7</v>
      </c>
      <c r="GK678" s="27" t="s">
        <v>8</v>
      </c>
      <c r="IF678" s="27" t="s">
        <v>7</v>
      </c>
      <c r="IG678" s="27" t="s">
        <v>8</v>
      </c>
      <c r="IJ678" s="27" t="s">
        <v>7</v>
      </c>
      <c r="IK678" s="27" t="s">
        <v>8</v>
      </c>
      <c r="IZ678" s="27" t="s">
        <v>7</v>
      </c>
      <c r="JY678" s="27" t="s">
        <v>8</v>
      </c>
      <c r="JZ678" s="27" t="s">
        <v>7</v>
      </c>
    </row>
    <row r="679" spans="1:289" x14ac:dyDescent="0.25">
      <c r="A679" s="7">
        <v>0.16172762090481685</v>
      </c>
      <c r="B679"/>
      <c r="C679"/>
      <c r="D679"/>
      <c r="E679"/>
      <c r="F679" s="27" t="s">
        <v>7</v>
      </c>
      <c r="GI679" s="27" t="s">
        <v>8</v>
      </c>
      <c r="GJ679" s="27" t="s">
        <v>7</v>
      </c>
      <c r="GK679" s="27" t="s">
        <v>8</v>
      </c>
      <c r="IF679" s="27" t="s">
        <v>7</v>
      </c>
      <c r="IG679" s="27" t="s">
        <v>8</v>
      </c>
      <c r="IJ679" s="27" t="s">
        <v>7</v>
      </c>
      <c r="IK679" s="27" t="s">
        <v>8</v>
      </c>
      <c r="IZ679" s="27" t="s">
        <v>7</v>
      </c>
      <c r="JC679" s="27" t="s">
        <v>8</v>
      </c>
      <c r="JY679" s="27" t="s">
        <v>8</v>
      </c>
    </row>
    <row r="680" spans="1:289" x14ac:dyDescent="0.25">
      <c r="A680" s="7">
        <v>0.15855649108315376</v>
      </c>
      <c r="B680"/>
      <c r="C680"/>
      <c r="D680"/>
      <c r="E680"/>
      <c r="F680" s="27" t="s">
        <v>7</v>
      </c>
      <c r="GI680" s="27" t="s">
        <v>8</v>
      </c>
      <c r="GJ680" s="27" t="s">
        <v>7</v>
      </c>
      <c r="GK680" s="27" t="s">
        <v>8</v>
      </c>
      <c r="IF680" s="27" t="s">
        <v>7</v>
      </c>
      <c r="IG680" s="27" t="s">
        <v>8</v>
      </c>
      <c r="IJ680" s="27" t="s">
        <v>7</v>
      </c>
      <c r="IK680" s="27" t="s">
        <v>8</v>
      </c>
      <c r="IZ680" s="27" t="s">
        <v>7</v>
      </c>
      <c r="JA680" s="27" t="s">
        <v>8</v>
      </c>
      <c r="JC680" s="27" t="s">
        <v>8</v>
      </c>
      <c r="JD680" s="27" t="s">
        <v>7</v>
      </c>
      <c r="JY680" s="27" t="s">
        <v>8</v>
      </c>
    </row>
    <row r="681" spans="1:289" x14ac:dyDescent="0.25">
      <c r="A681" s="7">
        <v>0.15544754027760171</v>
      </c>
      <c r="B681"/>
      <c r="C681"/>
      <c r="D681"/>
      <c r="E681"/>
      <c r="F681" s="27" t="s">
        <v>7</v>
      </c>
      <c r="GI681" s="27" t="s">
        <v>8</v>
      </c>
      <c r="GJ681" s="27" t="s">
        <v>7</v>
      </c>
      <c r="GK681" s="27" t="s">
        <v>8</v>
      </c>
      <c r="IF681" s="27" t="s">
        <v>7</v>
      </c>
      <c r="IG681" s="27" t="s">
        <v>8</v>
      </c>
      <c r="IJ681" s="27" t="s">
        <v>7</v>
      </c>
      <c r="IK681" s="27" t="s">
        <v>8</v>
      </c>
      <c r="IZ681" s="27" t="s">
        <v>7</v>
      </c>
      <c r="JA681" s="27" t="s">
        <v>8</v>
      </c>
      <c r="JB681" s="27" t="s">
        <v>7</v>
      </c>
      <c r="JC681" s="27" t="s">
        <v>8</v>
      </c>
      <c r="JD681" s="27" t="s">
        <v>7</v>
      </c>
      <c r="JY681" s="27" t="s">
        <v>8</v>
      </c>
    </row>
    <row r="682" spans="1:289" x14ac:dyDescent="0.25">
      <c r="A682" s="7">
        <v>0.15239954929176638</v>
      </c>
      <c r="B682"/>
      <c r="C682"/>
      <c r="D682"/>
      <c r="E682"/>
      <c r="F682" s="27" t="s">
        <v>7</v>
      </c>
      <c r="GE682" s="27" t="s">
        <v>8</v>
      </c>
      <c r="GI682" s="27" t="s">
        <v>8</v>
      </c>
      <c r="GJ682" s="27" t="s">
        <v>7</v>
      </c>
      <c r="GK682" s="27" t="s">
        <v>8</v>
      </c>
      <c r="IF682" s="27" t="s">
        <v>7</v>
      </c>
      <c r="IG682" s="27" t="s">
        <v>8</v>
      </c>
      <c r="IJ682" s="27" t="s">
        <v>7</v>
      </c>
      <c r="IK682" s="27" t="s">
        <v>8</v>
      </c>
      <c r="IZ682" s="27" t="s">
        <v>7</v>
      </c>
      <c r="JA682" s="27" t="s">
        <v>8</v>
      </c>
      <c r="JB682" s="27" t="s">
        <v>7</v>
      </c>
      <c r="JC682" s="27" t="s">
        <v>8</v>
      </c>
      <c r="JD682" s="27" t="s">
        <v>7</v>
      </c>
      <c r="JW682" s="27" t="s">
        <v>8</v>
      </c>
      <c r="JY682" s="27" t="s">
        <v>8</v>
      </c>
    </row>
    <row r="683" spans="1:289" x14ac:dyDescent="0.25">
      <c r="A683" s="7">
        <v>0.14941132283506509</v>
      </c>
      <c r="B683"/>
      <c r="C683"/>
      <c r="D683"/>
      <c r="E683"/>
      <c r="F683" s="27" t="s">
        <v>7</v>
      </c>
      <c r="GE683" s="27" t="s">
        <v>8</v>
      </c>
      <c r="GF683" s="27" t="s">
        <v>7</v>
      </c>
      <c r="GI683" s="27" t="s">
        <v>8</v>
      </c>
      <c r="GJ683" s="27" t="s">
        <v>7</v>
      </c>
      <c r="GK683" s="27" t="s">
        <v>8</v>
      </c>
      <c r="IF683" s="27" t="s">
        <v>7</v>
      </c>
      <c r="IG683" s="27" t="s">
        <v>8</v>
      </c>
      <c r="IJ683" s="27" t="s">
        <v>7</v>
      </c>
      <c r="IK683" s="27" t="s">
        <v>8</v>
      </c>
      <c r="IZ683" s="27" t="s">
        <v>7</v>
      </c>
      <c r="JA683" s="27" t="s">
        <v>8</v>
      </c>
      <c r="JB683" s="27" t="s">
        <v>7</v>
      </c>
      <c r="JC683" s="27" t="s">
        <v>8</v>
      </c>
      <c r="JD683" s="27" t="s">
        <v>7</v>
      </c>
      <c r="JW683" s="27" t="s">
        <v>8</v>
      </c>
      <c r="JX683" s="27" t="s">
        <v>7</v>
      </c>
      <c r="JY683" s="27" t="s">
        <v>8</v>
      </c>
    </row>
    <row r="684" spans="1:289" x14ac:dyDescent="0.25">
      <c r="A684" s="7">
        <v>0.14648168905398537</v>
      </c>
      <c r="B684"/>
      <c r="C684"/>
      <c r="D684"/>
      <c r="E684"/>
      <c r="F684" s="27" t="s">
        <v>7</v>
      </c>
      <c r="GE684" s="27" t="s">
        <v>8</v>
      </c>
      <c r="GF684" s="27" t="s">
        <v>7</v>
      </c>
      <c r="GI684" s="27" t="s">
        <v>8</v>
      </c>
      <c r="GJ684" s="27" t="s">
        <v>7</v>
      </c>
      <c r="GK684" s="27" t="s">
        <v>8</v>
      </c>
      <c r="IF684" s="27" t="s">
        <v>7</v>
      </c>
      <c r="IJ684" s="27" t="s">
        <v>7</v>
      </c>
      <c r="IK684" s="27" t="s">
        <v>8</v>
      </c>
      <c r="IZ684" s="27" t="s">
        <v>7</v>
      </c>
      <c r="JA684" s="27" t="s">
        <v>8</v>
      </c>
      <c r="JB684" s="27" t="s">
        <v>7</v>
      </c>
      <c r="JC684" s="27" t="s">
        <v>8</v>
      </c>
      <c r="JD684" s="27" t="s">
        <v>7</v>
      </c>
      <c r="JE684" s="27" t="s">
        <v>8</v>
      </c>
      <c r="JG684" s="27" t="s">
        <v>8</v>
      </c>
      <c r="JQ684" s="27" t="s">
        <v>8</v>
      </c>
      <c r="JU684" s="27" t="s">
        <v>8</v>
      </c>
      <c r="JW684" s="27" t="s">
        <v>8</v>
      </c>
      <c r="JX684" s="27" t="s">
        <v>7</v>
      </c>
      <c r="JY684" s="27" t="s">
        <v>8</v>
      </c>
    </row>
    <row r="685" spans="1:289" x14ac:dyDescent="0.25">
      <c r="A685" s="7">
        <v>0.14360949907253467</v>
      </c>
      <c r="B685"/>
      <c r="C685"/>
      <c r="D685"/>
      <c r="E685"/>
      <c r="F685" s="27" t="s">
        <v>7</v>
      </c>
      <c r="GE685" s="27" t="s">
        <v>8</v>
      </c>
      <c r="GF685" s="27" t="s">
        <v>7</v>
      </c>
      <c r="GI685" s="27" t="s">
        <v>8</v>
      </c>
      <c r="GJ685" s="27" t="s">
        <v>7</v>
      </c>
      <c r="IJ685" s="27" t="s">
        <v>7</v>
      </c>
      <c r="IK685" s="27" t="s">
        <v>8</v>
      </c>
      <c r="IZ685" s="27" t="s">
        <v>7</v>
      </c>
      <c r="JA685" s="27" t="s">
        <v>8</v>
      </c>
      <c r="JB685" s="27" t="s">
        <v>7</v>
      </c>
      <c r="JC685" s="27" t="s">
        <v>8</v>
      </c>
      <c r="JD685" s="27" t="s">
        <v>7</v>
      </c>
      <c r="JE685" s="27" t="s">
        <v>8</v>
      </c>
      <c r="JF685" s="27" t="s">
        <v>7</v>
      </c>
      <c r="JG685" s="27" t="s">
        <v>8</v>
      </c>
      <c r="JH685" s="27" t="s">
        <v>7</v>
      </c>
      <c r="JQ685" s="27" t="s">
        <v>8</v>
      </c>
      <c r="JR685" s="27" t="s">
        <v>7</v>
      </c>
      <c r="JU685" s="27" t="s">
        <v>8</v>
      </c>
      <c r="JV685" s="27" t="s">
        <v>7</v>
      </c>
      <c r="JW685" s="27" t="s">
        <v>8</v>
      </c>
      <c r="JX685" s="27" t="s">
        <v>7</v>
      </c>
      <c r="JY685" s="27" t="s">
        <v>8</v>
      </c>
    </row>
    <row r="686" spans="1:289" x14ac:dyDescent="0.25">
      <c r="A686" s="7">
        <v>0.14079362654170066</v>
      </c>
      <c r="B686"/>
      <c r="C686"/>
      <c r="D686"/>
      <c r="E686"/>
      <c r="F686" s="27" t="s">
        <v>7</v>
      </c>
      <c r="GE686" s="27" t="s">
        <v>8</v>
      </c>
      <c r="GF686" s="27" t="s">
        <v>7</v>
      </c>
      <c r="GI686" s="27" t="s">
        <v>8</v>
      </c>
      <c r="IJ686" s="27" t="s">
        <v>7</v>
      </c>
      <c r="IK686" s="27" t="s">
        <v>8</v>
      </c>
      <c r="IZ686" s="27" t="s">
        <v>7</v>
      </c>
      <c r="JA686" s="27" t="s">
        <v>8</v>
      </c>
      <c r="JB686" s="27" t="s">
        <v>7</v>
      </c>
      <c r="JC686" s="27" t="s">
        <v>8</v>
      </c>
      <c r="JD686" s="27" t="s">
        <v>7</v>
      </c>
      <c r="JE686" s="27" t="s">
        <v>8</v>
      </c>
      <c r="JF686" s="27" t="s">
        <v>7</v>
      </c>
      <c r="JG686" s="27" t="s">
        <v>8</v>
      </c>
      <c r="JH686" s="27" t="s">
        <v>7</v>
      </c>
      <c r="JQ686" s="27" t="s">
        <v>8</v>
      </c>
      <c r="JR686" s="27" t="s">
        <v>7</v>
      </c>
      <c r="JU686" s="27" t="s">
        <v>8</v>
      </c>
      <c r="JV686" s="27" t="s">
        <v>7</v>
      </c>
      <c r="JW686" s="27" t="s">
        <v>8</v>
      </c>
      <c r="JX686" s="27" t="s">
        <v>7</v>
      </c>
    </row>
    <row r="687" spans="1:289" x14ac:dyDescent="0.25">
      <c r="A687" s="7">
        <v>0.13803296719774574</v>
      </c>
      <c r="B687"/>
      <c r="C687"/>
      <c r="D687"/>
      <c r="E687"/>
      <c r="F687" s="27" t="s">
        <v>7</v>
      </c>
      <c r="GE687" s="27" t="s">
        <v>8</v>
      </c>
      <c r="GF687" s="27" t="s">
        <v>7</v>
      </c>
      <c r="GG687" s="27" t="s">
        <v>8</v>
      </c>
      <c r="GI687" s="27" t="s">
        <v>8</v>
      </c>
      <c r="IJ687" s="27" t="s">
        <v>7</v>
      </c>
      <c r="IK687" s="27" t="s">
        <v>8</v>
      </c>
      <c r="IZ687" s="27" t="s">
        <v>7</v>
      </c>
      <c r="JA687" s="27" t="s">
        <v>8</v>
      </c>
      <c r="JB687" s="27" t="s">
        <v>7</v>
      </c>
      <c r="JC687" s="27" t="s">
        <v>8</v>
      </c>
      <c r="JD687" s="27" t="s">
        <v>7</v>
      </c>
      <c r="JE687" s="27" t="s">
        <v>8</v>
      </c>
      <c r="JF687" s="27" t="s">
        <v>7</v>
      </c>
      <c r="JG687" s="27" t="s">
        <v>8</v>
      </c>
      <c r="JH687" s="27" t="s">
        <v>7</v>
      </c>
      <c r="JQ687" s="27" t="s">
        <v>8</v>
      </c>
      <c r="JR687" s="27" t="s">
        <v>7</v>
      </c>
      <c r="JU687" s="27" t="s">
        <v>8</v>
      </c>
      <c r="JV687" s="27" t="s">
        <v>7</v>
      </c>
      <c r="JW687" s="27" t="s">
        <v>8</v>
      </c>
    </row>
    <row r="688" spans="1:289" x14ac:dyDescent="0.25">
      <c r="A688" s="7">
        <v>0.1353264384291625</v>
      </c>
      <c r="B688"/>
      <c r="C688"/>
      <c r="D688"/>
      <c r="E688"/>
      <c r="F688" s="27" t="s">
        <v>7</v>
      </c>
      <c r="GE688" s="27" t="s">
        <v>8</v>
      </c>
      <c r="GF688" s="27" t="s">
        <v>7</v>
      </c>
      <c r="GG688" s="27" t="s">
        <v>8</v>
      </c>
      <c r="GH688" s="27" t="s">
        <v>7</v>
      </c>
      <c r="GI688" s="27" t="s">
        <v>8</v>
      </c>
      <c r="IJ688" s="27" t="s">
        <v>7</v>
      </c>
      <c r="IK688" s="27" t="s">
        <v>8</v>
      </c>
      <c r="IZ688" s="27" t="s">
        <v>7</v>
      </c>
      <c r="JA688" s="27" t="s">
        <v>8</v>
      </c>
      <c r="JB688" s="27" t="s">
        <v>7</v>
      </c>
      <c r="JC688" s="27" t="s">
        <v>8</v>
      </c>
      <c r="JD688" s="27" t="s">
        <v>7</v>
      </c>
      <c r="JE688" s="27" t="s">
        <v>8</v>
      </c>
      <c r="JF688" s="27" t="s">
        <v>7</v>
      </c>
      <c r="JG688" s="27" t="s">
        <v>8</v>
      </c>
      <c r="JH688" s="27" t="s">
        <v>7</v>
      </c>
      <c r="JI688" s="27" t="s">
        <v>8</v>
      </c>
      <c r="JQ688" s="27" t="s">
        <v>8</v>
      </c>
      <c r="JR688" s="27" t="s">
        <v>7</v>
      </c>
      <c r="JS688" s="27" t="s">
        <v>8</v>
      </c>
      <c r="JU688" s="27" t="s">
        <v>8</v>
      </c>
      <c r="JV688" s="27" t="s">
        <v>7</v>
      </c>
    </row>
    <row r="689" spans="1:281" x14ac:dyDescent="0.25">
      <c r="A689" s="7">
        <v>0.13267297885212009</v>
      </c>
      <c r="B689"/>
      <c r="C689"/>
      <c r="D689"/>
      <c r="E689"/>
      <c r="F689" s="27" t="s">
        <v>7</v>
      </c>
      <c r="GE689" s="27" t="s">
        <v>8</v>
      </c>
      <c r="GF689" s="27" t="s">
        <v>7</v>
      </c>
      <c r="GG689" s="27" t="s">
        <v>8</v>
      </c>
      <c r="GH689" s="27" t="s">
        <v>7</v>
      </c>
      <c r="GI689" s="27" t="s">
        <v>8</v>
      </c>
      <c r="IJ689" s="27" t="s">
        <v>7</v>
      </c>
      <c r="IK689" s="27" t="s">
        <v>8</v>
      </c>
      <c r="IZ689" s="27" t="s">
        <v>7</v>
      </c>
      <c r="JA689" s="27" t="s">
        <v>8</v>
      </c>
      <c r="JB689" s="27" t="s">
        <v>7</v>
      </c>
      <c r="JC689" s="27" t="s">
        <v>8</v>
      </c>
      <c r="JD689" s="27" t="s">
        <v>7</v>
      </c>
      <c r="JF689" s="27" t="s">
        <v>7</v>
      </c>
      <c r="JG689" s="27" t="s">
        <v>8</v>
      </c>
      <c r="JH689" s="27" t="s">
        <v>7</v>
      </c>
      <c r="JI689" s="27" t="s">
        <v>8</v>
      </c>
      <c r="JJ689" s="27" t="s">
        <v>7</v>
      </c>
      <c r="JQ689" s="27" t="s">
        <v>8</v>
      </c>
      <c r="JR689" s="27" t="s">
        <v>7</v>
      </c>
      <c r="JS689" s="27" t="s">
        <v>8</v>
      </c>
      <c r="JT689" s="27" t="s">
        <v>7</v>
      </c>
      <c r="JU689" s="27" t="s">
        <v>8</v>
      </c>
    </row>
    <row r="690" spans="1:281" x14ac:dyDescent="0.25">
      <c r="A690" s="7">
        <v>0.13007154789423539</v>
      </c>
      <c r="B690"/>
      <c r="C690"/>
      <c r="D690"/>
      <c r="E690"/>
      <c r="F690" s="27" t="s">
        <v>7</v>
      </c>
      <c r="GE690" s="27" t="s">
        <v>8</v>
      </c>
      <c r="GF690" s="27" t="s">
        <v>7</v>
      </c>
      <c r="GG690" s="27" t="s">
        <v>8</v>
      </c>
      <c r="GH690" s="27" t="s">
        <v>7</v>
      </c>
      <c r="GI690" s="27" t="s">
        <v>8</v>
      </c>
      <c r="IJ690" s="27" t="s">
        <v>7</v>
      </c>
      <c r="IK690" s="27" t="s">
        <v>8</v>
      </c>
      <c r="IZ690" s="27" t="s">
        <v>7</v>
      </c>
      <c r="JA690" s="27" t="s">
        <v>8</v>
      </c>
      <c r="JB690" s="27" t="s">
        <v>7</v>
      </c>
      <c r="JC690" s="27" t="s">
        <v>8</v>
      </c>
      <c r="JF690" s="27" t="s">
        <v>7</v>
      </c>
      <c r="JH690" s="27" t="s">
        <v>7</v>
      </c>
      <c r="JI690" s="27" t="s">
        <v>8</v>
      </c>
      <c r="JJ690" s="27" t="s">
        <v>7</v>
      </c>
      <c r="JQ690" s="27" t="s">
        <v>8</v>
      </c>
      <c r="JR690" s="27" t="s">
        <v>7</v>
      </c>
      <c r="JS690" s="27" t="s">
        <v>8</v>
      </c>
      <c r="JT690" s="27" t="s">
        <v>7</v>
      </c>
      <c r="JU690" s="27" t="s">
        <v>8</v>
      </c>
    </row>
    <row r="691" spans="1:281" x14ac:dyDescent="0.25">
      <c r="A691" s="7">
        <v>0.12752112538650529</v>
      </c>
      <c r="B691"/>
      <c r="C691"/>
      <c r="D691"/>
      <c r="E691"/>
      <c r="F691" s="27" t="s">
        <v>7</v>
      </c>
      <c r="GC691" s="27" t="s">
        <v>8</v>
      </c>
      <c r="GE691" s="27" t="s">
        <v>8</v>
      </c>
      <c r="GF691" s="27" t="s">
        <v>7</v>
      </c>
      <c r="GG691" s="27" t="s">
        <v>8</v>
      </c>
      <c r="GH691" s="27" t="s">
        <v>7</v>
      </c>
      <c r="GI691" s="27" t="s">
        <v>8</v>
      </c>
      <c r="IJ691" s="27" t="s">
        <v>7</v>
      </c>
      <c r="IK691" s="27" t="s">
        <v>8</v>
      </c>
      <c r="IZ691" s="27" t="s">
        <v>7</v>
      </c>
      <c r="JA691" s="27" t="s">
        <v>8</v>
      </c>
      <c r="JB691" s="27" t="s">
        <v>7</v>
      </c>
      <c r="JH691" s="27" t="s">
        <v>7</v>
      </c>
      <c r="JI691" s="27" t="s">
        <v>8</v>
      </c>
      <c r="JJ691" s="27" t="s">
        <v>7</v>
      </c>
      <c r="JK691" s="27" t="s">
        <v>8</v>
      </c>
      <c r="JO691" s="27" t="s">
        <v>8</v>
      </c>
      <c r="JQ691" s="27" t="s">
        <v>8</v>
      </c>
      <c r="JR691" s="27" t="s">
        <v>7</v>
      </c>
      <c r="JS691" s="27" t="s">
        <v>8</v>
      </c>
      <c r="JT691" s="27" t="s">
        <v>7</v>
      </c>
      <c r="JU691" s="27" t="s">
        <v>8</v>
      </c>
    </row>
    <row r="692" spans="1:281" x14ac:dyDescent="0.25">
      <c r="A692" s="7">
        <v>0.12502071116324048</v>
      </c>
      <c r="B692"/>
      <c r="C692"/>
      <c r="D692"/>
      <c r="E692"/>
      <c r="F692" s="27" t="s">
        <v>7</v>
      </c>
      <c r="GC692" s="27" t="s">
        <v>8</v>
      </c>
      <c r="GD692" s="27" t="s">
        <v>7</v>
      </c>
      <c r="GE692" s="27" t="s">
        <v>8</v>
      </c>
      <c r="GF692" s="27" t="s">
        <v>7</v>
      </c>
      <c r="GG692" s="27" t="s">
        <v>8</v>
      </c>
      <c r="GH692" s="27" t="s">
        <v>7</v>
      </c>
      <c r="GI692" s="27" t="s">
        <v>8</v>
      </c>
      <c r="IJ692" s="27" t="s">
        <v>7</v>
      </c>
      <c r="IZ692" s="27" t="s">
        <v>7</v>
      </c>
      <c r="JA692" s="27" t="s">
        <v>8</v>
      </c>
      <c r="JH692" s="27" t="s">
        <v>7</v>
      </c>
      <c r="JI692" s="27" t="s">
        <v>8</v>
      </c>
      <c r="JJ692" s="27" t="s">
        <v>7</v>
      </c>
      <c r="JK692" s="27" t="s">
        <v>8</v>
      </c>
      <c r="JL692" s="27" t="s">
        <v>7</v>
      </c>
      <c r="JO692" s="27" t="s">
        <v>8</v>
      </c>
      <c r="JP692" s="27" t="s">
        <v>7</v>
      </c>
      <c r="JQ692" s="27" t="s">
        <v>8</v>
      </c>
      <c r="JR692" s="27" t="s">
        <v>7</v>
      </c>
      <c r="JS692" s="27" t="s">
        <v>8</v>
      </c>
      <c r="JT692" s="27" t="s">
        <v>7</v>
      </c>
    </row>
    <row r="693" spans="1:281" x14ac:dyDescent="0.25">
      <c r="A693" s="7">
        <v>0.1225693246698436</v>
      </c>
      <c r="B693"/>
      <c r="C693"/>
      <c r="D693"/>
      <c r="E693"/>
      <c r="F693" s="27" t="s">
        <v>7</v>
      </c>
      <c r="GC693" s="27" t="s">
        <v>8</v>
      </c>
      <c r="GD693" s="27" t="s">
        <v>7</v>
      </c>
      <c r="GE693" s="27" t="s">
        <v>8</v>
      </c>
      <c r="GF693" s="27" t="s">
        <v>7</v>
      </c>
      <c r="GG693" s="27" t="s">
        <v>8</v>
      </c>
      <c r="GH693" s="27" t="s">
        <v>7</v>
      </c>
      <c r="GI693" s="27" t="s">
        <v>8</v>
      </c>
      <c r="IZ693" s="27" t="s">
        <v>7</v>
      </c>
      <c r="JA693" s="27" t="s">
        <v>8</v>
      </c>
      <c r="JH693" s="27" t="s">
        <v>7</v>
      </c>
      <c r="JJ693" s="27" t="s">
        <v>7</v>
      </c>
      <c r="JK693" s="27" t="s">
        <v>8</v>
      </c>
      <c r="JL693" s="27" t="s">
        <v>7</v>
      </c>
      <c r="JO693" s="27" t="s">
        <v>8</v>
      </c>
      <c r="JP693" s="27" t="s">
        <v>7</v>
      </c>
      <c r="JQ693" s="27" t="s">
        <v>8</v>
      </c>
      <c r="JR693" s="27" t="s">
        <v>7</v>
      </c>
      <c r="JS693" s="27" t="s">
        <v>8</v>
      </c>
    </row>
    <row r="694" spans="1:281" x14ac:dyDescent="0.25">
      <c r="A694" s="7">
        <v>0.12016600457827803</v>
      </c>
      <c r="B694"/>
      <c r="C694"/>
      <c r="D694"/>
      <c r="E694"/>
      <c r="F694" s="27" t="s">
        <v>7</v>
      </c>
      <c r="GC694" s="27" t="s">
        <v>8</v>
      </c>
      <c r="GD694" s="27" t="s">
        <v>7</v>
      </c>
      <c r="GE694" s="27" t="s">
        <v>8</v>
      </c>
      <c r="GF694" s="27" t="s">
        <v>7</v>
      </c>
      <c r="GG694" s="27" t="s">
        <v>8</v>
      </c>
      <c r="GH694" s="27" t="s">
        <v>7</v>
      </c>
      <c r="GI694" s="27" t="s">
        <v>8</v>
      </c>
      <c r="IZ694" s="27" t="s">
        <v>7</v>
      </c>
      <c r="JA694" s="27" t="s">
        <v>8</v>
      </c>
      <c r="JJ694" s="27" t="s">
        <v>7</v>
      </c>
      <c r="JK694" s="27" t="s">
        <v>8</v>
      </c>
      <c r="JL694" s="27" t="s">
        <v>7</v>
      </c>
      <c r="JO694" s="27" t="s">
        <v>8</v>
      </c>
      <c r="JP694" s="27" t="s">
        <v>7</v>
      </c>
      <c r="JQ694" s="27" t="s">
        <v>8</v>
      </c>
      <c r="JR694" s="27" t="s">
        <v>7</v>
      </c>
    </row>
    <row r="695" spans="1:281" x14ac:dyDescent="0.25">
      <c r="A695" s="7">
        <v>0.1178098084100765</v>
      </c>
      <c r="B695"/>
      <c r="C695"/>
      <c r="D695"/>
      <c r="E695"/>
      <c r="F695" s="27" t="s">
        <v>7</v>
      </c>
      <c r="GC695" s="27" t="s">
        <v>8</v>
      </c>
      <c r="GD695" s="27" t="s">
        <v>7</v>
      </c>
      <c r="GE695" s="27" t="s">
        <v>8</v>
      </c>
      <c r="GF695" s="27" t="s">
        <v>7</v>
      </c>
      <c r="GG695" s="27" t="s">
        <v>8</v>
      </c>
      <c r="GH695" s="27" t="s">
        <v>7</v>
      </c>
      <c r="GI695" s="27" t="s">
        <v>8</v>
      </c>
      <c r="IZ695" s="27" t="s">
        <v>7</v>
      </c>
      <c r="JJ695" s="27" t="s">
        <v>7</v>
      </c>
      <c r="JL695" s="27" t="s">
        <v>7</v>
      </c>
      <c r="JM695" s="27" t="s">
        <v>8</v>
      </c>
      <c r="JO695" s="27" t="s">
        <v>8</v>
      </c>
      <c r="JP695" s="27" t="s">
        <v>7</v>
      </c>
      <c r="JQ695" s="27" t="s">
        <v>8</v>
      </c>
    </row>
    <row r="696" spans="1:281" x14ac:dyDescent="0.25">
      <c r="A696" s="7">
        <v>0.11549981216674166</v>
      </c>
      <c r="B696"/>
      <c r="C696"/>
      <c r="D696"/>
      <c r="E696"/>
      <c r="F696" s="27" t="s">
        <v>7</v>
      </c>
      <c r="GC696" s="27" t="s">
        <v>8</v>
      </c>
      <c r="GD696" s="27" t="s">
        <v>7</v>
      </c>
      <c r="GE696" s="27" t="s">
        <v>8</v>
      </c>
      <c r="GF696" s="27" t="s">
        <v>7</v>
      </c>
      <c r="GG696" s="27" t="s">
        <v>8</v>
      </c>
      <c r="GH696" s="27" t="s">
        <v>7</v>
      </c>
      <c r="JL696" s="27" t="s">
        <v>7</v>
      </c>
      <c r="JM696" s="27" t="s">
        <v>8</v>
      </c>
      <c r="JN696" s="27" t="s">
        <v>7</v>
      </c>
      <c r="JO696" s="27" t="s">
        <v>8</v>
      </c>
      <c r="JP696" s="27" t="s">
        <v>7</v>
      </c>
    </row>
    <row r="697" spans="1:281" x14ac:dyDescent="0.25">
      <c r="A697" s="7">
        <v>0.11323510996739378</v>
      </c>
      <c r="B697"/>
      <c r="C697"/>
      <c r="D697"/>
      <c r="E697"/>
      <c r="F697" s="27" t="s">
        <v>7</v>
      </c>
      <c r="GC697" s="27" t="s">
        <v>8</v>
      </c>
      <c r="GD697" s="27" t="s">
        <v>7</v>
      </c>
      <c r="GE697" s="27" t="s">
        <v>8</v>
      </c>
      <c r="GF697" s="27" t="s">
        <v>7</v>
      </c>
      <c r="JL697" s="27" t="s">
        <v>7</v>
      </c>
      <c r="JM697" s="27" t="s">
        <v>8</v>
      </c>
      <c r="JN697" s="27" t="s">
        <v>7</v>
      </c>
      <c r="JO697" s="27" t="s">
        <v>8</v>
      </c>
    </row>
    <row r="698" spans="1:281" x14ac:dyDescent="0.25">
      <c r="A698" s="7">
        <v>0.11101481369352331</v>
      </c>
      <c r="B698"/>
      <c r="C698"/>
      <c r="D698"/>
      <c r="E698"/>
      <c r="F698" s="27" t="s">
        <v>7</v>
      </c>
      <c r="GC698" s="27" t="s">
        <v>8</v>
      </c>
      <c r="GD698" s="27" t="s">
        <v>7</v>
      </c>
      <c r="GE698" s="27" t="s">
        <v>8</v>
      </c>
      <c r="JL698" s="27" t="s">
        <v>7</v>
      </c>
      <c r="JM698" s="27" t="s">
        <v>8</v>
      </c>
      <c r="JN698" s="27" t="s">
        <v>7</v>
      </c>
      <c r="JO698" s="27" t="s">
        <v>8</v>
      </c>
    </row>
    <row r="699" spans="1:281" x14ac:dyDescent="0.25">
      <c r="A699" s="7">
        <v>0.10883805264070913</v>
      </c>
      <c r="B699"/>
      <c r="C699"/>
      <c r="D699"/>
      <c r="E699"/>
      <c r="F699" s="27" t="s">
        <v>7</v>
      </c>
      <c r="GC699" s="27" t="s">
        <v>8</v>
      </c>
      <c r="GD699" s="27" t="s">
        <v>7</v>
      </c>
      <c r="GE699" s="27" t="s">
        <v>8</v>
      </c>
      <c r="JL699" s="27" t="s">
        <v>7</v>
      </c>
      <c r="JN699" s="27" t="s">
        <v>7</v>
      </c>
      <c r="JO699" s="27" t="s">
        <v>8</v>
      </c>
    </row>
    <row r="700" spans="1:281" x14ac:dyDescent="0.25">
      <c r="A700" s="7">
        <v>0.10670397317716582</v>
      </c>
      <c r="B700"/>
      <c r="C700"/>
      <c r="D700"/>
      <c r="E700"/>
      <c r="F700" s="27" t="s">
        <v>7</v>
      </c>
      <c r="GC700" s="27" t="s">
        <v>8</v>
      </c>
      <c r="GD700" s="27" t="s">
        <v>7</v>
      </c>
      <c r="GE700" s="27" t="s">
        <v>8</v>
      </c>
      <c r="JN700" s="27" t="s">
        <v>7</v>
      </c>
      <c r="JO700" s="27" t="s">
        <v>8</v>
      </c>
    </row>
    <row r="701" spans="1:281" x14ac:dyDescent="0.25">
      <c r="A701" s="7">
        <v>0.1046117384089861</v>
      </c>
      <c r="B701"/>
      <c r="C701"/>
      <c r="D701"/>
      <c r="E701"/>
      <c r="F701" s="27" t="s">
        <v>7</v>
      </c>
      <c r="GC701" s="27" t="s">
        <v>8</v>
      </c>
      <c r="GD701" s="27" t="s">
        <v>7</v>
      </c>
      <c r="GE701" s="27" t="s">
        <v>8</v>
      </c>
      <c r="JN701" s="27" t="s">
        <v>7</v>
      </c>
      <c r="JO701" s="27" t="s">
        <v>8</v>
      </c>
    </row>
    <row r="702" spans="1:281" x14ac:dyDescent="0.25">
      <c r="A702" s="7">
        <v>0.10256052785194716</v>
      </c>
      <c r="B702"/>
      <c r="C702"/>
      <c r="D702"/>
      <c r="E702"/>
      <c r="F702" s="27" t="s">
        <v>7</v>
      </c>
      <c r="GC702" s="27" t="s">
        <v>8</v>
      </c>
      <c r="GD702" s="27" t="s">
        <v>7</v>
      </c>
      <c r="JN702" s="18" t="s">
        <v>7</v>
      </c>
      <c r="JO702" s="27" t="s">
        <v>8</v>
      </c>
    </row>
    <row r="703" spans="1:281" x14ac:dyDescent="0.25">
      <c r="A703" s="7">
        <v>0.10054953710975212</v>
      </c>
      <c r="B703"/>
      <c r="C703"/>
      <c r="D703"/>
      <c r="E703"/>
      <c r="F703" s="27" t="s">
        <v>7</v>
      </c>
      <c r="GC703" s="27" t="s">
        <v>8</v>
      </c>
      <c r="JN703" s="27" t="s">
        <v>7</v>
      </c>
      <c r="JO703" s="27" t="s">
        <v>8</v>
      </c>
    </row>
    <row r="704" spans="1:281" x14ac:dyDescent="0.25">
      <c r="A704" s="7">
        <v>9.8577977558580512E-2</v>
      </c>
      <c r="B704"/>
      <c r="C704"/>
      <c r="D704"/>
      <c r="E704"/>
      <c r="F704" s="27" t="s">
        <v>7</v>
      </c>
      <c r="GC704" s="27" t="s">
        <v>8</v>
      </c>
      <c r="JN704" s="27" t="s">
        <v>7</v>
      </c>
      <c r="JO704" s="27" t="s">
        <v>8</v>
      </c>
    </row>
    <row r="705" spans="1:275" x14ac:dyDescent="0.25">
      <c r="A705" s="7">
        <v>9.6645076037824032E-2</v>
      </c>
      <c r="B705"/>
      <c r="C705"/>
      <c r="D705"/>
      <c r="E705"/>
      <c r="F705" s="27" t="s">
        <v>7</v>
      </c>
      <c r="CQ705" s="27" t="s">
        <v>8</v>
      </c>
      <c r="GC705" s="27" t="s">
        <v>8</v>
      </c>
      <c r="JN705" s="27" t="s">
        <v>7</v>
      </c>
      <c r="JO705" s="27" t="s">
        <v>8</v>
      </c>
    </row>
    <row r="706" spans="1:275" x14ac:dyDescent="0.25">
      <c r="A706" s="7">
        <v>9.4750074546886304E-2</v>
      </c>
      <c r="B706"/>
      <c r="C706"/>
      <c r="D706"/>
      <c r="E706"/>
      <c r="F706" s="27" t="s">
        <v>7</v>
      </c>
      <c r="CQ706" s="27" t="s">
        <v>8</v>
      </c>
      <c r="CR706" s="27" t="s">
        <v>7</v>
      </c>
      <c r="GC706" s="27" t="s">
        <v>8</v>
      </c>
      <c r="JN706" s="27" t="s">
        <v>7</v>
      </c>
      <c r="JO706" s="27" t="s">
        <v>8</v>
      </c>
    </row>
    <row r="707" spans="1:275" x14ac:dyDescent="0.25">
      <c r="A707" s="7">
        <v>9.2892229947927743E-2</v>
      </c>
      <c r="B707"/>
      <c r="C707"/>
      <c r="D707"/>
      <c r="E707"/>
      <c r="F707" s="27" t="s">
        <v>7</v>
      </c>
      <c r="CQ707" s="27" t="s">
        <v>8</v>
      </c>
      <c r="CR707" s="27" t="s">
        <v>7</v>
      </c>
      <c r="GC707" s="27" t="s">
        <v>8</v>
      </c>
      <c r="JN707" s="27" t="s">
        <v>7</v>
      </c>
      <c r="JO707" s="27" t="s">
        <v>8</v>
      </c>
    </row>
    <row r="708" spans="1:275" x14ac:dyDescent="0.25">
      <c r="A708" s="7">
        <v>9.1070813674438963E-2</v>
      </c>
      <c r="B708"/>
      <c r="C708"/>
      <c r="D708"/>
      <c r="E708"/>
      <c r="F708" s="27" t="s">
        <v>7</v>
      </c>
      <c r="CQ708" s="27" t="s">
        <v>8</v>
      </c>
      <c r="CR708" s="27" t="s">
        <v>7</v>
      </c>
      <c r="GC708" s="27" t="s">
        <v>8</v>
      </c>
      <c r="JN708" s="27" t="s">
        <v>7</v>
      </c>
      <c r="JO708" s="27" t="s">
        <v>8</v>
      </c>
    </row>
    <row r="709" spans="1:275" x14ac:dyDescent="0.25">
      <c r="A709" s="7">
        <v>8.9285111445528392E-2</v>
      </c>
      <c r="B709"/>
      <c r="C709"/>
      <c r="D709"/>
      <c r="E709"/>
      <c r="F709" s="27" t="s">
        <v>7</v>
      </c>
      <c r="CQ709" s="27" t="s">
        <v>8</v>
      </c>
      <c r="CR709" s="27" t="s">
        <v>7</v>
      </c>
      <c r="GC709" s="27" t="s">
        <v>8</v>
      </c>
      <c r="JN709" s="27" t="s">
        <v>7</v>
      </c>
    </row>
    <row r="710" spans="1:275" x14ac:dyDescent="0.25">
      <c r="A710" s="7">
        <v>8.7534422985812155E-2</v>
      </c>
      <c r="B710"/>
      <c r="C710"/>
      <c r="D710"/>
      <c r="E710"/>
      <c r="F710" s="27" t="s">
        <v>7</v>
      </c>
      <c r="CQ710" s="27" t="s">
        <v>8</v>
      </c>
      <c r="CR710" s="27" t="s">
        <v>7</v>
      </c>
      <c r="GC710" s="27" t="s">
        <v>8</v>
      </c>
    </row>
    <row r="711" spans="1:275" x14ac:dyDescent="0.25">
      <c r="A711" s="7">
        <v>8.5818061750796232E-2</v>
      </c>
      <c r="B711"/>
      <c r="C711"/>
      <c r="D711"/>
      <c r="E711"/>
      <c r="F711" s="27" t="s">
        <v>7</v>
      </c>
      <c r="CK711" s="27" t="s">
        <v>8</v>
      </c>
      <c r="CQ711" s="27" t="s">
        <v>8</v>
      </c>
      <c r="CR711" s="27" t="s">
        <v>7</v>
      </c>
      <c r="GC711" s="27" t="s">
        <v>8</v>
      </c>
    </row>
    <row r="712" spans="1:275" x14ac:dyDescent="0.25">
      <c r="A712" s="7">
        <v>8.4135354657643366E-2</v>
      </c>
      <c r="B712"/>
      <c r="C712"/>
      <c r="D712"/>
      <c r="E712"/>
      <c r="F712" s="27" t="s">
        <v>7</v>
      </c>
      <c r="CK712" s="27" t="s">
        <v>8</v>
      </c>
      <c r="CL712" s="27" t="s">
        <v>7</v>
      </c>
      <c r="CM712" s="27" t="s">
        <v>8</v>
      </c>
      <c r="CQ712" s="27" t="s">
        <v>8</v>
      </c>
      <c r="CR712" s="27" t="s">
        <v>7</v>
      </c>
      <c r="GC712" s="27" t="s">
        <v>8</v>
      </c>
    </row>
    <row r="713" spans="1:275" x14ac:dyDescent="0.25">
      <c r="A713" s="7">
        <v>8.248564182121898E-2</v>
      </c>
      <c r="B713"/>
      <c r="C713"/>
      <c r="D713"/>
      <c r="E713"/>
      <c r="F713" s="27" t="s">
        <v>7</v>
      </c>
      <c r="CK713" s="27" t="s">
        <v>8</v>
      </c>
      <c r="CL713" s="27" t="s">
        <v>7</v>
      </c>
      <c r="CM713" s="27" t="s">
        <v>8</v>
      </c>
      <c r="CN713" s="27" t="s">
        <v>7</v>
      </c>
      <c r="CQ713" s="27" t="s">
        <v>8</v>
      </c>
      <c r="CR713" s="27" t="s">
        <v>7</v>
      </c>
      <c r="GC713" s="27" t="s">
        <v>8</v>
      </c>
    </row>
    <row r="714" spans="1:275" x14ac:dyDescent="0.25">
      <c r="A714" s="7">
        <v>8.0868276295312735E-2</v>
      </c>
      <c r="B714"/>
      <c r="C714"/>
      <c r="D714"/>
      <c r="E714"/>
      <c r="F714" s="27" t="s">
        <v>7</v>
      </c>
      <c r="CG714" s="27" t="s">
        <v>8</v>
      </c>
      <c r="CK714" s="27" t="s">
        <v>8</v>
      </c>
      <c r="CL714" s="27" t="s">
        <v>7</v>
      </c>
      <c r="CM714" s="27" t="s">
        <v>8</v>
      </c>
      <c r="CN714" s="27" t="s">
        <v>7</v>
      </c>
      <c r="CO714" s="27" t="s">
        <v>8</v>
      </c>
      <c r="CQ714" s="27" t="s">
        <v>8</v>
      </c>
      <c r="CR714" s="27" t="s">
        <v>7</v>
      </c>
      <c r="GC714" s="27" t="s">
        <v>8</v>
      </c>
    </row>
    <row r="715" spans="1:275" x14ac:dyDescent="0.25">
      <c r="A715" s="7">
        <v>7.9282623818934056E-2</v>
      </c>
      <c r="B715"/>
      <c r="C715"/>
      <c r="D715"/>
      <c r="E715"/>
      <c r="F715" s="27" t="s">
        <v>7</v>
      </c>
      <c r="CG715" s="27" t="s">
        <v>8</v>
      </c>
      <c r="CH715" s="27" t="s">
        <v>7</v>
      </c>
      <c r="CI715" s="27" t="s">
        <v>8</v>
      </c>
      <c r="CK715" s="27" t="s">
        <v>8</v>
      </c>
      <c r="CL715" s="27" t="s">
        <v>7</v>
      </c>
      <c r="CM715" s="27" t="s">
        <v>8</v>
      </c>
      <c r="CN715" s="27" t="s">
        <v>7</v>
      </c>
      <c r="CO715" s="27" t="s">
        <v>8</v>
      </c>
      <c r="CP715" s="27" t="s">
        <v>7</v>
      </c>
      <c r="CQ715" s="27" t="s">
        <v>8</v>
      </c>
      <c r="CR715" s="27" t="s">
        <v>7</v>
      </c>
      <c r="FQ715" s="27" t="s">
        <v>8</v>
      </c>
      <c r="GA715" s="27" t="s">
        <v>8</v>
      </c>
      <c r="GC715" s="27" t="s">
        <v>8</v>
      </c>
    </row>
    <row r="716" spans="1:275" x14ac:dyDescent="0.25">
      <c r="A716" s="7">
        <v>7.7728062567582412E-2</v>
      </c>
      <c r="B716"/>
      <c r="C716"/>
      <c r="D716"/>
      <c r="E716"/>
      <c r="F716" s="27" t="s">
        <v>7</v>
      </c>
      <c r="CG716" s="27" t="s">
        <v>8</v>
      </c>
      <c r="CH716" s="27" t="s">
        <v>7</v>
      </c>
      <c r="CI716" s="27" t="s">
        <v>8</v>
      </c>
      <c r="CJ716" s="27" t="s">
        <v>7</v>
      </c>
      <c r="CK716" s="27" t="s">
        <v>8</v>
      </c>
      <c r="CL716" s="27" t="s">
        <v>7</v>
      </c>
      <c r="CN716" s="27" t="s">
        <v>7</v>
      </c>
      <c r="CO716" s="27" t="s">
        <v>8</v>
      </c>
      <c r="CP716" s="27" t="s">
        <v>7</v>
      </c>
      <c r="CQ716" s="27" t="s">
        <v>8</v>
      </c>
      <c r="CR716" s="27" t="s">
        <v>7</v>
      </c>
      <c r="FQ716" s="27" t="s">
        <v>8</v>
      </c>
      <c r="FR716" s="27" t="s">
        <v>7</v>
      </c>
      <c r="FU716" s="27" t="s">
        <v>8</v>
      </c>
      <c r="GA716" s="27" t="s">
        <v>8</v>
      </c>
      <c r="GB716" s="27" t="s">
        <v>7</v>
      </c>
      <c r="GC716" s="27" t="s">
        <v>8</v>
      </c>
    </row>
    <row r="717" spans="1:275" x14ac:dyDescent="0.25">
      <c r="A717" s="7">
        <v>7.6203982909394521E-2</v>
      </c>
      <c r="B717"/>
      <c r="C717"/>
      <c r="D717"/>
      <c r="E717"/>
      <c r="F717" s="27" t="s">
        <v>7</v>
      </c>
      <c r="CG717" s="27" t="s">
        <v>8</v>
      </c>
      <c r="CH717" s="27" t="s">
        <v>7</v>
      </c>
      <c r="CI717" s="27" t="s">
        <v>8</v>
      </c>
      <c r="CJ717" s="27" t="s">
        <v>7</v>
      </c>
      <c r="CK717" s="27" t="s">
        <v>8</v>
      </c>
      <c r="CN717" s="27" t="s">
        <v>7</v>
      </c>
      <c r="CO717" s="27" t="s">
        <v>8</v>
      </c>
      <c r="CP717" s="27" t="s">
        <v>7</v>
      </c>
      <c r="CQ717" s="27" t="s">
        <v>8</v>
      </c>
      <c r="CR717" s="27" t="s">
        <v>7</v>
      </c>
      <c r="FQ717" s="27" t="s">
        <v>8</v>
      </c>
      <c r="FR717" s="27" t="s">
        <v>7</v>
      </c>
      <c r="FU717" s="27" t="s">
        <v>8</v>
      </c>
      <c r="FV717" s="27" t="s">
        <v>7</v>
      </c>
      <c r="GA717" s="27" t="s">
        <v>8</v>
      </c>
      <c r="GB717" s="27" t="s">
        <v>7</v>
      </c>
      <c r="GC717" s="27" t="s">
        <v>8</v>
      </c>
    </row>
    <row r="718" spans="1:275" x14ac:dyDescent="0.25">
      <c r="A718" s="7">
        <v>7.4709787166073058E-2</v>
      </c>
      <c r="B718"/>
      <c r="C718"/>
      <c r="D718"/>
      <c r="E718"/>
      <c r="F718" s="27" t="s">
        <v>7</v>
      </c>
      <c r="CE718" s="27" t="s">
        <v>8</v>
      </c>
      <c r="CG718" s="27" t="s">
        <v>8</v>
      </c>
      <c r="CH718" s="27" t="s">
        <v>7</v>
      </c>
      <c r="CI718" s="27" t="s">
        <v>8</v>
      </c>
      <c r="CJ718" s="27" t="s">
        <v>7</v>
      </c>
      <c r="CN718" s="27" t="s">
        <v>7</v>
      </c>
      <c r="CO718" s="27" t="s">
        <v>8</v>
      </c>
      <c r="CP718" s="27" t="s">
        <v>7</v>
      </c>
      <c r="CQ718" s="27" t="s">
        <v>8</v>
      </c>
      <c r="CR718" s="27" t="s">
        <v>7</v>
      </c>
      <c r="FQ718" s="27" t="s">
        <v>8</v>
      </c>
      <c r="FR718" s="27" t="s">
        <v>7</v>
      </c>
      <c r="FU718" s="27" t="s">
        <v>8</v>
      </c>
      <c r="FV718" s="27" t="s">
        <v>7</v>
      </c>
      <c r="GA718" s="27" t="s">
        <v>8</v>
      </c>
      <c r="GB718" s="27" t="s">
        <v>7</v>
      </c>
      <c r="GC718" s="27" t="s">
        <v>8</v>
      </c>
    </row>
    <row r="719" spans="1:275" x14ac:dyDescent="0.25">
      <c r="A719" s="7">
        <v>7.3244889378503E-2</v>
      </c>
      <c r="B719"/>
      <c r="C719"/>
      <c r="D719"/>
      <c r="E719"/>
      <c r="F719" s="27" t="s">
        <v>7</v>
      </c>
      <c r="CE719" s="27" t="s">
        <v>8</v>
      </c>
      <c r="CF719" s="27" t="s">
        <v>7</v>
      </c>
      <c r="CG719" s="27" t="s">
        <v>8</v>
      </c>
      <c r="CH719" s="27" t="s">
        <v>7</v>
      </c>
      <c r="CI719" s="27" t="s">
        <v>8</v>
      </c>
      <c r="CN719" s="27" t="s">
        <v>7</v>
      </c>
      <c r="CO719" s="27" t="s">
        <v>8</v>
      </c>
      <c r="CP719" s="27" t="s">
        <v>7</v>
      </c>
      <c r="CQ719" s="27" t="s">
        <v>8</v>
      </c>
      <c r="CR719" s="27" t="s">
        <v>7</v>
      </c>
      <c r="FQ719" s="27" t="s">
        <v>8</v>
      </c>
      <c r="FR719" s="27" t="s">
        <v>7</v>
      </c>
      <c r="FS719" s="27" t="s">
        <v>8</v>
      </c>
      <c r="FU719" s="27" t="s">
        <v>8</v>
      </c>
      <c r="FV719" s="27" t="s">
        <v>7</v>
      </c>
      <c r="GA719" s="27" t="s">
        <v>8</v>
      </c>
      <c r="GB719" s="27" t="s">
        <v>7</v>
      </c>
      <c r="GC719" s="27" t="s">
        <v>8</v>
      </c>
    </row>
    <row r="720" spans="1:275" x14ac:dyDescent="0.25">
      <c r="A720" s="7">
        <v>7.1808715076963722E-2</v>
      </c>
      <c r="B720"/>
      <c r="C720"/>
      <c r="D720"/>
      <c r="E720"/>
      <c r="F720" s="27" t="s">
        <v>7</v>
      </c>
      <c r="CE720" s="27" t="s">
        <v>8</v>
      </c>
      <c r="CF720" s="27" t="s">
        <v>7</v>
      </c>
      <c r="CG720" s="27" t="s">
        <v>8</v>
      </c>
      <c r="CH720" s="27" t="s">
        <v>7</v>
      </c>
      <c r="CN720" s="27" t="s">
        <v>7</v>
      </c>
      <c r="CO720" s="27" t="s">
        <v>8</v>
      </c>
      <c r="CP720" s="27" t="s">
        <v>7</v>
      </c>
      <c r="CQ720" s="27" t="s">
        <v>8</v>
      </c>
      <c r="CR720" s="27" t="s">
        <v>7</v>
      </c>
      <c r="FQ720" s="27" t="s">
        <v>8</v>
      </c>
      <c r="FR720" s="27" t="s">
        <v>7</v>
      </c>
      <c r="FS720" s="27" t="s">
        <v>8</v>
      </c>
      <c r="FT720" s="27" t="s">
        <v>7</v>
      </c>
      <c r="FU720" s="27" t="s">
        <v>8</v>
      </c>
      <c r="FV720" s="27" t="s">
        <v>7</v>
      </c>
      <c r="GA720" s="27" t="s">
        <v>8</v>
      </c>
      <c r="GB720" s="27" t="s">
        <v>7</v>
      </c>
      <c r="GC720" s="27" t="s">
        <v>8</v>
      </c>
    </row>
    <row r="721" spans="1:184" x14ac:dyDescent="0.25">
      <c r="A721" s="7">
        <v>7.0400701055846782E-2</v>
      </c>
      <c r="B721"/>
      <c r="C721"/>
      <c r="D721"/>
      <c r="E721"/>
      <c r="F721" s="27" t="s">
        <v>7</v>
      </c>
      <c r="CE721" s="27" t="s">
        <v>8</v>
      </c>
      <c r="CF721" s="27" t="s">
        <v>7</v>
      </c>
      <c r="CG721" s="27" t="s">
        <v>8</v>
      </c>
      <c r="CN721" s="27" t="s">
        <v>7</v>
      </c>
      <c r="CO721" s="27" t="s">
        <v>8</v>
      </c>
      <c r="CP721" s="27" t="s">
        <v>7</v>
      </c>
      <c r="CQ721" s="27" t="s">
        <v>8</v>
      </c>
      <c r="CR721" s="27" t="s">
        <v>7</v>
      </c>
      <c r="FQ721" s="27" t="s">
        <v>8</v>
      </c>
      <c r="FR721" s="27" t="s">
        <v>7</v>
      </c>
      <c r="FS721" s="27" t="s">
        <v>8</v>
      </c>
      <c r="FT721" s="27" t="s">
        <v>7</v>
      </c>
      <c r="FU721" s="27" t="s">
        <v>8</v>
      </c>
      <c r="FV721" s="27" t="s">
        <v>7</v>
      </c>
      <c r="GA721" s="27" t="s">
        <v>8</v>
      </c>
      <c r="GB721" s="27" t="s">
        <v>7</v>
      </c>
    </row>
    <row r="722" spans="1:184" x14ac:dyDescent="0.25">
      <c r="A722" s="7">
        <v>6.9020295152790956E-2</v>
      </c>
      <c r="B722"/>
      <c r="C722"/>
      <c r="D722"/>
      <c r="E722"/>
      <c r="F722" s="27" t="s">
        <v>7</v>
      </c>
      <c r="CE722" s="27" t="s">
        <v>8</v>
      </c>
      <c r="CF722" s="27" t="s">
        <v>7</v>
      </c>
      <c r="CG722" s="27" t="s">
        <v>8</v>
      </c>
      <c r="CN722" s="27" t="s">
        <v>7</v>
      </c>
      <c r="CO722" s="27" t="s">
        <v>8</v>
      </c>
      <c r="CP722" s="27" t="s">
        <v>7</v>
      </c>
      <c r="CR722" s="27" t="s">
        <v>7</v>
      </c>
      <c r="FA722" s="27" t="s">
        <v>8</v>
      </c>
      <c r="FQ722" s="27" t="s">
        <v>8</v>
      </c>
      <c r="FR722" s="27" t="s">
        <v>7</v>
      </c>
      <c r="FS722" s="27" t="s">
        <v>8</v>
      </c>
      <c r="FT722" s="27" t="s">
        <v>7</v>
      </c>
      <c r="FU722" s="27" t="s">
        <v>8</v>
      </c>
      <c r="FV722" s="27" t="s">
        <v>7</v>
      </c>
      <c r="FY722" s="27" t="s">
        <v>8</v>
      </c>
      <c r="GA722" s="27" t="s">
        <v>8</v>
      </c>
    </row>
    <row r="723" spans="1:184" x14ac:dyDescent="0.25">
      <c r="A723" s="7">
        <v>6.7666956032147993E-2</v>
      </c>
      <c r="B723"/>
      <c r="C723"/>
      <c r="D723"/>
      <c r="E723"/>
      <c r="F723" s="27" t="s">
        <v>7</v>
      </c>
      <c r="CE723" s="27" t="s">
        <v>8</v>
      </c>
      <c r="CF723" s="27" t="s">
        <v>7</v>
      </c>
      <c r="CG723" s="27" t="s">
        <v>8</v>
      </c>
      <c r="CN723" s="27" t="s">
        <v>7</v>
      </c>
      <c r="CO723" s="27" t="s">
        <v>8</v>
      </c>
      <c r="CR723" s="27" t="s">
        <v>7</v>
      </c>
      <c r="FA723" s="27" t="s">
        <v>8</v>
      </c>
      <c r="FB723" s="27" t="s">
        <v>7</v>
      </c>
      <c r="FQ723" s="27" t="s">
        <v>8</v>
      </c>
      <c r="FR723" s="27" t="s">
        <v>7</v>
      </c>
      <c r="FS723" s="27" t="s">
        <v>8</v>
      </c>
      <c r="FT723" s="27" t="s">
        <v>7</v>
      </c>
      <c r="FV723" s="27" t="s">
        <v>7</v>
      </c>
      <c r="FY723" s="27" t="s">
        <v>8</v>
      </c>
      <c r="FZ723" s="27" t="s">
        <v>7</v>
      </c>
      <c r="GA723" s="27" t="s">
        <v>8</v>
      </c>
    </row>
    <row r="724" spans="1:184" x14ac:dyDescent="0.25">
      <c r="A724" s="7">
        <v>6.6340152972694105E-2</v>
      </c>
      <c r="B724"/>
      <c r="C724"/>
      <c r="D724"/>
      <c r="E724"/>
      <c r="F724" s="27" t="s">
        <v>7</v>
      </c>
      <c r="CE724" s="27" t="s">
        <v>8</v>
      </c>
      <c r="CF724" s="27" t="s">
        <v>7</v>
      </c>
      <c r="CG724" s="27" t="s">
        <v>8</v>
      </c>
      <c r="CN724" s="27" t="s">
        <v>7</v>
      </c>
      <c r="CO724" s="27" t="s">
        <v>8</v>
      </c>
      <c r="CR724" s="27" t="s">
        <v>7</v>
      </c>
      <c r="FA724" s="27" t="s">
        <v>8</v>
      </c>
      <c r="FB724" s="27" t="s">
        <v>7</v>
      </c>
      <c r="FO724" s="27" t="s">
        <v>8</v>
      </c>
      <c r="FQ724" s="27" t="s">
        <v>8</v>
      </c>
      <c r="FR724" s="27" t="s">
        <v>7</v>
      </c>
      <c r="FS724" s="27" t="s">
        <v>8</v>
      </c>
      <c r="FV724" s="27" t="s">
        <v>7</v>
      </c>
      <c r="FW724" s="27" t="s">
        <v>8</v>
      </c>
      <c r="FY724" s="27" t="s">
        <v>8</v>
      </c>
      <c r="FZ724" s="27" t="s">
        <v>7</v>
      </c>
      <c r="GA724" s="27" t="s">
        <v>8</v>
      </c>
    </row>
    <row r="725" spans="1:184" x14ac:dyDescent="0.25">
      <c r="A725" s="7">
        <v>6.5039365659504023E-2</v>
      </c>
      <c r="B725"/>
      <c r="C725"/>
      <c r="D725"/>
      <c r="E725"/>
      <c r="F725" s="27" t="s">
        <v>7</v>
      </c>
      <c r="CE725" s="27" t="s">
        <v>8</v>
      </c>
      <c r="CF725" s="27" t="s">
        <v>7</v>
      </c>
      <c r="CG725" s="27" t="s">
        <v>8</v>
      </c>
      <c r="CN725" s="27" t="s">
        <v>7</v>
      </c>
      <c r="CO725" s="27" t="s">
        <v>8</v>
      </c>
      <c r="CR725" s="27" t="s">
        <v>7</v>
      </c>
      <c r="FA725" s="27" t="s">
        <v>8</v>
      </c>
      <c r="FB725" s="27" t="s">
        <v>7</v>
      </c>
      <c r="FM725" s="27" t="s">
        <v>8</v>
      </c>
      <c r="FO725" s="27" t="s">
        <v>8</v>
      </c>
      <c r="FP725" s="27" t="s">
        <v>7</v>
      </c>
      <c r="FQ725" s="27" t="s">
        <v>8</v>
      </c>
      <c r="FR725" s="27" t="s">
        <v>7</v>
      </c>
      <c r="FS725" s="27" t="s">
        <v>8</v>
      </c>
      <c r="FV725" s="27" t="s">
        <v>7</v>
      </c>
      <c r="FW725" s="27" t="s">
        <v>8</v>
      </c>
      <c r="FX725" s="27" t="s">
        <v>7</v>
      </c>
      <c r="FY725" s="27" t="s">
        <v>8</v>
      </c>
      <c r="FZ725" s="27" t="s">
        <v>7</v>
      </c>
      <c r="GA725" s="27" t="s">
        <v>8</v>
      </c>
    </row>
    <row r="726" spans="1:184" x14ac:dyDescent="0.25">
      <c r="A726" s="7">
        <v>6.3764083979905906E-2</v>
      </c>
      <c r="B726"/>
      <c r="C726"/>
      <c r="D726"/>
      <c r="E726"/>
      <c r="F726" s="27" t="s">
        <v>7</v>
      </c>
      <c r="CE726" s="27" t="s">
        <v>8</v>
      </c>
      <c r="CF726" s="27" t="s">
        <v>7</v>
      </c>
      <c r="CG726" s="27" t="s">
        <v>8</v>
      </c>
      <c r="CN726" s="27" t="s">
        <v>7</v>
      </c>
      <c r="CO726" s="27" t="s">
        <v>8</v>
      </c>
      <c r="CR726" s="27" t="s">
        <v>7</v>
      </c>
      <c r="FA726" s="27" t="s">
        <v>8</v>
      </c>
      <c r="FB726" s="27" t="s">
        <v>7</v>
      </c>
      <c r="FM726" s="27" t="s">
        <v>8</v>
      </c>
      <c r="FN726" s="27" t="s">
        <v>7</v>
      </c>
      <c r="FO726" s="27" t="s">
        <v>8</v>
      </c>
      <c r="FP726" s="27" t="s">
        <v>7</v>
      </c>
      <c r="FQ726" s="27" t="s">
        <v>8</v>
      </c>
      <c r="FR726" s="27" t="s">
        <v>7</v>
      </c>
      <c r="FS726" s="27" t="s">
        <v>8</v>
      </c>
      <c r="FV726" s="27" t="s">
        <v>7</v>
      </c>
      <c r="FW726" s="27" t="s">
        <v>8</v>
      </c>
      <c r="FX726" s="27" t="s">
        <v>7</v>
      </c>
      <c r="FY726" s="27" t="s">
        <v>8</v>
      </c>
      <c r="FZ726" s="27" t="s">
        <v>7</v>
      </c>
      <c r="GA726" s="27" t="s">
        <v>8</v>
      </c>
    </row>
    <row r="727" spans="1:184" x14ac:dyDescent="0.25">
      <c r="A727" s="7">
        <v>6.251380782343717E-2</v>
      </c>
      <c r="B727"/>
      <c r="C727"/>
      <c r="D727"/>
      <c r="E727"/>
      <c r="F727" s="27" t="s">
        <v>7</v>
      </c>
      <c r="CE727" s="27" t="s">
        <v>8</v>
      </c>
      <c r="CF727" s="27" t="s">
        <v>7</v>
      </c>
      <c r="CN727" s="27" t="s">
        <v>7</v>
      </c>
      <c r="CO727" s="27" t="s">
        <v>8</v>
      </c>
      <c r="CR727" s="27" t="s">
        <v>7</v>
      </c>
      <c r="FA727" s="27" t="s">
        <v>8</v>
      </c>
      <c r="FB727" s="27" t="s">
        <v>7</v>
      </c>
      <c r="FK727" s="27" t="s">
        <v>8</v>
      </c>
      <c r="FM727" s="27" t="s">
        <v>8</v>
      </c>
      <c r="FN727" s="27" t="s">
        <v>7</v>
      </c>
      <c r="FO727" s="27" t="s">
        <v>8</v>
      </c>
      <c r="FP727" s="27" t="s">
        <v>7</v>
      </c>
      <c r="FQ727" s="27" t="s">
        <v>8</v>
      </c>
      <c r="FR727" s="27" t="s">
        <v>7</v>
      </c>
      <c r="FV727" s="27" t="s">
        <v>7</v>
      </c>
      <c r="FW727" s="27" t="s">
        <v>8</v>
      </c>
      <c r="FX727" s="27" t="s">
        <v>7</v>
      </c>
      <c r="FY727" s="27" t="s">
        <v>8</v>
      </c>
      <c r="FZ727" s="27" t="s">
        <v>7</v>
      </c>
      <c r="GA727" s="27" t="s">
        <v>8</v>
      </c>
    </row>
    <row r="728" spans="1:184" x14ac:dyDescent="0.25">
      <c r="A728" s="7">
        <v>6.1288046885722716E-2</v>
      </c>
      <c r="B728"/>
      <c r="C728"/>
      <c r="D728"/>
      <c r="E728"/>
      <c r="F728" s="27" t="s">
        <v>7</v>
      </c>
      <c r="CE728" s="27" t="s">
        <v>8</v>
      </c>
      <c r="CN728" s="27" t="s">
        <v>7</v>
      </c>
      <c r="CR728" s="27" t="s">
        <v>7</v>
      </c>
      <c r="CS728" s="27" t="s">
        <v>8</v>
      </c>
      <c r="FA728" s="27" t="s">
        <v>8</v>
      </c>
      <c r="FB728" s="27" t="s">
        <v>7</v>
      </c>
      <c r="FK728" s="27" t="s">
        <v>8</v>
      </c>
      <c r="FL728" s="27" t="s">
        <v>7</v>
      </c>
      <c r="FM728" s="27" t="s">
        <v>8</v>
      </c>
      <c r="FN728" s="27" t="s">
        <v>7</v>
      </c>
      <c r="FO728" s="27" t="s">
        <v>8</v>
      </c>
      <c r="FP728" s="27" t="s">
        <v>7</v>
      </c>
      <c r="FQ728" s="27" t="s">
        <v>8</v>
      </c>
      <c r="FV728" s="27" t="s">
        <v>7</v>
      </c>
      <c r="FW728" s="27" t="s">
        <v>8</v>
      </c>
      <c r="FX728" s="27" t="s">
        <v>7</v>
      </c>
      <c r="FY728" s="27" t="s">
        <v>8</v>
      </c>
      <c r="FZ728" s="27" t="s">
        <v>7</v>
      </c>
    </row>
    <row r="729" spans="1:184" x14ac:dyDescent="0.25">
      <c r="A729" s="7">
        <v>6.0086320476198739E-2</v>
      </c>
      <c r="B729"/>
      <c r="C729"/>
      <c r="D729"/>
      <c r="E729"/>
      <c r="F729" s="27" t="s">
        <v>7</v>
      </c>
      <c r="CE729" s="27" t="s">
        <v>8</v>
      </c>
      <c r="CR729" s="27" t="s">
        <v>7</v>
      </c>
      <c r="CS729" s="27" t="s">
        <v>8</v>
      </c>
      <c r="CT729" s="27" t="s">
        <v>7</v>
      </c>
      <c r="CU729" s="27" t="s">
        <v>8</v>
      </c>
      <c r="CW729" s="27" t="s">
        <v>8</v>
      </c>
      <c r="FA729" s="27" t="s">
        <v>8</v>
      </c>
      <c r="FB729" s="27" t="s">
        <v>7</v>
      </c>
      <c r="FK729" s="27" t="s">
        <v>8</v>
      </c>
      <c r="FL729" s="27" t="s">
        <v>7</v>
      </c>
      <c r="FM729" s="27" t="s">
        <v>8</v>
      </c>
      <c r="FN729" s="27" t="s">
        <v>7</v>
      </c>
      <c r="FO729" s="27" t="s">
        <v>8</v>
      </c>
      <c r="FP729" s="27" t="s">
        <v>7</v>
      </c>
      <c r="FQ729" s="27" t="s">
        <v>8</v>
      </c>
      <c r="FV729" s="27" t="s">
        <v>7</v>
      </c>
      <c r="FW729" s="27" t="s">
        <v>8</v>
      </c>
      <c r="FX729" s="27" t="s">
        <v>7</v>
      </c>
      <c r="FY729" s="27" t="s">
        <v>8</v>
      </c>
    </row>
    <row r="730" spans="1:184" x14ac:dyDescent="0.25">
      <c r="A730" s="7">
        <v>5.8908157329606609E-2</v>
      </c>
      <c r="B730"/>
      <c r="C730"/>
      <c r="D730"/>
      <c r="E730"/>
      <c r="F730" s="27" t="s">
        <v>7</v>
      </c>
      <c r="CE730" s="27" t="s">
        <v>8</v>
      </c>
      <c r="CR730" s="27" t="s">
        <v>7</v>
      </c>
      <c r="CS730" s="27" t="s">
        <v>8</v>
      </c>
      <c r="CT730" s="27" t="s">
        <v>7</v>
      </c>
      <c r="CU730" s="27" t="s">
        <v>8</v>
      </c>
      <c r="CV730" s="27" t="s">
        <v>7</v>
      </c>
      <c r="CW730" s="27" t="s">
        <v>8</v>
      </c>
      <c r="CX730" s="27" t="s">
        <v>7</v>
      </c>
      <c r="EY730" s="27" t="s">
        <v>8</v>
      </c>
      <c r="FA730" s="27" t="s">
        <v>8</v>
      </c>
      <c r="FB730" s="27" t="s">
        <v>7</v>
      </c>
      <c r="FK730" s="27" t="s">
        <v>8</v>
      </c>
      <c r="FL730" s="27" t="s">
        <v>7</v>
      </c>
      <c r="FM730" s="27" t="s">
        <v>8</v>
      </c>
      <c r="FN730" s="27" t="s">
        <v>7</v>
      </c>
      <c r="FO730" s="27" t="s">
        <v>8</v>
      </c>
      <c r="FP730" s="27" t="s">
        <v>7</v>
      </c>
      <c r="FQ730" s="27" t="s">
        <v>8</v>
      </c>
      <c r="FV730" s="27" t="s">
        <v>7</v>
      </c>
      <c r="FW730" s="27" t="s">
        <v>8</v>
      </c>
      <c r="FX730" s="27" t="s">
        <v>7</v>
      </c>
      <c r="FY730" s="27" t="s">
        <v>8</v>
      </c>
    </row>
    <row r="731" spans="1:184" x14ac:dyDescent="0.25">
      <c r="A731" s="7">
        <v>5.7753095421182947E-2</v>
      </c>
      <c r="B731"/>
      <c r="C731"/>
      <c r="D731"/>
      <c r="E731"/>
      <c r="F731" s="27" t="s">
        <v>7</v>
      </c>
      <c r="CE731" s="27" t="s">
        <v>8</v>
      </c>
      <c r="CR731" s="27" t="s">
        <v>7</v>
      </c>
      <c r="CS731" s="27" t="s">
        <v>8</v>
      </c>
      <c r="CT731" s="27" t="s">
        <v>7</v>
      </c>
      <c r="CU731" s="27" t="s">
        <v>8</v>
      </c>
      <c r="CV731" s="27" t="s">
        <v>7</v>
      </c>
      <c r="CW731" s="27" t="s">
        <v>8</v>
      </c>
      <c r="CX731" s="27" t="s">
        <v>7</v>
      </c>
      <c r="EY731" s="27" t="s">
        <v>8</v>
      </c>
      <c r="EZ731" s="27" t="s">
        <v>7</v>
      </c>
      <c r="FA731" s="27" t="s">
        <v>8</v>
      </c>
      <c r="FB731" s="27" t="s">
        <v>7</v>
      </c>
      <c r="FK731" s="27" t="s">
        <v>8</v>
      </c>
      <c r="FL731" s="27" t="s">
        <v>7</v>
      </c>
      <c r="FM731" s="27" t="s">
        <v>8</v>
      </c>
      <c r="FN731" s="27" t="s">
        <v>7</v>
      </c>
      <c r="FO731" s="27" t="s">
        <v>8</v>
      </c>
      <c r="FP731" s="27" t="s">
        <v>7</v>
      </c>
      <c r="FQ731" s="27" t="s">
        <v>8</v>
      </c>
      <c r="FV731" s="27" t="s">
        <v>7</v>
      </c>
      <c r="FW731" s="27" t="s">
        <v>8</v>
      </c>
      <c r="FX731" s="27" t="s">
        <v>7</v>
      </c>
    </row>
    <row r="732" spans="1:184" x14ac:dyDescent="0.25">
      <c r="A732" s="7">
        <v>5.6620681785473484E-2</v>
      </c>
      <c r="B732"/>
      <c r="C732"/>
      <c r="D732"/>
      <c r="E732"/>
      <c r="F732" s="27" t="s">
        <v>7</v>
      </c>
      <c r="CE732" s="27" t="s">
        <v>8</v>
      </c>
      <c r="CR732" s="27" t="s">
        <v>7</v>
      </c>
      <c r="CS732" s="27" t="s">
        <v>8</v>
      </c>
      <c r="CT732" s="27" t="s">
        <v>7</v>
      </c>
      <c r="CU732" s="27" t="s">
        <v>8</v>
      </c>
      <c r="CV732" s="27" t="s">
        <v>7</v>
      </c>
      <c r="CW732" s="27" t="s">
        <v>8</v>
      </c>
      <c r="CX732" s="27" t="s">
        <v>7</v>
      </c>
      <c r="CY732" s="27" t="s">
        <v>8</v>
      </c>
      <c r="EK732" s="27" t="s">
        <v>8</v>
      </c>
      <c r="EY732" s="27" t="s">
        <v>8</v>
      </c>
      <c r="EZ732" s="27" t="s">
        <v>7</v>
      </c>
      <c r="FA732" s="27" t="s">
        <v>8</v>
      </c>
      <c r="FB732" s="27" t="s">
        <v>7</v>
      </c>
      <c r="FK732" s="27" t="s">
        <v>8</v>
      </c>
      <c r="FL732" s="27" t="s">
        <v>7</v>
      </c>
      <c r="FM732" s="27" t="s">
        <v>8</v>
      </c>
      <c r="FN732" s="27" t="s">
        <v>7</v>
      </c>
      <c r="FO732" s="27" t="s">
        <v>8</v>
      </c>
      <c r="FP732" s="27" t="s">
        <v>7</v>
      </c>
      <c r="FV732" s="27" t="s">
        <v>7</v>
      </c>
    </row>
    <row r="733" spans="1:184" x14ac:dyDescent="0.25">
      <c r="A733" s="7">
        <v>5.5510472338699497E-2</v>
      </c>
      <c r="B733"/>
      <c r="C733"/>
      <c r="D733"/>
      <c r="E733"/>
      <c r="F733" s="27" t="s">
        <v>7</v>
      </c>
      <c r="CE733" s="27" t="s">
        <v>8</v>
      </c>
      <c r="CR733" s="27" t="s">
        <v>7</v>
      </c>
      <c r="CS733" s="27" t="s">
        <v>8</v>
      </c>
      <c r="CT733" s="27" t="s">
        <v>7</v>
      </c>
      <c r="CU733" s="27" t="s">
        <v>8</v>
      </c>
      <c r="CV733" s="27" t="s">
        <v>7</v>
      </c>
      <c r="CW733" s="27" t="s">
        <v>8</v>
      </c>
      <c r="CX733" s="27" t="s">
        <v>7</v>
      </c>
      <c r="CY733" s="27" t="s">
        <v>8</v>
      </c>
      <c r="CZ733" s="27" t="s">
        <v>7</v>
      </c>
      <c r="EK733" s="27" t="s">
        <v>8</v>
      </c>
      <c r="EL733" s="27" t="s">
        <v>7</v>
      </c>
      <c r="EY733" s="27" t="s">
        <v>8</v>
      </c>
      <c r="EZ733" s="27" t="s">
        <v>7</v>
      </c>
      <c r="FA733" s="27" t="s">
        <v>8</v>
      </c>
      <c r="FB733" s="27" t="s">
        <v>7</v>
      </c>
      <c r="FE733" s="27" t="s">
        <v>8</v>
      </c>
      <c r="FK733" s="27" t="s">
        <v>8</v>
      </c>
      <c r="FL733" s="27" t="s">
        <v>7</v>
      </c>
      <c r="FM733" s="27" t="s">
        <v>8</v>
      </c>
      <c r="FN733" s="27" t="s">
        <v>7</v>
      </c>
      <c r="FO733" s="27" t="s">
        <v>8</v>
      </c>
    </row>
    <row r="734" spans="1:184" x14ac:dyDescent="0.25">
      <c r="A734" s="7">
        <v>5.4422031704607354E-2</v>
      </c>
      <c r="B734"/>
      <c r="C734"/>
      <c r="D734"/>
      <c r="E734"/>
      <c r="F734" s="27" t="s">
        <v>7</v>
      </c>
      <c r="CE734" s="27" t="s">
        <v>8</v>
      </c>
      <c r="CR734" s="27" t="s">
        <v>7</v>
      </c>
      <c r="CS734" s="27" t="s">
        <v>8</v>
      </c>
      <c r="CT734" s="27" t="s">
        <v>7</v>
      </c>
      <c r="CU734" s="27" t="s">
        <v>8</v>
      </c>
      <c r="CV734" s="27" t="s">
        <v>7</v>
      </c>
      <c r="CX734" s="27" t="s">
        <v>7</v>
      </c>
      <c r="CY734" s="27" t="s">
        <v>8</v>
      </c>
      <c r="CZ734" s="27" t="s">
        <v>7</v>
      </c>
      <c r="DA734" s="27" t="s">
        <v>8</v>
      </c>
      <c r="EK734" s="27" t="s">
        <v>8</v>
      </c>
      <c r="EL734" s="27" t="s">
        <v>7</v>
      </c>
      <c r="EY734" s="27" t="s">
        <v>8</v>
      </c>
      <c r="EZ734" s="27" t="s">
        <v>7</v>
      </c>
      <c r="FA734" s="27" t="s">
        <v>8</v>
      </c>
      <c r="FB734" s="27" t="s">
        <v>7</v>
      </c>
      <c r="FE734" s="27" t="s">
        <v>8</v>
      </c>
      <c r="FF734" s="27" t="s">
        <v>7</v>
      </c>
      <c r="FI734" s="27" t="s">
        <v>8</v>
      </c>
      <c r="FK734" s="27" t="s">
        <v>8</v>
      </c>
      <c r="FL734" s="27" t="s">
        <v>7</v>
      </c>
      <c r="FM734" s="27" t="s">
        <v>8</v>
      </c>
      <c r="FN734" s="27" t="s">
        <v>7</v>
      </c>
      <c r="FO734" s="27" t="s">
        <v>8</v>
      </c>
    </row>
    <row r="735" spans="1:184" x14ac:dyDescent="0.25">
      <c r="A735" s="7">
        <v>5.3354933043732705E-2</v>
      </c>
      <c r="B735"/>
      <c r="C735"/>
      <c r="D735"/>
      <c r="E735"/>
      <c r="F735" s="27" t="s">
        <v>7</v>
      </c>
      <c r="CE735" s="27" t="s">
        <v>8</v>
      </c>
      <c r="CR735" s="27" t="s">
        <v>7</v>
      </c>
      <c r="CS735" s="27" t="s">
        <v>8</v>
      </c>
      <c r="CT735" s="27" t="s">
        <v>7</v>
      </c>
      <c r="CX735" s="27" t="s">
        <v>7</v>
      </c>
      <c r="CY735" s="27" t="s">
        <v>8</v>
      </c>
      <c r="CZ735" s="27" t="s">
        <v>7</v>
      </c>
      <c r="DA735" s="27" t="s">
        <v>8</v>
      </c>
      <c r="DB735" s="27" t="s">
        <v>7</v>
      </c>
      <c r="EK735" s="27" t="s">
        <v>8</v>
      </c>
      <c r="EL735" s="27" t="s">
        <v>7</v>
      </c>
      <c r="EY735" s="27" t="s">
        <v>8</v>
      </c>
      <c r="EZ735" s="27" t="s">
        <v>7</v>
      </c>
      <c r="FA735" s="27" t="s">
        <v>8</v>
      </c>
      <c r="FB735" s="27" t="s">
        <v>7</v>
      </c>
      <c r="FE735" s="27" t="s">
        <v>8</v>
      </c>
      <c r="FF735" s="27" t="s">
        <v>7</v>
      </c>
      <c r="FI735" s="27" t="s">
        <v>8</v>
      </c>
      <c r="FJ735" s="27" t="s">
        <v>7</v>
      </c>
      <c r="FK735" s="27" t="s">
        <v>8</v>
      </c>
      <c r="FL735" s="27" t="s">
        <v>7</v>
      </c>
      <c r="FM735" s="27" t="s">
        <v>8</v>
      </c>
      <c r="FN735" s="27" t="s">
        <v>7</v>
      </c>
      <c r="FO735" s="27" t="s">
        <v>8</v>
      </c>
    </row>
    <row r="736" spans="1:184" x14ac:dyDescent="0.25">
      <c r="A736" s="7">
        <v>5.2308757886012455E-2</v>
      </c>
      <c r="B736"/>
      <c r="C736"/>
      <c r="D736"/>
      <c r="E736"/>
      <c r="F736" s="27" t="s">
        <v>7</v>
      </c>
      <c r="BY736" s="27" t="s">
        <v>8</v>
      </c>
      <c r="CE736" s="27" t="s">
        <v>8</v>
      </c>
      <c r="CR736" s="27" t="s">
        <v>7</v>
      </c>
      <c r="CS736" s="27" t="s">
        <v>8</v>
      </c>
      <c r="CX736" s="27" t="s">
        <v>7</v>
      </c>
      <c r="CY736" s="27" t="s">
        <v>8</v>
      </c>
      <c r="CZ736" s="27" t="s">
        <v>7</v>
      </c>
      <c r="DA736" s="27" t="s">
        <v>8</v>
      </c>
      <c r="DB736" s="27" t="s">
        <v>7</v>
      </c>
      <c r="DC736" s="27" t="s">
        <v>8</v>
      </c>
      <c r="EK736" s="27" t="s">
        <v>8</v>
      </c>
      <c r="EL736" s="27" t="s">
        <v>7</v>
      </c>
      <c r="EY736" s="27" t="s">
        <v>8</v>
      </c>
      <c r="EZ736" s="27" t="s">
        <v>7</v>
      </c>
      <c r="FB736" s="27" t="s">
        <v>7</v>
      </c>
      <c r="FE736" s="27" t="s">
        <v>8</v>
      </c>
      <c r="FF736" s="27" t="s">
        <v>7</v>
      </c>
      <c r="FI736" s="27" t="s">
        <v>8</v>
      </c>
      <c r="FJ736" s="27" t="s">
        <v>7</v>
      </c>
      <c r="FK736" s="27" t="s">
        <v>8</v>
      </c>
      <c r="FL736" s="27" t="s">
        <v>7</v>
      </c>
      <c r="FM736" s="27" t="s">
        <v>8</v>
      </c>
      <c r="FN736" s="27" t="s">
        <v>7</v>
      </c>
      <c r="FO736" s="27" t="s">
        <v>8</v>
      </c>
    </row>
    <row r="737" spans="1:171" x14ac:dyDescent="0.25">
      <c r="A737" s="7">
        <v>5.1283095966678877E-2</v>
      </c>
      <c r="B737"/>
      <c r="C737"/>
      <c r="D737"/>
      <c r="E737"/>
      <c r="F737" s="27" t="s">
        <v>7</v>
      </c>
      <c r="BY737" s="27" t="s">
        <v>8</v>
      </c>
      <c r="BZ737" s="27" t="s">
        <v>7</v>
      </c>
      <c r="CE737" s="27" t="s">
        <v>8</v>
      </c>
      <c r="CR737" s="27" t="s">
        <v>7</v>
      </c>
      <c r="CS737" s="27" t="s">
        <v>8</v>
      </c>
      <c r="CX737" s="27" t="s">
        <v>7</v>
      </c>
      <c r="CY737" s="27" t="s">
        <v>8</v>
      </c>
      <c r="CZ737" s="27" t="s">
        <v>7</v>
      </c>
      <c r="DA737" s="27" t="s">
        <v>8</v>
      </c>
      <c r="DB737" s="27" t="s">
        <v>7</v>
      </c>
      <c r="DC737" s="27" t="s">
        <v>8</v>
      </c>
      <c r="DD737" s="27" t="s">
        <v>7</v>
      </c>
      <c r="EK737" s="27" t="s">
        <v>8</v>
      </c>
      <c r="EL737" s="27" t="s">
        <v>7</v>
      </c>
      <c r="EQ737" s="27" t="s">
        <v>8</v>
      </c>
      <c r="EY737" s="27" t="s">
        <v>8</v>
      </c>
      <c r="FB737" s="27" t="s">
        <v>7</v>
      </c>
      <c r="FC737" s="27" t="s">
        <v>8</v>
      </c>
      <c r="FE737" s="27" t="s">
        <v>8</v>
      </c>
      <c r="FF737" s="27" t="s">
        <v>7</v>
      </c>
      <c r="FI737" s="27" t="s">
        <v>8</v>
      </c>
      <c r="FJ737" s="27" t="s">
        <v>7</v>
      </c>
      <c r="FK737" s="27" t="s">
        <v>8</v>
      </c>
      <c r="FL737" s="27" t="s">
        <v>7</v>
      </c>
      <c r="FN737" s="27" t="s">
        <v>7</v>
      </c>
      <c r="FO737" s="27" t="s">
        <v>8</v>
      </c>
    </row>
    <row r="738" spans="1:171" x14ac:dyDescent="0.25">
      <c r="A738" s="7">
        <v>5.0277545065371444E-2</v>
      </c>
      <c r="B738"/>
      <c r="C738"/>
      <c r="D738"/>
      <c r="E738"/>
      <c r="F738" s="27" t="s">
        <v>7</v>
      </c>
      <c r="BW738" s="27" t="s">
        <v>8</v>
      </c>
      <c r="BY738" s="27" t="s">
        <v>8</v>
      </c>
      <c r="BZ738" s="27" t="s">
        <v>7</v>
      </c>
      <c r="CE738" s="27" t="s">
        <v>8</v>
      </c>
      <c r="CR738" s="27" t="s">
        <v>7</v>
      </c>
      <c r="CS738" s="27" t="s">
        <v>8</v>
      </c>
      <c r="CX738" s="27" t="s">
        <v>7</v>
      </c>
      <c r="CY738" s="27" t="s">
        <v>8</v>
      </c>
      <c r="CZ738" s="27" t="s">
        <v>7</v>
      </c>
      <c r="DA738" s="27" t="s">
        <v>8</v>
      </c>
      <c r="DB738" s="27" t="s">
        <v>7</v>
      </c>
      <c r="DC738" s="27" t="s">
        <v>8</v>
      </c>
      <c r="DD738" s="27" t="s">
        <v>7</v>
      </c>
      <c r="EK738" s="27" t="s">
        <v>8</v>
      </c>
      <c r="EL738" s="27" t="s">
        <v>7</v>
      </c>
      <c r="EQ738" s="27" t="s">
        <v>8</v>
      </c>
      <c r="ER738" s="27" t="s">
        <v>7</v>
      </c>
      <c r="EY738" s="27" t="s">
        <v>8</v>
      </c>
      <c r="FB738" s="27" t="s">
        <v>7</v>
      </c>
      <c r="FC738" s="27" t="s">
        <v>8</v>
      </c>
      <c r="FD738" s="27" t="s">
        <v>7</v>
      </c>
      <c r="FE738" s="27" t="s">
        <v>8</v>
      </c>
      <c r="FF738" s="27" t="s">
        <v>7</v>
      </c>
      <c r="FG738" s="27" t="s">
        <v>8</v>
      </c>
      <c r="FI738" s="27" t="s">
        <v>8</v>
      </c>
      <c r="FJ738" s="27" t="s">
        <v>7</v>
      </c>
      <c r="FK738" s="27" t="s">
        <v>8</v>
      </c>
      <c r="FN738" s="27" t="s">
        <v>7</v>
      </c>
      <c r="FO738" s="27" t="s">
        <v>8</v>
      </c>
    </row>
    <row r="739" spans="1:171" x14ac:dyDescent="0.25">
      <c r="A739" s="7">
        <v>4.9291710848403378E-2</v>
      </c>
      <c r="B739"/>
      <c r="C739"/>
      <c r="D739"/>
      <c r="E739"/>
      <c r="F739" s="27" t="s">
        <v>7</v>
      </c>
      <c r="BW739" s="27" t="s">
        <v>8</v>
      </c>
      <c r="BX739" s="27" t="s">
        <v>7</v>
      </c>
      <c r="BY739" s="27" t="s">
        <v>8</v>
      </c>
      <c r="BZ739" s="27" t="s">
        <v>7</v>
      </c>
      <c r="CE739" s="27" t="s">
        <v>8</v>
      </c>
      <c r="CR739" s="27" t="s">
        <v>7</v>
      </c>
      <c r="CS739" s="27" t="s">
        <v>8</v>
      </c>
      <c r="CX739" s="27" t="s">
        <v>7</v>
      </c>
      <c r="CZ739" s="27" t="s">
        <v>7</v>
      </c>
      <c r="DA739" s="27" t="s">
        <v>8</v>
      </c>
      <c r="DB739" s="27" t="s">
        <v>7</v>
      </c>
      <c r="DC739" s="27" t="s">
        <v>8</v>
      </c>
      <c r="DD739" s="27" t="s">
        <v>7</v>
      </c>
      <c r="EK739" s="27" t="s">
        <v>8</v>
      </c>
      <c r="EL739" s="27" t="s">
        <v>7</v>
      </c>
      <c r="EO739" s="27" t="s">
        <v>8</v>
      </c>
      <c r="EQ739" s="27" t="s">
        <v>8</v>
      </c>
      <c r="ER739" s="27" t="s">
        <v>7</v>
      </c>
      <c r="EW739" s="27" t="s">
        <v>8</v>
      </c>
      <c r="EY739" s="27" t="s">
        <v>8</v>
      </c>
      <c r="FB739" s="27" t="s">
        <v>7</v>
      </c>
      <c r="FC739" s="27" t="s">
        <v>8</v>
      </c>
      <c r="FD739" s="27" t="s">
        <v>7</v>
      </c>
      <c r="FE739" s="27" t="s">
        <v>8</v>
      </c>
      <c r="FF739" s="27" t="s">
        <v>7</v>
      </c>
      <c r="FG739" s="27" t="s">
        <v>8</v>
      </c>
      <c r="FH739" s="27" t="s">
        <v>7</v>
      </c>
      <c r="FI739" s="27" t="s">
        <v>8</v>
      </c>
      <c r="FJ739" s="27" t="s">
        <v>7</v>
      </c>
      <c r="FK739" s="27" t="s">
        <v>8</v>
      </c>
      <c r="FN739" s="27" t="s">
        <v>7</v>
      </c>
      <c r="FO739" s="27" t="s">
        <v>8</v>
      </c>
    </row>
    <row r="740" spans="1:171" x14ac:dyDescent="0.25">
      <c r="A740" s="7">
        <v>4.8325206714120959E-2</v>
      </c>
      <c r="B740"/>
      <c r="C740"/>
      <c r="D740"/>
      <c r="E740"/>
      <c r="F740" s="27" t="s">
        <v>7</v>
      </c>
      <c r="BW740" s="27" t="s">
        <v>8</v>
      </c>
      <c r="BX740" s="27" t="s">
        <v>7</v>
      </c>
      <c r="BY740" s="27" t="s">
        <v>8</v>
      </c>
      <c r="BZ740" s="27" t="s">
        <v>7</v>
      </c>
      <c r="CE740" s="27" t="s">
        <v>8</v>
      </c>
      <c r="CR740" s="27" t="s">
        <v>7</v>
      </c>
      <c r="CS740" s="27" t="s">
        <v>8</v>
      </c>
      <c r="CZ740" s="27" t="s">
        <v>7</v>
      </c>
      <c r="DA740" s="27" t="s">
        <v>8</v>
      </c>
      <c r="DB740" s="27" t="s">
        <v>7</v>
      </c>
      <c r="DC740" s="27" t="s">
        <v>8</v>
      </c>
      <c r="DD740" s="27" t="s">
        <v>7</v>
      </c>
      <c r="EK740" s="27" t="s">
        <v>8</v>
      </c>
      <c r="EL740" s="27" t="s">
        <v>7</v>
      </c>
      <c r="EM740" s="27" t="s">
        <v>8</v>
      </c>
      <c r="EO740" s="27" t="s">
        <v>8</v>
      </c>
      <c r="EP740" s="27" t="s">
        <v>7</v>
      </c>
      <c r="EQ740" s="27" t="s">
        <v>8</v>
      </c>
      <c r="ER740" s="27" t="s">
        <v>7</v>
      </c>
      <c r="ES740" s="27" t="s">
        <v>8</v>
      </c>
      <c r="EW740" s="27" t="s">
        <v>8</v>
      </c>
      <c r="EX740" s="27" t="s">
        <v>7</v>
      </c>
      <c r="EY740" s="27" t="s">
        <v>8</v>
      </c>
      <c r="FB740" s="27" t="s">
        <v>7</v>
      </c>
      <c r="FC740" s="27" t="s">
        <v>8</v>
      </c>
      <c r="FD740" s="27" t="s">
        <v>7</v>
      </c>
      <c r="FE740" s="27" t="s">
        <v>8</v>
      </c>
      <c r="FF740" s="27" t="s">
        <v>7</v>
      </c>
      <c r="FG740" s="27" t="s">
        <v>8</v>
      </c>
      <c r="FH740" s="27" t="s">
        <v>7</v>
      </c>
      <c r="FI740" s="27" t="s">
        <v>8</v>
      </c>
      <c r="FJ740" s="27" t="s">
        <v>7</v>
      </c>
      <c r="FK740" s="27" t="s">
        <v>8</v>
      </c>
      <c r="FN740" s="27" t="s">
        <v>7</v>
      </c>
      <c r="FO740" s="27" t="s">
        <v>8</v>
      </c>
    </row>
    <row r="741" spans="1:171" x14ac:dyDescent="0.25">
      <c r="A741" s="7">
        <v>4.7377653641295057E-2</v>
      </c>
      <c r="B741"/>
      <c r="C741"/>
      <c r="D741"/>
      <c r="E741"/>
      <c r="F741" s="27" t="s">
        <v>7</v>
      </c>
      <c r="BW741" s="27" t="s">
        <v>8</v>
      </c>
      <c r="BX741" s="27" t="s">
        <v>7</v>
      </c>
      <c r="BY741" s="27" t="s">
        <v>8</v>
      </c>
      <c r="BZ741" s="27" t="s">
        <v>7</v>
      </c>
      <c r="CE741" s="27" t="s">
        <v>8</v>
      </c>
      <c r="CR741" s="27" t="s">
        <v>7</v>
      </c>
      <c r="CS741" s="27" t="s">
        <v>8</v>
      </c>
      <c r="CZ741" s="27" t="s">
        <v>7</v>
      </c>
      <c r="DA741" s="27" t="s">
        <v>8</v>
      </c>
      <c r="DB741" s="27" t="s">
        <v>7</v>
      </c>
      <c r="DD741" s="27" t="s">
        <v>7</v>
      </c>
      <c r="EK741" s="27" t="s">
        <v>8</v>
      </c>
      <c r="EL741" s="27" t="s">
        <v>7</v>
      </c>
      <c r="EM741" s="27" t="s">
        <v>8</v>
      </c>
      <c r="EN741" s="27" t="s">
        <v>7</v>
      </c>
      <c r="EO741" s="27" t="s">
        <v>8</v>
      </c>
      <c r="EP741" s="27" t="s">
        <v>7</v>
      </c>
      <c r="EQ741" s="27" t="s">
        <v>8</v>
      </c>
      <c r="ER741" s="27" t="s">
        <v>7</v>
      </c>
      <c r="ES741" s="27" t="s">
        <v>8</v>
      </c>
      <c r="ET741" s="27" t="s">
        <v>7</v>
      </c>
      <c r="EW741" s="27" t="s">
        <v>8</v>
      </c>
      <c r="EX741" s="27" t="s">
        <v>7</v>
      </c>
      <c r="EY741" s="27" t="s">
        <v>8</v>
      </c>
      <c r="FB741" s="27" t="s">
        <v>7</v>
      </c>
      <c r="FC741" s="27" t="s">
        <v>8</v>
      </c>
      <c r="FD741" s="27" t="s">
        <v>7</v>
      </c>
      <c r="FE741" s="27" t="s">
        <v>8</v>
      </c>
      <c r="FF741" s="27" t="s">
        <v>7</v>
      </c>
      <c r="FG741" s="27" t="s">
        <v>8</v>
      </c>
      <c r="FH741" s="27" t="s">
        <v>7</v>
      </c>
      <c r="FI741" s="27" t="s">
        <v>8</v>
      </c>
      <c r="FJ741" s="27" t="s">
        <v>7</v>
      </c>
      <c r="FK741" s="27" t="s">
        <v>8</v>
      </c>
      <c r="FN741" s="27" t="s">
        <v>7</v>
      </c>
      <c r="FO741" s="27" t="s">
        <v>8</v>
      </c>
    </row>
    <row r="742" spans="1:171" x14ac:dyDescent="0.25">
      <c r="A742" s="7">
        <v>4.644868004048535E-2</v>
      </c>
      <c r="B742"/>
      <c r="C742"/>
      <c r="D742"/>
      <c r="E742"/>
      <c r="F742" s="27" t="s">
        <v>7</v>
      </c>
      <c r="BW742" s="27" t="s">
        <v>8</v>
      </c>
      <c r="BX742" s="27" t="s">
        <v>7</v>
      </c>
      <c r="BY742" s="27" t="s">
        <v>8</v>
      </c>
      <c r="BZ742" s="27" t="s">
        <v>7</v>
      </c>
      <c r="CA742" s="27" t="s">
        <v>8</v>
      </c>
      <c r="CC742" s="27" t="s">
        <v>8</v>
      </c>
      <c r="CE742" s="27" t="s">
        <v>8</v>
      </c>
      <c r="CR742" s="27" t="s">
        <v>7</v>
      </c>
      <c r="CS742" s="27" t="s">
        <v>8</v>
      </c>
      <c r="CZ742" s="27" t="s">
        <v>7</v>
      </c>
      <c r="DD742" s="27" t="s">
        <v>7</v>
      </c>
      <c r="EK742" s="27" t="s">
        <v>8</v>
      </c>
      <c r="EL742" s="27" t="s">
        <v>7</v>
      </c>
      <c r="EM742" s="27" t="s">
        <v>8</v>
      </c>
      <c r="EN742" s="27" t="s">
        <v>7</v>
      </c>
      <c r="EO742" s="27" t="s">
        <v>8</v>
      </c>
      <c r="EP742" s="27" t="s">
        <v>7</v>
      </c>
      <c r="EQ742" s="27" t="s">
        <v>8</v>
      </c>
      <c r="ER742" s="27" t="s">
        <v>7</v>
      </c>
      <c r="ES742" s="27" t="s">
        <v>8</v>
      </c>
      <c r="ET742" s="27" t="s">
        <v>7</v>
      </c>
      <c r="EW742" s="27" t="s">
        <v>8</v>
      </c>
      <c r="EX742" s="27" t="s">
        <v>7</v>
      </c>
      <c r="EY742" s="27" t="s">
        <v>8</v>
      </c>
      <c r="FB742" s="27" t="s">
        <v>7</v>
      </c>
      <c r="FC742" s="27" t="s">
        <v>8</v>
      </c>
      <c r="FD742" s="27" t="s">
        <v>7</v>
      </c>
      <c r="FE742" s="27" t="s">
        <v>8</v>
      </c>
      <c r="FF742" s="27" t="s">
        <v>7</v>
      </c>
      <c r="FG742" s="27" t="s">
        <v>8</v>
      </c>
      <c r="FH742" s="27" t="s">
        <v>7</v>
      </c>
      <c r="FI742" s="27" t="s">
        <v>8</v>
      </c>
      <c r="FJ742" s="27" t="s">
        <v>7</v>
      </c>
      <c r="FK742" s="27" t="s">
        <v>8</v>
      </c>
      <c r="FN742" s="27" t="s">
        <v>7</v>
      </c>
      <c r="FO742" s="27" t="s">
        <v>8</v>
      </c>
    </row>
    <row r="743" spans="1:171" x14ac:dyDescent="0.25">
      <c r="A743" s="7">
        <v>4.5537921608318974E-2</v>
      </c>
      <c r="B743"/>
      <c r="C743"/>
      <c r="D743"/>
      <c r="E743"/>
      <c r="F743" s="27" t="s">
        <v>7</v>
      </c>
      <c r="BW743" s="27" t="s">
        <v>8</v>
      </c>
      <c r="BX743" s="27" t="s">
        <v>7</v>
      </c>
      <c r="BY743" s="27" t="s">
        <v>8</v>
      </c>
      <c r="BZ743" s="27" t="s">
        <v>7</v>
      </c>
      <c r="CA743" s="27" t="s">
        <v>8</v>
      </c>
      <c r="CB743" s="27" t="s">
        <v>7</v>
      </c>
      <c r="CC743" s="27" t="s">
        <v>8</v>
      </c>
      <c r="CD743" s="27" t="s">
        <v>7</v>
      </c>
      <c r="CE743" s="27" t="s">
        <v>8</v>
      </c>
      <c r="CR743" s="27" t="s">
        <v>7</v>
      </c>
      <c r="CS743" s="27" t="s">
        <v>8</v>
      </c>
      <c r="DD743" s="27" t="s">
        <v>7</v>
      </c>
      <c r="DG743" s="27" t="s">
        <v>8</v>
      </c>
      <c r="EK743" s="27" t="s">
        <v>8</v>
      </c>
      <c r="EL743" s="27" t="s">
        <v>7</v>
      </c>
      <c r="EM743" s="27" t="s">
        <v>8</v>
      </c>
      <c r="EN743" s="27" t="s">
        <v>7</v>
      </c>
      <c r="EO743" s="27" t="s">
        <v>8</v>
      </c>
      <c r="EP743" s="27" t="s">
        <v>7</v>
      </c>
      <c r="EQ743" s="27" t="s">
        <v>8</v>
      </c>
      <c r="ER743" s="27" t="s">
        <v>7</v>
      </c>
      <c r="ES743" s="27" t="s">
        <v>8</v>
      </c>
      <c r="ET743" s="27" t="s">
        <v>7</v>
      </c>
      <c r="EU743" s="27" t="s">
        <v>8</v>
      </c>
      <c r="EW743" s="27" t="s">
        <v>8</v>
      </c>
      <c r="EX743" s="27" t="s">
        <v>7</v>
      </c>
      <c r="EY743" s="27" t="s">
        <v>8</v>
      </c>
      <c r="FB743" s="27" t="s">
        <v>7</v>
      </c>
      <c r="FC743" s="27" t="s">
        <v>8</v>
      </c>
      <c r="FD743" s="27" t="s">
        <v>7</v>
      </c>
      <c r="FF743" s="27" t="s">
        <v>7</v>
      </c>
      <c r="FG743" s="27" t="s">
        <v>8</v>
      </c>
      <c r="FH743" s="27" t="s">
        <v>7</v>
      </c>
      <c r="FI743" s="27" t="s">
        <v>8</v>
      </c>
      <c r="FJ743" s="27" t="s">
        <v>7</v>
      </c>
      <c r="FN743" s="27" t="s">
        <v>7</v>
      </c>
      <c r="FO743" s="27" t="s">
        <v>8</v>
      </c>
    </row>
    <row r="744" spans="1:171" x14ac:dyDescent="0.25">
      <c r="A744" s="7">
        <v>4.4645021184626446E-2</v>
      </c>
      <c r="B744"/>
      <c r="C744"/>
      <c r="D744"/>
      <c r="E744"/>
      <c r="F744" s="27" t="s">
        <v>7</v>
      </c>
      <c r="BW744" s="27" t="s">
        <v>8</v>
      </c>
      <c r="BX744" s="27" t="s">
        <v>7</v>
      </c>
      <c r="BY744" s="27" t="s">
        <v>8</v>
      </c>
      <c r="BZ744" s="27" t="s">
        <v>7</v>
      </c>
      <c r="CA744" s="27" t="s">
        <v>8</v>
      </c>
      <c r="CB744" s="27" t="s">
        <v>7</v>
      </c>
      <c r="CC744" s="27" t="s">
        <v>8</v>
      </c>
      <c r="CD744" s="27" t="s">
        <v>7</v>
      </c>
      <c r="CE744" s="27" t="s">
        <v>8</v>
      </c>
      <c r="CR744" s="27" t="s">
        <v>7</v>
      </c>
      <c r="CS744" s="27" t="s">
        <v>8</v>
      </c>
      <c r="DD744" s="27" t="s">
        <v>7</v>
      </c>
      <c r="DG744" s="27" t="s">
        <v>8</v>
      </c>
      <c r="DH744" s="27" t="s">
        <v>7</v>
      </c>
      <c r="DI744" s="27" t="s">
        <v>8</v>
      </c>
      <c r="EK744" s="27" t="s">
        <v>8</v>
      </c>
      <c r="EL744" s="27" t="s">
        <v>7</v>
      </c>
      <c r="EM744" s="27" t="s">
        <v>8</v>
      </c>
      <c r="EN744" s="27" t="s">
        <v>7</v>
      </c>
      <c r="EP744" s="27" t="s">
        <v>7</v>
      </c>
      <c r="ER744" s="27" t="s">
        <v>7</v>
      </c>
      <c r="ET744" s="27" t="s">
        <v>7</v>
      </c>
      <c r="EU744" s="27" t="s">
        <v>8</v>
      </c>
      <c r="EV744" s="27" t="s">
        <v>7</v>
      </c>
      <c r="EW744" s="27" t="s">
        <v>8</v>
      </c>
      <c r="EX744" s="27" t="s">
        <v>7</v>
      </c>
      <c r="EY744" s="27" t="s">
        <v>8</v>
      </c>
      <c r="FB744" s="27" t="s">
        <v>7</v>
      </c>
      <c r="FC744" s="27" t="s">
        <v>8</v>
      </c>
      <c r="FF744" s="27" t="s">
        <v>7</v>
      </c>
      <c r="FG744" s="27" t="s">
        <v>8</v>
      </c>
      <c r="FH744" s="27" t="s">
        <v>7</v>
      </c>
      <c r="FN744" s="27" t="s">
        <v>7</v>
      </c>
      <c r="FO744" s="27" t="s">
        <v>8</v>
      </c>
    </row>
    <row r="745" spans="1:171" x14ac:dyDescent="0.25">
      <c r="A745" s="7">
        <v>4.3769628612378868E-2</v>
      </c>
      <c r="B745"/>
      <c r="C745"/>
      <c r="D745"/>
      <c r="E745"/>
      <c r="F745" s="27" t="s">
        <v>7</v>
      </c>
      <c r="BW745" s="27" t="s">
        <v>8</v>
      </c>
      <c r="BX745" s="27" t="s">
        <v>7</v>
      </c>
      <c r="BY745" s="27" t="s">
        <v>8</v>
      </c>
      <c r="BZ745" s="27" t="s">
        <v>7</v>
      </c>
      <c r="CA745" s="27" t="s">
        <v>8</v>
      </c>
      <c r="CB745" s="27" t="s">
        <v>7</v>
      </c>
      <c r="CC745" s="27" t="s">
        <v>8</v>
      </c>
      <c r="CD745" s="27" t="s">
        <v>7</v>
      </c>
      <c r="CE745" s="27" t="s">
        <v>8</v>
      </c>
      <c r="CR745" s="27" t="s">
        <v>7</v>
      </c>
      <c r="DD745" s="27" t="s">
        <v>7</v>
      </c>
      <c r="DG745" s="27" t="s">
        <v>8</v>
      </c>
      <c r="DH745" s="27" t="s">
        <v>7</v>
      </c>
      <c r="DI745" s="27" t="s">
        <v>8</v>
      </c>
      <c r="DJ745" s="27" t="s">
        <v>7</v>
      </c>
      <c r="EK745" s="27" t="s">
        <v>8</v>
      </c>
      <c r="EL745" s="27" t="s">
        <v>7</v>
      </c>
      <c r="EM745" s="27" t="s">
        <v>8</v>
      </c>
      <c r="ET745" s="27" t="s">
        <v>7</v>
      </c>
      <c r="EU745" s="27" t="s">
        <v>8</v>
      </c>
      <c r="EV745" s="27" t="s">
        <v>7</v>
      </c>
      <c r="EW745" s="27" t="s">
        <v>8</v>
      </c>
      <c r="EX745" s="27" t="s">
        <v>7</v>
      </c>
      <c r="EY745" s="27" t="s">
        <v>8</v>
      </c>
      <c r="FB745" s="27" t="s">
        <v>7</v>
      </c>
      <c r="FC745" s="27" t="s">
        <v>8</v>
      </c>
      <c r="FF745" s="27" t="s">
        <v>7</v>
      </c>
      <c r="FN745" s="27" t="s">
        <v>7</v>
      </c>
    </row>
    <row r="746" spans="1:171" x14ac:dyDescent="0.25">
      <c r="A746" s="7">
        <v>4.2911400600371442E-2</v>
      </c>
      <c r="B746"/>
      <c r="C746"/>
      <c r="D746"/>
      <c r="E746"/>
      <c r="F746" s="27" t="s">
        <v>7</v>
      </c>
      <c r="BW746" s="27" t="s">
        <v>8</v>
      </c>
      <c r="BX746" s="27" t="s">
        <v>7</v>
      </c>
      <c r="BY746" s="27" t="s">
        <v>8</v>
      </c>
      <c r="BZ746" s="27" t="s">
        <v>7</v>
      </c>
      <c r="CA746" s="27" t="s">
        <v>8</v>
      </c>
      <c r="CB746" s="27" t="s">
        <v>7</v>
      </c>
      <c r="CC746" s="27" t="s">
        <v>8</v>
      </c>
      <c r="CD746" s="27" t="s">
        <v>7</v>
      </c>
      <c r="CE746" s="27" t="s">
        <v>8</v>
      </c>
      <c r="DD746" s="27" t="s">
        <v>7</v>
      </c>
      <c r="DG746" s="27" t="s">
        <v>8</v>
      </c>
      <c r="DH746" s="27" t="s">
        <v>7</v>
      </c>
      <c r="DI746" s="27" t="s">
        <v>8</v>
      </c>
      <c r="DJ746" s="27" t="s">
        <v>7</v>
      </c>
      <c r="EK746" s="27" t="s">
        <v>8</v>
      </c>
      <c r="EL746" s="27" t="s">
        <v>7</v>
      </c>
      <c r="EM746" s="27" t="s">
        <v>8</v>
      </c>
      <c r="ET746" s="27" t="s">
        <v>7</v>
      </c>
      <c r="EU746" s="27" t="s">
        <v>8</v>
      </c>
      <c r="EV746" s="27" t="s">
        <v>7</v>
      </c>
      <c r="EW746" s="27" t="s">
        <v>8</v>
      </c>
      <c r="EX746" s="27" t="s">
        <v>7</v>
      </c>
      <c r="EY746" s="27" t="s">
        <v>8</v>
      </c>
      <c r="FB746" s="27" t="s">
        <v>7</v>
      </c>
      <c r="FC746" s="27" t="s">
        <v>8</v>
      </c>
    </row>
    <row r="747" spans="1:171" x14ac:dyDescent="0.25">
      <c r="A747" s="7">
        <v>4.2070000588599457E-2</v>
      </c>
      <c r="B747"/>
      <c r="C747"/>
      <c r="D747"/>
      <c r="E747"/>
      <c r="F747" s="27" t="s">
        <v>7</v>
      </c>
      <c r="BW747" s="27" t="s">
        <v>8</v>
      </c>
      <c r="BX747" s="27" t="s">
        <v>7</v>
      </c>
      <c r="BY747" s="27" t="s">
        <v>8</v>
      </c>
      <c r="BZ747" s="27" t="s">
        <v>7</v>
      </c>
      <c r="CA747" s="27" t="s">
        <v>8</v>
      </c>
      <c r="CB747" s="27" t="s">
        <v>7</v>
      </c>
      <c r="CC747" s="27" t="s">
        <v>8</v>
      </c>
      <c r="CD747" s="27" t="s">
        <v>7</v>
      </c>
      <c r="CE747" s="27" t="s">
        <v>8</v>
      </c>
      <c r="DD747" s="27" t="s">
        <v>7</v>
      </c>
      <c r="DG747" s="27" t="s">
        <v>8</v>
      </c>
      <c r="DH747" s="27" t="s">
        <v>7</v>
      </c>
      <c r="DI747" s="27" t="s">
        <v>8</v>
      </c>
      <c r="DJ747" s="27" t="s">
        <v>7</v>
      </c>
      <c r="EK747" s="27" t="s">
        <v>8</v>
      </c>
      <c r="EL747" s="27" t="s">
        <v>7</v>
      </c>
      <c r="EM747" s="27" t="s">
        <v>8</v>
      </c>
      <c r="ET747" s="27" t="s">
        <v>7</v>
      </c>
      <c r="EV747" s="27" t="s">
        <v>7</v>
      </c>
      <c r="EW747" s="27" t="s">
        <v>8</v>
      </c>
      <c r="EX747" s="27" t="s">
        <v>7</v>
      </c>
      <c r="FB747" s="27" t="s">
        <v>7</v>
      </c>
      <c r="FC747" s="27" t="s">
        <v>8</v>
      </c>
    </row>
    <row r="748" spans="1:171" x14ac:dyDescent="0.25">
      <c r="A748" s="7">
        <v>4.1245098616273977E-2</v>
      </c>
      <c r="B748"/>
      <c r="C748"/>
      <c r="D748"/>
      <c r="E748"/>
      <c r="F748" s="27" t="s">
        <v>7</v>
      </c>
      <c r="BW748" s="27" t="s">
        <v>8</v>
      </c>
      <c r="BX748" s="27" t="s">
        <v>7</v>
      </c>
      <c r="BY748" s="27" t="s">
        <v>8</v>
      </c>
      <c r="BZ748" s="27" t="s">
        <v>7</v>
      </c>
      <c r="CA748" s="27" t="s">
        <v>8</v>
      </c>
      <c r="CB748" s="27" t="s">
        <v>7</v>
      </c>
      <c r="CC748" s="27" t="s">
        <v>8</v>
      </c>
      <c r="CD748" s="27" t="s">
        <v>7</v>
      </c>
      <c r="CE748" s="27" t="s">
        <v>8</v>
      </c>
      <c r="DD748" s="27" t="s">
        <v>7</v>
      </c>
      <c r="DE748" s="27" t="s">
        <v>8</v>
      </c>
      <c r="DG748" s="27" t="s">
        <v>8</v>
      </c>
      <c r="DH748" s="27" t="s">
        <v>7</v>
      </c>
      <c r="DI748" s="27" t="s">
        <v>8</v>
      </c>
      <c r="DJ748" s="27" t="s">
        <v>7</v>
      </c>
      <c r="EK748" s="27" t="s">
        <v>8</v>
      </c>
      <c r="EL748" s="27" t="s">
        <v>7</v>
      </c>
      <c r="EV748" s="27" t="s">
        <v>7</v>
      </c>
      <c r="EW748" s="27" t="s">
        <v>8</v>
      </c>
      <c r="FB748" s="27" t="s">
        <v>7</v>
      </c>
      <c r="FC748" s="27" t="s">
        <v>8</v>
      </c>
    </row>
    <row r="749" spans="1:171" x14ac:dyDescent="0.25">
      <c r="A749" s="7">
        <v>4.043637119242547E-2</v>
      </c>
      <c r="B749"/>
      <c r="C749"/>
      <c r="D749"/>
      <c r="E749"/>
      <c r="F749" s="27" t="s">
        <v>7</v>
      </c>
      <c r="BW749" s="27" t="s">
        <v>8</v>
      </c>
      <c r="BX749" s="27" t="s">
        <v>7</v>
      </c>
      <c r="BY749" s="27" t="s">
        <v>8</v>
      </c>
      <c r="BZ749" s="27" t="s">
        <v>7</v>
      </c>
      <c r="CA749" s="27" t="s">
        <v>8</v>
      </c>
      <c r="CB749" s="27" t="s">
        <v>7</v>
      </c>
      <c r="CD749" s="27" t="s">
        <v>7</v>
      </c>
      <c r="CE749" s="27" t="s">
        <v>8</v>
      </c>
      <c r="DD749" s="27" t="s">
        <v>7</v>
      </c>
      <c r="DE749" s="27" t="s">
        <v>8</v>
      </c>
      <c r="DF749" s="27" t="s">
        <v>7</v>
      </c>
      <c r="DG749" s="27" t="s">
        <v>8</v>
      </c>
      <c r="DH749" s="27" t="s">
        <v>7</v>
      </c>
      <c r="DI749" s="27" t="s">
        <v>8</v>
      </c>
      <c r="DJ749" s="27" t="s">
        <v>7</v>
      </c>
      <c r="DQ749" s="27" t="s">
        <v>8</v>
      </c>
      <c r="EK749" s="27" t="s">
        <v>8</v>
      </c>
      <c r="EV749" s="27" t="s">
        <v>7</v>
      </c>
      <c r="EW749" s="27" t="s">
        <v>8</v>
      </c>
      <c r="FB749" s="27" t="s">
        <v>7</v>
      </c>
    </row>
    <row r="750" spans="1:171" x14ac:dyDescent="0.25">
      <c r="A750" s="7">
        <v>3.9643501169044582E-2</v>
      </c>
      <c r="B750"/>
      <c r="C750"/>
      <c r="D750"/>
      <c r="E750"/>
      <c r="F750" s="27" t="s">
        <v>7</v>
      </c>
      <c r="BW750" s="27" t="s">
        <v>8</v>
      </c>
      <c r="BX750" s="27" t="s">
        <v>7</v>
      </c>
      <c r="BY750" s="27" t="s">
        <v>8</v>
      </c>
      <c r="BZ750" s="27" t="s">
        <v>7</v>
      </c>
      <c r="CD750" s="27" t="s">
        <v>7</v>
      </c>
      <c r="CE750" s="27" t="s">
        <v>8</v>
      </c>
      <c r="DD750" s="27" t="s">
        <v>7</v>
      </c>
      <c r="DE750" s="27" t="s">
        <v>8</v>
      </c>
      <c r="DF750" s="27" t="s">
        <v>7</v>
      </c>
      <c r="DG750" s="27" t="s">
        <v>8</v>
      </c>
      <c r="DH750" s="27" t="s">
        <v>7</v>
      </c>
      <c r="DI750" s="27" t="s">
        <v>8</v>
      </c>
      <c r="DJ750" s="27" t="s">
        <v>7</v>
      </c>
      <c r="DQ750" s="27" t="s">
        <v>8</v>
      </c>
      <c r="DR750" s="27" t="s">
        <v>7</v>
      </c>
      <c r="EE750" s="27" t="s">
        <v>8</v>
      </c>
      <c r="EK750" s="27" t="s">
        <v>8</v>
      </c>
      <c r="EV750" s="27" t="s">
        <v>7</v>
      </c>
    </row>
    <row r="751" spans="1:171" x14ac:dyDescent="0.25">
      <c r="A751" s="7">
        <v>3.8866177616710372E-2</v>
      </c>
      <c r="B751"/>
      <c r="C751"/>
      <c r="D751"/>
      <c r="E751"/>
      <c r="F751" s="27" t="s">
        <v>7</v>
      </c>
      <c r="K751" s="27" t="s">
        <v>8</v>
      </c>
      <c r="BW751" s="27" t="s">
        <v>8</v>
      </c>
      <c r="BX751" s="27" t="s">
        <v>7</v>
      </c>
      <c r="CD751" s="27" t="s">
        <v>7</v>
      </c>
      <c r="CE751" s="27" t="s">
        <v>8</v>
      </c>
      <c r="DD751" s="27" t="s">
        <v>7</v>
      </c>
      <c r="DE751" s="27" t="s">
        <v>8</v>
      </c>
      <c r="DF751" s="27" t="s">
        <v>7</v>
      </c>
      <c r="DG751" s="27" t="s">
        <v>8</v>
      </c>
      <c r="DH751" s="27" t="s">
        <v>7</v>
      </c>
      <c r="DJ751" s="27" t="s">
        <v>7</v>
      </c>
      <c r="DM751" s="27" t="s">
        <v>8</v>
      </c>
      <c r="DQ751" s="27" t="s">
        <v>8</v>
      </c>
      <c r="DR751" s="27" t="s">
        <v>7</v>
      </c>
      <c r="EE751" s="27" t="s">
        <v>8</v>
      </c>
      <c r="EF751" s="27" t="s">
        <v>7</v>
      </c>
      <c r="EI751" s="27" t="s">
        <v>8</v>
      </c>
      <c r="EK751" s="27" t="s">
        <v>8</v>
      </c>
    </row>
    <row r="752" spans="1:171" x14ac:dyDescent="0.25">
      <c r="A752" s="7">
        <v>3.8104095702657229E-2</v>
      </c>
      <c r="B752"/>
      <c r="C752"/>
      <c r="D752"/>
      <c r="E752"/>
      <c r="F752" s="27" t="s">
        <v>7</v>
      </c>
      <c r="K752" s="27" t="s">
        <v>8</v>
      </c>
      <c r="L752" s="27" t="s">
        <v>7</v>
      </c>
      <c r="BW752" s="27" t="s">
        <v>8</v>
      </c>
      <c r="CD752" s="27" t="s">
        <v>7</v>
      </c>
      <c r="CE752" s="27" t="s">
        <v>8</v>
      </c>
      <c r="DD752" s="27" t="s">
        <v>7</v>
      </c>
      <c r="DE752" s="27" t="s">
        <v>8</v>
      </c>
      <c r="DF752" s="27" t="s">
        <v>7</v>
      </c>
      <c r="DG752" s="27" t="s">
        <v>8</v>
      </c>
      <c r="DJ752" s="27" t="s">
        <v>7</v>
      </c>
      <c r="DM752" s="27" t="s">
        <v>8</v>
      </c>
      <c r="DN752" s="27" t="s">
        <v>7</v>
      </c>
      <c r="DQ752" s="27" t="s">
        <v>8</v>
      </c>
      <c r="DR752" s="27" t="s">
        <v>7</v>
      </c>
      <c r="EC752" s="27" t="s">
        <v>8</v>
      </c>
      <c r="EE752" s="27" t="s">
        <v>8</v>
      </c>
      <c r="EF752" s="27" t="s">
        <v>7</v>
      </c>
      <c r="EG752" s="27" t="s">
        <v>8</v>
      </c>
      <c r="EI752" s="27" t="s">
        <v>8</v>
      </c>
      <c r="EJ752" s="27" t="s">
        <v>7</v>
      </c>
      <c r="EK752" s="27" t="s">
        <v>8</v>
      </c>
    </row>
    <row r="753" spans="1:141" x14ac:dyDescent="0.25">
      <c r="A753" s="7">
        <v>3.7356956571232579E-2</v>
      </c>
      <c r="B753"/>
      <c r="C753"/>
      <c r="D753"/>
      <c r="E753"/>
      <c r="F753" s="27" t="s">
        <v>7</v>
      </c>
      <c r="I753" s="27" t="s">
        <v>8</v>
      </c>
      <c r="K753" s="27" t="s">
        <v>8</v>
      </c>
      <c r="L753" s="27" t="s">
        <v>7</v>
      </c>
      <c r="BW753" s="27" t="s">
        <v>8</v>
      </c>
      <c r="CD753" s="27" t="s">
        <v>7</v>
      </c>
      <c r="CE753" s="27" t="s">
        <v>8</v>
      </c>
      <c r="DD753" s="27" t="s">
        <v>7</v>
      </c>
      <c r="DF753" s="27" t="s">
        <v>7</v>
      </c>
      <c r="DG753" s="27" t="s">
        <v>8</v>
      </c>
      <c r="DJ753" s="27" t="s">
        <v>7</v>
      </c>
      <c r="DM753" s="27" t="s">
        <v>8</v>
      </c>
      <c r="DN753" s="27" t="s">
        <v>7</v>
      </c>
      <c r="DO753" s="27" t="s">
        <v>8</v>
      </c>
      <c r="DQ753" s="27" t="s">
        <v>8</v>
      </c>
      <c r="DR753" s="27" t="s">
        <v>7</v>
      </c>
      <c r="EC753" s="27" t="s">
        <v>8</v>
      </c>
      <c r="ED753" s="27" t="s">
        <v>7</v>
      </c>
      <c r="EE753" s="27" t="s">
        <v>8</v>
      </c>
      <c r="EF753" s="27" t="s">
        <v>7</v>
      </c>
      <c r="EG753" s="27" t="s">
        <v>8</v>
      </c>
      <c r="EH753" s="27" t="s">
        <v>7</v>
      </c>
      <c r="EI753" s="27" t="s">
        <v>8</v>
      </c>
      <c r="EJ753" s="27" t="s">
        <v>7</v>
      </c>
      <c r="EK753" s="27" t="s">
        <v>8</v>
      </c>
    </row>
    <row r="754" spans="1:141" x14ac:dyDescent="0.25">
      <c r="A754" s="7">
        <v>3.6624467226698605E-2</v>
      </c>
      <c r="B754"/>
      <c r="C754"/>
      <c r="D754"/>
      <c r="E754"/>
      <c r="F754" s="27" t="s">
        <v>7</v>
      </c>
      <c r="I754" s="27" t="s">
        <v>8</v>
      </c>
      <c r="J754" s="27" t="s">
        <v>7</v>
      </c>
      <c r="K754" s="27" t="s">
        <v>8</v>
      </c>
      <c r="L754" s="27" t="s">
        <v>7</v>
      </c>
      <c r="BW754" s="27" t="s">
        <v>8</v>
      </c>
      <c r="CD754" s="27" t="s">
        <v>7</v>
      </c>
      <c r="DF754" s="27" t="s">
        <v>7</v>
      </c>
      <c r="DG754" s="27" t="s">
        <v>8</v>
      </c>
      <c r="DJ754" s="27" t="s">
        <v>7</v>
      </c>
      <c r="DM754" s="27" t="s">
        <v>8</v>
      </c>
      <c r="DN754" s="27" t="s">
        <v>7</v>
      </c>
      <c r="DO754" s="27" t="s">
        <v>8</v>
      </c>
      <c r="DP754" s="27" t="s">
        <v>7</v>
      </c>
      <c r="DQ754" s="27" t="s">
        <v>8</v>
      </c>
      <c r="DR754" s="27" t="s">
        <v>7</v>
      </c>
      <c r="DY754" s="27" t="s">
        <v>8</v>
      </c>
      <c r="EC754" s="27" t="s">
        <v>8</v>
      </c>
      <c r="ED754" s="27" t="s">
        <v>7</v>
      </c>
      <c r="EE754" s="27" t="s">
        <v>8</v>
      </c>
      <c r="EF754" s="27" t="s">
        <v>7</v>
      </c>
      <c r="EG754" s="27" t="s">
        <v>8</v>
      </c>
      <c r="EH754" s="27" t="s">
        <v>7</v>
      </c>
      <c r="EI754" s="27" t="s">
        <v>8</v>
      </c>
      <c r="EJ754" s="27" t="s">
        <v>7</v>
      </c>
      <c r="EK754" s="27" t="s">
        <v>8</v>
      </c>
    </row>
    <row r="755" spans="1:141" x14ac:dyDescent="0.25">
      <c r="A755" s="7">
        <v>3.5906340418331961E-2</v>
      </c>
      <c r="B755"/>
      <c r="C755"/>
      <c r="D755"/>
      <c r="E755"/>
      <c r="F755" s="27" t="s">
        <v>7</v>
      </c>
      <c r="I755" s="27" t="s">
        <v>8</v>
      </c>
      <c r="J755" s="27" t="s">
        <v>7</v>
      </c>
      <c r="K755" s="27" t="s">
        <v>8</v>
      </c>
      <c r="L755" s="27" t="s">
        <v>7</v>
      </c>
      <c r="BW755" s="27" t="s">
        <v>8</v>
      </c>
      <c r="DF755" s="27" t="s">
        <v>7</v>
      </c>
      <c r="DG755" s="27" t="s">
        <v>8</v>
      </c>
      <c r="DJ755" s="27" t="s">
        <v>7</v>
      </c>
      <c r="DM755" s="27" t="s">
        <v>8</v>
      </c>
      <c r="DN755" s="27" t="s">
        <v>7</v>
      </c>
      <c r="DO755" s="27" t="s">
        <v>8</v>
      </c>
      <c r="DP755" s="27" t="s">
        <v>7</v>
      </c>
      <c r="DQ755" s="27" t="s">
        <v>8</v>
      </c>
      <c r="DR755" s="27" t="s">
        <v>7</v>
      </c>
      <c r="DY755" s="27" t="s">
        <v>8</v>
      </c>
      <c r="DZ755" s="27" t="s">
        <v>7</v>
      </c>
      <c r="EC755" s="27" t="s">
        <v>8</v>
      </c>
      <c r="ED755" s="27" t="s">
        <v>7</v>
      </c>
      <c r="EE755" s="27" t="s">
        <v>8</v>
      </c>
      <c r="EF755" s="27" t="s">
        <v>7</v>
      </c>
      <c r="EG755" s="27" t="s">
        <v>8</v>
      </c>
      <c r="EH755" s="27" t="s">
        <v>7</v>
      </c>
      <c r="EI755" s="27" t="s">
        <v>8</v>
      </c>
      <c r="EJ755" s="27" t="s">
        <v>7</v>
      </c>
      <c r="EK755" s="27" t="s">
        <v>8</v>
      </c>
    </row>
    <row r="756" spans="1:141" x14ac:dyDescent="0.25">
      <c r="A756" s="7">
        <v>3.5202294527776436E-2</v>
      </c>
      <c r="B756"/>
      <c r="C756"/>
      <c r="D756"/>
      <c r="E756"/>
      <c r="F756" s="27" t="s">
        <v>7</v>
      </c>
      <c r="I756" s="27" t="s">
        <v>8</v>
      </c>
      <c r="J756" s="27" t="s">
        <v>7</v>
      </c>
      <c r="K756" s="27" t="s">
        <v>8</v>
      </c>
      <c r="L756" s="27" t="s">
        <v>7</v>
      </c>
      <c r="BS756" s="27" t="s">
        <v>8</v>
      </c>
      <c r="BW756" s="27" t="s">
        <v>8</v>
      </c>
      <c r="DF756" s="27" t="s">
        <v>7</v>
      </c>
      <c r="DG756" s="27" t="s">
        <v>8</v>
      </c>
      <c r="DJ756" s="27" t="s">
        <v>7</v>
      </c>
      <c r="DK756" s="27" t="s">
        <v>8</v>
      </c>
      <c r="DM756" s="27" t="s">
        <v>8</v>
      </c>
      <c r="DN756" s="27" t="s">
        <v>7</v>
      </c>
      <c r="DO756" s="27" t="s">
        <v>8</v>
      </c>
      <c r="DP756" s="27" t="s">
        <v>7</v>
      </c>
      <c r="DQ756" s="27" t="s">
        <v>8</v>
      </c>
      <c r="DR756" s="27" t="s">
        <v>7</v>
      </c>
      <c r="DW756" s="27" t="s">
        <v>8</v>
      </c>
      <c r="DY756" s="27" t="s">
        <v>8</v>
      </c>
      <c r="DZ756" s="27" t="s">
        <v>7</v>
      </c>
      <c r="EC756" s="27" t="s">
        <v>8</v>
      </c>
      <c r="ED756" s="27" t="s">
        <v>7</v>
      </c>
      <c r="EE756" s="27" t="s">
        <v>8</v>
      </c>
      <c r="EF756" s="27" t="s">
        <v>7</v>
      </c>
      <c r="EG756" s="27" t="s">
        <v>8</v>
      </c>
      <c r="EH756" s="27" t="s">
        <v>7</v>
      </c>
      <c r="EI756" s="27" t="s">
        <v>8</v>
      </c>
      <c r="EJ756" s="27" t="s">
        <v>7</v>
      </c>
      <c r="EK756" s="27" t="s">
        <v>8</v>
      </c>
    </row>
    <row r="757" spans="1:141" x14ac:dyDescent="0.25">
      <c r="A757" s="7">
        <v>3.451205345860435E-2</v>
      </c>
      <c r="B757"/>
      <c r="C757"/>
      <c r="D757"/>
      <c r="E757"/>
      <c r="F757" s="27" t="s">
        <v>7</v>
      </c>
      <c r="I757" s="27" t="s">
        <v>8</v>
      </c>
      <c r="J757" s="27" t="s">
        <v>7</v>
      </c>
      <c r="K757" s="27" t="s">
        <v>8</v>
      </c>
      <c r="L757" s="27" t="s">
        <v>7</v>
      </c>
      <c r="BS757" s="27" t="s">
        <v>8</v>
      </c>
      <c r="BT757" s="27" t="s">
        <v>7</v>
      </c>
      <c r="BW757" s="27" t="s">
        <v>8</v>
      </c>
      <c r="DF757" s="27" t="s">
        <v>7</v>
      </c>
      <c r="DG757" s="27" t="s">
        <v>8</v>
      </c>
      <c r="DJ757" s="27" t="s">
        <v>7</v>
      </c>
      <c r="DK757" s="27" t="s">
        <v>8</v>
      </c>
      <c r="DL757" s="27" t="s">
        <v>7</v>
      </c>
      <c r="DM757" s="27" t="s">
        <v>8</v>
      </c>
      <c r="DN757" s="27" t="s">
        <v>7</v>
      </c>
      <c r="DO757" s="27" t="s">
        <v>8</v>
      </c>
      <c r="DP757" s="27" t="s">
        <v>7</v>
      </c>
      <c r="DQ757" s="27" t="s">
        <v>8</v>
      </c>
      <c r="DR757" s="27" t="s">
        <v>7</v>
      </c>
      <c r="DW757" s="27" t="s">
        <v>8</v>
      </c>
      <c r="DX757" s="27" t="s">
        <v>7</v>
      </c>
      <c r="DY757" s="27" t="s">
        <v>8</v>
      </c>
      <c r="DZ757" s="27" t="s">
        <v>7</v>
      </c>
      <c r="EC757" s="27" t="s">
        <v>8</v>
      </c>
      <c r="ED757" s="27" t="s">
        <v>7</v>
      </c>
      <c r="EE757" s="27" t="s">
        <v>8</v>
      </c>
      <c r="EF757" s="27" t="s">
        <v>7</v>
      </c>
      <c r="EG757" s="27" t="s">
        <v>8</v>
      </c>
      <c r="EH757" s="27" t="s">
        <v>7</v>
      </c>
      <c r="EI757" s="27" t="s">
        <v>8</v>
      </c>
      <c r="EJ757" s="27" t="s">
        <v>7</v>
      </c>
    </row>
    <row r="758" spans="1:141" x14ac:dyDescent="0.25">
      <c r="A758" s="7">
        <v>3.3835346528043479E-2</v>
      </c>
      <c r="B758"/>
      <c r="C758"/>
      <c r="D758"/>
      <c r="E758"/>
      <c r="F758" s="27" t="s">
        <v>7</v>
      </c>
      <c r="I758" s="27" t="s">
        <v>8</v>
      </c>
      <c r="J758" s="27" t="s">
        <v>7</v>
      </c>
      <c r="K758" s="27" t="s">
        <v>8</v>
      </c>
      <c r="L758" s="27" t="s">
        <v>7</v>
      </c>
      <c r="BS758" s="27" t="s">
        <v>8</v>
      </c>
      <c r="BT758" s="27" t="s">
        <v>7</v>
      </c>
      <c r="BW758" s="27" t="s">
        <v>8</v>
      </c>
      <c r="DF758" s="27" t="s">
        <v>7</v>
      </c>
      <c r="DG758" s="27" t="s">
        <v>8</v>
      </c>
      <c r="DJ758" s="27" t="s">
        <v>7</v>
      </c>
      <c r="DK758" s="27" t="s">
        <v>8</v>
      </c>
      <c r="DL758" s="27" t="s">
        <v>7</v>
      </c>
      <c r="DM758" s="27" t="s">
        <v>8</v>
      </c>
      <c r="DN758" s="27" t="s">
        <v>7</v>
      </c>
      <c r="DO758" s="27" t="s">
        <v>8</v>
      </c>
      <c r="DP758" s="27" t="s">
        <v>7</v>
      </c>
      <c r="DR758" s="27" t="s">
        <v>7</v>
      </c>
      <c r="DU758" s="27" t="s">
        <v>8</v>
      </c>
      <c r="DW758" s="27" t="s">
        <v>8</v>
      </c>
      <c r="DX758" s="27" t="s">
        <v>7</v>
      </c>
      <c r="DY758" s="27" t="s">
        <v>8</v>
      </c>
      <c r="DZ758" s="27" t="s">
        <v>7</v>
      </c>
      <c r="EC758" s="27" t="s">
        <v>8</v>
      </c>
      <c r="ED758" s="27" t="s">
        <v>7</v>
      </c>
      <c r="EE758" s="27" t="s">
        <v>8</v>
      </c>
      <c r="EF758" s="27" t="s">
        <v>7</v>
      </c>
      <c r="EG758" s="27" t="s">
        <v>8</v>
      </c>
      <c r="EH758" s="27" t="s">
        <v>7</v>
      </c>
    </row>
    <row r="759" spans="1:141" x14ac:dyDescent="0.25">
      <c r="A759" s="7">
        <v>3.3171908360826938E-2</v>
      </c>
      <c r="B759"/>
      <c r="C759"/>
      <c r="D759"/>
      <c r="E759"/>
      <c r="F759" s="27" t="s">
        <v>7</v>
      </c>
      <c r="I759" s="27" t="s">
        <v>8</v>
      </c>
      <c r="J759" s="27" t="s">
        <v>7</v>
      </c>
      <c r="K759" s="27" t="s">
        <v>8</v>
      </c>
      <c r="L759" s="27" t="s">
        <v>7</v>
      </c>
      <c r="BS759" s="27" t="s">
        <v>8</v>
      </c>
      <c r="BT759" s="27" t="s">
        <v>7</v>
      </c>
      <c r="BW759" s="27" t="s">
        <v>8</v>
      </c>
      <c r="DF759" s="27" t="s">
        <v>7</v>
      </c>
      <c r="DJ759" s="27" t="s">
        <v>7</v>
      </c>
      <c r="DK759" s="27" t="s">
        <v>8</v>
      </c>
      <c r="DL759" s="27" t="s">
        <v>7</v>
      </c>
      <c r="DN759" s="27" t="s">
        <v>7</v>
      </c>
      <c r="DO759" s="27" t="s">
        <v>8</v>
      </c>
      <c r="DR759" s="27" t="s">
        <v>7</v>
      </c>
      <c r="DS759" s="27" t="s">
        <v>8</v>
      </c>
      <c r="DU759" s="27" t="s">
        <v>8</v>
      </c>
      <c r="DV759" s="27" t="s">
        <v>7</v>
      </c>
      <c r="DW759" s="27" t="s">
        <v>8</v>
      </c>
      <c r="DX759" s="27" t="s">
        <v>7</v>
      </c>
      <c r="DY759" s="27" t="s">
        <v>8</v>
      </c>
      <c r="DZ759" s="27" t="s">
        <v>7</v>
      </c>
      <c r="EC759" s="27" t="s">
        <v>8</v>
      </c>
      <c r="ED759" s="27" t="s">
        <v>7</v>
      </c>
      <c r="EE759" s="27" t="s">
        <v>8</v>
      </c>
      <c r="EF759" s="27" t="s">
        <v>7</v>
      </c>
    </row>
    <row r="760" spans="1:141" x14ac:dyDescent="0.25">
      <c r="A760" s="7">
        <v>3.2521478785124451E-2</v>
      </c>
      <c r="B760"/>
      <c r="C760"/>
      <c r="D760"/>
      <c r="E760"/>
      <c r="F760" s="27" t="s">
        <v>7</v>
      </c>
      <c r="I760" s="27" t="s">
        <v>8</v>
      </c>
      <c r="J760" s="27" t="s">
        <v>7</v>
      </c>
      <c r="K760" s="27" t="s">
        <v>8</v>
      </c>
      <c r="L760" s="27" t="s">
        <v>7</v>
      </c>
      <c r="BQ760" s="27" t="s">
        <v>8</v>
      </c>
      <c r="BS760" s="27" t="s">
        <v>8</v>
      </c>
      <c r="BT760" s="27" t="s">
        <v>7</v>
      </c>
      <c r="BU760" s="27" t="s">
        <v>8</v>
      </c>
      <c r="BW760" s="27" t="s">
        <v>8</v>
      </c>
      <c r="DJ760" s="27" t="s">
        <v>7</v>
      </c>
      <c r="DN760" s="27" t="s">
        <v>7</v>
      </c>
      <c r="DO760" s="27" t="s">
        <v>8</v>
      </c>
      <c r="DR760" s="27" t="s">
        <v>7</v>
      </c>
      <c r="DS760" s="27" t="s">
        <v>8</v>
      </c>
      <c r="DT760" s="27" t="s">
        <v>7</v>
      </c>
      <c r="DU760" s="27" t="s">
        <v>8</v>
      </c>
      <c r="DV760" s="27" t="s">
        <v>7</v>
      </c>
      <c r="DW760" s="27" t="s">
        <v>8</v>
      </c>
      <c r="DX760" s="27" t="s">
        <v>7</v>
      </c>
      <c r="DZ760" s="27" t="s">
        <v>7</v>
      </c>
      <c r="EC760" s="27" t="s">
        <v>8</v>
      </c>
      <c r="ED760" s="27" t="s">
        <v>7</v>
      </c>
      <c r="EE760" s="27" t="s">
        <v>8</v>
      </c>
    </row>
    <row r="761" spans="1:141" x14ac:dyDescent="0.25">
      <c r="A761" s="7">
        <v>3.1883802730514173E-2</v>
      </c>
      <c r="B761"/>
      <c r="C761"/>
      <c r="D761"/>
      <c r="E761"/>
      <c r="F761" s="27" t="s">
        <v>7</v>
      </c>
      <c r="I761" s="27" t="s">
        <v>8</v>
      </c>
      <c r="J761" s="27" t="s">
        <v>7</v>
      </c>
      <c r="L761" s="27" t="s">
        <v>7</v>
      </c>
      <c r="BQ761" s="27" t="s">
        <v>8</v>
      </c>
      <c r="BR761" s="27" t="s">
        <v>7</v>
      </c>
      <c r="BS761" s="27" t="s">
        <v>8</v>
      </c>
      <c r="BT761" s="27" t="s">
        <v>7</v>
      </c>
      <c r="BU761" s="27" t="s">
        <v>8</v>
      </c>
      <c r="BV761" s="27" t="s">
        <v>7</v>
      </c>
      <c r="BW761" s="27" t="s">
        <v>8</v>
      </c>
      <c r="DN761" s="27" t="s">
        <v>7</v>
      </c>
      <c r="DO761" s="27" t="s">
        <v>8</v>
      </c>
      <c r="DR761" s="27" t="s">
        <v>7</v>
      </c>
      <c r="DS761" s="27" t="s">
        <v>8</v>
      </c>
      <c r="DT761" s="27" t="s">
        <v>7</v>
      </c>
      <c r="DU761" s="27" t="s">
        <v>8</v>
      </c>
      <c r="DV761" s="27" t="s">
        <v>7</v>
      </c>
      <c r="DW761" s="27" t="s">
        <v>8</v>
      </c>
      <c r="DZ761" s="27" t="s">
        <v>7</v>
      </c>
      <c r="EA761" s="27" t="s">
        <v>8</v>
      </c>
      <c r="EC761" s="27" t="s">
        <v>8</v>
      </c>
      <c r="ED761" s="27" t="s">
        <v>7</v>
      </c>
    </row>
    <row r="762" spans="1:141" x14ac:dyDescent="0.25">
      <c r="A762" s="7">
        <v>3.1258630127955073E-2</v>
      </c>
      <c r="B762"/>
      <c r="C762"/>
      <c r="D762"/>
      <c r="E762"/>
      <c r="F762" s="27" t="s">
        <v>7</v>
      </c>
      <c r="I762" s="27" t="s">
        <v>8</v>
      </c>
      <c r="L762" s="27" t="s">
        <v>7</v>
      </c>
      <c r="BQ762" s="27" t="s">
        <v>8</v>
      </c>
      <c r="BR762" s="27" t="s">
        <v>7</v>
      </c>
      <c r="BS762" s="27" t="s">
        <v>8</v>
      </c>
      <c r="BT762" s="27" t="s">
        <v>7</v>
      </c>
      <c r="BU762" s="27" t="s">
        <v>8</v>
      </c>
      <c r="BV762" s="27" t="s">
        <v>7</v>
      </c>
      <c r="BW762" s="27" t="s">
        <v>8</v>
      </c>
      <c r="DN762" s="27" t="s">
        <v>7</v>
      </c>
      <c r="DO762" s="27" t="s">
        <v>8</v>
      </c>
      <c r="DR762" s="27" t="s">
        <v>7</v>
      </c>
      <c r="DS762" s="27" t="s">
        <v>8</v>
      </c>
      <c r="DT762" s="27" t="s">
        <v>7</v>
      </c>
      <c r="DU762" s="27" t="s">
        <v>8</v>
      </c>
      <c r="DV762" s="27" t="s">
        <v>7</v>
      </c>
      <c r="DW762" s="27" t="s">
        <v>8</v>
      </c>
      <c r="DZ762" s="27" t="s">
        <v>7</v>
      </c>
      <c r="EA762" s="27" t="s">
        <v>8</v>
      </c>
      <c r="EB762" s="27" t="s">
        <v>7</v>
      </c>
      <c r="EC762" s="27" t="s">
        <v>8</v>
      </c>
    </row>
    <row r="763" spans="1:141" x14ac:dyDescent="0.25">
      <c r="A763" s="7">
        <v>3.064571581172066E-2</v>
      </c>
      <c r="B763"/>
      <c r="C763"/>
      <c r="D763"/>
      <c r="E763"/>
      <c r="F763" s="27" t="s">
        <v>7</v>
      </c>
      <c r="I763" s="27" t="s">
        <v>8</v>
      </c>
      <c r="L763" s="27" t="s">
        <v>7</v>
      </c>
      <c r="BQ763" s="27" t="s">
        <v>8</v>
      </c>
      <c r="BR763" s="27" t="s">
        <v>7</v>
      </c>
      <c r="BS763" s="27" t="s">
        <v>8</v>
      </c>
      <c r="BT763" s="27" t="s">
        <v>7</v>
      </c>
      <c r="BU763" s="27" t="s">
        <v>8</v>
      </c>
      <c r="BV763" s="27" t="s">
        <v>7</v>
      </c>
      <c r="BW763" s="27" t="s">
        <v>8</v>
      </c>
      <c r="DN763" s="27" t="s">
        <v>7</v>
      </c>
      <c r="DO763" s="27" t="s">
        <v>8</v>
      </c>
      <c r="DR763" s="27" t="s">
        <v>7</v>
      </c>
      <c r="DS763" s="27" t="s">
        <v>8</v>
      </c>
      <c r="DT763" s="27" t="s">
        <v>7</v>
      </c>
      <c r="DU763" s="27" t="s">
        <v>8</v>
      </c>
      <c r="DV763" s="27" t="s">
        <v>7</v>
      </c>
      <c r="DZ763" s="27" t="s">
        <v>7</v>
      </c>
      <c r="EA763" s="27" t="s">
        <v>8</v>
      </c>
      <c r="EB763" s="27" t="s">
        <v>7</v>
      </c>
      <c r="EC763" s="27" t="s">
        <v>8</v>
      </c>
    </row>
    <row r="764" spans="1:141" x14ac:dyDescent="0.25">
      <c r="A764" s="7">
        <v>3.0044819423255549E-2</v>
      </c>
      <c r="B764"/>
      <c r="C764"/>
      <c r="D764"/>
      <c r="E764"/>
      <c r="F764" s="27" t="s">
        <v>7</v>
      </c>
      <c r="I764" s="27" t="s">
        <v>8</v>
      </c>
      <c r="L764" s="27" t="s">
        <v>7</v>
      </c>
      <c r="BQ764" s="27" t="s">
        <v>8</v>
      </c>
      <c r="BR764" s="27" t="s">
        <v>7</v>
      </c>
      <c r="BS764" s="27" t="s">
        <v>8</v>
      </c>
      <c r="BT764" s="27" t="s">
        <v>7</v>
      </c>
      <c r="BU764" s="27" t="s">
        <v>8</v>
      </c>
      <c r="BV764" s="27" t="s">
        <v>7</v>
      </c>
      <c r="DN764" s="27" t="s">
        <v>7</v>
      </c>
      <c r="DO764" s="27" t="s">
        <v>8</v>
      </c>
      <c r="DR764" s="27" t="s">
        <v>7</v>
      </c>
      <c r="DT764" s="27" t="s">
        <v>7</v>
      </c>
      <c r="DU764" s="27" t="s">
        <v>8</v>
      </c>
      <c r="DZ764" s="27" t="s">
        <v>7</v>
      </c>
      <c r="EA764" s="27" t="s">
        <v>8</v>
      </c>
      <c r="EB764" s="27" t="s">
        <v>7</v>
      </c>
      <c r="EC764" s="27" t="s">
        <v>8</v>
      </c>
    </row>
    <row r="765" spans="1:141" x14ac:dyDescent="0.25">
      <c r="A765" s="7">
        <v>2.9455705316917203E-2</v>
      </c>
      <c r="B765"/>
      <c r="C765"/>
      <c r="D765"/>
      <c r="E765"/>
      <c r="F765" s="27" t="s">
        <v>7</v>
      </c>
      <c r="I765" s="27" t="s">
        <v>8</v>
      </c>
      <c r="L765" s="27" t="s">
        <v>7</v>
      </c>
      <c r="BI765" s="27" t="s">
        <v>8</v>
      </c>
      <c r="BQ765" s="27" t="s">
        <v>8</v>
      </c>
      <c r="BR765" s="27" t="s">
        <v>7</v>
      </c>
      <c r="BS765" s="27" t="s">
        <v>8</v>
      </c>
      <c r="BT765" s="27" t="s">
        <v>7</v>
      </c>
      <c r="DN765" s="27" t="s">
        <v>7</v>
      </c>
      <c r="DO765" s="27" t="s">
        <v>8</v>
      </c>
      <c r="DT765" s="27" t="s">
        <v>7</v>
      </c>
      <c r="DU765" s="27" t="s">
        <v>8</v>
      </c>
      <c r="DZ765" s="27" t="s">
        <v>7</v>
      </c>
      <c r="EA765" s="27" t="s">
        <v>8</v>
      </c>
      <c r="EB765" s="27" t="s">
        <v>7</v>
      </c>
      <c r="EC765" s="27" t="s">
        <v>8</v>
      </c>
    </row>
    <row r="766" spans="1:141" x14ac:dyDescent="0.25">
      <c r="A766" s="7">
        <v>2.8878142467565884E-2</v>
      </c>
      <c r="B766"/>
      <c r="C766"/>
      <c r="D766"/>
      <c r="E766"/>
      <c r="F766" s="27" t="s">
        <v>7</v>
      </c>
      <c r="I766" s="27" t="s">
        <v>8</v>
      </c>
      <c r="L766" s="27" t="s">
        <v>7</v>
      </c>
      <c r="BI766" s="27" t="s">
        <v>8</v>
      </c>
      <c r="BJ766" s="27" t="s">
        <v>7</v>
      </c>
      <c r="BK766" s="27" t="s">
        <v>8</v>
      </c>
      <c r="BQ766" s="27" t="s">
        <v>8</v>
      </c>
      <c r="BR766" s="27" t="s">
        <v>7</v>
      </c>
      <c r="BS766" s="27" t="s">
        <v>8</v>
      </c>
      <c r="DN766" s="27" t="s">
        <v>7</v>
      </c>
      <c r="DO766" s="27" t="s">
        <v>8</v>
      </c>
      <c r="DT766" s="27" t="s">
        <v>7</v>
      </c>
      <c r="DZ766" s="27" t="s">
        <v>7</v>
      </c>
      <c r="EA766" s="27" t="s">
        <v>8</v>
      </c>
      <c r="EB766" s="27" t="s">
        <v>7</v>
      </c>
      <c r="EC766" s="27" t="s">
        <v>8</v>
      </c>
    </row>
    <row r="767" spans="1:141" x14ac:dyDescent="0.25">
      <c r="A767" s="7">
        <v>2.8311904379966554E-2</v>
      </c>
      <c r="B767"/>
      <c r="C767"/>
      <c r="D767"/>
      <c r="E767"/>
      <c r="F767" s="27" t="s">
        <v>7</v>
      </c>
      <c r="I767" s="27" t="s">
        <v>8</v>
      </c>
      <c r="L767" s="27" t="s">
        <v>7</v>
      </c>
      <c r="BI767" s="27" t="s">
        <v>8</v>
      </c>
      <c r="BJ767" s="27" t="s">
        <v>7</v>
      </c>
      <c r="BK767" s="27" t="s">
        <v>8</v>
      </c>
      <c r="BL767" s="27" t="s">
        <v>7</v>
      </c>
      <c r="BQ767" s="27" t="s">
        <v>8</v>
      </c>
      <c r="BR767" s="27" t="s">
        <v>7</v>
      </c>
      <c r="DN767" s="27" t="s">
        <v>7</v>
      </c>
      <c r="DZ767" s="27" t="s">
        <v>7</v>
      </c>
      <c r="EA767" s="27" t="s">
        <v>8</v>
      </c>
      <c r="EB767" s="27" t="s">
        <v>7</v>
      </c>
      <c r="EC767" s="27" t="s">
        <v>8</v>
      </c>
    </row>
    <row r="768" spans="1:141" x14ac:dyDescent="0.25">
      <c r="A768" s="7">
        <v>2.7756768999967207E-2</v>
      </c>
      <c r="B768"/>
      <c r="C768"/>
      <c r="D768"/>
      <c r="E768"/>
      <c r="F768" s="27" t="s">
        <v>7</v>
      </c>
      <c r="I768" s="27" t="s">
        <v>8</v>
      </c>
      <c r="L768" s="27" t="s">
        <v>7</v>
      </c>
      <c r="BI768" s="27" t="s">
        <v>8</v>
      </c>
      <c r="BJ768" s="27" t="s">
        <v>7</v>
      </c>
      <c r="BK768" s="27" t="s">
        <v>8</v>
      </c>
      <c r="BL768" s="27" t="s">
        <v>7</v>
      </c>
      <c r="BQ768" s="27" t="s">
        <v>8</v>
      </c>
      <c r="DZ768" s="27" t="s">
        <v>7</v>
      </c>
      <c r="EA768" s="27" t="s">
        <v>8</v>
      </c>
      <c r="EB768" s="27" t="s">
        <v>7</v>
      </c>
      <c r="EC768" s="27" t="s">
        <v>8</v>
      </c>
    </row>
    <row r="769" spans="1:133" x14ac:dyDescent="0.25">
      <c r="A769" s="7">
        <v>2.7212518627418834E-2</v>
      </c>
      <c r="B769"/>
      <c r="C769"/>
      <c r="D769"/>
      <c r="E769"/>
      <c r="F769" s="27" t="s">
        <v>7</v>
      </c>
      <c r="I769" s="27" t="s">
        <v>8</v>
      </c>
      <c r="L769" s="27" t="s">
        <v>7</v>
      </c>
      <c r="BI769" s="27" t="s">
        <v>8</v>
      </c>
      <c r="BJ769" s="27" t="s">
        <v>7</v>
      </c>
      <c r="BK769" s="27" t="s">
        <v>8</v>
      </c>
      <c r="BL769" s="27" t="s">
        <v>7</v>
      </c>
      <c r="BQ769" s="27" t="s">
        <v>8</v>
      </c>
      <c r="DZ769" s="27" t="s">
        <v>7</v>
      </c>
      <c r="EA769" s="27" t="s">
        <v>8</v>
      </c>
      <c r="EB769" s="27" t="s">
        <v>7</v>
      </c>
      <c r="EC769" s="27" t="s">
        <v>8</v>
      </c>
    </row>
    <row r="770" spans="1:133" x14ac:dyDescent="0.25">
      <c r="A770" s="7">
        <v>2.6678939830802779E-2</v>
      </c>
      <c r="B770"/>
      <c r="C770"/>
      <c r="D770"/>
      <c r="E770"/>
      <c r="F770" s="27" t="s">
        <v>7</v>
      </c>
      <c r="I770" s="27" t="s">
        <v>8</v>
      </c>
      <c r="L770" s="27" t="s">
        <v>7</v>
      </c>
      <c r="BI770" s="27" t="s">
        <v>8</v>
      </c>
      <c r="BJ770" s="27" t="s">
        <v>7</v>
      </c>
      <c r="BK770" s="27" t="s">
        <v>8</v>
      </c>
      <c r="BL770" s="27" t="s">
        <v>7</v>
      </c>
      <c r="BO770" s="27" t="s">
        <v>8</v>
      </c>
      <c r="BQ770" s="27" t="s">
        <v>8</v>
      </c>
      <c r="DZ770" s="27" t="s">
        <v>7</v>
      </c>
      <c r="EA770" s="27" t="s">
        <v>8</v>
      </c>
      <c r="EB770" s="27" t="s">
        <v>7</v>
      </c>
      <c r="EC770" s="27" t="s">
        <v>8</v>
      </c>
    </row>
    <row r="771" spans="1:133" x14ac:dyDescent="0.25">
      <c r="A771" s="7">
        <v>2.615582336353214E-2</v>
      </c>
      <c r="B771"/>
      <c r="C771"/>
      <c r="D771"/>
      <c r="E771"/>
      <c r="F771" s="27" t="s">
        <v>7</v>
      </c>
      <c r="I771" s="27" t="s">
        <v>8</v>
      </c>
      <c r="L771" s="27" t="s">
        <v>7</v>
      </c>
      <c r="BI771" s="27" t="s">
        <v>8</v>
      </c>
      <c r="BJ771" s="27" t="s">
        <v>7</v>
      </c>
      <c r="BK771" s="27" t="s">
        <v>8</v>
      </c>
      <c r="BL771" s="27" t="s">
        <v>7</v>
      </c>
      <c r="BM771" s="27" t="s">
        <v>8</v>
      </c>
      <c r="BO771" s="27" t="s">
        <v>8</v>
      </c>
      <c r="BP771" s="27" t="s">
        <v>7</v>
      </c>
      <c r="BQ771" s="27" t="s">
        <v>8</v>
      </c>
      <c r="DZ771" s="27" t="s">
        <v>7</v>
      </c>
      <c r="EB771" s="27" t="s">
        <v>7</v>
      </c>
    </row>
    <row r="772" spans="1:133" x14ac:dyDescent="0.25">
      <c r="A772" s="7">
        <v>2.5642964081894253E-2</v>
      </c>
      <c r="B772"/>
      <c r="C772"/>
      <c r="D772"/>
      <c r="E772"/>
      <c r="F772" s="27" t="s">
        <v>7</v>
      </c>
      <c r="I772" s="27" t="s">
        <v>8</v>
      </c>
      <c r="L772" s="27" t="s">
        <v>7</v>
      </c>
      <c r="BC772" s="27" t="s">
        <v>8</v>
      </c>
      <c r="BG772" s="27" t="s">
        <v>8</v>
      </c>
      <c r="BI772" s="27" t="s">
        <v>8</v>
      </c>
      <c r="BJ772" s="27" t="s">
        <v>7</v>
      </c>
      <c r="BK772" s="27" t="s">
        <v>8</v>
      </c>
      <c r="BL772" s="27" t="s">
        <v>7</v>
      </c>
      <c r="BM772" s="27" t="s">
        <v>8</v>
      </c>
      <c r="BN772" s="27" t="s">
        <v>7</v>
      </c>
      <c r="BO772" s="27" t="s">
        <v>8</v>
      </c>
      <c r="BP772" s="27" t="s">
        <v>7</v>
      </c>
      <c r="BQ772" s="27" t="s">
        <v>8</v>
      </c>
    </row>
    <row r="773" spans="1:133" x14ac:dyDescent="0.25">
      <c r="A773" s="7">
        <v>2.5140160864602207E-2</v>
      </c>
      <c r="B773"/>
      <c r="C773"/>
      <c r="D773"/>
      <c r="E773"/>
      <c r="F773" s="27" t="s">
        <v>7</v>
      </c>
      <c r="I773" s="27" t="s">
        <v>8</v>
      </c>
      <c r="L773" s="27" t="s">
        <v>7</v>
      </c>
      <c r="AU773" s="27" t="s">
        <v>8</v>
      </c>
      <c r="AY773" s="27" t="s">
        <v>8</v>
      </c>
      <c r="BC773" s="27" t="s">
        <v>8</v>
      </c>
      <c r="BD773" s="27" t="s">
        <v>7</v>
      </c>
      <c r="BE773" s="27" t="s">
        <v>8</v>
      </c>
      <c r="BG773" s="27" t="s">
        <v>8</v>
      </c>
      <c r="BH773" s="27" t="s">
        <v>7</v>
      </c>
      <c r="BI773" s="27" t="s">
        <v>8</v>
      </c>
      <c r="BJ773" s="27" t="s">
        <v>7</v>
      </c>
      <c r="BK773" s="27" t="s">
        <v>8</v>
      </c>
      <c r="BL773" s="27" t="s">
        <v>7</v>
      </c>
      <c r="BM773" s="27" t="s">
        <v>8</v>
      </c>
      <c r="BN773" s="27" t="s">
        <v>7</v>
      </c>
      <c r="BO773" s="27" t="s">
        <v>8</v>
      </c>
      <c r="BP773" s="27" t="s">
        <v>7</v>
      </c>
      <c r="BQ773" s="27" t="s">
        <v>8</v>
      </c>
    </row>
    <row r="774" spans="1:133" x14ac:dyDescent="0.25">
      <c r="A774" s="7">
        <v>2.4647216533923735E-2</v>
      </c>
      <c r="B774"/>
      <c r="C774"/>
      <c r="D774"/>
      <c r="E774"/>
      <c r="F774" s="27" t="s">
        <v>7</v>
      </c>
      <c r="I774" s="27" t="s">
        <v>8</v>
      </c>
      <c r="L774" s="27" t="s">
        <v>7</v>
      </c>
      <c r="AU774" s="27" t="s">
        <v>8</v>
      </c>
      <c r="AV774" s="27" t="s">
        <v>7</v>
      </c>
      <c r="AY774" s="27" t="s">
        <v>8</v>
      </c>
      <c r="AZ774" s="27" t="s">
        <v>7</v>
      </c>
      <c r="BC774" s="27" t="s">
        <v>8</v>
      </c>
      <c r="BD774" s="27" t="s">
        <v>7</v>
      </c>
      <c r="BE774" s="27" t="s">
        <v>8</v>
      </c>
      <c r="BF774" s="27" t="s">
        <v>7</v>
      </c>
      <c r="BG774" s="27" t="s">
        <v>8</v>
      </c>
      <c r="BH774" s="27" t="s">
        <v>7</v>
      </c>
      <c r="BI774" s="27" t="s">
        <v>8</v>
      </c>
      <c r="BJ774" s="27" t="s">
        <v>7</v>
      </c>
      <c r="BK774" s="27" t="s">
        <v>8</v>
      </c>
      <c r="BL774" s="27" t="s">
        <v>7</v>
      </c>
      <c r="BM774" s="27" t="s">
        <v>8</v>
      </c>
      <c r="BN774" s="27" t="s">
        <v>7</v>
      </c>
      <c r="BO774" s="27" t="s">
        <v>8</v>
      </c>
      <c r="BP774" s="27" t="s">
        <v>7</v>
      </c>
    </row>
    <row r="775" spans="1:133" x14ac:dyDescent="0.25">
      <c r="A775" s="7">
        <v>2.4163937778356601E-2</v>
      </c>
      <c r="B775"/>
      <c r="C775"/>
      <c r="D775"/>
      <c r="E775"/>
      <c r="F775" s="27" t="s">
        <v>7</v>
      </c>
      <c r="I775" s="27" t="s">
        <v>8</v>
      </c>
      <c r="L775" s="27" t="s">
        <v>7</v>
      </c>
      <c r="AI775" s="27" t="s">
        <v>8</v>
      </c>
      <c r="AU775" s="27" t="s">
        <v>8</v>
      </c>
      <c r="AV775" s="27" t="s">
        <v>7</v>
      </c>
      <c r="AW775" s="27" t="s">
        <v>8</v>
      </c>
      <c r="AY775" s="27" t="s">
        <v>8</v>
      </c>
      <c r="AZ775" s="27" t="s">
        <v>7</v>
      </c>
      <c r="BC775" s="27" t="s">
        <v>8</v>
      </c>
      <c r="BD775" s="27" t="s">
        <v>7</v>
      </c>
      <c r="BE775" s="27" t="s">
        <v>8</v>
      </c>
      <c r="BF775" s="27" t="s">
        <v>7</v>
      </c>
      <c r="BG775" s="27" t="s">
        <v>8</v>
      </c>
      <c r="BH775" s="27" t="s">
        <v>7</v>
      </c>
      <c r="BI775" s="27" t="s">
        <v>8</v>
      </c>
      <c r="BJ775" s="27" t="s">
        <v>7</v>
      </c>
      <c r="BK775" s="27" t="s">
        <v>8</v>
      </c>
      <c r="BL775" s="27" t="s">
        <v>7</v>
      </c>
      <c r="BN775" s="27" t="s">
        <v>7</v>
      </c>
    </row>
    <row r="776" spans="1:133" x14ac:dyDescent="0.25">
      <c r="A776" s="7">
        <v>2.3690135076820197E-2</v>
      </c>
      <c r="B776"/>
      <c r="C776"/>
      <c r="D776"/>
      <c r="E776"/>
      <c r="F776" s="27" t="s">
        <v>7</v>
      </c>
      <c r="I776" s="27" t="s">
        <v>8</v>
      </c>
      <c r="L776" s="27" t="s">
        <v>7</v>
      </c>
      <c r="AI776" s="27" t="s">
        <v>8</v>
      </c>
      <c r="AJ776" s="27" t="s">
        <v>7</v>
      </c>
      <c r="AU776" s="27" t="s">
        <v>8</v>
      </c>
      <c r="AV776" s="27" t="s">
        <v>7</v>
      </c>
      <c r="AW776" s="27" t="s">
        <v>8</v>
      </c>
      <c r="AX776" s="27" t="s">
        <v>7</v>
      </c>
      <c r="AY776" s="27" t="s">
        <v>8</v>
      </c>
      <c r="AZ776" s="27" t="s">
        <v>7</v>
      </c>
      <c r="BC776" s="27" t="s">
        <v>8</v>
      </c>
      <c r="BD776" s="27" t="s">
        <v>7</v>
      </c>
      <c r="BF776" s="27" t="s">
        <v>7</v>
      </c>
      <c r="BG776" s="27" t="s">
        <v>8</v>
      </c>
      <c r="BH776" s="27" t="s">
        <v>7</v>
      </c>
      <c r="BI776" s="27" t="s">
        <v>8</v>
      </c>
      <c r="BJ776" s="27" t="s">
        <v>7</v>
      </c>
      <c r="BK776" s="27" t="s">
        <v>8</v>
      </c>
    </row>
    <row r="777" spans="1:133" x14ac:dyDescent="0.25">
      <c r="A777" s="7">
        <v>2.3225622624333527E-2</v>
      </c>
      <c r="B777"/>
      <c r="C777"/>
      <c r="D777"/>
      <c r="E777"/>
      <c r="F777" s="27" t="s">
        <v>7</v>
      </c>
      <c r="I777" s="27" t="s">
        <v>8</v>
      </c>
      <c r="L777" s="27" t="s">
        <v>7</v>
      </c>
      <c r="AI777" s="27" t="s">
        <v>8</v>
      </c>
      <c r="AJ777" s="27" t="s">
        <v>7</v>
      </c>
      <c r="AU777" s="27" t="s">
        <v>8</v>
      </c>
      <c r="AV777" s="27" t="s">
        <v>7</v>
      </c>
      <c r="AW777" s="27" t="s">
        <v>8</v>
      </c>
      <c r="AX777" s="27" t="s">
        <v>7</v>
      </c>
      <c r="AY777" s="27" t="s">
        <v>8</v>
      </c>
      <c r="AZ777" s="27" t="s">
        <v>7</v>
      </c>
      <c r="BA777" s="27" t="s">
        <v>8</v>
      </c>
      <c r="BC777" s="27" t="s">
        <v>8</v>
      </c>
      <c r="BF777" s="27" t="s">
        <v>7</v>
      </c>
      <c r="BG777" s="27" t="s">
        <v>8</v>
      </c>
      <c r="BH777" s="27" t="s">
        <v>7</v>
      </c>
      <c r="BJ777" s="27" t="s">
        <v>7</v>
      </c>
      <c r="BK777" s="27" t="s">
        <v>8</v>
      </c>
    </row>
    <row r="778" spans="1:133" x14ac:dyDescent="0.25">
      <c r="A778" s="7">
        <v>2.2770218259150519E-2</v>
      </c>
      <c r="B778"/>
      <c r="C778"/>
      <c r="D778"/>
      <c r="E778"/>
      <c r="F778" s="27" t="s">
        <v>7</v>
      </c>
      <c r="I778" s="27" t="s">
        <v>8</v>
      </c>
      <c r="L778" s="27" t="s">
        <v>7</v>
      </c>
      <c r="AG778" s="27" t="s">
        <v>8</v>
      </c>
      <c r="AI778" s="27" t="s">
        <v>8</v>
      </c>
      <c r="AJ778" s="27" t="s">
        <v>7</v>
      </c>
      <c r="AU778" s="27" t="s">
        <v>8</v>
      </c>
      <c r="AV778" s="27" t="s">
        <v>7</v>
      </c>
      <c r="AW778" s="27" t="s">
        <v>8</v>
      </c>
      <c r="AX778" s="27" t="s">
        <v>7</v>
      </c>
      <c r="AY778" s="27" t="s">
        <v>8</v>
      </c>
      <c r="AZ778" s="27" t="s">
        <v>7</v>
      </c>
      <c r="BA778" s="27" t="s">
        <v>8</v>
      </c>
      <c r="BB778" s="27" t="s">
        <v>7</v>
      </c>
      <c r="BC778" s="27" t="s">
        <v>8</v>
      </c>
      <c r="BF778" s="27" t="s">
        <v>7</v>
      </c>
      <c r="BG778" s="27" t="s">
        <v>8</v>
      </c>
      <c r="BJ778" s="27" t="s">
        <v>7</v>
      </c>
    </row>
    <row r="779" spans="1:133" x14ac:dyDescent="0.25">
      <c r="A779" s="7">
        <v>2.2323743391324039E-2</v>
      </c>
      <c r="B779"/>
      <c r="C779"/>
      <c r="D779"/>
      <c r="E779"/>
      <c r="F779" s="27" t="s">
        <v>7</v>
      </c>
      <c r="I779" s="27" t="s">
        <v>8</v>
      </c>
      <c r="L779" s="27" t="s">
        <v>7</v>
      </c>
      <c r="W779" s="27" t="s">
        <v>8</v>
      </c>
      <c r="Y779" s="27" t="s">
        <v>8</v>
      </c>
      <c r="AG779" s="27" t="s">
        <v>8</v>
      </c>
      <c r="AH779" s="27" t="s">
        <v>7</v>
      </c>
      <c r="AI779" s="27" t="s">
        <v>8</v>
      </c>
      <c r="AJ779" s="27" t="s">
        <v>7</v>
      </c>
      <c r="AS779" s="27" t="s">
        <v>8</v>
      </c>
      <c r="AU779" s="27" t="s">
        <v>8</v>
      </c>
      <c r="AV779" s="27" t="s">
        <v>7</v>
      </c>
      <c r="AW779" s="27" t="s">
        <v>8</v>
      </c>
      <c r="AX779" s="27" t="s">
        <v>7</v>
      </c>
      <c r="AY779" s="27" t="s">
        <v>8</v>
      </c>
      <c r="AZ779" s="27" t="s">
        <v>7</v>
      </c>
      <c r="BA779" s="27" t="s">
        <v>8</v>
      </c>
      <c r="BB779" s="27" t="s">
        <v>7</v>
      </c>
      <c r="BC779" s="27" t="s">
        <v>8</v>
      </c>
      <c r="BF779" s="27" t="s">
        <v>7</v>
      </c>
      <c r="BG779" s="27" t="s">
        <v>8</v>
      </c>
    </row>
    <row r="780" spans="1:133" x14ac:dyDescent="0.25">
      <c r="A780" s="7">
        <v>2.188602293267063E-2</v>
      </c>
      <c r="B780"/>
      <c r="C780"/>
      <c r="D780"/>
      <c r="E780"/>
      <c r="F780" s="27" t="s">
        <v>7</v>
      </c>
      <c r="I780" s="27" t="s">
        <v>8</v>
      </c>
      <c r="L780" s="27" t="s">
        <v>7</v>
      </c>
      <c r="W780" s="27" t="s">
        <v>8</v>
      </c>
      <c r="X780" s="27" t="s">
        <v>7</v>
      </c>
      <c r="Y780" s="27" t="s">
        <v>8</v>
      </c>
      <c r="Z780" s="27" t="s">
        <v>7</v>
      </c>
      <c r="AE780" s="27" t="s">
        <v>8</v>
      </c>
      <c r="AG780" s="27" t="s">
        <v>8</v>
      </c>
      <c r="AH780" s="27" t="s">
        <v>7</v>
      </c>
      <c r="AI780" s="27" t="s">
        <v>8</v>
      </c>
      <c r="AJ780" s="27" t="s">
        <v>7</v>
      </c>
      <c r="AS780" s="27" t="s">
        <v>8</v>
      </c>
      <c r="AT780" s="27" t="s">
        <v>7</v>
      </c>
      <c r="AU780" s="27" t="s">
        <v>8</v>
      </c>
      <c r="AV780" s="27" t="s">
        <v>7</v>
      </c>
      <c r="AW780" s="27" t="s">
        <v>8</v>
      </c>
      <c r="AX780" s="27" t="s">
        <v>7</v>
      </c>
      <c r="AY780" s="27" t="s">
        <v>8</v>
      </c>
      <c r="AZ780" s="27" t="s">
        <v>7</v>
      </c>
      <c r="BA780" s="27" t="s">
        <v>8</v>
      </c>
      <c r="BB780" s="27" t="s">
        <v>7</v>
      </c>
      <c r="BC780" s="27" t="s">
        <v>8</v>
      </c>
      <c r="BF780" s="27" t="s">
        <v>7</v>
      </c>
    </row>
    <row r="781" spans="1:133" x14ac:dyDescent="0.25">
      <c r="A781" s="7">
        <v>2.1456885228108461E-2</v>
      </c>
      <c r="B781"/>
      <c r="C781"/>
      <c r="D781"/>
      <c r="E781"/>
      <c r="F781" s="27" t="s">
        <v>7</v>
      </c>
      <c r="G781" s="27" t="s">
        <v>8</v>
      </c>
      <c r="I781" s="27" t="s">
        <v>8</v>
      </c>
      <c r="L781" s="27" t="s">
        <v>7</v>
      </c>
      <c r="W781" s="27" t="s">
        <v>8</v>
      </c>
      <c r="X781" s="27" t="s">
        <v>7</v>
      </c>
      <c r="Y781" s="27" t="s">
        <v>8</v>
      </c>
      <c r="Z781" s="27" t="s">
        <v>7</v>
      </c>
      <c r="AE781" s="27" t="s">
        <v>8</v>
      </c>
      <c r="AF781" s="27" t="s">
        <v>7</v>
      </c>
      <c r="AG781" s="27" t="s">
        <v>8</v>
      </c>
      <c r="AH781" s="27" t="s">
        <v>7</v>
      </c>
      <c r="AJ781" s="27" t="s">
        <v>7</v>
      </c>
      <c r="AK781" s="27" t="s">
        <v>8</v>
      </c>
      <c r="AS781" s="27" t="s">
        <v>8</v>
      </c>
      <c r="AT781" s="27" t="s">
        <v>7</v>
      </c>
      <c r="AU781" s="27" t="s">
        <v>8</v>
      </c>
      <c r="AV781" s="27" t="s">
        <v>7</v>
      </c>
      <c r="AX781" s="27" t="s">
        <v>7</v>
      </c>
      <c r="AY781" s="27" t="s">
        <v>8</v>
      </c>
      <c r="AZ781" s="27" t="s">
        <v>7</v>
      </c>
      <c r="BA781" s="27" t="s">
        <v>8</v>
      </c>
      <c r="BB781" s="27" t="s">
        <v>7</v>
      </c>
      <c r="BC781" s="27" t="s">
        <v>8</v>
      </c>
    </row>
    <row r="782" spans="1:133" x14ac:dyDescent="0.25">
      <c r="A782" s="7">
        <v>2.1036161988341632E-2</v>
      </c>
      <c r="B782"/>
      <c r="C782"/>
      <c r="D782"/>
      <c r="E782"/>
      <c r="F782" s="27" t="s">
        <v>7</v>
      </c>
      <c r="G782" s="27" t="s">
        <v>8</v>
      </c>
      <c r="H782" s="27" t="s">
        <v>7</v>
      </c>
      <c r="I782" s="27" t="s">
        <v>8</v>
      </c>
      <c r="L782" s="27" t="s">
        <v>7</v>
      </c>
      <c r="W782" s="27" t="s">
        <v>8</v>
      </c>
      <c r="X782" s="27" t="s">
        <v>7</v>
      </c>
      <c r="Y782" s="27" t="s">
        <v>8</v>
      </c>
      <c r="Z782" s="27" t="s">
        <v>7</v>
      </c>
      <c r="AE782" s="27" t="s">
        <v>8</v>
      </c>
      <c r="AF782" s="27" t="s">
        <v>7</v>
      </c>
      <c r="AG782" s="27" t="s">
        <v>8</v>
      </c>
      <c r="AJ782" s="27" t="s">
        <v>7</v>
      </c>
      <c r="AK782" s="27" t="s">
        <v>8</v>
      </c>
      <c r="AL782" s="27" t="s">
        <v>7</v>
      </c>
      <c r="AM782" s="27" t="s">
        <v>8</v>
      </c>
      <c r="AS782" s="27" t="s">
        <v>8</v>
      </c>
      <c r="AT782" s="27" t="s">
        <v>7</v>
      </c>
      <c r="AU782" s="27" t="s">
        <v>8</v>
      </c>
      <c r="AX782" s="27" t="s">
        <v>7</v>
      </c>
      <c r="AZ782" s="27" t="s">
        <v>7</v>
      </c>
      <c r="BA782" s="27" t="s">
        <v>8</v>
      </c>
      <c r="BB782" s="27" t="s">
        <v>7</v>
      </c>
    </row>
    <row r="783" spans="1:133" x14ac:dyDescent="0.25">
      <c r="A783" s="7">
        <v>2.0623688223864345E-2</v>
      </c>
      <c r="B783"/>
      <c r="C783"/>
      <c r="D783"/>
      <c r="E783"/>
      <c r="F783" s="27" t="s">
        <v>7</v>
      </c>
      <c r="G783" s="27" t="s">
        <v>8</v>
      </c>
      <c r="H783" s="27" t="s">
        <v>7</v>
      </c>
      <c r="I783" s="27" t="s">
        <v>8</v>
      </c>
      <c r="L783" s="27" t="s">
        <v>7</v>
      </c>
      <c r="W783" s="27" t="s">
        <v>8</v>
      </c>
      <c r="X783" s="27" t="s">
        <v>7</v>
      </c>
      <c r="Y783" s="27" t="s">
        <v>8</v>
      </c>
      <c r="Z783" s="27" t="s">
        <v>7</v>
      </c>
      <c r="AE783" s="27" t="s">
        <v>8</v>
      </c>
      <c r="AF783" s="27" t="s">
        <v>7</v>
      </c>
      <c r="AG783" s="27" t="s">
        <v>8</v>
      </c>
      <c r="AJ783" s="27" t="s">
        <v>7</v>
      </c>
      <c r="AK783" s="27" t="s">
        <v>8</v>
      </c>
      <c r="AL783" s="27" t="s">
        <v>7</v>
      </c>
      <c r="AM783" s="27" t="s">
        <v>8</v>
      </c>
      <c r="AN783" s="27" t="s">
        <v>7</v>
      </c>
      <c r="AS783" s="27" t="s">
        <v>8</v>
      </c>
      <c r="AT783" s="27" t="s">
        <v>7</v>
      </c>
      <c r="AU783" s="27" t="s">
        <v>8</v>
      </c>
      <c r="AZ783" s="27" t="s">
        <v>7</v>
      </c>
      <c r="BA783" s="27" t="s">
        <v>8</v>
      </c>
    </row>
    <row r="784" spans="1:133" x14ac:dyDescent="0.25">
      <c r="A784" s="7">
        <v>2.021930218025916E-2</v>
      </c>
      <c r="B784"/>
      <c r="C784"/>
      <c r="D784"/>
      <c r="E784"/>
      <c r="F784" s="27" t="s">
        <v>7</v>
      </c>
      <c r="G784" s="27" t="s">
        <v>8</v>
      </c>
      <c r="H784" s="27" t="s">
        <v>7</v>
      </c>
      <c r="I784" s="27" t="s">
        <v>8</v>
      </c>
      <c r="L784" s="27" t="s">
        <v>7</v>
      </c>
      <c r="W784" s="27" t="s">
        <v>8</v>
      </c>
      <c r="X784" s="27" t="s">
        <v>7</v>
      </c>
      <c r="Y784" s="27" t="s">
        <v>8</v>
      </c>
      <c r="Z784" s="27" t="s">
        <v>7</v>
      </c>
      <c r="AE784" s="27" t="s">
        <v>8</v>
      </c>
      <c r="AF784" s="27" t="s">
        <v>7</v>
      </c>
      <c r="AG784" s="27" t="s">
        <v>8</v>
      </c>
      <c r="AJ784" s="27" t="s">
        <v>7</v>
      </c>
      <c r="AK784" s="27" t="s">
        <v>8</v>
      </c>
      <c r="AL784" s="27" t="s">
        <v>7</v>
      </c>
      <c r="AM784" s="27" t="s">
        <v>8</v>
      </c>
      <c r="AN784" s="27" t="s">
        <v>7</v>
      </c>
      <c r="AS784" s="27" t="s">
        <v>8</v>
      </c>
      <c r="AT784" s="27" t="s">
        <v>7</v>
      </c>
      <c r="AU784" s="27" t="s">
        <v>8</v>
      </c>
      <c r="AZ784" s="27" t="s">
        <v>7</v>
      </c>
    </row>
    <row r="785" spans="1:47" x14ac:dyDescent="0.25">
      <c r="A785" s="7">
        <v>1.9822845274763884E-2</v>
      </c>
      <c r="B785"/>
      <c r="C785"/>
      <c r="D785"/>
      <c r="E785"/>
      <c r="F785" s="27" t="s">
        <v>7</v>
      </c>
      <c r="G785" s="27" t="s">
        <v>8</v>
      </c>
      <c r="H785" s="27" t="s">
        <v>7</v>
      </c>
      <c r="I785" s="27" t="s">
        <v>8</v>
      </c>
      <c r="L785" s="27" t="s">
        <v>7</v>
      </c>
      <c r="W785" s="27" t="s">
        <v>8</v>
      </c>
      <c r="X785" s="27" t="s">
        <v>7</v>
      </c>
      <c r="Y785" s="27" t="s">
        <v>8</v>
      </c>
      <c r="Z785" s="27" t="s">
        <v>7</v>
      </c>
      <c r="AE785" s="27" t="s">
        <v>8</v>
      </c>
      <c r="AF785" s="27" t="s">
        <v>7</v>
      </c>
      <c r="AG785" s="27" t="s">
        <v>8</v>
      </c>
      <c r="AJ785" s="27" t="s">
        <v>7</v>
      </c>
      <c r="AL785" s="27" t="s">
        <v>7</v>
      </c>
      <c r="AM785" s="27" t="s">
        <v>8</v>
      </c>
      <c r="AN785" s="27" t="s">
        <v>7</v>
      </c>
      <c r="AO785" s="27" t="s">
        <v>8</v>
      </c>
      <c r="AQ785" s="27" t="s">
        <v>8</v>
      </c>
      <c r="AS785" s="27" t="s">
        <v>8</v>
      </c>
      <c r="AT785" s="27" t="s">
        <v>7</v>
      </c>
      <c r="AU785" s="27" t="s">
        <v>8</v>
      </c>
    </row>
    <row r="786" spans="1:47" x14ac:dyDescent="0.25">
      <c r="A786" s="7">
        <v>1.9434162034082238E-2</v>
      </c>
      <c r="B786"/>
      <c r="C786"/>
      <c r="D786"/>
      <c r="E786"/>
      <c r="F786" s="27" t="s">
        <v>7</v>
      </c>
      <c r="G786" s="27" t="s">
        <v>8</v>
      </c>
      <c r="H786" s="27" t="s">
        <v>7</v>
      </c>
      <c r="I786" s="27" t="s">
        <v>8</v>
      </c>
      <c r="L786" s="27" t="s">
        <v>7</v>
      </c>
      <c r="W786" s="27" t="s">
        <v>8</v>
      </c>
      <c r="X786" s="27" t="s">
        <v>7</v>
      </c>
      <c r="Z786" s="27" t="s">
        <v>7</v>
      </c>
      <c r="AE786" s="27" t="s">
        <v>8</v>
      </c>
      <c r="AF786" s="27" t="s">
        <v>7</v>
      </c>
      <c r="AG786" s="27" t="s">
        <v>8</v>
      </c>
      <c r="AL786" s="27" t="s">
        <v>7</v>
      </c>
      <c r="AM786" s="27" t="s">
        <v>8</v>
      </c>
      <c r="AN786" s="27" t="s">
        <v>7</v>
      </c>
      <c r="AO786" s="27" t="s">
        <v>8</v>
      </c>
      <c r="AP786" s="27" t="s">
        <v>7</v>
      </c>
      <c r="AQ786" s="27" t="s">
        <v>8</v>
      </c>
      <c r="AR786" s="27" t="s">
        <v>7</v>
      </c>
      <c r="AS786" s="27" t="s">
        <v>8</v>
      </c>
      <c r="AT786" s="27" t="s">
        <v>7</v>
      </c>
      <c r="AU786" s="27" t="s">
        <v>8</v>
      </c>
    </row>
    <row r="787" spans="1:47" x14ac:dyDescent="0.25">
      <c r="A787" s="7">
        <v>1.9053100033413959E-2</v>
      </c>
      <c r="B787"/>
      <c r="C787"/>
      <c r="D787"/>
      <c r="E787"/>
      <c r="F787" s="27" t="s">
        <v>7</v>
      </c>
      <c r="G787" s="27" t="s">
        <v>8</v>
      </c>
      <c r="H787" s="27" t="s">
        <v>7</v>
      </c>
      <c r="I787" s="27" t="s">
        <v>8</v>
      </c>
      <c r="L787" s="27" t="s">
        <v>7</v>
      </c>
      <c r="Q787" s="27" t="s">
        <v>8</v>
      </c>
      <c r="U787" s="27" t="s">
        <v>8</v>
      </c>
      <c r="W787" s="27" t="s">
        <v>8</v>
      </c>
      <c r="Z787" s="27" t="s">
        <v>7</v>
      </c>
      <c r="AE787" s="27" t="s">
        <v>8</v>
      </c>
      <c r="AF787" s="27" t="s">
        <v>7</v>
      </c>
      <c r="AG787" s="27" t="s">
        <v>8</v>
      </c>
      <c r="AL787" s="27" t="s">
        <v>7</v>
      </c>
      <c r="AM787" s="27" t="s">
        <v>8</v>
      </c>
      <c r="AN787" s="27" t="s">
        <v>7</v>
      </c>
      <c r="AO787" s="27" t="s">
        <v>8</v>
      </c>
      <c r="AP787" s="27" t="s">
        <v>7</v>
      </c>
      <c r="AQ787" s="27" t="s">
        <v>8</v>
      </c>
      <c r="AR787" s="27" t="s">
        <v>7</v>
      </c>
      <c r="AS787" s="27" t="s">
        <v>8</v>
      </c>
      <c r="AT787" s="27" t="s">
        <v>7</v>
      </c>
    </row>
    <row r="788" spans="1:47" x14ac:dyDescent="0.25">
      <c r="A788" s="7">
        <v>1.867950983668035E-2</v>
      </c>
      <c r="B788"/>
      <c r="C788"/>
      <c r="D788"/>
      <c r="E788"/>
      <c r="F788" s="27" t="s">
        <v>7</v>
      </c>
      <c r="G788" s="27" t="s">
        <v>8</v>
      </c>
      <c r="H788" s="27" t="s">
        <v>7</v>
      </c>
      <c r="I788" s="27" t="s">
        <v>8</v>
      </c>
      <c r="L788" s="27" t="s">
        <v>7</v>
      </c>
      <c r="Q788" s="27" t="s">
        <v>8</v>
      </c>
      <c r="R788" s="27" t="s">
        <v>7</v>
      </c>
      <c r="U788" s="27" t="s">
        <v>8</v>
      </c>
      <c r="V788" s="27" t="s">
        <v>7</v>
      </c>
      <c r="W788" s="27" t="s">
        <v>8</v>
      </c>
      <c r="Z788" s="27" t="s">
        <v>7</v>
      </c>
      <c r="AC788" s="27" t="s">
        <v>8</v>
      </c>
      <c r="AE788" s="27" t="s">
        <v>8</v>
      </c>
      <c r="AF788" s="27" t="s">
        <v>7</v>
      </c>
      <c r="AG788" s="27" t="s">
        <v>8</v>
      </c>
      <c r="AL788" s="27" t="s">
        <v>7</v>
      </c>
      <c r="AM788" s="27" t="s">
        <v>8</v>
      </c>
      <c r="AN788" s="27" t="s">
        <v>7</v>
      </c>
      <c r="AO788" s="27" t="s">
        <v>8</v>
      </c>
      <c r="AP788" s="27" t="s">
        <v>7</v>
      </c>
      <c r="AQ788" s="27" t="s">
        <v>8</v>
      </c>
      <c r="AR788" s="27" t="s">
        <v>7</v>
      </c>
      <c r="AS788" s="27" t="s">
        <v>8</v>
      </c>
    </row>
    <row r="789" spans="1:47" x14ac:dyDescent="0.25">
      <c r="A789" s="7">
        <v>1.8313244937921913E-2</v>
      </c>
      <c r="B789"/>
      <c r="C789"/>
      <c r="D789"/>
      <c r="E789"/>
      <c r="F789" s="27" t="s">
        <v>7</v>
      </c>
      <c r="G789" s="27" t="s">
        <v>8</v>
      </c>
      <c r="H789" s="27" t="s">
        <v>7</v>
      </c>
      <c r="L789" s="27" t="s">
        <v>7</v>
      </c>
      <c r="Q789" s="27" t="s">
        <v>8</v>
      </c>
      <c r="R789" s="27" t="s">
        <v>7</v>
      </c>
      <c r="U789" s="27" t="s">
        <v>8</v>
      </c>
      <c r="V789" s="27" t="s">
        <v>7</v>
      </c>
      <c r="W789" s="27" t="s">
        <v>8</v>
      </c>
      <c r="Z789" s="27" t="s">
        <v>7</v>
      </c>
      <c r="AA789" s="27" t="s">
        <v>8</v>
      </c>
      <c r="AC789" s="27" t="s">
        <v>8</v>
      </c>
      <c r="AD789" s="27" t="s">
        <v>7</v>
      </c>
      <c r="AE789" s="27" t="s">
        <v>8</v>
      </c>
      <c r="AF789" s="27" t="s">
        <v>7</v>
      </c>
      <c r="AL789" s="27" t="s">
        <v>7</v>
      </c>
      <c r="AM789" s="27" t="s">
        <v>8</v>
      </c>
      <c r="AN789" s="27" t="s">
        <v>7</v>
      </c>
      <c r="AO789" s="27" t="s">
        <v>8</v>
      </c>
      <c r="AP789" s="27" t="s">
        <v>7</v>
      </c>
      <c r="AQ789" s="27" t="s">
        <v>8</v>
      </c>
      <c r="AR789" s="27" t="s">
        <v>7</v>
      </c>
    </row>
    <row r="790" spans="1:47" x14ac:dyDescent="0.25">
      <c r="A790" s="7">
        <v>1.7954161703845013E-2</v>
      </c>
      <c r="B790"/>
      <c r="C790"/>
      <c r="D790"/>
      <c r="E790"/>
      <c r="F790" s="27" t="s">
        <v>7</v>
      </c>
      <c r="G790" s="27" t="s">
        <v>8</v>
      </c>
      <c r="L790" s="27" t="s">
        <v>7</v>
      </c>
      <c r="Q790" s="27" t="s">
        <v>8</v>
      </c>
      <c r="R790" s="27" t="s">
        <v>7</v>
      </c>
      <c r="U790" s="27" t="s">
        <v>8</v>
      </c>
      <c r="V790" s="27" t="s">
        <v>7</v>
      </c>
      <c r="W790" s="27" t="s">
        <v>8</v>
      </c>
      <c r="Z790" s="27" t="s">
        <v>7</v>
      </c>
      <c r="AA790" s="27" t="s">
        <v>8</v>
      </c>
      <c r="AB790" s="27" t="s">
        <v>7</v>
      </c>
      <c r="AC790" s="27" t="s">
        <v>8</v>
      </c>
      <c r="AD790" s="27" t="s">
        <v>7</v>
      </c>
      <c r="AE790" s="27" t="s">
        <v>8</v>
      </c>
      <c r="AL790" s="27" t="s">
        <v>7</v>
      </c>
      <c r="AN790" s="27" t="s">
        <v>7</v>
      </c>
      <c r="AO790" s="27" t="s">
        <v>8</v>
      </c>
      <c r="AP790" s="27" t="s">
        <v>7</v>
      </c>
    </row>
    <row r="791" spans="1:47" x14ac:dyDescent="0.25">
      <c r="A791" s="7">
        <v>1.7602119317495109E-2</v>
      </c>
      <c r="B791"/>
      <c r="C791"/>
      <c r="D791"/>
      <c r="E791"/>
      <c r="F791" s="27" t="s">
        <v>7</v>
      </c>
      <c r="L791" s="27" t="s">
        <v>7</v>
      </c>
      <c r="Q791" s="27" t="s">
        <v>8</v>
      </c>
      <c r="R791" s="27" t="s">
        <v>7</v>
      </c>
      <c r="S791" s="27" t="s">
        <v>8</v>
      </c>
      <c r="U791" s="27" t="s">
        <v>8</v>
      </c>
      <c r="V791" s="27" t="s">
        <v>7</v>
      </c>
      <c r="W791" s="27" t="s">
        <v>8</v>
      </c>
      <c r="Z791" s="27" t="s">
        <v>7</v>
      </c>
      <c r="AA791" s="27" t="s">
        <v>8</v>
      </c>
      <c r="AB791" s="27" t="s">
        <v>7</v>
      </c>
      <c r="AC791" s="27" t="s">
        <v>8</v>
      </c>
      <c r="AD791" s="27" t="s">
        <v>7</v>
      </c>
      <c r="AE791" s="27" t="s">
        <v>8</v>
      </c>
      <c r="AN791" s="27" t="s">
        <v>7</v>
      </c>
      <c r="AO791" s="27" t="s">
        <v>8</v>
      </c>
    </row>
    <row r="792" spans="1:47" x14ac:dyDescent="0.25">
      <c r="A792" s="7">
        <v>1.7256979723034419E-2</v>
      </c>
      <c r="B792"/>
      <c r="C792"/>
      <c r="D792"/>
      <c r="E792"/>
      <c r="L792" s="27" t="s">
        <v>7</v>
      </c>
      <c r="Q792" s="27" t="s">
        <v>8</v>
      </c>
      <c r="R792" s="27" t="s">
        <v>7</v>
      </c>
      <c r="S792" s="27" t="s">
        <v>8</v>
      </c>
      <c r="T792" s="27" t="s">
        <v>7</v>
      </c>
      <c r="U792" s="27" t="s">
        <v>8</v>
      </c>
      <c r="V792" s="27" t="s">
        <v>7</v>
      </c>
      <c r="W792" s="27" t="s">
        <v>8</v>
      </c>
      <c r="Z792" s="27" t="s">
        <v>7</v>
      </c>
      <c r="AA792" s="27" t="s">
        <v>8</v>
      </c>
      <c r="AB792" s="27" t="s">
        <v>7</v>
      </c>
      <c r="AC792" s="27" t="s">
        <v>8</v>
      </c>
      <c r="AD792" s="27" t="s">
        <v>7</v>
      </c>
      <c r="AE792" s="27" t="s">
        <v>8</v>
      </c>
      <c r="AN792" s="27" t="s">
        <v>7</v>
      </c>
    </row>
    <row r="793" spans="1:47" x14ac:dyDescent="0.25">
      <c r="A793" s="7">
        <v>1.6918607571602372E-2</v>
      </c>
      <c r="B793"/>
      <c r="C793"/>
      <c r="D793"/>
      <c r="E793"/>
      <c r="L793" s="27" t="s">
        <v>7</v>
      </c>
      <c r="M793" s="27" t="s">
        <v>8</v>
      </c>
      <c r="Q793" s="27" t="s">
        <v>8</v>
      </c>
      <c r="R793" s="27" t="s">
        <v>7</v>
      </c>
      <c r="S793" s="27" t="s">
        <v>8</v>
      </c>
      <c r="T793" s="27" t="s">
        <v>7</v>
      </c>
      <c r="U793" s="27" t="s">
        <v>8</v>
      </c>
      <c r="V793" s="27" t="s">
        <v>7</v>
      </c>
      <c r="W793" s="27" t="s">
        <v>8</v>
      </c>
      <c r="Z793" s="27" t="s">
        <v>7</v>
      </c>
      <c r="AA793" s="27" t="s">
        <v>8</v>
      </c>
      <c r="AB793" s="27" t="s">
        <v>7</v>
      </c>
      <c r="AC793" s="27" t="s">
        <v>8</v>
      </c>
      <c r="AD793" s="27" t="s">
        <v>7</v>
      </c>
      <c r="AE793" s="27" t="s">
        <v>8</v>
      </c>
    </row>
    <row r="794" spans="1:47" x14ac:dyDescent="0.25">
      <c r="A794" s="7">
        <v>1.6586870168237622E-2</v>
      </c>
      <c r="B794"/>
      <c r="C794"/>
      <c r="D794"/>
      <c r="E794"/>
      <c r="L794" s="27" t="s">
        <v>7</v>
      </c>
      <c r="M794" s="27" t="s">
        <v>8</v>
      </c>
      <c r="N794" s="27" t="s">
        <v>7</v>
      </c>
      <c r="Q794" s="27" t="s">
        <v>8</v>
      </c>
      <c r="R794" s="27" t="s">
        <v>7</v>
      </c>
      <c r="S794" s="27" t="s">
        <v>8</v>
      </c>
      <c r="T794" s="27" t="s">
        <v>7</v>
      </c>
      <c r="U794" s="27" t="s">
        <v>8</v>
      </c>
      <c r="V794" s="27" t="s">
        <v>7</v>
      </c>
      <c r="W794" s="27" t="s">
        <v>8</v>
      </c>
      <c r="Z794" s="27" t="s">
        <v>7</v>
      </c>
      <c r="AA794" s="27" t="s">
        <v>8</v>
      </c>
      <c r="AB794" s="27" t="s">
        <v>7</v>
      </c>
      <c r="AC794" s="27" t="s">
        <v>8</v>
      </c>
      <c r="AD794" s="27" t="s">
        <v>7</v>
      </c>
    </row>
    <row r="795" spans="1:47" x14ac:dyDescent="0.25">
      <c r="A795" s="7">
        <v>1.6261637419840807E-2</v>
      </c>
      <c r="B795"/>
      <c r="C795"/>
      <c r="D795"/>
      <c r="E795"/>
      <c r="L795" s="27" t="s">
        <v>7</v>
      </c>
      <c r="M795" s="27" t="s">
        <v>8</v>
      </c>
      <c r="N795" s="27" t="s">
        <v>7</v>
      </c>
      <c r="Q795" s="27" t="s">
        <v>8</v>
      </c>
      <c r="R795" s="27" t="s">
        <v>7</v>
      </c>
      <c r="S795" s="27" t="s">
        <v>8</v>
      </c>
      <c r="T795" s="27" t="s">
        <v>7</v>
      </c>
      <c r="U795" s="27" t="s">
        <v>8</v>
      </c>
      <c r="V795" s="27" t="s">
        <v>7</v>
      </c>
      <c r="W795" s="27" t="s">
        <v>8</v>
      </c>
      <c r="Z795" s="27" t="s">
        <v>7</v>
      </c>
      <c r="AB795" s="27" t="s">
        <v>7</v>
      </c>
    </row>
    <row r="796" spans="1:47" x14ac:dyDescent="0.25">
      <c r="A796" s="7">
        <v>1.5942781784157655E-2</v>
      </c>
      <c r="B796"/>
      <c r="C796"/>
      <c r="D796"/>
      <c r="E796"/>
      <c r="L796" s="27" t="s">
        <v>7</v>
      </c>
      <c r="M796" s="27" t="s">
        <v>8</v>
      </c>
      <c r="N796" s="27" t="s">
        <v>7</v>
      </c>
      <c r="Q796" s="27" t="s">
        <v>8</v>
      </c>
      <c r="R796" s="27" t="s">
        <v>7</v>
      </c>
      <c r="S796" s="27" t="s">
        <v>8</v>
      </c>
      <c r="T796" s="27" t="s">
        <v>7</v>
      </c>
      <c r="U796" s="27" t="s">
        <v>8</v>
      </c>
      <c r="V796" s="27" t="s">
        <v>7</v>
      </c>
    </row>
    <row r="797" spans="1:47" x14ac:dyDescent="0.25">
      <c r="A797" s="7">
        <v>1.5630178219762408E-2</v>
      </c>
      <c r="B797"/>
      <c r="C797"/>
      <c r="D797"/>
      <c r="E797"/>
      <c r="L797" s="27" t="s">
        <v>7</v>
      </c>
      <c r="M797" s="27" t="s">
        <v>8</v>
      </c>
      <c r="N797" s="27" t="s">
        <v>7</v>
      </c>
      <c r="Q797" s="27" t="s">
        <v>8</v>
      </c>
      <c r="R797" s="27" t="s">
        <v>7</v>
      </c>
      <c r="S797" s="27" t="s">
        <v>8</v>
      </c>
      <c r="T797" s="27" t="s">
        <v>7</v>
      </c>
      <c r="U797" s="27" t="s">
        <v>8</v>
      </c>
    </row>
    <row r="798" spans="1:47" x14ac:dyDescent="0.25">
      <c r="A798" s="7">
        <v>1.5323704137021967E-2</v>
      </c>
      <c r="B798"/>
      <c r="C798"/>
      <c r="D798"/>
      <c r="E798"/>
      <c r="L798" s="27" t="s">
        <v>7</v>
      </c>
      <c r="M798" s="27" t="s">
        <v>8</v>
      </c>
      <c r="N798" s="27" t="s">
        <v>7</v>
      </c>
      <c r="Q798" s="27" t="s">
        <v>8</v>
      </c>
      <c r="R798" s="27" t="s">
        <v>7</v>
      </c>
      <c r="S798" s="27" t="s">
        <v>8</v>
      </c>
      <c r="T798" s="27" t="s">
        <v>7</v>
      </c>
      <c r="U798" s="27" t="s">
        <v>8</v>
      </c>
    </row>
    <row r="799" spans="1:47" x14ac:dyDescent="0.25">
      <c r="A799" s="7">
        <v>1.5023239350021535E-2</v>
      </c>
      <c r="B799"/>
      <c r="C799"/>
      <c r="D799"/>
      <c r="E799"/>
      <c r="L799" s="27" t="s">
        <v>7</v>
      </c>
      <c r="M799" s="27" t="s">
        <v>8</v>
      </c>
      <c r="N799" s="27" t="s">
        <v>7</v>
      </c>
      <c r="Q799" s="27" t="s">
        <v>8</v>
      </c>
      <c r="R799" s="27" t="s">
        <v>7</v>
      </c>
      <c r="S799" s="27" t="s">
        <v>8</v>
      </c>
      <c r="T799" s="27" t="s">
        <v>7</v>
      </c>
      <c r="U799" s="27" t="s">
        <v>8</v>
      </c>
    </row>
    <row r="800" spans="1:47" x14ac:dyDescent="0.25">
      <c r="A800" s="7">
        <v>1.4728666029432878E-2</v>
      </c>
      <c r="B800"/>
      <c r="C800"/>
      <c r="D800"/>
      <c r="E800"/>
      <c r="L800" s="27" t="s">
        <v>7</v>
      </c>
      <c r="M800" s="27" t="s">
        <v>8</v>
      </c>
      <c r="N800" s="27" t="s">
        <v>7</v>
      </c>
      <c r="Q800" s="27" t="s">
        <v>8</v>
      </c>
      <c r="R800" s="27" t="s">
        <v>7</v>
      </c>
      <c r="S800" s="27" t="s">
        <v>8</v>
      </c>
      <c r="T800" s="27" t="s">
        <v>7</v>
      </c>
      <c r="U800" s="27" t="s">
        <v>8</v>
      </c>
    </row>
    <row r="801" spans="1:21" x14ac:dyDescent="0.25">
      <c r="A801" s="7">
        <v>1.4439868656306743E-2</v>
      </c>
      <c r="B801"/>
      <c r="C801"/>
      <c r="D801"/>
      <c r="E801"/>
      <c r="L801" s="27" t="s">
        <v>7</v>
      </c>
      <c r="M801" s="27" t="s">
        <v>8</v>
      </c>
      <c r="N801" s="27" t="s">
        <v>7</v>
      </c>
      <c r="Q801" s="27" t="s">
        <v>8</v>
      </c>
      <c r="R801" s="27" t="s">
        <v>7</v>
      </c>
      <c r="S801" s="27" t="s">
        <v>8</v>
      </c>
      <c r="T801" s="27" t="s">
        <v>7</v>
      </c>
      <c r="U801" s="27" t="s">
        <v>8</v>
      </c>
    </row>
    <row r="802" spans="1:21" x14ac:dyDescent="0.25">
      <c r="A802" s="7">
        <v>1.4156733976771318E-2</v>
      </c>
      <c r="B802"/>
      <c r="C802"/>
      <c r="D802"/>
      <c r="E802"/>
      <c r="L802" s="27" t="s">
        <v>7</v>
      </c>
      <c r="M802" s="27" t="s">
        <v>8</v>
      </c>
      <c r="N802" s="27" t="s">
        <v>7</v>
      </c>
      <c r="O802" s="27" t="s">
        <v>8</v>
      </c>
      <c r="Q802" s="27" t="s">
        <v>8</v>
      </c>
      <c r="R802" s="27" t="s">
        <v>7</v>
      </c>
      <c r="S802" s="27" t="s">
        <v>8</v>
      </c>
      <c r="T802" s="27" t="s">
        <v>7</v>
      </c>
      <c r="U802" s="27" t="s">
        <v>8</v>
      </c>
    </row>
    <row r="803" spans="1:21" x14ac:dyDescent="0.25">
      <c r="A803" s="7">
        <v>1.3879150957618939E-2</v>
      </c>
      <c r="B803"/>
      <c r="C803"/>
      <c r="D803"/>
      <c r="E803"/>
      <c r="L803" s="27" t="s">
        <v>7</v>
      </c>
      <c r="M803" s="27" t="s">
        <v>8</v>
      </c>
      <c r="N803" s="27" t="s">
        <v>7</v>
      </c>
      <c r="O803" s="27" t="s">
        <v>8</v>
      </c>
      <c r="P803" s="27" t="s">
        <v>7</v>
      </c>
      <c r="Q803" s="27" t="s">
        <v>8</v>
      </c>
      <c r="R803" s="27" t="s">
        <v>7</v>
      </c>
      <c r="S803" s="27" t="s">
        <v>8</v>
      </c>
      <c r="T803" s="27" t="s">
        <v>7</v>
      </c>
      <c r="U803" s="27" t="s">
        <v>8</v>
      </c>
    </row>
    <row r="804" spans="1:21" x14ac:dyDescent="0.25">
      <c r="A804" s="7">
        <v>1.3607010742763666E-2</v>
      </c>
      <c r="B804"/>
      <c r="C804"/>
      <c r="D804"/>
      <c r="E804"/>
      <c r="L804" s="27" t="s">
        <v>7</v>
      </c>
      <c r="M804" s="27" t="s">
        <v>8</v>
      </c>
      <c r="N804" s="27" t="s">
        <v>7</v>
      </c>
      <c r="O804" s="27" t="s">
        <v>8</v>
      </c>
      <c r="P804" s="27" t="s">
        <v>7</v>
      </c>
      <c r="Q804" s="27" t="s">
        <v>8</v>
      </c>
      <c r="R804" s="27" t="s">
        <v>7</v>
      </c>
      <c r="S804" s="27" t="s">
        <v>8</v>
      </c>
      <c r="T804" s="27" t="s">
        <v>7</v>
      </c>
      <c r="U804" s="27" t="s">
        <v>8</v>
      </c>
    </row>
    <row r="805" spans="1:21" x14ac:dyDescent="0.25">
      <c r="A805" s="7">
        <v>1.3340206610552614E-2</v>
      </c>
      <c r="B805"/>
      <c r="C805"/>
      <c r="D805"/>
      <c r="E805"/>
      <c r="L805" s="27" t="s">
        <v>7</v>
      </c>
      <c r="M805" s="27" t="s">
        <v>8</v>
      </c>
      <c r="N805" s="27" t="s">
        <v>7</v>
      </c>
      <c r="O805" s="27" t="s">
        <v>8</v>
      </c>
      <c r="P805" s="27" t="s">
        <v>7</v>
      </c>
      <c r="Q805" s="27" t="s">
        <v>8</v>
      </c>
      <c r="R805" s="27" t="s">
        <v>7</v>
      </c>
      <c r="S805" s="27" t="s">
        <v>8</v>
      </c>
      <c r="T805" s="27" t="s">
        <v>7</v>
      </c>
    </row>
    <row r="806" spans="1:21" x14ac:dyDescent="0.25">
      <c r="A806" s="7">
        <v>1.3078633931914328E-2</v>
      </c>
      <c r="B806"/>
      <c r="C806"/>
      <c r="D806"/>
      <c r="E806"/>
      <c r="L806" s="27" t="s">
        <v>7</v>
      </c>
      <c r="M806" s="27" t="s">
        <v>8</v>
      </c>
      <c r="N806" s="27" t="s">
        <v>7</v>
      </c>
      <c r="O806" s="27" t="s">
        <v>8</v>
      </c>
      <c r="P806" s="27" t="s">
        <v>7</v>
      </c>
      <c r="Q806" s="27" t="s">
        <v>8</v>
      </c>
      <c r="R806" s="27" t="s">
        <v>7</v>
      </c>
      <c r="S806" s="27" t="s">
        <v>8</v>
      </c>
    </row>
    <row r="807" spans="1:21" x14ac:dyDescent="0.25">
      <c r="A807" s="7">
        <v>1.2822190129327771E-2</v>
      </c>
      <c r="B807"/>
      <c r="C807"/>
      <c r="D807"/>
      <c r="E807"/>
      <c r="L807" s="27" t="s">
        <v>7</v>
      </c>
      <c r="M807" s="27" t="s">
        <v>8</v>
      </c>
      <c r="N807" s="27" t="s">
        <v>7</v>
      </c>
      <c r="O807" s="27" t="s">
        <v>8</v>
      </c>
      <c r="P807" s="27" t="s">
        <v>7</v>
      </c>
      <c r="Q807" s="27" t="s">
        <v>8</v>
      </c>
      <c r="R807" s="27" t="s">
        <v>7</v>
      </c>
      <c r="S807" s="27" t="s">
        <v>8</v>
      </c>
    </row>
    <row r="808" spans="1:21" x14ac:dyDescent="0.25">
      <c r="A808" s="7">
        <v>1.2570774636595854E-2</v>
      </c>
      <c r="B808"/>
      <c r="C808"/>
      <c r="D808"/>
      <c r="E808"/>
      <c r="L808" s="27" t="s">
        <v>7</v>
      </c>
      <c r="M808" s="27" t="s">
        <v>8</v>
      </c>
      <c r="N808" s="27" t="s">
        <v>7</v>
      </c>
      <c r="O808" s="27" t="s">
        <v>8</v>
      </c>
      <c r="P808" s="27" t="s">
        <v>7</v>
      </c>
      <c r="Q808" s="27" t="s">
        <v>8</v>
      </c>
      <c r="R808" s="27" t="s">
        <v>7</v>
      </c>
      <c r="S808" s="27" t="s">
        <v>8</v>
      </c>
    </row>
    <row r="809" spans="1:21" x14ac:dyDescent="0.25">
      <c r="A809" s="7">
        <v>1.23242888594077E-2</v>
      </c>
      <c r="B809"/>
      <c r="C809"/>
      <c r="D809"/>
      <c r="E809"/>
      <c r="L809" s="27" t="s">
        <v>7</v>
      </c>
      <c r="M809" s="27" t="s">
        <v>8</v>
      </c>
      <c r="N809" s="27" t="s">
        <v>7</v>
      </c>
      <c r="O809" s="27" t="s">
        <v>8</v>
      </c>
      <c r="P809" s="27" t="s">
        <v>7</v>
      </c>
      <c r="Q809" s="27" t="s">
        <v>8</v>
      </c>
      <c r="R809" s="27" t="s">
        <v>7</v>
      </c>
      <c r="S809" s="27" t="s">
        <v>8</v>
      </c>
    </row>
    <row r="810" spans="1:21" x14ac:dyDescent="0.25">
      <c r="A810" s="7">
        <v>1.2082636136674216E-2</v>
      </c>
      <c r="B810"/>
      <c r="C810"/>
      <c r="D810"/>
      <c r="E810"/>
      <c r="L810" s="27" t="s">
        <v>7</v>
      </c>
      <c r="M810" s="27" t="s">
        <v>8</v>
      </c>
      <c r="N810" s="27" t="s">
        <v>7</v>
      </c>
      <c r="O810" s="27" t="s">
        <v>8</v>
      </c>
      <c r="P810" s="27" t="s">
        <v>7</v>
      </c>
      <c r="Q810" s="27" t="s">
        <v>8</v>
      </c>
      <c r="R810" s="27" t="s">
        <v>7</v>
      </c>
      <c r="S810" s="27" t="s">
        <v>8</v>
      </c>
    </row>
    <row r="811" spans="1:21" x14ac:dyDescent="0.25">
      <c r="A811" s="7">
        <v>1.184572170262178E-2</v>
      </c>
      <c r="B811"/>
      <c r="C811"/>
      <c r="D811"/>
      <c r="E811"/>
      <c r="L811" s="27" t="s">
        <v>7</v>
      </c>
      <c r="M811" s="27" t="s">
        <v>8</v>
      </c>
      <c r="N811" s="27" t="s">
        <v>7</v>
      </c>
      <c r="O811" s="27" t="s">
        <v>8</v>
      </c>
      <c r="P811" s="27" t="s">
        <v>7</v>
      </c>
      <c r="Q811" s="27" t="s">
        <v>8</v>
      </c>
      <c r="R811" s="27" t="s">
        <v>7</v>
      </c>
      <c r="S811" s="27" t="s">
        <v>8</v>
      </c>
    </row>
    <row r="812" spans="1:21" x14ac:dyDescent="0.25">
      <c r="A812" s="7">
        <v>1.1613452649629196E-2</v>
      </c>
      <c r="B812"/>
      <c r="C812"/>
      <c r="D812"/>
      <c r="E812"/>
      <c r="L812" s="27" t="s">
        <v>7</v>
      </c>
      <c r="M812" s="27" t="s">
        <v>8</v>
      </c>
      <c r="N812" s="27" t="s">
        <v>7</v>
      </c>
      <c r="O812" s="27" t="s">
        <v>8</v>
      </c>
      <c r="P812" s="27" t="s">
        <v>7</v>
      </c>
      <c r="Q812" s="27" t="s">
        <v>8</v>
      </c>
      <c r="R812" s="27" t="s">
        <v>7</v>
      </c>
    </row>
    <row r="813" spans="1:21" x14ac:dyDescent="0.25">
      <c r="A813" s="7">
        <v>1.138573789179333E-2</v>
      </c>
      <c r="B813"/>
      <c r="C813"/>
      <c r="D813"/>
      <c r="E813"/>
      <c r="L813" s="27" t="s">
        <v>7</v>
      </c>
      <c r="M813" s="27" t="s">
        <v>8</v>
      </c>
      <c r="N813" s="27" t="s">
        <v>7</v>
      </c>
      <c r="O813" s="27" t="s">
        <v>8</v>
      </c>
      <c r="P813" s="27" t="s">
        <v>7</v>
      </c>
      <c r="Q813" s="27" t="s">
        <v>8</v>
      </c>
    </row>
    <row r="814" spans="1:21" x14ac:dyDescent="0.25">
      <c r="A814" s="7">
        <v>1.1162488129209149E-2</v>
      </c>
      <c r="B814"/>
      <c r="C814"/>
      <c r="D814"/>
      <c r="E814"/>
      <c r="L814" s="27" t="s">
        <v>7</v>
      </c>
      <c r="M814" s="27" t="s">
        <v>8</v>
      </c>
      <c r="N814" s="27" t="s">
        <v>7</v>
      </c>
      <c r="O814" s="27" t="s">
        <v>8</v>
      </c>
      <c r="P814" s="27" t="s">
        <v>7</v>
      </c>
    </row>
    <row r="815" spans="1:21" x14ac:dyDescent="0.25">
      <c r="A815" s="7">
        <v>1.0943615812950145E-2</v>
      </c>
      <c r="B815"/>
      <c r="C815"/>
      <c r="D815"/>
      <c r="E815"/>
      <c r="L815" s="27" t="s">
        <v>7</v>
      </c>
      <c r="M815" s="27" t="s">
        <v>8</v>
      </c>
      <c r="N815" s="27" t="s">
        <v>7</v>
      </c>
      <c r="O815" s="27" t="s">
        <v>8</v>
      </c>
    </row>
    <row r="816" spans="1:21" x14ac:dyDescent="0.25">
      <c r="A816" s="7">
        <v>1.0729035110735436E-2</v>
      </c>
      <c r="B816"/>
      <c r="C816"/>
      <c r="D816"/>
      <c r="E816"/>
      <c r="L816" s="27" t="s">
        <v>7</v>
      </c>
      <c r="M816" s="27" t="s">
        <v>8</v>
      </c>
      <c r="N816" s="27" t="s">
        <v>7</v>
      </c>
      <c r="O816" s="27" t="s">
        <v>8</v>
      </c>
    </row>
    <row r="817" spans="1:15" x14ac:dyDescent="0.25">
      <c r="A817" s="7">
        <v>1.0518661873270036E-2</v>
      </c>
      <c r="B817"/>
      <c r="C817"/>
      <c r="D817"/>
      <c r="E817"/>
      <c r="L817" s="27" t="s">
        <v>7</v>
      </c>
      <c r="M817" s="27" t="s">
        <v>8</v>
      </c>
      <c r="N817" s="27" t="s">
        <v>7</v>
      </c>
      <c r="O817" s="27" t="s">
        <v>8</v>
      </c>
    </row>
    <row r="818" spans="1:15" x14ac:dyDescent="0.25">
      <c r="A818" s="7">
        <v>1.0312413601245135E-2</v>
      </c>
      <c r="B818"/>
      <c r="C818"/>
      <c r="D818"/>
      <c r="E818"/>
      <c r="L818" s="27" t="s">
        <v>7</v>
      </c>
      <c r="M818" s="27" t="s">
        <v>8</v>
      </c>
      <c r="N818" s="27" t="s">
        <v>7</v>
      </c>
      <c r="O818" s="27" t="s">
        <v>8</v>
      </c>
    </row>
    <row r="819" spans="1:15" x14ac:dyDescent="0.25">
      <c r="A819" s="7">
        <v>1.0110209412985426E-2</v>
      </c>
      <c r="B819"/>
      <c r="C819"/>
      <c r="D819"/>
      <c r="E819"/>
      <c r="L819" s="27" t="s">
        <v>7</v>
      </c>
      <c r="M819" s="27" t="s">
        <v>8</v>
      </c>
      <c r="N819" s="27" t="s">
        <v>7</v>
      </c>
      <c r="O819" s="27" t="s">
        <v>8</v>
      </c>
    </row>
    <row r="820" spans="1:15" x14ac:dyDescent="0.25">
      <c r="A820" s="7">
        <v>9.9119700127308103E-3</v>
      </c>
      <c r="B820"/>
      <c r="C820"/>
      <c r="D820"/>
      <c r="E820"/>
      <c r="L820" s="27" t="s">
        <v>7</v>
      </c>
      <c r="M820" s="27" t="s">
        <v>8</v>
      </c>
      <c r="N820" s="27" t="s">
        <v>7</v>
      </c>
      <c r="O820" s="27" t="s">
        <v>8</v>
      </c>
    </row>
    <row r="821" spans="1:15" x14ac:dyDescent="0.25">
      <c r="A821" s="7">
        <v>9.717617659540009E-3</v>
      </c>
      <c r="B821"/>
      <c r="C821"/>
      <c r="D821"/>
      <c r="E821"/>
      <c r="L821" s="27" t="s">
        <v>7</v>
      </c>
      <c r="M821" s="27" t="s">
        <v>8</v>
      </c>
      <c r="N821" s="27" t="s">
        <v>7</v>
      </c>
    </row>
    <row r="822" spans="1:15" x14ac:dyDescent="0.25">
      <c r="A822" s="7">
        <v>9.5270761368039299E-3</v>
      </c>
      <c r="B822"/>
      <c r="C822"/>
      <c r="D822"/>
      <c r="E822"/>
      <c r="L822" s="27" t="s">
        <v>7</v>
      </c>
      <c r="M822" s="27" t="s">
        <v>8</v>
      </c>
    </row>
    <row r="823" spans="1:15" x14ac:dyDescent="0.25">
      <c r="A823" s="7">
        <v>9.3402707223567936E-3</v>
      </c>
      <c r="B823"/>
      <c r="C823"/>
      <c r="D823"/>
      <c r="E823"/>
      <c r="L823" s="27" t="s">
        <v>7</v>
      </c>
      <c r="M823" s="27" t="s">
        <v>8</v>
      </c>
    </row>
    <row r="824" spans="1:15" x14ac:dyDescent="0.25">
      <c r="A824" s="7">
        <v>9.1571281591733261E-3</v>
      </c>
      <c r="B824"/>
      <c r="C824"/>
      <c r="D824"/>
      <c r="E824"/>
      <c r="L824" s="27" t="s">
        <v>7</v>
      </c>
      <c r="M824" s="27" t="s">
        <v>8</v>
      </c>
    </row>
    <row r="825" spans="1:15" x14ac:dyDescent="0.25">
      <c r="A825" s="7">
        <v>8.9775766266405148E-3</v>
      </c>
      <c r="B825"/>
      <c r="C825"/>
      <c r="D825"/>
      <c r="E825"/>
      <c r="L825" s="27" t="s">
        <v>7</v>
      </c>
      <c r="M825" s="27" t="s">
        <v>8</v>
      </c>
    </row>
    <row r="826" spans="1:15" x14ac:dyDescent="0.25">
      <c r="A826" s="7">
        <v>8.8015457123926614E-3</v>
      </c>
      <c r="B826"/>
      <c r="C826"/>
      <c r="D826"/>
      <c r="E826"/>
      <c r="L826" s="27" t="s">
        <v>7</v>
      </c>
      <c r="M826" s="27" t="s">
        <v>8</v>
      </c>
    </row>
    <row r="827" spans="1:15" x14ac:dyDescent="0.25">
      <c r="A827" s="7">
        <v>8.6289663846986879E-3</v>
      </c>
      <c r="B827"/>
      <c r="C827"/>
      <c r="D827"/>
      <c r="E827"/>
      <c r="L827" s="27" t="s">
        <v>7</v>
      </c>
    </row>
    <row r="828" spans="1:15" x14ac:dyDescent="0.25">
      <c r="A828" s="7">
        <v>8.4597709653908715E-3</v>
      </c>
      <c r="B828"/>
      <c r="C828"/>
      <c r="D828"/>
      <c r="E828"/>
    </row>
    <row r="829" spans="1:15" x14ac:dyDescent="0.25">
      <c r="A829" s="7">
        <v>8.2938931033243839E-3</v>
      </c>
      <c r="B829"/>
      <c r="C829"/>
      <c r="D829"/>
      <c r="E829"/>
    </row>
    <row r="830" spans="1:15" x14ac:dyDescent="0.25">
      <c r="A830" s="7">
        <v>8.1312677483572383E-3</v>
      </c>
      <c r="B830"/>
      <c r="C830"/>
      <c r="D830"/>
      <c r="E830"/>
    </row>
    <row r="831" spans="1:15" x14ac:dyDescent="0.25">
      <c r="A831" s="7">
        <v>7.9718311258404305E-3</v>
      </c>
      <c r="B831"/>
      <c r="C831"/>
      <c r="D831"/>
      <c r="E831"/>
    </row>
    <row r="832" spans="1:1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07" operator="equal">
      <formula>$U$1</formula>
    </cfRule>
    <cfRule type="cellIs" dxfId="89" priority="1108" operator="equal">
      <formula>$S$1</formula>
    </cfRule>
  </conditionalFormatting>
  <conditionalFormatting sqref="D27">
    <cfRule type="cellIs" dxfId="88" priority="1105" operator="equal">
      <formula>$S$1</formula>
    </cfRule>
    <cfRule type="cellIs" dxfId="87" priority="1106" operator="equal">
      <formula>$U$1</formula>
    </cfRule>
  </conditionalFormatting>
  <conditionalFormatting sqref="C164">
    <cfRule type="cellIs" dxfId="86" priority="1103" operator="equal">
      <formula>$U$1</formula>
    </cfRule>
    <cfRule type="cellIs" dxfId="85" priority="1104" operator="equal">
      <formula>$S$1</formula>
    </cfRule>
  </conditionalFormatting>
  <conditionalFormatting sqref="D164">
    <cfRule type="cellIs" dxfId="84" priority="1101" operator="equal">
      <formula>$S$1</formula>
    </cfRule>
    <cfRule type="cellIs" dxfId="83" priority="1102" operator="equal">
      <formula>$U$1</formula>
    </cfRule>
  </conditionalFormatting>
  <conditionalFormatting sqref="C55">
    <cfRule type="cellIs" dxfId="82" priority="1099" operator="equal">
      <formula>$U$1</formula>
    </cfRule>
    <cfRule type="cellIs" dxfId="81" priority="1100" operator="equal">
      <formula>$S$1</formula>
    </cfRule>
  </conditionalFormatting>
  <conditionalFormatting sqref="D55">
    <cfRule type="cellIs" dxfId="80" priority="1097" operator="equal">
      <formula>$S$1</formula>
    </cfRule>
    <cfRule type="cellIs" dxfId="79" priority="1098" operator="equal">
      <formula>$U$1</formula>
    </cfRule>
  </conditionalFormatting>
  <conditionalFormatting sqref="C89">
    <cfRule type="cellIs" dxfId="78" priority="1095" operator="equal">
      <formula>$U$1</formula>
    </cfRule>
    <cfRule type="cellIs" dxfId="77" priority="1096" operator="equal">
      <formula>$S$1</formula>
    </cfRule>
  </conditionalFormatting>
  <conditionalFormatting sqref="D89">
    <cfRule type="cellIs" dxfId="76" priority="1093" operator="equal">
      <formula>$S$1</formula>
    </cfRule>
    <cfRule type="cellIs" dxfId="75" priority="1094" operator="equal">
      <formula>$U$1</formula>
    </cfRule>
  </conditionalFormatting>
  <conditionalFormatting sqref="C136">
    <cfRule type="cellIs" dxfId="74" priority="1091" operator="equal">
      <formula>$U$1</formula>
    </cfRule>
    <cfRule type="cellIs" dxfId="73" priority="1092" operator="equal">
      <formula>$S$1</formula>
    </cfRule>
  </conditionalFormatting>
  <conditionalFormatting sqref="D136">
    <cfRule type="cellIs" dxfId="72" priority="1089" operator="equal">
      <formula>$S$1</formula>
    </cfRule>
    <cfRule type="cellIs" dxfId="71" priority="1090" operator="equal">
      <formula>$U$1</formula>
    </cfRule>
  </conditionalFormatting>
  <conditionalFormatting sqref="C1">
    <cfRule type="cellIs" dxfId="70" priority="108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60" zoomScale="90" zoomScaleNormal="90" workbookViewId="0">
      <pane xSplit="4" topLeftCell="EG1" activePane="topRight" state="frozen"/>
      <selection activeCell="A109" sqref="A109"/>
      <selection pane="topRight" activeCell="HC266" sqref="HC26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$A$265</v>
      </c>
      <c r="D111" s="1" t="str">
        <f>ADDRESS(C121-1,D121,1,1)</f>
        <v>$HC$265</v>
      </c>
      <c r="E111"/>
    </row>
    <row r="112" spans="1:5" x14ac:dyDescent="0.25">
      <c r="A112" s="30">
        <v>515.50191262726139</v>
      </c>
      <c r="C112" s="1" t="str">
        <f>ADDRESS(C121,1,1,1)</f>
        <v>$A$266</v>
      </c>
      <c r="D112" s="1" t="str">
        <f>ADDRESS(C121,D121-1,1,1)</f>
        <v>$HB$266</v>
      </c>
      <c r="E112"/>
    </row>
    <row r="113" spans="1:5" x14ac:dyDescent="0.25">
      <c r="A113" s="30">
        <v>490.95420250215363</v>
      </c>
      <c r="C113" s="1" t="str">
        <f>ADDRESS(C121+1,1,1,1)</f>
        <v>$A$267</v>
      </c>
      <c r="D113" s="1" t="str">
        <f>ADDRESS(C121-1,D121+1,1,1)</f>
        <v>$HD$265</v>
      </c>
    </row>
    <row r="114" spans="1:5" x14ac:dyDescent="0.25">
      <c r="A114" s="30">
        <v>467.57543095443202</v>
      </c>
      <c r="C114" s="1" t="str">
        <f>ADDRESS(C121,D121,1,1)</f>
        <v>$HC$266</v>
      </c>
      <c r="D114" s="1" t="str">
        <f>ADDRESS(C121+1,D121+1,1,1)</f>
        <v>$HD$267</v>
      </c>
    </row>
    <row r="115" spans="1:5" x14ac:dyDescent="0.25">
      <c r="A115" s="30">
        <v>445.30993424231622</v>
      </c>
      <c r="C115" s="1" t="str">
        <f>ADDRESS(C121+1,D121,1,1)</f>
        <v>$HC$267</v>
      </c>
    </row>
    <row r="116" spans="1:5" x14ac:dyDescent="0.25">
      <c r="A116" s="30">
        <v>424.10469927839637</v>
      </c>
      <c r="C116" s="1">
        <f>C117-1</f>
        <v>265</v>
      </c>
    </row>
    <row r="117" spans="1:5" x14ac:dyDescent="0.25">
      <c r="A117" s="30">
        <v>403.9092374079965</v>
      </c>
      <c r="C117" s="1">
        <f>C121</f>
        <v>266</v>
      </c>
      <c r="D117" s="1">
        <f>D121</f>
        <v>211</v>
      </c>
    </row>
    <row r="118" spans="1:5" x14ac:dyDescent="0.25">
      <c r="A118" s="30">
        <v>384.6754641980919</v>
      </c>
      <c r="C118" s="1">
        <f>C117+1</f>
        <v>267</v>
      </c>
      <c r="D118" s="1">
        <f>D117+1</f>
        <v>212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266</v>
      </c>
      <c r="D121" s="19">
        <v>211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R266</v>
      </c>
      <c r="D123" s="1" t="str">
        <f>"C"&amp;D121</f>
        <v>C211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0.28124073495024676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203" x14ac:dyDescent="0.25">
      <c r="A241" s="30">
        <v>0.952380952380952</v>
      </c>
      <c r="B241"/>
      <c r="C241"/>
      <c r="D241"/>
      <c r="E241"/>
      <c r="F241" s="27" t="s">
        <v>7</v>
      </c>
    </row>
    <row r="242" spans="1:203" x14ac:dyDescent="0.25">
      <c r="A242" s="30">
        <v>0.90702947845804915</v>
      </c>
      <c r="B242"/>
      <c r="C242"/>
      <c r="D242"/>
      <c r="E242"/>
      <c r="F242" s="27" t="s">
        <v>7</v>
      </c>
    </row>
    <row r="243" spans="1:203" x14ac:dyDescent="0.25">
      <c r="A243" s="30">
        <v>0.86383759853147501</v>
      </c>
      <c r="B243"/>
      <c r="C243"/>
      <c r="D243"/>
      <c r="E243"/>
      <c r="F243" s="27" t="s">
        <v>7</v>
      </c>
    </row>
    <row r="244" spans="1:203" x14ac:dyDescent="0.25">
      <c r="A244" s="30">
        <v>0.82270247479188063</v>
      </c>
      <c r="B244"/>
      <c r="C244"/>
      <c r="D244"/>
      <c r="E244"/>
      <c r="F244" s="27" t="s">
        <v>7</v>
      </c>
    </row>
    <row r="245" spans="1:203" x14ac:dyDescent="0.25">
      <c r="A245" s="30">
        <v>0.78352616646845741</v>
      </c>
      <c r="B245"/>
      <c r="C245"/>
      <c r="D245"/>
      <c r="E245"/>
      <c r="F245" s="27" t="s">
        <v>7</v>
      </c>
    </row>
    <row r="246" spans="1:203" x14ac:dyDescent="0.25">
      <c r="A246" s="30">
        <v>0.74621539663662584</v>
      </c>
      <c r="B246"/>
      <c r="C246"/>
      <c r="D246"/>
      <c r="E246"/>
      <c r="F246" s="27" t="s">
        <v>7</v>
      </c>
    </row>
    <row r="247" spans="1:203" x14ac:dyDescent="0.25">
      <c r="A247" s="30">
        <v>0.71068133013011958</v>
      </c>
      <c r="B247"/>
      <c r="C247"/>
      <c r="D247"/>
      <c r="E247"/>
      <c r="F247" s="27" t="s">
        <v>7</v>
      </c>
    </row>
    <row r="248" spans="1:203" x14ac:dyDescent="0.25">
      <c r="A248" s="30">
        <v>0.676839362028685</v>
      </c>
      <c r="B248"/>
      <c r="C248"/>
      <c r="D248"/>
      <c r="E248"/>
      <c r="F248" s="27" t="s">
        <v>7</v>
      </c>
      <c r="GC248" s="27" t="s">
        <v>8</v>
      </c>
      <c r="GK248" s="27" t="s">
        <v>8</v>
      </c>
    </row>
    <row r="249" spans="1:203" x14ac:dyDescent="0.25">
      <c r="A249" s="30">
        <v>0.64460891621779492</v>
      </c>
      <c r="B249"/>
      <c r="C249"/>
      <c r="D249"/>
      <c r="E249"/>
      <c r="F249" s="27" t="s">
        <v>7</v>
      </c>
      <c r="FY249" s="27" t="s">
        <v>8</v>
      </c>
      <c r="GA249" s="27" t="s">
        <v>8</v>
      </c>
      <c r="GC249" s="27" t="s">
        <v>8</v>
      </c>
      <c r="GD249" s="27" t="s">
        <v>7</v>
      </c>
      <c r="GK249" s="27" t="s">
        <v>8</v>
      </c>
      <c r="GL249" s="27" t="s">
        <v>7</v>
      </c>
    </row>
    <row r="250" spans="1:203" x14ac:dyDescent="0.25">
      <c r="A250" s="30">
        <v>0.61391325354075688</v>
      </c>
      <c r="B250"/>
      <c r="C250"/>
      <c r="D250"/>
      <c r="E250"/>
      <c r="F250" s="27" t="s">
        <v>7</v>
      </c>
      <c r="FY250" s="27" t="s">
        <v>8</v>
      </c>
      <c r="FZ250" s="27" t="s">
        <v>7</v>
      </c>
      <c r="GA250" s="27" t="s">
        <v>8</v>
      </c>
      <c r="GB250" s="27" t="s">
        <v>7</v>
      </c>
      <c r="GC250" s="27" t="s">
        <v>8</v>
      </c>
      <c r="GD250" s="27" t="s">
        <v>7</v>
      </c>
      <c r="GK250" s="27" t="s">
        <v>8</v>
      </c>
      <c r="GL250" s="27" t="s">
        <v>7</v>
      </c>
    </row>
    <row r="251" spans="1:203" x14ac:dyDescent="0.25">
      <c r="A251" s="30">
        <v>0.58467928908643485</v>
      </c>
      <c r="B251"/>
      <c r="C251"/>
      <c r="D251"/>
      <c r="E251"/>
      <c r="F251" s="27" t="s">
        <v>7</v>
      </c>
      <c r="DI251" s="27" t="s">
        <v>8</v>
      </c>
      <c r="FW251" s="27" t="s">
        <v>8</v>
      </c>
      <c r="FY251" s="27" t="s">
        <v>8</v>
      </c>
      <c r="FZ251" s="27" t="s">
        <v>7</v>
      </c>
      <c r="GA251" s="27" t="s">
        <v>8</v>
      </c>
      <c r="GB251" s="27" t="s">
        <v>7</v>
      </c>
      <c r="GC251" s="27" t="s">
        <v>8</v>
      </c>
      <c r="GD251" s="27" t="s">
        <v>7</v>
      </c>
      <c r="GE251" s="27" t="s">
        <v>8</v>
      </c>
      <c r="GK251" s="27" t="s">
        <v>8</v>
      </c>
      <c r="GL251" s="27" t="s">
        <v>7</v>
      </c>
    </row>
    <row r="252" spans="1:203" x14ac:dyDescent="0.25">
      <c r="A252" s="30">
        <v>0.55683741817755672</v>
      </c>
      <c r="B252"/>
      <c r="C252"/>
      <c r="D252"/>
      <c r="E252"/>
      <c r="F252" s="27" t="s">
        <v>7</v>
      </c>
      <c r="DI252" s="27" t="s">
        <v>8</v>
      </c>
      <c r="DJ252" s="27" t="s">
        <v>7</v>
      </c>
      <c r="DO252" s="27" t="s">
        <v>8</v>
      </c>
      <c r="FW252" s="27" t="s">
        <v>8</v>
      </c>
      <c r="FX252" s="27" t="s">
        <v>7</v>
      </c>
      <c r="FY252" s="27" t="s">
        <v>8</v>
      </c>
      <c r="FZ252" s="27" t="s">
        <v>7</v>
      </c>
      <c r="GA252" s="27" t="s">
        <v>8</v>
      </c>
      <c r="GB252" s="27" t="s">
        <v>7</v>
      </c>
      <c r="GD252" s="27" t="s">
        <v>7</v>
      </c>
      <c r="GE252" s="27" t="s">
        <v>8</v>
      </c>
      <c r="GF252" s="27" t="s">
        <v>7</v>
      </c>
      <c r="GG252" s="27" t="s">
        <v>8</v>
      </c>
      <c r="GI252" s="27" t="s">
        <v>8</v>
      </c>
      <c r="GK252" s="27" t="s">
        <v>8</v>
      </c>
      <c r="GL252" s="27" t="s">
        <v>7</v>
      </c>
    </row>
    <row r="253" spans="1:203" x14ac:dyDescent="0.25">
      <c r="A253" s="30">
        <v>0.53032135064529184</v>
      </c>
      <c r="B253"/>
      <c r="C253"/>
      <c r="D253"/>
      <c r="E253"/>
      <c r="F253" s="27" t="s">
        <v>7</v>
      </c>
      <c r="DI253" s="27" t="s">
        <v>8</v>
      </c>
      <c r="DJ253" s="27" t="s">
        <v>7</v>
      </c>
      <c r="DO253" s="27" t="s">
        <v>8</v>
      </c>
      <c r="DP253" s="27" t="s">
        <v>7</v>
      </c>
      <c r="FW253" s="27" t="s">
        <v>8</v>
      </c>
      <c r="FX253" s="27" t="s">
        <v>7</v>
      </c>
      <c r="FY253" s="27" t="s">
        <v>8</v>
      </c>
      <c r="FZ253" s="27" t="s">
        <v>7</v>
      </c>
      <c r="GA253" s="27" t="s">
        <v>8</v>
      </c>
      <c r="GD253" s="27" t="s">
        <v>7</v>
      </c>
      <c r="GE253" s="27" t="s">
        <v>8</v>
      </c>
      <c r="GF253" s="27" t="s">
        <v>7</v>
      </c>
      <c r="GG253" s="27" t="s">
        <v>8</v>
      </c>
      <c r="GH253" s="27" t="s">
        <v>7</v>
      </c>
      <c r="GI253" s="27" t="s">
        <v>8</v>
      </c>
      <c r="GJ253" s="27" t="s">
        <v>7</v>
      </c>
      <c r="GK253" s="27" t="s">
        <v>8</v>
      </c>
      <c r="GL253" s="27" t="s">
        <v>7</v>
      </c>
    </row>
    <row r="254" spans="1:203" x14ac:dyDescent="0.25">
      <c r="A254" s="30">
        <v>0.50506795299551588</v>
      </c>
      <c r="B254"/>
      <c r="C254"/>
      <c r="D254"/>
      <c r="E254"/>
      <c r="F254" s="27" t="s">
        <v>7</v>
      </c>
      <c r="DI254" s="27" t="s">
        <v>8</v>
      </c>
      <c r="DJ254" s="27" t="s">
        <v>7</v>
      </c>
      <c r="DO254" s="27" t="s">
        <v>8</v>
      </c>
      <c r="DP254" s="27" t="s">
        <v>7</v>
      </c>
      <c r="DQ254" s="27" t="s">
        <v>8</v>
      </c>
      <c r="FW254" s="27" t="s">
        <v>8</v>
      </c>
      <c r="FX254" s="27" t="s">
        <v>7</v>
      </c>
      <c r="FY254" s="27" t="s">
        <v>8</v>
      </c>
      <c r="FZ254" s="27" t="s">
        <v>7</v>
      </c>
      <c r="GD254" s="27" t="s">
        <v>7</v>
      </c>
      <c r="GF254" s="27" t="s">
        <v>7</v>
      </c>
      <c r="GG254" s="27" t="s">
        <v>8</v>
      </c>
      <c r="GH254" s="27" t="s">
        <v>7</v>
      </c>
      <c r="GI254" s="27" t="s">
        <v>8</v>
      </c>
      <c r="GJ254" s="27" t="s">
        <v>7</v>
      </c>
      <c r="GK254" s="27" t="s">
        <v>8</v>
      </c>
      <c r="GL254" s="27" t="s">
        <v>7</v>
      </c>
      <c r="GM254" s="27" t="s">
        <v>8</v>
      </c>
    </row>
    <row r="255" spans="1:203" x14ac:dyDescent="0.25">
      <c r="A255" s="30">
        <v>0.48101709809096732</v>
      </c>
      <c r="E255"/>
      <c r="F255" s="27" t="s">
        <v>7</v>
      </c>
      <c r="DI255" s="27" t="s">
        <v>8</v>
      </c>
      <c r="DJ255" s="27" t="s">
        <v>7</v>
      </c>
      <c r="DO255" s="27" t="s">
        <v>8</v>
      </c>
      <c r="DP255" s="27" t="s">
        <v>7</v>
      </c>
      <c r="DQ255" s="27" t="s">
        <v>8</v>
      </c>
      <c r="DR255" s="27" t="s">
        <v>7</v>
      </c>
      <c r="EK255" s="31" t="s">
        <v>8</v>
      </c>
      <c r="FK255" s="27" t="s">
        <v>8</v>
      </c>
      <c r="FW255" s="27" t="s">
        <v>8</v>
      </c>
      <c r="FX255" s="27" t="s">
        <v>7</v>
      </c>
      <c r="GF255" s="27" t="s">
        <v>7</v>
      </c>
      <c r="GH255" s="27" t="s">
        <v>7</v>
      </c>
      <c r="GJ255" s="27" t="s">
        <v>7</v>
      </c>
      <c r="GK255" s="27" t="s">
        <v>8</v>
      </c>
      <c r="GL255" s="27" t="s">
        <v>7</v>
      </c>
      <c r="GM255" s="27" t="s">
        <v>8</v>
      </c>
      <c r="GN255" s="27" t="s">
        <v>7</v>
      </c>
    </row>
    <row r="256" spans="1:203" x14ac:dyDescent="0.25">
      <c r="A256" s="30">
        <v>0.45811152199139726</v>
      </c>
      <c r="E256"/>
      <c r="F256" s="27" t="s">
        <v>7</v>
      </c>
      <c r="DI256" s="27" t="s">
        <v>8</v>
      </c>
      <c r="DJ256" s="27" t="s">
        <v>7</v>
      </c>
      <c r="DK256" s="27" t="s">
        <v>8</v>
      </c>
      <c r="DO256" s="27" t="s">
        <v>8</v>
      </c>
      <c r="DP256" s="27" t="s">
        <v>7</v>
      </c>
      <c r="DQ256" s="27" t="s">
        <v>8</v>
      </c>
      <c r="DR256" s="27" t="s">
        <v>7</v>
      </c>
      <c r="EK256" s="27" t="s">
        <v>8</v>
      </c>
      <c r="EL256" s="31" t="s">
        <v>7</v>
      </c>
      <c r="FK256" s="27" t="s">
        <v>8</v>
      </c>
      <c r="FL256" s="27" t="s">
        <v>7</v>
      </c>
      <c r="FW256" s="27" t="s">
        <v>8</v>
      </c>
      <c r="GJ256" s="27" t="s">
        <v>7</v>
      </c>
      <c r="GK256" s="27" t="s">
        <v>8</v>
      </c>
      <c r="GL256" s="27" t="s">
        <v>7</v>
      </c>
      <c r="GM256" s="27" t="s">
        <v>8</v>
      </c>
      <c r="GN256" s="27" t="s">
        <v>7</v>
      </c>
      <c r="GU256" s="27" t="s">
        <v>8</v>
      </c>
    </row>
    <row r="257" spans="1:211" x14ac:dyDescent="0.25">
      <c r="A257" s="30">
        <v>0.43629668761085438</v>
      </c>
      <c r="B257"/>
      <c r="C257"/>
      <c r="D257"/>
      <c r="E257"/>
      <c r="F257" s="27" t="s">
        <v>7</v>
      </c>
      <c r="DI257" s="27" t="s">
        <v>8</v>
      </c>
      <c r="DJ257" s="27" t="s">
        <v>7</v>
      </c>
      <c r="DK257" s="27" t="s">
        <v>8</v>
      </c>
      <c r="DL257" s="27" t="s">
        <v>7</v>
      </c>
      <c r="DO257" s="27" t="s">
        <v>8</v>
      </c>
      <c r="DP257" s="27" t="s">
        <v>7</v>
      </c>
      <c r="DQ257" s="27" t="s">
        <v>8</v>
      </c>
      <c r="DR257" s="27" t="s">
        <v>7</v>
      </c>
      <c r="DS257" s="27" t="s">
        <v>8</v>
      </c>
      <c r="EK257" s="27" t="s">
        <v>8</v>
      </c>
      <c r="EL257" s="27" t="s">
        <v>7</v>
      </c>
      <c r="EM257" s="31"/>
      <c r="FK257" s="27" t="s">
        <v>8</v>
      </c>
      <c r="FL257" s="27" t="s">
        <v>7</v>
      </c>
      <c r="FU257" s="27" t="s">
        <v>8</v>
      </c>
      <c r="FW257" s="27" t="s">
        <v>8</v>
      </c>
      <c r="GJ257" s="27" t="s">
        <v>7</v>
      </c>
      <c r="GL257" s="27" t="s">
        <v>7</v>
      </c>
      <c r="GM257" s="27" t="s">
        <v>8</v>
      </c>
      <c r="GN257" s="27" t="s">
        <v>7</v>
      </c>
      <c r="GU257" s="27" t="s">
        <v>8</v>
      </c>
      <c r="GV257" s="27" t="s">
        <v>7</v>
      </c>
    </row>
    <row r="258" spans="1:211" x14ac:dyDescent="0.25">
      <c r="A258" s="30">
        <v>0.41552065486748019</v>
      </c>
      <c r="B258"/>
      <c r="C258"/>
      <c r="D258"/>
      <c r="E258"/>
      <c r="F258" s="27" t="s">
        <v>7</v>
      </c>
      <c r="DI258" s="27" t="s">
        <v>8</v>
      </c>
      <c r="DJ258" s="27" t="s">
        <v>7</v>
      </c>
      <c r="DK258" s="27" t="s">
        <v>8</v>
      </c>
      <c r="DL258" s="27" t="s">
        <v>7</v>
      </c>
      <c r="DM258" s="27" t="s">
        <v>8</v>
      </c>
      <c r="DO258" s="27" t="s">
        <v>8</v>
      </c>
      <c r="DP258" s="27" t="s">
        <v>7</v>
      </c>
      <c r="DQ258" s="27" t="s">
        <v>8</v>
      </c>
      <c r="DR258" s="27" t="s">
        <v>7</v>
      </c>
      <c r="DS258" s="27" t="s">
        <v>8</v>
      </c>
      <c r="DT258" s="27" t="s">
        <v>7</v>
      </c>
      <c r="DU258" s="27" t="s">
        <v>8</v>
      </c>
      <c r="EE258" s="27" t="s">
        <v>8</v>
      </c>
      <c r="EK258" s="27" t="s">
        <v>8</v>
      </c>
      <c r="EL258" s="27" t="s">
        <v>7</v>
      </c>
      <c r="EN258" s="31"/>
      <c r="FK258" s="27" t="s">
        <v>8</v>
      </c>
      <c r="FL258" s="27" t="s">
        <v>7</v>
      </c>
      <c r="FM258" s="27" t="s">
        <v>8</v>
      </c>
      <c r="FU258" s="27" t="s">
        <v>8</v>
      </c>
      <c r="FV258" s="27" t="s">
        <v>7</v>
      </c>
      <c r="FW258" s="27" t="s">
        <v>8</v>
      </c>
      <c r="GL258" s="27" t="s">
        <v>7</v>
      </c>
      <c r="GM258" s="27" t="s">
        <v>8</v>
      </c>
      <c r="GN258" s="27" t="s">
        <v>7</v>
      </c>
      <c r="GU258" s="27" t="s">
        <v>8</v>
      </c>
      <c r="GV258" s="27" t="s">
        <v>7</v>
      </c>
      <c r="GW258" s="27" t="s">
        <v>8</v>
      </c>
      <c r="GY258" s="27" t="s">
        <v>8</v>
      </c>
    </row>
    <row r="259" spans="1:211" x14ac:dyDescent="0.25">
      <c r="A259" s="30">
        <v>0.39573395701664765</v>
      </c>
      <c r="B259"/>
      <c r="C259"/>
      <c r="D259"/>
      <c r="E259"/>
      <c r="F259" s="27" t="s">
        <v>7</v>
      </c>
      <c r="DI259" s="27" t="s">
        <v>8</v>
      </c>
      <c r="DJ259" s="27" t="s">
        <v>7</v>
      </c>
      <c r="DK259" s="27" t="s">
        <v>8</v>
      </c>
      <c r="DL259" s="27" t="s">
        <v>7</v>
      </c>
      <c r="DM259" s="27" t="s">
        <v>8</v>
      </c>
      <c r="DN259" s="27" t="s">
        <v>7</v>
      </c>
      <c r="DO259" s="27" t="s">
        <v>8</v>
      </c>
      <c r="DP259" s="27" t="s">
        <v>7</v>
      </c>
      <c r="DQ259" s="27" t="s">
        <v>8</v>
      </c>
      <c r="DR259" s="27" t="s">
        <v>7</v>
      </c>
      <c r="DS259" s="27" t="s">
        <v>8</v>
      </c>
      <c r="DT259" s="27" t="s">
        <v>7</v>
      </c>
      <c r="DU259" s="27" t="s">
        <v>8</v>
      </c>
      <c r="DV259" s="27" t="s">
        <v>7</v>
      </c>
      <c r="DW259" s="27" t="s">
        <v>8</v>
      </c>
      <c r="EC259" s="27" t="s">
        <v>8</v>
      </c>
      <c r="EE259" s="27" t="s">
        <v>8</v>
      </c>
      <c r="EF259" s="27" t="s">
        <v>7</v>
      </c>
      <c r="EG259" s="27" t="s">
        <v>8</v>
      </c>
      <c r="EI259" s="27" t="s">
        <v>8</v>
      </c>
      <c r="EK259" s="27" t="s">
        <v>8</v>
      </c>
      <c r="EL259" s="27" t="s">
        <v>7</v>
      </c>
      <c r="EO259" s="31"/>
      <c r="FK259" s="27" t="s">
        <v>8</v>
      </c>
      <c r="FL259" s="27" t="s">
        <v>7</v>
      </c>
      <c r="FM259" s="27" t="s">
        <v>8</v>
      </c>
      <c r="FN259" s="27" t="s">
        <v>7</v>
      </c>
      <c r="FO259" s="27" t="s">
        <v>8</v>
      </c>
      <c r="FU259" s="27" t="s">
        <v>8</v>
      </c>
      <c r="FV259" s="27" t="s">
        <v>7</v>
      </c>
      <c r="FW259" s="27" t="s">
        <v>8</v>
      </c>
      <c r="GL259" s="27" t="s">
        <v>7</v>
      </c>
      <c r="GM259" s="27" t="s">
        <v>8</v>
      </c>
      <c r="GN259" s="27" t="s">
        <v>7</v>
      </c>
      <c r="GU259" s="27" t="s">
        <v>8</v>
      </c>
      <c r="GV259" s="27" t="s">
        <v>7</v>
      </c>
      <c r="GW259" s="27" t="s">
        <v>8</v>
      </c>
      <c r="GX259" s="27" t="s">
        <v>7</v>
      </c>
      <c r="GY259" s="27" t="s">
        <v>8</v>
      </c>
      <c r="GZ259" s="27" t="s">
        <v>7</v>
      </c>
    </row>
    <row r="260" spans="1:211" x14ac:dyDescent="0.25">
      <c r="A260" s="30">
        <v>0.37688948287299762</v>
      </c>
      <c r="B260"/>
      <c r="C260"/>
      <c r="D260"/>
      <c r="E260"/>
      <c r="F260" s="27" t="s">
        <v>7</v>
      </c>
      <c r="DI260" s="27" t="s">
        <v>8</v>
      </c>
      <c r="DJ260" s="27" t="s">
        <v>7</v>
      </c>
      <c r="DL260" s="27" t="s">
        <v>7</v>
      </c>
      <c r="DM260" s="27" t="s">
        <v>8</v>
      </c>
      <c r="DN260" s="27" t="s">
        <v>7</v>
      </c>
      <c r="DO260" s="27" t="s">
        <v>8</v>
      </c>
      <c r="DP260" s="27" t="s">
        <v>7</v>
      </c>
      <c r="DR260" s="27" t="s">
        <v>7</v>
      </c>
      <c r="DT260" s="27" t="s">
        <v>7</v>
      </c>
      <c r="DU260" s="27" t="s">
        <v>8</v>
      </c>
      <c r="DV260" s="27" t="s">
        <v>7</v>
      </c>
      <c r="DW260" s="27" t="s">
        <v>8</v>
      </c>
      <c r="DX260" s="27" t="s">
        <v>7</v>
      </c>
      <c r="DY260" s="27" t="s">
        <v>8</v>
      </c>
      <c r="EC260" s="27" t="s">
        <v>8</v>
      </c>
      <c r="ED260" s="27" t="s">
        <v>7</v>
      </c>
      <c r="EE260" s="27" t="s">
        <v>8</v>
      </c>
      <c r="EF260" s="27" t="s">
        <v>7</v>
      </c>
      <c r="EG260" s="27" t="s">
        <v>8</v>
      </c>
      <c r="EH260" s="27" t="s">
        <v>7</v>
      </c>
      <c r="EI260" s="27" t="s">
        <v>8</v>
      </c>
      <c r="EJ260" s="27" t="s">
        <v>7</v>
      </c>
      <c r="EK260" s="27" t="s">
        <v>8</v>
      </c>
      <c r="EL260" s="27" t="s">
        <v>7</v>
      </c>
      <c r="EP260" s="31"/>
      <c r="FK260" s="27" t="s">
        <v>8</v>
      </c>
      <c r="FL260" s="27" t="s">
        <v>7</v>
      </c>
      <c r="FM260" s="27" t="s">
        <v>8</v>
      </c>
      <c r="FN260" s="27" t="s">
        <v>7</v>
      </c>
      <c r="FO260" s="27" t="s">
        <v>8</v>
      </c>
      <c r="FP260" s="27" t="s">
        <v>7</v>
      </c>
      <c r="FU260" s="27" t="s">
        <v>8</v>
      </c>
      <c r="FV260" s="27" t="s">
        <v>7</v>
      </c>
      <c r="FW260" s="27" t="s">
        <v>8</v>
      </c>
      <c r="GL260" s="27" t="s">
        <v>7</v>
      </c>
      <c r="GM260" s="27" t="s">
        <v>8</v>
      </c>
      <c r="GN260" s="27" t="s">
        <v>7</v>
      </c>
      <c r="GO260" s="27" t="s">
        <v>8</v>
      </c>
      <c r="GQ260" s="27" t="s">
        <v>8</v>
      </c>
      <c r="GU260" s="27" t="s">
        <v>8</v>
      </c>
      <c r="GV260" s="27" t="s">
        <v>7</v>
      </c>
      <c r="GW260" s="27" t="s">
        <v>8</v>
      </c>
      <c r="GX260" s="27" t="s">
        <v>7</v>
      </c>
      <c r="GY260" s="27" t="s">
        <v>8</v>
      </c>
      <c r="GZ260" s="27" t="s">
        <v>7</v>
      </c>
    </row>
    <row r="261" spans="1:211" x14ac:dyDescent="0.25">
      <c r="A261" s="30">
        <v>0.35894236464094997</v>
      </c>
      <c r="B261"/>
      <c r="C261"/>
      <c r="D261"/>
      <c r="E261"/>
      <c r="F261" s="27" t="s">
        <v>7</v>
      </c>
      <c r="DI261" s="27" t="s">
        <v>8</v>
      </c>
      <c r="DL261" s="27" t="s">
        <v>7</v>
      </c>
      <c r="DM261" s="27" t="s">
        <v>8</v>
      </c>
      <c r="DN261" s="27" t="s">
        <v>7</v>
      </c>
      <c r="DT261" s="27" t="s">
        <v>7</v>
      </c>
      <c r="DU261" s="27" t="s">
        <v>8</v>
      </c>
      <c r="DV261" s="27" t="s">
        <v>7</v>
      </c>
      <c r="DW261" s="27" t="s">
        <v>8</v>
      </c>
      <c r="DX261" s="27" t="s">
        <v>7</v>
      </c>
      <c r="DY261" s="27" t="s">
        <v>8</v>
      </c>
      <c r="DZ261" s="27" t="s">
        <v>7</v>
      </c>
      <c r="EC261" s="27" t="s">
        <v>8</v>
      </c>
      <c r="ED261" s="27" t="s">
        <v>7</v>
      </c>
      <c r="EE261" s="27" t="s">
        <v>8</v>
      </c>
      <c r="EF261" s="27" t="s">
        <v>7</v>
      </c>
      <c r="EG261" s="27" t="s">
        <v>8</v>
      </c>
      <c r="EH261" s="27" t="s">
        <v>7</v>
      </c>
      <c r="EI261" s="27" t="s">
        <v>8</v>
      </c>
      <c r="EJ261" s="27" t="s">
        <v>7</v>
      </c>
      <c r="EK261" s="27" t="s">
        <v>8</v>
      </c>
      <c r="EL261" s="27" t="s">
        <v>7</v>
      </c>
      <c r="EQ261" s="31"/>
      <c r="FK261" s="27" t="s">
        <v>8</v>
      </c>
      <c r="FL261" s="27" t="s">
        <v>7</v>
      </c>
      <c r="FN261" s="27" t="s">
        <v>7</v>
      </c>
      <c r="FO261" s="27" t="s">
        <v>8</v>
      </c>
      <c r="FP261" s="27" t="s">
        <v>7</v>
      </c>
      <c r="FU261" s="27" t="s">
        <v>8</v>
      </c>
      <c r="FV261" s="27" t="s">
        <v>7</v>
      </c>
      <c r="FW261" s="27" t="s">
        <v>8</v>
      </c>
      <c r="GL261" s="27" t="s">
        <v>7</v>
      </c>
      <c r="GN261" s="27" t="s">
        <v>7</v>
      </c>
      <c r="GO261" s="27" t="s">
        <v>8</v>
      </c>
      <c r="GP261" s="27" t="s">
        <v>7</v>
      </c>
      <c r="GQ261" s="27" t="s">
        <v>8</v>
      </c>
      <c r="GR261" s="27" t="s">
        <v>7</v>
      </c>
      <c r="GS261" s="27" t="s">
        <v>8</v>
      </c>
      <c r="GU261" s="27" t="s">
        <v>8</v>
      </c>
      <c r="GV261" s="27" t="s">
        <v>7</v>
      </c>
      <c r="GX261" s="27" t="s">
        <v>7</v>
      </c>
      <c r="GY261" s="27" t="s">
        <v>8</v>
      </c>
      <c r="GZ261" s="27" t="s">
        <v>7</v>
      </c>
    </row>
    <row r="262" spans="1:211" x14ac:dyDescent="0.25">
      <c r="A262" s="30">
        <v>0.34184987108661891</v>
      </c>
      <c r="B262"/>
      <c r="C262"/>
      <c r="D262"/>
      <c r="E262"/>
      <c r="F262" s="27" t="s">
        <v>7</v>
      </c>
      <c r="DI262" s="27" t="s">
        <v>8</v>
      </c>
      <c r="DL262" s="27" t="s">
        <v>7</v>
      </c>
      <c r="DM262" s="27" t="s">
        <v>8</v>
      </c>
      <c r="DT262" s="27" t="s">
        <v>7</v>
      </c>
      <c r="DU262" s="27" t="s">
        <v>8</v>
      </c>
      <c r="DV262" s="27" t="s">
        <v>7</v>
      </c>
      <c r="DW262" s="27" t="s">
        <v>8</v>
      </c>
      <c r="DX262" s="27" t="s">
        <v>7</v>
      </c>
      <c r="DY262" s="27" t="s">
        <v>8</v>
      </c>
      <c r="DZ262" s="27" t="s">
        <v>7</v>
      </c>
      <c r="EC262" s="27" t="s">
        <v>8</v>
      </c>
      <c r="ED262" s="27" t="s">
        <v>7</v>
      </c>
      <c r="EF262" s="27" t="s">
        <v>7</v>
      </c>
      <c r="EG262" s="27" t="s">
        <v>8</v>
      </c>
      <c r="EH262" s="27" t="s">
        <v>7</v>
      </c>
      <c r="EI262" s="27" t="s">
        <v>8</v>
      </c>
      <c r="EJ262" s="27" t="s">
        <v>7</v>
      </c>
      <c r="EK262" s="27" t="s">
        <v>8</v>
      </c>
      <c r="EL262" s="27" t="s">
        <v>7</v>
      </c>
      <c r="ER262" s="31"/>
      <c r="FK262" s="27" t="s">
        <v>8</v>
      </c>
      <c r="FN262" s="27" t="s">
        <v>7</v>
      </c>
      <c r="FO262" s="27" t="s">
        <v>8</v>
      </c>
      <c r="FP262" s="27" t="s">
        <v>7</v>
      </c>
      <c r="FQ262" s="27" t="s">
        <v>8</v>
      </c>
      <c r="FS262" s="27" t="s">
        <v>8</v>
      </c>
      <c r="FU262" s="27" t="s">
        <v>8</v>
      </c>
      <c r="FV262" s="27" t="s">
        <v>7</v>
      </c>
      <c r="FW262" s="27" t="s">
        <v>8</v>
      </c>
      <c r="GN262" s="27" t="s">
        <v>7</v>
      </c>
      <c r="GO262" s="27" t="s">
        <v>8</v>
      </c>
      <c r="GP262" s="27" t="s">
        <v>7</v>
      </c>
      <c r="GQ262" s="27" t="s">
        <v>8</v>
      </c>
      <c r="GR262" s="27" t="s">
        <v>7</v>
      </c>
      <c r="GS262" s="27" t="s">
        <v>8</v>
      </c>
      <c r="GT262" s="27" t="s">
        <v>7</v>
      </c>
      <c r="GU262" s="27" t="s">
        <v>8</v>
      </c>
      <c r="GX262" s="27" t="s">
        <v>7</v>
      </c>
      <c r="GY262" s="27" t="s">
        <v>8</v>
      </c>
      <c r="GZ262" s="27" t="s">
        <v>7</v>
      </c>
    </row>
    <row r="263" spans="1:211" x14ac:dyDescent="0.25">
      <c r="A263" s="30">
        <v>0.32557130579677979</v>
      </c>
      <c r="B263"/>
      <c r="C263"/>
      <c r="D263"/>
      <c r="E263"/>
      <c r="F263" s="27" t="s">
        <v>7</v>
      </c>
      <c r="DI263" s="27" t="s">
        <v>8</v>
      </c>
      <c r="DL263" s="27" t="s">
        <v>7</v>
      </c>
      <c r="DT263" s="27" t="s">
        <v>7</v>
      </c>
      <c r="DV263" s="27" t="s">
        <v>7</v>
      </c>
      <c r="DW263" s="27" t="s">
        <v>8</v>
      </c>
      <c r="DX263" s="27" t="s">
        <v>7</v>
      </c>
      <c r="DY263" s="27" t="s">
        <v>8</v>
      </c>
      <c r="DZ263" s="27" t="s">
        <v>7</v>
      </c>
      <c r="EC263" s="27" t="s">
        <v>8</v>
      </c>
      <c r="EF263" s="27" t="s">
        <v>7</v>
      </c>
      <c r="EH263" s="27" t="s">
        <v>7</v>
      </c>
      <c r="EI263" s="27" t="s">
        <v>8</v>
      </c>
      <c r="EJ263" s="27" t="s">
        <v>7</v>
      </c>
      <c r="EK263" s="27" t="s">
        <v>8</v>
      </c>
      <c r="EL263" s="27" t="s">
        <v>7</v>
      </c>
      <c r="ES263" s="31"/>
      <c r="FI263" s="27" t="s">
        <v>8</v>
      </c>
      <c r="FK263" s="27" t="s">
        <v>8</v>
      </c>
      <c r="FN263" s="27" t="s">
        <v>7</v>
      </c>
      <c r="FO263" s="27" t="s">
        <v>8</v>
      </c>
      <c r="FP263" s="27" t="s">
        <v>7</v>
      </c>
      <c r="FQ263" s="27" t="s">
        <v>8</v>
      </c>
      <c r="FR263" s="27" t="s">
        <v>7</v>
      </c>
      <c r="FS263" s="27" t="s">
        <v>8</v>
      </c>
      <c r="FT263" s="27" t="s">
        <v>7</v>
      </c>
      <c r="FU263" s="27" t="s">
        <v>8</v>
      </c>
      <c r="FV263" s="27" t="s">
        <v>7</v>
      </c>
      <c r="FW263" s="27" t="s">
        <v>8</v>
      </c>
      <c r="GN263" s="27" t="s">
        <v>7</v>
      </c>
      <c r="GO263" s="27" t="s">
        <v>8</v>
      </c>
      <c r="GP263" s="27" t="s">
        <v>7</v>
      </c>
      <c r="GQ263" s="27" t="s">
        <v>8</v>
      </c>
      <c r="GR263" s="27" t="s">
        <v>7</v>
      </c>
      <c r="GS263" s="27" t="s">
        <v>8</v>
      </c>
      <c r="GT263" s="27" t="s">
        <v>7</v>
      </c>
      <c r="GU263" s="27" t="s">
        <v>8</v>
      </c>
      <c r="GX263" s="27" t="s">
        <v>7</v>
      </c>
      <c r="GY263" s="27" t="s">
        <v>8</v>
      </c>
      <c r="GZ263" s="27" t="s">
        <v>7</v>
      </c>
    </row>
    <row r="264" spans="1:211" x14ac:dyDescent="0.25">
      <c r="A264" s="30">
        <v>0.3100679102826473</v>
      </c>
      <c r="B264"/>
      <c r="C264"/>
      <c r="D264"/>
      <c r="E264"/>
      <c r="F264" s="27" t="s">
        <v>7</v>
      </c>
      <c r="DI264" s="27" t="s">
        <v>8</v>
      </c>
      <c r="DV264" s="27" t="s">
        <v>7</v>
      </c>
      <c r="DX264" s="27" t="s">
        <v>7</v>
      </c>
      <c r="DY264" s="27" t="s">
        <v>8</v>
      </c>
      <c r="DZ264" s="27" t="s">
        <v>7</v>
      </c>
      <c r="EA264" s="27" t="s">
        <v>8</v>
      </c>
      <c r="EC264" s="27" t="s">
        <v>8</v>
      </c>
      <c r="EH264" s="27" t="s">
        <v>7</v>
      </c>
      <c r="EI264" s="27" t="s">
        <v>8</v>
      </c>
      <c r="EJ264" s="27" t="s">
        <v>7</v>
      </c>
      <c r="EL264" s="27" t="s">
        <v>7</v>
      </c>
      <c r="EM264" s="27" t="s">
        <v>8</v>
      </c>
      <c r="ET264" s="31"/>
      <c r="FI264" s="27" t="s">
        <v>8</v>
      </c>
      <c r="FJ264" s="27" t="s">
        <v>7</v>
      </c>
      <c r="FK264" s="27" t="s">
        <v>8</v>
      </c>
      <c r="FN264" s="27" t="s">
        <v>7</v>
      </c>
      <c r="FP264" s="27" t="s">
        <v>7</v>
      </c>
      <c r="FQ264" s="27" t="s">
        <v>8</v>
      </c>
      <c r="FR264" s="27" t="s">
        <v>7</v>
      </c>
      <c r="FS264" s="27" t="s">
        <v>8</v>
      </c>
      <c r="FT264" s="27" t="s">
        <v>7</v>
      </c>
      <c r="FU264" s="27" t="s">
        <v>8</v>
      </c>
      <c r="FV264" s="27" t="s">
        <v>7</v>
      </c>
      <c r="FW264" s="27" t="s">
        <v>8</v>
      </c>
      <c r="GN264" s="27" t="s">
        <v>7</v>
      </c>
      <c r="GO264" s="27" t="s">
        <v>8</v>
      </c>
      <c r="GP264" s="27" t="s">
        <v>7</v>
      </c>
      <c r="GR264" s="27" t="s">
        <v>7</v>
      </c>
      <c r="GS264" s="27" t="s">
        <v>8</v>
      </c>
      <c r="GT264" s="27" t="s">
        <v>7</v>
      </c>
      <c r="GU264" s="27" t="s">
        <v>8</v>
      </c>
      <c r="GX264" s="27" t="s">
        <v>7</v>
      </c>
      <c r="GZ264" s="27" t="s">
        <v>7</v>
      </c>
    </row>
    <row r="265" spans="1:211" x14ac:dyDescent="0.25">
      <c r="A265" s="30">
        <v>0.2953027716977592</v>
      </c>
      <c r="B265"/>
      <c r="C265"/>
      <c r="D265"/>
      <c r="E265"/>
      <c r="F265" s="27" t="s">
        <v>7</v>
      </c>
      <c r="DI265" s="27" t="s">
        <v>8</v>
      </c>
      <c r="DX265" s="27" t="s">
        <v>7</v>
      </c>
      <c r="DY265" s="27" t="s">
        <v>8</v>
      </c>
      <c r="DZ265" s="27" t="s">
        <v>7</v>
      </c>
      <c r="EA265" s="27" t="s">
        <v>8</v>
      </c>
      <c r="EB265" s="27" t="s">
        <v>7</v>
      </c>
      <c r="EC265" s="27" t="s">
        <v>8</v>
      </c>
      <c r="EH265" s="27" t="s">
        <v>7</v>
      </c>
      <c r="EL265" s="27" t="s">
        <v>7</v>
      </c>
      <c r="EM265" s="27" t="s">
        <v>8</v>
      </c>
      <c r="EN265" s="27" t="s">
        <v>7</v>
      </c>
      <c r="EU265" s="31"/>
      <c r="FI265" s="27" t="s">
        <v>8</v>
      </c>
      <c r="FJ265" s="27" t="s">
        <v>7</v>
      </c>
      <c r="FK265" s="27" t="s">
        <v>8</v>
      </c>
      <c r="FP265" s="27" t="s">
        <v>7</v>
      </c>
      <c r="FQ265" s="27" t="s">
        <v>8</v>
      </c>
      <c r="FR265" s="27" t="s">
        <v>7</v>
      </c>
      <c r="FT265" s="27" t="s">
        <v>7</v>
      </c>
      <c r="FU265" s="27" t="s">
        <v>8</v>
      </c>
      <c r="FV265" s="27" t="s">
        <v>7</v>
      </c>
      <c r="GN265" s="27" t="s">
        <v>7</v>
      </c>
      <c r="GO265" s="27" t="s">
        <v>8</v>
      </c>
      <c r="GR265" s="27" t="s">
        <v>7</v>
      </c>
      <c r="GT265" s="27" t="s">
        <v>7</v>
      </c>
      <c r="GZ265" s="27" t="s">
        <v>7</v>
      </c>
    </row>
    <row r="266" spans="1:211" x14ac:dyDescent="0.25">
      <c r="A266" s="30">
        <v>0.28124073495024676</v>
      </c>
      <c r="B266"/>
      <c r="C266"/>
      <c r="D266"/>
      <c r="E266"/>
      <c r="F266" s="27" t="s">
        <v>7</v>
      </c>
      <c r="DG266" s="27" t="s">
        <v>8</v>
      </c>
      <c r="DI266" s="27" t="s">
        <v>8</v>
      </c>
      <c r="DX266" s="27" t="s">
        <v>7</v>
      </c>
      <c r="DY266" s="27" t="s">
        <v>8</v>
      </c>
      <c r="DZ266" s="27" t="s">
        <v>7</v>
      </c>
      <c r="EA266" s="27" t="s">
        <v>8</v>
      </c>
      <c r="EB266" s="27" t="s">
        <v>7</v>
      </c>
      <c r="EC266" s="27" t="s">
        <v>8</v>
      </c>
      <c r="EL266" s="27" t="s">
        <v>7</v>
      </c>
      <c r="EM266" s="27" t="s">
        <v>8</v>
      </c>
      <c r="EN266" s="27" t="s">
        <v>7</v>
      </c>
      <c r="EV266" s="31"/>
      <c r="FI266" s="27" t="s">
        <v>8</v>
      </c>
      <c r="FJ266" s="27" t="s">
        <v>7</v>
      </c>
      <c r="FP266" s="27" t="s">
        <v>7</v>
      </c>
      <c r="FQ266" s="27" t="s">
        <v>8</v>
      </c>
      <c r="FT266" s="27" t="s">
        <v>7</v>
      </c>
      <c r="GN266" s="27" t="s">
        <v>7</v>
      </c>
      <c r="GO266" s="27" t="s">
        <v>8</v>
      </c>
      <c r="GZ266" s="27" t="s">
        <v>7</v>
      </c>
      <c r="HA266" s="27" t="s">
        <v>8</v>
      </c>
      <c r="HC266" s="27" t="s">
        <v>8</v>
      </c>
    </row>
    <row r="267" spans="1:211" x14ac:dyDescent="0.25">
      <c r="A267" s="30">
        <v>0.26784831900023492</v>
      </c>
      <c r="B267"/>
      <c r="C267"/>
      <c r="D267"/>
      <c r="E267"/>
      <c r="F267" s="27" t="s">
        <v>7</v>
      </c>
      <c r="DG267" s="27" t="s">
        <v>8</v>
      </c>
      <c r="DH267" s="27" t="s">
        <v>7</v>
      </c>
      <c r="DI267" s="27" t="s">
        <v>8</v>
      </c>
      <c r="DX267" s="27" t="s">
        <v>7</v>
      </c>
      <c r="DY267" s="27" t="s">
        <v>8</v>
      </c>
      <c r="DZ267" s="27" t="s">
        <v>7</v>
      </c>
      <c r="EA267" s="27" t="s">
        <v>8</v>
      </c>
      <c r="EB267" s="27" t="s">
        <v>7</v>
      </c>
      <c r="EC267" s="27" t="s">
        <v>8</v>
      </c>
      <c r="EL267" s="27" t="s">
        <v>7</v>
      </c>
      <c r="EM267" s="27" t="s">
        <v>8</v>
      </c>
      <c r="EN267" s="27" t="s">
        <v>7</v>
      </c>
      <c r="EQ267" s="27" t="s">
        <v>8</v>
      </c>
      <c r="ES267" s="27" t="s">
        <v>8</v>
      </c>
      <c r="EW267" s="31"/>
      <c r="FI267" s="27" t="s">
        <v>8</v>
      </c>
      <c r="FP267" s="27" t="s">
        <v>7</v>
      </c>
      <c r="FQ267" s="27" t="s">
        <v>8</v>
      </c>
      <c r="GN267" s="27" t="s">
        <v>7</v>
      </c>
      <c r="GO267" s="27" t="s">
        <v>8</v>
      </c>
      <c r="GZ267" s="27" t="s">
        <v>7</v>
      </c>
      <c r="HA267" s="27" t="s">
        <v>8</v>
      </c>
      <c r="HB267" s="27" t="s">
        <v>7</v>
      </c>
      <c r="HC267" s="27" t="s">
        <v>8</v>
      </c>
    </row>
    <row r="268" spans="1:211" x14ac:dyDescent="0.25">
      <c r="A268" s="30">
        <v>0.25509363714308075</v>
      </c>
      <c r="B268"/>
      <c r="C268"/>
      <c r="D268"/>
      <c r="E268"/>
      <c r="F268" s="27" t="s">
        <v>7</v>
      </c>
      <c r="DG268" s="27" t="s">
        <v>8</v>
      </c>
      <c r="DH268" s="27" t="s">
        <v>7</v>
      </c>
      <c r="DI268" s="27" t="s">
        <v>8</v>
      </c>
      <c r="DX268" s="27" t="s">
        <v>7</v>
      </c>
      <c r="DY268" s="27" t="s">
        <v>8</v>
      </c>
      <c r="DZ268" s="27" t="s">
        <v>7</v>
      </c>
      <c r="EA268" s="27" t="s">
        <v>8</v>
      </c>
      <c r="EB268" s="27" t="s">
        <v>7</v>
      </c>
      <c r="EL268" s="27" t="s">
        <v>7</v>
      </c>
      <c r="EM268" s="27" t="s">
        <v>8</v>
      </c>
      <c r="EN268" s="27" t="s">
        <v>7</v>
      </c>
      <c r="EQ268" s="27" t="s">
        <v>8</v>
      </c>
      <c r="ER268" s="27" t="s">
        <v>7</v>
      </c>
      <c r="ES268" s="27" t="s">
        <v>8</v>
      </c>
      <c r="ET268" s="27" t="s">
        <v>7</v>
      </c>
      <c r="EX268" s="31"/>
      <c r="FG268" s="27" t="s">
        <v>8</v>
      </c>
      <c r="FI268" s="27" t="s">
        <v>8</v>
      </c>
      <c r="FP268" s="27" t="s">
        <v>7</v>
      </c>
      <c r="FQ268" s="27" t="s">
        <v>8</v>
      </c>
      <c r="GN268" s="27" t="s">
        <v>7</v>
      </c>
      <c r="GZ268" s="27" t="s">
        <v>7</v>
      </c>
      <c r="HA268" s="27" t="s">
        <v>8</v>
      </c>
      <c r="HB268" s="27" t="s">
        <v>7</v>
      </c>
      <c r="HC268" s="27" t="s">
        <v>8</v>
      </c>
    </row>
    <row r="269" spans="1:211" x14ac:dyDescent="0.25">
      <c r="A269" s="30">
        <v>0.24294632108864825</v>
      </c>
      <c r="B269"/>
      <c r="C269"/>
      <c r="D269"/>
      <c r="E269"/>
      <c r="F269" s="27" t="s">
        <v>7</v>
      </c>
      <c r="DC269" s="27" t="s">
        <v>8</v>
      </c>
      <c r="DG269" s="27" t="s">
        <v>8</v>
      </c>
      <c r="DH269" s="27" t="s">
        <v>7</v>
      </c>
      <c r="DX269" s="27" t="s">
        <v>7</v>
      </c>
      <c r="DZ269" s="27" t="s">
        <v>7</v>
      </c>
      <c r="EA269" s="27" t="s">
        <v>8</v>
      </c>
      <c r="EL269" s="27" t="s">
        <v>7</v>
      </c>
      <c r="EM269" s="27" t="s">
        <v>8</v>
      </c>
      <c r="EN269" s="27" t="s">
        <v>7</v>
      </c>
      <c r="EQ269" s="27" t="s">
        <v>8</v>
      </c>
      <c r="ER269" s="27" t="s">
        <v>7</v>
      </c>
      <c r="ES269" s="27" t="s">
        <v>8</v>
      </c>
      <c r="ET269" s="27" t="s">
        <v>7</v>
      </c>
      <c r="EU269" s="27" t="s">
        <v>8</v>
      </c>
      <c r="EY269" s="31"/>
      <c r="FG269" s="27" t="s">
        <v>8</v>
      </c>
      <c r="FH269" s="27" t="s">
        <v>7</v>
      </c>
      <c r="FI269" s="27" t="s">
        <v>8</v>
      </c>
      <c r="FP269" s="27" t="s">
        <v>7</v>
      </c>
      <c r="GZ269" s="27" t="s">
        <v>7</v>
      </c>
      <c r="HA269" s="27" t="s">
        <v>8</v>
      </c>
      <c r="HB269" s="27" t="s">
        <v>7</v>
      </c>
      <c r="HC269" s="27" t="s">
        <v>8</v>
      </c>
    </row>
    <row r="270" spans="1:211" x14ac:dyDescent="0.25">
      <c r="A270" s="30">
        <v>0.23137744865585538</v>
      </c>
      <c r="B270"/>
      <c r="C270"/>
      <c r="D270"/>
      <c r="E270"/>
      <c r="F270" s="27" t="s">
        <v>7</v>
      </c>
      <c r="DC270" s="27" t="s">
        <v>8</v>
      </c>
      <c r="DD270" s="27" t="s">
        <v>7</v>
      </c>
      <c r="DG270" s="27" t="s">
        <v>8</v>
      </c>
      <c r="DZ270" s="27" t="s">
        <v>7</v>
      </c>
      <c r="EL270" s="27" t="s">
        <v>7</v>
      </c>
      <c r="EM270" s="27" t="s">
        <v>8</v>
      </c>
      <c r="EN270" s="27" t="s">
        <v>7</v>
      </c>
      <c r="EO270" s="27" t="s">
        <v>8</v>
      </c>
      <c r="EQ270" s="27" t="s">
        <v>8</v>
      </c>
      <c r="ER270" s="27" t="s">
        <v>7</v>
      </c>
      <c r="ES270" s="27" t="s">
        <v>8</v>
      </c>
      <c r="ET270" s="27" t="s">
        <v>7</v>
      </c>
      <c r="EU270" s="27" t="s">
        <v>8</v>
      </c>
      <c r="EV270" s="27" t="s">
        <v>7</v>
      </c>
      <c r="EW270" s="27" t="s">
        <v>8</v>
      </c>
      <c r="EZ270" s="31"/>
      <c r="FG270" s="27" t="s">
        <v>8</v>
      </c>
      <c r="FH270" s="27" t="s">
        <v>7</v>
      </c>
      <c r="FI270" s="27" t="s">
        <v>8</v>
      </c>
      <c r="GZ270" s="27" t="s">
        <v>7</v>
      </c>
      <c r="HB270" s="27" t="s">
        <v>7</v>
      </c>
    </row>
    <row r="271" spans="1:211" x14ac:dyDescent="0.25">
      <c r="A271" s="30">
        <v>0.22035947491033836</v>
      </c>
      <c r="B271"/>
      <c r="C271"/>
      <c r="D271"/>
      <c r="E271"/>
      <c r="F271" s="27" t="s">
        <v>7</v>
      </c>
      <c r="DA271" s="27" t="s">
        <v>8</v>
      </c>
      <c r="DC271" s="27" t="s">
        <v>8</v>
      </c>
      <c r="DD271" s="27" t="s">
        <v>7</v>
      </c>
      <c r="DE271" s="27" t="s">
        <v>8</v>
      </c>
      <c r="DG271" s="27" t="s">
        <v>8</v>
      </c>
      <c r="EL271" s="27" t="s">
        <v>7</v>
      </c>
      <c r="EM271" s="27" t="s">
        <v>8</v>
      </c>
      <c r="EN271" s="27" t="s">
        <v>7</v>
      </c>
      <c r="EO271" s="27" t="s">
        <v>8</v>
      </c>
      <c r="EP271" s="27" t="s">
        <v>7</v>
      </c>
      <c r="EQ271" s="27" t="s">
        <v>8</v>
      </c>
      <c r="ER271" s="27" t="s">
        <v>7</v>
      </c>
      <c r="ES271" s="27" t="s">
        <v>8</v>
      </c>
      <c r="ET271" s="27" t="s">
        <v>7</v>
      </c>
      <c r="EU271" s="27" t="s">
        <v>8</v>
      </c>
      <c r="EV271" s="27" t="s">
        <v>7</v>
      </c>
      <c r="EW271" s="27" t="s">
        <v>8</v>
      </c>
      <c r="EX271" s="27" t="s">
        <v>7</v>
      </c>
      <c r="EY271" s="27" t="s">
        <v>8</v>
      </c>
      <c r="FA271" s="31"/>
      <c r="FG271" s="27" t="s">
        <v>8</v>
      </c>
      <c r="FH271" s="27" t="s">
        <v>7</v>
      </c>
      <c r="FI271" s="27" t="s">
        <v>8</v>
      </c>
    </row>
    <row r="272" spans="1:211" x14ac:dyDescent="0.25">
      <c r="A272" s="30">
        <v>0.20986616658127455</v>
      </c>
      <c r="B272"/>
      <c r="C272"/>
      <c r="D272"/>
      <c r="E272"/>
      <c r="F272" s="27" t="s">
        <v>7</v>
      </c>
      <c r="DA272" s="27" t="s">
        <v>8</v>
      </c>
      <c r="DB272" s="27" t="s">
        <v>7</v>
      </c>
      <c r="DC272" s="27" t="s">
        <v>8</v>
      </c>
      <c r="DD272" s="27" t="s">
        <v>7</v>
      </c>
      <c r="DE272" s="27" t="s">
        <v>8</v>
      </c>
      <c r="DF272" s="27" t="s">
        <v>7</v>
      </c>
      <c r="DG272" s="27" t="s">
        <v>8</v>
      </c>
      <c r="EL272" s="27" t="s">
        <v>7</v>
      </c>
      <c r="EM272" s="27" t="s">
        <v>8</v>
      </c>
      <c r="EN272" s="27" t="s">
        <v>7</v>
      </c>
      <c r="EO272" s="27" t="s">
        <v>8</v>
      </c>
      <c r="EP272" s="27" t="s">
        <v>7</v>
      </c>
      <c r="EQ272" s="27" t="s">
        <v>8</v>
      </c>
      <c r="ER272" s="27" t="s">
        <v>7</v>
      </c>
      <c r="ES272" s="27" t="s">
        <v>8</v>
      </c>
      <c r="ET272" s="27" t="s">
        <v>7</v>
      </c>
      <c r="EV272" s="27" t="s">
        <v>7</v>
      </c>
      <c r="EW272" s="27" t="s">
        <v>8</v>
      </c>
      <c r="EX272" s="27" t="s">
        <v>7</v>
      </c>
      <c r="EY272" s="27" t="s">
        <v>8</v>
      </c>
      <c r="EZ272" s="27" t="s">
        <v>7</v>
      </c>
      <c r="FB272" s="31"/>
      <c r="FG272" s="27" t="s">
        <v>8</v>
      </c>
      <c r="FH272" s="27" t="s">
        <v>7</v>
      </c>
      <c r="FU272" s="31"/>
    </row>
    <row r="273" spans="1:176" x14ac:dyDescent="0.25">
      <c r="A273" s="30">
        <v>0.19987253960121379</v>
      </c>
      <c r="B273"/>
      <c r="C273"/>
      <c r="D273"/>
      <c r="E273"/>
      <c r="F273" s="27" t="s">
        <v>7</v>
      </c>
      <c r="DA273" s="27" t="s">
        <v>8</v>
      </c>
      <c r="DB273" s="27" t="s">
        <v>7</v>
      </c>
      <c r="DC273" s="27" t="s">
        <v>8</v>
      </c>
      <c r="DD273" s="27" t="s">
        <v>7</v>
      </c>
      <c r="DE273" s="27" t="s">
        <v>8</v>
      </c>
      <c r="DF273" s="27" t="s">
        <v>7</v>
      </c>
      <c r="DG273" s="27" t="s">
        <v>8</v>
      </c>
      <c r="EL273" s="27" t="s">
        <v>7</v>
      </c>
      <c r="EM273" s="27" t="s">
        <v>8</v>
      </c>
      <c r="EN273" s="27" t="s">
        <v>7</v>
      </c>
      <c r="EO273" s="27" t="s">
        <v>8</v>
      </c>
      <c r="EP273" s="27" t="s">
        <v>7</v>
      </c>
      <c r="EQ273" s="27" t="s">
        <v>8</v>
      </c>
      <c r="ER273" s="27" t="s">
        <v>7</v>
      </c>
      <c r="ES273" s="27" t="s">
        <v>8</v>
      </c>
      <c r="EV273" s="32" t="s">
        <v>7</v>
      </c>
      <c r="EW273" s="27" t="s">
        <v>8</v>
      </c>
      <c r="EX273" s="27" t="s">
        <v>7</v>
      </c>
      <c r="EY273" s="27" t="s">
        <v>8</v>
      </c>
      <c r="EZ273" s="27" t="s">
        <v>7</v>
      </c>
      <c r="FC273" s="31"/>
      <c r="FG273" s="27" t="s">
        <v>8</v>
      </c>
      <c r="FT273" s="31"/>
    </row>
    <row r="274" spans="1:176" x14ac:dyDescent="0.25">
      <c r="A274" s="30">
        <v>0.19035479962020352</v>
      </c>
      <c r="B274"/>
      <c r="C274"/>
      <c r="D274"/>
      <c r="E274"/>
      <c r="F274" s="27" t="s">
        <v>7</v>
      </c>
      <c r="DA274" s="27" t="s">
        <v>8</v>
      </c>
      <c r="DB274" s="27" t="s">
        <v>7</v>
      </c>
      <c r="DC274" s="27" t="s">
        <v>8</v>
      </c>
      <c r="DD274" s="27" t="s">
        <v>7</v>
      </c>
      <c r="DF274" s="27" t="s">
        <v>7</v>
      </c>
      <c r="DG274" s="27" t="s">
        <v>8</v>
      </c>
      <c r="EL274" s="27" t="s">
        <v>7</v>
      </c>
      <c r="EM274" s="27" t="s">
        <v>8</v>
      </c>
      <c r="EN274" s="27" t="s">
        <v>7</v>
      </c>
      <c r="EP274" s="27" t="s">
        <v>7</v>
      </c>
      <c r="EQ274" s="27" t="s">
        <v>8</v>
      </c>
      <c r="ER274" s="27" t="s">
        <v>7</v>
      </c>
      <c r="ES274" s="27" t="s">
        <v>8</v>
      </c>
      <c r="EV274" s="27" t="s">
        <v>7</v>
      </c>
      <c r="EW274" s="27" t="s">
        <v>8</v>
      </c>
      <c r="EX274" s="27" t="s">
        <v>7</v>
      </c>
      <c r="EY274" s="27" t="s">
        <v>8</v>
      </c>
      <c r="EZ274" s="27" t="s">
        <v>7</v>
      </c>
      <c r="FD274" s="31"/>
      <c r="FG274" s="27" t="s">
        <v>8</v>
      </c>
      <c r="FS274" s="31"/>
    </row>
    <row r="275" spans="1:176" x14ac:dyDescent="0.25">
      <c r="A275" s="30">
        <v>0.18129028535257471</v>
      </c>
      <c r="B275"/>
      <c r="C275"/>
      <c r="D275"/>
      <c r="E275"/>
      <c r="F275" s="27" t="s">
        <v>7</v>
      </c>
      <c r="DA275" s="27" t="s">
        <v>8</v>
      </c>
      <c r="DB275" s="27" t="s">
        <v>7</v>
      </c>
      <c r="DC275" s="27" t="s">
        <v>8</v>
      </c>
      <c r="DF275" s="27" t="s">
        <v>7</v>
      </c>
      <c r="DG275" s="27" t="s">
        <v>8</v>
      </c>
      <c r="EL275" s="27" t="s">
        <v>7</v>
      </c>
      <c r="EM275" s="27" t="s">
        <v>8</v>
      </c>
      <c r="EP275" s="27" t="s">
        <v>7</v>
      </c>
      <c r="EQ275" s="27" t="s">
        <v>8</v>
      </c>
      <c r="ER275" s="27" t="s">
        <v>7</v>
      </c>
      <c r="EV275" s="27" t="s">
        <v>7</v>
      </c>
      <c r="EX275" s="27" t="s">
        <v>7</v>
      </c>
      <c r="EZ275" s="27" t="s">
        <v>7</v>
      </c>
      <c r="FE275" s="31"/>
      <c r="FG275" s="27" t="s">
        <v>8</v>
      </c>
      <c r="FR275" s="31"/>
    </row>
    <row r="276" spans="1:176" x14ac:dyDescent="0.25">
      <c r="A276" s="30">
        <v>0.17265741462149967</v>
      </c>
      <c r="B276"/>
      <c r="C276"/>
      <c r="D276"/>
      <c r="E276"/>
      <c r="F276" s="27" t="s">
        <v>7</v>
      </c>
      <c r="DA276" s="27" t="s">
        <v>8</v>
      </c>
      <c r="DB276" s="27" t="s">
        <v>7</v>
      </c>
      <c r="DC276" s="27" t="s">
        <v>8</v>
      </c>
      <c r="DF276" s="27" t="s">
        <v>7</v>
      </c>
      <c r="EL276" s="27" t="s">
        <v>7</v>
      </c>
      <c r="EM276" s="27" t="s">
        <v>8</v>
      </c>
      <c r="EP276" s="27" t="s">
        <v>7</v>
      </c>
      <c r="EQ276" s="27" t="s">
        <v>8</v>
      </c>
      <c r="EZ276" s="27" t="s">
        <v>7</v>
      </c>
      <c r="FF276" s="31"/>
      <c r="FG276" s="27" t="s">
        <v>8</v>
      </c>
      <c r="FQ276" s="31"/>
    </row>
    <row r="277" spans="1:176" x14ac:dyDescent="0.25">
      <c r="A277" s="30">
        <v>0.16443563297285677</v>
      </c>
      <c r="B277"/>
      <c r="C277"/>
      <c r="D277"/>
      <c r="E277"/>
      <c r="F277" s="27" t="s">
        <v>7</v>
      </c>
      <c r="DA277" s="27" t="s">
        <v>8</v>
      </c>
      <c r="DB277" s="27" t="s">
        <v>7</v>
      </c>
      <c r="DC277" s="27" t="s">
        <v>8</v>
      </c>
      <c r="EL277" s="27" t="s">
        <v>7</v>
      </c>
      <c r="EM277" s="27" t="s">
        <v>8</v>
      </c>
      <c r="EP277" s="27" t="s">
        <v>7</v>
      </c>
      <c r="EQ277" s="27" t="s">
        <v>8</v>
      </c>
      <c r="EZ277" s="27" t="s">
        <v>7</v>
      </c>
      <c r="FG277" s="31" t="s">
        <v>8</v>
      </c>
      <c r="FP277" s="31"/>
    </row>
    <row r="278" spans="1:176" x14ac:dyDescent="0.25">
      <c r="A278" s="30">
        <v>0.15660536473605399</v>
      </c>
      <c r="B278"/>
      <c r="C278"/>
      <c r="D278"/>
      <c r="E278"/>
      <c r="F278" s="27" t="s">
        <v>7</v>
      </c>
      <c r="DA278" s="27" t="s">
        <v>8</v>
      </c>
      <c r="DB278" s="27" t="s">
        <v>7</v>
      </c>
      <c r="DC278" s="27" t="s">
        <v>8</v>
      </c>
      <c r="EL278" s="27" t="s">
        <v>7</v>
      </c>
      <c r="EM278" s="27" t="s">
        <v>8</v>
      </c>
      <c r="EP278" s="27" t="s">
        <v>7</v>
      </c>
      <c r="EQ278" s="27" t="s">
        <v>8</v>
      </c>
      <c r="EZ278" s="27" t="s">
        <v>7</v>
      </c>
      <c r="FA278" s="33" t="s">
        <v>8</v>
      </c>
      <c r="FC278" s="33" t="s">
        <v>8</v>
      </c>
      <c r="FG278" s="27" t="s">
        <v>8</v>
      </c>
      <c r="FO278" s="31"/>
    </row>
    <row r="279" spans="1:176" x14ac:dyDescent="0.25">
      <c r="A279" s="30">
        <v>0.14914796641528946</v>
      </c>
      <c r="B279"/>
      <c r="C279"/>
      <c r="D279"/>
      <c r="E279"/>
      <c r="F279" s="27" t="s">
        <v>7</v>
      </c>
      <c r="CW279" s="27" t="s">
        <v>8</v>
      </c>
      <c r="DA279" s="27" t="s">
        <v>8</v>
      </c>
      <c r="DB279" s="27" t="s">
        <v>7</v>
      </c>
      <c r="DC279" s="27" t="s">
        <v>8</v>
      </c>
      <c r="EL279" s="27" t="s">
        <v>7</v>
      </c>
      <c r="EP279" s="27" t="s">
        <v>7</v>
      </c>
      <c r="EQ279" s="27" t="s">
        <v>8</v>
      </c>
      <c r="EZ279" s="27" t="s">
        <v>7</v>
      </c>
      <c r="FA279" s="27" t="s">
        <v>8</v>
      </c>
      <c r="FB279" s="27" t="s">
        <v>7</v>
      </c>
      <c r="FC279" s="27" t="s">
        <v>8</v>
      </c>
      <c r="FD279" s="27" t="s">
        <v>7</v>
      </c>
      <c r="FG279" s="34" t="s">
        <v>8</v>
      </c>
      <c r="FN279" s="31"/>
    </row>
    <row r="280" spans="1:176" x14ac:dyDescent="0.25">
      <c r="A280" s="30">
        <v>0.14204568230027562</v>
      </c>
      <c r="B280"/>
      <c r="C280"/>
      <c r="D280"/>
      <c r="E280"/>
      <c r="F280" s="27" t="s">
        <v>7</v>
      </c>
      <c r="CW280" s="27" t="s">
        <v>8</v>
      </c>
      <c r="CX280" s="27" t="s">
        <v>7</v>
      </c>
      <c r="DA280" s="27" t="s">
        <v>8</v>
      </c>
      <c r="DB280" s="27" t="s">
        <v>7</v>
      </c>
      <c r="EP280" s="27" t="s">
        <v>7</v>
      </c>
      <c r="EQ280" s="27" t="s">
        <v>8</v>
      </c>
      <c r="EZ280" s="27" t="s">
        <v>7</v>
      </c>
      <c r="FA280" s="27" t="s">
        <v>8</v>
      </c>
      <c r="FB280" s="27" t="s">
        <v>7</v>
      </c>
      <c r="FC280" s="27" t="s">
        <v>8</v>
      </c>
      <c r="FD280" s="27" t="s">
        <v>7</v>
      </c>
      <c r="FE280" s="27" t="s">
        <v>8</v>
      </c>
      <c r="FG280" s="27" t="s">
        <v>8</v>
      </c>
      <c r="FM280" s="31"/>
    </row>
    <row r="281" spans="1:176" x14ac:dyDescent="0.25">
      <c r="A281" s="30">
        <v>0.13528160219073862</v>
      </c>
      <c r="B281"/>
      <c r="C281"/>
      <c r="D281"/>
      <c r="E281"/>
      <c r="F281" s="27" t="s">
        <v>7</v>
      </c>
      <c r="CW281" s="27" t="s">
        <v>8</v>
      </c>
      <c r="CX281" s="27" t="s">
        <v>7</v>
      </c>
      <c r="CY281" s="27" t="s">
        <v>8</v>
      </c>
      <c r="DA281" s="27" t="s">
        <v>8</v>
      </c>
      <c r="EP281" s="27" t="s">
        <v>7</v>
      </c>
      <c r="EQ281" s="27" t="s">
        <v>8</v>
      </c>
      <c r="EZ281" s="27" t="s">
        <v>7</v>
      </c>
      <c r="FA281" s="27" t="s">
        <v>8</v>
      </c>
      <c r="FB281" s="27" t="s">
        <v>7</v>
      </c>
      <c r="FC281" s="27" t="s">
        <v>8</v>
      </c>
      <c r="FD281" s="27" t="s">
        <v>7</v>
      </c>
      <c r="FE281" s="27" t="s">
        <v>8</v>
      </c>
      <c r="FF281" s="27" t="s">
        <v>7</v>
      </c>
      <c r="FG281" s="27" t="s">
        <v>8</v>
      </c>
      <c r="FL281" s="31"/>
    </row>
    <row r="282" spans="1:176" x14ac:dyDescent="0.25">
      <c r="A282" s="30">
        <v>0.12883962113403674</v>
      </c>
      <c r="B282"/>
      <c r="C282"/>
      <c r="D282"/>
      <c r="E282"/>
      <c r="F282" s="27" t="s">
        <v>7</v>
      </c>
      <c r="CU282" s="27" t="s">
        <v>8</v>
      </c>
      <c r="CW282" s="27" t="s">
        <v>8</v>
      </c>
      <c r="CX282" s="27" t="s">
        <v>7</v>
      </c>
      <c r="CY282" s="27" t="s">
        <v>8</v>
      </c>
      <c r="CZ282" s="27" t="s">
        <v>7</v>
      </c>
      <c r="DA282" s="27" t="s">
        <v>8</v>
      </c>
      <c r="EP282" s="27" t="s">
        <v>7</v>
      </c>
      <c r="EZ282" s="27" t="s">
        <v>7</v>
      </c>
      <c r="FA282" s="27" t="s">
        <v>8</v>
      </c>
      <c r="FB282" s="27" t="s">
        <v>7</v>
      </c>
      <c r="FD282" s="27" t="s">
        <v>7</v>
      </c>
      <c r="FE282" s="27" t="s">
        <v>8</v>
      </c>
      <c r="FF282" s="27" t="s">
        <v>7</v>
      </c>
      <c r="FG282" s="27" t="s">
        <v>8</v>
      </c>
      <c r="FK282" s="31"/>
    </row>
    <row r="283" spans="1:176" x14ac:dyDescent="0.25">
      <c r="A283" s="30">
        <v>0.12270440108003494</v>
      </c>
      <c r="B283"/>
      <c r="C283"/>
      <c r="D283"/>
      <c r="E283"/>
      <c r="F283" s="27" t="s">
        <v>7</v>
      </c>
      <c r="CU283" s="27" t="s">
        <v>8</v>
      </c>
      <c r="CV283" s="27" t="s">
        <v>7</v>
      </c>
      <c r="CW283" s="27" t="s">
        <v>8</v>
      </c>
      <c r="CX283" s="27" t="s">
        <v>7</v>
      </c>
      <c r="CY283" s="27" t="s">
        <v>8</v>
      </c>
      <c r="CZ283" s="27" t="s">
        <v>7</v>
      </c>
      <c r="DA283" s="27" t="s">
        <v>8</v>
      </c>
      <c r="EZ283" s="27" t="s">
        <v>7</v>
      </c>
      <c r="FA283" s="27" t="s">
        <v>8</v>
      </c>
      <c r="FD283" s="27" t="s">
        <v>7</v>
      </c>
      <c r="FE283" s="27" t="s">
        <v>8</v>
      </c>
      <c r="FF283" s="27" t="s">
        <v>7</v>
      </c>
      <c r="FJ283" s="31"/>
    </row>
    <row r="284" spans="1:176" x14ac:dyDescent="0.25">
      <c r="A284" s="30">
        <v>0.11686133436193799</v>
      </c>
      <c r="B284"/>
      <c r="C284"/>
      <c r="D284"/>
      <c r="E284"/>
      <c r="F284" s="27" t="s">
        <v>7</v>
      </c>
      <c r="CU284" s="27" t="s">
        <v>8</v>
      </c>
      <c r="CV284" s="27" t="s">
        <v>7</v>
      </c>
      <c r="CW284" s="27" t="s">
        <v>8</v>
      </c>
      <c r="CX284" s="27" t="s">
        <v>7</v>
      </c>
      <c r="CZ284" s="27" t="s">
        <v>7</v>
      </c>
      <c r="EZ284" s="27" t="s">
        <v>7</v>
      </c>
      <c r="FD284" s="27" t="s">
        <v>7</v>
      </c>
      <c r="FE284" s="27" t="s">
        <v>8</v>
      </c>
      <c r="FI284" s="31"/>
    </row>
    <row r="285" spans="1:176" x14ac:dyDescent="0.25">
      <c r="A285" s="30">
        <v>0.11129650891613138</v>
      </c>
      <c r="B285"/>
      <c r="C285"/>
      <c r="D285"/>
      <c r="E285"/>
      <c r="F285" s="27" t="s">
        <v>7</v>
      </c>
      <c r="CU285" s="27" t="s">
        <v>8</v>
      </c>
      <c r="CV285" s="27" t="s">
        <v>7</v>
      </c>
      <c r="CW285" s="27" t="s">
        <v>8</v>
      </c>
      <c r="FD285" s="27" t="s">
        <v>7</v>
      </c>
      <c r="FE285" s="27" t="s">
        <v>8</v>
      </c>
      <c r="FH285" s="31"/>
    </row>
    <row r="286" spans="1:176" x14ac:dyDescent="0.25">
      <c r="A286" s="30">
        <v>0.10599667515822032</v>
      </c>
      <c r="B286"/>
      <c r="C286"/>
      <c r="D286"/>
      <c r="E286"/>
      <c r="F286" s="27" t="s">
        <v>7</v>
      </c>
      <c r="CU286" s="27" t="s">
        <v>8</v>
      </c>
      <c r="CV286" s="27" t="s">
        <v>7</v>
      </c>
      <c r="FD286" s="18" t="s">
        <v>7</v>
      </c>
      <c r="FE286" s="27" t="s">
        <v>8</v>
      </c>
      <c r="FG286" s="31"/>
    </row>
    <row r="287" spans="1:176" x14ac:dyDescent="0.25">
      <c r="A287" s="30">
        <v>0.10094921443640027</v>
      </c>
      <c r="B287"/>
      <c r="C287"/>
      <c r="D287"/>
      <c r="E287"/>
      <c r="F287" s="27" t="s">
        <v>7</v>
      </c>
      <c r="CU287" s="27" t="s">
        <v>8</v>
      </c>
      <c r="FD287" s="27" t="s">
        <v>7</v>
      </c>
      <c r="FE287" s="27" t="s">
        <v>8</v>
      </c>
      <c r="FF287" s="31"/>
    </row>
    <row r="288" spans="1:176" x14ac:dyDescent="0.25">
      <c r="A288" s="30">
        <v>9.6142108987047836E-2</v>
      </c>
      <c r="B288"/>
      <c r="C288"/>
      <c r="D288"/>
      <c r="E288"/>
      <c r="F288" s="27" t="s">
        <v>7</v>
      </c>
      <c r="BE288" s="27" t="s">
        <v>8</v>
      </c>
      <c r="CU288" s="27" t="s">
        <v>8</v>
      </c>
      <c r="FD288" s="27" t="s">
        <v>7</v>
      </c>
      <c r="FE288" s="31" t="s">
        <v>8</v>
      </c>
    </row>
    <row r="289" spans="1:160" x14ac:dyDescent="0.25">
      <c r="A289" s="30">
        <v>9.1563913320997906E-2</v>
      </c>
      <c r="B289"/>
      <c r="C289"/>
      <c r="D289"/>
      <c r="E289"/>
      <c r="F289" s="27" t="s">
        <v>7</v>
      </c>
      <c r="BE289" s="27" t="s">
        <v>8</v>
      </c>
      <c r="BF289" s="27" t="s">
        <v>7</v>
      </c>
      <c r="CU289" s="27" t="s">
        <v>8</v>
      </c>
      <c r="FD289" s="31" t="s">
        <v>7</v>
      </c>
    </row>
    <row r="290" spans="1:160" x14ac:dyDescent="0.25">
      <c r="A290" s="30">
        <v>8.7203726972378923E-2</v>
      </c>
      <c r="B290"/>
      <c r="C290"/>
      <c r="D290"/>
      <c r="E290"/>
      <c r="F290" s="27" t="s">
        <v>7</v>
      </c>
      <c r="BE290" s="27" t="s">
        <v>8</v>
      </c>
      <c r="BF290" s="27" t="s">
        <v>7</v>
      </c>
      <c r="CU290" s="27" t="s">
        <v>8</v>
      </c>
    </row>
    <row r="291" spans="1:160" x14ac:dyDescent="0.25">
      <c r="A291" s="30">
        <v>8.3051168545122747E-2</v>
      </c>
      <c r="B291"/>
      <c r="C291"/>
      <c r="D291"/>
      <c r="E291"/>
      <c r="F291" s="27" t="s">
        <v>7</v>
      </c>
      <c r="BA291" s="27" t="s">
        <v>8</v>
      </c>
      <c r="BE291" s="27" t="s">
        <v>8</v>
      </c>
      <c r="BF291" s="27" t="s">
        <v>7</v>
      </c>
      <c r="CU291" s="27" t="s">
        <v>8</v>
      </c>
    </row>
    <row r="292" spans="1:160" x14ac:dyDescent="0.25">
      <c r="A292" s="30">
        <v>7.9096350995354961E-2</v>
      </c>
      <c r="B292"/>
      <c r="C292"/>
      <c r="D292"/>
      <c r="E292"/>
      <c r="F292" s="27" t="s">
        <v>7</v>
      </c>
      <c r="BA292" s="27" t="s">
        <v>8</v>
      </c>
      <c r="BB292" s="27" t="s">
        <v>7</v>
      </c>
      <c r="BC292" s="27" t="s">
        <v>8</v>
      </c>
      <c r="BE292" s="27" t="s">
        <v>8</v>
      </c>
      <c r="BF292" s="27" t="s">
        <v>7</v>
      </c>
      <c r="CO292" s="27" t="s">
        <v>8</v>
      </c>
      <c r="CU292" s="27" t="s">
        <v>8</v>
      </c>
    </row>
    <row r="293" spans="1:160" x14ac:dyDescent="0.25">
      <c r="A293" s="30">
        <v>7.5329858090814217E-2</v>
      </c>
      <c r="B293"/>
      <c r="C293"/>
      <c r="D293"/>
      <c r="E293"/>
      <c r="F293" s="27" t="s">
        <v>7</v>
      </c>
      <c r="AY293" s="27" t="s">
        <v>8</v>
      </c>
      <c r="BA293" s="27" t="s">
        <v>8</v>
      </c>
      <c r="BB293" s="27" t="s">
        <v>7</v>
      </c>
      <c r="BC293" s="27" t="s">
        <v>8</v>
      </c>
      <c r="BD293" s="27" t="s">
        <v>7</v>
      </c>
      <c r="BE293" s="27" t="s">
        <v>8</v>
      </c>
      <c r="BF293" s="27" t="s">
        <v>7</v>
      </c>
      <c r="CO293" s="27" t="s">
        <v>8</v>
      </c>
      <c r="CP293" s="27" t="s">
        <v>7</v>
      </c>
      <c r="CS293" s="27" t="s">
        <v>8</v>
      </c>
      <c r="CU293" s="27" t="s">
        <v>8</v>
      </c>
    </row>
    <row r="294" spans="1:160" x14ac:dyDescent="0.25">
      <c r="A294" s="30">
        <v>7.1742721991251604E-2</v>
      </c>
      <c r="B294"/>
      <c r="C294"/>
      <c r="D294"/>
      <c r="E294"/>
      <c r="F294" s="27" t="s">
        <v>7</v>
      </c>
      <c r="AY294" s="27" t="s">
        <v>8</v>
      </c>
      <c r="AZ294" s="27" t="s">
        <v>7</v>
      </c>
      <c r="BA294" s="27" t="s">
        <v>8</v>
      </c>
      <c r="BB294" s="27" t="s">
        <v>7</v>
      </c>
      <c r="BC294" s="27" t="s">
        <v>8</v>
      </c>
      <c r="BD294" s="27" t="s">
        <v>7</v>
      </c>
      <c r="BE294" s="27" t="s">
        <v>8</v>
      </c>
      <c r="BF294" s="27" t="s">
        <v>7</v>
      </c>
      <c r="CO294" s="27" t="s">
        <v>8</v>
      </c>
      <c r="CP294" s="27" t="s">
        <v>7</v>
      </c>
      <c r="CQ294" s="27" t="s">
        <v>8</v>
      </c>
      <c r="CS294" s="27" t="s">
        <v>8</v>
      </c>
      <c r="CT294" s="27" t="s">
        <v>7</v>
      </c>
      <c r="CU294" s="27" t="s">
        <v>8</v>
      </c>
    </row>
    <row r="295" spans="1:160" x14ac:dyDescent="0.25">
      <c r="A295" s="30">
        <v>6.8326401896430078E-2</v>
      </c>
      <c r="B295"/>
      <c r="C295"/>
      <c r="D295"/>
      <c r="E295"/>
      <c r="F295" s="27" t="s">
        <v>7</v>
      </c>
      <c r="AY295" s="27" t="s">
        <v>8</v>
      </c>
      <c r="AZ295" s="27" t="s">
        <v>7</v>
      </c>
      <c r="BA295" s="27" t="s">
        <v>8</v>
      </c>
      <c r="BB295" s="27" t="s">
        <v>7</v>
      </c>
      <c r="BC295" s="27" t="s">
        <v>8</v>
      </c>
      <c r="BD295" s="27" t="s">
        <v>7</v>
      </c>
      <c r="BF295" s="27" t="s">
        <v>7</v>
      </c>
      <c r="CC295" s="27" t="s">
        <v>8</v>
      </c>
      <c r="CO295" s="27" t="s">
        <v>8</v>
      </c>
      <c r="CP295" s="27" t="s">
        <v>7</v>
      </c>
      <c r="CQ295" s="27" t="s">
        <v>8</v>
      </c>
      <c r="CR295" s="27" t="s">
        <v>7</v>
      </c>
      <c r="CS295" s="27" t="s">
        <v>8</v>
      </c>
      <c r="CT295" s="27" t="s">
        <v>7</v>
      </c>
      <c r="CU295" s="27" t="s">
        <v>8</v>
      </c>
    </row>
    <row r="296" spans="1:160" x14ac:dyDescent="0.25">
      <c r="A296" s="30">
        <v>6.5072763710885759E-2</v>
      </c>
      <c r="B296"/>
      <c r="C296"/>
      <c r="D296"/>
      <c r="E296"/>
      <c r="F296" s="27" t="s">
        <v>7</v>
      </c>
      <c r="AY296" s="27" t="s">
        <v>8</v>
      </c>
      <c r="AZ296" s="27" t="s">
        <v>7</v>
      </c>
      <c r="BB296" s="27" t="s">
        <v>7</v>
      </c>
      <c r="BC296" s="27" t="s">
        <v>8</v>
      </c>
      <c r="BF296" s="27" t="s">
        <v>7</v>
      </c>
      <c r="CC296" s="27" t="s">
        <v>8</v>
      </c>
      <c r="CD296" s="27" t="s">
        <v>7</v>
      </c>
      <c r="CK296" s="27" t="s">
        <v>8</v>
      </c>
      <c r="CM296" s="27" t="s">
        <v>8</v>
      </c>
      <c r="CO296" s="27" t="s">
        <v>8</v>
      </c>
      <c r="CP296" s="27" t="s">
        <v>7</v>
      </c>
      <c r="CQ296" s="27" t="s">
        <v>8</v>
      </c>
      <c r="CR296" s="27" t="s">
        <v>7</v>
      </c>
      <c r="CS296" s="27" t="s">
        <v>8</v>
      </c>
      <c r="CT296" s="27" t="s">
        <v>7</v>
      </c>
      <c r="CU296" s="27" t="s">
        <v>8</v>
      </c>
    </row>
    <row r="297" spans="1:160" x14ac:dyDescent="0.25">
      <c r="A297" s="30">
        <v>6.197406067703403E-2</v>
      </c>
      <c r="B297"/>
      <c r="C297"/>
      <c r="D297"/>
      <c r="E297"/>
      <c r="F297" s="27" t="s">
        <v>7</v>
      </c>
      <c r="AY297" s="27" t="s">
        <v>8</v>
      </c>
      <c r="BB297" s="27" t="s">
        <v>7</v>
      </c>
      <c r="BF297" s="27" t="s">
        <v>7</v>
      </c>
      <c r="CC297" s="27" t="s">
        <v>8</v>
      </c>
      <c r="CD297" s="27" t="s">
        <v>7</v>
      </c>
      <c r="CI297" s="27" t="s">
        <v>8</v>
      </c>
      <c r="CK297" s="27" t="s">
        <v>8</v>
      </c>
      <c r="CL297" s="27" t="s">
        <v>7</v>
      </c>
      <c r="CM297" s="27" t="s">
        <v>8</v>
      </c>
      <c r="CN297" s="27" t="s">
        <v>7</v>
      </c>
      <c r="CO297" s="27" t="s">
        <v>8</v>
      </c>
      <c r="CP297" s="27" t="s">
        <v>7</v>
      </c>
      <c r="CR297" s="27" t="s">
        <v>7</v>
      </c>
      <c r="CS297" s="27" t="s">
        <v>8</v>
      </c>
      <c r="CT297" s="27" t="s">
        <v>7</v>
      </c>
      <c r="CU297" s="27" t="s">
        <v>8</v>
      </c>
    </row>
    <row r="298" spans="1:160" x14ac:dyDescent="0.25">
      <c r="A298" s="30">
        <v>5.9022914930508576E-2</v>
      </c>
      <c r="B298"/>
      <c r="C298"/>
      <c r="D298"/>
      <c r="E298"/>
      <c r="F298" s="27" t="s">
        <v>7</v>
      </c>
      <c r="AY298" s="27" t="s">
        <v>8</v>
      </c>
      <c r="BF298" s="27" t="s">
        <v>7</v>
      </c>
      <c r="BG298" s="27" t="s">
        <v>8</v>
      </c>
      <c r="CC298" s="27" t="s">
        <v>8</v>
      </c>
      <c r="CD298" s="27" t="s">
        <v>7</v>
      </c>
      <c r="CI298" s="27" t="s">
        <v>8</v>
      </c>
      <c r="CJ298" s="27" t="s">
        <v>7</v>
      </c>
      <c r="CK298" s="27" t="s">
        <v>8</v>
      </c>
      <c r="CL298" s="27" t="s">
        <v>7</v>
      </c>
      <c r="CM298" s="27" t="s">
        <v>8</v>
      </c>
      <c r="CN298" s="27" t="s">
        <v>7</v>
      </c>
      <c r="CO298" s="27" t="s">
        <v>8</v>
      </c>
      <c r="CR298" s="27" t="s">
        <v>7</v>
      </c>
      <c r="CT298" s="27" t="s">
        <v>7</v>
      </c>
      <c r="CU298" s="27" t="s">
        <v>8</v>
      </c>
    </row>
    <row r="299" spans="1:160" x14ac:dyDescent="0.25">
      <c r="A299" s="30">
        <v>5.6212299933817669E-2</v>
      </c>
      <c r="B299"/>
      <c r="C299"/>
      <c r="D299"/>
      <c r="E299"/>
      <c r="F299" s="27" t="s">
        <v>7</v>
      </c>
      <c r="AY299" s="27" t="s">
        <v>8</v>
      </c>
      <c r="BF299" s="27" t="s">
        <v>7</v>
      </c>
      <c r="BG299" s="27" t="s">
        <v>8</v>
      </c>
      <c r="BH299" s="27" t="s">
        <v>7</v>
      </c>
      <c r="BW299" s="27" t="s">
        <v>8</v>
      </c>
      <c r="CC299" s="27" t="s">
        <v>8</v>
      </c>
      <c r="CD299" s="27" t="s">
        <v>7</v>
      </c>
      <c r="CI299" s="27" t="s">
        <v>8</v>
      </c>
      <c r="CJ299" s="27" t="s">
        <v>7</v>
      </c>
      <c r="CK299" s="27" t="s">
        <v>8</v>
      </c>
      <c r="CL299" s="27" t="s">
        <v>7</v>
      </c>
      <c r="CM299" s="27" t="s">
        <v>8</v>
      </c>
      <c r="CN299" s="27" t="s">
        <v>7</v>
      </c>
      <c r="CT299" s="27" t="s">
        <v>7</v>
      </c>
    </row>
    <row r="300" spans="1:160" x14ac:dyDescent="0.25">
      <c r="A300" s="30">
        <v>5.3535523746492994E-2</v>
      </c>
      <c r="B300"/>
      <c r="C300"/>
      <c r="D300"/>
      <c r="E300"/>
      <c r="F300" s="27" t="s">
        <v>7</v>
      </c>
      <c r="AY300" s="27" t="s">
        <v>8</v>
      </c>
      <c r="BF300" s="27" t="s">
        <v>7</v>
      </c>
      <c r="BG300" s="27" t="s">
        <v>8</v>
      </c>
      <c r="BH300" s="27" t="s">
        <v>7</v>
      </c>
      <c r="BI300" s="27" t="s">
        <v>8</v>
      </c>
      <c r="BW300" s="27" t="s">
        <v>8</v>
      </c>
      <c r="BX300" s="27" t="s">
        <v>7</v>
      </c>
      <c r="CC300" s="27" t="s">
        <v>8</v>
      </c>
      <c r="CD300" s="27" t="s">
        <v>7</v>
      </c>
      <c r="CE300" s="27" t="s">
        <v>8</v>
      </c>
      <c r="CG300" s="27" t="s">
        <v>8</v>
      </c>
      <c r="CI300" s="27" t="s">
        <v>8</v>
      </c>
      <c r="CJ300" s="27" t="s">
        <v>7</v>
      </c>
      <c r="CK300" s="27" t="s">
        <v>8</v>
      </c>
      <c r="CL300" s="27" t="s">
        <v>7</v>
      </c>
      <c r="CM300" s="27" t="s">
        <v>8</v>
      </c>
    </row>
    <row r="301" spans="1:160" x14ac:dyDescent="0.25">
      <c r="A301" s="30">
        <v>5.0986213091898068E-2</v>
      </c>
      <c r="B301"/>
      <c r="C301"/>
      <c r="D301"/>
      <c r="E301"/>
      <c r="F301" s="27" t="s">
        <v>7</v>
      </c>
      <c r="AU301" s="27" t="s">
        <v>8</v>
      </c>
      <c r="AY301" s="27" t="s">
        <v>8</v>
      </c>
      <c r="BF301" s="27" t="s">
        <v>7</v>
      </c>
      <c r="BG301" s="27" t="s">
        <v>8</v>
      </c>
      <c r="BH301" s="27" t="s">
        <v>7</v>
      </c>
      <c r="BI301" s="27" t="s">
        <v>8</v>
      </c>
      <c r="BJ301" s="27" t="s">
        <v>7</v>
      </c>
      <c r="BW301" s="27" t="s">
        <v>8</v>
      </c>
      <c r="BX301" s="27" t="s">
        <v>7</v>
      </c>
      <c r="BY301" s="27" t="s">
        <v>8</v>
      </c>
      <c r="CC301" s="27" t="s">
        <v>8</v>
      </c>
      <c r="CD301" s="27" t="s">
        <v>7</v>
      </c>
      <c r="CE301" s="27" t="s">
        <v>8</v>
      </c>
      <c r="CF301" s="27" t="s">
        <v>7</v>
      </c>
      <c r="CG301" s="27" t="s">
        <v>8</v>
      </c>
      <c r="CH301" s="27" t="s">
        <v>7</v>
      </c>
      <c r="CI301" s="27" t="s">
        <v>8</v>
      </c>
      <c r="CJ301" s="27" t="s">
        <v>7</v>
      </c>
      <c r="CL301" s="27" t="s">
        <v>7</v>
      </c>
      <c r="CM301" s="27" t="s">
        <v>8</v>
      </c>
    </row>
    <row r="302" spans="1:160" x14ac:dyDescent="0.25">
      <c r="A302" s="30">
        <v>4.8558298182760043E-2</v>
      </c>
      <c r="B302"/>
      <c r="C302"/>
      <c r="D302"/>
      <c r="E302"/>
      <c r="F302" s="27" t="s">
        <v>7</v>
      </c>
      <c r="AS302" s="27" t="s">
        <v>8</v>
      </c>
      <c r="AU302" s="27" t="s">
        <v>8</v>
      </c>
      <c r="AV302" s="27" t="s">
        <v>7</v>
      </c>
      <c r="AY302" s="27" t="s">
        <v>8</v>
      </c>
      <c r="BF302" s="27" t="s">
        <v>7</v>
      </c>
      <c r="BG302" s="27" t="s">
        <v>8</v>
      </c>
      <c r="BH302" s="27" t="s">
        <v>7</v>
      </c>
      <c r="BI302" s="27" t="s">
        <v>8</v>
      </c>
      <c r="BJ302" s="27" t="s">
        <v>7</v>
      </c>
      <c r="BW302" s="27" t="s">
        <v>8</v>
      </c>
      <c r="BX302" s="27" t="s">
        <v>7</v>
      </c>
      <c r="BY302" s="27" t="s">
        <v>8</v>
      </c>
      <c r="BZ302" s="27" t="s">
        <v>7</v>
      </c>
      <c r="CA302" s="27" t="s">
        <v>8</v>
      </c>
      <c r="CC302" s="27" t="s">
        <v>8</v>
      </c>
      <c r="CD302" s="27" t="s">
        <v>7</v>
      </c>
      <c r="CE302" s="27" t="s">
        <v>8</v>
      </c>
      <c r="CF302" s="27" t="s">
        <v>7</v>
      </c>
      <c r="CG302" s="27" t="s">
        <v>8</v>
      </c>
      <c r="CH302" s="27" t="s">
        <v>7</v>
      </c>
      <c r="CI302" s="27" t="s">
        <v>8</v>
      </c>
      <c r="CL302" s="27" t="s">
        <v>7</v>
      </c>
      <c r="CM302" s="27" t="s">
        <v>8</v>
      </c>
    </row>
    <row r="303" spans="1:160" x14ac:dyDescent="0.25">
      <c r="A303" s="30">
        <v>4.6245998269295263E-2</v>
      </c>
      <c r="B303"/>
      <c r="C303"/>
      <c r="D303"/>
      <c r="E303"/>
      <c r="F303" s="27" t="s">
        <v>7</v>
      </c>
      <c r="AS303" s="27" t="s">
        <v>8</v>
      </c>
      <c r="AT303" s="27" t="s">
        <v>7</v>
      </c>
      <c r="AU303" s="27" t="s">
        <v>8</v>
      </c>
      <c r="AV303" s="27" t="s">
        <v>7</v>
      </c>
      <c r="AW303" s="27" t="s">
        <v>8</v>
      </c>
      <c r="AY303" s="27" t="s">
        <v>8</v>
      </c>
      <c r="BF303" s="27" t="s">
        <v>7</v>
      </c>
      <c r="BG303" s="27" t="s">
        <v>8</v>
      </c>
      <c r="BH303" s="27" t="s">
        <v>7</v>
      </c>
      <c r="BJ303" s="27" t="s">
        <v>7</v>
      </c>
      <c r="BK303" s="27" t="s">
        <v>8</v>
      </c>
      <c r="BW303" s="27" t="s">
        <v>8</v>
      </c>
      <c r="BX303" s="27" t="s">
        <v>7</v>
      </c>
      <c r="BY303" s="27" t="s">
        <v>8</v>
      </c>
      <c r="BZ303" s="27" t="s">
        <v>7</v>
      </c>
      <c r="CA303" s="27" t="s">
        <v>8</v>
      </c>
      <c r="CB303" s="27" t="s">
        <v>7</v>
      </c>
      <c r="CC303" s="27" t="s">
        <v>8</v>
      </c>
      <c r="CD303" s="27" t="s">
        <v>7</v>
      </c>
      <c r="CE303" s="27" t="s">
        <v>8</v>
      </c>
      <c r="CF303" s="27" t="s">
        <v>7</v>
      </c>
      <c r="CG303" s="27" t="s">
        <v>8</v>
      </c>
      <c r="CH303" s="27" t="s">
        <v>7</v>
      </c>
      <c r="CL303" s="27" t="s">
        <v>7</v>
      </c>
      <c r="CM303" s="27" t="s">
        <v>8</v>
      </c>
    </row>
    <row r="304" spans="1:160" x14ac:dyDescent="0.25">
      <c r="A304" s="30">
        <v>4.4043807875519279E-2</v>
      </c>
      <c r="B304"/>
      <c r="C304"/>
      <c r="D304"/>
      <c r="E304"/>
      <c r="F304" s="27" t="s">
        <v>7</v>
      </c>
      <c r="AS304" s="27" t="s">
        <v>8</v>
      </c>
      <c r="AT304" s="27" t="s">
        <v>7</v>
      </c>
      <c r="AU304" s="27" t="s">
        <v>8</v>
      </c>
      <c r="AV304" s="27" t="s">
        <v>7</v>
      </c>
      <c r="AW304" s="27" t="s">
        <v>8</v>
      </c>
      <c r="AX304" s="27" t="s">
        <v>7</v>
      </c>
      <c r="AY304" s="27" t="s">
        <v>8</v>
      </c>
      <c r="BF304" s="27" t="s">
        <v>7</v>
      </c>
      <c r="BJ304" s="27" t="s">
        <v>7</v>
      </c>
      <c r="BK304" s="27" t="s">
        <v>8</v>
      </c>
      <c r="BL304" s="27" t="s">
        <v>7</v>
      </c>
      <c r="BW304" s="27" t="s">
        <v>8</v>
      </c>
      <c r="BX304" s="27" t="s">
        <v>7</v>
      </c>
      <c r="BY304" s="27" t="s">
        <v>8</v>
      </c>
      <c r="BZ304" s="27" t="s">
        <v>7</v>
      </c>
      <c r="CA304" s="27" t="s">
        <v>8</v>
      </c>
      <c r="CB304" s="27" t="s">
        <v>7</v>
      </c>
      <c r="CC304" s="27" t="s">
        <v>8</v>
      </c>
      <c r="CD304" s="27" t="s">
        <v>7</v>
      </c>
      <c r="CE304" s="27" t="s">
        <v>8</v>
      </c>
      <c r="CF304" s="27" t="s">
        <v>7</v>
      </c>
      <c r="CL304" s="27" t="s">
        <v>7</v>
      </c>
    </row>
    <row r="305" spans="1:82" x14ac:dyDescent="0.25">
      <c r="A305" s="30">
        <v>4.1946483690970725E-2</v>
      </c>
      <c r="B305"/>
      <c r="C305"/>
      <c r="D305"/>
      <c r="E305"/>
      <c r="F305" s="27" t="s">
        <v>7</v>
      </c>
      <c r="AS305" s="27" t="s">
        <v>8</v>
      </c>
      <c r="AT305" s="27" t="s">
        <v>7</v>
      </c>
      <c r="AU305" s="27" t="s">
        <v>8</v>
      </c>
      <c r="AV305" s="27" t="s">
        <v>7</v>
      </c>
      <c r="AW305" s="27" t="s">
        <v>8</v>
      </c>
      <c r="AX305" s="27" t="s">
        <v>7</v>
      </c>
      <c r="AY305" s="27" t="s">
        <v>8</v>
      </c>
      <c r="BJ305" s="27" t="s">
        <v>7</v>
      </c>
      <c r="BK305" s="27" t="s">
        <v>8</v>
      </c>
      <c r="BL305" s="27" t="s">
        <v>7</v>
      </c>
      <c r="BW305" s="27" t="s">
        <v>8</v>
      </c>
      <c r="BX305" s="27" t="s">
        <v>7</v>
      </c>
      <c r="BZ305" s="27" t="s">
        <v>7</v>
      </c>
      <c r="CA305" s="27" t="s">
        <v>8</v>
      </c>
      <c r="CB305" s="27" t="s">
        <v>7</v>
      </c>
      <c r="CD305" s="27" t="s">
        <v>7</v>
      </c>
    </row>
    <row r="306" spans="1:82" x14ac:dyDescent="0.25">
      <c r="A306" s="30">
        <v>3.9949032086638768E-2</v>
      </c>
      <c r="B306"/>
      <c r="C306"/>
      <c r="D306"/>
      <c r="E306"/>
      <c r="F306" s="27" t="s">
        <v>7</v>
      </c>
      <c r="AS306" s="27" t="s">
        <v>8</v>
      </c>
      <c r="AT306" s="27" t="s">
        <v>7</v>
      </c>
      <c r="AV306" s="27" t="s">
        <v>7</v>
      </c>
      <c r="AX306" s="27" t="s">
        <v>7</v>
      </c>
      <c r="AY306" s="27" t="s">
        <v>8</v>
      </c>
      <c r="BJ306" s="27" t="s">
        <v>7</v>
      </c>
      <c r="BK306" s="27" t="s">
        <v>8</v>
      </c>
      <c r="BL306" s="27" t="s">
        <v>7</v>
      </c>
      <c r="BM306" s="27" t="s">
        <v>8</v>
      </c>
      <c r="BU306" s="27" t="s">
        <v>8</v>
      </c>
      <c r="BW306" s="27" t="s">
        <v>8</v>
      </c>
      <c r="BZ306" s="27" t="s">
        <v>7</v>
      </c>
    </row>
    <row r="307" spans="1:82" x14ac:dyDescent="0.25">
      <c r="A307" s="30">
        <v>3.8046697225370241E-2</v>
      </c>
      <c r="B307"/>
      <c r="C307"/>
      <c r="D307"/>
      <c r="E307"/>
      <c r="F307" s="27" t="s">
        <v>7</v>
      </c>
      <c r="I307" s="27" t="s">
        <v>8</v>
      </c>
      <c r="AS307" s="27" t="s">
        <v>8</v>
      </c>
      <c r="AX307" s="27" t="s">
        <v>7</v>
      </c>
      <c r="AY307" s="27" t="s">
        <v>8</v>
      </c>
      <c r="BJ307" s="27" t="s">
        <v>7</v>
      </c>
      <c r="BK307" s="27" t="s">
        <v>8</v>
      </c>
      <c r="BL307" s="27" t="s">
        <v>7</v>
      </c>
      <c r="BM307" s="27" t="s">
        <v>8</v>
      </c>
      <c r="BN307" s="27" t="s">
        <v>7</v>
      </c>
      <c r="BS307" s="27" t="s">
        <v>8</v>
      </c>
      <c r="BU307" s="27" t="s">
        <v>8</v>
      </c>
      <c r="BV307" s="27" t="s">
        <v>7</v>
      </c>
      <c r="BW307" s="27" t="s">
        <v>8</v>
      </c>
    </row>
    <row r="308" spans="1:82" x14ac:dyDescent="0.25">
      <c r="A308" s="30">
        <v>3.6234949738447833E-2</v>
      </c>
      <c r="B308"/>
      <c r="C308"/>
      <c r="D308"/>
      <c r="E308"/>
      <c r="F308" s="27" t="s">
        <v>7</v>
      </c>
      <c r="I308" s="27" t="s">
        <v>8</v>
      </c>
      <c r="J308" s="27" t="s">
        <v>7</v>
      </c>
      <c r="AS308" s="27" t="s">
        <v>8</v>
      </c>
      <c r="AX308" s="27" t="s">
        <v>7</v>
      </c>
      <c r="BJ308" s="27" t="s">
        <v>7</v>
      </c>
      <c r="BK308" s="27" t="s">
        <v>8</v>
      </c>
      <c r="BL308" s="27" t="s">
        <v>7</v>
      </c>
      <c r="BM308" s="27" t="s">
        <v>8</v>
      </c>
      <c r="BN308" s="27" t="s">
        <v>7</v>
      </c>
      <c r="BO308" s="27" t="s">
        <v>8</v>
      </c>
      <c r="BS308" s="27" t="s">
        <v>8</v>
      </c>
      <c r="BT308" s="27" t="s">
        <v>7</v>
      </c>
      <c r="BU308" s="27" t="s">
        <v>8</v>
      </c>
      <c r="BV308" s="27" t="s">
        <v>7</v>
      </c>
      <c r="BW308" s="27" t="s">
        <v>8</v>
      </c>
    </row>
    <row r="309" spans="1:82" x14ac:dyDescent="0.25">
      <c r="A309" s="30">
        <v>3.4509475941378875E-2</v>
      </c>
      <c r="B309"/>
      <c r="C309"/>
      <c r="D309"/>
      <c r="E309"/>
      <c r="F309" s="27" t="s">
        <v>7</v>
      </c>
      <c r="I309" s="27" t="s">
        <v>8</v>
      </c>
      <c r="J309" s="27" t="s">
        <v>7</v>
      </c>
      <c r="AQ309" s="27" t="s">
        <v>8</v>
      </c>
      <c r="AS309" s="27" t="s">
        <v>8</v>
      </c>
      <c r="BJ309" s="27" t="s">
        <v>7</v>
      </c>
      <c r="BK309" s="27" t="s">
        <v>8</v>
      </c>
      <c r="BL309" s="27" t="s">
        <v>7</v>
      </c>
      <c r="BM309" s="27" t="s">
        <v>8</v>
      </c>
      <c r="BN309" s="27" t="s">
        <v>7</v>
      </c>
      <c r="BO309" s="27" t="s">
        <v>8</v>
      </c>
      <c r="BP309" s="27" t="s">
        <v>7</v>
      </c>
      <c r="BS309" s="27" t="s">
        <v>8</v>
      </c>
      <c r="BT309" s="27" t="s">
        <v>7</v>
      </c>
      <c r="BU309" s="27" t="s">
        <v>8</v>
      </c>
      <c r="BV309" s="27" t="s">
        <v>7</v>
      </c>
      <c r="BW309" s="27" t="s">
        <v>8</v>
      </c>
    </row>
    <row r="310" spans="1:82" x14ac:dyDescent="0.25">
      <c r="A310" s="30">
        <v>3.286616756321796E-2</v>
      </c>
      <c r="B310"/>
      <c r="C310"/>
      <c r="D310"/>
      <c r="E310"/>
      <c r="F310" s="27" t="s">
        <v>7</v>
      </c>
      <c r="I310" s="27" t="s">
        <v>8</v>
      </c>
      <c r="J310" s="27" t="s">
        <v>7</v>
      </c>
      <c r="AO310" s="27" t="s">
        <v>8</v>
      </c>
      <c r="AQ310" s="27" t="s">
        <v>8</v>
      </c>
      <c r="AR310" s="27" t="s">
        <v>7</v>
      </c>
      <c r="AS310" s="27" t="s">
        <v>8</v>
      </c>
      <c r="BJ310" s="27" t="s">
        <v>7</v>
      </c>
      <c r="BL310" s="27" t="s">
        <v>7</v>
      </c>
      <c r="BM310" s="27" t="s">
        <v>8</v>
      </c>
      <c r="BN310" s="27" t="s">
        <v>7</v>
      </c>
      <c r="BO310" s="27" t="s">
        <v>8</v>
      </c>
      <c r="BP310" s="27" t="s">
        <v>7</v>
      </c>
      <c r="BS310" s="27" t="s">
        <v>8</v>
      </c>
      <c r="BT310" s="27" t="s">
        <v>7</v>
      </c>
      <c r="BV310" s="27" t="s">
        <v>7</v>
      </c>
    </row>
    <row r="311" spans="1:82" x14ac:dyDescent="0.25">
      <c r="A311" s="30">
        <v>3.1301111964969472E-2</v>
      </c>
      <c r="B311"/>
      <c r="C311"/>
      <c r="D311"/>
      <c r="E311"/>
      <c r="F311" s="27" t="s">
        <v>7</v>
      </c>
      <c r="I311" s="27" t="s">
        <v>8</v>
      </c>
      <c r="J311" s="27" t="s">
        <v>7</v>
      </c>
      <c r="AO311" s="27" t="s">
        <v>8</v>
      </c>
      <c r="AP311" s="27" t="s">
        <v>7</v>
      </c>
      <c r="AQ311" s="27" t="s">
        <v>8</v>
      </c>
      <c r="AR311" s="27" t="s">
        <v>7</v>
      </c>
      <c r="AS311" s="27" t="s">
        <v>8</v>
      </c>
      <c r="BL311" s="27" t="s">
        <v>7</v>
      </c>
      <c r="BM311" s="27" t="s">
        <v>8</v>
      </c>
      <c r="BN311" s="27" t="s">
        <v>7</v>
      </c>
      <c r="BO311" s="27" t="s">
        <v>8</v>
      </c>
      <c r="BP311" s="27" t="s">
        <v>7</v>
      </c>
      <c r="BQ311" s="27" t="s">
        <v>8</v>
      </c>
      <c r="BS311" s="27" t="s">
        <v>8</v>
      </c>
    </row>
    <row r="312" spans="1:82" x14ac:dyDescent="0.25">
      <c r="A312" s="30">
        <v>2.9810582823780438E-2</v>
      </c>
      <c r="B312"/>
      <c r="C312"/>
      <c r="D312"/>
      <c r="E312"/>
      <c r="F312" s="27" t="s">
        <v>7</v>
      </c>
      <c r="I312" s="27" t="s">
        <v>8</v>
      </c>
      <c r="J312" s="27" t="s">
        <v>7</v>
      </c>
      <c r="AK312" s="27" t="s">
        <v>8</v>
      </c>
      <c r="AO312" s="27" t="s">
        <v>8</v>
      </c>
      <c r="AP312" s="27" t="s">
        <v>7</v>
      </c>
      <c r="AQ312" s="27" t="s">
        <v>8</v>
      </c>
      <c r="AR312" s="27" t="s">
        <v>7</v>
      </c>
      <c r="AS312" s="27" t="s">
        <v>8</v>
      </c>
      <c r="BL312" s="27" t="s">
        <v>7</v>
      </c>
      <c r="BM312" s="27" t="s">
        <v>8</v>
      </c>
      <c r="BN312" s="27" t="s">
        <v>7</v>
      </c>
      <c r="BP312" s="27" t="s">
        <v>7</v>
      </c>
      <c r="BQ312" s="27" t="s">
        <v>8</v>
      </c>
      <c r="BR312" s="27" t="s">
        <v>7</v>
      </c>
      <c r="BS312" s="27" t="s">
        <v>8</v>
      </c>
    </row>
    <row r="313" spans="1:82" x14ac:dyDescent="0.25">
      <c r="A313" s="30">
        <v>2.8391031260743264E-2</v>
      </c>
      <c r="B313"/>
      <c r="C313"/>
      <c r="D313"/>
      <c r="E313"/>
      <c r="F313" s="27" t="s">
        <v>7</v>
      </c>
      <c r="I313" s="27" t="s">
        <v>8</v>
      </c>
      <c r="J313" s="27" t="s">
        <v>7</v>
      </c>
      <c r="AK313" s="27" t="s">
        <v>8</v>
      </c>
      <c r="AL313" s="27" t="s">
        <v>7</v>
      </c>
      <c r="AM313" s="27" t="s">
        <v>8</v>
      </c>
      <c r="AO313" s="27" t="s">
        <v>8</v>
      </c>
      <c r="AP313" s="27" t="s">
        <v>7</v>
      </c>
      <c r="AR313" s="27" t="s">
        <v>7</v>
      </c>
      <c r="BL313" s="27" t="s">
        <v>7</v>
      </c>
      <c r="BP313" s="27" t="s">
        <v>7</v>
      </c>
      <c r="BQ313" s="27" t="s">
        <v>8</v>
      </c>
      <c r="BR313" s="27" t="s">
        <v>7</v>
      </c>
      <c r="BS313" s="27" t="s">
        <v>8</v>
      </c>
    </row>
    <row r="314" spans="1:82" x14ac:dyDescent="0.25">
      <c r="A314" s="30">
        <v>2.7039077391184052E-2</v>
      </c>
      <c r="B314"/>
      <c r="C314"/>
      <c r="D314"/>
      <c r="E314"/>
      <c r="F314" s="27" t="s">
        <v>7</v>
      </c>
      <c r="I314" s="27" t="s">
        <v>8</v>
      </c>
      <c r="J314" s="27" t="s">
        <v>7</v>
      </c>
      <c r="AK314" s="27" t="s">
        <v>8</v>
      </c>
      <c r="AL314" s="27" t="s">
        <v>7</v>
      </c>
      <c r="AM314" s="27" t="s">
        <v>8</v>
      </c>
      <c r="AN314" s="27" t="s">
        <v>7</v>
      </c>
      <c r="AO314" s="27" t="s">
        <v>8</v>
      </c>
      <c r="BP314" s="27" t="s">
        <v>7</v>
      </c>
      <c r="BR314" s="27" t="s">
        <v>7</v>
      </c>
    </row>
    <row r="315" spans="1:82" x14ac:dyDescent="0.25">
      <c r="A315" s="30">
        <v>2.5751502277318133E-2</v>
      </c>
      <c r="B315"/>
      <c r="C315"/>
      <c r="D315"/>
      <c r="E315"/>
      <c r="F315" s="27" t="s">
        <v>7</v>
      </c>
      <c r="I315" s="27" t="s">
        <v>8</v>
      </c>
      <c r="J315" s="27" t="s">
        <v>7</v>
      </c>
      <c r="AK315" s="27" t="s">
        <v>8</v>
      </c>
      <c r="AL315" s="27" t="s">
        <v>7</v>
      </c>
      <c r="AM315" s="27" t="s">
        <v>8</v>
      </c>
      <c r="AN315" s="27" t="s">
        <v>7</v>
      </c>
      <c r="AO315" s="27" t="s">
        <v>8</v>
      </c>
    </row>
    <row r="316" spans="1:82" x14ac:dyDescent="0.25">
      <c r="A316" s="30">
        <v>2.4525240264112496E-2</v>
      </c>
      <c r="B316"/>
      <c r="C316"/>
      <c r="D316"/>
      <c r="E316"/>
      <c r="F316" s="27" t="s">
        <v>7</v>
      </c>
      <c r="I316" s="27" t="s">
        <v>8</v>
      </c>
      <c r="J316" s="27" t="s">
        <v>7</v>
      </c>
      <c r="AG316" s="27" t="s">
        <v>8</v>
      </c>
      <c r="AI316" s="27" t="s">
        <v>8</v>
      </c>
      <c r="AK316" s="27" t="s">
        <v>8</v>
      </c>
      <c r="AL316" s="27" t="s">
        <v>7</v>
      </c>
      <c r="AM316" s="27" t="s">
        <v>8</v>
      </c>
      <c r="AN316" s="27" t="s">
        <v>7</v>
      </c>
    </row>
    <row r="317" spans="1:82" x14ac:dyDescent="0.25">
      <c r="A317" s="30">
        <v>2.3357371680107129E-2</v>
      </c>
      <c r="B317"/>
      <c r="C317"/>
      <c r="D317"/>
      <c r="E317"/>
      <c r="F317" s="27" t="s">
        <v>7</v>
      </c>
      <c r="I317" s="27" t="s">
        <v>8</v>
      </c>
      <c r="J317" s="27" t="s">
        <v>7</v>
      </c>
      <c r="AA317" s="27" t="s">
        <v>8</v>
      </c>
      <c r="AG317" s="27" t="s">
        <v>8</v>
      </c>
      <c r="AH317" s="27" t="s">
        <v>7</v>
      </c>
      <c r="AI317" s="27" t="s">
        <v>8</v>
      </c>
      <c r="AJ317" s="27" t="s">
        <v>7</v>
      </c>
      <c r="AK317" s="27" t="s">
        <v>8</v>
      </c>
      <c r="AL317" s="27" t="s">
        <v>7</v>
      </c>
    </row>
    <row r="318" spans="1:82" x14ac:dyDescent="0.25">
      <c r="A318" s="30">
        <v>2.2245115885816305E-2</v>
      </c>
      <c r="B318"/>
      <c r="C318"/>
      <c r="D318"/>
      <c r="E318"/>
      <c r="F318" s="27" t="s">
        <v>7</v>
      </c>
      <c r="I318" s="27" t="s">
        <v>8</v>
      </c>
      <c r="J318" s="27" t="s">
        <v>7</v>
      </c>
      <c r="U318" s="27" t="s">
        <v>8</v>
      </c>
      <c r="W318" s="27" t="s">
        <v>8</v>
      </c>
      <c r="AA318" s="27" t="s">
        <v>8</v>
      </c>
      <c r="AB318" s="27" t="s">
        <v>7</v>
      </c>
      <c r="AE318" s="27" t="s">
        <v>8</v>
      </c>
      <c r="AG318" s="27" t="s">
        <v>8</v>
      </c>
      <c r="AH318" s="27" t="s">
        <v>7</v>
      </c>
      <c r="AI318" s="27" t="s">
        <v>8</v>
      </c>
      <c r="AJ318" s="27" t="s">
        <v>7</v>
      </c>
      <c r="AK318" s="27" t="s">
        <v>8</v>
      </c>
    </row>
    <row r="319" spans="1:82" x14ac:dyDescent="0.25">
      <c r="A319" s="30">
        <v>2.1185824653158377E-2</v>
      </c>
      <c r="B319"/>
      <c r="C319"/>
      <c r="D319"/>
      <c r="E319"/>
      <c r="F319" s="27" t="s">
        <v>7</v>
      </c>
      <c r="G319" s="27" t="s">
        <v>8</v>
      </c>
      <c r="I319" s="27" t="s">
        <v>8</v>
      </c>
      <c r="J319" s="27" t="s">
        <v>7</v>
      </c>
      <c r="U319" s="27" t="s">
        <v>8</v>
      </c>
      <c r="V319" s="27" t="s">
        <v>7</v>
      </c>
      <c r="W319" s="27" t="s">
        <v>8</v>
      </c>
      <c r="X319" s="27" t="s">
        <v>7</v>
      </c>
      <c r="Y319" s="27" t="s">
        <v>8</v>
      </c>
      <c r="AA319" s="27" t="s">
        <v>8</v>
      </c>
      <c r="AB319" s="27" t="s">
        <v>7</v>
      </c>
      <c r="AC319" s="27" t="s">
        <v>8</v>
      </c>
      <c r="AE319" s="27" t="s">
        <v>8</v>
      </c>
      <c r="AF319" s="27" t="s">
        <v>7</v>
      </c>
      <c r="AG319" s="27" t="s">
        <v>8</v>
      </c>
      <c r="AH319" s="27" t="s">
        <v>7</v>
      </c>
      <c r="AJ319" s="27" t="s">
        <v>7</v>
      </c>
      <c r="AK319" s="27" t="s">
        <v>8</v>
      </c>
    </row>
    <row r="320" spans="1:82" x14ac:dyDescent="0.25">
      <c r="A320" s="30">
        <v>2.0176975860150829E-2</v>
      </c>
      <c r="B320"/>
      <c r="C320"/>
      <c r="D320"/>
      <c r="E320"/>
      <c r="F320" s="27" t="s">
        <v>7</v>
      </c>
      <c r="G320" s="27" t="s">
        <v>8</v>
      </c>
      <c r="H320" s="27" t="s">
        <v>7</v>
      </c>
      <c r="I320" s="27" t="s">
        <v>8</v>
      </c>
      <c r="J320" s="27" t="s">
        <v>7</v>
      </c>
      <c r="U320" s="27" t="s">
        <v>8</v>
      </c>
      <c r="V320" s="27" t="s">
        <v>7</v>
      </c>
      <c r="W320" s="27" t="s">
        <v>8</v>
      </c>
      <c r="X320" s="27" t="s">
        <v>7</v>
      </c>
      <c r="Y320" s="27" t="s">
        <v>8</v>
      </c>
      <c r="Z320" s="27" t="s">
        <v>7</v>
      </c>
      <c r="AA320" s="27" t="s">
        <v>8</v>
      </c>
      <c r="AB320" s="27" t="s">
        <v>7</v>
      </c>
      <c r="AC320" s="27" t="s">
        <v>8</v>
      </c>
      <c r="AD320" s="27" t="s">
        <v>7</v>
      </c>
      <c r="AE320" s="27" t="s">
        <v>8</v>
      </c>
      <c r="AF320" s="27" t="s">
        <v>7</v>
      </c>
      <c r="AG320" s="27" t="s">
        <v>8</v>
      </c>
      <c r="AJ320" s="27" t="s">
        <v>7</v>
      </c>
    </row>
    <row r="321" spans="1:32" x14ac:dyDescent="0.25">
      <c r="A321" s="30">
        <v>1.9216167485857926E-2</v>
      </c>
      <c r="B321"/>
      <c r="C321"/>
      <c r="D321"/>
      <c r="E321"/>
      <c r="F321" s="27" t="s">
        <v>7</v>
      </c>
      <c r="G321" s="27" t="s">
        <v>8</v>
      </c>
      <c r="H321" s="27" t="s">
        <v>7</v>
      </c>
      <c r="I321" s="27" t="s">
        <v>8</v>
      </c>
      <c r="J321" s="27" t="s">
        <v>7</v>
      </c>
      <c r="U321" s="27" t="s">
        <v>8</v>
      </c>
      <c r="V321" s="27" t="s">
        <v>7</v>
      </c>
      <c r="X321" s="27" t="s">
        <v>7</v>
      </c>
      <c r="Y321" s="27" t="s">
        <v>8</v>
      </c>
      <c r="Z321" s="27" t="s">
        <v>7</v>
      </c>
      <c r="AA321" s="27" t="s">
        <v>8</v>
      </c>
      <c r="AB321" s="27" t="s">
        <v>7</v>
      </c>
      <c r="AC321" s="27" t="s">
        <v>8</v>
      </c>
      <c r="AD321" s="27" t="s">
        <v>7</v>
      </c>
      <c r="AE321" s="27" t="s">
        <v>8</v>
      </c>
      <c r="AF321" s="27" t="s">
        <v>7</v>
      </c>
    </row>
    <row r="322" spans="1:32" x14ac:dyDescent="0.25">
      <c r="A322" s="30">
        <v>1.8301111891293256E-2</v>
      </c>
      <c r="B322"/>
      <c r="C322"/>
      <c r="D322"/>
      <c r="E322"/>
      <c r="F322" s="27" t="s">
        <v>7</v>
      </c>
      <c r="G322" s="27" t="s">
        <v>8</v>
      </c>
      <c r="H322" s="27" t="s">
        <v>7</v>
      </c>
      <c r="J322" s="27" t="s">
        <v>7</v>
      </c>
      <c r="O322" s="27" t="s">
        <v>8</v>
      </c>
      <c r="S322" s="27" t="s">
        <v>8</v>
      </c>
      <c r="U322" s="27" t="s">
        <v>8</v>
      </c>
      <c r="X322" s="27" t="s">
        <v>7</v>
      </c>
      <c r="Y322" s="27" t="s">
        <v>8</v>
      </c>
      <c r="Z322" s="27" t="s">
        <v>7</v>
      </c>
      <c r="AB322" s="27" t="s">
        <v>7</v>
      </c>
      <c r="AD322" s="27" t="s">
        <v>7</v>
      </c>
      <c r="AE322" s="27" t="s">
        <v>8</v>
      </c>
    </row>
    <row r="323" spans="1:32" x14ac:dyDescent="0.25">
      <c r="A323" s="30">
        <v>1.7429630372660238E-2</v>
      </c>
      <c r="B323"/>
      <c r="C323"/>
      <c r="D323"/>
      <c r="E323"/>
      <c r="F323" s="27" t="s">
        <v>7</v>
      </c>
      <c r="J323" s="27" t="s">
        <v>7</v>
      </c>
      <c r="O323" s="27" t="s">
        <v>8</v>
      </c>
      <c r="P323" s="27" t="s">
        <v>7</v>
      </c>
      <c r="Q323" s="27" t="s">
        <v>8</v>
      </c>
      <c r="S323" s="27" t="s">
        <v>8</v>
      </c>
      <c r="T323" s="27" t="s">
        <v>7</v>
      </c>
      <c r="U323" s="27" t="s">
        <v>8</v>
      </c>
      <c r="X323" s="27" t="s">
        <v>7</v>
      </c>
      <c r="Y323" s="27" t="s">
        <v>8</v>
      </c>
      <c r="AD323" s="27" t="s">
        <v>7</v>
      </c>
    </row>
    <row r="324" spans="1:32" x14ac:dyDescent="0.25">
      <c r="A324" s="30">
        <v>1.6599647973962125E-2</v>
      </c>
      <c r="B324"/>
      <c r="C324"/>
      <c r="D324"/>
      <c r="E324"/>
      <c r="J324" s="27" t="s">
        <v>7</v>
      </c>
      <c r="K324" s="27" t="s">
        <v>8</v>
      </c>
      <c r="O324" s="27" t="s">
        <v>8</v>
      </c>
      <c r="P324" s="27" t="s">
        <v>7</v>
      </c>
      <c r="Q324" s="27" t="s">
        <v>8</v>
      </c>
      <c r="R324" s="27" t="s">
        <v>7</v>
      </c>
      <c r="S324" s="27" t="s">
        <v>8</v>
      </c>
      <c r="T324" s="27" t="s">
        <v>7</v>
      </c>
      <c r="U324" s="27" t="s">
        <v>8</v>
      </c>
      <c r="X324" s="27" t="s">
        <v>7</v>
      </c>
    </row>
    <row r="325" spans="1:32" x14ac:dyDescent="0.25">
      <c r="A325" s="30">
        <v>1.580918854663059E-2</v>
      </c>
      <c r="B325"/>
      <c r="C325"/>
      <c r="D325"/>
      <c r="E325"/>
      <c r="J325" s="27" t="s">
        <v>7</v>
      </c>
      <c r="K325" s="27" t="s">
        <v>8</v>
      </c>
      <c r="L325" s="27" t="s">
        <v>7</v>
      </c>
      <c r="O325" s="27" t="s">
        <v>8</v>
      </c>
      <c r="P325" s="27" t="s">
        <v>7</v>
      </c>
      <c r="Q325" s="27" t="s">
        <v>8</v>
      </c>
      <c r="R325" s="27" t="s">
        <v>7</v>
      </c>
      <c r="S325" s="27" t="s">
        <v>8</v>
      </c>
      <c r="T325" s="27" t="s">
        <v>7</v>
      </c>
    </row>
    <row r="326" spans="1:32" x14ac:dyDescent="0.25">
      <c r="A326" s="30">
        <v>1.5056370044410079E-2</v>
      </c>
      <c r="B326"/>
      <c r="C326"/>
      <c r="D326"/>
      <c r="E326"/>
      <c r="J326" s="27" t="s">
        <v>7</v>
      </c>
      <c r="K326" s="27" t="s">
        <v>8</v>
      </c>
      <c r="L326" s="27" t="s">
        <v>7</v>
      </c>
      <c r="O326" s="27" t="s">
        <v>8</v>
      </c>
      <c r="P326" s="27" t="s">
        <v>7</v>
      </c>
      <c r="Q326" s="27" t="s">
        <v>8</v>
      </c>
      <c r="R326" s="27" t="s">
        <v>7</v>
      </c>
      <c r="S326" s="27" t="s">
        <v>8</v>
      </c>
    </row>
    <row r="327" spans="1:32" x14ac:dyDescent="0.25">
      <c r="A327" s="30">
        <v>1.4339400042295308E-2</v>
      </c>
      <c r="B327"/>
      <c r="C327"/>
      <c r="D327"/>
      <c r="E327"/>
      <c r="J327" s="27" t="s">
        <v>7</v>
      </c>
      <c r="K327" s="27" t="s">
        <v>8</v>
      </c>
      <c r="L327" s="27" t="s">
        <v>7</v>
      </c>
      <c r="O327" s="27" t="s">
        <v>8</v>
      </c>
      <c r="P327" s="27" t="s">
        <v>7</v>
      </c>
      <c r="Q327" s="27" t="s">
        <v>8</v>
      </c>
      <c r="R327" s="27" t="s">
        <v>7</v>
      </c>
      <c r="S327" s="27" t="s">
        <v>8</v>
      </c>
    </row>
    <row r="328" spans="1:32" x14ac:dyDescent="0.25">
      <c r="A328" s="30">
        <v>1.365657146885267E-2</v>
      </c>
      <c r="B328"/>
      <c r="C328"/>
      <c r="D328"/>
      <c r="E328"/>
      <c r="J328" s="27" t="s">
        <v>7</v>
      </c>
      <c r="K328" s="27" t="s">
        <v>8</v>
      </c>
      <c r="L328" s="27" t="s">
        <v>7</v>
      </c>
      <c r="M328" s="27" t="s">
        <v>8</v>
      </c>
      <c r="O328" s="27" t="s">
        <v>8</v>
      </c>
      <c r="P328" s="27" t="s">
        <v>7</v>
      </c>
      <c r="Q328" s="27" t="s">
        <v>8</v>
      </c>
      <c r="R328" s="27" t="s">
        <v>7</v>
      </c>
    </row>
    <row r="329" spans="1:32" x14ac:dyDescent="0.25">
      <c r="A329" s="30">
        <v>1.3006258541764442E-2</v>
      </c>
      <c r="B329"/>
      <c r="C329"/>
      <c r="D329"/>
      <c r="E329"/>
      <c r="J329" s="27" t="s">
        <v>7</v>
      </c>
      <c r="K329" s="27" t="s">
        <v>8</v>
      </c>
      <c r="L329" s="27" t="s">
        <v>7</v>
      </c>
      <c r="M329" s="27" t="s">
        <v>8</v>
      </c>
      <c r="N329" s="27" t="s">
        <v>7</v>
      </c>
      <c r="O329" s="27" t="s">
        <v>8</v>
      </c>
      <c r="P329" s="27" t="s">
        <v>7</v>
      </c>
      <c r="Q329" s="27" t="s">
        <v>8</v>
      </c>
    </row>
    <row r="330" spans="1:32" x14ac:dyDescent="0.25">
      <c r="A330" s="30">
        <v>1.2386912896918512E-2</v>
      </c>
      <c r="B330"/>
      <c r="C330"/>
      <c r="D330"/>
      <c r="E330"/>
      <c r="J330" s="27" t="s">
        <v>7</v>
      </c>
      <c r="K330" s="27" t="s">
        <v>8</v>
      </c>
      <c r="L330" s="27" t="s">
        <v>7</v>
      </c>
      <c r="M330" s="27" t="s">
        <v>8</v>
      </c>
      <c r="N330" s="27" t="s">
        <v>7</v>
      </c>
      <c r="O330" s="27" t="s">
        <v>8</v>
      </c>
      <c r="P330" s="27" t="s">
        <v>7</v>
      </c>
      <c r="Q330" s="27" t="s">
        <v>8</v>
      </c>
    </row>
    <row r="331" spans="1:32" x14ac:dyDescent="0.25">
      <c r="A331" s="30">
        <v>1.179705990182715E-2</v>
      </c>
      <c r="B331"/>
      <c r="C331"/>
      <c r="D331"/>
      <c r="E331"/>
      <c r="J331" s="27" t="s">
        <v>7</v>
      </c>
      <c r="K331" s="27" t="s">
        <v>8</v>
      </c>
      <c r="L331" s="27" t="s">
        <v>7</v>
      </c>
      <c r="M331" s="27" t="s">
        <v>8</v>
      </c>
      <c r="N331" s="27" t="s">
        <v>7</v>
      </c>
      <c r="O331" s="27" t="s">
        <v>8</v>
      </c>
      <c r="P331" s="27" t="s">
        <v>7</v>
      </c>
    </row>
    <row r="332" spans="1:32" x14ac:dyDescent="0.25">
      <c r="A332" s="30">
        <v>1.1235295144597281E-2</v>
      </c>
      <c r="B332"/>
      <c r="C332"/>
      <c r="D332"/>
      <c r="E332"/>
      <c r="J332" s="27" t="s">
        <v>7</v>
      </c>
      <c r="K332" s="27" t="s">
        <v>8</v>
      </c>
      <c r="L332" s="27" t="s">
        <v>7</v>
      </c>
      <c r="M332" s="27" t="s">
        <v>8</v>
      </c>
      <c r="N332" s="27" t="s">
        <v>7</v>
      </c>
    </row>
    <row r="333" spans="1:32" x14ac:dyDescent="0.25">
      <c r="A333" s="30">
        <v>1.0700281090092644E-2</v>
      </c>
      <c r="B333"/>
      <c r="C333"/>
      <c r="D333"/>
      <c r="E333"/>
      <c r="J333" s="27" t="s">
        <v>7</v>
      </c>
      <c r="K333" s="27" t="s">
        <v>8</v>
      </c>
      <c r="L333" s="27" t="s">
        <v>7</v>
      </c>
      <c r="M333" s="27" t="s">
        <v>8</v>
      </c>
    </row>
    <row r="334" spans="1:32" x14ac:dyDescent="0.25">
      <c r="A334" s="30">
        <v>1.0190743895326324E-2</v>
      </c>
      <c r="B334"/>
      <c r="C334"/>
      <c r="D334"/>
      <c r="E334"/>
      <c r="J334" s="27" t="s">
        <v>7</v>
      </c>
      <c r="K334" s="27" t="s">
        <v>8</v>
      </c>
      <c r="L334" s="27" t="s">
        <v>7</v>
      </c>
      <c r="M334" s="27" t="s">
        <v>8</v>
      </c>
    </row>
    <row r="335" spans="1:32" x14ac:dyDescent="0.25">
      <c r="A335" s="30">
        <v>9.7054703765012563E-3</v>
      </c>
      <c r="B335"/>
      <c r="C335"/>
      <c r="D335"/>
      <c r="E335"/>
      <c r="J335" s="27" t="s">
        <v>7</v>
      </c>
      <c r="K335" s="27" t="s">
        <v>8</v>
      </c>
      <c r="L335" s="27" t="s">
        <v>7</v>
      </c>
    </row>
    <row r="336" spans="1:32" x14ac:dyDescent="0.25">
      <c r="A336" s="30">
        <v>9.2433051204773835E-3</v>
      </c>
      <c r="B336"/>
      <c r="C336"/>
      <c r="D336"/>
      <c r="E336"/>
      <c r="J336" s="27" t="s">
        <v>7</v>
      </c>
      <c r="K336" s="27" t="s">
        <v>8</v>
      </c>
    </row>
    <row r="337" spans="1:10" x14ac:dyDescent="0.25">
      <c r="A337" s="30">
        <v>8.8031477337879808E-3</v>
      </c>
      <c r="B337"/>
      <c r="C337"/>
      <c r="D337"/>
      <c r="E337"/>
      <c r="J337" s="27" t="s">
        <v>7</v>
      </c>
    </row>
    <row r="338" spans="1:10" x14ac:dyDescent="0.25">
      <c r="A338" s="30">
        <v>8.3839502226552166E-3</v>
      </c>
      <c r="B338"/>
      <c r="C338"/>
      <c r="D338"/>
      <c r="E338"/>
    </row>
    <row r="339" spans="1:10" x14ac:dyDescent="0.25">
      <c r="A339" s="30">
        <v>7.9847144977668698E-3</v>
      </c>
      <c r="B339"/>
      <c r="C339"/>
      <c r="D339"/>
      <c r="E339"/>
    </row>
    <row r="340" spans="1:10" x14ac:dyDescent="0.25">
      <c r="A340" s="30">
        <v>7.6044899978732058E-3</v>
      </c>
      <c r="B340"/>
      <c r="C340"/>
      <c r="D340"/>
      <c r="E340"/>
    </row>
    <row r="341" spans="1:10" x14ac:dyDescent="0.25">
      <c r="A341" s="30">
        <v>7.2423714265459072E-3</v>
      </c>
      <c r="B341"/>
      <c r="C341"/>
      <c r="D341"/>
      <c r="E341"/>
    </row>
    <row r="342" spans="1:10" x14ac:dyDescent="0.25">
      <c r="A342" s="30">
        <v>6.8974965967103846E-3</v>
      </c>
      <c r="B342"/>
      <c r="C342"/>
      <c r="D342"/>
      <c r="E342"/>
    </row>
    <row r="343" spans="1:10" x14ac:dyDescent="0.25">
      <c r="A343" s="30">
        <v>6.5690443778194116E-3</v>
      </c>
      <c r="B343"/>
      <c r="C343"/>
      <c r="D343"/>
      <c r="E343"/>
    </row>
    <row r="344" spans="1:10" x14ac:dyDescent="0.25">
      <c r="A344" s="30">
        <v>6.2562327407803897E-3</v>
      </c>
      <c r="B344"/>
      <c r="C344"/>
      <c r="D344"/>
      <c r="E344"/>
    </row>
    <row r="345" spans="1:10" x14ac:dyDescent="0.25">
      <c r="A345" s="30">
        <v>5.9583168959813212E-3</v>
      </c>
      <c r="B345"/>
      <c r="C345"/>
      <c r="D345"/>
      <c r="E345"/>
    </row>
    <row r="346" spans="1:10" x14ac:dyDescent="0.25">
      <c r="A346" s="30">
        <v>5.6745875199822084E-3</v>
      </c>
      <c r="B346"/>
      <c r="C346"/>
      <c r="D346"/>
      <c r="E346"/>
    </row>
    <row r="347" spans="1:10" x14ac:dyDescent="0.25">
      <c r="A347" s="30">
        <v>5.4043690666497205E-3</v>
      </c>
      <c r="B347"/>
      <c r="C347"/>
      <c r="D347"/>
      <c r="E347"/>
    </row>
    <row r="348" spans="1:10" x14ac:dyDescent="0.25">
      <c r="A348" s="30">
        <v>5.1470181587140174E-3</v>
      </c>
      <c r="B348"/>
      <c r="C348"/>
      <c r="D348"/>
      <c r="E348"/>
    </row>
    <row r="349" spans="1:10" x14ac:dyDescent="0.25">
      <c r="A349" s="30">
        <v>4.9019220559181099E-3</v>
      </c>
      <c r="B349"/>
      <c r="C349"/>
      <c r="D349"/>
      <c r="E349"/>
    </row>
    <row r="350" spans="1:10" x14ac:dyDescent="0.25">
      <c r="A350" s="30">
        <v>4.6684971961124836E-3</v>
      </c>
      <c r="B350"/>
      <c r="C350"/>
      <c r="D350"/>
      <c r="E350"/>
    </row>
    <row r="351" spans="1:10" x14ac:dyDescent="0.25">
      <c r="A351" s="30">
        <v>4.4461878058214112E-3</v>
      </c>
      <c r="B351"/>
      <c r="C351"/>
      <c r="D351"/>
      <c r="E351"/>
    </row>
    <row r="352" spans="1:10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22" operator="equal">
      <formula>$U$1</formula>
    </cfRule>
    <cfRule type="cellIs" dxfId="67" priority="1123" operator="equal">
      <formula>$S$1</formula>
    </cfRule>
  </conditionalFormatting>
  <conditionalFormatting sqref="D136">
    <cfRule type="cellIs" dxfId="66" priority="1120" operator="equal">
      <formula>$S$1</formula>
    </cfRule>
    <cfRule type="cellIs" dxfId="65" priority="1121" operator="equal">
      <formula>$U$1</formula>
    </cfRule>
  </conditionalFormatting>
  <conditionalFormatting sqref="C162">
    <cfRule type="cellIs" dxfId="64" priority="1118" operator="equal">
      <formula>$U$1</formula>
    </cfRule>
    <cfRule type="cellIs" dxfId="63" priority="1119" operator="equal">
      <formula>$S$1</formula>
    </cfRule>
  </conditionalFormatting>
  <conditionalFormatting sqref="D162">
    <cfRule type="cellIs" dxfId="62" priority="1116" operator="equal">
      <formula>$S$1</formula>
    </cfRule>
    <cfRule type="cellIs" dxfId="61" priority="1117" operator="equal">
      <formula>$U$1</formula>
    </cfRule>
  </conditionalFormatting>
  <conditionalFormatting sqref="C187">
    <cfRule type="cellIs" dxfId="60" priority="1114" operator="equal">
      <formula>$U$1</formula>
    </cfRule>
    <cfRule type="cellIs" dxfId="59" priority="1115" operator="equal">
      <formula>$S$1</formula>
    </cfRule>
  </conditionalFormatting>
  <conditionalFormatting sqref="D187">
    <cfRule type="cellIs" dxfId="58" priority="1112" operator="equal">
      <formula>$S$1</formula>
    </cfRule>
    <cfRule type="cellIs" dxfId="57" priority="1113" operator="equal">
      <formula>$U$1</formula>
    </cfRule>
  </conditionalFormatting>
  <conditionalFormatting sqref="C212">
    <cfRule type="cellIs" dxfId="56" priority="1110" operator="equal">
      <formula>$U$1</formula>
    </cfRule>
    <cfRule type="cellIs" dxfId="55" priority="1111" operator="equal">
      <formula>$S$1</formula>
    </cfRule>
  </conditionalFormatting>
  <conditionalFormatting sqref="D212">
    <cfRule type="cellIs" dxfId="54" priority="1108" operator="equal">
      <formula>$S$1</formula>
    </cfRule>
    <cfRule type="cellIs" dxfId="53" priority="1109" operator="equal">
      <formula>$U$1</formula>
    </cfRule>
  </conditionalFormatting>
  <conditionalFormatting sqref="C237">
    <cfRule type="cellIs" dxfId="52" priority="1106" operator="equal">
      <formula>$U$1</formula>
    </cfRule>
    <cfRule type="cellIs" dxfId="51" priority="1107" operator="equal">
      <formula>$S$1</formula>
    </cfRule>
  </conditionalFormatting>
  <conditionalFormatting sqref="D237">
    <cfRule type="cellIs" dxfId="50" priority="1104" operator="equal">
      <formula>$S$1</formula>
    </cfRule>
    <cfRule type="cellIs" dxfId="49" priority="1105" operator="equal">
      <formula>$U$1</formula>
    </cfRule>
  </conditionalFormatting>
  <conditionalFormatting sqref="C106">
    <cfRule type="cellIs" dxfId="48" priority="1102" operator="equal">
      <formula>$U$1</formula>
    </cfRule>
    <cfRule type="cellIs" dxfId="47" priority="1103" operator="equal">
      <formula>$S$1</formula>
    </cfRule>
  </conditionalFormatting>
  <conditionalFormatting sqref="D106">
    <cfRule type="cellIs" dxfId="46" priority="1100" operator="equal">
      <formula>$S$1</formula>
    </cfRule>
    <cfRule type="cellIs" dxfId="45" priority="1101" operator="equal">
      <formula>$U$1</formula>
    </cfRule>
  </conditionalFormatting>
  <conditionalFormatting sqref="C81">
    <cfRule type="cellIs" dxfId="44" priority="1098" operator="equal">
      <formula>$U$1</formula>
    </cfRule>
    <cfRule type="cellIs" dxfId="43" priority="1099" operator="equal">
      <formula>$S$1</formula>
    </cfRule>
  </conditionalFormatting>
  <conditionalFormatting sqref="D81">
    <cfRule type="cellIs" dxfId="42" priority="1096" operator="equal">
      <formula>$S$1</formula>
    </cfRule>
    <cfRule type="cellIs" dxfId="41" priority="1097" operator="equal">
      <formula>$U$1</formula>
    </cfRule>
  </conditionalFormatting>
  <conditionalFormatting sqref="C56">
    <cfRule type="cellIs" dxfId="40" priority="1094" operator="equal">
      <formula>$U$1</formula>
    </cfRule>
    <cfRule type="cellIs" dxfId="39" priority="1095" operator="equal">
      <formula>$S$1</formula>
    </cfRule>
  </conditionalFormatting>
  <conditionalFormatting sqref="D56">
    <cfRule type="cellIs" dxfId="38" priority="1092" operator="equal">
      <formula>$S$1</formula>
    </cfRule>
    <cfRule type="cellIs" dxfId="37" priority="1093" operator="equal">
      <formula>$U$1</formula>
    </cfRule>
  </conditionalFormatting>
  <conditionalFormatting sqref="C31">
    <cfRule type="cellIs" dxfId="36" priority="1090" operator="equal">
      <formula>$U$1</formula>
    </cfRule>
    <cfRule type="cellIs" dxfId="35" priority="1091" operator="equal">
      <formula>$S$1</formula>
    </cfRule>
  </conditionalFormatting>
  <conditionalFormatting sqref="D31">
    <cfRule type="cellIs" dxfId="34" priority="1088" operator="equal">
      <formula>$S$1</formula>
    </cfRule>
    <cfRule type="cellIs" dxfId="33" priority="108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P136" sqref="BP13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$A$135</v>
      </c>
      <c r="D111" s="1" t="str">
        <f>ADDRESS(C121-1,D121,1,1)</f>
        <v>$BP$135</v>
      </c>
      <c r="E111"/>
    </row>
    <row r="112" spans="1:5" x14ac:dyDescent="0.25">
      <c r="A112" s="30">
        <v>2.3579476910000019</v>
      </c>
      <c r="C112" s="1" t="str">
        <f>ADDRESS(C121,1,1,1)</f>
        <v>$A$136</v>
      </c>
      <c r="D112" s="1" t="str">
        <f>ADDRESS(C121,D121-1,1,1)</f>
        <v>$BO$136</v>
      </c>
      <c r="E112"/>
    </row>
    <row r="113" spans="1:64" x14ac:dyDescent="0.25">
      <c r="A113" s="30">
        <v>2.1435888100000016</v>
      </c>
      <c r="C113" s="1" t="str">
        <f>ADDRESS(C121+1,1,1,1)</f>
        <v>$A$137</v>
      </c>
      <c r="D113" s="1" t="str">
        <f>ADDRESS(C121-1,D121+1,1,1)</f>
        <v>$BQ$135</v>
      </c>
    </row>
    <row r="114" spans="1:64" x14ac:dyDescent="0.25">
      <c r="A114" s="30">
        <v>1.9487171000000014</v>
      </c>
      <c r="C114" s="1" t="str">
        <f>ADDRESS(C121,D121,1,1)</f>
        <v>$BP$136</v>
      </c>
      <c r="D114" s="1" t="str">
        <f>ADDRESS(C121+1,D121+1,1,1)</f>
        <v>$BQ$137</v>
      </c>
    </row>
    <row r="115" spans="1:64" x14ac:dyDescent="0.25">
      <c r="A115" s="30">
        <v>1.7715610000000011</v>
      </c>
      <c r="C115" s="1" t="str">
        <f>ADDRESS(C121+1,D121,1,1)</f>
        <v>$BP$137</v>
      </c>
    </row>
    <row r="116" spans="1:64" x14ac:dyDescent="0.25">
      <c r="A116" s="30">
        <v>1.6105100000000008</v>
      </c>
      <c r="C116" s="1">
        <f>C117-1</f>
        <v>135</v>
      </c>
    </row>
    <row r="117" spans="1:64" x14ac:dyDescent="0.25">
      <c r="A117" s="30">
        <v>1.4641000000000006</v>
      </c>
      <c r="C117" s="1">
        <f>C121</f>
        <v>136</v>
      </c>
      <c r="D117" s="1">
        <f>D121</f>
        <v>68</v>
      </c>
    </row>
    <row r="118" spans="1:64" x14ac:dyDescent="0.25">
      <c r="A118" s="30">
        <v>1.3310000000000004</v>
      </c>
      <c r="C118" s="1">
        <f>C117+1</f>
        <v>137</v>
      </c>
      <c r="D118" s="1">
        <f>D117+1</f>
        <v>69</v>
      </c>
    </row>
    <row r="119" spans="1:64" x14ac:dyDescent="0.25">
      <c r="A119" s="30">
        <v>1.2100000000000002</v>
      </c>
    </row>
    <row r="120" spans="1:64" x14ac:dyDescent="0.25">
      <c r="A120" s="30">
        <v>1.1000000000000001</v>
      </c>
      <c r="C120" s="1" t="s">
        <v>9</v>
      </c>
    </row>
    <row r="121" spans="1:64" x14ac:dyDescent="0.25">
      <c r="A121" s="30">
        <v>1</v>
      </c>
      <c r="C121" s="18">
        <v>136</v>
      </c>
      <c r="D121" s="19">
        <v>68</v>
      </c>
      <c r="E121" s="18" t="s">
        <v>8</v>
      </c>
    </row>
    <row r="122" spans="1:64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4" x14ac:dyDescent="0.25">
      <c r="A123" s="30">
        <v>0.82644628099173523</v>
      </c>
      <c r="C123" s="1" t="str">
        <f>"R"&amp;C121</f>
        <v>R136</v>
      </c>
      <c r="D123" s="1" t="str">
        <f>"C"&amp;D121</f>
        <v>C68</v>
      </c>
      <c r="F123" s="27" t="s">
        <v>7</v>
      </c>
    </row>
    <row r="124" spans="1:6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4" x14ac:dyDescent="0.25">
      <c r="A125" s="30">
        <v>0.68301345536507019</v>
      </c>
      <c r="F125" s="27" t="s">
        <v>7</v>
      </c>
      <c r="BK125" s="27" t="s">
        <v>8</v>
      </c>
    </row>
    <row r="126" spans="1:64" x14ac:dyDescent="0.25">
      <c r="A126" s="30">
        <v>0.6209213230591546</v>
      </c>
      <c r="C126" s="1" t="s">
        <v>10</v>
      </c>
      <c r="F126" s="27" t="s">
        <v>7</v>
      </c>
      <c r="BI126" s="27" t="s">
        <v>8</v>
      </c>
      <c r="BK126" s="27" t="s">
        <v>8</v>
      </c>
      <c r="BL126" s="27" t="s">
        <v>7</v>
      </c>
    </row>
    <row r="127" spans="1:64" x14ac:dyDescent="0.25">
      <c r="A127" s="30">
        <v>0.56447393005377677</v>
      </c>
      <c r="C127" s="30">
        <v>0.23939204936916306</v>
      </c>
      <c r="D127"/>
      <c r="F127" s="27" t="s">
        <v>7</v>
      </c>
      <c r="AM127" s="27" t="s">
        <v>8</v>
      </c>
      <c r="AO127" s="27" t="s">
        <v>8</v>
      </c>
      <c r="BI127" s="27" t="s">
        <v>8</v>
      </c>
      <c r="BJ127" s="27" t="s">
        <v>7</v>
      </c>
      <c r="BK127" s="27" t="s">
        <v>8</v>
      </c>
      <c r="BL127" s="27" t="s">
        <v>7</v>
      </c>
    </row>
    <row r="128" spans="1:64" x14ac:dyDescent="0.25">
      <c r="A128" s="30">
        <v>0.51315811823070612</v>
      </c>
      <c r="F128" s="27" t="s">
        <v>7</v>
      </c>
      <c r="AM128" s="27" t="s">
        <v>8</v>
      </c>
      <c r="AN128" s="27" t="s">
        <v>7</v>
      </c>
      <c r="AO128" s="27" t="s">
        <v>8</v>
      </c>
      <c r="AP128" s="27" t="s">
        <v>7</v>
      </c>
      <c r="AQ128" s="27" t="s">
        <v>8</v>
      </c>
      <c r="BI128" s="27" t="s">
        <v>8</v>
      </c>
      <c r="BJ128" s="27" t="s">
        <v>7</v>
      </c>
      <c r="BK128" s="27" t="s">
        <v>8</v>
      </c>
      <c r="BL128" s="27" t="s">
        <v>7</v>
      </c>
    </row>
    <row r="129" spans="1:6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M129" s="27" t="s">
        <v>8</v>
      </c>
      <c r="AN129" s="27" t="s">
        <v>7</v>
      </c>
      <c r="AO129" s="27" t="s">
        <v>8</v>
      </c>
      <c r="AP129" s="27" t="s">
        <v>7</v>
      </c>
      <c r="AQ129" s="27" t="s">
        <v>8</v>
      </c>
      <c r="AR129" s="27" t="s">
        <v>7</v>
      </c>
      <c r="AW129" s="27" t="s">
        <v>8</v>
      </c>
      <c r="BE129" s="27" t="s">
        <v>8</v>
      </c>
      <c r="BI129" s="27" t="s">
        <v>8</v>
      </c>
      <c r="BJ129" s="27" t="s">
        <v>7</v>
      </c>
      <c r="BL129" s="27" t="s">
        <v>7</v>
      </c>
    </row>
    <row r="130" spans="1:68" x14ac:dyDescent="0.25">
      <c r="A130" s="30">
        <v>0.42409761837248428</v>
      </c>
      <c r="C130" s="6"/>
      <c r="D130" s="6"/>
      <c r="E130"/>
      <c r="F130" s="27" t="s">
        <v>7</v>
      </c>
      <c r="AM130" s="27" t="s">
        <v>8</v>
      </c>
      <c r="AN130" s="27" t="s">
        <v>7</v>
      </c>
      <c r="AO130" s="27" t="s">
        <v>8</v>
      </c>
      <c r="AP130" s="27" t="s">
        <v>7</v>
      </c>
      <c r="AQ130" s="27" t="s">
        <v>8</v>
      </c>
      <c r="AR130" s="27" t="s">
        <v>7</v>
      </c>
      <c r="AU130" s="27" t="s">
        <v>8</v>
      </c>
      <c r="AW130" s="27" t="s">
        <v>8</v>
      </c>
      <c r="AX130" s="27" t="s">
        <v>7</v>
      </c>
      <c r="BE130" s="27" t="s">
        <v>8</v>
      </c>
      <c r="BF130" s="27" t="s">
        <v>7</v>
      </c>
      <c r="BG130" s="27" t="s">
        <v>8</v>
      </c>
      <c r="BI130" s="27" t="s">
        <v>8</v>
      </c>
      <c r="BL130" s="27" t="s">
        <v>7</v>
      </c>
      <c r="BO130" s="27" t="s">
        <v>8</v>
      </c>
    </row>
    <row r="131" spans="1:68" x14ac:dyDescent="0.25">
      <c r="A131" s="30">
        <v>0.38554328942953109</v>
      </c>
      <c r="E131"/>
      <c r="F131" s="27" t="s">
        <v>7</v>
      </c>
      <c r="AM131" s="27" t="s">
        <v>8</v>
      </c>
      <c r="AN131" s="27" t="s">
        <v>7</v>
      </c>
      <c r="AO131" s="27" t="s">
        <v>8</v>
      </c>
      <c r="AP131" s="27" t="s">
        <v>7</v>
      </c>
      <c r="AR131" s="27" t="s">
        <v>7</v>
      </c>
      <c r="AU131" s="27" t="s">
        <v>8</v>
      </c>
      <c r="AV131" s="27" t="s">
        <v>7</v>
      </c>
      <c r="AW131" s="27" t="s">
        <v>8</v>
      </c>
      <c r="AX131" s="27" t="s">
        <v>7</v>
      </c>
      <c r="BE131" s="27" t="s">
        <v>8</v>
      </c>
      <c r="BF131" s="27" t="s">
        <v>7</v>
      </c>
      <c r="BG131" s="27" t="s">
        <v>8</v>
      </c>
      <c r="BH131" s="27" t="s">
        <v>7</v>
      </c>
      <c r="BI131" s="27" t="s">
        <v>8</v>
      </c>
      <c r="BL131" s="27" t="s">
        <v>7</v>
      </c>
      <c r="BM131" s="27" t="s">
        <v>8</v>
      </c>
      <c r="BO131" s="27" t="s">
        <v>8</v>
      </c>
      <c r="BP131" s="27" t="s">
        <v>7</v>
      </c>
    </row>
    <row r="132" spans="1:68" x14ac:dyDescent="0.25">
      <c r="A132" s="30">
        <v>0.35049389948139187</v>
      </c>
      <c r="C132" s="1" t="s">
        <v>13</v>
      </c>
      <c r="E132"/>
      <c r="F132" s="27" t="s">
        <v>7</v>
      </c>
      <c r="AM132" s="27" t="s">
        <v>8</v>
      </c>
      <c r="AN132" s="27" t="s">
        <v>7</v>
      </c>
      <c r="AO132" s="27" t="s">
        <v>8</v>
      </c>
      <c r="AR132" s="27" t="s">
        <v>7</v>
      </c>
      <c r="AS132" s="27" t="s">
        <v>8</v>
      </c>
      <c r="AU132" s="27" t="s">
        <v>8</v>
      </c>
      <c r="AV132" s="27" t="s">
        <v>7</v>
      </c>
      <c r="AW132" s="27" t="s">
        <v>8</v>
      </c>
      <c r="AX132" s="27" t="s">
        <v>7</v>
      </c>
      <c r="BE132" s="27" t="s">
        <v>8</v>
      </c>
      <c r="BF132" s="27" t="s">
        <v>7</v>
      </c>
      <c r="BG132" s="27" t="s">
        <v>8</v>
      </c>
      <c r="BH132" s="27" t="s">
        <v>7</v>
      </c>
      <c r="BI132" s="27" t="s">
        <v>8</v>
      </c>
      <c r="BL132" s="27" t="s">
        <v>7</v>
      </c>
      <c r="BM132" s="27" t="s">
        <v>8</v>
      </c>
      <c r="BN132" s="27" t="s">
        <v>7</v>
      </c>
      <c r="BO132" s="27" t="s">
        <v>8</v>
      </c>
      <c r="BP132" s="27" t="s">
        <v>7</v>
      </c>
    </row>
    <row r="133" spans="1:68" x14ac:dyDescent="0.25">
      <c r="A133" s="30">
        <v>0.31863081771035617</v>
      </c>
      <c r="C133" s="1" t="str">
        <f>C122</f>
        <v>O</v>
      </c>
      <c r="E133"/>
      <c r="F133" s="27" t="s">
        <v>7</v>
      </c>
      <c r="AM133" s="27" t="s">
        <v>8</v>
      </c>
      <c r="AN133" s="27" t="s">
        <v>7</v>
      </c>
      <c r="AR133" s="27" t="s">
        <v>7</v>
      </c>
      <c r="AS133" s="27" t="s">
        <v>8</v>
      </c>
      <c r="AT133" s="27" t="s">
        <v>7</v>
      </c>
      <c r="AU133" s="27" t="s">
        <v>8</v>
      </c>
      <c r="AV133" s="27" t="s">
        <v>7</v>
      </c>
      <c r="AX133" s="27" t="s">
        <v>7</v>
      </c>
      <c r="BE133" s="27" t="s">
        <v>8</v>
      </c>
      <c r="BF133" s="27" t="s">
        <v>7</v>
      </c>
      <c r="BG133" s="27" t="s">
        <v>8</v>
      </c>
      <c r="BH133" s="27" t="s">
        <v>7</v>
      </c>
      <c r="BI133" s="27" t="s">
        <v>8</v>
      </c>
      <c r="BL133" s="27" t="s">
        <v>7</v>
      </c>
      <c r="BM133" s="27" t="s">
        <v>8</v>
      </c>
      <c r="BN133" s="27" t="s">
        <v>7</v>
      </c>
      <c r="BO133" s="27" t="s">
        <v>8</v>
      </c>
      <c r="BP133" s="27" t="s">
        <v>7</v>
      </c>
    </row>
    <row r="134" spans="1:68" x14ac:dyDescent="0.25">
      <c r="A134" s="30">
        <v>0.28966437973668741</v>
      </c>
      <c r="C134"/>
      <c r="D134"/>
      <c r="E134"/>
      <c r="F134" s="27" t="s">
        <v>7</v>
      </c>
      <c r="AM134" s="27" t="s">
        <v>8</v>
      </c>
      <c r="AR134" s="27" t="s">
        <v>7</v>
      </c>
      <c r="AS134" s="27" t="s">
        <v>8</v>
      </c>
      <c r="AT134" s="27" t="s">
        <v>7</v>
      </c>
      <c r="AU134" s="27" t="s">
        <v>8</v>
      </c>
      <c r="AX134" s="27" t="s">
        <v>7</v>
      </c>
      <c r="AY134" s="27" t="s">
        <v>8</v>
      </c>
      <c r="BE134" s="27" t="s">
        <v>8</v>
      </c>
      <c r="BF134" s="27" t="s">
        <v>7</v>
      </c>
      <c r="BG134" s="27" t="s">
        <v>8</v>
      </c>
      <c r="BH134" s="27" t="s">
        <v>7</v>
      </c>
      <c r="BL134" s="27" t="s">
        <v>7</v>
      </c>
      <c r="BM134" s="27" t="s">
        <v>8</v>
      </c>
      <c r="BN134" s="27" t="s">
        <v>7</v>
      </c>
      <c r="BP134" s="27" t="s">
        <v>7</v>
      </c>
    </row>
    <row r="135" spans="1:68" x14ac:dyDescent="0.25">
      <c r="A135" s="30">
        <v>0.2633312543060794</v>
      </c>
      <c r="C135" s="1" t="s">
        <v>14</v>
      </c>
      <c r="E135"/>
      <c r="F135" s="27" t="s">
        <v>7</v>
      </c>
      <c r="AM135" s="27" t="s">
        <v>8</v>
      </c>
      <c r="AR135" s="27" t="s">
        <v>7</v>
      </c>
      <c r="AS135" s="27" t="s">
        <v>8</v>
      </c>
      <c r="AT135" s="27" t="s">
        <v>7</v>
      </c>
      <c r="AU135" s="27" t="s">
        <v>8</v>
      </c>
      <c r="AX135" s="27" t="s">
        <v>7</v>
      </c>
      <c r="AY135" s="27" t="s">
        <v>8</v>
      </c>
      <c r="AZ135" s="27" t="s">
        <v>7</v>
      </c>
      <c r="BA135" s="27" t="s">
        <v>8</v>
      </c>
      <c r="BC135" s="27" t="s">
        <v>8</v>
      </c>
      <c r="BE135" s="27" t="s">
        <v>8</v>
      </c>
      <c r="BF135" s="27" t="s">
        <v>7</v>
      </c>
      <c r="BG135" s="27" t="s">
        <v>8</v>
      </c>
      <c r="BL135" s="27" t="s">
        <v>7</v>
      </c>
      <c r="BP135" s="27" t="s">
        <v>7</v>
      </c>
    </row>
    <row r="136" spans="1:6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K136" s="27" t="s">
        <v>8</v>
      </c>
      <c r="AM136" s="27" t="s">
        <v>8</v>
      </c>
      <c r="AR136" s="27" t="s">
        <v>7</v>
      </c>
      <c r="AT136" s="27" t="s">
        <v>7</v>
      </c>
      <c r="AX136" s="27" t="s">
        <v>7</v>
      </c>
      <c r="AY136" s="27" t="s">
        <v>8</v>
      </c>
      <c r="AZ136" s="27" t="s">
        <v>7</v>
      </c>
      <c r="BA136" s="27" t="s">
        <v>8</v>
      </c>
      <c r="BB136" s="27" t="s">
        <v>7</v>
      </c>
      <c r="BC136" s="27" t="s">
        <v>8</v>
      </c>
      <c r="BD136" s="27" t="s">
        <v>7</v>
      </c>
      <c r="BE136" s="27" t="s">
        <v>8</v>
      </c>
      <c r="BF136" s="27" t="s">
        <v>7</v>
      </c>
      <c r="BP136" s="27" t="s">
        <v>7</v>
      </c>
    </row>
    <row r="137" spans="1:68" x14ac:dyDescent="0.25">
      <c r="A137" s="30">
        <v>0.2176291357901482</v>
      </c>
      <c r="E137"/>
      <c r="F137" s="27" t="s">
        <v>7</v>
      </c>
      <c r="AI137" s="27" t="s">
        <v>8</v>
      </c>
      <c r="AK137" s="27" t="s">
        <v>8</v>
      </c>
      <c r="AL137" s="27" t="s">
        <v>7</v>
      </c>
      <c r="AM137" s="27" t="s">
        <v>8</v>
      </c>
      <c r="AX137" s="27" t="s">
        <v>7</v>
      </c>
      <c r="AY137" s="27" t="s">
        <v>8</v>
      </c>
      <c r="AZ137" s="27" t="s">
        <v>7</v>
      </c>
      <c r="BA137" s="27" t="s">
        <v>8</v>
      </c>
      <c r="BB137" s="27" t="s">
        <v>7</v>
      </c>
      <c r="BC137" s="27" t="s">
        <v>8</v>
      </c>
      <c r="BD137" s="27" t="s">
        <v>7</v>
      </c>
      <c r="BE137" s="27" t="s">
        <v>8</v>
      </c>
    </row>
    <row r="138" spans="1:6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I138" s="27" t="s">
        <v>8</v>
      </c>
      <c r="AJ138" s="27" t="s">
        <v>7</v>
      </c>
      <c r="AK138" s="27" t="s">
        <v>8</v>
      </c>
      <c r="AL138" s="27" t="s">
        <v>7</v>
      </c>
      <c r="AM138" s="27" t="s">
        <v>8</v>
      </c>
      <c r="AX138" s="27" t="s">
        <v>7</v>
      </c>
      <c r="AY138" s="27" t="s">
        <v>8</v>
      </c>
      <c r="AZ138" s="27" t="s">
        <v>7</v>
      </c>
      <c r="BA138" s="27" t="s">
        <v>8</v>
      </c>
      <c r="BB138" s="27" t="s">
        <v>7</v>
      </c>
      <c r="BC138" s="27" t="s">
        <v>8</v>
      </c>
      <c r="BD138" s="27" t="s">
        <v>7</v>
      </c>
      <c r="BE138" s="27" t="s">
        <v>8</v>
      </c>
    </row>
    <row r="139" spans="1:68" x14ac:dyDescent="0.25">
      <c r="A139" s="30">
        <v>0.17985878990921333</v>
      </c>
      <c r="E139"/>
      <c r="F139" s="27" t="s">
        <v>7</v>
      </c>
      <c r="AI139" s="27" t="s">
        <v>8</v>
      </c>
      <c r="AJ139" s="27" t="s">
        <v>7</v>
      </c>
      <c r="AK139" s="27" t="s">
        <v>8</v>
      </c>
      <c r="AL139" s="27" t="s">
        <v>7</v>
      </c>
      <c r="AX139" s="27" t="s">
        <v>7</v>
      </c>
      <c r="AY139" s="27" t="s">
        <v>8</v>
      </c>
      <c r="AZ139" s="27" t="s">
        <v>7</v>
      </c>
      <c r="BA139" s="27" t="s">
        <v>8</v>
      </c>
      <c r="BB139" s="27" t="s">
        <v>7</v>
      </c>
      <c r="BD139" s="27" t="s">
        <v>7</v>
      </c>
      <c r="BE139" s="27" t="s">
        <v>8</v>
      </c>
    </row>
    <row r="140" spans="1:68" x14ac:dyDescent="0.25">
      <c r="A140" s="30">
        <v>0.16350799082655756</v>
      </c>
      <c r="C140" s="1">
        <v>0</v>
      </c>
      <c r="E140"/>
      <c r="F140" s="27" t="s">
        <v>7</v>
      </c>
      <c r="AI140" s="27" t="s">
        <v>8</v>
      </c>
      <c r="AJ140" s="27" t="s">
        <v>7</v>
      </c>
      <c r="AK140" s="27" t="s">
        <v>8</v>
      </c>
      <c r="AX140" s="27" t="s">
        <v>7</v>
      </c>
      <c r="AY140" s="27" t="s">
        <v>8</v>
      </c>
      <c r="AZ140" s="27" t="s">
        <v>7</v>
      </c>
      <c r="BA140" s="27" t="s">
        <v>8</v>
      </c>
      <c r="BD140" s="27" t="s">
        <v>7</v>
      </c>
      <c r="BE140" s="27" t="s">
        <v>8</v>
      </c>
    </row>
    <row r="141" spans="1:68" x14ac:dyDescent="0.25">
      <c r="A141" s="30">
        <v>0.14864362802414322</v>
      </c>
      <c r="C141" s="1">
        <v>1</v>
      </c>
      <c r="E141"/>
      <c r="F141" s="27" t="s">
        <v>7</v>
      </c>
      <c r="AG141" s="27" t="s">
        <v>8</v>
      </c>
      <c r="AI141" s="27" t="s">
        <v>8</v>
      </c>
      <c r="AJ141" s="27" t="s">
        <v>7</v>
      </c>
      <c r="AX141" s="27" t="s">
        <v>7</v>
      </c>
      <c r="AZ141" s="27" t="s">
        <v>7</v>
      </c>
      <c r="BA141" s="27" t="s">
        <v>8</v>
      </c>
      <c r="BD141" s="27" t="s">
        <v>7</v>
      </c>
      <c r="BE141" s="27" t="s">
        <v>8</v>
      </c>
    </row>
    <row r="142" spans="1:68" x14ac:dyDescent="0.25">
      <c r="A142" s="30">
        <v>0.13513057093103928</v>
      </c>
      <c r="C142" s="1">
        <v>2</v>
      </c>
      <c r="E142"/>
      <c r="F142" s="27" t="s">
        <v>7</v>
      </c>
      <c r="AG142" s="27" t="s">
        <v>8</v>
      </c>
      <c r="AH142" s="27" t="s">
        <v>7</v>
      </c>
      <c r="AI142" s="27" t="s">
        <v>8</v>
      </c>
      <c r="AZ142" s="27" t="s">
        <v>7</v>
      </c>
      <c r="BD142" s="27" t="s">
        <v>7</v>
      </c>
      <c r="BE142" s="27" t="s">
        <v>8</v>
      </c>
    </row>
    <row r="143" spans="1:68" x14ac:dyDescent="0.25">
      <c r="A143" s="30">
        <v>0.12284597357367205</v>
      </c>
      <c r="C143" s="1">
        <v>3</v>
      </c>
      <c r="E143"/>
      <c r="F143" s="27" t="s">
        <v>7</v>
      </c>
      <c r="AG143" s="27" t="s">
        <v>8</v>
      </c>
      <c r="AH143" s="27" t="s">
        <v>7</v>
      </c>
      <c r="AI143" s="27" t="s">
        <v>8</v>
      </c>
      <c r="BD143" s="27" t="s">
        <v>7</v>
      </c>
      <c r="BE143" s="27" t="s">
        <v>8</v>
      </c>
    </row>
    <row r="144" spans="1:68" x14ac:dyDescent="0.25">
      <c r="A144" s="30">
        <v>0.11167815779424731</v>
      </c>
      <c r="C144" s="1">
        <v>4</v>
      </c>
      <c r="E144"/>
      <c r="F144" s="27" t="s">
        <v>7</v>
      </c>
      <c r="AG144" s="27" t="s">
        <v>8</v>
      </c>
      <c r="AH144" s="27" t="s">
        <v>7</v>
      </c>
      <c r="BD144" s="27" t="s">
        <v>7</v>
      </c>
      <c r="BE144" s="27" t="s">
        <v>8</v>
      </c>
    </row>
    <row r="145" spans="1:57" x14ac:dyDescent="0.25">
      <c r="A145" s="30">
        <v>0.10152559799477026</v>
      </c>
      <c r="B145"/>
      <c r="C145"/>
      <c r="D145"/>
      <c r="E145"/>
      <c r="F145" s="27" t="s">
        <v>7</v>
      </c>
      <c r="AG145" s="27" t="s">
        <v>8</v>
      </c>
      <c r="BD145" s="18" t="s">
        <v>7</v>
      </c>
      <c r="BE145" s="27" t="s">
        <v>8</v>
      </c>
    </row>
    <row r="146" spans="1:57" x14ac:dyDescent="0.25">
      <c r="A146" s="30">
        <v>9.2295998177063854E-2</v>
      </c>
      <c r="B146"/>
      <c r="C146"/>
      <c r="D146"/>
      <c r="E146"/>
      <c r="F146" s="27" t="s">
        <v>7</v>
      </c>
      <c r="U146" s="27" t="s">
        <v>8</v>
      </c>
      <c r="AG146" s="27" t="s">
        <v>8</v>
      </c>
      <c r="BD146" s="27" t="s">
        <v>7</v>
      </c>
    </row>
    <row r="147" spans="1:57" x14ac:dyDescent="0.25">
      <c r="A147" s="30">
        <v>8.3905452888239848E-2</v>
      </c>
      <c r="B147"/>
      <c r="C147"/>
      <c r="D147"/>
      <c r="E147"/>
      <c r="F147" s="27" t="s">
        <v>7</v>
      </c>
      <c r="S147" s="27" t="s">
        <v>8</v>
      </c>
      <c r="U147" s="27" t="s">
        <v>8</v>
      </c>
      <c r="V147" s="27" t="s">
        <v>7</v>
      </c>
      <c r="AG147" s="27" t="s">
        <v>8</v>
      </c>
    </row>
    <row r="148" spans="1:57" x14ac:dyDescent="0.25">
      <c r="A148" s="30">
        <v>7.6277684443854396E-2</v>
      </c>
      <c r="B148"/>
      <c r="C148"/>
      <c r="D148"/>
      <c r="E148"/>
      <c r="F148" s="27" t="s">
        <v>7</v>
      </c>
      <c r="S148" s="27" t="s">
        <v>8</v>
      </c>
      <c r="T148" s="27" t="s">
        <v>7</v>
      </c>
      <c r="U148" s="27" t="s">
        <v>8</v>
      </c>
      <c r="V148" s="27" t="s">
        <v>7</v>
      </c>
      <c r="AE148" s="27" t="s">
        <v>8</v>
      </c>
      <c r="AG148" s="27" t="s">
        <v>8</v>
      </c>
    </row>
    <row r="149" spans="1:57" x14ac:dyDescent="0.25">
      <c r="A149" s="30">
        <v>6.9343349494413078E-2</v>
      </c>
      <c r="B149"/>
      <c r="C149"/>
      <c r="D149"/>
      <c r="E149"/>
      <c r="F149" s="27" t="s">
        <v>7</v>
      </c>
      <c r="S149" s="27" t="s">
        <v>8</v>
      </c>
      <c r="T149" s="27" t="s">
        <v>7</v>
      </c>
      <c r="U149" s="27" t="s">
        <v>8</v>
      </c>
      <c r="V149" s="27" t="s">
        <v>7</v>
      </c>
      <c r="AA149" s="27" t="s">
        <v>8</v>
      </c>
      <c r="AE149" s="27" t="s">
        <v>8</v>
      </c>
      <c r="AF149" s="27" t="s">
        <v>7</v>
      </c>
      <c r="AG149" s="27" t="s">
        <v>8</v>
      </c>
    </row>
    <row r="150" spans="1:57" x14ac:dyDescent="0.25">
      <c r="A150" s="30">
        <v>6.3039408631284613E-2</v>
      </c>
      <c r="B150"/>
      <c r="C150"/>
      <c r="D150"/>
      <c r="E150"/>
      <c r="F150" s="27" t="s">
        <v>7</v>
      </c>
      <c r="S150" s="27" t="s">
        <v>8</v>
      </c>
      <c r="T150" s="27" t="s">
        <v>7</v>
      </c>
      <c r="V150" s="27" t="s">
        <v>7</v>
      </c>
      <c r="AA150" s="27" t="s">
        <v>8</v>
      </c>
      <c r="AB150" s="27" t="s">
        <v>7</v>
      </c>
      <c r="AC150" s="27" t="s">
        <v>8</v>
      </c>
      <c r="AE150" s="27" t="s">
        <v>8</v>
      </c>
      <c r="AF150" s="27" t="s">
        <v>7</v>
      </c>
      <c r="AG150" s="27" t="s">
        <v>8</v>
      </c>
    </row>
    <row r="151" spans="1:57" x14ac:dyDescent="0.25">
      <c r="A151" s="30">
        <v>5.7308553301167818E-2</v>
      </c>
      <c r="B151"/>
      <c r="C151"/>
      <c r="D151"/>
      <c r="E151"/>
      <c r="F151" s="27" t="s">
        <v>7</v>
      </c>
      <c r="S151" s="27" t="s">
        <v>8</v>
      </c>
      <c r="V151" s="27" t="s">
        <v>7</v>
      </c>
      <c r="AA151" s="27" t="s">
        <v>8</v>
      </c>
      <c r="AB151" s="27" t="s">
        <v>7</v>
      </c>
      <c r="AC151" s="27" t="s">
        <v>8</v>
      </c>
      <c r="AD151" s="27" t="s">
        <v>7</v>
      </c>
      <c r="AE151" s="27" t="s">
        <v>8</v>
      </c>
      <c r="AF151" s="27" t="s">
        <v>7</v>
      </c>
    </row>
    <row r="152" spans="1:57" x14ac:dyDescent="0.25">
      <c r="A152" s="30">
        <v>5.2098684819243464E-2</v>
      </c>
      <c r="B152"/>
      <c r="C152"/>
      <c r="D152"/>
      <c r="E152"/>
      <c r="F152" s="27" t="s">
        <v>7</v>
      </c>
      <c r="Q152" s="27" t="s">
        <v>8</v>
      </c>
      <c r="S152" s="27" t="s">
        <v>8</v>
      </c>
      <c r="V152" s="27" t="s">
        <v>7</v>
      </c>
      <c r="Y152" s="27" t="s">
        <v>8</v>
      </c>
      <c r="AA152" s="27" t="s">
        <v>8</v>
      </c>
      <c r="AB152" s="27" t="s">
        <v>7</v>
      </c>
      <c r="AC152" s="27" t="s">
        <v>8</v>
      </c>
      <c r="AD152" s="27" t="s">
        <v>7</v>
      </c>
      <c r="AE152" s="27" t="s">
        <v>8</v>
      </c>
    </row>
    <row r="153" spans="1:57" x14ac:dyDescent="0.25">
      <c r="A153" s="30">
        <v>4.7362440744766775E-2</v>
      </c>
      <c r="B153"/>
      <c r="C153"/>
      <c r="D153"/>
      <c r="E153"/>
      <c r="F153" s="27" t="s">
        <v>7</v>
      </c>
      <c r="Q153" s="27" t="s">
        <v>8</v>
      </c>
      <c r="R153" s="27" t="s">
        <v>7</v>
      </c>
      <c r="S153" s="27" t="s">
        <v>8</v>
      </c>
      <c r="V153" s="27" t="s">
        <v>7</v>
      </c>
      <c r="Y153" s="27" t="s">
        <v>8</v>
      </c>
      <c r="Z153" s="27" t="s">
        <v>7</v>
      </c>
      <c r="AA153" s="27" t="s">
        <v>8</v>
      </c>
      <c r="AB153" s="27" t="s">
        <v>7</v>
      </c>
      <c r="AC153" s="27" t="s">
        <v>8</v>
      </c>
      <c r="AD153" s="27" t="s">
        <v>7</v>
      </c>
    </row>
    <row r="154" spans="1:57" x14ac:dyDescent="0.25">
      <c r="A154" s="30">
        <v>4.3056764313424332E-2</v>
      </c>
      <c r="B154"/>
      <c r="C154"/>
      <c r="D154"/>
      <c r="E154"/>
      <c r="F154" s="27" t="s">
        <v>7</v>
      </c>
      <c r="Q154" s="27" t="s">
        <v>8</v>
      </c>
      <c r="R154" s="27" t="s">
        <v>7</v>
      </c>
      <c r="S154" s="27" t="s">
        <v>8</v>
      </c>
      <c r="V154" s="27" t="s">
        <v>7</v>
      </c>
      <c r="Y154" s="27" t="s">
        <v>8</v>
      </c>
      <c r="Z154" s="27" t="s">
        <v>7</v>
      </c>
      <c r="AA154" s="27" t="s">
        <v>8</v>
      </c>
      <c r="AB154" s="27" t="s">
        <v>7</v>
      </c>
    </row>
    <row r="155" spans="1:57" x14ac:dyDescent="0.25">
      <c r="A155" s="30">
        <v>3.9142513012203929E-2</v>
      </c>
      <c r="B155"/>
      <c r="C155"/>
      <c r="D155"/>
      <c r="E155"/>
      <c r="F155" s="27" t="s">
        <v>7</v>
      </c>
      <c r="Q155" s="27" t="s">
        <v>8</v>
      </c>
      <c r="R155" s="27" t="s">
        <v>7</v>
      </c>
      <c r="V155" s="27" t="s">
        <v>7</v>
      </c>
      <c r="W155" s="27" t="s">
        <v>8</v>
      </c>
      <c r="Y155" s="27" t="s">
        <v>8</v>
      </c>
      <c r="Z155" s="27" t="s">
        <v>7</v>
      </c>
    </row>
    <row r="156" spans="1:57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  <c r="Q156" s="27" t="s">
        <v>8</v>
      </c>
      <c r="V156" s="27" t="s">
        <v>7</v>
      </c>
      <c r="W156" s="27" t="s">
        <v>8</v>
      </c>
      <c r="X156" s="27" t="s">
        <v>7</v>
      </c>
      <c r="Y156" s="27" t="s">
        <v>8</v>
      </c>
    </row>
    <row r="157" spans="1:57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H157" s="27" t="s">
        <v>7</v>
      </c>
      <c r="Q157" s="27" t="s">
        <v>8</v>
      </c>
      <c r="V157" s="27" t="s">
        <v>7</v>
      </c>
      <c r="W157" s="27" t="s">
        <v>8</v>
      </c>
      <c r="X157" s="27" t="s">
        <v>7</v>
      </c>
      <c r="Y157" s="27" t="s">
        <v>8</v>
      </c>
    </row>
    <row r="158" spans="1:57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H158" s="27" t="s">
        <v>7</v>
      </c>
      <c r="Q158" s="27" t="s">
        <v>8</v>
      </c>
      <c r="V158" s="27" t="s">
        <v>7</v>
      </c>
      <c r="X158" s="27" t="s">
        <v>7</v>
      </c>
      <c r="Y158" s="27" t="s">
        <v>8</v>
      </c>
    </row>
    <row r="159" spans="1:57" x14ac:dyDescent="0.25">
      <c r="A159" s="30">
        <v>2.6734863064137627E-2</v>
      </c>
      <c r="B159"/>
      <c r="C159"/>
      <c r="D159"/>
      <c r="E159"/>
      <c r="F159" s="27" t="s">
        <v>7</v>
      </c>
      <c r="G159" s="27" t="s">
        <v>8</v>
      </c>
      <c r="H159" s="27" t="s">
        <v>7</v>
      </c>
      <c r="Q159" s="27" t="s">
        <v>8</v>
      </c>
      <c r="X159" s="27" t="s">
        <v>7</v>
      </c>
    </row>
    <row r="160" spans="1:57" x14ac:dyDescent="0.25">
      <c r="A160" s="30">
        <v>2.4304420967397839E-2</v>
      </c>
      <c r="B160"/>
      <c r="C160"/>
      <c r="D160"/>
      <c r="E160"/>
      <c r="F160" s="27" t="s">
        <v>7</v>
      </c>
      <c r="G160" s="27" t="s">
        <v>8</v>
      </c>
      <c r="H160" s="27" t="s">
        <v>7</v>
      </c>
      <c r="O160" s="27" t="s">
        <v>8</v>
      </c>
      <c r="Q160" s="27" t="s">
        <v>8</v>
      </c>
    </row>
    <row r="161" spans="1:17" x14ac:dyDescent="0.25">
      <c r="A161" s="30">
        <v>2.2094928152179852E-2</v>
      </c>
      <c r="B161"/>
      <c r="C161"/>
      <c r="D161"/>
      <c r="E161"/>
      <c r="F161" s="27" t="s">
        <v>7</v>
      </c>
      <c r="G161" s="27" t="s">
        <v>8</v>
      </c>
      <c r="H161" s="27" t="s">
        <v>7</v>
      </c>
      <c r="M161" s="27" t="s">
        <v>8</v>
      </c>
      <c r="O161" s="27" t="s">
        <v>8</v>
      </c>
      <c r="P161" s="27" t="s">
        <v>7</v>
      </c>
      <c r="Q161" s="27" t="s">
        <v>8</v>
      </c>
    </row>
    <row r="162" spans="1:17" x14ac:dyDescent="0.25">
      <c r="A162" s="30">
        <v>2.0086298320163499E-2</v>
      </c>
      <c r="B162"/>
      <c r="C162"/>
      <c r="D162"/>
      <c r="E162"/>
      <c r="F162" s="27" t="s">
        <v>7</v>
      </c>
      <c r="G162" s="27" t="s">
        <v>8</v>
      </c>
      <c r="H162" s="27" t="s">
        <v>7</v>
      </c>
      <c r="M162" s="27" t="s">
        <v>8</v>
      </c>
      <c r="N162" s="27" t="s">
        <v>7</v>
      </c>
      <c r="O162" s="27" t="s">
        <v>8</v>
      </c>
      <c r="P162" s="27" t="s">
        <v>7</v>
      </c>
      <c r="Q162" s="27" t="s">
        <v>8</v>
      </c>
    </row>
    <row r="163" spans="1:17" x14ac:dyDescent="0.25">
      <c r="A163" s="30">
        <v>1.8260271200148632E-2</v>
      </c>
      <c r="B163"/>
      <c r="C163"/>
      <c r="D163"/>
      <c r="E163"/>
      <c r="F163" s="27" t="s">
        <v>7</v>
      </c>
      <c r="H163" s="27" t="s">
        <v>7</v>
      </c>
      <c r="K163" s="27" t="s">
        <v>8</v>
      </c>
      <c r="M163" s="27" t="s">
        <v>8</v>
      </c>
      <c r="N163" s="27" t="s">
        <v>7</v>
      </c>
      <c r="O163" s="27" t="s">
        <v>8</v>
      </c>
      <c r="P163" s="27" t="s">
        <v>7</v>
      </c>
    </row>
    <row r="164" spans="1:17" x14ac:dyDescent="0.25">
      <c r="A164" s="30">
        <v>1.6600246545589663E-2</v>
      </c>
      <c r="B164"/>
      <c r="C164"/>
      <c r="D164"/>
      <c r="E164"/>
      <c r="H164" s="27" t="s">
        <v>7</v>
      </c>
      <c r="I164" s="27" t="s">
        <v>8</v>
      </c>
      <c r="K164" s="27" t="s">
        <v>8</v>
      </c>
      <c r="L164" s="27" t="s">
        <v>7</v>
      </c>
      <c r="M164" s="27" t="s">
        <v>8</v>
      </c>
      <c r="N164" s="27" t="s">
        <v>7</v>
      </c>
    </row>
    <row r="165" spans="1:17" x14ac:dyDescent="0.25">
      <c r="A165" s="30">
        <v>1.5091133223263328E-2</v>
      </c>
      <c r="B165"/>
      <c r="C165"/>
      <c r="D165"/>
      <c r="E165"/>
      <c r="H165" s="27" t="s">
        <v>7</v>
      </c>
      <c r="I165" s="27" t="s">
        <v>8</v>
      </c>
      <c r="J165" s="27" t="s">
        <v>7</v>
      </c>
      <c r="K165" s="27" t="s">
        <v>8</v>
      </c>
      <c r="L165" s="27" t="s">
        <v>7</v>
      </c>
      <c r="M165" s="27" t="s">
        <v>8</v>
      </c>
    </row>
    <row r="166" spans="1:17" x14ac:dyDescent="0.25">
      <c r="A166" s="30">
        <v>1.3719212021148477E-2</v>
      </c>
      <c r="B166"/>
      <c r="C166"/>
      <c r="D166"/>
      <c r="E166"/>
      <c r="H166" s="27" t="s">
        <v>7</v>
      </c>
      <c r="I166" s="27" t="s">
        <v>8</v>
      </c>
      <c r="J166" s="27" t="s">
        <v>7</v>
      </c>
      <c r="K166" s="27" t="s">
        <v>8</v>
      </c>
      <c r="L166" s="27" t="s">
        <v>7</v>
      </c>
      <c r="M166" s="27" t="s">
        <v>8</v>
      </c>
    </row>
    <row r="167" spans="1:17" x14ac:dyDescent="0.25">
      <c r="A167" s="30">
        <v>1.2472010928316795E-2</v>
      </c>
      <c r="B167"/>
      <c r="C167"/>
      <c r="D167"/>
      <c r="E167"/>
      <c r="H167" s="27" t="s">
        <v>7</v>
      </c>
      <c r="I167" s="27" t="s">
        <v>8</v>
      </c>
      <c r="J167" s="27" t="s">
        <v>7</v>
      </c>
      <c r="K167" s="27" t="s">
        <v>8</v>
      </c>
      <c r="L167" s="27" t="s">
        <v>7</v>
      </c>
    </row>
    <row r="168" spans="1:17" x14ac:dyDescent="0.25">
      <c r="A168" s="30">
        <v>1.1338191753015267E-2</v>
      </c>
      <c r="B168"/>
      <c r="C168"/>
      <c r="D168"/>
      <c r="E168"/>
      <c r="H168" s="27" t="s">
        <v>7</v>
      </c>
      <c r="I168" s="27" t="s">
        <v>8</v>
      </c>
      <c r="J168" s="27" t="s">
        <v>7</v>
      </c>
      <c r="K168" s="27" t="s">
        <v>8</v>
      </c>
    </row>
    <row r="169" spans="1:17" x14ac:dyDescent="0.25">
      <c r="A169" s="30">
        <v>1.0307447048195697E-2</v>
      </c>
      <c r="B169"/>
      <c r="C169"/>
      <c r="D169"/>
      <c r="E169"/>
      <c r="H169" s="27" t="s">
        <v>7</v>
      </c>
      <c r="I169" s="27" t="s">
        <v>8</v>
      </c>
      <c r="J169" s="27" t="s">
        <v>7</v>
      </c>
    </row>
    <row r="170" spans="1:17" x14ac:dyDescent="0.25">
      <c r="A170" s="30">
        <v>9.3704064074506318E-3</v>
      </c>
      <c r="B170"/>
      <c r="C170"/>
      <c r="D170"/>
      <c r="E170"/>
      <c r="H170" s="27" t="s">
        <v>7</v>
      </c>
      <c r="I170" s="27" t="s">
        <v>8</v>
      </c>
    </row>
    <row r="171" spans="1:17" x14ac:dyDescent="0.25">
      <c r="A171" s="30">
        <v>8.5185512795005747E-3</v>
      </c>
      <c r="H171" s="27" t="s">
        <v>7</v>
      </c>
    </row>
    <row r="172" spans="1:17" x14ac:dyDescent="0.25">
      <c r="A172" s="30">
        <v>7.744137526818704E-3</v>
      </c>
    </row>
    <row r="173" spans="1:17" x14ac:dyDescent="0.25">
      <c r="A173" s="30">
        <v>7.0401250243806394E-3</v>
      </c>
    </row>
    <row r="174" spans="1:17" x14ac:dyDescent="0.25">
      <c r="A174" s="30">
        <v>6.4001136585278536E-3</v>
      </c>
    </row>
    <row r="175" spans="1:17" x14ac:dyDescent="0.25">
      <c r="A175" s="30">
        <v>5.8182851441162305E-3</v>
      </c>
    </row>
    <row r="176" spans="1:17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06" operator="equal">
      <formula>$U$1</formula>
    </cfRule>
    <cfRule type="cellIs" dxfId="30" priority="1107" operator="equal">
      <formula>$S$1</formula>
    </cfRule>
  </conditionalFormatting>
  <conditionalFormatting sqref="D136">
    <cfRule type="cellIs" dxfId="29" priority="1104" operator="equal">
      <formula>$S$1</formula>
    </cfRule>
    <cfRule type="cellIs" dxfId="28" priority="1105" operator="equal">
      <formula>$U$1</formula>
    </cfRule>
  </conditionalFormatting>
  <conditionalFormatting sqref="C102">
    <cfRule type="cellIs" dxfId="27" priority="1102" operator="equal">
      <formula>$U$1</formula>
    </cfRule>
    <cfRule type="cellIs" dxfId="26" priority="1103" operator="equal">
      <formula>$S$1</formula>
    </cfRule>
  </conditionalFormatting>
  <conditionalFormatting sqref="D102">
    <cfRule type="cellIs" dxfId="25" priority="1100" operator="equal">
      <formula>$S$1</formula>
    </cfRule>
    <cfRule type="cellIs" dxfId="24" priority="1101" operator="equal">
      <formula>$U$1</formula>
    </cfRule>
  </conditionalFormatting>
  <conditionalFormatting sqref="C77">
    <cfRule type="cellIs" dxfId="23" priority="1098" operator="equal">
      <formula>$U$1</formula>
    </cfRule>
    <cfRule type="cellIs" dxfId="22" priority="1099" operator="equal">
      <formula>$S$1</formula>
    </cfRule>
  </conditionalFormatting>
  <conditionalFormatting sqref="D77">
    <cfRule type="cellIs" dxfId="21" priority="1096" operator="equal">
      <formula>$S$1</formula>
    </cfRule>
    <cfRule type="cellIs" dxfId="20" priority="1097" operator="equal">
      <formula>$U$1</formula>
    </cfRule>
  </conditionalFormatting>
  <conditionalFormatting sqref="C52">
    <cfRule type="cellIs" dxfId="19" priority="1094" operator="equal">
      <formula>$U$1</formula>
    </cfRule>
    <cfRule type="cellIs" dxfId="18" priority="1095" operator="equal">
      <formula>$S$1</formula>
    </cfRule>
  </conditionalFormatting>
  <conditionalFormatting sqref="D52">
    <cfRule type="cellIs" dxfId="17" priority="1092" operator="equal">
      <formula>$S$1</formula>
    </cfRule>
    <cfRule type="cellIs" dxfId="16" priority="1093" operator="equal">
      <formula>$U$1</formula>
    </cfRule>
  </conditionalFormatting>
  <conditionalFormatting sqref="C26">
    <cfRule type="cellIs" dxfId="15" priority="1090" operator="equal">
      <formula>$U$1</formula>
    </cfRule>
    <cfRule type="cellIs" dxfId="14" priority="1091" operator="equal">
      <formula>$S$1</formula>
    </cfRule>
  </conditionalFormatting>
  <conditionalFormatting sqref="D26">
    <cfRule type="cellIs" dxfId="13" priority="1088" operator="equal">
      <formula>$S$1</formula>
    </cfRule>
    <cfRule type="cellIs" dxfId="12" priority="108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3" sqref="H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9.1563913320997906E-2</v>
      </c>
      <c r="F3" s="30">
        <v>0.12883962113403674</v>
      </c>
      <c r="G3" s="30">
        <v>0.25509363714308075</v>
      </c>
      <c r="H3" s="25">
        <f>IF(G3="","",(3*(G3-F3))+E3)</f>
        <v>0.47032596134812993</v>
      </c>
      <c r="I3" s="7"/>
      <c r="J3" s="7">
        <f>(E3+G3)/2</f>
        <v>0.17332877523203932</v>
      </c>
      <c r="K3" s="7">
        <f>H3/2</f>
        <v>0.23516298067406496</v>
      </c>
      <c r="M3" s="26">
        <f>IF(OR(J3="",H3=""),"",H3/J3)</f>
        <v>2.7134903637234697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2022-01-28T01:15:12Z</dcterms:modified>
</cp:coreProperties>
</file>