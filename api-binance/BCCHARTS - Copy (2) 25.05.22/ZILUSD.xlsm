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2981046C-828D-43F6-AF0D-ABC95B89BCF2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9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1078" i="1"/>
  <c r="Q1078" i="1" s="1"/>
  <c r="R1078" i="1" s="1"/>
  <c r="P1077" i="1"/>
  <c r="Q1077" i="1" s="1"/>
  <c r="P1076" i="1"/>
  <c r="Q1076" i="1" s="1"/>
  <c r="P1075" i="1"/>
  <c r="Q1075" i="1" s="1"/>
  <c r="P1074" i="1"/>
  <c r="Q1074" i="1" s="1"/>
  <c r="P1073" i="1"/>
  <c r="Q1073" i="1" s="1"/>
  <c r="P1072" i="1"/>
  <c r="Q1072" i="1" s="1"/>
  <c r="P1071" i="1"/>
  <c r="Q1071" i="1" s="1"/>
  <c r="P1070" i="1"/>
  <c r="Q1070" i="1" s="1"/>
  <c r="P1069" i="1"/>
  <c r="Q1069" i="1" s="1"/>
  <c r="P1068" i="1"/>
  <c r="Q1068" i="1" s="1"/>
  <c r="P1067" i="1"/>
  <c r="Q1067" i="1" s="1"/>
  <c r="P1066" i="1"/>
  <c r="Q1066" i="1" s="1"/>
  <c r="P1065" i="1"/>
  <c r="Q1065" i="1" s="1"/>
  <c r="P1064" i="1"/>
  <c r="Q1064" i="1" s="1"/>
  <c r="P1063" i="1"/>
  <c r="Q1063" i="1" s="1"/>
  <c r="P1062" i="1"/>
  <c r="Q1062" i="1" s="1"/>
  <c r="P1061" i="1"/>
  <c r="Q1061" i="1" s="1"/>
  <c r="P1060" i="1"/>
  <c r="Q1060" i="1" s="1"/>
  <c r="P1059" i="1"/>
  <c r="Q1059" i="1" s="1"/>
  <c r="P1058" i="1"/>
  <c r="Q1058" i="1" s="1"/>
  <c r="P1057" i="1"/>
  <c r="Q1057" i="1" s="1"/>
  <c r="P1056" i="1"/>
  <c r="Q1056" i="1" s="1"/>
  <c r="P1055" i="1"/>
  <c r="Q1055" i="1" s="1"/>
  <c r="P1054" i="1"/>
  <c r="Q1054" i="1" s="1"/>
  <c r="P1053" i="1"/>
  <c r="Q1053" i="1" s="1"/>
  <c r="P1052" i="1"/>
  <c r="Q1052" i="1" s="1"/>
  <c r="P1051" i="1"/>
  <c r="Q1051" i="1" s="1"/>
  <c r="P1050" i="1"/>
  <c r="Q1050" i="1" s="1"/>
  <c r="P1049" i="1"/>
  <c r="Q1049" i="1" s="1"/>
  <c r="P1048" i="1"/>
  <c r="Q1048" i="1" s="1"/>
  <c r="P1047" i="1"/>
  <c r="Q1047" i="1" s="1"/>
  <c r="P1046" i="1"/>
  <c r="Q1046" i="1" s="1"/>
  <c r="P1045" i="1"/>
  <c r="Q1045" i="1" s="1"/>
  <c r="P1044" i="1"/>
  <c r="Q1044" i="1" s="1"/>
  <c r="P1043" i="1"/>
  <c r="Q1043" i="1" s="1"/>
  <c r="P1042" i="1"/>
  <c r="Q1042" i="1" s="1"/>
  <c r="P1041" i="1"/>
  <c r="Q1041" i="1" s="1"/>
  <c r="P1040" i="1"/>
  <c r="Q1040" i="1" s="1"/>
  <c r="P1039" i="1"/>
  <c r="Q1039" i="1" s="1"/>
  <c r="P1038" i="1"/>
  <c r="Q1038" i="1" s="1"/>
  <c r="P1037" i="1"/>
  <c r="Q1037" i="1" s="1"/>
  <c r="P1036" i="1"/>
  <c r="Q1036" i="1" s="1"/>
  <c r="P1035" i="1"/>
  <c r="Q1035" i="1" s="1"/>
  <c r="P1034" i="1"/>
  <c r="Q1034" i="1" s="1"/>
  <c r="P1033" i="1"/>
  <c r="Q1033" i="1" s="1"/>
  <c r="P1032" i="1"/>
  <c r="Q1032" i="1" s="1"/>
  <c r="P1031" i="1"/>
  <c r="Q1031" i="1" s="1"/>
  <c r="P1030" i="1"/>
  <c r="Q1030" i="1" s="1"/>
  <c r="P1029" i="1"/>
  <c r="Q1029" i="1" s="1"/>
  <c r="P1028" i="1"/>
  <c r="Q1028" i="1" s="1"/>
  <c r="P1027" i="1"/>
  <c r="Q1027" i="1" s="1"/>
  <c r="P1026" i="1"/>
  <c r="Q1026" i="1" s="1"/>
  <c r="P1025" i="1"/>
  <c r="Q1025" i="1" s="1"/>
  <c r="P1024" i="1"/>
  <c r="Q1024" i="1" s="1"/>
  <c r="P1023" i="1"/>
  <c r="Q1023" i="1" s="1"/>
  <c r="P1022" i="1"/>
  <c r="Q1022" i="1" s="1"/>
  <c r="P1021" i="1"/>
  <c r="Q1021" i="1" s="1"/>
  <c r="P1020" i="1"/>
  <c r="Q1020" i="1" s="1"/>
  <c r="P1019" i="1"/>
  <c r="Q1019" i="1" s="1"/>
  <c r="P1018" i="1"/>
  <c r="Q1018" i="1" s="1"/>
  <c r="P1017" i="1"/>
  <c r="Q1017" i="1" s="1"/>
  <c r="P1016" i="1"/>
  <c r="Q1016" i="1" s="1"/>
  <c r="P1015" i="1"/>
  <c r="Q1015" i="1" s="1"/>
  <c r="P1014" i="1"/>
  <c r="Q1014" i="1" s="1"/>
  <c r="P1013" i="1"/>
  <c r="Q1013" i="1" s="1"/>
  <c r="P1012" i="1"/>
  <c r="Q1012" i="1" s="1"/>
  <c r="P1011" i="1"/>
  <c r="Q1011" i="1" s="1"/>
  <c r="P1010" i="1"/>
  <c r="Q1010" i="1" s="1"/>
  <c r="P1009" i="1"/>
  <c r="Q1009" i="1" s="1"/>
  <c r="P1008" i="1"/>
  <c r="Q1008" i="1" s="1"/>
  <c r="P1007" i="1"/>
  <c r="Q1007" i="1" s="1"/>
  <c r="P1006" i="1"/>
  <c r="Q1006" i="1" s="1"/>
  <c r="P1005" i="1"/>
  <c r="Q1005" i="1" s="1"/>
  <c r="P1004" i="1"/>
  <c r="Q1004" i="1" s="1"/>
  <c r="P1003" i="1"/>
  <c r="Q1003" i="1" s="1"/>
  <c r="P1002" i="1"/>
  <c r="Q1002" i="1" s="1"/>
  <c r="P1001" i="1"/>
  <c r="Q1001" i="1" s="1"/>
  <c r="P1000" i="1"/>
  <c r="Q1000" i="1" s="1"/>
  <c r="P999" i="1"/>
  <c r="Q999" i="1" s="1"/>
  <c r="P998" i="1"/>
  <c r="Q998" i="1" s="1"/>
  <c r="P997" i="1"/>
  <c r="Q997" i="1" s="1"/>
  <c r="P996" i="1"/>
  <c r="Q996" i="1" s="1"/>
  <c r="P995" i="1"/>
  <c r="Q995" i="1" s="1"/>
  <c r="P994" i="1"/>
  <c r="Q994" i="1" s="1"/>
  <c r="P993" i="1"/>
  <c r="Q993" i="1" s="1"/>
  <c r="P992" i="1"/>
  <c r="Q992" i="1" s="1"/>
  <c r="P991" i="1"/>
  <c r="Q991" i="1" s="1"/>
  <c r="P990" i="1"/>
  <c r="Q990" i="1" s="1"/>
  <c r="P989" i="1"/>
  <c r="Q989" i="1" s="1"/>
  <c r="P988" i="1"/>
  <c r="Q988" i="1" s="1"/>
  <c r="P987" i="1"/>
  <c r="Q987" i="1" s="1"/>
  <c r="P986" i="1"/>
  <c r="Q986" i="1" s="1"/>
  <c r="P985" i="1"/>
  <c r="Q985" i="1" s="1"/>
  <c r="P984" i="1"/>
  <c r="Q984" i="1" s="1"/>
  <c r="P983" i="1"/>
  <c r="Q983" i="1" s="1"/>
  <c r="P982" i="1"/>
  <c r="Q982" i="1" s="1"/>
  <c r="P981" i="1"/>
  <c r="Q981" i="1" s="1"/>
  <c r="P980" i="1"/>
  <c r="Q980" i="1" s="1"/>
  <c r="P979" i="1"/>
  <c r="Q979" i="1" s="1"/>
  <c r="P978" i="1"/>
  <c r="Q978" i="1" s="1"/>
  <c r="P977" i="1"/>
  <c r="Q977" i="1" s="1"/>
  <c r="P976" i="1"/>
  <c r="Q976" i="1" s="1"/>
  <c r="P975" i="1"/>
  <c r="Q975" i="1" s="1"/>
  <c r="P974" i="1"/>
  <c r="Q974" i="1" s="1"/>
  <c r="P973" i="1"/>
  <c r="Q973" i="1" s="1"/>
  <c r="P972" i="1"/>
  <c r="Q972" i="1" s="1"/>
  <c r="P971" i="1"/>
  <c r="Q971" i="1" s="1"/>
  <c r="P970" i="1"/>
  <c r="Q970" i="1" s="1"/>
  <c r="P969" i="1"/>
  <c r="Q969" i="1" s="1"/>
  <c r="P968" i="1"/>
  <c r="Q968" i="1" s="1"/>
  <c r="P967" i="1"/>
  <c r="Q967" i="1" s="1"/>
  <c r="P966" i="1"/>
  <c r="Q966" i="1" s="1"/>
  <c r="P965" i="1"/>
  <c r="Q965" i="1" s="1"/>
  <c r="P964" i="1"/>
  <c r="Q964" i="1" s="1"/>
  <c r="P963" i="1"/>
  <c r="Q963" i="1" s="1"/>
  <c r="P962" i="1"/>
  <c r="Q962" i="1" s="1"/>
  <c r="P961" i="1"/>
  <c r="Q961" i="1" s="1"/>
  <c r="P960" i="1"/>
  <c r="Q960" i="1" s="1"/>
  <c r="P959" i="1"/>
  <c r="Q959" i="1" s="1"/>
  <c r="P958" i="1"/>
  <c r="Q958" i="1" s="1"/>
  <c r="P957" i="1"/>
  <c r="Q957" i="1" s="1"/>
  <c r="P956" i="1"/>
  <c r="Q956" i="1" s="1"/>
  <c r="P955" i="1"/>
  <c r="Q955" i="1" s="1"/>
  <c r="P954" i="1"/>
  <c r="Q954" i="1" s="1"/>
  <c r="P953" i="1"/>
  <c r="Q953" i="1" s="1"/>
  <c r="P952" i="1"/>
  <c r="Q952" i="1" s="1"/>
  <c r="P951" i="1"/>
  <c r="Q951" i="1" s="1"/>
  <c r="P950" i="1"/>
  <c r="Q950" i="1" s="1"/>
  <c r="P949" i="1"/>
  <c r="Q949" i="1" s="1"/>
  <c r="P948" i="1"/>
  <c r="Q948" i="1" s="1"/>
  <c r="P947" i="1"/>
  <c r="Q947" i="1" s="1"/>
  <c r="P946" i="1"/>
  <c r="Q946" i="1" s="1"/>
  <c r="P945" i="1"/>
  <c r="Q945" i="1" s="1"/>
  <c r="P944" i="1"/>
  <c r="Q944" i="1" s="1"/>
  <c r="P943" i="1"/>
  <c r="Q943" i="1" s="1"/>
  <c r="P942" i="1"/>
  <c r="Q942" i="1" s="1"/>
  <c r="P941" i="1"/>
  <c r="Q941" i="1" s="1"/>
  <c r="P940" i="1"/>
  <c r="Q940" i="1" s="1"/>
  <c r="P939" i="1"/>
  <c r="Q939" i="1" s="1"/>
  <c r="P938" i="1"/>
  <c r="Q938" i="1" s="1"/>
  <c r="P937" i="1"/>
  <c r="Q937" i="1" s="1"/>
  <c r="P936" i="1"/>
  <c r="Q936" i="1" s="1"/>
  <c r="P935" i="1"/>
  <c r="Q935" i="1" s="1"/>
  <c r="P934" i="1"/>
  <c r="Q934" i="1" s="1"/>
  <c r="P933" i="1"/>
  <c r="Q933" i="1" s="1"/>
  <c r="P932" i="1"/>
  <c r="Q932" i="1" s="1"/>
  <c r="P931" i="1"/>
  <c r="Q931" i="1" s="1"/>
  <c r="P930" i="1"/>
  <c r="Q930" i="1" s="1"/>
  <c r="P929" i="1"/>
  <c r="Q929" i="1" s="1"/>
  <c r="P928" i="1"/>
  <c r="Q928" i="1" s="1"/>
  <c r="P927" i="1"/>
  <c r="Q927" i="1" s="1"/>
  <c r="P926" i="1"/>
  <c r="Q926" i="1" s="1"/>
  <c r="P925" i="1"/>
  <c r="Q925" i="1" s="1"/>
  <c r="P924" i="1"/>
  <c r="Q924" i="1" s="1"/>
  <c r="P923" i="1"/>
  <c r="Q923" i="1" s="1"/>
  <c r="P922" i="1"/>
  <c r="Q922" i="1" s="1"/>
  <c r="P921" i="1"/>
  <c r="Q921" i="1" s="1"/>
  <c r="P920" i="1"/>
  <c r="Q920" i="1" s="1"/>
  <c r="P919" i="1"/>
  <c r="Q919" i="1" s="1"/>
  <c r="P918" i="1"/>
  <c r="Q918" i="1" s="1"/>
  <c r="P917" i="1"/>
  <c r="Q917" i="1" s="1"/>
  <c r="P916" i="1"/>
  <c r="Q916" i="1" s="1"/>
  <c r="P915" i="1"/>
  <c r="Q915" i="1" s="1"/>
  <c r="P914" i="1"/>
  <c r="Q914" i="1" s="1"/>
  <c r="P913" i="1"/>
  <c r="Q913" i="1" s="1"/>
  <c r="P912" i="1"/>
  <c r="Q912" i="1" s="1"/>
  <c r="P911" i="1"/>
  <c r="Q911" i="1" s="1"/>
  <c r="P910" i="1"/>
  <c r="Q910" i="1" s="1"/>
  <c r="P909" i="1"/>
  <c r="Q909" i="1" s="1"/>
  <c r="P908" i="1"/>
  <c r="Q908" i="1" s="1"/>
  <c r="P907" i="1"/>
  <c r="Q907" i="1" s="1"/>
  <c r="P906" i="1"/>
  <c r="Q906" i="1" s="1"/>
  <c r="P905" i="1"/>
  <c r="Q905" i="1" s="1"/>
  <c r="P904" i="1"/>
  <c r="Q904" i="1" s="1"/>
  <c r="P903" i="1"/>
  <c r="Q903" i="1" s="1"/>
  <c r="P902" i="1"/>
  <c r="Q902" i="1" s="1"/>
  <c r="P901" i="1"/>
  <c r="Q901" i="1" s="1"/>
  <c r="P900" i="1"/>
  <c r="Q900" i="1" s="1"/>
  <c r="P899" i="1"/>
  <c r="Q899" i="1" s="1"/>
  <c r="P898" i="1"/>
  <c r="Q898" i="1" s="1"/>
  <c r="P897" i="1"/>
  <c r="Q897" i="1" s="1"/>
  <c r="P896" i="1"/>
  <c r="Q896" i="1" s="1"/>
  <c r="P895" i="1"/>
  <c r="Q895" i="1" s="1"/>
  <c r="P894" i="1"/>
  <c r="Q894" i="1" s="1"/>
  <c r="P893" i="1"/>
  <c r="Q893" i="1" s="1"/>
  <c r="P892" i="1"/>
  <c r="Q892" i="1" s="1"/>
  <c r="P891" i="1"/>
  <c r="Q891" i="1" s="1"/>
  <c r="P890" i="1"/>
  <c r="Q890" i="1" s="1"/>
  <c r="P889" i="1"/>
  <c r="Q889" i="1" s="1"/>
  <c r="P888" i="1"/>
  <c r="Q888" i="1" s="1"/>
  <c r="P887" i="1"/>
  <c r="Q887" i="1" s="1"/>
  <c r="P886" i="1"/>
  <c r="Q886" i="1" s="1"/>
  <c r="P885" i="1"/>
  <c r="Q885" i="1" s="1"/>
  <c r="P884" i="1"/>
  <c r="Q884" i="1" s="1"/>
  <c r="P883" i="1"/>
  <c r="Q883" i="1" s="1"/>
  <c r="P882" i="1"/>
  <c r="Q882" i="1" s="1"/>
  <c r="P881" i="1"/>
  <c r="Q881" i="1" s="1"/>
  <c r="P880" i="1"/>
  <c r="Q880" i="1" s="1"/>
  <c r="P879" i="1"/>
  <c r="Q879" i="1" s="1"/>
  <c r="P878" i="1"/>
  <c r="Q878" i="1" s="1"/>
  <c r="P877" i="1"/>
  <c r="Q877" i="1" s="1"/>
  <c r="P876" i="1"/>
  <c r="Q876" i="1" s="1"/>
  <c r="P875" i="1"/>
  <c r="Q875" i="1" s="1"/>
  <c r="P874" i="1"/>
  <c r="Q874" i="1" s="1"/>
  <c r="P873" i="1"/>
  <c r="Q873" i="1" s="1"/>
  <c r="P872" i="1"/>
  <c r="Q872" i="1" s="1"/>
  <c r="P871" i="1"/>
  <c r="Q871" i="1" s="1"/>
  <c r="P870" i="1"/>
  <c r="Q870" i="1" s="1"/>
  <c r="P869" i="1"/>
  <c r="Q869" i="1" s="1"/>
  <c r="P868" i="1"/>
  <c r="Q868" i="1" s="1"/>
  <c r="P867" i="1"/>
  <c r="Q867" i="1" s="1"/>
  <c r="P866" i="1"/>
  <c r="Q866" i="1" s="1"/>
  <c r="P865" i="1"/>
  <c r="Q865" i="1" s="1"/>
  <c r="P864" i="1"/>
  <c r="Q864" i="1" s="1"/>
  <c r="P863" i="1"/>
  <c r="Q863" i="1" s="1"/>
  <c r="P862" i="1"/>
  <c r="Q862" i="1" s="1"/>
  <c r="P861" i="1"/>
  <c r="Q861" i="1" s="1"/>
  <c r="P860" i="1"/>
  <c r="Q860" i="1" s="1"/>
  <c r="P859" i="1"/>
  <c r="Q859" i="1" s="1"/>
  <c r="P858" i="1"/>
  <c r="Q858" i="1" s="1"/>
  <c r="P857" i="1"/>
  <c r="Q857" i="1" s="1"/>
  <c r="P856" i="1"/>
  <c r="Q856" i="1" s="1"/>
  <c r="P855" i="1"/>
  <c r="Q855" i="1" s="1"/>
  <c r="P854" i="1"/>
  <c r="Q854" i="1" s="1"/>
  <c r="P853" i="1"/>
  <c r="Q853" i="1" s="1"/>
  <c r="P852" i="1"/>
  <c r="Q852" i="1" s="1"/>
  <c r="P851" i="1"/>
  <c r="Q851" i="1" s="1"/>
  <c r="P850" i="1"/>
  <c r="Q850" i="1" s="1"/>
  <c r="P849" i="1"/>
  <c r="Q849" i="1" s="1"/>
  <c r="P848" i="1"/>
  <c r="Q848" i="1" s="1"/>
  <c r="P847" i="1"/>
  <c r="Q847" i="1" s="1"/>
  <c r="P846" i="1"/>
  <c r="Q846" i="1" s="1"/>
  <c r="P845" i="1"/>
  <c r="Q845" i="1" s="1"/>
  <c r="P844" i="1"/>
  <c r="Q844" i="1" s="1"/>
  <c r="P843" i="1"/>
  <c r="Q843" i="1" s="1"/>
  <c r="P842" i="1"/>
  <c r="Q842" i="1" s="1"/>
  <c r="P841" i="1"/>
  <c r="Q841" i="1" s="1"/>
  <c r="P840" i="1"/>
  <c r="Q840" i="1" s="1"/>
  <c r="P839" i="1"/>
  <c r="Q839" i="1" s="1"/>
  <c r="P838" i="1"/>
  <c r="Q838" i="1" s="1"/>
  <c r="P837" i="1"/>
  <c r="Q837" i="1" s="1"/>
  <c r="P836" i="1"/>
  <c r="Q836" i="1" s="1"/>
  <c r="P835" i="1"/>
  <c r="Q835" i="1" s="1"/>
  <c r="P834" i="1"/>
  <c r="Q834" i="1" s="1"/>
  <c r="P833" i="1"/>
  <c r="Q833" i="1" s="1"/>
  <c r="P832" i="1"/>
  <c r="Q832" i="1" s="1"/>
  <c r="P831" i="1"/>
  <c r="Q831" i="1" s="1"/>
  <c r="P830" i="1"/>
  <c r="Q830" i="1" s="1"/>
  <c r="P829" i="1"/>
  <c r="Q829" i="1" s="1"/>
  <c r="P828" i="1"/>
  <c r="Q828" i="1" s="1"/>
  <c r="P827" i="1"/>
  <c r="Q827" i="1" s="1"/>
  <c r="P826" i="1"/>
  <c r="Q826" i="1" s="1"/>
  <c r="P825" i="1"/>
  <c r="Q825" i="1" s="1"/>
  <c r="P824" i="1"/>
  <c r="Q824" i="1" s="1"/>
  <c r="P823" i="1"/>
  <c r="Q823" i="1" s="1"/>
  <c r="P822" i="1"/>
  <c r="Q822" i="1" s="1"/>
  <c r="P821" i="1"/>
  <c r="Q821" i="1" s="1"/>
  <c r="P820" i="1"/>
  <c r="Q820" i="1" s="1"/>
  <c r="P819" i="1"/>
  <c r="Q819" i="1" s="1"/>
  <c r="P818" i="1"/>
  <c r="Q818" i="1" s="1"/>
  <c r="P817" i="1"/>
  <c r="Q817" i="1" s="1"/>
  <c r="P816" i="1"/>
  <c r="Q816" i="1" s="1"/>
  <c r="P815" i="1"/>
  <c r="Q815" i="1" s="1"/>
  <c r="P814" i="1"/>
  <c r="Q814" i="1" s="1"/>
  <c r="P813" i="1"/>
  <c r="Q813" i="1" s="1"/>
  <c r="P812" i="1"/>
  <c r="Q812" i="1" s="1"/>
  <c r="P811" i="1"/>
  <c r="Q811" i="1" s="1"/>
  <c r="P810" i="1"/>
  <c r="Q810" i="1" s="1"/>
  <c r="P809" i="1"/>
  <c r="Q809" i="1" s="1"/>
  <c r="P808" i="1"/>
  <c r="Q808" i="1" s="1"/>
  <c r="P807" i="1"/>
  <c r="Q807" i="1" s="1"/>
  <c r="P806" i="1"/>
  <c r="Q806" i="1" s="1"/>
  <c r="P805" i="1"/>
  <c r="Q805" i="1" s="1"/>
  <c r="P804" i="1"/>
  <c r="Q804" i="1" s="1"/>
  <c r="P803" i="1"/>
  <c r="Q803" i="1" s="1"/>
  <c r="P802" i="1"/>
  <c r="Q802" i="1" s="1"/>
  <c r="P801" i="1"/>
  <c r="Q801" i="1" s="1"/>
  <c r="P800" i="1"/>
  <c r="Q800" i="1" s="1"/>
  <c r="P799" i="1"/>
  <c r="Q799" i="1" s="1"/>
  <c r="P798" i="1"/>
  <c r="Q798" i="1" s="1"/>
  <c r="P797" i="1"/>
  <c r="Q797" i="1" s="1"/>
  <c r="P796" i="1"/>
  <c r="Q796" i="1" s="1"/>
  <c r="P795" i="1"/>
  <c r="Q795" i="1" s="1"/>
  <c r="P794" i="1"/>
  <c r="Q794" i="1" s="1"/>
  <c r="P793" i="1"/>
  <c r="Q793" i="1" s="1"/>
  <c r="P792" i="1"/>
  <c r="Q792" i="1" s="1"/>
  <c r="P791" i="1"/>
  <c r="Q791" i="1" s="1"/>
  <c r="P790" i="1"/>
  <c r="Q790" i="1" s="1"/>
  <c r="P789" i="1"/>
  <c r="Q789" i="1" s="1"/>
  <c r="P788" i="1"/>
  <c r="Q788" i="1" s="1"/>
  <c r="P787" i="1"/>
  <c r="Q787" i="1" s="1"/>
  <c r="P786" i="1"/>
  <c r="Q786" i="1" s="1"/>
  <c r="P785" i="1"/>
  <c r="Q785" i="1" s="1"/>
  <c r="P784" i="1"/>
  <c r="Q784" i="1" s="1"/>
  <c r="P783" i="1"/>
  <c r="Q783" i="1" s="1"/>
  <c r="P782" i="1"/>
  <c r="Q782" i="1" s="1"/>
  <c r="P781" i="1"/>
  <c r="Q781" i="1" s="1"/>
  <c r="P780" i="1"/>
  <c r="Q780" i="1" s="1"/>
  <c r="P779" i="1"/>
  <c r="Q779" i="1" s="1"/>
  <c r="P778" i="1"/>
  <c r="Q778" i="1" s="1"/>
  <c r="P777" i="1"/>
  <c r="Q777" i="1" s="1"/>
  <c r="P776" i="1"/>
  <c r="Q776" i="1" s="1"/>
  <c r="P775" i="1"/>
  <c r="Q775" i="1" s="1"/>
  <c r="P774" i="1"/>
  <c r="Q774" i="1" s="1"/>
  <c r="P773" i="1"/>
  <c r="Q773" i="1" s="1"/>
  <c r="P772" i="1"/>
  <c r="Q772" i="1" s="1"/>
  <c r="P771" i="1"/>
  <c r="Q771" i="1" s="1"/>
  <c r="P770" i="1"/>
  <c r="Q770" i="1" s="1"/>
  <c r="P769" i="1"/>
  <c r="Q769" i="1" s="1"/>
  <c r="P768" i="1"/>
  <c r="Q768" i="1" s="1"/>
  <c r="P767" i="1"/>
  <c r="Q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1078" i="1"/>
  <c r="T1078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C103" i="4"/>
  <c r="D106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6" i="4"/>
  <c r="D77" i="5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6" i="5"/>
  <c r="C122" i="5"/>
  <c r="C133" i="5" s="1"/>
  <c r="D136" i="5" s="1"/>
  <c r="C122" i="4"/>
  <c r="C133" i="4" s="1"/>
  <c r="D136" i="4" s="1"/>
  <c r="C116" i="3"/>
  <c r="C116" i="4"/>
  <c r="R1077" i="1"/>
  <c r="S1077" i="1" s="1"/>
  <c r="T1077" i="1" s="1"/>
  <c r="C122" i="3"/>
  <c r="C133" i="3" s="1"/>
  <c r="C136" i="3" s="1"/>
  <c r="C136" i="5" l="1"/>
  <c r="C138" i="5" s="1"/>
  <c r="C136" i="4"/>
  <c r="C138" i="4" s="1"/>
  <c r="R1076" i="1"/>
  <c r="R1075" i="1" s="1"/>
  <c r="D136" i="3"/>
  <c r="C138" i="3" s="1"/>
  <c r="S1076" i="1" l="1"/>
  <c r="T1076" i="1" s="1"/>
  <c r="R1074" i="1"/>
  <c r="S1075" i="1"/>
  <c r="T1075" i="1" s="1"/>
  <c r="R1073" i="1" l="1"/>
  <c r="S1074" i="1"/>
  <c r="T1074" i="1" s="1"/>
  <c r="R1072" i="1" l="1"/>
  <c r="S1073" i="1"/>
  <c r="T1073" i="1" s="1"/>
  <c r="R1071" i="1" l="1"/>
  <c r="S1072" i="1"/>
  <c r="T1072" i="1" s="1"/>
  <c r="R1070" i="1" l="1"/>
  <c r="S1071" i="1"/>
  <c r="T1071" i="1" s="1"/>
  <c r="R1069" i="1" l="1"/>
  <c r="S1070" i="1"/>
  <c r="T1070" i="1" s="1"/>
  <c r="R1068" i="1" l="1"/>
  <c r="S1069" i="1"/>
  <c r="T1069" i="1" s="1"/>
  <c r="R1067" i="1" l="1"/>
  <c r="S1068" i="1"/>
  <c r="T1068" i="1" s="1"/>
  <c r="R1066" i="1" l="1"/>
  <c r="S1067" i="1"/>
  <c r="T1067" i="1" s="1"/>
  <c r="R1065" i="1" l="1"/>
  <c r="S1066" i="1"/>
  <c r="T1066" i="1" s="1"/>
  <c r="R1064" i="1" l="1"/>
  <c r="S1065" i="1"/>
  <c r="T1065" i="1" s="1"/>
  <c r="R1063" i="1" l="1"/>
  <c r="S1064" i="1"/>
  <c r="T1064" i="1" s="1"/>
  <c r="R1062" i="1" l="1"/>
  <c r="S1063" i="1"/>
  <c r="T1063" i="1" s="1"/>
  <c r="R1061" i="1" l="1"/>
  <c r="S1062" i="1"/>
  <c r="T1062" i="1" s="1"/>
  <c r="R1060" i="1" l="1"/>
  <c r="S1061" i="1"/>
  <c r="T1061" i="1" s="1"/>
  <c r="R1059" i="1" l="1"/>
  <c r="S1060" i="1"/>
  <c r="T1060" i="1" s="1"/>
  <c r="R1058" i="1" l="1"/>
  <c r="S1059" i="1"/>
  <c r="T1059" i="1" s="1"/>
  <c r="R1057" i="1" l="1"/>
  <c r="S1058" i="1"/>
  <c r="T1058" i="1" s="1"/>
  <c r="R1056" i="1" l="1"/>
  <c r="S1057" i="1"/>
  <c r="T1057" i="1" s="1"/>
  <c r="R1055" i="1" l="1"/>
  <c r="S1056" i="1"/>
  <c r="T1056" i="1" s="1"/>
  <c r="R1054" i="1" l="1"/>
  <c r="S1055" i="1"/>
  <c r="T1055" i="1" s="1"/>
  <c r="R1053" i="1" l="1"/>
  <c r="S1054" i="1"/>
  <c r="T1054" i="1" s="1"/>
  <c r="R1052" i="1" l="1"/>
  <c r="S1053" i="1"/>
  <c r="T1053" i="1" s="1"/>
  <c r="R1051" i="1" l="1"/>
  <c r="S1052" i="1"/>
  <c r="T1052" i="1" s="1"/>
  <c r="R1050" i="1" l="1"/>
  <c r="S1051" i="1"/>
  <c r="T1051" i="1" s="1"/>
  <c r="R1049" i="1" l="1"/>
  <c r="S1050" i="1"/>
  <c r="T1050" i="1" s="1"/>
  <c r="R1048" i="1" l="1"/>
  <c r="S1049" i="1"/>
  <c r="T1049" i="1" s="1"/>
  <c r="R1047" i="1" l="1"/>
  <c r="S1048" i="1"/>
  <c r="T1048" i="1" s="1"/>
  <c r="R1046" i="1" l="1"/>
  <c r="S1047" i="1"/>
  <c r="T1047" i="1" s="1"/>
  <c r="R1045" i="1" l="1"/>
  <c r="S1046" i="1"/>
  <c r="T1046" i="1" s="1"/>
  <c r="R1044" i="1" l="1"/>
  <c r="S1045" i="1"/>
  <c r="T1045" i="1" s="1"/>
  <c r="R1043" i="1" l="1"/>
  <c r="S1044" i="1"/>
  <c r="T1044" i="1" s="1"/>
  <c r="R1042" i="1" l="1"/>
  <c r="S1043" i="1"/>
  <c r="T1043" i="1" s="1"/>
  <c r="R1041" i="1" l="1"/>
  <c r="S1042" i="1"/>
  <c r="T1042" i="1" s="1"/>
  <c r="R1040" i="1" l="1"/>
  <c r="S1041" i="1"/>
  <c r="T1041" i="1" s="1"/>
  <c r="R1039" i="1" l="1"/>
  <c r="S1040" i="1"/>
  <c r="T1040" i="1" s="1"/>
  <c r="R1038" i="1" l="1"/>
  <c r="S1039" i="1"/>
  <c r="T1039" i="1" s="1"/>
  <c r="R1037" i="1" l="1"/>
  <c r="S1038" i="1"/>
  <c r="T1038" i="1" s="1"/>
  <c r="R1036" i="1" l="1"/>
  <c r="S1037" i="1"/>
  <c r="T1037" i="1" s="1"/>
  <c r="R1035" i="1" l="1"/>
  <c r="S1036" i="1"/>
  <c r="T1036" i="1" s="1"/>
  <c r="R1034" i="1" l="1"/>
  <c r="S1035" i="1"/>
  <c r="T1035" i="1" s="1"/>
  <c r="R1033" i="1" l="1"/>
  <c r="S1034" i="1"/>
  <c r="T1034" i="1" s="1"/>
  <c r="R1032" i="1" l="1"/>
  <c r="S1033" i="1"/>
  <c r="T1033" i="1" s="1"/>
  <c r="R1031" i="1" l="1"/>
  <c r="S1032" i="1"/>
  <c r="T1032" i="1" s="1"/>
  <c r="R1030" i="1" l="1"/>
  <c r="S1031" i="1"/>
  <c r="T1031" i="1" s="1"/>
  <c r="R1029" i="1" l="1"/>
  <c r="S1030" i="1"/>
  <c r="T1030" i="1" s="1"/>
  <c r="R1028" i="1" l="1"/>
  <c r="S1029" i="1"/>
  <c r="T1029" i="1" s="1"/>
  <c r="R1027" i="1" l="1"/>
  <c r="S1028" i="1"/>
  <c r="T1028" i="1" s="1"/>
  <c r="R1026" i="1" l="1"/>
  <c r="S1027" i="1"/>
  <c r="T1027" i="1" s="1"/>
  <c r="R1025" i="1" l="1"/>
  <c r="S1026" i="1"/>
  <c r="T1026" i="1" s="1"/>
  <c r="R1024" i="1" l="1"/>
  <c r="S1025" i="1"/>
  <c r="T1025" i="1" s="1"/>
  <c r="R1023" i="1" l="1"/>
  <c r="S1024" i="1"/>
  <c r="T1024" i="1" s="1"/>
  <c r="R1022" i="1" l="1"/>
  <c r="S1023" i="1"/>
  <c r="T1023" i="1" s="1"/>
  <c r="R1021" i="1" l="1"/>
  <c r="S1022" i="1"/>
  <c r="T1022" i="1" s="1"/>
  <c r="R1020" i="1" l="1"/>
  <c r="S1021" i="1"/>
  <c r="T1021" i="1" s="1"/>
  <c r="R1019" i="1" l="1"/>
  <c r="S1020" i="1"/>
  <c r="T1020" i="1" s="1"/>
  <c r="R1018" i="1" l="1"/>
  <c r="S1019" i="1"/>
  <c r="T1019" i="1" s="1"/>
  <c r="R1017" i="1" l="1"/>
  <c r="S1018" i="1"/>
  <c r="T1018" i="1" s="1"/>
  <c r="R1016" i="1" l="1"/>
  <c r="S1017" i="1"/>
  <c r="T1017" i="1" s="1"/>
  <c r="R1015" i="1" l="1"/>
  <c r="S1016" i="1"/>
  <c r="T1016" i="1" s="1"/>
  <c r="R1014" i="1" l="1"/>
  <c r="S1015" i="1"/>
  <c r="T1015" i="1" s="1"/>
  <c r="R1013" i="1" l="1"/>
  <c r="S1014" i="1"/>
  <c r="T1014" i="1" s="1"/>
  <c r="R1012" i="1" l="1"/>
  <c r="S1013" i="1"/>
  <c r="T1013" i="1" s="1"/>
  <c r="R1011" i="1" l="1"/>
  <c r="S1012" i="1"/>
  <c r="T1012" i="1" s="1"/>
  <c r="R1010" i="1" l="1"/>
  <c r="S1011" i="1"/>
  <c r="T1011" i="1" s="1"/>
  <c r="R1009" i="1" l="1"/>
  <c r="S1010" i="1"/>
  <c r="T1010" i="1" s="1"/>
  <c r="R1008" i="1" l="1"/>
  <c r="S1009" i="1"/>
  <c r="T1009" i="1" s="1"/>
  <c r="R1007" i="1" l="1"/>
  <c r="S1008" i="1"/>
  <c r="T1008" i="1" s="1"/>
  <c r="R1006" i="1" l="1"/>
  <c r="S1007" i="1"/>
  <c r="T1007" i="1" s="1"/>
  <c r="R1005" i="1" l="1"/>
  <c r="S1006" i="1"/>
  <c r="T1006" i="1" s="1"/>
  <c r="R1004" i="1" l="1"/>
  <c r="S1005" i="1"/>
  <c r="T1005" i="1" s="1"/>
  <c r="R1003" i="1" l="1"/>
  <c r="S1004" i="1"/>
  <c r="T1004" i="1" s="1"/>
  <c r="R1002" i="1" l="1"/>
  <c r="S1003" i="1"/>
  <c r="T1003" i="1" s="1"/>
  <c r="R1001" i="1" l="1"/>
  <c r="S1002" i="1"/>
  <c r="T1002" i="1" s="1"/>
  <c r="R1000" i="1" l="1"/>
  <c r="S1001" i="1"/>
  <c r="T1001" i="1" s="1"/>
  <c r="R999" i="1" l="1"/>
  <c r="S1000" i="1"/>
  <c r="T1000" i="1" s="1"/>
  <c r="R998" i="1" l="1"/>
  <c r="S999" i="1"/>
  <c r="T999" i="1" s="1"/>
  <c r="R997" i="1" l="1"/>
  <c r="S998" i="1"/>
  <c r="T998" i="1" s="1"/>
  <c r="R996" i="1" l="1"/>
  <c r="S997" i="1"/>
  <c r="T997" i="1" s="1"/>
  <c r="R995" i="1" l="1"/>
  <c r="S996" i="1"/>
  <c r="T996" i="1" s="1"/>
  <c r="R994" i="1" l="1"/>
  <c r="S995" i="1"/>
  <c r="T995" i="1" s="1"/>
  <c r="R993" i="1" l="1"/>
  <c r="S994" i="1"/>
  <c r="T994" i="1" s="1"/>
  <c r="R992" i="1" l="1"/>
  <c r="S993" i="1"/>
  <c r="T993" i="1" s="1"/>
  <c r="R991" i="1" l="1"/>
  <c r="S992" i="1"/>
  <c r="T992" i="1" s="1"/>
  <c r="R990" i="1" l="1"/>
  <c r="S991" i="1"/>
  <c r="T991" i="1" s="1"/>
  <c r="R989" i="1" l="1"/>
  <c r="S990" i="1"/>
  <c r="T990" i="1" s="1"/>
  <c r="R988" i="1" l="1"/>
  <c r="S989" i="1"/>
  <c r="T989" i="1" s="1"/>
  <c r="R987" i="1" l="1"/>
  <c r="S988" i="1"/>
  <c r="T988" i="1" s="1"/>
  <c r="R986" i="1" l="1"/>
  <c r="S987" i="1"/>
  <c r="T987" i="1" s="1"/>
  <c r="R985" i="1" l="1"/>
  <c r="S986" i="1"/>
  <c r="T986" i="1" s="1"/>
  <c r="R984" i="1" l="1"/>
  <c r="S985" i="1"/>
  <c r="T985" i="1" s="1"/>
  <c r="R983" i="1" l="1"/>
  <c r="S984" i="1"/>
  <c r="T984" i="1" s="1"/>
  <c r="R982" i="1" l="1"/>
  <c r="S983" i="1"/>
  <c r="T983" i="1" s="1"/>
  <c r="R981" i="1" l="1"/>
  <c r="S982" i="1"/>
  <c r="T982" i="1" s="1"/>
  <c r="R980" i="1" l="1"/>
  <c r="S981" i="1"/>
  <c r="T981" i="1" s="1"/>
  <c r="R979" i="1" l="1"/>
  <c r="S980" i="1"/>
  <c r="T980" i="1" s="1"/>
  <c r="R978" i="1" l="1"/>
  <c r="S979" i="1"/>
  <c r="T979" i="1" s="1"/>
  <c r="R977" i="1" l="1"/>
  <c r="S978" i="1"/>
  <c r="T978" i="1" s="1"/>
  <c r="R976" i="1" l="1"/>
  <c r="S977" i="1"/>
  <c r="T977" i="1" s="1"/>
  <c r="R975" i="1" l="1"/>
  <c r="S976" i="1"/>
  <c r="T976" i="1" s="1"/>
  <c r="R974" i="1" l="1"/>
  <c r="S975" i="1"/>
  <c r="T975" i="1" s="1"/>
  <c r="R973" i="1" l="1"/>
  <c r="S974" i="1"/>
  <c r="T974" i="1" s="1"/>
  <c r="R972" i="1" l="1"/>
  <c r="S973" i="1"/>
  <c r="T973" i="1" s="1"/>
  <c r="R971" i="1" l="1"/>
  <c r="S972" i="1"/>
  <c r="T972" i="1" s="1"/>
  <c r="R970" i="1" l="1"/>
  <c r="S971" i="1"/>
  <c r="T971" i="1" s="1"/>
  <c r="R969" i="1" l="1"/>
  <c r="S970" i="1"/>
  <c r="T970" i="1" s="1"/>
  <c r="R968" i="1" l="1"/>
  <c r="S969" i="1"/>
  <c r="T969" i="1" s="1"/>
  <c r="R967" i="1" l="1"/>
  <c r="S968" i="1"/>
  <c r="T968" i="1" s="1"/>
  <c r="R966" i="1" l="1"/>
  <c r="S967" i="1"/>
  <c r="T967" i="1" s="1"/>
  <c r="R965" i="1" l="1"/>
  <c r="S966" i="1"/>
  <c r="T966" i="1" s="1"/>
  <c r="R964" i="1" l="1"/>
  <c r="S965" i="1"/>
  <c r="T965" i="1" s="1"/>
  <c r="R963" i="1" l="1"/>
  <c r="S964" i="1"/>
  <c r="T964" i="1" s="1"/>
  <c r="R962" i="1" l="1"/>
  <c r="S963" i="1"/>
  <c r="T963" i="1" s="1"/>
  <c r="R961" i="1" l="1"/>
  <c r="S962" i="1"/>
  <c r="T962" i="1" s="1"/>
  <c r="R960" i="1" l="1"/>
  <c r="S961" i="1"/>
  <c r="T961" i="1" s="1"/>
  <c r="R959" i="1" l="1"/>
  <c r="S960" i="1"/>
  <c r="T960" i="1" s="1"/>
  <c r="R958" i="1" l="1"/>
  <c r="S959" i="1"/>
  <c r="T959" i="1" s="1"/>
  <c r="R957" i="1" l="1"/>
  <c r="S958" i="1"/>
  <c r="T958" i="1" s="1"/>
  <c r="R956" i="1" l="1"/>
  <c r="S957" i="1"/>
  <c r="T957" i="1" s="1"/>
  <c r="R955" i="1" l="1"/>
  <c r="S956" i="1"/>
  <c r="T956" i="1" s="1"/>
  <c r="R954" i="1" l="1"/>
  <c r="S955" i="1"/>
  <c r="T955" i="1" s="1"/>
  <c r="R953" i="1" l="1"/>
  <c r="S954" i="1"/>
  <c r="T954" i="1" s="1"/>
  <c r="R952" i="1" l="1"/>
  <c r="S953" i="1"/>
  <c r="T953" i="1" s="1"/>
  <c r="R951" i="1" l="1"/>
  <c r="S952" i="1"/>
  <c r="T952" i="1" s="1"/>
  <c r="R950" i="1" l="1"/>
  <c r="S951" i="1"/>
  <c r="T951" i="1" s="1"/>
  <c r="R949" i="1" l="1"/>
  <c r="S950" i="1"/>
  <c r="T950" i="1" s="1"/>
  <c r="R948" i="1" l="1"/>
  <c r="S949" i="1"/>
  <c r="T949" i="1" s="1"/>
  <c r="R947" i="1" l="1"/>
  <c r="S948" i="1"/>
  <c r="T948" i="1" s="1"/>
  <c r="R946" i="1" l="1"/>
  <c r="S947" i="1"/>
  <c r="T947" i="1" s="1"/>
  <c r="R945" i="1" l="1"/>
  <c r="S946" i="1"/>
  <c r="T946" i="1" s="1"/>
  <c r="R944" i="1" l="1"/>
  <c r="S945" i="1"/>
  <c r="T945" i="1" s="1"/>
  <c r="R943" i="1" l="1"/>
  <c r="S944" i="1"/>
  <c r="T944" i="1" s="1"/>
  <c r="R942" i="1" l="1"/>
  <c r="S943" i="1"/>
  <c r="T943" i="1" s="1"/>
  <c r="R941" i="1" l="1"/>
  <c r="S942" i="1"/>
  <c r="T942" i="1" s="1"/>
  <c r="R940" i="1" l="1"/>
  <c r="S941" i="1"/>
  <c r="T941" i="1" s="1"/>
  <c r="R939" i="1" l="1"/>
  <c r="S940" i="1"/>
  <c r="T940" i="1" s="1"/>
  <c r="R938" i="1" l="1"/>
  <c r="S939" i="1"/>
  <c r="T939" i="1" s="1"/>
  <c r="R937" i="1" l="1"/>
  <c r="S938" i="1"/>
  <c r="T938" i="1" s="1"/>
  <c r="R936" i="1" l="1"/>
  <c r="S937" i="1"/>
  <c r="T937" i="1" s="1"/>
  <c r="R935" i="1" l="1"/>
  <c r="S936" i="1"/>
  <c r="T936" i="1" s="1"/>
  <c r="R934" i="1" l="1"/>
  <c r="S935" i="1"/>
  <c r="T935" i="1" s="1"/>
  <c r="R933" i="1" l="1"/>
  <c r="S934" i="1"/>
  <c r="T934" i="1" s="1"/>
  <c r="R932" i="1" l="1"/>
  <c r="S933" i="1"/>
  <c r="T933" i="1" s="1"/>
  <c r="R931" i="1" l="1"/>
  <c r="S932" i="1"/>
  <c r="T932" i="1" s="1"/>
  <c r="R930" i="1" l="1"/>
  <c r="S931" i="1"/>
  <c r="T931" i="1" s="1"/>
  <c r="R929" i="1" l="1"/>
  <c r="S930" i="1"/>
  <c r="T930" i="1" s="1"/>
  <c r="R928" i="1" l="1"/>
  <c r="S929" i="1"/>
  <c r="T929" i="1" s="1"/>
  <c r="R927" i="1" l="1"/>
  <c r="S928" i="1"/>
  <c r="T928" i="1" s="1"/>
  <c r="R926" i="1" l="1"/>
  <c r="S927" i="1"/>
  <c r="T927" i="1" s="1"/>
  <c r="R925" i="1" l="1"/>
  <c r="S926" i="1"/>
  <c r="T926" i="1" s="1"/>
  <c r="R924" i="1" l="1"/>
  <c r="S925" i="1"/>
  <c r="T925" i="1" s="1"/>
  <c r="R923" i="1" l="1"/>
  <c r="S924" i="1"/>
  <c r="T924" i="1" s="1"/>
  <c r="R922" i="1" l="1"/>
  <c r="S923" i="1"/>
  <c r="T923" i="1" s="1"/>
  <c r="R921" i="1" l="1"/>
  <c r="S922" i="1"/>
  <c r="T922" i="1" s="1"/>
  <c r="R920" i="1" l="1"/>
  <c r="S921" i="1"/>
  <c r="T921" i="1" s="1"/>
  <c r="R919" i="1" l="1"/>
  <c r="S920" i="1"/>
  <c r="T920" i="1" s="1"/>
  <c r="R918" i="1" l="1"/>
  <c r="S919" i="1"/>
  <c r="T919" i="1" s="1"/>
  <c r="R917" i="1" l="1"/>
  <c r="S918" i="1"/>
  <c r="T918" i="1" s="1"/>
  <c r="R916" i="1" l="1"/>
  <c r="S917" i="1"/>
  <c r="T917" i="1" s="1"/>
  <c r="R915" i="1" l="1"/>
  <c r="S916" i="1"/>
  <c r="T916" i="1" s="1"/>
  <c r="R914" i="1" l="1"/>
  <c r="S915" i="1"/>
  <c r="T915" i="1" s="1"/>
  <c r="R913" i="1" l="1"/>
  <c r="S914" i="1"/>
  <c r="T914" i="1" s="1"/>
  <c r="R912" i="1" l="1"/>
  <c r="S913" i="1"/>
  <c r="T913" i="1" s="1"/>
  <c r="R911" i="1" l="1"/>
  <c r="S912" i="1"/>
  <c r="T912" i="1" s="1"/>
  <c r="R910" i="1" l="1"/>
  <c r="S911" i="1"/>
  <c r="T911" i="1" s="1"/>
  <c r="R909" i="1" l="1"/>
  <c r="S910" i="1"/>
  <c r="T910" i="1" s="1"/>
  <c r="R908" i="1" l="1"/>
  <c r="S909" i="1"/>
  <c r="T909" i="1" s="1"/>
  <c r="R907" i="1" l="1"/>
  <c r="S908" i="1"/>
  <c r="T908" i="1" s="1"/>
  <c r="R906" i="1" l="1"/>
  <c r="S907" i="1"/>
  <c r="T907" i="1" s="1"/>
  <c r="R905" i="1" l="1"/>
  <c r="S906" i="1"/>
  <c r="T906" i="1" s="1"/>
  <c r="R904" i="1" l="1"/>
  <c r="S905" i="1"/>
  <c r="T905" i="1" s="1"/>
  <c r="R903" i="1" l="1"/>
  <c r="S904" i="1"/>
  <c r="T904" i="1" s="1"/>
  <c r="R902" i="1" l="1"/>
  <c r="S903" i="1"/>
  <c r="T903" i="1" s="1"/>
  <c r="R901" i="1" l="1"/>
  <c r="S902" i="1"/>
  <c r="T902" i="1" s="1"/>
  <c r="R900" i="1" l="1"/>
  <c r="S901" i="1"/>
  <c r="T901" i="1" s="1"/>
  <c r="R899" i="1" l="1"/>
  <c r="S900" i="1"/>
  <c r="T900" i="1" s="1"/>
  <c r="R898" i="1" l="1"/>
  <c r="S899" i="1"/>
  <c r="T899" i="1" s="1"/>
  <c r="R897" i="1" l="1"/>
  <c r="S898" i="1"/>
  <c r="T898" i="1" s="1"/>
  <c r="R896" i="1" l="1"/>
  <c r="S897" i="1"/>
  <c r="T897" i="1" s="1"/>
  <c r="R895" i="1" l="1"/>
  <c r="S896" i="1"/>
  <c r="T896" i="1" s="1"/>
  <c r="R894" i="1" l="1"/>
  <c r="S895" i="1"/>
  <c r="T895" i="1" s="1"/>
  <c r="R893" i="1" l="1"/>
  <c r="S894" i="1"/>
  <c r="T894" i="1" s="1"/>
  <c r="R892" i="1" l="1"/>
  <c r="S893" i="1"/>
  <c r="T893" i="1" s="1"/>
  <c r="R891" i="1" l="1"/>
  <c r="S892" i="1"/>
  <c r="T892" i="1" s="1"/>
  <c r="R890" i="1" l="1"/>
  <c r="S891" i="1"/>
  <c r="T891" i="1" s="1"/>
  <c r="R889" i="1" l="1"/>
  <c r="S890" i="1"/>
  <c r="T890" i="1" s="1"/>
  <c r="R888" i="1" l="1"/>
  <c r="S889" i="1"/>
  <c r="T889" i="1" s="1"/>
  <c r="R887" i="1" l="1"/>
  <c r="S888" i="1"/>
  <c r="T888" i="1" s="1"/>
  <c r="R886" i="1" l="1"/>
  <c r="S887" i="1"/>
  <c r="T887" i="1" s="1"/>
  <c r="R885" i="1" l="1"/>
  <c r="S886" i="1"/>
  <c r="T886" i="1" s="1"/>
  <c r="R884" i="1" l="1"/>
  <c r="S885" i="1"/>
  <c r="T885" i="1" s="1"/>
  <c r="R883" i="1" l="1"/>
  <c r="S884" i="1"/>
  <c r="T884" i="1" s="1"/>
  <c r="R882" i="1" l="1"/>
  <c r="S883" i="1"/>
  <c r="T883" i="1" s="1"/>
  <c r="R881" i="1" l="1"/>
  <c r="S882" i="1"/>
  <c r="T882" i="1" s="1"/>
  <c r="R880" i="1" l="1"/>
  <c r="S881" i="1"/>
  <c r="T881" i="1" s="1"/>
  <c r="R879" i="1" l="1"/>
  <c r="S880" i="1"/>
  <c r="T880" i="1" s="1"/>
  <c r="R878" i="1" l="1"/>
  <c r="S879" i="1"/>
  <c r="T879" i="1" s="1"/>
  <c r="R877" i="1" l="1"/>
  <c r="S878" i="1"/>
  <c r="T878" i="1" s="1"/>
  <c r="R876" i="1" l="1"/>
  <c r="S877" i="1"/>
  <c r="T877" i="1" s="1"/>
  <c r="R875" i="1" l="1"/>
  <c r="S876" i="1"/>
  <c r="T876" i="1" s="1"/>
  <c r="R874" i="1" l="1"/>
  <c r="S875" i="1"/>
  <c r="T875" i="1" s="1"/>
  <c r="R873" i="1" l="1"/>
  <c r="S874" i="1"/>
  <c r="T874" i="1" s="1"/>
  <c r="R872" i="1" l="1"/>
  <c r="S873" i="1"/>
  <c r="T873" i="1" s="1"/>
  <c r="R871" i="1" l="1"/>
  <c r="S872" i="1"/>
  <c r="T872" i="1" s="1"/>
  <c r="R870" i="1" l="1"/>
  <c r="S871" i="1"/>
  <c r="T871" i="1" s="1"/>
  <c r="R869" i="1" l="1"/>
  <c r="S870" i="1"/>
  <c r="T870" i="1" s="1"/>
  <c r="R868" i="1" l="1"/>
  <c r="S869" i="1"/>
  <c r="T869" i="1" s="1"/>
  <c r="R867" i="1" l="1"/>
  <c r="S868" i="1"/>
  <c r="T868" i="1" s="1"/>
  <c r="R866" i="1" l="1"/>
  <c r="S867" i="1"/>
  <c r="T867" i="1" s="1"/>
  <c r="R865" i="1" l="1"/>
  <c r="S866" i="1"/>
  <c r="T866" i="1" s="1"/>
  <c r="R864" i="1" l="1"/>
  <c r="S865" i="1"/>
  <c r="T865" i="1" s="1"/>
  <c r="R863" i="1" l="1"/>
  <c r="S864" i="1"/>
  <c r="T864" i="1" s="1"/>
  <c r="R862" i="1" l="1"/>
  <c r="S863" i="1"/>
  <c r="T863" i="1" s="1"/>
  <c r="R861" i="1" l="1"/>
  <c r="S862" i="1"/>
  <c r="T862" i="1" s="1"/>
  <c r="R860" i="1" l="1"/>
  <c r="S861" i="1"/>
  <c r="T861" i="1" s="1"/>
  <c r="R859" i="1" l="1"/>
  <c r="S860" i="1"/>
  <c r="T860" i="1" s="1"/>
  <c r="R858" i="1" l="1"/>
  <c r="S859" i="1"/>
  <c r="T859" i="1" s="1"/>
  <c r="R857" i="1" l="1"/>
  <c r="S858" i="1"/>
  <c r="T858" i="1" s="1"/>
  <c r="R856" i="1" l="1"/>
  <c r="S857" i="1"/>
  <c r="T857" i="1" s="1"/>
  <c r="R855" i="1" l="1"/>
  <c r="S856" i="1"/>
  <c r="T856" i="1" s="1"/>
  <c r="R854" i="1" l="1"/>
  <c r="S855" i="1"/>
  <c r="T855" i="1" s="1"/>
  <c r="R853" i="1" l="1"/>
  <c r="S854" i="1"/>
  <c r="T854" i="1" s="1"/>
  <c r="R852" i="1" l="1"/>
  <c r="S853" i="1"/>
  <c r="T853" i="1" s="1"/>
  <c r="R851" i="1" l="1"/>
  <c r="S852" i="1"/>
  <c r="T852" i="1" s="1"/>
  <c r="R850" i="1" l="1"/>
  <c r="S851" i="1"/>
  <c r="T851" i="1" s="1"/>
  <c r="R849" i="1" l="1"/>
  <c r="S850" i="1"/>
  <c r="T850" i="1" s="1"/>
  <c r="R848" i="1" l="1"/>
  <c r="S849" i="1"/>
  <c r="T849" i="1" s="1"/>
  <c r="R847" i="1" l="1"/>
  <c r="S848" i="1"/>
  <c r="T848" i="1" s="1"/>
  <c r="R846" i="1" l="1"/>
  <c r="S847" i="1"/>
  <c r="T847" i="1" s="1"/>
  <c r="R845" i="1" l="1"/>
  <c r="S846" i="1"/>
  <c r="T846" i="1" s="1"/>
  <c r="R844" i="1" l="1"/>
  <c r="S845" i="1"/>
  <c r="T845" i="1" s="1"/>
  <c r="R843" i="1" l="1"/>
  <c r="S844" i="1"/>
  <c r="T844" i="1" s="1"/>
  <c r="R842" i="1" l="1"/>
  <c r="S843" i="1"/>
  <c r="T843" i="1" s="1"/>
  <c r="R841" i="1" l="1"/>
  <c r="S842" i="1"/>
  <c r="T842" i="1" s="1"/>
  <c r="R840" i="1" l="1"/>
  <c r="S841" i="1"/>
  <c r="T841" i="1" s="1"/>
  <c r="R839" i="1" l="1"/>
  <c r="S840" i="1"/>
  <c r="T840" i="1" s="1"/>
  <c r="R838" i="1" l="1"/>
  <c r="S839" i="1"/>
  <c r="T839" i="1" s="1"/>
  <c r="R837" i="1" l="1"/>
  <c r="S838" i="1"/>
  <c r="T838" i="1" s="1"/>
  <c r="R836" i="1" l="1"/>
  <c r="S837" i="1"/>
  <c r="T837" i="1" s="1"/>
  <c r="R835" i="1" l="1"/>
  <c r="S836" i="1"/>
  <c r="T836" i="1" s="1"/>
  <c r="R834" i="1" l="1"/>
  <c r="S835" i="1"/>
  <c r="T835" i="1" s="1"/>
  <c r="R833" i="1" l="1"/>
  <c r="S834" i="1"/>
  <c r="T834" i="1" s="1"/>
  <c r="R832" i="1" l="1"/>
  <c r="S833" i="1"/>
  <c r="T833" i="1" s="1"/>
  <c r="R831" i="1" l="1"/>
  <c r="S832" i="1"/>
  <c r="T832" i="1" s="1"/>
  <c r="R830" i="1" l="1"/>
  <c r="S831" i="1"/>
  <c r="T831" i="1" s="1"/>
  <c r="R829" i="1" l="1"/>
  <c r="S830" i="1"/>
  <c r="T830" i="1" s="1"/>
  <c r="R828" i="1" l="1"/>
  <c r="S829" i="1"/>
  <c r="T829" i="1" s="1"/>
  <c r="R827" i="1" l="1"/>
  <c r="S828" i="1"/>
  <c r="T828" i="1" s="1"/>
  <c r="R826" i="1" l="1"/>
  <c r="S827" i="1"/>
  <c r="T827" i="1" s="1"/>
  <c r="R825" i="1" l="1"/>
  <c r="S826" i="1"/>
  <c r="T826" i="1" s="1"/>
  <c r="R824" i="1" l="1"/>
  <c r="S825" i="1"/>
  <c r="T825" i="1" s="1"/>
  <c r="R823" i="1" l="1"/>
  <c r="S824" i="1"/>
  <c r="T824" i="1" s="1"/>
  <c r="R822" i="1" l="1"/>
  <c r="S823" i="1"/>
  <c r="T823" i="1" s="1"/>
  <c r="R821" i="1" l="1"/>
  <c r="S822" i="1"/>
  <c r="T822" i="1" s="1"/>
  <c r="R820" i="1" l="1"/>
  <c r="S821" i="1"/>
  <c r="T821" i="1" s="1"/>
  <c r="R819" i="1" l="1"/>
  <c r="S820" i="1"/>
  <c r="T820" i="1" s="1"/>
  <c r="R818" i="1" l="1"/>
  <c r="S819" i="1"/>
  <c r="T819" i="1" s="1"/>
  <c r="R817" i="1" l="1"/>
  <c r="S818" i="1"/>
  <c r="T818" i="1" s="1"/>
  <c r="R816" i="1" l="1"/>
  <c r="S817" i="1"/>
  <c r="T817" i="1" s="1"/>
  <c r="R815" i="1" l="1"/>
  <c r="S816" i="1"/>
  <c r="T816" i="1" s="1"/>
  <c r="R814" i="1" l="1"/>
  <c r="S815" i="1"/>
  <c r="T815" i="1" s="1"/>
  <c r="R813" i="1" l="1"/>
  <c r="S814" i="1"/>
  <c r="T814" i="1" s="1"/>
  <c r="R812" i="1" l="1"/>
  <c r="S813" i="1"/>
  <c r="T813" i="1" s="1"/>
  <c r="R811" i="1" l="1"/>
  <c r="S812" i="1"/>
  <c r="T812" i="1" s="1"/>
  <c r="R810" i="1" l="1"/>
  <c r="S811" i="1"/>
  <c r="T811" i="1" s="1"/>
  <c r="R809" i="1" l="1"/>
  <c r="S810" i="1"/>
  <c r="T810" i="1" s="1"/>
  <c r="R808" i="1" l="1"/>
  <c r="S809" i="1"/>
  <c r="T809" i="1" s="1"/>
  <c r="R807" i="1" l="1"/>
  <c r="S808" i="1"/>
  <c r="T808" i="1" s="1"/>
  <c r="R806" i="1" l="1"/>
  <c r="S807" i="1"/>
  <c r="T807" i="1" s="1"/>
  <c r="R805" i="1" l="1"/>
  <c r="S806" i="1"/>
  <c r="T806" i="1" s="1"/>
  <c r="R804" i="1" l="1"/>
  <c r="S805" i="1"/>
  <c r="T805" i="1" s="1"/>
  <c r="R803" i="1" l="1"/>
  <c r="S804" i="1"/>
  <c r="T804" i="1" s="1"/>
  <c r="R802" i="1" l="1"/>
  <c r="S803" i="1"/>
  <c r="T803" i="1" s="1"/>
  <c r="R801" i="1" l="1"/>
  <c r="S802" i="1"/>
  <c r="T802" i="1" s="1"/>
  <c r="R800" i="1" l="1"/>
  <c r="S801" i="1"/>
  <c r="T801" i="1" s="1"/>
  <c r="R799" i="1" l="1"/>
  <c r="S800" i="1"/>
  <c r="T800" i="1" s="1"/>
  <c r="R798" i="1" l="1"/>
  <c r="S799" i="1"/>
  <c r="T799" i="1" s="1"/>
  <c r="R797" i="1" l="1"/>
  <c r="S798" i="1"/>
  <c r="T798" i="1" s="1"/>
  <c r="R796" i="1" l="1"/>
  <c r="S797" i="1"/>
  <c r="T797" i="1" s="1"/>
  <c r="R795" i="1" l="1"/>
  <c r="S796" i="1"/>
  <c r="T796" i="1" s="1"/>
  <c r="R794" i="1" l="1"/>
  <c r="S795" i="1"/>
  <c r="T795" i="1" s="1"/>
  <c r="R793" i="1" l="1"/>
  <c r="S794" i="1"/>
  <c r="T794" i="1" s="1"/>
  <c r="R792" i="1" l="1"/>
  <c r="S793" i="1"/>
  <c r="T793" i="1" s="1"/>
  <c r="R791" i="1" l="1"/>
  <c r="S792" i="1"/>
  <c r="T792" i="1" s="1"/>
  <c r="R790" i="1" l="1"/>
  <c r="S791" i="1"/>
  <c r="T791" i="1" s="1"/>
  <c r="R789" i="1" l="1"/>
  <c r="S790" i="1"/>
  <c r="T790" i="1" s="1"/>
  <c r="R788" i="1" l="1"/>
  <c r="S789" i="1"/>
  <c r="T789" i="1" s="1"/>
  <c r="R787" i="1" l="1"/>
  <c r="S788" i="1"/>
  <c r="T788" i="1" s="1"/>
  <c r="R786" i="1" l="1"/>
  <c r="S787" i="1"/>
  <c r="T787" i="1" s="1"/>
  <c r="R785" i="1" l="1"/>
  <c r="S786" i="1"/>
  <c r="T786" i="1" s="1"/>
  <c r="R784" i="1" l="1"/>
  <c r="S785" i="1"/>
  <c r="T785" i="1" s="1"/>
  <c r="R783" i="1" l="1"/>
  <c r="S784" i="1"/>
  <c r="T784" i="1" s="1"/>
  <c r="R782" i="1" l="1"/>
  <c r="S783" i="1"/>
  <c r="T783" i="1" s="1"/>
  <c r="R781" i="1" l="1"/>
  <c r="S782" i="1"/>
  <c r="T782" i="1" s="1"/>
  <c r="R780" i="1" l="1"/>
  <c r="S781" i="1"/>
  <c r="T781" i="1" s="1"/>
  <c r="R779" i="1" l="1"/>
  <c r="S780" i="1"/>
  <c r="T780" i="1" s="1"/>
  <c r="R778" i="1" l="1"/>
  <c r="S779" i="1"/>
  <c r="T779" i="1" s="1"/>
  <c r="R777" i="1" l="1"/>
  <c r="S778" i="1"/>
  <c r="T778" i="1" s="1"/>
  <c r="R776" i="1" l="1"/>
  <c r="S777" i="1"/>
  <c r="T777" i="1" s="1"/>
  <c r="R775" i="1" l="1"/>
  <c r="S776" i="1"/>
  <c r="T776" i="1" s="1"/>
  <c r="R774" i="1" l="1"/>
  <c r="S775" i="1"/>
  <c r="T775" i="1" s="1"/>
  <c r="R773" i="1" l="1"/>
  <c r="S774" i="1"/>
  <c r="T774" i="1" s="1"/>
  <c r="R772" i="1" l="1"/>
  <c r="S773" i="1"/>
  <c r="T773" i="1" s="1"/>
  <c r="S772" i="1" l="1"/>
  <c r="T772" i="1" s="1"/>
  <c r="R771" i="1"/>
  <c r="R770" i="1" l="1"/>
  <c r="S771" i="1"/>
  <c r="T771" i="1" s="1"/>
  <c r="R769" i="1" l="1"/>
  <c r="S770" i="1"/>
  <c r="T770" i="1" s="1"/>
  <c r="R768" i="1" l="1"/>
  <c r="S769" i="1"/>
  <c r="T769" i="1" s="1"/>
  <c r="R767" i="1" l="1"/>
  <c r="S768" i="1"/>
  <c r="T768" i="1" s="1"/>
  <c r="R766" i="1" l="1"/>
  <c r="S767" i="1"/>
  <c r="T767" i="1" s="1"/>
  <c r="R765" i="1" l="1"/>
  <c r="S766" i="1"/>
  <c r="T766" i="1" s="1"/>
  <c r="R764" i="1" l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S575" i="1" l="1"/>
  <c r="T575" i="1" s="1"/>
  <c r="R574" i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S425" i="1" l="1"/>
  <c r="T425" i="1" s="1"/>
  <c r="R424" i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S408" i="1" l="1"/>
  <c r="T408" i="1" s="1"/>
  <c r="R407" i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S400" i="1" l="1"/>
  <c r="T400" i="1" s="1"/>
  <c r="R399" i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S384" i="1" l="1"/>
  <c r="T384" i="1" s="1"/>
  <c r="R383" i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S352" i="1" l="1"/>
  <c r="T352" i="1" s="1"/>
  <c r="R351" i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S219" i="1" l="1"/>
  <c r="T219" i="1" s="1"/>
  <c r="R218" i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S180" i="1" l="1"/>
  <c r="T180" i="1" s="1"/>
  <c r="R179" i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S132" i="1" l="1"/>
  <c r="T132" i="1" s="1"/>
  <c r="R131" i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S84" i="1" l="1"/>
  <c r="T84" i="1" s="1"/>
  <c r="R83" i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S65" i="1" l="1"/>
  <c r="T65" i="1" s="1"/>
  <c r="R64" i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S43" i="1" l="1"/>
  <c r="T43" i="1" s="1"/>
  <c r="R42" i="1"/>
  <c r="S42" i="1" l="1"/>
  <c r="T42" i="1" s="1"/>
  <c r="R41" i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S30" i="1" l="1"/>
  <c r="T30" i="1" s="1"/>
  <c r="R29" i="1"/>
  <c r="R28" i="1" l="1"/>
  <c r="S29" i="1"/>
  <c r="T29" i="1" s="1"/>
  <c r="S28" i="1" l="1"/>
  <c r="T28" i="1" s="1"/>
  <c r="R27" i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<sst xmlns="http://schemas.openxmlformats.org/spreadsheetml/2006/main" count="9876" uniqueCount="34">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</sst>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4.3810000000000002E-2</c:v>
                </c:pt>
                <c:pt idx="1">
                  <c:v>4.4819999999999999E-2</c:v>
                </c:pt>
                <c:pt idx="2">
                  <c:v>4.4909999999999999E-2</c:v>
                </c:pt>
                <c:pt idx="3">
                  <c:v>4.2290000000000001E-2</c:v>
                </c:pt>
                <c:pt idx="4">
                  <c:v>4.4359999999999997E-2</c:v>
                </c:pt>
                <c:pt idx="5">
                  <c:v>4.2790000000000002E-2</c:v>
                </c:pt>
                <c:pt idx="6">
                  <c:v>4.8460000000000003E-2</c:v>
                </c:pt>
                <c:pt idx="7">
                  <c:v>5.697E-2</c:v>
                </c:pt>
                <c:pt idx="8">
                  <c:v>5.9110000000000003E-2</c:v>
                </c:pt>
                <c:pt idx="9">
                  <c:v>6.1109999999999998E-2</c:v>
                </c:pt>
                <c:pt idx="10">
                  <c:v>6.1929999999999999E-2</c:v>
                </c:pt>
                <c:pt idx="11">
                  <c:v>6.4769999999999994E-2</c:v>
                </c:pt>
                <c:pt idx="12">
                  <c:v>6.5369999999999998E-2</c:v>
                </c:pt>
                <c:pt idx="13">
                  <c:v>6.411E-2</c:v>
                </c:pt>
                <c:pt idx="14">
                  <c:v>6.3710000000000003E-2</c:v>
                </c:pt>
                <c:pt idx="15">
                  <c:v>6.5339999999999995E-2</c:v>
                </c:pt>
                <c:pt idx="16">
                  <c:v>6.0850000000000001E-2</c:v>
                </c:pt>
                <c:pt idx="17">
                  <c:v>5.892E-2</c:v>
                </c:pt>
                <c:pt idx="18">
                  <c:v>6.2E-2</c:v>
                </c:pt>
                <c:pt idx="19">
                  <c:v>6.0729999999999999E-2</c:v>
                </c:pt>
                <c:pt idx="20">
                  <c:v>6.3320000000000001E-2</c:v>
                </c:pt>
                <c:pt idx="21">
                  <c:v>6.5629999999999994E-2</c:v>
                </c:pt>
                <c:pt idx="22">
                  <c:v>6.6669999999999993E-2</c:v>
                </c:pt>
                <c:pt idx="23">
                  <c:v>7.1120000000000003E-2</c:v>
                </c:pt>
                <c:pt idx="24">
                  <c:v>7.4380000000000002E-2</c:v>
                </c:pt>
                <c:pt idx="25">
                  <c:v>7.7049999999999993E-2</c:v>
                </c:pt>
                <c:pt idx="26">
                  <c:v>7.6649999999999996E-2</c:v>
                </c:pt>
                <c:pt idx="27">
                  <c:v>7.4709999999999999E-2</c:v>
                </c:pt>
                <c:pt idx="28">
                  <c:v>7.8289999999999998E-2</c:v>
                </c:pt>
                <c:pt idx="29">
                  <c:v>8.0079999999999998E-2</c:v>
                </c:pt>
                <c:pt idx="30">
                  <c:v>7.5149999999999995E-2</c:v>
                </c:pt>
                <c:pt idx="31">
                  <c:v>7.9149999999999998E-2</c:v>
                </c:pt>
                <c:pt idx="32">
                  <c:v>7.6689999999999994E-2</c:v>
                </c:pt>
                <c:pt idx="33">
                  <c:v>7.2959999999999997E-2</c:v>
                </c:pt>
                <c:pt idx="34">
                  <c:v>7.1840000000000001E-2</c:v>
                </c:pt>
                <c:pt idx="35">
                  <c:v>7.3050000000000004E-2</c:v>
                </c:pt>
                <c:pt idx="36">
                  <c:v>6.7669999999999994E-2</c:v>
                </c:pt>
                <c:pt idx="37">
                  <c:v>6.3130000000000006E-2</c:v>
                </c:pt>
                <c:pt idx="38">
                  <c:v>5.944E-2</c:v>
                </c:pt>
                <c:pt idx="39">
                  <c:v>6.0839999999999998E-2</c:v>
                </c:pt>
                <c:pt idx="40">
                  <c:v>6.3030000000000003E-2</c:v>
                </c:pt>
                <c:pt idx="41">
                  <c:v>5.944E-2</c:v>
                </c:pt>
                <c:pt idx="42">
                  <c:v>6.028E-2</c:v>
                </c:pt>
                <c:pt idx="43">
                  <c:v>6.2080000000000003E-2</c:v>
                </c:pt>
                <c:pt idx="44">
                  <c:v>6.0630000000000003E-2</c:v>
                </c:pt>
                <c:pt idx="45">
                  <c:v>5.8119999999999998E-2</c:v>
                </c:pt>
                <c:pt idx="46">
                  <c:v>6.5369999999999998E-2</c:v>
                </c:pt>
                <c:pt idx="47">
                  <c:v>6.3130000000000006E-2</c:v>
                </c:pt>
                <c:pt idx="48">
                  <c:v>6.2480000000000001E-2</c:v>
                </c:pt>
                <c:pt idx="49">
                  <c:v>6.6369999999999998E-2</c:v>
                </c:pt>
                <c:pt idx="50">
                  <c:v>7.4579999999999994E-2</c:v>
                </c:pt>
                <c:pt idx="51">
                  <c:v>6.9449999999999998E-2</c:v>
                </c:pt>
                <c:pt idx="52">
                  <c:v>6.8849999999999995E-2</c:v>
                </c:pt>
                <c:pt idx="53">
                  <c:v>6.6460000000000005E-2</c:v>
                </c:pt>
                <c:pt idx="54">
                  <c:v>7.0069999999999993E-2</c:v>
                </c:pt>
                <c:pt idx="55">
                  <c:v>8.1850000000000006E-2</c:v>
                </c:pt>
                <c:pt idx="56">
                  <c:v>8.6080000000000004E-2</c:v>
                </c:pt>
                <c:pt idx="57">
                  <c:v>8.7069999999999995E-2</c:v>
                </c:pt>
                <c:pt idx="58">
                  <c:v>8.745E-2</c:v>
                </c:pt>
                <c:pt idx="59">
                  <c:v>9.1289999999999996E-2</c:v>
                </c:pt>
                <c:pt idx="60">
                  <c:v>8.3860000000000004E-2</c:v>
                </c:pt>
                <c:pt idx="61">
                  <c:v>8.3549999999999999E-2</c:v>
                </c:pt>
                <c:pt idx="62">
                  <c:v>8.1540000000000001E-2</c:v>
                </c:pt>
                <c:pt idx="63">
                  <c:v>8.9440000000000006E-2</c:v>
                </c:pt>
                <c:pt idx="64">
                  <c:v>8.899E-2</c:v>
                </c:pt>
                <c:pt idx="65">
                  <c:v>8.9959999999999998E-2</c:v>
                </c:pt>
                <c:pt idx="66">
                  <c:v>8.8919999999999999E-2</c:v>
                </c:pt>
                <c:pt idx="67">
                  <c:v>9.2829999999999996E-2</c:v>
                </c:pt>
                <c:pt idx="68">
                  <c:v>9.307E-2</c:v>
                </c:pt>
                <c:pt idx="69">
                  <c:v>9.1410000000000005E-2</c:v>
                </c:pt>
                <c:pt idx="70">
                  <c:v>8.7059999999999998E-2</c:v>
                </c:pt>
                <c:pt idx="71">
                  <c:v>9.5750000000000002E-2</c:v>
                </c:pt>
                <c:pt idx="72">
                  <c:v>9.2920000000000003E-2</c:v>
                </c:pt>
                <c:pt idx="73">
                  <c:v>0.10165</c:v>
                </c:pt>
                <c:pt idx="74">
                  <c:v>0.10156</c:v>
                </c:pt>
                <c:pt idx="75">
                  <c:v>0.10138</c:v>
                </c:pt>
                <c:pt idx="76">
                  <c:v>9.9909999999999999E-2</c:v>
                </c:pt>
                <c:pt idx="77">
                  <c:v>0.10265000000000001</c:v>
                </c:pt>
                <c:pt idx="78">
                  <c:v>0.1021</c:v>
                </c:pt>
                <c:pt idx="79">
                  <c:v>0.11272</c:v>
                </c:pt>
                <c:pt idx="80">
                  <c:v>0.11153</c:v>
                </c:pt>
                <c:pt idx="81">
                  <c:v>0.10915</c:v>
                </c:pt>
                <c:pt idx="82">
                  <c:v>0.10749</c:v>
                </c:pt>
                <c:pt idx="83">
                  <c:v>0.10843</c:v>
                </c:pt>
                <c:pt idx="84">
                  <c:v>0.10895000000000001</c:v>
                </c:pt>
                <c:pt idx="85">
                  <c:v>0.10965999999999999</c:v>
                </c:pt>
                <c:pt idx="86">
                  <c:v>0.11457000000000001</c:v>
                </c:pt>
                <c:pt idx="87">
                  <c:v>0.11241</c:v>
                </c:pt>
                <c:pt idx="88">
                  <c:v>0.11233</c:v>
                </c:pt>
                <c:pt idx="89">
                  <c:v>0.10161000000000001</c:v>
                </c:pt>
                <c:pt idx="90">
                  <c:v>0.10116</c:v>
                </c:pt>
                <c:pt idx="91">
                  <c:v>9.8229999999999998E-2</c:v>
                </c:pt>
                <c:pt idx="92">
                  <c:v>9.3479999999999994E-2</c:v>
                </c:pt>
                <c:pt idx="93">
                  <c:v>0.10685</c:v>
                </c:pt>
                <c:pt idx="94">
                  <c:v>0.11068</c:v>
                </c:pt>
                <c:pt idx="95">
                  <c:v>0.10185</c:v>
                </c:pt>
                <c:pt idx="96">
                  <c:v>0.10324999999999999</c:v>
                </c:pt>
                <c:pt idx="97">
                  <c:v>0.10179000000000001</c:v>
                </c:pt>
                <c:pt idx="98">
                  <c:v>9.4509999999999997E-2</c:v>
                </c:pt>
                <c:pt idx="99">
                  <c:v>9.5820000000000002E-2</c:v>
                </c:pt>
                <c:pt idx="100">
                  <c:v>9.1539999999999996E-2</c:v>
                </c:pt>
                <c:pt idx="101">
                  <c:v>9.3160000000000007E-2</c:v>
                </c:pt>
                <c:pt idx="102">
                  <c:v>9.3909999999999993E-2</c:v>
                </c:pt>
                <c:pt idx="103">
                  <c:v>9.7500000000000003E-2</c:v>
                </c:pt>
                <c:pt idx="104">
                  <c:v>9.6329999999999999E-2</c:v>
                </c:pt>
                <c:pt idx="105">
                  <c:v>9.8640000000000005E-2</c:v>
                </c:pt>
                <c:pt idx="106">
                  <c:v>9.4210000000000002E-2</c:v>
                </c:pt>
                <c:pt idx="107">
                  <c:v>9.1499999999999998E-2</c:v>
                </c:pt>
                <c:pt idx="108">
                  <c:v>9.4350000000000003E-2</c:v>
                </c:pt>
                <c:pt idx="109">
                  <c:v>9.5579999999999998E-2</c:v>
                </c:pt>
                <c:pt idx="110">
                  <c:v>0.10296</c:v>
                </c:pt>
                <c:pt idx="111">
                  <c:v>9.9959999999999993E-2</c:v>
                </c:pt>
                <c:pt idx="112">
                  <c:v>9.8369999999999999E-2</c:v>
                </c:pt>
                <c:pt idx="113">
                  <c:v>9.8720000000000002E-2</c:v>
                </c:pt>
                <c:pt idx="114">
                  <c:v>0.10310999999999999</c:v>
                </c:pt>
                <c:pt idx="115">
                  <c:v>9.7339999999999996E-2</c:v>
                </c:pt>
                <c:pt idx="116">
                  <c:v>9.9299999999999999E-2</c:v>
                </c:pt>
                <c:pt idx="117">
                  <c:v>9.64E-2</c:v>
                </c:pt>
                <c:pt idx="118">
                  <c:v>9.4640000000000002E-2</c:v>
                </c:pt>
                <c:pt idx="119">
                  <c:v>8.5769999999999999E-2</c:v>
                </c:pt>
                <c:pt idx="120">
                  <c:v>8.2530000000000006E-2</c:v>
                </c:pt>
                <c:pt idx="121">
                  <c:v>7.5310000000000002E-2</c:v>
                </c:pt>
                <c:pt idx="122">
                  <c:v>7.9369999999999996E-2</c:v>
                </c:pt>
                <c:pt idx="123">
                  <c:v>8.3510000000000001E-2</c:v>
                </c:pt>
                <c:pt idx="124">
                  <c:v>8.4019999999999997E-2</c:v>
                </c:pt>
                <c:pt idx="125">
                  <c:v>8.4919999999999995E-2</c:v>
                </c:pt>
                <c:pt idx="126">
                  <c:v>9.3039999999999998E-2</c:v>
                </c:pt>
                <c:pt idx="127">
                  <c:v>9.1969999999999996E-2</c:v>
                </c:pt>
                <c:pt idx="128">
                  <c:v>8.0710000000000004E-2</c:v>
                </c:pt>
                <c:pt idx="129">
                  <c:v>9.2469999999999997E-2</c:v>
                </c:pt>
                <c:pt idx="130">
                  <c:v>0.10252</c:v>
                </c:pt>
                <c:pt idx="131">
                  <c:v>0.10832</c:v>
                </c:pt>
                <c:pt idx="132">
                  <c:v>0.10767</c:v>
                </c:pt>
                <c:pt idx="133">
                  <c:v>0.11191</c:v>
                </c:pt>
                <c:pt idx="134">
                  <c:v>0.11123</c:v>
                </c:pt>
                <c:pt idx="135">
                  <c:v>0.10679</c:v>
                </c:pt>
                <c:pt idx="136">
                  <c:v>0.10256</c:v>
                </c:pt>
                <c:pt idx="137">
                  <c:v>0.11178</c:v>
                </c:pt>
                <c:pt idx="138">
                  <c:v>0.10696</c:v>
                </c:pt>
                <c:pt idx="139">
                  <c:v>0.10638</c:v>
                </c:pt>
                <c:pt idx="140">
                  <c:v>0.10818</c:v>
                </c:pt>
                <c:pt idx="141">
                  <c:v>0.10335</c:v>
                </c:pt>
                <c:pt idx="142">
                  <c:v>0.10186000000000001</c:v>
                </c:pt>
                <c:pt idx="143">
                  <c:v>0.13081999999999999</c:v>
                </c:pt>
                <c:pt idx="144">
                  <c:v>0.13274</c:v>
                </c:pt>
                <c:pt idx="145">
                  <c:v>0.12218999999999999</c:v>
                </c:pt>
                <c:pt idx="146">
                  <c:v>0.11940000000000001</c:v>
                </c:pt>
                <c:pt idx="147">
                  <c:v>0.11388</c:v>
                </c:pt>
                <c:pt idx="148">
                  <c:v>0.11516</c:v>
                </c:pt>
                <c:pt idx="149">
                  <c:v>0.108</c:v>
                </c:pt>
                <c:pt idx="150">
                  <c:v>0.10716000000000001</c:v>
                </c:pt>
                <c:pt idx="151">
                  <c:v>0.10997</c:v>
                </c:pt>
                <c:pt idx="152">
                  <c:v>0.11336</c:v>
                </c:pt>
                <c:pt idx="153">
                  <c:v>0.11266</c:v>
                </c:pt>
                <c:pt idx="154">
                  <c:v>0.10571</c:v>
                </c:pt>
                <c:pt idx="155">
                  <c:v>0.11287999999999999</c:v>
                </c:pt>
                <c:pt idx="156">
                  <c:v>0.10724</c:v>
                </c:pt>
                <c:pt idx="157">
                  <c:v>0.11526</c:v>
                </c:pt>
                <c:pt idx="158">
                  <c:v>0.10921</c:v>
                </c:pt>
                <c:pt idx="159">
                  <c:v>0.10700999999999999</c:v>
                </c:pt>
                <c:pt idx="160">
                  <c:v>0.108</c:v>
                </c:pt>
                <c:pt idx="161">
                  <c:v>0.10442</c:v>
                </c:pt>
                <c:pt idx="162">
                  <c:v>9.7449999999999995E-2</c:v>
                </c:pt>
                <c:pt idx="163">
                  <c:v>9.9540000000000003E-2</c:v>
                </c:pt>
                <c:pt idx="164">
                  <c:v>0.10664</c:v>
                </c:pt>
                <c:pt idx="165">
                  <c:v>0.1115</c:v>
                </c:pt>
                <c:pt idx="166">
                  <c:v>0.11165</c:v>
                </c:pt>
                <c:pt idx="167">
                  <c:v>0.10577</c:v>
                </c:pt>
                <c:pt idx="168">
                  <c:v>9.9140000000000006E-2</c:v>
                </c:pt>
                <c:pt idx="169">
                  <c:v>0.10444000000000001</c:v>
                </c:pt>
                <c:pt idx="170">
                  <c:v>9.7710000000000005E-2</c:v>
                </c:pt>
                <c:pt idx="171">
                  <c:v>9.1689999999999994E-2</c:v>
                </c:pt>
                <c:pt idx="172">
                  <c:v>8.7090000000000001E-2</c:v>
                </c:pt>
                <c:pt idx="173">
                  <c:v>9.3210000000000001E-2</c:v>
                </c:pt>
                <c:pt idx="174">
                  <c:v>9.1230000000000006E-2</c:v>
                </c:pt>
                <c:pt idx="175">
                  <c:v>8.6069999999999994E-2</c:v>
                </c:pt>
                <c:pt idx="176">
                  <c:v>8.1210000000000004E-2</c:v>
                </c:pt>
                <c:pt idx="177">
                  <c:v>7.8850000000000003E-2</c:v>
                </c:pt>
                <c:pt idx="178">
                  <c:v>8.158E-2</c:v>
                </c:pt>
                <c:pt idx="179">
                  <c:v>7.9549999999999996E-2</c:v>
                </c:pt>
                <c:pt idx="180">
                  <c:v>8.3650000000000002E-2</c:v>
                </c:pt>
                <c:pt idx="181">
                  <c:v>8.0479999999999996E-2</c:v>
                </c:pt>
                <c:pt idx="182">
                  <c:v>7.5920000000000001E-2</c:v>
                </c:pt>
                <c:pt idx="183">
                  <c:v>7.4200000000000002E-2</c:v>
                </c:pt>
                <c:pt idx="184">
                  <c:v>7.6480000000000006E-2</c:v>
                </c:pt>
                <c:pt idx="185">
                  <c:v>7.424E-2</c:v>
                </c:pt>
                <c:pt idx="186">
                  <c:v>7.4200000000000002E-2</c:v>
                </c:pt>
                <c:pt idx="187">
                  <c:v>6.4579999999999999E-2</c:v>
                </c:pt>
                <c:pt idx="188">
                  <c:v>6.3049999999999995E-2</c:v>
                </c:pt>
                <c:pt idx="189">
                  <c:v>6.207E-2</c:v>
                </c:pt>
                <c:pt idx="190">
                  <c:v>5.8619999999999998E-2</c:v>
                </c:pt>
                <c:pt idx="191">
                  <c:v>5.3400000000000003E-2</c:v>
                </c:pt>
                <c:pt idx="192">
                  <c:v>5.8110000000000002E-2</c:v>
                </c:pt>
                <c:pt idx="193">
                  <c:v>6.3250000000000001E-2</c:v>
                </c:pt>
                <c:pt idx="194">
                  <c:v>6.2199999999999998E-2</c:v>
                </c:pt>
                <c:pt idx="195">
                  <c:v>6.1740000000000003E-2</c:v>
                </c:pt>
                <c:pt idx="196">
                  <c:v>6.7339999999999997E-2</c:v>
                </c:pt>
                <c:pt idx="197">
                  <c:v>7.127E-2</c:v>
                </c:pt>
                <c:pt idx="198">
                  <c:v>6.9159999999999999E-2</c:v>
                </c:pt>
                <c:pt idx="199">
                  <c:v>7.1790000000000007E-2</c:v>
                </c:pt>
                <c:pt idx="200">
                  <c:v>7.3950000000000002E-2</c:v>
                </c:pt>
                <c:pt idx="201">
                  <c:v>7.2950000000000001E-2</c:v>
                </c:pt>
                <c:pt idx="202">
                  <c:v>7.5029999999999999E-2</c:v>
                </c:pt>
                <c:pt idx="203">
                  <c:v>7.4840000000000004E-2</c:v>
                </c:pt>
                <c:pt idx="204">
                  <c:v>8.1350000000000006E-2</c:v>
                </c:pt>
                <c:pt idx="205">
                  <c:v>8.0829999999999999E-2</c:v>
                </c:pt>
                <c:pt idx="206">
                  <c:v>7.9640000000000002E-2</c:v>
                </c:pt>
                <c:pt idx="207">
                  <c:v>8.3000000000000004E-2</c:v>
                </c:pt>
                <c:pt idx="208">
                  <c:v>8.2299999999999998E-2</c:v>
                </c:pt>
                <c:pt idx="209">
                  <c:v>8.1509999999999999E-2</c:v>
                </c:pt>
                <c:pt idx="210">
                  <c:v>8.2049999999999998E-2</c:v>
                </c:pt>
                <c:pt idx="211">
                  <c:v>8.7910000000000002E-2</c:v>
                </c:pt>
                <c:pt idx="212">
                  <c:v>8.6190000000000003E-2</c:v>
                </c:pt>
                <c:pt idx="213">
                  <c:v>8.0060000000000006E-2</c:v>
                </c:pt>
                <c:pt idx="214">
                  <c:v>7.213E-2</c:v>
                </c:pt>
                <c:pt idx="215">
                  <c:v>7.0019999999999999E-2</c:v>
                </c:pt>
                <c:pt idx="216">
                  <c:v>6.9360000000000005E-2</c:v>
                </c:pt>
                <c:pt idx="217">
                  <c:v>7.8979999999999995E-2</c:v>
                </c:pt>
                <c:pt idx="218">
                  <c:v>7.3679999999999995E-2</c:v>
                </c:pt>
                <c:pt idx="219">
                  <c:v>6.8629999999999997E-2</c:v>
                </c:pt>
                <c:pt idx="220">
                  <c:v>7.2249999999999995E-2</c:v>
                </c:pt>
                <c:pt idx="221">
                  <c:v>9.5670000000000005E-2</c:v>
                </c:pt>
                <c:pt idx="222">
                  <c:v>9.3039999999999998E-2</c:v>
                </c:pt>
                <c:pt idx="223">
                  <c:v>9.6299999999999997E-2</c:v>
                </c:pt>
                <c:pt idx="224">
                  <c:v>0.10349999999999999</c:v>
                </c:pt>
                <c:pt idx="225">
                  <c:v>0.1041</c:v>
                </c:pt>
                <c:pt idx="226">
                  <c:v>0.10735</c:v>
                </c:pt>
                <c:pt idx="227">
                  <c:v>0.11047999999999999</c:v>
                </c:pt>
                <c:pt idx="228">
                  <c:v>0.10765</c:v>
                </c:pt>
                <c:pt idx="229">
                  <c:v>9.8809999999999995E-2</c:v>
                </c:pt>
                <c:pt idx="230">
                  <c:v>0.10228</c:v>
                </c:pt>
                <c:pt idx="231">
                  <c:v>0.10851</c:v>
                </c:pt>
                <c:pt idx="232">
                  <c:v>0.115</c:v>
                </c:pt>
                <c:pt idx="233">
                  <c:v>0.10809000000000001</c:v>
                </c:pt>
                <c:pt idx="234">
                  <c:v>0.11112</c:v>
                </c:pt>
                <c:pt idx="235">
                  <c:v>0.12361999999999999</c:v>
                </c:pt>
                <c:pt idx="236">
                  <c:v>0.12037</c:v>
                </c:pt>
                <c:pt idx="237">
                  <c:v>0.12623999999999999</c:v>
                </c:pt>
                <c:pt idx="238">
                  <c:v>0.13955000000000001</c:v>
                </c:pt>
                <c:pt idx="239">
                  <c:v>0.12325</c:v>
                </c:pt>
                <c:pt idx="240">
                  <c:v>0.11806999999999999</c:v>
                </c:pt>
                <c:pt idx="241">
                  <c:v>0.11584</c:v>
                </c:pt>
                <c:pt idx="242">
                  <c:v>0.10546</c:v>
                </c:pt>
                <c:pt idx="243">
                  <c:v>9.9519999999999997E-2</c:v>
                </c:pt>
                <c:pt idx="244">
                  <c:v>0.11085</c:v>
                </c:pt>
                <c:pt idx="245">
                  <c:v>0.12156</c:v>
                </c:pt>
                <c:pt idx="246">
                  <c:v>0.13353999999999999</c:v>
                </c:pt>
                <c:pt idx="247">
                  <c:v>0.10750999999999999</c:v>
                </c:pt>
                <c:pt idx="248">
                  <c:v>0.10935</c:v>
                </c:pt>
                <c:pt idx="249">
                  <c:v>8.6980000000000002E-2</c:v>
                </c:pt>
                <c:pt idx="250">
                  <c:v>0.10459</c:v>
                </c:pt>
                <c:pt idx="251">
                  <c:v>0.1138</c:v>
                </c:pt>
                <c:pt idx="252">
                  <c:v>0.14346</c:v>
                </c:pt>
                <c:pt idx="253">
                  <c:v>0.11079</c:v>
                </c:pt>
                <c:pt idx="254">
                  <c:v>0.17523</c:v>
                </c:pt>
                <c:pt idx="255">
                  <c:v>0.16911999999999999</c:v>
                </c:pt>
                <c:pt idx="256">
                  <c:v>0.18295</c:v>
                </c:pt>
                <c:pt idx="257">
                  <c:v>0.18546000000000001</c:v>
                </c:pt>
                <c:pt idx="258">
                  <c:v>0.20074</c:v>
                </c:pt>
                <c:pt idx="259">
                  <c:v>0.18542</c:v>
                </c:pt>
                <c:pt idx="260">
                  <c:v>0.18052000000000001</c:v>
                </c:pt>
                <c:pt idx="261">
                  <c:v>0.2195</c:v>
                </c:pt>
                <c:pt idx="262">
                  <c:v>0.20760999999999999</c:v>
                </c:pt>
                <c:pt idx="263">
                  <c:v>0.23505999999999999</c:v>
                </c:pt>
                <c:pt idx="264">
                  <c:v>0.23446</c:v>
                </c:pt>
                <c:pt idx="265">
                  <c:v>0.22552</c:v>
                </c:pt>
                <c:pt idx="266">
                  <c:v>0.23355000000000001</c:v>
                </c:pt>
                <c:pt idx="267">
                  <c:v>0.21168000000000001</c:v>
                </c:pt>
                <c:pt idx="268">
                  <c:v>0.19300999999999999</c:v>
                </c:pt>
                <c:pt idx="269">
                  <c:v>0.21163000000000001</c:v>
                </c:pt>
                <c:pt idx="270">
                  <c:v>0.20441999999999999</c:v>
                </c:pt>
                <c:pt idx="271">
                  <c:v>0.21024999999999999</c:v>
                </c:pt>
                <c:pt idx="272">
                  <c:v>0.20508000000000001</c:v>
                </c:pt>
                <c:pt idx="273">
                  <c:v>0.19186</c:v>
                </c:pt>
                <c:pt idx="274">
                  <c:v>0.19855999999999999</c:v>
                </c:pt>
                <c:pt idx="275">
                  <c:v>0.2127</c:v>
                </c:pt>
                <c:pt idx="276">
                  <c:v>0.16438</c:v>
                </c:pt>
                <c:pt idx="277">
                  <c:v>0.14111000000000001</c:v>
                </c:pt>
                <c:pt idx="278">
                  <c:v>0.14354</c:v>
                </c:pt>
                <c:pt idx="279">
                  <c:v>0.15917999999999999</c:v>
                </c:pt>
                <c:pt idx="280">
                  <c:v>0.16199</c:v>
                </c:pt>
                <c:pt idx="281">
                  <c:v>0.1757</c:v>
                </c:pt>
                <c:pt idx="282">
                  <c:v>0.19255</c:v>
                </c:pt>
                <c:pt idx="283">
                  <c:v>0.1812</c:v>
                </c:pt>
                <c:pt idx="284">
                  <c:v>0.20169000000000001</c:v>
                </c:pt>
                <c:pt idx="285">
                  <c:v>0.22020000000000001</c:v>
                </c:pt>
                <c:pt idx="286">
                  <c:v>0.23657</c:v>
                </c:pt>
                <c:pt idx="287">
                  <c:v>0.21575</c:v>
                </c:pt>
                <c:pt idx="288">
                  <c:v>0.20019999999999999</c:v>
                </c:pt>
                <c:pt idx="289">
                  <c:v>0.20277999999999999</c:v>
                </c:pt>
                <c:pt idx="290">
                  <c:v>0.19650999999999999</c:v>
                </c:pt>
                <c:pt idx="291">
                  <c:v>0.20444999999999999</c:v>
                </c:pt>
                <c:pt idx="292">
                  <c:v>0.20802000000000001</c:v>
                </c:pt>
                <c:pt idx="293">
                  <c:v>0.21908</c:v>
                </c:pt>
                <c:pt idx="294">
                  <c:v>0.20627999999999999</c:v>
                </c:pt>
                <c:pt idx="295">
                  <c:v>0.19095999999999999</c:v>
                </c:pt>
                <c:pt idx="296">
                  <c:v>0.20502999999999999</c:v>
                </c:pt>
                <c:pt idx="297">
                  <c:v>0.21171000000000001</c:v>
                </c:pt>
                <c:pt idx="298">
                  <c:v>0.22159000000000001</c:v>
                </c:pt>
                <c:pt idx="299">
                  <c:v>0.18160000000000001</c:v>
                </c:pt>
                <c:pt idx="300">
                  <c:v>0.20230999999999999</c:v>
                </c:pt>
                <c:pt idx="301">
                  <c:v>0.17746000000000001</c:v>
                </c:pt>
                <c:pt idx="302">
                  <c:v>0.17646000000000001</c:v>
                </c:pt>
                <c:pt idx="303">
                  <c:v>0.18328</c:v>
                </c:pt>
                <c:pt idx="304">
                  <c:v>0.17802000000000001</c:v>
                </c:pt>
                <c:pt idx="305">
                  <c:v>0.17151</c:v>
                </c:pt>
                <c:pt idx="306">
                  <c:v>0.16685</c:v>
                </c:pt>
                <c:pt idx="307">
                  <c:v>0.16728999999999999</c:v>
                </c:pt>
                <c:pt idx="308">
                  <c:v>0.15387999999999999</c:v>
                </c:pt>
                <c:pt idx="309">
                  <c:v>0.15667</c:v>
                </c:pt>
                <c:pt idx="310">
                  <c:v>0.16633999999999999</c:v>
                </c:pt>
                <c:pt idx="311">
                  <c:v>0.16178999999999999</c:v>
                </c:pt>
                <c:pt idx="312">
                  <c:v>0.17484</c:v>
                </c:pt>
                <c:pt idx="313">
                  <c:v>0.17079</c:v>
                </c:pt>
                <c:pt idx="314">
                  <c:v>0.18396999999999999</c:v>
                </c:pt>
                <c:pt idx="315">
                  <c:v>0.17904999999999999</c:v>
                </c:pt>
                <c:pt idx="316">
                  <c:v>0.19681000000000001</c:v>
                </c:pt>
                <c:pt idx="317">
                  <c:v>0.15504999999999999</c:v>
                </c:pt>
                <c:pt idx="318">
                  <c:v>0.16109000000000001</c:v>
                </c:pt>
                <c:pt idx="319">
                  <c:v>0.16414999999999999</c:v>
                </c:pt>
                <c:pt idx="320">
                  <c:v>0.18251999999999999</c:v>
                </c:pt>
                <c:pt idx="321">
                  <c:v>0.16339000000000001</c:v>
                </c:pt>
                <c:pt idx="322">
                  <c:v>0.17701</c:v>
                </c:pt>
                <c:pt idx="323">
                  <c:v>0.12759000000000001</c:v>
                </c:pt>
                <c:pt idx="324">
                  <c:v>0.13457</c:v>
                </c:pt>
                <c:pt idx="325">
                  <c:v>0.12544</c:v>
                </c:pt>
                <c:pt idx="326">
                  <c:v>0.11801</c:v>
                </c:pt>
                <c:pt idx="327">
                  <c:v>0.11595999999999999</c:v>
                </c:pt>
                <c:pt idx="328">
                  <c:v>0.11579</c:v>
                </c:pt>
                <c:pt idx="329">
                  <c:v>0.11836000000000001</c:v>
                </c:pt>
                <c:pt idx="330">
                  <c:v>0.12631999999999999</c:v>
                </c:pt>
                <c:pt idx="331">
                  <c:v>0.11405999999999999</c:v>
                </c:pt>
                <c:pt idx="332">
                  <c:v>0.11600000000000001</c:v>
                </c:pt>
                <c:pt idx="333">
                  <c:v>0.10752</c:v>
                </c:pt>
                <c:pt idx="334">
                  <c:v>0.11577</c:v>
                </c:pt>
                <c:pt idx="335">
                  <c:v>0.10944</c:v>
                </c:pt>
                <c:pt idx="336">
                  <c:v>0.109</c:v>
                </c:pt>
                <c:pt idx="337">
                  <c:v>0.1119</c:v>
                </c:pt>
                <c:pt idx="338">
                  <c:v>0.10557</c:v>
                </c:pt>
                <c:pt idx="339">
                  <c:v>0.12314</c:v>
                </c:pt>
                <c:pt idx="340">
                  <c:v>0.13736999999999999</c:v>
                </c:pt>
                <c:pt idx="341">
                  <c:v>0.13506000000000001</c:v>
                </c:pt>
                <c:pt idx="342">
                  <c:v>0.14921999999999999</c:v>
                </c:pt>
                <c:pt idx="343">
                  <c:v>0.13907</c:v>
                </c:pt>
                <c:pt idx="344">
                  <c:v>0.13733999999999999</c:v>
                </c:pt>
                <c:pt idx="345">
                  <c:v>0.13183</c:v>
                </c:pt>
                <c:pt idx="346">
                  <c:v>0.13161</c:v>
                </c:pt>
                <c:pt idx="347">
                  <c:v>0.13325000000000001</c:v>
                </c:pt>
                <c:pt idx="348">
                  <c:v>0.14754999999999999</c:v>
                </c:pt>
                <c:pt idx="349">
                  <c:v>0.11798</c:v>
                </c:pt>
                <c:pt idx="350">
                  <c:v>0.11555</c:v>
                </c:pt>
                <c:pt idx="351">
                  <c:v>0.10409</c:v>
                </c:pt>
                <c:pt idx="352">
                  <c:v>0.10507</c:v>
                </c:pt>
                <c:pt idx="353">
                  <c:v>7.9719999999999999E-2</c:v>
                </c:pt>
                <c:pt idx="354">
                  <c:v>7.5980000000000006E-2</c:v>
                </c:pt>
                <c:pt idx="355">
                  <c:v>7.8619999999999995E-2</c:v>
                </c:pt>
                <c:pt idx="356">
                  <c:v>8.2559999999999995E-2</c:v>
                </c:pt>
                <c:pt idx="357">
                  <c:v>7.6329999999999995E-2</c:v>
                </c:pt>
                <c:pt idx="358">
                  <c:v>7.9509999999999997E-2</c:v>
                </c:pt>
                <c:pt idx="359">
                  <c:v>7.7609999999999998E-2</c:v>
                </c:pt>
                <c:pt idx="360">
                  <c:v>7.5039999999999996E-2</c:v>
                </c:pt>
                <c:pt idx="361">
                  <c:v>6.9180000000000005E-2</c:v>
                </c:pt>
                <c:pt idx="362">
                  <c:v>7.306E-2</c:v>
                </c:pt>
                <c:pt idx="363">
                  <c:v>6.7169999999999994E-2</c:v>
                </c:pt>
                <c:pt idx="364">
                  <c:v>6.54E-2</c:v>
                </c:pt>
                <c:pt idx="365">
                  <c:v>6.2059999999999997E-2</c:v>
                </c:pt>
                <c:pt idx="366">
                  <c:v>6.7849999999999994E-2</c:v>
                </c:pt>
                <c:pt idx="367">
                  <c:v>6.6729999999999998E-2</c:v>
                </c:pt>
                <c:pt idx="368">
                  <c:v>6.9070000000000006E-2</c:v>
                </c:pt>
                <c:pt idx="369">
                  <c:v>6.7809999999999995E-2</c:v>
                </c:pt>
                <c:pt idx="370">
                  <c:v>6.7570000000000005E-2</c:v>
                </c:pt>
                <c:pt idx="371">
                  <c:v>6.2140000000000001E-2</c:v>
                </c:pt>
                <c:pt idx="372">
                  <c:v>7.4130000000000001E-2</c:v>
                </c:pt>
                <c:pt idx="373">
                  <c:v>7.3580000000000007E-2</c:v>
                </c:pt>
                <c:pt idx="374">
                  <c:v>7.8899999999999998E-2</c:v>
                </c:pt>
                <c:pt idx="375">
                  <c:v>7.3410000000000003E-2</c:v>
                </c:pt>
                <c:pt idx="376">
                  <c:v>7.349E-2</c:v>
                </c:pt>
                <c:pt idx="377">
                  <c:v>6.6220000000000001E-2</c:v>
                </c:pt>
                <c:pt idx="378">
                  <c:v>6.9059999999999996E-2</c:v>
                </c:pt>
                <c:pt idx="379">
                  <c:v>7.0349999999999996E-2</c:v>
                </c:pt>
                <c:pt idx="380">
                  <c:v>6.1969999999999997E-2</c:v>
                </c:pt>
                <c:pt idx="381">
                  <c:v>6.4810000000000006E-2</c:v>
                </c:pt>
                <c:pt idx="382">
                  <c:v>7.2849999999999998E-2</c:v>
                </c:pt>
                <c:pt idx="383">
                  <c:v>7.5870000000000007E-2</c:v>
                </c:pt>
                <c:pt idx="384">
                  <c:v>7.3370000000000005E-2</c:v>
                </c:pt>
                <c:pt idx="385">
                  <c:v>7.5810000000000002E-2</c:v>
                </c:pt>
                <c:pt idx="386">
                  <c:v>7.7719999999999997E-2</c:v>
                </c:pt>
                <c:pt idx="387">
                  <c:v>7.0230000000000001E-2</c:v>
                </c:pt>
                <c:pt idx="388">
                  <c:v>6.9980000000000001E-2</c:v>
                </c:pt>
                <c:pt idx="389">
                  <c:v>6.7629999999999996E-2</c:v>
                </c:pt>
                <c:pt idx="390">
                  <c:v>7.2190000000000004E-2</c:v>
                </c:pt>
                <c:pt idx="391">
                  <c:v>7.8869999999999996E-2</c:v>
                </c:pt>
                <c:pt idx="392">
                  <c:v>8.2570000000000005E-2</c:v>
                </c:pt>
                <c:pt idx="393">
                  <c:v>7.7340000000000006E-2</c:v>
                </c:pt>
                <c:pt idx="394">
                  <c:v>8.4309999999999996E-2</c:v>
                </c:pt>
                <c:pt idx="395">
                  <c:v>8.9300000000000004E-2</c:v>
                </c:pt>
                <c:pt idx="396">
                  <c:v>7.6369999999999993E-2</c:v>
                </c:pt>
                <c:pt idx="397">
                  <c:v>8.6599999999999996E-2</c:v>
                </c:pt>
                <c:pt idx="398">
                  <c:v>6.3270000000000007E-2</c:v>
                </c:pt>
                <c:pt idx="399">
                  <c:v>5.9380000000000002E-2</c:v>
                </c:pt>
                <c:pt idx="400">
                  <c:v>5.7270000000000001E-2</c:v>
                </c:pt>
                <c:pt idx="401">
                  <c:v>5.1380000000000002E-2</c:v>
                </c:pt>
                <c:pt idx="402">
                  <c:v>4.9399999999999999E-2</c:v>
                </c:pt>
                <c:pt idx="403">
                  <c:v>4.6269999999999999E-2</c:v>
                </c:pt>
                <c:pt idx="404">
                  <c:v>5.0090000000000003E-2</c:v>
                </c:pt>
                <c:pt idx="405">
                  <c:v>4.3799999999999999E-2</c:v>
                </c:pt>
                <c:pt idx="406">
                  <c:v>3.7900000000000003E-2</c:v>
                </c:pt>
                <c:pt idx="407">
                  <c:v>3.9210000000000002E-2</c:v>
                </c:pt>
                <c:pt idx="408">
                  <c:v>3.5029999999999999E-2</c:v>
                </c:pt>
                <c:pt idx="409">
                  <c:v>3.2960000000000003E-2</c:v>
                </c:pt>
                <c:pt idx="410">
                  <c:v>3.2779999999999997E-2</c:v>
                </c:pt>
                <c:pt idx="411">
                  <c:v>3.2669999999999998E-2</c:v>
                </c:pt>
                <c:pt idx="412">
                  <c:v>2.955E-2</c:v>
                </c:pt>
                <c:pt idx="413">
                  <c:v>3.2649999999999998E-2</c:v>
                </c:pt>
                <c:pt idx="414">
                  <c:v>3.1050000000000001E-2</c:v>
                </c:pt>
                <c:pt idx="415">
                  <c:v>3.1350000000000003E-2</c:v>
                </c:pt>
                <c:pt idx="416">
                  <c:v>3.5549999999999998E-2</c:v>
                </c:pt>
                <c:pt idx="417">
                  <c:v>3.5380000000000002E-2</c:v>
                </c:pt>
                <c:pt idx="418">
                  <c:v>3.4020000000000002E-2</c:v>
                </c:pt>
                <c:pt idx="419">
                  <c:v>2.954E-2</c:v>
                </c:pt>
                <c:pt idx="420">
                  <c:v>3.3599999999999998E-2</c:v>
                </c:pt>
                <c:pt idx="421">
                  <c:v>3.1140000000000001E-2</c:v>
                </c:pt>
                <c:pt idx="422">
                  <c:v>2.7959999999999999E-2</c:v>
                </c:pt>
                <c:pt idx="423">
                  <c:v>2.9329999999999998E-2</c:v>
                </c:pt>
                <c:pt idx="424">
                  <c:v>2.928E-2</c:v>
                </c:pt>
                <c:pt idx="425">
                  <c:v>2.673E-2</c:v>
                </c:pt>
                <c:pt idx="426">
                  <c:v>2.4649999999999998E-2</c:v>
                </c:pt>
                <c:pt idx="427">
                  <c:v>2.5819999999999999E-2</c:v>
                </c:pt>
                <c:pt idx="428">
                  <c:v>2.879E-2</c:v>
                </c:pt>
                <c:pt idx="429">
                  <c:v>2.5350000000000001E-2</c:v>
                </c:pt>
                <c:pt idx="430">
                  <c:v>2.4420000000000001E-2</c:v>
                </c:pt>
                <c:pt idx="431">
                  <c:v>2.2599999999999999E-2</c:v>
                </c:pt>
                <c:pt idx="432">
                  <c:v>2.3709999999999998E-2</c:v>
                </c:pt>
                <c:pt idx="433">
                  <c:v>2.249E-2</c:v>
                </c:pt>
                <c:pt idx="434">
                  <c:v>2.1090000000000001E-2</c:v>
                </c:pt>
                <c:pt idx="435">
                  <c:v>2.1760000000000002E-2</c:v>
                </c:pt>
                <c:pt idx="436">
                  <c:v>2.2870000000000001E-2</c:v>
                </c:pt>
                <c:pt idx="437">
                  <c:v>2.1940000000000001E-2</c:v>
                </c:pt>
                <c:pt idx="438">
                  <c:v>1.9939999999999999E-2</c:v>
                </c:pt>
                <c:pt idx="439">
                  <c:v>2.0140000000000002E-2</c:v>
                </c:pt>
                <c:pt idx="440">
                  <c:v>2.027E-2</c:v>
                </c:pt>
                <c:pt idx="441">
                  <c:v>1.9230000000000001E-2</c:v>
                </c:pt>
                <c:pt idx="442">
                  <c:v>2.0209999999999999E-2</c:v>
                </c:pt>
                <c:pt idx="443">
                  <c:v>2.0230000000000001E-2</c:v>
                </c:pt>
                <c:pt idx="444">
                  <c:v>1.9390000000000001E-2</c:v>
                </c:pt>
                <c:pt idx="445">
                  <c:v>1.9300000000000001E-2</c:v>
                </c:pt>
                <c:pt idx="446">
                  <c:v>1.8519999999999998E-2</c:v>
                </c:pt>
                <c:pt idx="447">
                  <c:v>2.053E-2</c:v>
                </c:pt>
                <c:pt idx="448">
                  <c:v>1.8859999999999998E-2</c:v>
                </c:pt>
                <c:pt idx="449">
                  <c:v>1.753E-2</c:v>
                </c:pt>
                <c:pt idx="450">
                  <c:v>1.745E-2</c:v>
                </c:pt>
                <c:pt idx="451">
                  <c:v>1.719E-2</c:v>
                </c:pt>
                <c:pt idx="452">
                  <c:v>1.7940000000000001E-2</c:v>
                </c:pt>
                <c:pt idx="453">
                  <c:v>1.7729999999999999E-2</c:v>
                </c:pt>
                <c:pt idx="454">
                  <c:v>1.7489999999999999E-2</c:v>
                </c:pt>
                <c:pt idx="455">
                  <c:v>1.7569999999999999E-2</c:v>
                </c:pt>
                <c:pt idx="456">
                  <c:v>1.7739999999999999E-2</c:v>
                </c:pt>
                <c:pt idx="457">
                  <c:v>1.8599999999999998E-2</c:v>
                </c:pt>
                <c:pt idx="458">
                  <c:v>1.8350000000000002E-2</c:v>
                </c:pt>
                <c:pt idx="459">
                  <c:v>1.8950000000000002E-2</c:v>
                </c:pt>
                <c:pt idx="460">
                  <c:v>1.9439999999999999E-2</c:v>
                </c:pt>
                <c:pt idx="461">
                  <c:v>1.9730000000000001E-2</c:v>
                </c:pt>
                <c:pt idx="462">
                  <c:v>1.95E-2</c:v>
                </c:pt>
                <c:pt idx="463">
                  <c:v>1.8540000000000001E-2</c:v>
                </c:pt>
                <c:pt idx="464">
                  <c:v>1.83E-2</c:v>
                </c:pt>
                <c:pt idx="465">
                  <c:v>1.9789999999999999E-2</c:v>
                </c:pt>
                <c:pt idx="466">
                  <c:v>1.84E-2</c:v>
                </c:pt>
                <c:pt idx="467">
                  <c:v>1.8120000000000001E-2</c:v>
                </c:pt>
                <c:pt idx="468">
                  <c:v>1.8030000000000001E-2</c:v>
                </c:pt>
                <c:pt idx="469">
                  <c:v>1.865E-2</c:v>
                </c:pt>
                <c:pt idx="470">
                  <c:v>1.9E-2</c:v>
                </c:pt>
                <c:pt idx="471">
                  <c:v>0.02</c:v>
                </c:pt>
                <c:pt idx="472">
                  <c:v>2.026E-2</c:v>
                </c:pt>
                <c:pt idx="473">
                  <c:v>2.0559999999999998E-2</c:v>
                </c:pt>
                <c:pt idx="474">
                  <c:v>1.9720000000000001E-2</c:v>
                </c:pt>
                <c:pt idx="475">
                  <c:v>2.0160000000000001E-2</c:v>
                </c:pt>
                <c:pt idx="476">
                  <c:v>1.9210000000000001E-2</c:v>
                </c:pt>
                <c:pt idx="477">
                  <c:v>1.8870000000000001E-2</c:v>
                </c:pt>
                <c:pt idx="478">
                  <c:v>1.8180000000000002E-2</c:v>
                </c:pt>
                <c:pt idx="479">
                  <c:v>2.07E-2</c:v>
                </c:pt>
                <c:pt idx="480">
                  <c:v>2.129E-2</c:v>
                </c:pt>
                <c:pt idx="481">
                  <c:v>1.857E-2</c:v>
                </c:pt>
                <c:pt idx="482">
                  <c:v>1.8020000000000001E-2</c:v>
                </c:pt>
                <c:pt idx="483">
                  <c:v>1.9449999999999999E-2</c:v>
                </c:pt>
                <c:pt idx="484">
                  <c:v>1.9550000000000001E-2</c:v>
                </c:pt>
                <c:pt idx="485">
                  <c:v>1.7469999999999999E-2</c:v>
                </c:pt>
                <c:pt idx="486">
                  <c:v>1.511E-2</c:v>
                </c:pt>
                <c:pt idx="487">
                  <c:v>1.5480000000000001E-2</c:v>
                </c:pt>
                <c:pt idx="488">
                  <c:v>1.6330000000000001E-2</c:v>
                </c:pt>
                <c:pt idx="489">
                  <c:v>1.592E-2</c:v>
                </c:pt>
                <c:pt idx="490">
                  <c:v>1.46E-2</c:v>
                </c:pt>
                <c:pt idx="491">
                  <c:v>1.389E-2</c:v>
                </c:pt>
                <c:pt idx="492">
                  <c:v>1.4149999999999999E-2</c:v>
                </c:pt>
                <c:pt idx="493">
                  <c:v>1.38E-2</c:v>
                </c:pt>
                <c:pt idx="494">
                  <c:v>1.5720000000000001E-2</c:v>
                </c:pt>
                <c:pt idx="495">
                  <c:v>1.686E-2</c:v>
                </c:pt>
                <c:pt idx="496">
                  <c:v>1.7059999999999999E-2</c:v>
                </c:pt>
                <c:pt idx="497">
                  <c:v>1.6639999999999999E-2</c:v>
                </c:pt>
                <c:pt idx="498">
                  <c:v>1.6889999999999999E-2</c:v>
                </c:pt>
                <c:pt idx="499">
                  <c:v>1.5640000000000001E-2</c:v>
                </c:pt>
                <c:pt idx="500">
                  <c:v>1.6760000000000001E-2</c:v>
                </c:pt>
                <c:pt idx="501">
                  <c:v>1.668E-2</c:v>
                </c:pt>
                <c:pt idx="502">
                  <c:v>1.7780000000000001E-2</c:v>
                </c:pt>
                <c:pt idx="503">
                  <c:v>1.7239999999999998E-2</c:v>
                </c:pt>
                <c:pt idx="504">
                  <c:v>1.7270000000000001E-2</c:v>
                </c:pt>
                <c:pt idx="505">
                  <c:v>1.6469999999999999E-2</c:v>
                </c:pt>
                <c:pt idx="506">
                  <c:v>1.555E-2</c:v>
                </c:pt>
                <c:pt idx="507">
                  <c:v>1.532E-2</c:v>
                </c:pt>
                <c:pt idx="508">
                  <c:v>1.528E-2</c:v>
                </c:pt>
                <c:pt idx="509">
                  <c:v>1.494E-2</c:v>
                </c:pt>
                <c:pt idx="510">
                  <c:v>1.6590000000000001E-2</c:v>
                </c:pt>
                <c:pt idx="511">
                  <c:v>1.5869999999999999E-2</c:v>
                </c:pt>
                <c:pt idx="512">
                  <c:v>2.0369999999999999E-2</c:v>
                </c:pt>
                <c:pt idx="513">
                  <c:v>2.1899999999999999E-2</c:v>
                </c:pt>
                <c:pt idx="514">
                  <c:v>2.2409999999999999E-2</c:v>
                </c:pt>
                <c:pt idx="515">
                  <c:v>2.3269999999999999E-2</c:v>
                </c:pt>
                <c:pt idx="516">
                  <c:v>2.0930000000000001E-2</c:v>
                </c:pt>
                <c:pt idx="517">
                  <c:v>2.0959999999999999E-2</c:v>
                </c:pt>
                <c:pt idx="518">
                  <c:v>2.0289999999999999E-2</c:v>
                </c:pt>
                <c:pt idx="519">
                  <c:v>2.239E-2</c:v>
                </c:pt>
                <c:pt idx="520">
                  <c:v>2.1350000000000001E-2</c:v>
                </c:pt>
                <c:pt idx="521">
                  <c:v>2.3720000000000001E-2</c:v>
                </c:pt>
                <c:pt idx="522">
                  <c:v>2.1440000000000001E-2</c:v>
                </c:pt>
                <c:pt idx="523">
                  <c:v>2.189E-2</c:v>
                </c:pt>
                <c:pt idx="524">
                  <c:v>2.1180000000000001E-2</c:v>
                </c:pt>
                <c:pt idx="525">
                  <c:v>2.2759999999999999E-2</c:v>
                </c:pt>
                <c:pt idx="526">
                  <c:v>2.1850000000000001E-2</c:v>
                </c:pt>
                <c:pt idx="527">
                  <c:v>2.315E-2</c:v>
                </c:pt>
                <c:pt idx="528">
                  <c:v>2.52E-2</c:v>
                </c:pt>
                <c:pt idx="529">
                  <c:v>2.632E-2</c:v>
                </c:pt>
                <c:pt idx="530">
                  <c:v>2.47E-2</c:v>
                </c:pt>
                <c:pt idx="531">
                  <c:v>2.5049999999999999E-2</c:v>
                </c:pt>
                <c:pt idx="532">
                  <c:v>2.546E-2</c:v>
                </c:pt>
                <c:pt idx="533">
                  <c:v>2.554E-2</c:v>
                </c:pt>
                <c:pt idx="534">
                  <c:v>2.606E-2</c:v>
                </c:pt>
                <c:pt idx="535">
                  <c:v>2.4969999999999999E-2</c:v>
                </c:pt>
                <c:pt idx="536">
                  <c:v>2.5149999999999999E-2</c:v>
                </c:pt>
                <c:pt idx="537">
                  <c:v>2.6079999999999999E-2</c:v>
                </c:pt>
                <c:pt idx="538">
                  <c:v>2.1829999999999999E-2</c:v>
                </c:pt>
                <c:pt idx="539">
                  <c:v>2.0109999999999999E-2</c:v>
                </c:pt>
                <c:pt idx="540">
                  <c:v>1.958E-2</c:v>
                </c:pt>
                <c:pt idx="541">
                  <c:v>1.8419999999999999E-2</c:v>
                </c:pt>
                <c:pt idx="542">
                  <c:v>1.754E-2</c:v>
                </c:pt>
                <c:pt idx="543">
                  <c:v>1.7819999999999999E-2</c:v>
                </c:pt>
                <c:pt idx="544">
                  <c:v>1.8669999999999999E-2</c:v>
                </c:pt>
                <c:pt idx="545">
                  <c:v>1.7989999999999999E-2</c:v>
                </c:pt>
                <c:pt idx="546">
                  <c:v>1.8190000000000001E-2</c:v>
                </c:pt>
                <c:pt idx="547">
                  <c:v>1.7670000000000002E-2</c:v>
                </c:pt>
                <c:pt idx="548">
                  <c:v>1.7999999999999999E-2</c:v>
                </c:pt>
                <c:pt idx="549">
                  <c:v>1.6920000000000001E-2</c:v>
                </c:pt>
                <c:pt idx="550">
                  <c:v>1.7979999999999999E-2</c:v>
                </c:pt>
                <c:pt idx="551">
                  <c:v>1.8579999999999999E-2</c:v>
                </c:pt>
                <c:pt idx="552">
                  <c:v>1.8429999999999998E-2</c:v>
                </c:pt>
                <c:pt idx="553">
                  <c:v>1.9650000000000001E-2</c:v>
                </c:pt>
                <c:pt idx="554">
                  <c:v>1.882E-2</c:v>
                </c:pt>
                <c:pt idx="555">
                  <c:v>1.7989999999999999E-2</c:v>
                </c:pt>
                <c:pt idx="556">
                  <c:v>1.7250000000000001E-2</c:v>
                </c:pt>
                <c:pt idx="557">
                  <c:v>1.7899999999999999E-2</c:v>
                </c:pt>
                <c:pt idx="558">
                  <c:v>1.7899999999999999E-2</c:v>
                </c:pt>
                <c:pt idx="559">
                  <c:v>1.8100000000000002E-2</c:v>
                </c:pt>
                <c:pt idx="560">
                  <c:v>1.7999999999999999E-2</c:v>
                </c:pt>
                <c:pt idx="561">
                  <c:v>1.9120000000000002E-2</c:v>
                </c:pt>
                <c:pt idx="562">
                  <c:v>1.9779999999999999E-2</c:v>
                </c:pt>
                <c:pt idx="563">
                  <c:v>2.0029999999999999E-2</c:v>
                </c:pt>
                <c:pt idx="564">
                  <c:v>1.9449999999999999E-2</c:v>
                </c:pt>
                <c:pt idx="565">
                  <c:v>2.001E-2</c:v>
                </c:pt>
                <c:pt idx="566">
                  <c:v>1.967E-2</c:v>
                </c:pt>
                <c:pt idx="567">
                  <c:v>1.9800000000000002E-2</c:v>
                </c:pt>
                <c:pt idx="568">
                  <c:v>2.0879999999999999E-2</c:v>
                </c:pt>
                <c:pt idx="569">
                  <c:v>2.0420000000000001E-2</c:v>
                </c:pt>
                <c:pt idx="570">
                  <c:v>1.9019999999999999E-2</c:v>
                </c:pt>
                <c:pt idx="571">
                  <c:v>1.8689999999999998E-2</c:v>
                </c:pt>
                <c:pt idx="572">
                  <c:v>1.917E-2</c:v>
                </c:pt>
                <c:pt idx="573">
                  <c:v>1.703E-2</c:v>
                </c:pt>
                <c:pt idx="574">
                  <c:v>1.7309999999999999E-2</c:v>
                </c:pt>
                <c:pt idx="575">
                  <c:v>1.7430000000000001E-2</c:v>
                </c:pt>
                <c:pt idx="576">
                  <c:v>1.7399999999999999E-2</c:v>
                </c:pt>
                <c:pt idx="577">
                  <c:v>1.8030000000000001E-2</c:v>
                </c:pt>
                <c:pt idx="578">
                  <c:v>1.7909999999999999E-2</c:v>
                </c:pt>
                <c:pt idx="579">
                  <c:v>1.585E-2</c:v>
                </c:pt>
                <c:pt idx="580">
                  <c:v>1.7840000000000002E-2</c:v>
                </c:pt>
                <c:pt idx="581">
                  <c:v>1.883E-2</c:v>
                </c:pt>
                <c:pt idx="582">
                  <c:v>1.9529999999999999E-2</c:v>
                </c:pt>
                <c:pt idx="583">
                  <c:v>1.9460000000000002E-2</c:v>
                </c:pt>
                <c:pt idx="584">
                  <c:v>2.0049999999999998E-2</c:v>
                </c:pt>
                <c:pt idx="585">
                  <c:v>1.9869999999999999E-2</c:v>
                </c:pt>
                <c:pt idx="586">
                  <c:v>1.917E-2</c:v>
                </c:pt>
                <c:pt idx="587">
                  <c:v>1.8749999999999999E-2</c:v>
                </c:pt>
                <c:pt idx="588">
                  <c:v>2.0820000000000002E-2</c:v>
                </c:pt>
                <c:pt idx="589">
                  <c:v>2.3300000000000001E-2</c:v>
                </c:pt>
                <c:pt idx="590">
                  <c:v>2.5149999999999999E-2</c:v>
                </c:pt>
                <c:pt idx="591">
                  <c:v>2.513E-2</c:v>
                </c:pt>
                <c:pt idx="592">
                  <c:v>2.291E-2</c:v>
                </c:pt>
                <c:pt idx="593">
                  <c:v>2.273E-2</c:v>
                </c:pt>
                <c:pt idx="594">
                  <c:v>2.5940000000000001E-2</c:v>
                </c:pt>
                <c:pt idx="595">
                  <c:v>2.4969999999999999E-2</c:v>
                </c:pt>
                <c:pt idx="596">
                  <c:v>2.7300000000000001E-2</c:v>
                </c:pt>
                <c:pt idx="597">
                  <c:v>2.443E-2</c:v>
                </c:pt>
                <c:pt idx="598">
                  <c:v>2.1319999999999999E-2</c:v>
                </c:pt>
                <c:pt idx="599">
                  <c:v>2.231E-2</c:v>
                </c:pt>
                <c:pt idx="600">
                  <c:v>2.121E-2</c:v>
                </c:pt>
                <c:pt idx="601">
                  <c:v>1.7989999999999999E-2</c:v>
                </c:pt>
                <c:pt idx="602">
                  <c:v>1.6410000000000001E-2</c:v>
                </c:pt>
                <c:pt idx="603">
                  <c:v>1.804E-2</c:v>
                </c:pt>
                <c:pt idx="604">
                  <c:v>1.8239999999999999E-2</c:v>
                </c:pt>
                <c:pt idx="605">
                  <c:v>1.626E-2</c:v>
                </c:pt>
                <c:pt idx="606">
                  <c:v>1.4749999999999999E-2</c:v>
                </c:pt>
                <c:pt idx="607">
                  <c:v>1.3390000000000001E-2</c:v>
                </c:pt>
                <c:pt idx="608">
                  <c:v>1.248E-2</c:v>
                </c:pt>
                <c:pt idx="609">
                  <c:v>1.2370000000000001E-2</c:v>
                </c:pt>
                <c:pt idx="610">
                  <c:v>1.2279999999999999E-2</c:v>
                </c:pt>
                <c:pt idx="611">
                  <c:v>1.2370000000000001E-2</c:v>
                </c:pt>
                <c:pt idx="612">
                  <c:v>1.2460000000000001E-2</c:v>
                </c:pt>
                <c:pt idx="613">
                  <c:v>9.8499999999999994E-3</c:v>
                </c:pt>
                <c:pt idx="614">
                  <c:v>9.8499999999999994E-3</c:v>
                </c:pt>
                <c:pt idx="615">
                  <c:v>1.0030000000000001E-2</c:v>
                </c:pt>
                <c:pt idx="616">
                  <c:v>9.75E-3</c:v>
                </c:pt>
                <c:pt idx="617">
                  <c:v>9.6200000000000001E-3</c:v>
                </c:pt>
                <c:pt idx="618">
                  <c:v>9.7900000000000001E-3</c:v>
                </c:pt>
                <c:pt idx="619">
                  <c:v>9.9699999999999997E-3</c:v>
                </c:pt>
                <c:pt idx="620">
                  <c:v>1.0580000000000001E-2</c:v>
                </c:pt>
                <c:pt idx="621">
                  <c:v>1.089E-2</c:v>
                </c:pt>
                <c:pt idx="622">
                  <c:v>1.004E-2</c:v>
                </c:pt>
                <c:pt idx="623">
                  <c:v>1.0460000000000001E-2</c:v>
                </c:pt>
                <c:pt idx="624">
                  <c:v>9.4199999999999996E-3</c:v>
                </c:pt>
                <c:pt idx="625">
                  <c:v>7.62E-3</c:v>
                </c:pt>
                <c:pt idx="626">
                  <c:v>7.0099999999999997E-3</c:v>
                </c:pt>
                <c:pt idx="627">
                  <c:v>6.8799999999999998E-3</c:v>
                </c:pt>
                <c:pt idx="628">
                  <c:v>7.1700000000000002E-3</c:v>
                </c:pt>
                <c:pt idx="629">
                  <c:v>7.0200000000000002E-3</c:v>
                </c:pt>
                <c:pt idx="630">
                  <c:v>7.0899999999999999E-3</c:v>
                </c:pt>
                <c:pt idx="631">
                  <c:v>7.0600000000000003E-3</c:v>
                </c:pt>
                <c:pt idx="632">
                  <c:v>8.26E-3</c:v>
                </c:pt>
                <c:pt idx="633">
                  <c:v>7.1000000000000004E-3</c:v>
                </c:pt>
                <c:pt idx="634">
                  <c:v>6.0600000000000003E-3</c:v>
                </c:pt>
                <c:pt idx="635">
                  <c:v>6.2100000000000002E-3</c:v>
                </c:pt>
                <c:pt idx="636">
                  <c:v>5.9500000000000004E-3</c:v>
                </c:pt>
                <c:pt idx="637">
                  <c:v>5.5300000000000002E-3</c:v>
                </c:pt>
                <c:pt idx="638">
                  <c:v>5.3699999999999998E-3</c:v>
                </c:pt>
                <c:pt idx="639">
                  <c:v>4.9800000000000001E-3</c:v>
                </c:pt>
                <c:pt idx="640">
                  <c:v>5.0299999999999997E-3</c:v>
                </c:pt>
                <c:pt idx="641">
                  <c:v>5.0699999999999999E-3</c:v>
                </c:pt>
                <c:pt idx="642">
                  <c:v>4.79E-3</c:v>
                </c:pt>
                <c:pt idx="643">
                  <c:v>4.6499999999999996E-3</c:v>
                </c:pt>
                <c:pt idx="644">
                  <c:v>4.3299999999999996E-3</c:v>
                </c:pt>
                <c:pt idx="645">
                  <c:v>4.2199999999999998E-3</c:v>
                </c:pt>
                <c:pt idx="646">
                  <c:v>4.1200000000000004E-3</c:v>
                </c:pt>
                <c:pt idx="647">
                  <c:v>4.0299999999999997E-3</c:v>
                </c:pt>
                <c:pt idx="648">
                  <c:v>4.2399999999999998E-3</c:v>
                </c:pt>
                <c:pt idx="649">
                  <c:v>4.4099999999999999E-3</c:v>
                </c:pt>
                <c:pt idx="650">
                  <c:v>4.1999999999999997E-3</c:v>
                </c:pt>
                <c:pt idx="651">
                  <c:v>4.28E-3</c:v>
                </c:pt>
                <c:pt idx="652">
                  <c:v>4.0000000000000001E-3</c:v>
                </c:pt>
                <c:pt idx="653">
                  <c:v>4.1399999999999996E-3</c:v>
                </c:pt>
                <c:pt idx="654">
                  <c:v>4.1099999999999999E-3</c:v>
                </c:pt>
                <c:pt idx="655">
                  <c:v>4.2300000000000003E-3</c:v>
                </c:pt>
                <c:pt idx="656">
                  <c:v>4.2599999999999999E-3</c:v>
                </c:pt>
                <c:pt idx="657">
                  <c:v>4.1700000000000001E-3</c:v>
                </c:pt>
                <c:pt idx="658">
                  <c:v>4.64E-3</c:v>
                </c:pt>
                <c:pt idx="659">
                  <c:v>4.6299999999999996E-3</c:v>
                </c:pt>
                <c:pt idx="660">
                  <c:v>4.5399999999999998E-3</c:v>
                </c:pt>
                <c:pt idx="661">
                  <c:v>4.7099999999999998E-3</c:v>
                </c:pt>
                <c:pt idx="662">
                  <c:v>4.3299999999999996E-3</c:v>
                </c:pt>
                <c:pt idx="663">
                  <c:v>4.0800000000000003E-3</c:v>
                </c:pt>
                <c:pt idx="664">
                  <c:v>3.9500000000000004E-3</c:v>
                </c:pt>
                <c:pt idx="665">
                  <c:v>3.96E-3</c:v>
                </c:pt>
                <c:pt idx="666">
                  <c:v>3.8700000000000002E-3</c:v>
                </c:pt>
                <c:pt idx="667">
                  <c:v>3.82E-3</c:v>
                </c:pt>
                <c:pt idx="668">
                  <c:v>3.79E-3</c:v>
                </c:pt>
                <c:pt idx="669">
                  <c:v>3.5300000000000002E-3</c:v>
                </c:pt>
                <c:pt idx="670">
                  <c:v>3.7799999999999999E-3</c:v>
                </c:pt>
                <c:pt idx="671">
                  <c:v>3.7000000000000002E-3</c:v>
                </c:pt>
                <c:pt idx="672">
                  <c:v>3.9399999999999999E-3</c:v>
                </c:pt>
                <c:pt idx="673">
                  <c:v>3.8800000000000002E-3</c:v>
                </c:pt>
                <c:pt idx="674">
                  <c:v>3.9300000000000003E-3</c:v>
                </c:pt>
                <c:pt idx="675">
                  <c:v>3.8800000000000002E-3</c:v>
                </c:pt>
                <c:pt idx="676">
                  <c:v>3.5899999999999999E-3</c:v>
                </c:pt>
                <c:pt idx="677">
                  <c:v>3.9199999999999999E-3</c:v>
                </c:pt>
                <c:pt idx="678">
                  <c:v>3.9199999999999999E-3</c:v>
                </c:pt>
                <c:pt idx="679">
                  <c:v>4.0600000000000002E-3</c:v>
                </c:pt>
                <c:pt idx="680">
                  <c:v>3.5200000000000001E-3</c:v>
                </c:pt>
                <c:pt idx="681">
                  <c:v>3.5300000000000002E-3</c:v>
                </c:pt>
                <c:pt idx="682">
                  <c:v>3.3400000000000001E-3</c:v>
                </c:pt>
                <c:pt idx="683">
                  <c:v>3.6800000000000001E-3</c:v>
                </c:pt>
                <c:pt idx="684">
                  <c:v>3.46E-3</c:v>
                </c:pt>
                <c:pt idx="685">
                  <c:v>3.5500000000000002E-3</c:v>
                </c:pt>
                <c:pt idx="686">
                  <c:v>3.14E-3</c:v>
                </c:pt>
                <c:pt idx="687">
                  <c:v>5.7800000000000004E-3</c:v>
                </c:pt>
                <c:pt idx="688">
                  <c:v>5.94E-3</c:v>
                </c:pt>
                <c:pt idx="689">
                  <c:v>5.9100000000000003E-3</c:v>
                </c:pt>
                <c:pt idx="690">
                  <c:v>5.7200000000000003E-3</c:v>
                </c:pt>
                <c:pt idx="691">
                  <c:v>6.8900000000000003E-3</c:v>
                </c:pt>
                <c:pt idx="692">
                  <c:v>7.0099999999999997E-3</c:v>
                </c:pt>
                <c:pt idx="693">
                  <c:v>6.2399999999999999E-3</c:v>
                </c:pt>
                <c:pt idx="694">
                  <c:v>6.1000000000000004E-3</c:v>
                </c:pt>
                <c:pt idx="695">
                  <c:v>6.0299999999999998E-3</c:v>
                </c:pt>
                <c:pt idx="696">
                  <c:v>6.2100000000000002E-3</c:v>
                </c:pt>
                <c:pt idx="697">
                  <c:v>5.8500000000000002E-3</c:v>
                </c:pt>
                <c:pt idx="698">
                  <c:v>5.8900000000000003E-3</c:v>
                </c:pt>
                <c:pt idx="699">
                  <c:v>5.9699999999999996E-3</c:v>
                </c:pt>
                <c:pt idx="700">
                  <c:v>6.0000000000000001E-3</c:v>
                </c:pt>
                <c:pt idx="701">
                  <c:v>5.7000000000000002E-3</c:v>
                </c:pt>
                <c:pt idx="702">
                  <c:v>6.43E-3</c:v>
                </c:pt>
                <c:pt idx="703">
                  <c:v>7.1999999999999998E-3</c:v>
                </c:pt>
                <c:pt idx="704">
                  <c:v>7.7799999999999996E-3</c:v>
                </c:pt>
                <c:pt idx="705">
                  <c:v>7.3800000000000003E-3</c:v>
                </c:pt>
                <c:pt idx="706">
                  <c:v>7.3899999999999999E-3</c:v>
                </c:pt>
                <c:pt idx="707">
                  <c:v>7.2500000000000004E-3</c:v>
                </c:pt>
                <c:pt idx="708">
                  <c:v>6.9100000000000003E-3</c:v>
                </c:pt>
                <c:pt idx="709">
                  <c:v>7.8200000000000006E-3</c:v>
                </c:pt>
                <c:pt idx="710">
                  <c:v>7.4400000000000004E-3</c:v>
                </c:pt>
                <c:pt idx="711">
                  <c:v>7.7400000000000004E-3</c:v>
                </c:pt>
                <c:pt idx="712">
                  <c:v>8.0999999999999996E-3</c:v>
                </c:pt>
                <c:pt idx="713">
                  <c:v>8.9800000000000001E-3</c:v>
                </c:pt>
                <c:pt idx="714">
                  <c:v>8.0999999999999996E-3</c:v>
                </c:pt>
                <c:pt idx="715">
                  <c:v>8.2900000000000005E-3</c:v>
                </c:pt>
                <c:pt idx="716">
                  <c:v>8.1899999999999994E-3</c:v>
                </c:pt>
                <c:pt idx="717">
                  <c:v>7.5599999999999999E-3</c:v>
                </c:pt>
                <c:pt idx="718">
                  <c:v>7.92E-3</c:v>
                </c:pt>
                <c:pt idx="719">
                  <c:v>7.5100000000000002E-3</c:v>
                </c:pt>
                <c:pt idx="720">
                  <c:v>8.2500000000000004E-3</c:v>
                </c:pt>
                <c:pt idx="721">
                  <c:v>7.45E-3</c:v>
                </c:pt>
                <c:pt idx="722">
                  <c:v>6.8799999999999998E-3</c:v>
                </c:pt>
                <c:pt idx="723">
                  <c:v>6.8300000000000001E-3</c:v>
                </c:pt>
                <c:pt idx="724">
                  <c:v>6.2399999999999999E-3</c:v>
                </c:pt>
                <c:pt idx="725">
                  <c:v>6.1999999999999998E-3</c:v>
                </c:pt>
                <c:pt idx="726">
                  <c:v>6.0099999999999997E-3</c:v>
                </c:pt>
                <c:pt idx="727">
                  <c:v>5.9300000000000004E-3</c:v>
                </c:pt>
                <c:pt idx="728">
                  <c:v>5.5399999999999998E-3</c:v>
                </c:pt>
                <c:pt idx="729">
                  <c:v>5.5199999999999997E-3</c:v>
                </c:pt>
                <c:pt idx="730">
                  <c:v>5.3099999999999996E-3</c:v>
                </c:pt>
                <c:pt idx="731">
                  <c:v>5.11E-3</c:v>
                </c:pt>
                <c:pt idx="732">
                  <c:v>5.1200000000000004E-3</c:v>
                </c:pt>
                <c:pt idx="733">
                  <c:v>4.9399999999999999E-3</c:v>
                </c:pt>
                <c:pt idx="734">
                  <c:v>4.9399999999999999E-3</c:v>
                </c:pt>
                <c:pt idx="735">
                  <c:v>4.96E-3</c:v>
                </c:pt>
                <c:pt idx="736">
                  <c:v>5.1900000000000002E-3</c:v>
                </c:pt>
                <c:pt idx="737">
                  <c:v>5.1200000000000004E-3</c:v>
                </c:pt>
                <c:pt idx="738">
                  <c:v>5.1000000000000004E-3</c:v>
                </c:pt>
                <c:pt idx="739">
                  <c:v>5.11E-3</c:v>
                </c:pt>
                <c:pt idx="740">
                  <c:v>5.28E-3</c:v>
                </c:pt>
                <c:pt idx="741">
                  <c:v>5.4400000000000004E-3</c:v>
                </c:pt>
                <c:pt idx="742">
                  <c:v>5.1399999999999996E-3</c:v>
                </c:pt>
                <c:pt idx="743">
                  <c:v>5.2300000000000003E-3</c:v>
                </c:pt>
                <c:pt idx="744">
                  <c:v>5.0699999999999999E-3</c:v>
                </c:pt>
                <c:pt idx="745">
                  <c:v>4.6699999999999997E-3</c:v>
                </c:pt>
                <c:pt idx="746">
                  <c:v>4.7800000000000004E-3</c:v>
                </c:pt>
                <c:pt idx="747">
                  <c:v>4.6499999999999996E-3</c:v>
                </c:pt>
                <c:pt idx="748">
                  <c:v>4.6899999999999997E-3</c:v>
                </c:pt>
                <c:pt idx="749">
                  <c:v>4.5900000000000003E-3</c:v>
                </c:pt>
                <c:pt idx="750">
                  <c:v>4.6899999999999997E-3</c:v>
                </c:pt>
                <c:pt idx="751">
                  <c:v>4.81E-3</c:v>
                </c:pt>
                <c:pt idx="752">
                  <c:v>4.8900000000000002E-3</c:v>
                </c:pt>
                <c:pt idx="753">
                  <c:v>4.6299999999999996E-3</c:v>
                </c:pt>
                <c:pt idx="754">
                  <c:v>4.6100000000000004E-3</c:v>
                </c:pt>
                <c:pt idx="755">
                  <c:v>4.5399999999999998E-3</c:v>
                </c:pt>
                <c:pt idx="756">
                  <c:v>4.3800000000000002E-3</c:v>
                </c:pt>
                <c:pt idx="757">
                  <c:v>4.5399999999999998E-3</c:v>
                </c:pt>
                <c:pt idx="758">
                  <c:v>4.47E-3</c:v>
                </c:pt>
                <c:pt idx="759">
                  <c:v>4.5599999999999998E-3</c:v>
                </c:pt>
                <c:pt idx="760">
                  <c:v>4.7099999999999998E-3</c:v>
                </c:pt>
                <c:pt idx="761">
                  <c:v>4.6899999999999997E-3</c:v>
                </c:pt>
                <c:pt idx="762">
                  <c:v>4.7099999999999998E-3</c:v>
                </c:pt>
                <c:pt idx="763">
                  <c:v>4.5900000000000003E-3</c:v>
                </c:pt>
                <c:pt idx="764">
                  <c:v>4.62E-3</c:v>
                </c:pt>
                <c:pt idx="765">
                  <c:v>4.7099999999999998E-3</c:v>
                </c:pt>
                <c:pt idx="766">
                  <c:v>4.7099999999999998E-3</c:v>
                </c:pt>
                <c:pt idx="767">
                  <c:v>4.9399999999999999E-3</c:v>
                </c:pt>
                <c:pt idx="768">
                  <c:v>4.8300000000000001E-3</c:v>
                </c:pt>
                <c:pt idx="769">
                  <c:v>5.0499999999999998E-3</c:v>
                </c:pt>
                <c:pt idx="770">
                  <c:v>4.9199999999999999E-3</c:v>
                </c:pt>
                <c:pt idx="771">
                  <c:v>5.13E-3</c:v>
                </c:pt>
                <c:pt idx="772">
                  <c:v>4.4099999999999999E-3</c:v>
                </c:pt>
                <c:pt idx="773">
                  <c:v>4.7999999999999996E-3</c:v>
                </c:pt>
                <c:pt idx="774">
                  <c:v>5.1399999999999996E-3</c:v>
                </c:pt>
                <c:pt idx="775">
                  <c:v>5.13E-3</c:v>
                </c:pt>
                <c:pt idx="776">
                  <c:v>5.5599999999999998E-3</c:v>
                </c:pt>
                <c:pt idx="777">
                  <c:v>5.2599999999999999E-3</c:v>
                </c:pt>
                <c:pt idx="778">
                  <c:v>5.64E-3</c:v>
                </c:pt>
                <c:pt idx="779">
                  <c:v>5.5799999999999999E-3</c:v>
                </c:pt>
                <c:pt idx="780">
                  <c:v>6.0499999999999998E-3</c:v>
                </c:pt>
                <c:pt idx="781">
                  <c:v>6.4599999999999996E-3</c:v>
                </c:pt>
                <c:pt idx="782">
                  <c:v>6.43E-3</c:v>
                </c:pt>
                <c:pt idx="783">
                  <c:v>6.1700000000000001E-3</c:v>
                </c:pt>
                <c:pt idx="784">
                  <c:v>5.7299999999999999E-3</c:v>
                </c:pt>
                <c:pt idx="785">
                  <c:v>5.4000000000000003E-3</c:v>
                </c:pt>
                <c:pt idx="786">
                  <c:v>5.6899999999999997E-3</c:v>
                </c:pt>
                <c:pt idx="787">
                  <c:v>5.1000000000000004E-3</c:v>
                </c:pt>
                <c:pt idx="788">
                  <c:v>5.1599999999999997E-3</c:v>
                </c:pt>
                <c:pt idx="789">
                  <c:v>5.3E-3</c:v>
                </c:pt>
                <c:pt idx="790">
                  <c:v>5.4200000000000003E-3</c:v>
                </c:pt>
                <c:pt idx="791">
                  <c:v>5.2399999999999999E-3</c:v>
                </c:pt>
                <c:pt idx="792">
                  <c:v>5.1200000000000004E-3</c:v>
                </c:pt>
                <c:pt idx="793">
                  <c:v>5.1000000000000004E-3</c:v>
                </c:pt>
                <c:pt idx="794">
                  <c:v>4.7999999999999996E-3</c:v>
                </c:pt>
                <c:pt idx="795">
                  <c:v>4.5599999999999998E-3</c:v>
                </c:pt>
                <c:pt idx="796">
                  <c:v>4.9199999999999999E-3</c:v>
                </c:pt>
                <c:pt idx="797">
                  <c:v>4.7800000000000004E-3</c:v>
                </c:pt>
                <c:pt idx="798">
                  <c:v>5.2700000000000004E-3</c:v>
                </c:pt>
                <c:pt idx="799">
                  <c:v>5.7600000000000004E-3</c:v>
                </c:pt>
                <c:pt idx="800">
                  <c:v>5.9100000000000003E-3</c:v>
                </c:pt>
                <c:pt idx="801">
                  <c:v>6.1000000000000004E-3</c:v>
                </c:pt>
                <c:pt idx="802">
                  <c:v>6.5900000000000004E-3</c:v>
                </c:pt>
                <c:pt idx="803">
                  <c:v>6.6499999999999997E-3</c:v>
                </c:pt>
                <c:pt idx="804">
                  <c:v>6.7000000000000002E-3</c:v>
                </c:pt>
                <c:pt idx="805">
                  <c:v>6.0699999999999999E-3</c:v>
                </c:pt>
                <c:pt idx="806">
                  <c:v>5.8399999999999997E-3</c:v>
                </c:pt>
                <c:pt idx="807">
                  <c:v>5.8399999999999997E-3</c:v>
                </c:pt>
                <c:pt idx="808">
                  <c:v>5.7400000000000003E-3</c:v>
                </c:pt>
                <c:pt idx="809">
                  <c:v>6.0499999999999998E-3</c:v>
                </c:pt>
                <c:pt idx="810">
                  <c:v>6.0200000000000002E-3</c:v>
                </c:pt>
                <c:pt idx="811">
                  <c:v>6.0000000000000001E-3</c:v>
                </c:pt>
                <c:pt idx="812">
                  <c:v>6.5700000000000003E-3</c:v>
                </c:pt>
                <c:pt idx="813">
                  <c:v>6.4200000000000004E-3</c:v>
                </c:pt>
                <c:pt idx="814">
                  <c:v>6.2300000000000003E-3</c:v>
                </c:pt>
                <c:pt idx="815">
                  <c:v>6.0699999999999999E-3</c:v>
                </c:pt>
                <c:pt idx="816">
                  <c:v>5.9699999999999996E-3</c:v>
                </c:pt>
                <c:pt idx="817">
                  <c:v>6.0699999999999999E-3</c:v>
                </c:pt>
                <c:pt idx="818">
                  <c:v>6.3200000000000001E-3</c:v>
                </c:pt>
                <c:pt idx="819">
                  <c:v>5.6100000000000004E-3</c:v>
                </c:pt>
                <c:pt idx="820">
                  <c:v>5.5599999999999998E-3</c:v>
                </c:pt>
                <c:pt idx="821">
                  <c:v>5.6299999999999996E-3</c:v>
                </c:pt>
                <c:pt idx="822">
                  <c:v>5.62E-3</c:v>
                </c:pt>
                <c:pt idx="823">
                  <c:v>5.6800000000000002E-3</c:v>
                </c:pt>
                <c:pt idx="824">
                  <c:v>5.1599999999999997E-3</c:v>
                </c:pt>
                <c:pt idx="825">
                  <c:v>5.2399999999999999E-3</c:v>
                </c:pt>
                <c:pt idx="826">
                  <c:v>4.8399999999999997E-3</c:v>
                </c:pt>
                <c:pt idx="827">
                  <c:v>4.7600000000000003E-3</c:v>
                </c:pt>
                <c:pt idx="828">
                  <c:v>5.2100000000000002E-3</c:v>
                </c:pt>
                <c:pt idx="829">
                  <c:v>5.3699999999999998E-3</c:v>
                </c:pt>
                <c:pt idx="830">
                  <c:v>5.1999999999999998E-3</c:v>
                </c:pt>
                <c:pt idx="831">
                  <c:v>5.1399999999999996E-3</c:v>
                </c:pt>
                <c:pt idx="832">
                  <c:v>5.1700000000000001E-3</c:v>
                </c:pt>
                <c:pt idx="833">
                  <c:v>5.3600000000000002E-3</c:v>
                </c:pt>
                <c:pt idx="834">
                  <c:v>5.1599999999999997E-3</c:v>
                </c:pt>
                <c:pt idx="835">
                  <c:v>5.5599999999999998E-3</c:v>
                </c:pt>
                <c:pt idx="836">
                  <c:v>5.7299999999999999E-3</c:v>
                </c:pt>
                <c:pt idx="837">
                  <c:v>5.7099999999999998E-3</c:v>
                </c:pt>
                <c:pt idx="838">
                  <c:v>5.7800000000000004E-3</c:v>
                </c:pt>
                <c:pt idx="839">
                  <c:v>5.96E-3</c:v>
                </c:pt>
                <c:pt idx="840">
                  <c:v>5.8100000000000001E-3</c:v>
                </c:pt>
                <c:pt idx="841">
                  <c:v>6.1199999999999996E-3</c:v>
                </c:pt>
                <c:pt idx="842">
                  <c:v>6.13E-3</c:v>
                </c:pt>
                <c:pt idx="843">
                  <c:v>5.7999999999999996E-3</c:v>
                </c:pt>
                <c:pt idx="844">
                  <c:v>5.77E-3</c:v>
                </c:pt>
                <c:pt idx="845">
                  <c:v>5.3499999999999997E-3</c:v>
                </c:pt>
                <c:pt idx="846">
                  <c:v>5.3099999999999996E-3</c:v>
                </c:pt>
                <c:pt idx="847">
                  <c:v>5.2599999999999999E-3</c:v>
                </c:pt>
                <c:pt idx="848">
                  <c:v>5.0800000000000003E-3</c:v>
                </c:pt>
                <c:pt idx="849">
                  <c:v>5.1000000000000004E-3</c:v>
                </c:pt>
                <c:pt idx="850">
                  <c:v>5.1000000000000004E-3</c:v>
                </c:pt>
                <c:pt idx="851">
                  <c:v>5.0000000000000001E-3</c:v>
                </c:pt>
                <c:pt idx="852">
                  <c:v>5.1500000000000001E-3</c:v>
                </c:pt>
                <c:pt idx="853">
                  <c:v>4.9800000000000001E-3</c:v>
                </c:pt>
                <c:pt idx="854">
                  <c:v>4.81E-3</c:v>
                </c:pt>
                <c:pt idx="855">
                  <c:v>5.0000000000000001E-3</c:v>
                </c:pt>
                <c:pt idx="856">
                  <c:v>4.9500000000000004E-3</c:v>
                </c:pt>
                <c:pt idx="857">
                  <c:v>6.3400000000000001E-3</c:v>
                </c:pt>
                <c:pt idx="858">
                  <c:v>6.6299999999999996E-3</c:v>
                </c:pt>
                <c:pt idx="859">
                  <c:v>6.8900000000000003E-3</c:v>
                </c:pt>
                <c:pt idx="860">
                  <c:v>7.1000000000000004E-3</c:v>
                </c:pt>
                <c:pt idx="861">
                  <c:v>7.2399999999999999E-3</c:v>
                </c:pt>
                <c:pt idx="862">
                  <c:v>7.5300000000000002E-3</c:v>
                </c:pt>
                <c:pt idx="863">
                  <c:v>7.1399999999999996E-3</c:v>
                </c:pt>
                <c:pt idx="864">
                  <c:v>6.9100000000000003E-3</c:v>
                </c:pt>
                <c:pt idx="865">
                  <c:v>6.8900000000000003E-3</c:v>
                </c:pt>
                <c:pt idx="866">
                  <c:v>6.8700000000000002E-3</c:v>
                </c:pt>
                <c:pt idx="867">
                  <c:v>6.7400000000000003E-3</c:v>
                </c:pt>
                <c:pt idx="868">
                  <c:v>6.7499999999999999E-3</c:v>
                </c:pt>
                <c:pt idx="869">
                  <c:v>6.79E-3</c:v>
                </c:pt>
                <c:pt idx="870">
                  <c:v>6.7999999999999996E-3</c:v>
                </c:pt>
                <c:pt idx="871">
                  <c:v>7.0299999999999998E-3</c:v>
                </c:pt>
                <c:pt idx="872">
                  <c:v>6.8599999999999998E-3</c:v>
                </c:pt>
                <c:pt idx="873">
                  <c:v>6.8100000000000001E-3</c:v>
                </c:pt>
                <c:pt idx="874">
                  <c:v>6.5199999999999998E-3</c:v>
                </c:pt>
                <c:pt idx="875">
                  <c:v>6.77E-3</c:v>
                </c:pt>
                <c:pt idx="876">
                  <c:v>7.0099999999999997E-3</c:v>
                </c:pt>
                <c:pt idx="877">
                  <c:v>7.1399999999999996E-3</c:v>
                </c:pt>
                <c:pt idx="878">
                  <c:v>7.1500000000000001E-3</c:v>
                </c:pt>
                <c:pt idx="879">
                  <c:v>7.0400000000000003E-3</c:v>
                </c:pt>
                <c:pt idx="880">
                  <c:v>6.9300000000000004E-3</c:v>
                </c:pt>
                <c:pt idx="881">
                  <c:v>7.0099999999999997E-3</c:v>
                </c:pt>
                <c:pt idx="882">
                  <c:v>7.0200000000000002E-3</c:v>
                </c:pt>
                <c:pt idx="883">
                  <c:v>7.1999999999999998E-3</c:v>
                </c:pt>
                <c:pt idx="884">
                  <c:v>7.9900000000000006E-3</c:v>
                </c:pt>
                <c:pt idx="885">
                  <c:v>8.3800000000000003E-3</c:v>
                </c:pt>
                <c:pt idx="886">
                  <c:v>7.8600000000000007E-3</c:v>
                </c:pt>
                <c:pt idx="887">
                  <c:v>8.5900000000000004E-3</c:v>
                </c:pt>
                <c:pt idx="888">
                  <c:v>7.5399999999999998E-3</c:v>
                </c:pt>
                <c:pt idx="889">
                  <c:v>7.4799999999999997E-3</c:v>
                </c:pt>
                <c:pt idx="890">
                  <c:v>7.1300000000000001E-3</c:v>
                </c:pt>
                <c:pt idx="891">
                  <c:v>7.4900000000000001E-3</c:v>
                </c:pt>
                <c:pt idx="892">
                  <c:v>7.7200000000000003E-3</c:v>
                </c:pt>
                <c:pt idx="893">
                  <c:v>7.8600000000000007E-3</c:v>
                </c:pt>
                <c:pt idx="894">
                  <c:v>7.7299999999999999E-3</c:v>
                </c:pt>
                <c:pt idx="895">
                  <c:v>7.3299999999999997E-3</c:v>
                </c:pt>
                <c:pt idx="896">
                  <c:v>7.4900000000000001E-3</c:v>
                </c:pt>
                <c:pt idx="897">
                  <c:v>7.62E-3</c:v>
                </c:pt>
                <c:pt idx="898">
                  <c:v>8.7899999999999992E-3</c:v>
                </c:pt>
                <c:pt idx="899">
                  <c:v>8.8100000000000001E-3</c:v>
                </c:pt>
                <c:pt idx="900">
                  <c:v>8.9800000000000001E-3</c:v>
                </c:pt>
                <c:pt idx="901">
                  <c:v>8.3499999999999998E-3</c:v>
                </c:pt>
                <c:pt idx="902">
                  <c:v>7.9600000000000001E-3</c:v>
                </c:pt>
                <c:pt idx="903">
                  <c:v>8.5000000000000006E-3</c:v>
                </c:pt>
                <c:pt idx="904">
                  <c:v>8.8500000000000002E-3</c:v>
                </c:pt>
                <c:pt idx="905">
                  <c:v>9.2399999999999999E-3</c:v>
                </c:pt>
                <c:pt idx="906">
                  <c:v>9.8799999999999999E-3</c:v>
                </c:pt>
                <c:pt idx="907">
                  <c:v>1.005E-2</c:v>
                </c:pt>
                <c:pt idx="908">
                  <c:v>1.018E-2</c:v>
                </c:pt>
                <c:pt idx="909">
                  <c:v>1.025E-2</c:v>
                </c:pt>
                <c:pt idx="910">
                  <c:v>1.031E-2</c:v>
                </c:pt>
                <c:pt idx="911">
                  <c:v>1.091E-2</c:v>
                </c:pt>
                <c:pt idx="912">
                  <c:v>1.0800000000000001E-2</c:v>
                </c:pt>
                <c:pt idx="913">
                  <c:v>1.0279999999999999E-2</c:v>
                </c:pt>
                <c:pt idx="914">
                  <c:v>1.026E-2</c:v>
                </c:pt>
                <c:pt idx="915">
                  <c:v>1.025E-2</c:v>
                </c:pt>
                <c:pt idx="916">
                  <c:v>1.0919999999999999E-2</c:v>
                </c:pt>
                <c:pt idx="917">
                  <c:v>1.1129999999999999E-2</c:v>
                </c:pt>
                <c:pt idx="918">
                  <c:v>1.0370000000000001E-2</c:v>
                </c:pt>
                <c:pt idx="919">
                  <c:v>1.03E-2</c:v>
                </c:pt>
                <c:pt idx="920">
                  <c:v>1.099E-2</c:v>
                </c:pt>
                <c:pt idx="921">
                  <c:v>1.1299999999999999E-2</c:v>
                </c:pt>
                <c:pt idx="922">
                  <c:v>1.166E-2</c:v>
                </c:pt>
                <c:pt idx="923">
                  <c:v>1.119E-2</c:v>
                </c:pt>
                <c:pt idx="924">
                  <c:v>1.0970000000000001E-2</c:v>
                </c:pt>
                <c:pt idx="925">
                  <c:v>1.0410000000000001E-2</c:v>
                </c:pt>
                <c:pt idx="926">
                  <c:v>9.8300000000000002E-3</c:v>
                </c:pt>
                <c:pt idx="927">
                  <c:v>1.192E-2</c:v>
                </c:pt>
                <c:pt idx="928">
                  <c:v>1.2239999999999999E-2</c:v>
                </c:pt>
                <c:pt idx="929">
                  <c:v>1.4030000000000001E-2</c:v>
                </c:pt>
                <c:pt idx="930">
                  <c:v>1.455E-2</c:v>
                </c:pt>
                <c:pt idx="931">
                  <c:v>1.3950000000000001E-2</c:v>
                </c:pt>
                <c:pt idx="932">
                  <c:v>1.5800000000000002E-2</c:v>
                </c:pt>
                <c:pt idx="933">
                  <c:v>1.6840000000000001E-2</c:v>
                </c:pt>
                <c:pt idx="934">
                  <c:v>1.678E-2</c:v>
                </c:pt>
                <c:pt idx="935">
                  <c:v>1.7219999999999999E-2</c:v>
                </c:pt>
                <c:pt idx="936">
                  <c:v>1.678E-2</c:v>
                </c:pt>
                <c:pt idx="937">
                  <c:v>1.5640000000000001E-2</c:v>
                </c:pt>
                <c:pt idx="938">
                  <c:v>1.555E-2</c:v>
                </c:pt>
                <c:pt idx="939">
                  <c:v>1.6299999999999999E-2</c:v>
                </c:pt>
                <c:pt idx="940">
                  <c:v>1.644E-2</c:v>
                </c:pt>
                <c:pt idx="941">
                  <c:v>1.7389999999999999E-2</c:v>
                </c:pt>
                <c:pt idx="942">
                  <c:v>1.66E-2</c:v>
                </c:pt>
                <c:pt idx="943">
                  <c:v>1.7649999999999999E-2</c:v>
                </c:pt>
                <c:pt idx="944">
                  <c:v>1.694E-2</c:v>
                </c:pt>
                <c:pt idx="945">
                  <c:v>1.652E-2</c:v>
                </c:pt>
                <c:pt idx="946">
                  <c:v>1.8689999999999998E-2</c:v>
                </c:pt>
                <c:pt idx="947">
                  <c:v>2.0219999999999998E-2</c:v>
                </c:pt>
                <c:pt idx="948">
                  <c:v>2.0230000000000001E-2</c:v>
                </c:pt>
                <c:pt idx="949">
                  <c:v>2.0199999999999999E-2</c:v>
                </c:pt>
                <c:pt idx="950">
                  <c:v>2.051E-2</c:v>
                </c:pt>
                <c:pt idx="951">
                  <c:v>1.9699999999999999E-2</c:v>
                </c:pt>
                <c:pt idx="952">
                  <c:v>2.103E-2</c:v>
                </c:pt>
                <c:pt idx="953">
                  <c:v>2.1989999999999999E-2</c:v>
                </c:pt>
                <c:pt idx="954">
                  <c:v>2.273E-2</c:v>
                </c:pt>
                <c:pt idx="955">
                  <c:v>2.5080000000000002E-2</c:v>
                </c:pt>
                <c:pt idx="956">
                  <c:v>2.512E-2</c:v>
                </c:pt>
                <c:pt idx="957">
                  <c:v>2.2849999999999999E-2</c:v>
                </c:pt>
                <c:pt idx="958">
                  <c:v>2.274E-2</c:v>
                </c:pt>
                <c:pt idx="959">
                  <c:v>2.265E-2</c:v>
                </c:pt>
                <c:pt idx="960">
                  <c:v>2.3179999999999999E-2</c:v>
                </c:pt>
                <c:pt idx="961">
                  <c:v>2.3199999999999998E-2</c:v>
                </c:pt>
                <c:pt idx="962">
                  <c:v>2.367E-2</c:v>
                </c:pt>
                <c:pt idx="963">
                  <c:v>2.1930000000000002E-2</c:v>
                </c:pt>
                <c:pt idx="964">
                  <c:v>2.3990000000000001E-2</c:v>
                </c:pt>
                <c:pt idx="965">
                  <c:v>2.537E-2</c:v>
                </c:pt>
                <c:pt idx="966">
                  <c:v>2.3220000000000001E-2</c:v>
                </c:pt>
                <c:pt idx="967">
                  <c:v>2.137E-2</c:v>
                </c:pt>
                <c:pt idx="968">
                  <c:v>2.1919999999999999E-2</c:v>
                </c:pt>
                <c:pt idx="969">
                  <c:v>2.0760000000000001E-2</c:v>
                </c:pt>
                <c:pt idx="970">
                  <c:v>2.1760000000000002E-2</c:v>
                </c:pt>
                <c:pt idx="971">
                  <c:v>1.967E-2</c:v>
                </c:pt>
                <c:pt idx="972">
                  <c:v>2.0379999999999999E-2</c:v>
                </c:pt>
                <c:pt idx="973">
                  <c:v>1.9390000000000001E-2</c:v>
                </c:pt>
                <c:pt idx="974">
                  <c:v>2.0750000000000001E-2</c:v>
                </c:pt>
                <c:pt idx="975">
                  <c:v>2.1600000000000001E-2</c:v>
                </c:pt>
                <c:pt idx="976">
                  <c:v>2.0199999999999999E-2</c:v>
                </c:pt>
                <c:pt idx="977">
                  <c:v>1.9529999999999999E-2</c:v>
                </c:pt>
                <c:pt idx="978">
                  <c:v>2.01E-2</c:v>
                </c:pt>
                <c:pt idx="979">
                  <c:v>1.924E-2</c:v>
                </c:pt>
                <c:pt idx="980">
                  <c:v>2.0299999999999999E-2</c:v>
                </c:pt>
                <c:pt idx="981">
                  <c:v>2.163E-2</c:v>
                </c:pt>
                <c:pt idx="982">
                  <c:v>2.085E-2</c:v>
                </c:pt>
                <c:pt idx="983">
                  <c:v>1.7309999999999999E-2</c:v>
                </c:pt>
                <c:pt idx="984">
                  <c:v>1.753E-2</c:v>
                </c:pt>
                <c:pt idx="985">
                  <c:v>1.694E-2</c:v>
                </c:pt>
                <c:pt idx="986">
                  <c:v>1.7659999999999999E-2</c:v>
                </c:pt>
                <c:pt idx="987">
                  <c:v>1.8700000000000001E-2</c:v>
                </c:pt>
                <c:pt idx="988">
                  <c:v>2.0310000000000002E-2</c:v>
                </c:pt>
                <c:pt idx="989">
                  <c:v>1.7639999999999999E-2</c:v>
                </c:pt>
                <c:pt idx="990">
                  <c:v>1.6279999999999999E-2</c:v>
                </c:pt>
                <c:pt idx="991">
                  <c:v>1.584E-2</c:v>
                </c:pt>
                <c:pt idx="992">
                  <c:v>1.6389999999999998E-2</c:v>
                </c:pt>
                <c:pt idx="993">
                  <c:v>1.5310000000000001E-2</c:v>
                </c:pt>
                <c:pt idx="994">
                  <c:v>1.49E-2</c:v>
                </c:pt>
                <c:pt idx="995">
                  <c:v>1.6070000000000001E-2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49-4758-AA84-8249D5561977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134.59312800850233</c:v>
                </c:pt>
                <c:pt idx="1">
                  <c:v>134.75642780212394</c:v>
                </c:pt>
                <c:pt idx="2">
                  <c:v>136.16394516996135</c:v>
                </c:pt>
                <c:pt idx="3">
                  <c:v>134.90052663797621</c:v>
                </c:pt>
                <c:pt idx="4">
                  <c:v>133.98448117980212</c:v>
                </c:pt>
                <c:pt idx="5">
                  <c:v>132.92138673539671</c:v>
                </c:pt>
                <c:pt idx="6">
                  <c:v>134.49432979366028</c:v>
                </c:pt>
                <c:pt idx="7">
                  <c:v>136.60722357355846</c:v>
                </c:pt>
                <c:pt idx="8">
                  <c:v>138.78916673586238</c:v>
                </c:pt>
                <c:pt idx="9">
                  <c:v>139.19123622238263</c:v>
                </c:pt>
                <c:pt idx="10">
                  <c:v>139.21936934166058</c:v>
                </c:pt>
                <c:pt idx="11">
                  <c:v>139.83548970932335</c:v>
                </c:pt>
                <c:pt idx="12">
                  <c:v>140.11147103746245</c:v>
                </c:pt>
                <c:pt idx="13">
                  <c:v>139.88696254883513</c:v>
                </c:pt>
                <c:pt idx="14">
                  <c:v>139.60356087121227</c:v>
                </c:pt>
                <c:pt idx="15">
                  <c:v>141.67455503297282</c:v>
                </c:pt>
                <c:pt idx="16">
                  <c:v>140.63381912628316</c:v>
                </c:pt>
                <c:pt idx="17">
                  <c:v>139.74565251566827</c:v>
                </c:pt>
                <c:pt idx="18">
                  <c:v>140.09958268787236</c:v>
                </c:pt>
                <c:pt idx="19">
                  <c:v>139.88715723168124</c:v>
                </c:pt>
                <c:pt idx="20">
                  <c:v>140.70445366203577</c:v>
                </c:pt>
                <c:pt idx="21">
                  <c:v>140.72254835747626</c:v>
                </c:pt>
                <c:pt idx="22">
                  <c:v>140.08945396877377</c:v>
                </c:pt>
                <c:pt idx="23">
                  <c:v>140.56052153928192</c:v>
                </c:pt>
                <c:pt idx="24">
                  <c:v>142.29674470551524</c:v>
                </c:pt>
                <c:pt idx="25">
                  <c:v>143.16532588255353</c:v>
                </c:pt>
                <c:pt idx="26">
                  <c:v>142.40913348744542</c:v>
                </c:pt>
                <c:pt idx="27">
                  <c:v>141.08518534342261</c:v>
                </c:pt>
                <c:pt idx="28">
                  <c:v>142.63757908711136</c:v>
                </c:pt>
                <c:pt idx="29">
                  <c:v>143.66645295713133</c:v>
                </c:pt>
                <c:pt idx="30">
                  <c:v>141.65048830512859</c:v>
                </c:pt>
                <c:pt idx="31">
                  <c:v>144.20384159146772</c:v>
                </c:pt>
                <c:pt idx="32">
                  <c:v>145.80717946789241</c:v>
                </c:pt>
                <c:pt idx="33">
                  <c:v>144.31594217609344</c:v>
                </c:pt>
                <c:pt idx="34">
                  <c:v>144.07579020321924</c:v>
                </c:pt>
                <c:pt idx="35">
                  <c:v>145.29202779689194</c:v>
                </c:pt>
                <c:pt idx="36">
                  <c:v>143.26811114680609</c:v>
                </c:pt>
                <c:pt idx="37">
                  <c:v>141.56276947866579</c:v>
                </c:pt>
                <c:pt idx="38">
                  <c:v>140.9749374846005</c:v>
                </c:pt>
                <c:pt idx="39">
                  <c:v>141.00782114628939</c:v>
                </c:pt>
                <c:pt idx="40">
                  <c:v>141.77262794641265</c:v>
                </c:pt>
                <c:pt idx="41">
                  <c:v>141.11208447988153</c:v>
                </c:pt>
                <c:pt idx="42">
                  <c:v>141.21090260160926</c:v>
                </c:pt>
                <c:pt idx="43">
                  <c:v>142.29140478158638</c:v>
                </c:pt>
                <c:pt idx="44">
                  <c:v>141.20268948666421</c:v>
                </c:pt>
                <c:pt idx="45">
                  <c:v>139.98771669536205</c:v>
                </c:pt>
                <c:pt idx="46">
                  <c:v>141.4275392039456</c:v>
                </c:pt>
                <c:pt idx="47">
                  <c:v>140.9551748496622</c:v>
                </c:pt>
                <c:pt idx="48">
                  <c:v>140.88866658726221</c:v>
                </c:pt>
                <c:pt idx="49">
                  <c:v>142.55686524160524</c:v>
                </c:pt>
                <c:pt idx="50">
                  <c:v>144.26662674883002</c:v>
                </c:pt>
                <c:pt idx="51">
                  <c:v>141.84627602468839</c:v>
                </c:pt>
                <c:pt idx="52">
                  <c:v>142.9730169260051</c:v>
                </c:pt>
                <c:pt idx="53">
                  <c:v>140.76044691535745</c:v>
                </c:pt>
                <c:pt idx="54">
                  <c:v>141.33255025008592</c:v>
                </c:pt>
                <c:pt idx="55">
                  <c:v>140.25092241928886</c:v>
                </c:pt>
                <c:pt idx="56">
                  <c:v>141.26994841794297</c:v>
                </c:pt>
                <c:pt idx="57">
                  <c:v>140.84351820154191</c:v>
                </c:pt>
                <c:pt idx="58">
                  <c:v>141.48962534561201</c:v>
                </c:pt>
                <c:pt idx="59">
                  <c:v>142.81795665589428</c:v>
                </c:pt>
                <c:pt idx="60">
                  <c:v>141.17862480763975</c:v>
                </c:pt>
                <c:pt idx="61">
                  <c:v>139.63831874234629</c:v>
                </c:pt>
                <c:pt idx="62">
                  <c:v>139.43228132369262</c:v>
                </c:pt>
                <c:pt idx="63">
                  <c:v>140.98621974357991</c:v>
                </c:pt>
                <c:pt idx="64">
                  <c:v>140.52215299026989</c:v>
                </c:pt>
                <c:pt idx="65">
                  <c:v>140.76866423213428</c:v>
                </c:pt>
                <c:pt idx="66">
                  <c:v>139.89276166039238</c:v>
                </c:pt>
                <c:pt idx="67">
                  <c:v>140.85789204241621</c:v>
                </c:pt>
                <c:pt idx="68">
                  <c:v>141.38502298167495</c:v>
                </c:pt>
                <c:pt idx="69">
                  <c:v>140.31383980509312</c:v>
                </c:pt>
                <c:pt idx="70">
                  <c:v>139.28553626642648</c:v>
                </c:pt>
                <c:pt idx="71">
                  <c:v>140.57029676549428</c:v>
                </c:pt>
                <c:pt idx="72">
                  <c:v>139.03127086276911</c:v>
                </c:pt>
                <c:pt idx="73">
                  <c:v>139.36519542924339</c:v>
                </c:pt>
                <c:pt idx="74">
                  <c:v>140.02304905144263</c:v>
                </c:pt>
                <c:pt idx="75">
                  <c:v>140.77523943748184</c:v>
                </c:pt>
                <c:pt idx="76">
                  <c:v>140.48895463866538</c:v>
                </c:pt>
                <c:pt idx="77">
                  <c:v>140.74299933415594</c:v>
                </c:pt>
                <c:pt idx="78">
                  <c:v>140.95619395585479</c:v>
                </c:pt>
                <c:pt idx="79">
                  <c:v>141.77754591565136</c:v>
                </c:pt>
                <c:pt idx="80">
                  <c:v>141.72965164399571</c:v>
                </c:pt>
                <c:pt idx="81">
                  <c:v>140.09890694683727</c:v>
                </c:pt>
                <c:pt idx="82">
                  <c:v>139.93268972853809</c:v>
                </c:pt>
                <c:pt idx="83">
                  <c:v>139.86897493179356</c:v>
                </c:pt>
                <c:pt idx="84">
                  <c:v>141.04071794853488</c:v>
                </c:pt>
                <c:pt idx="85">
                  <c:v>141.16911660138084</c:v>
                </c:pt>
                <c:pt idx="86">
                  <c:v>141.56957161811388</c:v>
                </c:pt>
                <c:pt idx="87">
                  <c:v>140.58192747851211</c:v>
                </c:pt>
                <c:pt idx="88">
                  <c:v>138.18175115230801</c:v>
                </c:pt>
                <c:pt idx="89">
                  <c:v>138.92376243243478</c:v>
                </c:pt>
                <c:pt idx="90">
                  <c:v>138.34685757997835</c:v>
                </c:pt>
                <c:pt idx="91">
                  <c:v>137.57315547900652</c:v>
                </c:pt>
                <c:pt idx="92">
                  <c:v>137.06807919952234</c:v>
                </c:pt>
                <c:pt idx="93">
                  <c:v>139.51696793578554</c:v>
                </c:pt>
                <c:pt idx="94">
                  <c:v>140.8828116797855</c:v>
                </c:pt>
                <c:pt idx="95">
                  <c:v>139.34198007437476</c:v>
                </c:pt>
                <c:pt idx="96">
                  <c:v>140.12356760603819</c:v>
                </c:pt>
                <c:pt idx="97">
                  <c:v>139.8509849218924</c:v>
                </c:pt>
                <c:pt idx="98">
                  <c:v>137.91962039523526</c:v>
                </c:pt>
                <c:pt idx="99">
                  <c:v>139.41531599211305</c:v>
                </c:pt>
                <c:pt idx="100">
                  <c:v>138.38882954886003</c:v>
                </c:pt>
                <c:pt idx="101">
                  <c:v>138.67890616982496</c:v>
                </c:pt>
                <c:pt idx="102">
                  <c:v>138.38419234945457</c:v>
                </c:pt>
                <c:pt idx="103">
                  <c:v>138.54812365997429</c:v>
                </c:pt>
                <c:pt idx="104">
                  <c:v>138.7901179955071</c:v>
                </c:pt>
                <c:pt idx="105">
                  <c:v>138.67289407337447</c:v>
                </c:pt>
                <c:pt idx="106">
                  <c:v>137.42788774193974</c:v>
                </c:pt>
                <c:pt idx="107">
                  <c:v>136.5628475791957</c:v>
                </c:pt>
                <c:pt idx="108">
                  <c:v>136.09470498898469</c:v>
                </c:pt>
                <c:pt idx="109">
                  <c:v>136.46413201556362</c:v>
                </c:pt>
                <c:pt idx="110">
                  <c:v>137.68439067329544</c:v>
                </c:pt>
                <c:pt idx="111">
                  <c:v>137.86356835089174</c:v>
                </c:pt>
                <c:pt idx="112">
                  <c:v>138.05549296216728</c:v>
                </c:pt>
                <c:pt idx="113">
                  <c:v>137.36250610555129</c:v>
                </c:pt>
                <c:pt idx="114">
                  <c:v>137.23683626204323</c:v>
                </c:pt>
                <c:pt idx="115">
                  <c:v>136.54476274368164</c:v>
                </c:pt>
                <c:pt idx="116">
                  <c:v>137.00080552059785</c:v>
                </c:pt>
                <c:pt idx="117">
                  <c:v>136.73750453636055</c:v>
                </c:pt>
                <c:pt idx="118">
                  <c:v>137.37491922906895</c:v>
                </c:pt>
                <c:pt idx="119">
                  <c:v>134.89721018518168</c:v>
                </c:pt>
                <c:pt idx="120">
                  <c:v>135.0809632071543</c:v>
                </c:pt>
                <c:pt idx="121">
                  <c:v>133.36587818717484</c:v>
                </c:pt>
                <c:pt idx="122">
                  <c:v>134.76723109276031</c:v>
                </c:pt>
                <c:pt idx="123">
                  <c:v>136.01925247592297</c:v>
                </c:pt>
                <c:pt idx="124">
                  <c:v>134.80107997193656</c:v>
                </c:pt>
                <c:pt idx="125">
                  <c:v>135.70387653161941</c:v>
                </c:pt>
                <c:pt idx="126">
                  <c:v>136.10738410122906</c:v>
                </c:pt>
                <c:pt idx="127">
                  <c:v>135.89692136309827</c:v>
                </c:pt>
                <c:pt idx="128">
                  <c:v>134.41040576180998</c:v>
                </c:pt>
                <c:pt idx="129">
                  <c:v>135.98140477167786</c:v>
                </c:pt>
                <c:pt idx="130">
                  <c:v>136.89160316164035</c:v>
                </c:pt>
                <c:pt idx="131">
                  <c:v>137.39909153428044</c:v>
                </c:pt>
                <c:pt idx="132">
                  <c:v>137.53093603516072</c:v>
                </c:pt>
                <c:pt idx="133">
                  <c:v>139.24885353321264</c:v>
                </c:pt>
                <c:pt idx="134">
                  <c:v>139.10394383466959</c:v>
                </c:pt>
                <c:pt idx="135">
                  <c:v>137.80767355111433</c:v>
                </c:pt>
                <c:pt idx="136">
                  <c:v>136.28041641775775</c:v>
                </c:pt>
                <c:pt idx="137">
                  <c:v>137.10047124440121</c:v>
                </c:pt>
                <c:pt idx="138">
                  <c:v>135.44085687585869</c:v>
                </c:pt>
                <c:pt idx="139">
                  <c:v>136.05820940857075</c:v>
                </c:pt>
                <c:pt idx="140">
                  <c:v>139.68838710374268</c:v>
                </c:pt>
                <c:pt idx="141">
                  <c:v>138.48606813663574</c:v>
                </c:pt>
                <c:pt idx="142">
                  <c:v>136.25866916086019</c:v>
                </c:pt>
                <c:pt idx="143">
                  <c:v>137.9962068189682</c:v>
                </c:pt>
                <c:pt idx="144">
                  <c:v>137.00295848517564</c:v>
                </c:pt>
                <c:pt idx="145">
                  <c:v>135.394701328564</c:v>
                </c:pt>
                <c:pt idx="146">
                  <c:v>135.22366198314711</c:v>
                </c:pt>
                <c:pt idx="147">
                  <c:v>133.94553682620048</c:v>
                </c:pt>
                <c:pt idx="148">
                  <c:v>133.84550086890968</c:v>
                </c:pt>
                <c:pt idx="149">
                  <c:v>132.06363635928631</c:v>
                </c:pt>
                <c:pt idx="150">
                  <c:v>132.21204524408225</c:v>
                </c:pt>
                <c:pt idx="151">
                  <c:v>133.26290873872739</c:v>
                </c:pt>
                <c:pt idx="152">
                  <c:v>133.85048493271057</c:v>
                </c:pt>
                <c:pt idx="153">
                  <c:v>132.56016770772212</c:v>
                </c:pt>
                <c:pt idx="154">
                  <c:v>129.97697263725402</c:v>
                </c:pt>
                <c:pt idx="155">
                  <c:v>132.59465572482367</c:v>
                </c:pt>
                <c:pt idx="156">
                  <c:v>130.44084626873692</c:v>
                </c:pt>
                <c:pt idx="157">
                  <c:v>133.66275256168862</c:v>
                </c:pt>
                <c:pt idx="158">
                  <c:v>133.65983895453201</c:v>
                </c:pt>
                <c:pt idx="159">
                  <c:v>133.3990854581707</c:v>
                </c:pt>
                <c:pt idx="160">
                  <c:v>133.88165925585233</c:v>
                </c:pt>
                <c:pt idx="161">
                  <c:v>133.348388598719</c:v>
                </c:pt>
                <c:pt idx="162">
                  <c:v>131.48218322497507</c:v>
                </c:pt>
                <c:pt idx="163">
                  <c:v>131.51945954632228</c:v>
                </c:pt>
                <c:pt idx="164">
                  <c:v>133.73070615735313</c:v>
                </c:pt>
                <c:pt idx="165">
                  <c:v>135.7535359016932</c:v>
                </c:pt>
                <c:pt idx="166">
                  <c:v>134.57411503005113</c:v>
                </c:pt>
                <c:pt idx="167">
                  <c:v>133.74571149034253</c:v>
                </c:pt>
                <c:pt idx="168">
                  <c:v>132.47856999137809</c:v>
                </c:pt>
                <c:pt idx="169">
                  <c:v>133.07904887424448</c:v>
                </c:pt>
                <c:pt idx="170">
                  <c:v>131.59987001388009</c:v>
                </c:pt>
                <c:pt idx="171">
                  <c:v>130.31172160363272</c:v>
                </c:pt>
                <c:pt idx="172">
                  <c:v>128.88395012010716</c:v>
                </c:pt>
                <c:pt idx="173">
                  <c:v>130.09754171296112</c:v>
                </c:pt>
                <c:pt idx="174">
                  <c:v>129.45292315606551</c:v>
                </c:pt>
                <c:pt idx="175">
                  <c:v>126.48278637362276</c:v>
                </c:pt>
                <c:pt idx="176">
                  <c:v>124.35783532440149</c:v>
                </c:pt>
                <c:pt idx="177">
                  <c:v>123.39871970321103</c:v>
                </c:pt>
                <c:pt idx="178">
                  <c:v>123.66140520757057</c:v>
                </c:pt>
                <c:pt idx="179">
                  <c:v>123.58202616862606</c:v>
                </c:pt>
                <c:pt idx="180">
                  <c:v>125.583423147861</c:v>
                </c:pt>
                <c:pt idx="181">
                  <c:v>123.8682561687701</c:v>
                </c:pt>
                <c:pt idx="182">
                  <c:v>121.49938082294005</c:v>
                </c:pt>
                <c:pt idx="183">
                  <c:v>121.41757486325847</c:v>
                </c:pt>
                <c:pt idx="184">
                  <c:v>121.88522577558278</c:v>
                </c:pt>
                <c:pt idx="185">
                  <c:v>120.14862890791913</c:v>
                </c:pt>
                <c:pt idx="186">
                  <c:v>125.67953070124402</c:v>
                </c:pt>
                <c:pt idx="187">
                  <c:v>121.14790270358191</c:v>
                </c:pt>
                <c:pt idx="188">
                  <c:v>121.10863417965685</c:v>
                </c:pt>
                <c:pt idx="189">
                  <c:v>120.25580711875286</c:v>
                </c:pt>
                <c:pt idx="190">
                  <c:v>119.58387459678165</c:v>
                </c:pt>
                <c:pt idx="191">
                  <c:v>118.54906015132066</c:v>
                </c:pt>
                <c:pt idx="192">
                  <c:v>119.34341950419642</c:v>
                </c:pt>
                <c:pt idx="193">
                  <c:v>120.31702805477848</c:v>
                </c:pt>
                <c:pt idx="194">
                  <c:v>120.30704835030335</c:v>
                </c:pt>
                <c:pt idx="195">
                  <c:v>120.07965225897001</c:v>
                </c:pt>
                <c:pt idx="196">
                  <c:v>121.34440774602477</c:v>
                </c:pt>
                <c:pt idx="197">
                  <c:v>121.71008821762383</c:v>
                </c:pt>
                <c:pt idx="198">
                  <c:v>120.31715447786614</c:v>
                </c:pt>
                <c:pt idx="199">
                  <c:v>120.69233321420533</c:v>
                </c:pt>
                <c:pt idx="200">
                  <c:v>120.97282308712715</c:v>
                </c:pt>
                <c:pt idx="201">
                  <c:v>120.45932897007452</c:v>
                </c:pt>
                <c:pt idx="202">
                  <c:v>120.70041419899997</c:v>
                </c:pt>
                <c:pt idx="203">
                  <c:v>119.72763145331447</c:v>
                </c:pt>
                <c:pt idx="204">
                  <c:v>120.94859303705793</c:v>
                </c:pt>
                <c:pt idx="205">
                  <c:v>121.61915727000414</c:v>
                </c:pt>
                <c:pt idx="206">
                  <c:v>121.25866293551167</c:v>
                </c:pt>
                <c:pt idx="207">
                  <c:v>121.46583581261869</c:v>
                </c:pt>
                <c:pt idx="208">
                  <c:v>120.69194367870126</c:v>
                </c:pt>
                <c:pt idx="209">
                  <c:v>119.92536496367134</c:v>
                </c:pt>
                <c:pt idx="210">
                  <c:v>119.39182303150302</c:v>
                </c:pt>
                <c:pt idx="211">
                  <c:v>120.12379766100958</c:v>
                </c:pt>
                <c:pt idx="212">
                  <c:v>120.11087575951389</c:v>
                </c:pt>
                <c:pt idx="213">
                  <c:v>118.54267898358924</c:v>
                </c:pt>
                <c:pt idx="214">
                  <c:v>117.45167667029952</c:v>
                </c:pt>
                <c:pt idx="215">
                  <c:v>116.16493180551382</c:v>
                </c:pt>
                <c:pt idx="216">
                  <c:v>115.33229351301382</c:v>
                </c:pt>
                <c:pt idx="217">
                  <c:v>117.41847379858469</c:v>
                </c:pt>
                <c:pt idx="218">
                  <c:v>115.92864658413447</c:v>
                </c:pt>
                <c:pt idx="219">
                  <c:v>115.36289325871519</c:v>
                </c:pt>
                <c:pt idx="220">
                  <c:v>115.74144986783622</c:v>
                </c:pt>
                <c:pt idx="221">
                  <c:v>119.28541631911416</c:v>
                </c:pt>
                <c:pt idx="222">
                  <c:v>118.14972651368359</c:v>
                </c:pt>
                <c:pt idx="223">
                  <c:v>119.17169698038488</c:v>
                </c:pt>
                <c:pt idx="224">
                  <c:v>119.66037149444064</c:v>
                </c:pt>
                <c:pt idx="225">
                  <c:v>120.6784254907613</c:v>
                </c:pt>
                <c:pt idx="226">
                  <c:v>122.61528343321892</c:v>
                </c:pt>
                <c:pt idx="227">
                  <c:v>124.16529474718222</c:v>
                </c:pt>
                <c:pt idx="228">
                  <c:v>122.48307610353251</c:v>
                </c:pt>
                <c:pt idx="229">
                  <c:v>120.95174447051437</c:v>
                </c:pt>
                <c:pt idx="230">
                  <c:v>120.25319784956396</c:v>
                </c:pt>
                <c:pt idx="231">
                  <c:v>123.10233949001902</c:v>
                </c:pt>
                <c:pt idx="232">
                  <c:v>123.92204535353993</c:v>
                </c:pt>
                <c:pt idx="233">
                  <c:v>121.8083230627005</c:v>
                </c:pt>
                <c:pt idx="234">
                  <c:v>120.6405027142078</c:v>
                </c:pt>
                <c:pt idx="235">
                  <c:v>122.71622346654495</c:v>
                </c:pt>
                <c:pt idx="236">
                  <c:v>123.62170794422072</c:v>
                </c:pt>
                <c:pt idx="237">
                  <c:v>125.31205937744599</c:v>
                </c:pt>
                <c:pt idx="238">
                  <c:v>126.48252651981353</c:v>
                </c:pt>
                <c:pt idx="239">
                  <c:v>125.69625726091621</c:v>
                </c:pt>
                <c:pt idx="240">
                  <c:v>125.85743565289681</c:v>
                </c:pt>
                <c:pt idx="241">
                  <c:v>124.59155877140456</c:v>
                </c:pt>
                <c:pt idx="242">
                  <c:v>122.58728847325638</c:v>
                </c:pt>
                <c:pt idx="243">
                  <c:v>121.76546092023456</c:v>
                </c:pt>
                <c:pt idx="244">
                  <c:v>123.10136267804074</c:v>
                </c:pt>
                <c:pt idx="245">
                  <c:v>123.38193048561052</c:v>
                </c:pt>
                <c:pt idx="246">
                  <c:v>125.14022512391766</c:v>
                </c:pt>
                <c:pt idx="247">
                  <c:v>121.09656966800074</c:v>
                </c:pt>
                <c:pt idx="248">
                  <c:v>120.41652715233408</c:v>
                </c:pt>
                <c:pt idx="249">
                  <c:v>116.71069292824585</c:v>
                </c:pt>
                <c:pt idx="250">
                  <c:v>117.53800069686486</c:v>
                </c:pt>
                <c:pt idx="251">
                  <c:v>119.16763975941645</c:v>
                </c:pt>
                <c:pt idx="252">
                  <c:v>120.70153994083178</c:v>
                </c:pt>
                <c:pt idx="253">
                  <c:v>116.08849543735823</c:v>
                </c:pt>
                <c:pt idx="254">
                  <c:v>117.39797464988067</c:v>
                </c:pt>
                <c:pt idx="255">
                  <c:v>117.65848895820569</c:v>
                </c:pt>
                <c:pt idx="256">
                  <c:v>118.36374030412823</c:v>
                </c:pt>
                <c:pt idx="257">
                  <c:v>119.26400772092322</c:v>
                </c:pt>
                <c:pt idx="258">
                  <c:v>120.99108322986004</c:v>
                </c:pt>
                <c:pt idx="259">
                  <c:v>120.00404234087753</c:v>
                </c:pt>
                <c:pt idx="260">
                  <c:v>119.65527390937646</c:v>
                </c:pt>
                <c:pt idx="261">
                  <c:v>122.16558609657267</c:v>
                </c:pt>
                <c:pt idx="262">
                  <c:v>120.53425501760445</c:v>
                </c:pt>
                <c:pt idx="263">
                  <c:v>123.12960667117697</c:v>
                </c:pt>
                <c:pt idx="264">
                  <c:v>121.53305657541881</c:v>
                </c:pt>
                <c:pt idx="265">
                  <c:v>120.70217299817048</c:v>
                </c:pt>
                <c:pt idx="266">
                  <c:v>122.66856617094899</c:v>
                </c:pt>
                <c:pt idx="267">
                  <c:v>122.14037115529472</c:v>
                </c:pt>
                <c:pt idx="268">
                  <c:v>120.55389062315598</c:v>
                </c:pt>
                <c:pt idx="269">
                  <c:v>123.20783954739593</c:v>
                </c:pt>
                <c:pt idx="270">
                  <c:v>123.98164199689315</c:v>
                </c:pt>
                <c:pt idx="271">
                  <c:v>123.98438660141582</c:v>
                </c:pt>
                <c:pt idx="272">
                  <c:v>123.57536569890087</c:v>
                </c:pt>
                <c:pt idx="273">
                  <c:v>122.19426975703718</c:v>
                </c:pt>
                <c:pt idx="274">
                  <c:v>122.36840100855275</c:v>
                </c:pt>
                <c:pt idx="275">
                  <c:v>123.65184942117571</c:v>
                </c:pt>
                <c:pt idx="276">
                  <c:v>117.19608380111728</c:v>
                </c:pt>
                <c:pt idx="277">
                  <c:v>115.17051858520041</c:v>
                </c:pt>
                <c:pt idx="278">
                  <c:v>115.82815930987614</c:v>
                </c:pt>
                <c:pt idx="279">
                  <c:v>117.2764077891284</c:v>
                </c:pt>
                <c:pt idx="280">
                  <c:v>113.30955837015874</c:v>
                </c:pt>
                <c:pt idx="281">
                  <c:v>115.68658791863643</c:v>
                </c:pt>
                <c:pt idx="282">
                  <c:v>117.65342495058418</c:v>
                </c:pt>
                <c:pt idx="283">
                  <c:v>114.8025041829473</c:v>
                </c:pt>
                <c:pt idx="284">
                  <c:v>117.01912080803481</c:v>
                </c:pt>
                <c:pt idx="285">
                  <c:v>116.60944919693394</c:v>
                </c:pt>
                <c:pt idx="286">
                  <c:v>119.92184362343085</c:v>
                </c:pt>
                <c:pt idx="287">
                  <c:v>116.71106072931919</c:v>
                </c:pt>
                <c:pt idx="288">
                  <c:v>114.91501094824775</c:v>
                </c:pt>
                <c:pt idx="289">
                  <c:v>113.69464006677312</c:v>
                </c:pt>
                <c:pt idx="290">
                  <c:v>112.39038528356437</c:v>
                </c:pt>
                <c:pt idx="291">
                  <c:v>113.11211760382051</c:v>
                </c:pt>
                <c:pt idx="292">
                  <c:v>113.46692193600067</c:v>
                </c:pt>
                <c:pt idx="293">
                  <c:v>114.07554086130153</c:v>
                </c:pt>
                <c:pt idx="294">
                  <c:v>112.16268594238096</c:v>
                </c:pt>
                <c:pt idx="295">
                  <c:v>110.72434392951611</c:v>
                </c:pt>
                <c:pt idx="296">
                  <c:v>111.42931044248364</c:v>
                </c:pt>
                <c:pt idx="297">
                  <c:v>112.02070981036142</c:v>
                </c:pt>
                <c:pt idx="298">
                  <c:v>114.45847106996914</c:v>
                </c:pt>
                <c:pt idx="299">
                  <c:v>110.13630948447721</c:v>
                </c:pt>
                <c:pt idx="300">
                  <c:v>113.13859539702759</c:v>
                </c:pt>
                <c:pt idx="301">
                  <c:v>111.36825593143652</c:v>
                </c:pt>
                <c:pt idx="302">
                  <c:v>110.96490513899445</c:v>
                </c:pt>
                <c:pt idx="303">
                  <c:v>111.27437561849445</c:v>
                </c:pt>
                <c:pt idx="304">
                  <c:v>110.75750220103052</c:v>
                </c:pt>
                <c:pt idx="305">
                  <c:v>109.7069170645742</c:v>
                </c:pt>
                <c:pt idx="306">
                  <c:v>109.08915510930976</c:v>
                </c:pt>
                <c:pt idx="307">
                  <c:v>108.84951357929923</c:v>
                </c:pt>
                <c:pt idx="308">
                  <c:v>107.08222852787918</c:v>
                </c:pt>
                <c:pt idx="309">
                  <c:v>106.94406765850418</c:v>
                </c:pt>
                <c:pt idx="310">
                  <c:v>109.49430350931904</c:v>
                </c:pt>
                <c:pt idx="311">
                  <c:v>107.81285780931904</c:v>
                </c:pt>
                <c:pt idx="312">
                  <c:v>110.19758938741782</c:v>
                </c:pt>
                <c:pt idx="313">
                  <c:v>108.71795765428895</c:v>
                </c:pt>
                <c:pt idx="314">
                  <c:v>111.13161827881206</c:v>
                </c:pt>
                <c:pt idx="315">
                  <c:v>111.00964652492155</c:v>
                </c:pt>
                <c:pt idx="316">
                  <c:v>113.92728183037308</c:v>
                </c:pt>
                <c:pt idx="317">
                  <c:v>102.70478615609136</c:v>
                </c:pt>
                <c:pt idx="318">
                  <c:v>103.93646127187475</c:v>
                </c:pt>
                <c:pt idx="319">
                  <c:v>103.57823753580018</c:v>
                </c:pt>
                <c:pt idx="320">
                  <c:v>106.830025701702</c:v>
                </c:pt>
                <c:pt idx="321">
                  <c:v>102.3453003496587</c:v>
                </c:pt>
                <c:pt idx="322">
                  <c:v>108.20472085568483</c:v>
                </c:pt>
                <c:pt idx="323">
                  <c:v>96.645983134530965</c:v>
                </c:pt>
                <c:pt idx="324">
                  <c:v>97.144971851750654</c:v>
                </c:pt>
                <c:pt idx="325">
                  <c:v>94.616517080660529</c:v>
                </c:pt>
                <c:pt idx="326">
                  <c:v>93.217578959003049</c:v>
                </c:pt>
                <c:pt idx="327">
                  <c:v>92.666054543866764</c:v>
                </c:pt>
                <c:pt idx="328">
                  <c:v>92.286283172973157</c:v>
                </c:pt>
                <c:pt idx="329">
                  <c:v>91.584527424200573</c:v>
                </c:pt>
                <c:pt idx="330">
                  <c:v>92.583804948331391</c:v>
                </c:pt>
                <c:pt idx="331">
                  <c:v>91.129999165785932</c:v>
                </c:pt>
                <c:pt idx="332">
                  <c:v>91.355846656367206</c:v>
                </c:pt>
                <c:pt idx="333">
                  <c:v>90.104660611099717</c:v>
                </c:pt>
                <c:pt idx="334">
                  <c:v>90.119185678128062</c:v>
                </c:pt>
                <c:pt idx="335">
                  <c:v>89.821206775538286</c:v>
                </c:pt>
                <c:pt idx="336">
                  <c:v>89.556190692103854</c:v>
                </c:pt>
                <c:pt idx="337">
                  <c:v>92.29702779525266</c:v>
                </c:pt>
                <c:pt idx="338">
                  <c:v>91.906966701050678</c:v>
                </c:pt>
                <c:pt idx="339">
                  <c:v>91.017884670338731</c:v>
                </c:pt>
                <c:pt idx="340">
                  <c:v>90.193109746333732</c:v>
                </c:pt>
                <c:pt idx="341">
                  <c:v>89.976794157883617</c:v>
                </c:pt>
                <c:pt idx="342">
                  <c:v>91.461208001574306</c:v>
                </c:pt>
                <c:pt idx="343">
                  <c:v>88.594673527136962</c:v>
                </c:pt>
                <c:pt idx="344">
                  <c:v>88.529921444940825</c:v>
                </c:pt>
                <c:pt idx="345">
                  <c:v>86.310730247100295</c:v>
                </c:pt>
                <c:pt idx="346">
                  <c:v>86.170473902791514</c:v>
                </c:pt>
                <c:pt idx="347">
                  <c:v>85.201433427100568</c:v>
                </c:pt>
                <c:pt idx="348">
                  <c:v>88.463754312483118</c:v>
                </c:pt>
                <c:pt idx="349">
                  <c:v>84.532089269310305</c:v>
                </c:pt>
                <c:pt idx="350">
                  <c:v>81.840382484129307</c:v>
                </c:pt>
                <c:pt idx="351">
                  <c:v>79.346702773631421</c:v>
                </c:pt>
                <c:pt idx="352">
                  <c:v>78.378712209140431</c:v>
                </c:pt>
                <c:pt idx="353">
                  <c:v>71.75857237386829</c:v>
                </c:pt>
                <c:pt idx="354">
                  <c:v>70.738135113634868</c:v>
                </c:pt>
                <c:pt idx="355">
                  <c:v>71.467093614194496</c:v>
                </c:pt>
                <c:pt idx="356">
                  <c:v>72.113361602675525</c:v>
                </c:pt>
                <c:pt idx="357">
                  <c:v>70.281871789018993</c:v>
                </c:pt>
                <c:pt idx="358">
                  <c:v>70.031736067904035</c:v>
                </c:pt>
                <c:pt idx="359">
                  <c:v>69.764641515778536</c:v>
                </c:pt>
                <c:pt idx="360">
                  <c:v>69.07731979181176</c:v>
                </c:pt>
                <c:pt idx="361">
                  <c:v>66.945160845847852</c:v>
                </c:pt>
                <c:pt idx="362">
                  <c:v>69.731341820954427</c:v>
                </c:pt>
                <c:pt idx="363">
                  <c:v>68.54339351838685</c:v>
                </c:pt>
                <c:pt idx="364">
                  <c:v>68.507026444515063</c:v>
                </c:pt>
                <c:pt idx="365">
                  <c:v>67.927641046015069</c:v>
                </c:pt>
                <c:pt idx="366">
                  <c:v>69.018958613178867</c:v>
                </c:pt>
                <c:pt idx="367">
                  <c:v>67.746908938166939</c:v>
                </c:pt>
                <c:pt idx="368">
                  <c:v>69.259977182215721</c:v>
                </c:pt>
                <c:pt idx="369">
                  <c:v>69.89104605096793</c:v>
                </c:pt>
                <c:pt idx="370">
                  <c:v>69.926915468657327</c:v>
                </c:pt>
                <c:pt idx="371">
                  <c:v>68.073591755424758</c:v>
                </c:pt>
                <c:pt idx="372">
                  <c:v>70.220654156325168</c:v>
                </c:pt>
                <c:pt idx="373">
                  <c:v>68.300585455077425</c:v>
                </c:pt>
                <c:pt idx="374">
                  <c:v>70.027108628395226</c:v>
                </c:pt>
                <c:pt idx="375">
                  <c:v>67.279586531728569</c:v>
                </c:pt>
                <c:pt idx="376">
                  <c:v>68.331446741556505</c:v>
                </c:pt>
                <c:pt idx="377">
                  <c:v>65.794467374274873</c:v>
                </c:pt>
                <c:pt idx="378">
                  <c:v>64.911540837616059</c:v>
                </c:pt>
                <c:pt idx="379">
                  <c:v>64.421277130458037</c:v>
                </c:pt>
                <c:pt idx="380">
                  <c:v>61.749628626446224</c:v>
                </c:pt>
                <c:pt idx="381">
                  <c:v>63.552240608095879</c:v>
                </c:pt>
                <c:pt idx="382">
                  <c:v>61.48909781666535</c:v>
                </c:pt>
                <c:pt idx="383">
                  <c:v>62.697353912473467</c:v>
                </c:pt>
                <c:pt idx="384">
                  <c:v>62.435003155391243</c:v>
                </c:pt>
                <c:pt idx="385">
                  <c:v>61.914498047492295</c:v>
                </c:pt>
                <c:pt idx="386">
                  <c:v>63.828508771798184</c:v>
                </c:pt>
                <c:pt idx="387">
                  <c:v>63.365409554565026</c:v>
                </c:pt>
                <c:pt idx="388">
                  <c:v>63.172042056675465</c:v>
                </c:pt>
                <c:pt idx="389">
                  <c:v>66.377328832862005</c:v>
                </c:pt>
                <c:pt idx="390">
                  <c:v>69.903121216774451</c:v>
                </c:pt>
                <c:pt idx="391">
                  <c:v>73.118311492161027</c:v>
                </c:pt>
                <c:pt idx="392">
                  <c:v>77.307279845124484</c:v>
                </c:pt>
                <c:pt idx="393">
                  <c:v>73.362818521384781</c:v>
                </c:pt>
                <c:pt idx="394">
                  <c:v>73.143285165047985</c:v>
                </c:pt>
                <c:pt idx="395">
                  <c:v>73.203863823282433</c:v>
                </c:pt>
                <c:pt idx="396">
                  <c:v>67.840869165313677</c:v>
                </c:pt>
                <c:pt idx="397">
                  <c:v>85.870752190782824</c:v>
                </c:pt>
                <c:pt idx="398">
                  <c:v>76.145304332028616</c:v>
                </c:pt>
                <c:pt idx="399">
                  <c:v>73.858632059119515</c:v>
                </c:pt>
                <c:pt idx="400">
                  <c:v>67.07642902210506</c:v>
                </c:pt>
                <c:pt idx="401">
                  <c:v>68.772519342253148</c:v>
                </c:pt>
                <c:pt idx="402">
                  <c:v>64.764715175294299</c:v>
                </c:pt>
                <c:pt idx="403">
                  <c:v>66.316799338651961</c:v>
                </c:pt>
                <c:pt idx="404">
                  <c:v>72.190834691414892</c:v>
                </c:pt>
                <c:pt idx="405">
                  <c:v>70.27857616303109</c:v>
                </c:pt>
                <c:pt idx="406">
                  <c:v>65.645771312433027</c:v>
                </c:pt>
                <c:pt idx="407">
                  <c:v>67.107258066529283</c:v>
                </c:pt>
                <c:pt idx="408">
                  <c:v>62.153606965498867</c:v>
                </c:pt>
                <c:pt idx="409">
                  <c:v>60.68769134036593</c:v>
                </c:pt>
                <c:pt idx="410">
                  <c:v>59.743694608225567</c:v>
                </c:pt>
                <c:pt idx="411">
                  <c:v>60.630197015648434</c:v>
                </c:pt>
                <c:pt idx="412">
                  <c:v>59.076956229446303</c:v>
                </c:pt>
                <c:pt idx="413">
                  <c:v>62.427143813794878</c:v>
                </c:pt>
                <c:pt idx="414">
                  <c:v>60.521215523677519</c:v>
                </c:pt>
                <c:pt idx="415">
                  <c:v>59.450130247527142</c:v>
                </c:pt>
                <c:pt idx="416">
                  <c:v>63.111926495637562</c:v>
                </c:pt>
                <c:pt idx="417">
                  <c:v>61.661979867848096</c:v>
                </c:pt>
                <c:pt idx="418">
                  <c:v>59.369583290217307</c:v>
                </c:pt>
                <c:pt idx="419">
                  <c:v>56.764470741761045</c:v>
                </c:pt>
                <c:pt idx="420">
                  <c:v>59.776376200094376</c:v>
                </c:pt>
                <c:pt idx="421">
                  <c:v>56.861773843661148</c:v>
                </c:pt>
                <c:pt idx="422">
                  <c:v>55.816283992991693</c:v>
                </c:pt>
                <c:pt idx="423">
                  <c:v>57.575444210932631</c:v>
                </c:pt>
                <c:pt idx="424">
                  <c:v>57.639928703310687</c:v>
                </c:pt>
                <c:pt idx="425">
                  <c:v>56.156156998977359</c:v>
                </c:pt>
                <c:pt idx="426">
                  <c:v>55.104137725053754</c:v>
                </c:pt>
                <c:pt idx="427">
                  <c:v>55.498590364387091</c:v>
                </c:pt>
                <c:pt idx="428">
                  <c:v>60.368988591720431</c:v>
                </c:pt>
                <c:pt idx="429">
                  <c:v>66.204262223568449</c:v>
                </c:pt>
                <c:pt idx="430">
                  <c:v>63.460716949186001</c:v>
                </c:pt>
                <c:pt idx="431">
                  <c:v>61.40370903172677</c:v>
                </c:pt>
                <c:pt idx="432">
                  <c:v>61.47485701676586</c:v>
                </c:pt>
                <c:pt idx="433">
                  <c:v>58.892481913137964</c:v>
                </c:pt>
                <c:pt idx="434">
                  <c:v>57.91249583440964</c:v>
                </c:pt>
                <c:pt idx="435">
                  <c:v>58.538946842785634</c:v>
                </c:pt>
                <c:pt idx="436">
                  <c:v>58.819559870138328</c:v>
                </c:pt>
                <c:pt idx="437">
                  <c:v>56.769618550196533</c:v>
                </c:pt>
                <c:pt idx="438">
                  <c:v>55.194731816534997</c:v>
                </c:pt>
                <c:pt idx="439">
                  <c:v>55.999196365963563</c:v>
                </c:pt>
                <c:pt idx="440">
                  <c:v>55.679220567674676</c:v>
                </c:pt>
                <c:pt idx="441">
                  <c:v>55.034697896924676</c:v>
                </c:pt>
                <c:pt idx="442">
                  <c:v>55.84001628703426</c:v>
                </c:pt>
                <c:pt idx="443">
                  <c:v>56.596032704351337</c:v>
                </c:pt>
                <c:pt idx="444">
                  <c:v>55.532875717708485</c:v>
                </c:pt>
                <c:pt idx="445">
                  <c:v>54.862281992389335</c:v>
                </c:pt>
                <c:pt idx="446">
                  <c:v>54.317015989223876</c:v>
                </c:pt>
                <c:pt idx="447">
                  <c:v>56.027220705804119</c:v>
                </c:pt>
                <c:pt idx="448">
                  <c:v>53.528927254036446</c:v>
                </c:pt>
                <c:pt idx="449">
                  <c:v>52.23028706982781</c:v>
                </c:pt>
                <c:pt idx="450">
                  <c:v>51.72346450391872</c:v>
                </c:pt>
                <c:pt idx="451">
                  <c:v>50.963185856723321</c:v>
                </c:pt>
                <c:pt idx="452">
                  <c:v>52.03661752830822</c:v>
                </c:pt>
                <c:pt idx="453">
                  <c:v>51.685195267526971</c:v>
                </c:pt>
                <c:pt idx="454">
                  <c:v>51.532588396981517</c:v>
                </c:pt>
                <c:pt idx="455">
                  <c:v>51.226067745095804</c:v>
                </c:pt>
                <c:pt idx="456">
                  <c:v>51.958028583002481</c:v>
                </c:pt>
                <c:pt idx="457">
                  <c:v>53.116223710462798</c:v>
                </c:pt>
                <c:pt idx="458">
                  <c:v>53.424719066414021</c:v>
                </c:pt>
                <c:pt idx="459">
                  <c:v>53.983798738590487</c:v>
                </c:pt>
                <c:pt idx="460">
                  <c:v>54.976421863938313</c:v>
                </c:pt>
                <c:pt idx="461">
                  <c:v>55.623402930619633</c:v>
                </c:pt>
                <c:pt idx="462">
                  <c:v>55.11255475184543</c:v>
                </c:pt>
                <c:pt idx="463">
                  <c:v>54.45930840422799</c:v>
                </c:pt>
                <c:pt idx="464">
                  <c:v>54.835836702525853</c:v>
                </c:pt>
                <c:pt idx="465">
                  <c:v>56.847549833636563</c:v>
                </c:pt>
                <c:pt idx="466">
                  <c:v>53.915423943969898</c:v>
                </c:pt>
                <c:pt idx="467">
                  <c:v>53.168191830602559</c:v>
                </c:pt>
                <c:pt idx="468">
                  <c:v>53.065370141247726</c:v>
                </c:pt>
                <c:pt idx="469">
                  <c:v>53.039106742811356</c:v>
                </c:pt>
                <c:pt idx="470">
                  <c:v>53.532564859173057</c:v>
                </c:pt>
                <c:pt idx="471">
                  <c:v>53.808993072249983</c:v>
                </c:pt>
                <c:pt idx="472">
                  <c:v>54.305108717413255</c:v>
                </c:pt>
                <c:pt idx="473">
                  <c:v>55.669842609691024</c:v>
                </c:pt>
                <c:pt idx="474">
                  <c:v>54.172626437397327</c:v>
                </c:pt>
                <c:pt idx="475">
                  <c:v>55.2068418664714</c:v>
                </c:pt>
                <c:pt idx="476">
                  <c:v>53.637246765176059</c:v>
                </c:pt>
                <c:pt idx="477">
                  <c:v>51.978297574289357</c:v>
                </c:pt>
                <c:pt idx="478">
                  <c:v>50.773609751478403</c:v>
                </c:pt>
                <c:pt idx="479">
                  <c:v>54.405100665953483</c:v>
                </c:pt>
                <c:pt idx="480">
                  <c:v>55.867718406270846</c:v>
                </c:pt>
                <c:pt idx="481">
                  <c:v>52.128148551012174</c:v>
                </c:pt>
                <c:pt idx="482">
                  <c:v>51.98276492159961</c:v>
                </c:pt>
                <c:pt idx="483">
                  <c:v>51.780177355054164</c:v>
                </c:pt>
                <c:pt idx="484">
                  <c:v>51.570841306421066</c:v>
                </c:pt>
                <c:pt idx="485">
                  <c:v>45.522802087999125</c:v>
                </c:pt>
                <c:pt idx="486">
                  <c:v>42.332649458609296</c:v>
                </c:pt>
                <c:pt idx="487">
                  <c:v>43.602305856763145</c:v>
                </c:pt>
                <c:pt idx="488">
                  <c:v>44.398771708210511</c:v>
                </c:pt>
                <c:pt idx="489">
                  <c:v>43.887860479877169</c:v>
                </c:pt>
                <c:pt idx="490">
                  <c:v>42.108014624469007</c:v>
                </c:pt>
                <c:pt idx="491">
                  <c:v>40.437486644469004</c:v>
                </c:pt>
                <c:pt idx="492">
                  <c:v>40.997685655893008</c:v>
                </c:pt>
                <c:pt idx="493">
                  <c:v>39.215889736239554</c:v>
                </c:pt>
                <c:pt idx="494">
                  <c:v>40.977676892198254</c:v>
                </c:pt>
                <c:pt idx="495">
                  <c:v>41.590507190571032</c:v>
                </c:pt>
                <c:pt idx="496">
                  <c:v>41.53281200827103</c:v>
                </c:pt>
                <c:pt idx="497">
                  <c:v>40.996796512571031</c:v>
                </c:pt>
                <c:pt idx="498">
                  <c:v>41.434250877515481</c:v>
                </c:pt>
                <c:pt idx="499">
                  <c:v>39.234718857515482</c:v>
                </c:pt>
                <c:pt idx="500">
                  <c:v>41.211790314350019</c:v>
                </c:pt>
                <c:pt idx="501">
                  <c:v>40.641722502137242</c:v>
                </c:pt>
                <c:pt idx="502">
                  <c:v>41.026045241859464</c:v>
                </c:pt>
                <c:pt idx="503">
                  <c:v>40.248804504368557</c:v>
                </c:pt>
                <c:pt idx="504">
                  <c:v>39.506826776028127</c:v>
                </c:pt>
                <c:pt idx="505">
                  <c:v>39.256282413056098</c:v>
                </c:pt>
                <c:pt idx="506">
                  <c:v>38.066742721021015</c:v>
                </c:pt>
                <c:pt idx="507">
                  <c:v>38.435121900904512</c:v>
                </c:pt>
                <c:pt idx="508">
                  <c:v>36.837842965766392</c:v>
                </c:pt>
                <c:pt idx="509">
                  <c:v>35.280536640601561</c:v>
                </c:pt>
                <c:pt idx="510">
                  <c:v>35.842272848573849</c:v>
                </c:pt>
                <c:pt idx="511">
                  <c:v>34.433037780977145</c:v>
                </c:pt>
                <c:pt idx="512">
                  <c:v>39.101711655217649</c:v>
                </c:pt>
                <c:pt idx="513">
                  <c:v>39.632705571941273</c:v>
                </c:pt>
                <c:pt idx="514">
                  <c:v>43.330436767665212</c:v>
                </c:pt>
                <c:pt idx="515">
                  <c:v>49.520074915482475</c:v>
                </c:pt>
                <c:pt idx="516">
                  <c:v>46.318754573001861</c:v>
                </c:pt>
                <c:pt idx="517">
                  <c:v>46.235929949654036</c:v>
                </c:pt>
                <c:pt idx="518">
                  <c:v>45.131051477857426</c:v>
                </c:pt>
                <c:pt idx="519">
                  <c:v>46.052608853926834</c:v>
                </c:pt>
                <c:pt idx="520">
                  <c:v>44.187765195489327</c:v>
                </c:pt>
                <c:pt idx="521">
                  <c:v>45.796202651318602</c:v>
                </c:pt>
                <c:pt idx="522">
                  <c:v>43.587923535876953</c:v>
                </c:pt>
                <c:pt idx="523">
                  <c:v>43.760457712790618</c:v>
                </c:pt>
                <c:pt idx="524">
                  <c:v>40.290334756417479</c:v>
                </c:pt>
                <c:pt idx="525">
                  <c:v>44.521058266574236</c:v>
                </c:pt>
                <c:pt idx="526">
                  <c:v>43.317965292615902</c:v>
                </c:pt>
                <c:pt idx="527">
                  <c:v>45.173919040778763</c:v>
                </c:pt>
                <c:pt idx="528">
                  <c:v>47.650386771617079</c:v>
                </c:pt>
                <c:pt idx="529">
                  <c:v>50.561314228847849</c:v>
                </c:pt>
                <c:pt idx="530">
                  <c:v>49.054696221071929</c:v>
                </c:pt>
                <c:pt idx="531">
                  <c:v>48.539823383745194</c:v>
                </c:pt>
                <c:pt idx="532">
                  <c:v>51.39029279646774</c:v>
                </c:pt>
                <c:pt idx="533">
                  <c:v>52.873455575178021</c:v>
                </c:pt>
                <c:pt idx="534">
                  <c:v>52.887058749650436</c:v>
                </c:pt>
                <c:pt idx="535">
                  <c:v>53.639090857586211</c:v>
                </c:pt>
                <c:pt idx="536">
                  <c:v>51.281506552261376</c:v>
                </c:pt>
                <c:pt idx="537">
                  <c:v>49.308048048128924</c:v>
                </c:pt>
                <c:pt idx="538">
                  <c:v>42.347993930040708</c:v>
                </c:pt>
                <c:pt idx="539">
                  <c:v>39.801768628802613</c:v>
                </c:pt>
                <c:pt idx="540">
                  <c:v>40.087230488135944</c:v>
                </c:pt>
                <c:pt idx="541">
                  <c:v>36.930085236620791</c:v>
                </c:pt>
                <c:pt idx="542">
                  <c:v>34.761928475224956</c:v>
                </c:pt>
                <c:pt idx="543">
                  <c:v>36.673380945980512</c:v>
                </c:pt>
                <c:pt idx="544">
                  <c:v>34.556250470257744</c:v>
                </c:pt>
                <c:pt idx="545">
                  <c:v>31.5372695688941</c:v>
                </c:pt>
                <c:pt idx="546">
                  <c:v>33.126971679694101</c:v>
                </c:pt>
                <c:pt idx="547">
                  <c:v>35.101229904387651</c:v>
                </c:pt>
                <c:pt idx="548">
                  <c:v>37.272185181387627</c:v>
                </c:pt>
                <c:pt idx="549">
                  <c:v>34.100068683654293</c:v>
                </c:pt>
                <c:pt idx="550">
                  <c:v>35.777852254631803</c:v>
                </c:pt>
                <c:pt idx="551">
                  <c:v>36.389668698939502</c:v>
                </c:pt>
                <c:pt idx="552">
                  <c:v>35.518971809484967</c:v>
                </c:pt>
                <c:pt idx="553">
                  <c:v>37.046106233471086</c:v>
                </c:pt>
                <c:pt idx="554">
                  <c:v>34.565834694737745</c:v>
                </c:pt>
                <c:pt idx="555">
                  <c:v>32.517555355721349</c:v>
                </c:pt>
                <c:pt idx="556">
                  <c:v>31.531291576309581</c:v>
                </c:pt>
                <c:pt idx="557">
                  <c:v>31.954155498835899</c:v>
                </c:pt>
                <c:pt idx="558">
                  <c:v>31.826178726835899</c:v>
                </c:pt>
                <c:pt idx="559">
                  <c:v>32.068934710679038</c:v>
                </c:pt>
                <c:pt idx="560">
                  <c:v>32.190417131145701</c:v>
                </c:pt>
                <c:pt idx="561">
                  <c:v>32.861483822977284</c:v>
                </c:pt>
                <c:pt idx="562">
                  <c:v>34.072510135005857</c:v>
                </c:pt>
                <c:pt idx="563">
                  <c:v>33.681137734053472</c:v>
                </c:pt>
                <c:pt idx="564">
                  <c:v>33.554594729073479</c:v>
                </c:pt>
                <c:pt idx="565">
                  <c:v>34.271350746323478</c:v>
                </c:pt>
                <c:pt idx="566">
                  <c:v>33.979525931000907</c:v>
                </c:pt>
                <c:pt idx="567">
                  <c:v>32.75633981342515</c:v>
                </c:pt>
                <c:pt idx="568">
                  <c:v>33.878240373503786</c:v>
                </c:pt>
                <c:pt idx="569">
                  <c:v>32.814245859079001</c:v>
                </c:pt>
                <c:pt idx="570">
                  <c:v>29.457467015064907</c:v>
                </c:pt>
                <c:pt idx="571">
                  <c:v>28.553217064131584</c:v>
                </c:pt>
                <c:pt idx="572">
                  <c:v>27.41235832235084</c:v>
                </c:pt>
                <c:pt idx="573">
                  <c:v>22.437463229852732</c:v>
                </c:pt>
                <c:pt idx="574">
                  <c:v>22.521952789297174</c:v>
                </c:pt>
                <c:pt idx="575">
                  <c:v>22.349947815650125</c:v>
                </c:pt>
                <c:pt idx="576">
                  <c:v>22.24351154184524</c:v>
                </c:pt>
                <c:pt idx="577">
                  <c:v>24.130492632691393</c:v>
                </c:pt>
                <c:pt idx="578">
                  <c:v>21.772973364606283</c:v>
                </c:pt>
                <c:pt idx="579">
                  <c:v>17.407015868026971</c:v>
                </c:pt>
                <c:pt idx="580">
                  <c:v>19.487323774365958</c:v>
                </c:pt>
                <c:pt idx="581">
                  <c:v>22.020417809845632</c:v>
                </c:pt>
                <c:pt idx="582">
                  <c:v>24.550783792499843</c:v>
                </c:pt>
                <c:pt idx="583">
                  <c:v>24.704853025460739</c:v>
                </c:pt>
                <c:pt idx="584">
                  <c:v>24.970497040243337</c:v>
                </c:pt>
                <c:pt idx="585">
                  <c:v>24.17010959491499</c:v>
                </c:pt>
                <c:pt idx="586">
                  <c:v>26.692006726359441</c:v>
                </c:pt>
                <c:pt idx="587">
                  <c:v>20.428107101707699</c:v>
                </c:pt>
                <c:pt idx="588">
                  <c:v>28.699022543011925</c:v>
                </c:pt>
                <c:pt idx="589">
                  <c:v>33.388763734988657</c:v>
                </c:pt>
                <c:pt idx="590">
                  <c:v>36.668335887174493</c:v>
                </c:pt>
                <c:pt idx="591">
                  <c:v>38.112316111246585</c:v>
                </c:pt>
                <c:pt idx="592">
                  <c:v>28.824394035766577</c:v>
                </c:pt>
                <c:pt idx="593">
                  <c:v>28.752458044364651</c:v>
                </c:pt>
                <c:pt idx="594">
                  <c:v>33.296918030861207</c:v>
                </c:pt>
                <c:pt idx="595">
                  <c:v>31.677457959708732</c:v>
                </c:pt>
                <c:pt idx="596">
                  <c:v>40.999235787245716</c:v>
                </c:pt>
                <c:pt idx="597">
                  <c:v>36.800989560923867</c:v>
                </c:pt>
                <c:pt idx="598">
                  <c:v>31.85479466332286</c:v>
                </c:pt>
                <c:pt idx="599">
                  <c:v>33.152308717045436</c:v>
                </c:pt>
                <c:pt idx="600">
                  <c:v>27.214159861014718</c:v>
                </c:pt>
                <c:pt idx="601">
                  <c:v>22.715494018750331</c:v>
                </c:pt>
                <c:pt idx="602">
                  <c:v>19.994964673513216</c:v>
                </c:pt>
                <c:pt idx="603">
                  <c:v>22.925827298565242</c:v>
                </c:pt>
                <c:pt idx="604">
                  <c:v>20.812273832080386</c:v>
                </c:pt>
                <c:pt idx="605">
                  <c:v>19.262524720944029</c:v>
                </c:pt>
                <c:pt idx="606">
                  <c:v>16.532987673164953</c:v>
                </c:pt>
                <c:pt idx="607">
                  <c:v>14.513121951164958</c:v>
                </c:pt>
                <c:pt idx="608">
                  <c:v>13.706225100917338</c:v>
                </c:pt>
                <c:pt idx="609">
                  <c:v>12.171941325317343</c:v>
                </c:pt>
                <c:pt idx="610">
                  <c:v>13.149845202639078</c:v>
                </c:pt>
                <c:pt idx="611">
                  <c:v>12.501070308210508</c:v>
                </c:pt>
                <c:pt idx="612">
                  <c:v>13.374537152374444</c:v>
                </c:pt>
                <c:pt idx="613">
                  <c:v>8.1536479335510457</c:v>
                </c:pt>
                <c:pt idx="614">
                  <c:v>10.111544476307808</c:v>
                </c:pt>
                <c:pt idx="615">
                  <c:v>11.314983502841145</c:v>
                </c:pt>
                <c:pt idx="616">
                  <c:v>10.604514460558701</c:v>
                </c:pt>
                <c:pt idx="617">
                  <c:v>8.16328932927299</c:v>
                </c:pt>
                <c:pt idx="618">
                  <c:v>8.8267805661191439</c:v>
                </c:pt>
                <c:pt idx="619">
                  <c:v>9.3568579827507197</c:v>
                </c:pt>
                <c:pt idx="620">
                  <c:v>10.856125359977996</c:v>
                </c:pt>
                <c:pt idx="621">
                  <c:v>11.823145454977984</c:v>
                </c:pt>
                <c:pt idx="622">
                  <c:v>9.5947966506361002</c:v>
                </c:pt>
                <c:pt idx="623">
                  <c:v>14.298876920140096</c:v>
                </c:pt>
                <c:pt idx="624">
                  <c:v>10.721540992543188</c:v>
                </c:pt>
                <c:pt idx="625">
                  <c:v>2.5046097375431899</c:v>
                </c:pt>
                <c:pt idx="626">
                  <c:v>1.0758961472854585</c:v>
                </c:pt>
                <c:pt idx="627">
                  <c:v>0.17989695905688793</c:v>
                </c:pt>
                <c:pt idx="628">
                  <c:v>-0.923146444966366</c:v>
                </c:pt>
                <c:pt idx="629">
                  <c:v>-1.0939843333810022</c:v>
                </c:pt>
                <c:pt idx="630">
                  <c:v>0.79264593409518569</c:v>
                </c:pt>
                <c:pt idx="631">
                  <c:v>0.94273276465683231</c:v>
                </c:pt>
                <c:pt idx="632">
                  <c:v>4.5989884921568303</c:v>
                </c:pt>
                <c:pt idx="633">
                  <c:v>1.9713842648738087</c:v>
                </c:pt>
                <c:pt idx="634">
                  <c:v>-0.75920776456439754</c:v>
                </c:pt>
                <c:pt idx="635">
                  <c:v>-0.78587657264283239</c:v>
                </c:pt>
                <c:pt idx="636">
                  <c:v>-2.165505831685385</c:v>
                </c:pt>
                <c:pt idx="637">
                  <c:v>-3.1072969836853872</c:v>
                </c:pt>
                <c:pt idx="638">
                  <c:v>-3.8488045372940829</c:v>
                </c:pt>
                <c:pt idx="639">
                  <c:v>-5.1303361376940817</c:v>
                </c:pt>
                <c:pt idx="640">
                  <c:v>-5.241069178860748</c:v>
                </c:pt>
                <c:pt idx="641">
                  <c:v>-5.2744429277382947</c:v>
                </c:pt>
                <c:pt idx="642">
                  <c:v>-5.5837103958811509</c:v>
                </c:pt>
                <c:pt idx="643">
                  <c:v>-6.2367658550115852</c:v>
                </c:pt>
                <c:pt idx="644">
                  <c:v>-6.9191713007258668</c:v>
                </c:pt>
                <c:pt idx="645">
                  <c:v>-7.4052550844401477</c:v>
                </c:pt>
                <c:pt idx="646">
                  <c:v>-7.6408722494401466</c:v>
                </c:pt>
                <c:pt idx="647">
                  <c:v>-7.6880643966219679</c:v>
                </c:pt>
                <c:pt idx="648">
                  <c:v>-6.8092549426219673</c:v>
                </c:pt>
                <c:pt idx="649">
                  <c:v>-6.4015990159697918</c:v>
                </c:pt>
                <c:pt idx="650">
                  <c:v>-7.0097744822197905</c:v>
                </c:pt>
                <c:pt idx="651">
                  <c:v>-6.6532095104197868</c:v>
                </c:pt>
                <c:pt idx="652">
                  <c:v>-7.4608634754197887</c:v>
                </c:pt>
                <c:pt idx="653">
                  <c:v>-6.981031036253122</c:v>
                </c:pt>
                <c:pt idx="654">
                  <c:v>-7.1505100547985752</c:v>
                </c:pt>
                <c:pt idx="655">
                  <c:v>-7.0651513287076648</c:v>
                </c:pt>
                <c:pt idx="656">
                  <c:v>-6.5315622293476654</c:v>
                </c:pt>
                <c:pt idx="657">
                  <c:v>-6.9142082249358996</c:v>
                </c:pt>
                <c:pt idx="658">
                  <c:v>-5.8779155422692346</c:v>
                </c:pt>
                <c:pt idx="659">
                  <c:v>-6.1705790972692345</c:v>
                </c:pt>
                <c:pt idx="660">
                  <c:v>-6.2884187958344508</c:v>
                </c:pt>
                <c:pt idx="661">
                  <c:v>-5.1905215199556602</c:v>
                </c:pt>
                <c:pt idx="662">
                  <c:v>-6.2705542157651841</c:v>
                </c:pt>
                <c:pt idx="663">
                  <c:v>-7.6684210194318494</c:v>
                </c:pt>
                <c:pt idx="664">
                  <c:v>-8.2057824944318494</c:v>
                </c:pt>
                <c:pt idx="665">
                  <c:v>-7.93367170937303</c:v>
                </c:pt>
                <c:pt idx="666">
                  <c:v>-7.5474593924471041</c:v>
                </c:pt>
                <c:pt idx="667">
                  <c:v>-8.1385810489253672</c:v>
                </c:pt>
                <c:pt idx="668">
                  <c:v>-8.3790159260430119</c:v>
                </c:pt>
                <c:pt idx="669">
                  <c:v>-8.7835741906646323</c:v>
                </c:pt>
                <c:pt idx="670">
                  <c:v>-8.342135493423255</c:v>
                </c:pt>
                <c:pt idx="671">
                  <c:v>-8.8391358520439418</c:v>
                </c:pt>
                <c:pt idx="672">
                  <c:v>-8.1230115431954601</c:v>
                </c:pt>
                <c:pt idx="673">
                  <c:v>-9.0224085327510153</c:v>
                </c:pt>
                <c:pt idx="674">
                  <c:v>-9.1043507657510165</c:v>
                </c:pt>
                <c:pt idx="675">
                  <c:v>-9.4502392834433291</c:v>
                </c:pt>
                <c:pt idx="676">
                  <c:v>-10.242258306988784</c:v>
                </c:pt>
                <c:pt idx="677">
                  <c:v>-9.4002874143887833</c:v>
                </c:pt>
                <c:pt idx="678">
                  <c:v>-9.5453635794796927</c:v>
                </c:pt>
                <c:pt idx="679">
                  <c:v>-9.246951966297873</c:v>
                </c:pt>
                <c:pt idx="680">
                  <c:v>-10.163105877051299</c:v>
                </c:pt>
                <c:pt idx="681">
                  <c:v>-10.490493093988801</c:v>
                </c:pt>
                <c:pt idx="682">
                  <c:v>-10.401745338257095</c:v>
                </c:pt>
                <c:pt idx="683">
                  <c:v>-10.733806346068858</c:v>
                </c:pt>
                <c:pt idx="684">
                  <c:v>-10.629051460426002</c:v>
                </c:pt>
                <c:pt idx="685">
                  <c:v>-9.9121309521952341</c:v>
                </c:pt>
                <c:pt idx="686">
                  <c:v>-12.070929657133505</c:v>
                </c:pt>
                <c:pt idx="687">
                  <c:v>-9.5740904135144582</c:v>
                </c:pt>
                <c:pt idx="688">
                  <c:v>-9.9361775612975922</c:v>
                </c:pt>
                <c:pt idx="689">
                  <c:v>-9.7756066154087033</c:v>
                </c:pt>
                <c:pt idx="690">
                  <c:v>-11.02529068246325</c:v>
                </c:pt>
                <c:pt idx="691">
                  <c:v>-9.4077504886927592</c:v>
                </c:pt>
                <c:pt idx="692">
                  <c:v>-7.8152062902267412</c:v>
                </c:pt>
                <c:pt idx="693">
                  <c:v>-9.4357149131090896</c:v>
                </c:pt>
                <c:pt idx="694">
                  <c:v>-9.5662703181890905</c:v>
                </c:pt>
                <c:pt idx="695">
                  <c:v>-9.6240482820714437</c:v>
                </c:pt>
                <c:pt idx="696">
                  <c:v>-8.8805343663857297</c:v>
                </c:pt>
                <c:pt idx="697">
                  <c:v>-9.057491608749368</c:v>
                </c:pt>
                <c:pt idx="698">
                  <c:v>-8.6424981688743685</c:v>
                </c:pt>
                <c:pt idx="699">
                  <c:v>-8.3590257938743715</c:v>
                </c:pt>
                <c:pt idx="700">
                  <c:v>-8.5478290172642009</c:v>
                </c:pt>
                <c:pt idx="701">
                  <c:v>-9.0877339063081575</c:v>
                </c:pt>
                <c:pt idx="702">
                  <c:v>-8.2260290546081585</c:v>
                </c:pt>
                <c:pt idx="703">
                  <c:v>-7.0906117674862053</c:v>
                </c:pt>
                <c:pt idx="704">
                  <c:v>-6.6469961683850816</c:v>
                </c:pt>
                <c:pt idx="705">
                  <c:v>-7.5283360654650808</c:v>
                </c:pt>
                <c:pt idx="706">
                  <c:v>-7.8130623813374225</c:v>
                </c:pt>
                <c:pt idx="707">
                  <c:v>-7.4936315584763085</c:v>
                </c:pt>
                <c:pt idx="708">
                  <c:v>-7.3687463764426004</c:v>
                </c:pt>
                <c:pt idx="709">
                  <c:v>-6.3199483688154832</c:v>
                </c:pt>
                <c:pt idx="710">
                  <c:v>-7.0141496664781346</c:v>
                </c:pt>
                <c:pt idx="711">
                  <c:v>-7.6670761989995055</c:v>
                </c:pt>
                <c:pt idx="712">
                  <c:v>-7.3444393243116082</c:v>
                </c:pt>
                <c:pt idx="713">
                  <c:v>-7.5967700394263611</c:v>
                </c:pt>
                <c:pt idx="714">
                  <c:v>-8.6597097469596953</c:v>
                </c:pt>
                <c:pt idx="715">
                  <c:v>-8.0876108373380706</c:v>
                </c:pt>
                <c:pt idx="716">
                  <c:v>-8.1221937815661462</c:v>
                </c:pt>
                <c:pt idx="717">
                  <c:v>-9.2992044290129545</c:v>
                </c:pt>
                <c:pt idx="718">
                  <c:v>-8.7525310831406138</c:v>
                </c:pt>
                <c:pt idx="719">
                  <c:v>-9.5898142916790761</c:v>
                </c:pt>
                <c:pt idx="720">
                  <c:v>-8.9264449894946125</c:v>
                </c:pt>
                <c:pt idx="721">
                  <c:v>-10.688795071312795</c:v>
                </c:pt>
                <c:pt idx="722">
                  <c:v>-11.679335535646128</c:v>
                </c:pt>
                <c:pt idx="723">
                  <c:v>-12.002408158535017</c:v>
                </c:pt>
                <c:pt idx="724">
                  <c:v>-12.506278691968982</c:v>
                </c:pt>
                <c:pt idx="725">
                  <c:v>-12.252047774863721</c:v>
                </c:pt>
                <c:pt idx="726">
                  <c:v>-12.588349557542962</c:v>
                </c:pt>
                <c:pt idx="727">
                  <c:v>-12.666704086654073</c:v>
                </c:pt>
                <c:pt idx="728">
                  <c:v>-13.260705700454075</c:v>
                </c:pt>
                <c:pt idx="729">
                  <c:v>-13.35152165209044</c:v>
                </c:pt>
                <c:pt idx="730">
                  <c:v>-13.680632604410439</c:v>
                </c:pt>
                <c:pt idx="731">
                  <c:v>-13.710900933410437</c:v>
                </c:pt>
                <c:pt idx="732">
                  <c:v>-13.742384013696151</c:v>
                </c:pt>
                <c:pt idx="733">
                  <c:v>-13.920841805767578</c:v>
                </c:pt>
                <c:pt idx="734">
                  <c:v>-13.953617025196152</c:v>
                </c:pt>
                <c:pt idx="735">
                  <c:v>-14.04228188333901</c:v>
                </c:pt>
                <c:pt idx="736">
                  <c:v>-13.926614119248098</c:v>
                </c:pt>
                <c:pt idx="737">
                  <c:v>-14.068972359873099</c:v>
                </c:pt>
                <c:pt idx="738">
                  <c:v>-14.1920407174731</c:v>
                </c:pt>
                <c:pt idx="739">
                  <c:v>-14.329286205943692</c:v>
                </c:pt>
                <c:pt idx="740">
                  <c:v>-14.224429041110357</c:v>
                </c:pt>
                <c:pt idx="741">
                  <c:v>-13.616857351465196</c:v>
                </c:pt>
                <c:pt idx="742">
                  <c:v>-14.225497629865199</c:v>
                </c:pt>
                <c:pt idx="743">
                  <c:v>-14.413040520019042</c:v>
                </c:pt>
                <c:pt idx="744">
                  <c:v>-14.817781652733331</c:v>
                </c:pt>
                <c:pt idx="745">
                  <c:v>-15.853034053002556</c:v>
                </c:pt>
                <c:pt idx="746">
                  <c:v>-15.731899805502559</c:v>
                </c:pt>
                <c:pt idx="747">
                  <c:v>-15.923859574267267</c:v>
                </c:pt>
                <c:pt idx="748">
                  <c:v>-15.83826512646726</c:v>
                </c:pt>
                <c:pt idx="749">
                  <c:v>-16.297720393467262</c:v>
                </c:pt>
                <c:pt idx="750">
                  <c:v>-16.134774456133933</c:v>
                </c:pt>
                <c:pt idx="751">
                  <c:v>-16.030223744012716</c:v>
                </c:pt>
                <c:pt idx="752">
                  <c:v>-15.821824529882283</c:v>
                </c:pt>
                <c:pt idx="753">
                  <c:v>-16.401912614282281</c:v>
                </c:pt>
                <c:pt idx="754">
                  <c:v>-16.36152857642514</c:v>
                </c:pt>
                <c:pt idx="755">
                  <c:v>-16.655126646050139</c:v>
                </c:pt>
                <c:pt idx="756">
                  <c:v>-16.93913188008462</c:v>
                </c:pt>
                <c:pt idx="757">
                  <c:v>-16.760043619496386</c:v>
                </c:pt>
                <c:pt idx="758">
                  <c:v>-16.84564574082972</c:v>
                </c:pt>
                <c:pt idx="759">
                  <c:v>-16.666594585947365</c:v>
                </c:pt>
                <c:pt idx="760">
                  <c:v>-16.450163001220091</c:v>
                </c:pt>
                <c:pt idx="761">
                  <c:v>-16.359174336553426</c:v>
                </c:pt>
                <c:pt idx="762">
                  <c:v>-16.114748250168809</c:v>
                </c:pt>
                <c:pt idx="763">
                  <c:v>-16.226308408116175</c:v>
                </c:pt>
                <c:pt idx="764">
                  <c:v>-16.039291577207088</c:v>
                </c:pt>
                <c:pt idx="765">
                  <c:v>-15.94728268006423</c:v>
                </c:pt>
                <c:pt idx="766">
                  <c:v>-15.711207608639986</c:v>
                </c:pt>
                <c:pt idx="767">
                  <c:v>-15.230564287185441</c:v>
                </c:pt>
                <c:pt idx="768">
                  <c:v>-15.717600116067795</c:v>
                </c:pt>
                <c:pt idx="769">
                  <c:v>-15.230279720773678</c:v>
                </c:pt>
                <c:pt idx="770">
                  <c:v>-15.361480028487964</c:v>
                </c:pt>
                <c:pt idx="771">
                  <c:v>-14.953254438487964</c:v>
                </c:pt>
                <c:pt idx="772">
                  <c:v>-15.80773442413153</c:v>
                </c:pt>
                <c:pt idx="773">
                  <c:v>-15.391014045669992</c:v>
                </c:pt>
                <c:pt idx="774">
                  <c:v>-14.86898861151999</c:v>
                </c:pt>
                <c:pt idx="775">
                  <c:v>-15.055523029519989</c:v>
                </c:pt>
                <c:pt idx="776">
                  <c:v>-14.720915753563467</c:v>
                </c:pt>
                <c:pt idx="777">
                  <c:v>-15.230928567445819</c:v>
                </c:pt>
                <c:pt idx="778">
                  <c:v>-14.551630462106198</c:v>
                </c:pt>
                <c:pt idx="779">
                  <c:v>-14.696822315754845</c:v>
                </c:pt>
                <c:pt idx="780">
                  <c:v>-13.946894390462163</c:v>
                </c:pt>
                <c:pt idx="781">
                  <c:v>-12.767463754272288</c:v>
                </c:pt>
                <c:pt idx="782">
                  <c:v>-12.079941901272287</c:v>
                </c:pt>
                <c:pt idx="783">
                  <c:v>-12.019817535892978</c:v>
                </c:pt>
                <c:pt idx="784">
                  <c:v>-12.780024861695447</c:v>
                </c:pt>
                <c:pt idx="785">
                  <c:v>-13.648873573103609</c:v>
                </c:pt>
                <c:pt idx="786">
                  <c:v>-12.500673469649067</c:v>
                </c:pt>
                <c:pt idx="787">
                  <c:v>-13.579513107677638</c:v>
                </c:pt>
                <c:pt idx="788">
                  <c:v>-13.494172233538103</c:v>
                </c:pt>
                <c:pt idx="789">
                  <c:v>-13.592697074447193</c:v>
                </c:pt>
                <c:pt idx="790">
                  <c:v>-13.580933571165142</c:v>
                </c:pt>
                <c:pt idx="791">
                  <c:v>-13.837187423965142</c:v>
                </c:pt>
                <c:pt idx="792">
                  <c:v>-13.738923692649353</c:v>
                </c:pt>
                <c:pt idx="793">
                  <c:v>-14.101668595687089</c:v>
                </c:pt>
                <c:pt idx="794">
                  <c:v>-14.414681782868907</c:v>
                </c:pt>
                <c:pt idx="795">
                  <c:v>-14.798273753154621</c:v>
                </c:pt>
                <c:pt idx="796">
                  <c:v>-14.26872273161616</c:v>
                </c:pt>
                <c:pt idx="797">
                  <c:v>-14.647589165070706</c:v>
                </c:pt>
                <c:pt idx="798">
                  <c:v>-14.53101460010642</c:v>
                </c:pt>
                <c:pt idx="799">
                  <c:v>-14.188005796418109</c:v>
                </c:pt>
                <c:pt idx="800">
                  <c:v>-13.744994391712229</c:v>
                </c:pt>
                <c:pt idx="801">
                  <c:v>-13.976379889870126</c:v>
                </c:pt>
                <c:pt idx="802">
                  <c:v>-13.554870177978234</c:v>
                </c:pt>
                <c:pt idx="803">
                  <c:v>-13.080406444326062</c:v>
                </c:pt>
                <c:pt idx="804">
                  <c:v>-12.971904864967852</c:v>
                </c:pt>
                <c:pt idx="805">
                  <c:v>-15.110181453480674</c:v>
                </c:pt>
                <c:pt idx="806">
                  <c:v>-15.395378387355676</c:v>
                </c:pt>
                <c:pt idx="807">
                  <c:v>-15.323361326355675</c:v>
                </c:pt>
                <c:pt idx="808">
                  <c:v>-15.666417017069959</c:v>
                </c:pt>
                <c:pt idx="809">
                  <c:v>-15.461800032146881</c:v>
                </c:pt>
                <c:pt idx="810">
                  <c:v>-15.675679783628361</c:v>
                </c:pt>
                <c:pt idx="811">
                  <c:v>-15.910650228428363</c:v>
                </c:pt>
                <c:pt idx="812">
                  <c:v>-15.545448466086901</c:v>
                </c:pt>
                <c:pt idx="813">
                  <c:v>-16.28358765127609</c:v>
                </c:pt>
                <c:pt idx="814">
                  <c:v>-16.383234138327371</c:v>
                </c:pt>
                <c:pt idx="815">
                  <c:v>-16.460496757410706</c:v>
                </c:pt>
                <c:pt idx="816">
                  <c:v>-16.615917023228889</c:v>
                </c:pt>
                <c:pt idx="817">
                  <c:v>-16.48308659995616</c:v>
                </c:pt>
                <c:pt idx="818">
                  <c:v>-16.080411061984734</c:v>
                </c:pt>
                <c:pt idx="819">
                  <c:v>-16.88581357213711</c:v>
                </c:pt>
                <c:pt idx="820">
                  <c:v>-17.138491294088332</c:v>
                </c:pt>
                <c:pt idx="821">
                  <c:v>-16.954369400288332</c:v>
                </c:pt>
                <c:pt idx="822">
                  <c:v>-17.004022768903713</c:v>
                </c:pt>
                <c:pt idx="823">
                  <c:v>-15.910217306284666</c:v>
                </c:pt>
                <c:pt idx="824">
                  <c:v>-16.008262202175572</c:v>
                </c:pt>
                <c:pt idx="825">
                  <c:v>-15.695811419991898</c:v>
                </c:pt>
                <c:pt idx="826">
                  <c:v>-15.969884228991898</c:v>
                </c:pt>
                <c:pt idx="827">
                  <c:v>-16.001438856991896</c:v>
                </c:pt>
                <c:pt idx="828">
                  <c:v>-15.814615878710647</c:v>
                </c:pt>
                <c:pt idx="829">
                  <c:v>-15.658400954910649</c:v>
                </c:pt>
                <c:pt idx="830">
                  <c:v>-15.898281778910649</c:v>
                </c:pt>
                <c:pt idx="831">
                  <c:v>-15.966876108498884</c:v>
                </c:pt>
                <c:pt idx="832">
                  <c:v>-15.841585581623884</c:v>
                </c:pt>
                <c:pt idx="833">
                  <c:v>-15.730863875308094</c:v>
                </c:pt>
                <c:pt idx="834">
                  <c:v>-15.871146827729145</c:v>
                </c:pt>
                <c:pt idx="835">
                  <c:v>-15.676680218657717</c:v>
                </c:pt>
                <c:pt idx="836">
                  <c:v>-15.473809330617716</c:v>
                </c:pt>
                <c:pt idx="837">
                  <c:v>-15.564041736794186</c:v>
                </c:pt>
                <c:pt idx="838">
                  <c:v>-15.576142160994184</c:v>
                </c:pt>
                <c:pt idx="839">
                  <c:v>-15.462882466327519</c:v>
                </c:pt>
                <c:pt idx="840">
                  <c:v>-15.909019274860851</c:v>
                </c:pt>
                <c:pt idx="841">
                  <c:v>-15.693138602432279</c:v>
                </c:pt>
                <c:pt idx="842">
                  <c:v>-15.496444001473945</c:v>
                </c:pt>
                <c:pt idx="843">
                  <c:v>-15.902584079342796</c:v>
                </c:pt>
                <c:pt idx="844">
                  <c:v>-15.972774008533269</c:v>
                </c:pt>
                <c:pt idx="845">
                  <c:v>-16.04364599763327</c:v>
                </c:pt>
                <c:pt idx="846">
                  <c:v>-16.112900286943617</c:v>
                </c:pt>
                <c:pt idx="847">
                  <c:v>-16.163916335469931</c:v>
                </c:pt>
                <c:pt idx="848">
                  <c:v>-16.537192728041358</c:v>
                </c:pt>
                <c:pt idx="849">
                  <c:v>-16.630097461819137</c:v>
                </c:pt>
                <c:pt idx="850">
                  <c:v>-16.558887738134928</c:v>
                </c:pt>
                <c:pt idx="851">
                  <c:v>-16.889450728468262</c:v>
                </c:pt>
                <c:pt idx="852">
                  <c:v>-16.909190777616413</c:v>
                </c:pt>
                <c:pt idx="853">
                  <c:v>-17.177502851616413</c:v>
                </c:pt>
                <c:pt idx="854">
                  <c:v>-17.470905467616408</c:v>
                </c:pt>
                <c:pt idx="855">
                  <c:v>-17.500763315711648</c:v>
                </c:pt>
                <c:pt idx="856">
                  <c:v>-17.578577705813689</c:v>
                </c:pt>
                <c:pt idx="857">
                  <c:v>-16.80119130975779</c:v>
                </c:pt>
                <c:pt idx="858">
                  <c:v>-16.327914425339188</c:v>
                </c:pt>
                <c:pt idx="859">
                  <c:v>-16.053638965153137</c:v>
                </c:pt>
                <c:pt idx="860">
                  <c:v>-15.886572125153139</c:v>
                </c:pt>
                <c:pt idx="861">
                  <c:v>-15.779414571999293</c:v>
                </c:pt>
                <c:pt idx="862">
                  <c:v>-15.779414571999293</c:v>
                </c:pt>
                <c:pt idx="863">
                  <c:v>-16.143387232499297</c:v>
                </c:pt>
                <c:pt idx="864">
                  <c:v>-16.229118685651837</c:v>
                </c:pt>
                <c:pt idx="865">
                  <c:v>-15.888648406164661</c:v>
                </c:pt>
                <c:pt idx="866">
                  <c:v>-16.005556098164661</c:v>
                </c:pt>
                <c:pt idx="867">
                  <c:v>-16.109954892069425</c:v>
                </c:pt>
                <c:pt idx="868">
                  <c:v>-16.132176062569421</c:v>
                </c:pt>
                <c:pt idx="869">
                  <c:v>-16.181812083969422</c:v>
                </c:pt>
                <c:pt idx="870">
                  <c:v>-15.886272622826564</c:v>
                </c:pt>
                <c:pt idx="871">
                  <c:v>-15.689324738258996</c:v>
                </c:pt>
                <c:pt idx="872">
                  <c:v>-15.747992860986269</c:v>
                </c:pt>
                <c:pt idx="873">
                  <c:v>-15.829249553148431</c:v>
                </c:pt>
                <c:pt idx="874">
                  <c:v>-15.988096766398431</c:v>
                </c:pt>
                <c:pt idx="875">
                  <c:v>-15.733242973026339</c:v>
                </c:pt>
                <c:pt idx="876">
                  <c:v>-15.610019041597768</c:v>
                </c:pt>
                <c:pt idx="877">
                  <c:v>-15.525027824952607</c:v>
                </c:pt>
                <c:pt idx="878">
                  <c:v>-15.514053514537972</c:v>
                </c:pt>
                <c:pt idx="879">
                  <c:v>-15.759602505174337</c:v>
                </c:pt>
                <c:pt idx="880">
                  <c:v>-15.854718132322486</c:v>
                </c:pt>
                <c:pt idx="881">
                  <c:v>-15.811156797969545</c:v>
                </c:pt>
                <c:pt idx="882">
                  <c:v>-15.822111584409544</c:v>
                </c:pt>
                <c:pt idx="883">
                  <c:v>-15.854581668255697</c:v>
                </c:pt>
                <c:pt idx="884">
                  <c:v>-15.446065160255699</c:v>
                </c:pt>
                <c:pt idx="885">
                  <c:v>-15.264133428613908</c:v>
                </c:pt>
                <c:pt idx="886">
                  <c:v>-15.47814680068708</c:v>
                </c:pt>
                <c:pt idx="887">
                  <c:v>-14.098109645161658</c:v>
                </c:pt>
                <c:pt idx="888">
                  <c:v>-14.294110727537319</c:v>
                </c:pt>
                <c:pt idx="889">
                  <c:v>-14.356301572537319</c:v>
                </c:pt>
                <c:pt idx="890">
                  <c:v>-14.55257320753732</c:v>
                </c:pt>
                <c:pt idx="891">
                  <c:v>-14.490244635943117</c:v>
                </c:pt>
                <c:pt idx="892">
                  <c:v>-14.349760709943119</c:v>
                </c:pt>
                <c:pt idx="893">
                  <c:v>-14.027679688693121</c:v>
                </c:pt>
                <c:pt idx="894">
                  <c:v>-14.214830706293123</c:v>
                </c:pt>
                <c:pt idx="895">
                  <c:v>-14.406040971293123</c:v>
                </c:pt>
                <c:pt idx="896">
                  <c:v>-14.391083379826457</c:v>
                </c:pt>
                <c:pt idx="897">
                  <c:v>-14.142536620170716</c:v>
                </c:pt>
                <c:pt idx="898">
                  <c:v>-13.438469265944912</c:v>
                </c:pt>
                <c:pt idx="899">
                  <c:v>-12.904134870330452</c:v>
                </c:pt>
                <c:pt idx="900">
                  <c:v>-12.51742089409516</c:v>
                </c:pt>
                <c:pt idx="901">
                  <c:v>-12.499519241884633</c:v>
                </c:pt>
                <c:pt idx="902">
                  <c:v>-12.811014406830086</c:v>
                </c:pt>
                <c:pt idx="903">
                  <c:v>-12.286892784996754</c:v>
                </c:pt>
                <c:pt idx="904">
                  <c:v>-11.920554444610788</c:v>
                </c:pt>
                <c:pt idx="905">
                  <c:v>-11.249254836531843</c:v>
                </c:pt>
                <c:pt idx="906">
                  <c:v>-10.551842785616181</c:v>
                </c:pt>
                <c:pt idx="907">
                  <c:v>-10.176000019101032</c:v>
                </c:pt>
                <c:pt idx="908">
                  <c:v>-10.029906937995769</c:v>
                </c:pt>
                <c:pt idx="909">
                  <c:v>-9.755107622239013</c:v>
                </c:pt>
                <c:pt idx="910">
                  <c:v>-9.530371123869152</c:v>
                </c:pt>
                <c:pt idx="911">
                  <c:v>-9.2654400444469296</c:v>
                </c:pt>
                <c:pt idx="912">
                  <c:v>-8.7796304688153501</c:v>
                </c:pt>
                <c:pt idx="913">
                  <c:v>-9.0636908892126122</c:v>
                </c:pt>
                <c:pt idx="914">
                  <c:v>-9.0756758271726117</c:v>
                </c:pt>
                <c:pt idx="915">
                  <c:v>-9.1363265980630235</c:v>
                </c:pt>
                <c:pt idx="916">
                  <c:v>-8.7988360846358393</c:v>
                </c:pt>
                <c:pt idx="917">
                  <c:v>-8.9840406068002228</c:v>
                </c:pt>
                <c:pt idx="918">
                  <c:v>-9.3329413992547678</c:v>
                </c:pt>
                <c:pt idx="919">
                  <c:v>-9.5717295335990311</c:v>
                </c:pt>
                <c:pt idx="920">
                  <c:v>-9.1722000302466498</c:v>
                </c:pt>
                <c:pt idx="921">
                  <c:v>-8.9714665727466496</c:v>
                </c:pt>
                <c:pt idx="922">
                  <c:v>-8.7732735306946985</c:v>
                </c:pt>
                <c:pt idx="923">
                  <c:v>-9.0778359668135113</c:v>
                </c:pt>
                <c:pt idx="924">
                  <c:v>-9.4358085827563674</c:v>
                </c:pt>
                <c:pt idx="925">
                  <c:v>-9.963189392042084</c:v>
                </c:pt>
                <c:pt idx="926">
                  <c:v>-10.532964011375419</c:v>
                </c:pt>
                <c:pt idx="927">
                  <c:v>-9.6777760735414109</c:v>
                </c:pt>
                <c:pt idx="928">
                  <c:v>-9.8789102862934097</c:v>
                </c:pt>
                <c:pt idx="929">
                  <c:v>-9.3089378082934111</c:v>
                </c:pt>
                <c:pt idx="930">
                  <c:v>-9.2622520199404725</c:v>
                </c:pt>
                <c:pt idx="931">
                  <c:v>-9.5108595572132</c:v>
                </c:pt>
                <c:pt idx="932">
                  <c:v>-8.825171876613199</c:v>
                </c:pt>
                <c:pt idx="933">
                  <c:v>-8.0979987978378709</c:v>
                </c:pt>
                <c:pt idx="934">
                  <c:v>-8.2659420816575455</c:v>
                </c:pt>
                <c:pt idx="935">
                  <c:v>-7.7570504292676077</c:v>
                </c:pt>
                <c:pt idx="936">
                  <c:v>-8.2372110068676054</c:v>
                </c:pt>
                <c:pt idx="937">
                  <c:v>-8.3065295949497973</c:v>
                </c:pt>
                <c:pt idx="938">
                  <c:v>-8.1520700270926572</c:v>
                </c:pt>
                <c:pt idx="939">
                  <c:v>-7.5836296073256637</c:v>
                </c:pt>
                <c:pt idx="940">
                  <c:v>-7.6233156735410468</c:v>
                </c:pt>
                <c:pt idx="941">
                  <c:v>-7.3097931033518577</c:v>
                </c:pt>
                <c:pt idx="942">
                  <c:v>-7.5623159359955343</c:v>
                </c:pt>
                <c:pt idx="943">
                  <c:v>-6.2122390472120284</c:v>
                </c:pt>
                <c:pt idx="944">
                  <c:v>-6.6245759678606762</c:v>
                </c:pt>
                <c:pt idx="945">
                  <c:v>-7.1546930548606777</c:v>
                </c:pt>
                <c:pt idx="946">
                  <c:v>-5.9076080678531575</c:v>
                </c:pt>
                <c:pt idx="947">
                  <c:v>-4.7720396008001726</c:v>
                </c:pt>
                <c:pt idx="948">
                  <c:v>-4.1773473130001681</c:v>
                </c:pt>
                <c:pt idx="949">
                  <c:v>-4.1853290656869184</c:v>
                </c:pt>
                <c:pt idx="950">
                  <c:v>-3.5492455523704605</c:v>
                </c:pt>
                <c:pt idx="951">
                  <c:v>-4.1241200606441435</c:v>
                </c:pt>
                <c:pt idx="952">
                  <c:v>-2.9457555999734839</c:v>
                </c:pt>
                <c:pt idx="953">
                  <c:v>-2.4641384847607166</c:v>
                </c:pt>
                <c:pt idx="954">
                  <c:v>-1.0047426946054325</c:v>
                </c:pt>
                <c:pt idx="955">
                  <c:v>1.3785982449270382</c:v>
                </c:pt>
                <c:pt idx="956">
                  <c:v>3.302710730936254</c:v>
                </c:pt>
                <c:pt idx="957">
                  <c:v>2.4592414479866527</c:v>
                </c:pt>
                <c:pt idx="958">
                  <c:v>2.2897687287308401</c:v>
                </c:pt>
                <c:pt idx="959">
                  <c:v>2.3791431026508412</c:v>
                </c:pt>
                <c:pt idx="960">
                  <c:v>2.9559944459585323</c:v>
                </c:pt>
                <c:pt idx="961">
                  <c:v>1.7954867042145324</c:v>
                </c:pt>
                <c:pt idx="962">
                  <c:v>2.5746616947815464</c:v>
                </c:pt>
                <c:pt idx="963">
                  <c:v>0.86492575728803878</c:v>
                </c:pt>
                <c:pt idx="964">
                  <c:v>2.0246000739821555</c:v>
                </c:pt>
                <c:pt idx="965">
                  <c:v>3.0644745351578306</c:v>
                </c:pt>
                <c:pt idx="966">
                  <c:v>1.1069739322275991</c:v>
                </c:pt>
                <c:pt idx="967">
                  <c:v>-0.47441363377240414</c:v>
                </c:pt>
                <c:pt idx="968">
                  <c:v>-0.1656510924879615</c:v>
                </c:pt>
                <c:pt idx="969">
                  <c:v>0.77340499318551448</c:v>
                </c:pt>
                <c:pt idx="970">
                  <c:v>1.9403254126133358</c:v>
                </c:pt>
                <c:pt idx="971">
                  <c:v>0.65930306553514528</c:v>
                </c:pt>
                <c:pt idx="972">
                  <c:v>0.70920874619337326</c:v>
                </c:pt>
                <c:pt idx="973">
                  <c:v>-8.1045663415322752E-2</c:v>
                </c:pt>
                <c:pt idx="974">
                  <c:v>1.1949391721851386</c:v>
                </c:pt>
                <c:pt idx="975">
                  <c:v>1.0645647629024364</c:v>
                </c:pt>
                <c:pt idx="976">
                  <c:v>-0.40099359691965059</c:v>
                </c:pt>
                <c:pt idx="977">
                  <c:v>-0.34702453295860763</c:v>
                </c:pt>
                <c:pt idx="978">
                  <c:v>-0.55252655745621437</c:v>
                </c:pt>
                <c:pt idx="979">
                  <c:v>-1.0674717077496929</c:v>
                </c:pt>
                <c:pt idx="980">
                  <c:v>3.6567332310913497E-2</c:v>
                </c:pt>
                <c:pt idx="981">
                  <c:v>1.1141331045564657</c:v>
                </c:pt>
                <c:pt idx="982">
                  <c:v>3.425132041556469</c:v>
                </c:pt>
                <c:pt idx="983">
                  <c:v>3.1594763006825426</c:v>
                </c:pt>
                <c:pt idx="984">
                  <c:v>2.6098204853347182</c:v>
                </c:pt>
                <c:pt idx="985">
                  <c:v>2.4143204324369099</c:v>
                </c:pt>
                <c:pt idx="986">
                  <c:v>2.8375184439456809</c:v>
                </c:pt>
                <c:pt idx="987">
                  <c:v>2.654307491498622</c:v>
                </c:pt>
                <c:pt idx="988">
                  <c:v>3.590799857423054</c:v>
                </c:pt>
                <c:pt idx="989">
                  <c:v>2.3149757648730511</c:v>
                </c:pt>
                <c:pt idx="990">
                  <c:v>1.4216465296965817</c:v>
                </c:pt>
                <c:pt idx="991">
                  <c:v>1.5920271760205251</c:v>
                </c:pt>
                <c:pt idx="992">
                  <c:v>1.7559711771912581</c:v>
                </c:pt>
                <c:pt idx="993">
                  <c:v>1.3140567665758747</c:v>
                </c:pt>
                <c:pt idx="994">
                  <c:v>1.1205300054549947</c:v>
                </c:pt>
                <c:pt idx="995">
                  <c:v>1.2772454788530994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49-4758-AA84-8249D5561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3138143"/>
        <c:axId val="323138559"/>
      </c:lineChart>
      <c:dateAx>
        <c:axId val="323138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138559"/>
        <c:crosses val="autoZero"/>
        <c:auto val="1"/>
        <c:lblOffset val="100"/>
        <c:baseTimeUnit val="days"/>
      </c:dateAx>
      <c:valAx>
        <c:axId val="323138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138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15E10A3-7207-447E-B27E-66C75F20795F}">
  <sheetPr codeName="Chart9"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2E6D127-BE6E-423F-B726-523CF93A3D7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0.25691000000000003</v>
      </c>
      <c r="D2" s="4">
        <f>MIN(D3:D1912)</f>
        <v>2.2399999999999998E-3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4.4839999999999998E-2</v>
      </c>
      <c r="C5">
        <v>4.5240000000000002E-2</v>
      </c>
      <c r="D5">
        <v>4.376E-2</v>
      </c>
      <c r="E5">
        <v>4.3810000000000002E-2</v>
      </c>
      <c r="F5">
        <v>17513311.199999999</v>
      </c>
      <c r="G5">
        <v>4.3810000000000002E-2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-0.93243243243243057</v>
      </c>
      <c r="Q5">
        <f t="shared" ref="Q5" si="1">F5*P5</f>
        <v>-16329979.362162128</v>
      </c>
      <c r="R5">
        <f t="shared" ref="R5" si="2">R6+Q5</f>
        <v>13459312800.850233</v>
      </c>
      <c r="S5">
        <f t="shared" ref="S5" si="3">R5/100000</f>
        <v>134593.12800850233</v>
      </c>
      <c r="T5">
        <f t="shared" ref="T5" si="4">S5/1000</f>
        <v>134.59312800850233</v>
      </c>
    </row>
    <row r="6" spans="1:20" x14ac:dyDescent="0.25">
      <c r="A6" s="5">
        <v>44587</v>
      </c>
      <c r="B6">
        <v>4.4929999999999998E-2</v>
      </c>
      <c r="C6">
        <v>4.8469999999999999E-2</v>
      </c>
      <c r="D6">
        <v>4.3549999999999998E-2</v>
      </c>
      <c r="E6">
        <v>4.4819999999999999E-2</v>
      </c>
      <c r="F6">
        <v>290965775.19999999</v>
      </c>
      <c r="G6">
        <v>4.4819999999999999E-2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-0.48373983739837395</v>
      </c>
      <c r="Q6">
        <f t="shared" ref="Q6" si="6">F6*P6</f>
        <v>-140751736.78373984</v>
      </c>
      <c r="R6">
        <f t="shared" ref="R6" si="7">R7+Q6</f>
        <v>13475642780.212395</v>
      </c>
      <c r="S6">
        <f t="shared" ref="S6" si="8">R6/100000</f>
        <v>134756.42780212394</v>
      </c>
      <c r="T6">
        <f t="shared" ref="T6" si="9">S6/1000</f>
        <v>134.75642780212394</v>
      </c>
    </row>
    <row r="7" spans="1:20" x14ac:dyDescent="0.25">
      <c r="A7" s="5">
        <v>44586</v>
      </c>
      <c r="B7">
        <v>4.2290000000000001E-2</v>
      </c>
      <c r="C7">
        <v>4.6559999999999997E-2</v>
      </c>
      <c r="D7">
        <v>4.1180000000000001E-2</v>
      </c>
      <c r="E7">
        <v>4.4909999999999999E-2</v>
      </c>
      <c r="F7">
        <v>326788062.60000002</v>
      </c>
      <c r="G7">
        <v>4.4909999999999999E-2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0.38661710037174724</v>
      </c>
      <c r="Q7">
        <f t="shared" ref="Q7" si="11">F7*P7</f>
        <v>126341853.19851303</v>
      </c>
      <c r="R7">
        <f t="shared" ref="R7" si="12">R8+Q7</f>
        <v>13616394516.996134</v>
      </c>
      <c r="S7">
        <f t="shared" ref="S7" si="13">R7/100000</f>
        <v>136163.94516996134</v>
      </c>
      <c r="T7">
        <f t="shared" ref="T7" si="14">S7/1000</f>
        <v>136.16394516996135</v>
      </c>
    </row>
    <row r="8" spans="1:20" x14ac:dyDescent="0.25">
      <c r="A8" s="5">
        <v>44585</v>
      </c>
      <c r="B8">
        <v>4.4299999999999999E-2</v>
      </c>
      <c r="C8">
        <v>4.4990000000000002E-2</v>
      </c>
      <c r="D8">
        <v>3.7580000000000002E-2</v>
      </c>
      <c r="E8">
        <v>4.2290000000000001E-2</v>
      </c>
      <c r="F8">
        <v>337706310.69999999</v>
      </c>
      <c r="G8">
        <v>4.2290000000000001E-2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0.27125506072874467</v>
      </c>
      <c r="Q8">
        <f t="shared" ref="Q8" si="16">F8*P8</f>
        <v>91604545.817408815</v>
      </c>
      <c r="R8">
        <f t="shared" ref="R8" si="17">R9+Q8</f>
        <v>13490052663.797621</v>
      </c>
      <c r="S8">
        <f t="shared" ref="S8" si="18">R8/100000</f>
        <v>134900.5266379762</v>
      </c>
      <c r="T8">
        <f t="shared" ref="T8" si="19">S8/1000</f>
        <v>134.90052663797621</v>
      </c>
    </row>
    <row r="9" spans="1:20" x14ac:dyDescent="0.25">
      <c r="A9" s="5">
        <v>44584</v>
      </c>
      <c r="B9">
        <v>4.2860000000000002E-2</v>
      </c>
      <c r="C9">
        <v>4.5109999999999997E-2</v>
      </c>
      <c r="D9">
        <v>4.215E-2</v>
      </c>
      <c r="E9">
        <v>4.4359999999999997E-2</v>
      </c>
      <c r="F9">
        <v>215531476.40000001</v>
      </c>
      <c r="G9">
        <v>4.4359999999999997E-2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0.49324324324324231</v>
      </c>
      <c r="Q9">
        <f t="shared" ref="Q9" si="21">F9*P9</f>
        <v>106309444.44054034</v>
      </c>
      <c r="R9">
        <f t="shared" ref="R9" si="22">R10+Q9</f>
        <v>13398448117.980211</v>
      </c>
      <c r="S9">
        <f t="shared" ref="S9" si="23">R9/100000</f>
        <v>133984.48117980213</v>
      </c>
      <c r="T9">
        <f t="shared" ref="T9" si="24">S9/1000</f>
        <v>133.98448117980212</v>
      </c>
    </row>
    <row r="10" spans="1:20" x14ac:dyDescent="0.25">
      <c r="A10" s="5">
        <v>44583</v>
      </c>
      <c r="B10">
        <v>4.8399999999999999E-2</v>
      </c>
      <c r="C10">
        <v>4.9790000000000001E-2</v>
      </c>
      <c r="D10">
        <v>3.9469999999999998E-2</v>
      </c>
      <c r="E10">
        <v>4.2790000000000002E-2</v>
      </c>
      <c r="F10">
        <v>441107944.60000002</v>
      </c>
      <c r="G10">
        <v>4.2790000000000002E-2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-0.35658914728682117</v>
      </c>
      <c r="Q10">
        <f t="shared" ref="Q10" si="26">F10*P10</f>
        <v>-157294305.82635635</v>
      </c>
      <c r="R10">
        <f t="shared" ref="R10" si="27">R11+Q10</f>
        <v>13292138673.539671</v>
      </c>
      <c r="S10">
        <f t="shared" ref="S10" si="28">R10/100000</f>
        <v>132921.38673539672</v>
      </c>
      <c r="T10">
        <f t="shared" ref="T10" si="29">S10/1000</f>
        <v>132.92138673539671</v>
      </c>
    </row>
    <row r="11" spans="1:20" x14ac:dyDescent="0.25">
      <c r="A11" s="5">
        <v>44582</v>
      </c>
      <c r="B11">
        <v>5.6959999999999997E-2</v>
      </c>
      <c r="C11">
        <v>5.7979999999999997E-2</v>
      </c>
      <c r="D11">
        <v>4.6980000000000001E-2</v>
      </c>
      <c r="E11">
        <v>4.8460000000000003E-2</v>
      </c>
      <c r="F11">
        <v>289077507.19999999</v>
      </c>
      <c r="G11">
        <v>4.8460000000000003E-2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-0.7309090909090904</v>
      </c>
      <c r="Q11">
        <f t="shared" ref="Q11" si="31">F11*P11</f>
        <v>-211289377.98981804</v>
      </c>
      <c r="R11">
        <f t="shared" ref="R11" si="32">R12+Q11</f>
        <v>13449432979.366028</v>
      </c>
      <c r="S11">
        <f t="shared" ref="S11" si="33">R11/100000</f>
        <v>134494.32979366029</v>
      </c>
      <c r="T11">
        <f t="shared" ref="T11" si="34">S11/1000</f>
        <v>134.49432979366028</v>
      </c>
    </row>
    <row r="12" spans="1:20" x14ac:dyDescent="0.25">
      <c r="A12" s="5">
        <v>44581</v>
      </c>
      <c r="B12">
        <v>5.9110000000000003E-2</v>
      </c>
      <c r="C12">
        <v>6.2799999999999995E-2</v>
      </c>
      <c r="D12">
        <v>5.6680000000000001E-2</v>
      </c>
      <c r="E12">
        <v>5.697E-2</v>
      </c>
      <c r="F12">
        <v>241037764.5</v>
      </c>
      <c r="G12">
        <v>5.697E-2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-0.90522875816993498</v>
      </c>
      <c r="Q12">
        <f t="shared" ref="Q12" si="36">F12*P12</f>
        <v>-218194316.23039225</v>
      </c>
      <c r="R12">
        <f t="shared" ref="R12" si="37">R13+Q12</f>
        <v>13660722357.355846</v>
      </c>
      <c r="S12">
        <f t="shared" ref="S12" si="38">R12/100000</f>
        <v>136607.22357355847</v>
      </c>
      <c r="T12">
        <f t="shared" ref="T12" si="39">S12/1000</f>
        <v>136.60722357355846</v>
      </c>
    </row>
    <row r="13" spans="1:20" x14ac:dyDescent="0.25">
      <c r="A13" s="5">
        <v>44580</v>
      </c>
      <c r="B13">
        <v>6.1100000000000002E-2</v>
      </c>
      <c r="C13">
        <v>6.132E-2</v>
      </c>
      <c r="D13">
        <v>5.7860000000000002E-2</v>
      </c>
      <c r="E13">
        <v>5.9110000000000003E-2</v>
      </c>
      <c r="F13">
        <v>144912544.09999999</v>
      </c>
      <c r="G13">
        <v>5.9110000000000003E-2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-0.27745664739884285</v>
      </c>
      <c r="Q13">
        <f t="shared" ref="Q13" si="41">F13*P13</f>
        <v>-40206948.652022965</v>
      </c>
      <c r="R13">
        <f t="shared" ref="R13" si="42">R14+Q13</f>
        <v>13878916673.586239</v>
      </c>
      <c r="S13">
        <f t="shared" ref="S13" si="43">R13/100000</f>
        <v>138789.16673586238</v>
      </c>
      <c r="T13">
        <f t="shared" ref="T13" si="44">S13/1000</f>
        <v>138.78916673586238</v>
      </c>
    </row>
    <row r="14" spans="1:20" x14ac:dyDescent="0.25">
      <c r="A14" s="5">
        <v>44579</v>
      </c>
      <c r="B14">
        <v>6.1899999999999997E-2</v>
      </c>
      <c r="C14">
        <v>6.2530000000000002E-2</v>
      </c>
      <c r="D14">
        <v>5.9760000000000001E-2</v>
      </c>
      <c r="E14">
        <v>6.1109999999999998E-2</v>
      </c>
      <c r="F14">
        <v>111326772</v>
      </c>
      <c r="G14">
        <v>6.1109999999999998E-2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-2.5270758122746394E-2</v>
      </c>
      <c r="Q14">
        <f t="shared" ref="Q14" si="46">F14*P14</f>
        <v>-2813311.9277981357</v>
      </c>
      <c r="R14">
        <f t="shared" ref="R14" si="47">R15+Q14</f>
        <v>13919123622.238262</v>
      </c>
      <c r="S14">
        <f t="shared" ref="S14" si="48">R14/100000</f>
        <v>139191.23622238263</v>
      </c>
      <c r="T14">
        <f t="shared" ref="T14" si="49">S14/1000</f>
        <v>139.19123622238263</v>
      </c>
    </row>
    <row r="15" spans="1:20" x14ac:dyDescent="0.25">
      <c r="A15" s="5">
        <v>44578</v>
      </c>
      <c r="B15">
        <v>6.4750000000000002E-2</v>
      </c>
      <c r="C15">
        <v>6.4960000000000004E-2</v>
      </c>
      <c r="D15">
        <v>6.0690000000000001E-2</v>
      </c>
      <c r="E15">
        <v>6.1929999999999999E-2</v>
      </c>
      <c r="F15">
        <v>146973964.80000001</v>
      </c>
      <c r="G15">
        <v>6.1929999999999999E-2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-0.41920374707260083</v>
      </c>
      <c r="Q15">
        <f t="shared" ref="Q15" si="51">F15*P15</f>
        <v>-61612036.766276546</v>
      </c>
      <c r="R15">
        <f t="shared" ref="R15" si="52">R16+Q15</f>
        <v>13921936934.166059</v>
      </c>
      <c r="S15">
        <f t="shared" ref="S15" si="53">R15/100000</f>
        <v>139219.36934166058</v>
      </c>
      <c r="T15">
        <f t="shared" ref="T15" si="54">S15/1000</f>
        <v>139.21936934166058</v>
      </c>
    </row>
    <row r="16" spans="1:20" x14ac:dyDescent="0.25">
      <c r="A16" s="5">
        <v>44577</v>
      </c>
      <c r="B16">
        <v>6.5360000000000001E-2</v>
      </c>
      <c r="C16">
        <v>6.6610000000000003E-2</v>
      </c>
      <c r="D16">
        <v>6.3589999999999994E-2</v>
      </c>
      <c r="E16">
        <v>6.4769999999999994E-2</v>
      </c>
      <c r="F16">
        <v>126282365.3</v>
      </c>
      <c r="G16">
        <v>6.4769999999999994E-2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-0.21854304635761784</v>
      </c>
      <c r="Q16">
        <f t="shared" ref="Q16" si="56">F16*P16</f>
        <v>-27598132.81390753</v>
      </c>
      <c r="R16">
        <f t="shared" ref="R16" si="57">R17+Q16</f>
        <v>13983548970.932337</v>
      </c>
      <c r="S16">
        <f t="shared" ref="S16" si="58">R16/100000</f>
        <v>139835.48970932336</v>
      </c>
      <c r="T16">
        <f t="shared" ref="T16" si="59">S16/1000</f>
        <v>139.83548970932335</v>
      </c>
    </row>
    <row r="17" spans="1:20" x14ac:dyDescent="0.25">
      <c r="A17" s="5">
        <v>44576</v>
      </c>
      <c r="B17">
        <v>6.411E-2</v>
      </c>
      <c r="C17">
        <v>6.6669999999999993E-2</v>
      </c>
      <c r="D17">
        <v>6.3450000000000006E-2</v>
      </c>
      <c r="E17">
        <v>6.5369999999999998E-2</v>
      </c>
      <c r="F17">
        <v>116599569.90000001</v>
      </c>
      <c r="G17">
        <v>6.5369999999999998E-2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0.1925465838509311</v>
      </c>
      <c r="Q17">
        <f t="shared" ref="Q17" si="61">F17*P17</f>
        <v>22450848.862732854</v>
      </c>
      <c r="R17">
        <f t="shared" ref="R17" si="62">R18+Q17</f>
        <v>14011147103.746244</v>
      </c>
      <c r="S17">
        <f t="shared" ref="S17" si="63">R17/100000</f>
        <v>140111.47103746244</v>
      </c>
      <c r="T17">
        <f t="shared" ref="T17" si="64">S17/1000</f>
        <v>140.11147103746245</v>
      </c>
    </row>
    <row r="18" spans="1:20" x14ac:dyDescent="0.25">
      <c r="A18" s="5">
        <v>44575</v>
      </c>
      <c r="B18">
        <v>6.3659999999999994E-2</v>
      </c>
      <c r="C18">
        <v>6.5500000000000003E-2</v>
      </c>
      <c r="D18">
        <v>6.2E-2</v>
      </c>
      <c r="E18">
        <v>6.411E-2</v>
      </c>
      <c r="F18">
        <v>137764704.40000001</v>
      </c>
      <c r="G18">
        <v>6.411E-2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0.20571428571428507</v>
      </c>
      <c r="Q18">
        <f t="shared" ref="Q18" si="66">F18*P18</f>
        <v>28340167.762285627</v>
      </c>
      <c r="R18">
        <f t="shared" ref="R18" si="67">R19+Q18</f>
        <v>13988696254.883512</v>
      </c>
      <c r="S18">
        <f t="shared" ref="S18" si="68">R18/100000</f>
        <v>139886.96254883512</v>
      </c>
      <c r="T18">
        <f t="shared" ref="T18" si="69">S18/1000</f>
        <v>139.88696254883513</v>
      </c>
    </row>
    <row r="19" spans="1:20" x14ac:dyDescent="0.25">
      <c r="A19" s="5">
        <v>44574</v>
      </c>
      <c r="B19">
        <v>6.5320000000000003E-2</v>
      </c>
      <c r="C19">
        <v>6.9099999999999995E-2</v>
      </c>
      <c r="D19">
        <v>6.3420000000000004E-2</v>
      </c>
      <c r="E19">
        <v>6.3710000000000003E-2</v>
      </c>
      <c r="F19">
        <v>230651898.80000001</v>
      </c>
      <c r="G19">
        <v>6.3710000000000003E-2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-0.89788732394366233</v>
      </c>
      <c r="Q19">
        <f t="shared" ref="Q19" si="71">F19*P19</f>
        <v>-207099416.17605644</v>
      </c>
      <c r="R19">
        <f t="shared" ref="R19" si="72">R20+Q19</f>
        <v>13960356087.121227</v>
      </c>
      <c r="S19">
        <f t="shared" ref="S19" si="73">R19/100000</f>
        <v>139603.56087121228</v>
      </c>
      <c r="T19">
        <f t="shared" ref="T19" si="74">S19/1000</f>
        <v>139.60356087121227</v>
      </c>
    </row>
    <row r="20" spans="1:20" x14ac:dyDescent="0.25">
      <c r="A20" s="5">
        <v>44573</v>
      </c>
      <c r="B20">
        <v>6.0850000000000001E-2</v>
      </c>
      <c r="C20">
        <v>6.6629999999999995E-2</v>
      </c>
      <c r="D20">
        <v>6.0539999999999997E-2</v>
      </c>
      <c r="E20">
        <v>6.5339999999999995E-2</v>
      </c>
      <c r="F20">
        <v>180572127.40000001</v>
      </c>
      <c r="G20">
        <v>6.5339999999999995E-2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0.57635467980295574</v>
      </c>
      <c r="Q20">
        <f t="shared" ref="Q20" si="76">F20*P20</f>
        <v>104073590.66896553</v>
      </c>
      <c r="R20">
        <f t="shared" ref="R20" si="77">R21+Q20</f>
        <v>14167455503.297283</v>
      </c>
      <c r="S20">
        <f t="shared" ref="S20" si="78">R20/100000</f>
        <v>141674.55503297283</v>
      </c>
      <c r="T20">
        <f t="shared" ref="T20" si="79">S20/1000</f>
        <v>141.67455503297282</v>
      </c>
    </row>
    <row r="21" spans="1:20" x14ac:dyDescent="0.25">
      <c r="A21" s="5">
        <v>44572</v>
      </c>
      <c r="B21">
        <v>5.8909999999999997E-2</v>
      </c>
      <c r="C21">
        <v>6.1370000000000001E-2</v>
      </c>
      <c r="D21">
        <v>5.8279999999999998E-2</v>
      </c>
      <c r="E21">
        <v>6.0850000000000001E-2</v>
      </c>
      <c r="F21">
        <v>133874869.59999999</v>
      </c>
      <c r="G21">
        <v>6.0850000000000001E-2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0.66343042071197467</v>
      </c>
      <c r="Q21">
        <f t="shared" ref="Q21" si="81">F21*P21</f>
        <v>88816661.061488748</v>
      </c>
      <c r="R21">
        <f t="shared" ref="R21" si="82">R22+Q21</f>
        <v>14063381912.628317</v>
      </c>
      <c r="S21">
        <f t="shared" ref="S21" si="83">R21/100000</f>
        <v>140633.81912628317</v>
      </c>
      <c r="T21">
        <f t="shared" ref="T21" si="84">S21/1000</f>
        <v>140.63381912628316</v>
      </c>
    </row>
    <row r="22" spans="1:20" x14ac:dyDescent="0.25">
      <c r="A22" s="5">
        <v>44571</v>
      </c>
      <c r="B22">
        <v>6.2E-2</v>
      </c>
      <c r="C22">
        <v>6.3009999999999997E-2</v>
      </c>
      <c r="D22">
        <v>5.6099999999999997E-2</v>
      </c>
      <c r="E22">
        <v>5.892E-2</v>
      </c>
      <c r="F22">
        <v>192571455.90000001</v>
      </c>
      <c r="G22">
        <v>5.892E-2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-0.18379160636758227</v>
      </c>
      <c r="Q22">
        <f t="shared" ref="Q22" si="86">F22*P22</f>
        <v>-35393017.220405027</v>
      </c>
      <c r="R22">
        <f t="shared" ref="R22" si="87">R23+Q22</f>
        <v>13974565251.566828</v>
      </c>
      <c r="S22">
        <f t="shared" ref="S22" si="88">R22/100000</f>
        <v>139745.65251566828</v>
      </c>
      <c r="T22">
        <f t="shared" ref="T22" si="89">S22/1000</f>
        <v>139.74565251566827</v>
      </c>
    </row>
    <row r="23" spans="1:20" x14ac:dyDescent="0.25">
      <c r="A23" s="5">
        <v>44570</v>
      </c>
      <c r="B23">
        <v>6.0720000000000003E-2</v>
      </c>
      <c r="C23">
        <v>6.3310000000000005E-2</v>
      </c>
      <c r="D23">
        <v>6.0170000000000001E-2</v>
      </c>
      <c r="E23">
        <v>6.2E-2</v>
      </c>
      <c r="F23">
        <v>128272294.7</v>
      </c>
      <c r="G23">
        <v>6.2E-2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0.16560509554139874</v>
      </c>
      <c r="Q23">
        <f t="shared" ref="Q23" si="91">F23*P23</f>
        <v>21242545.619107954</v>
      </c>
      <c r="R23">
        <f t="shared" ref="R23" si="92">R24+Q23</f>
        <v>14009958268.787233</v>
      </c>
      <c r="S23">
        <f t="shared" ref="S23" si="93">R23/100000</f>
        <v>140099.58268787235</v>
      </c>
      <c r="T23">
        <f t="shared" ref="T23" si="94">S23/1000</f>
        <v>140.09958268787236</v>
      </c>
    </row>
    <row r="24" spans="1:20" x14ac:dyDescent="0.25">
      <c r="A24" s="5">
        <v>44569</v>
      </c>
      <c r="B24">
        <v>6.3329999999999997E-2</v>
      </c>
      <c r="C24">
        <v>6.5180000000000002E-2</v>
      </c>
      <c r="D24">
        <v>5.9200000000000003E-2</v>
      </c>
      <c r="E24">
        <v>6.0729999999999999E-2</v>
      </c>
      <c r="F24">
        <v>167377830.59999999</v>
      </c>
      <c r="G24">
        <v>6.0729999999999999E-2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-0.48829431438127197</v>
      </c>
      <c r="Q24">
        <f t="shared" ref="Q24" si="96">F24*P24</f>
        <v>-81729643.03545168</v>
      </c>
      <c r="R24">
        <f t="shared" ref="R24" si="97">R25+Q24</f>
        <v>13988715723.168125</v>
      </c>
      <c r="S24">
        <f t="shared" ref="S24" si="98">R24/100000</f>
        <v>139887.15723168125</v>
      </c>
      <c r="T24">
        <f t="shared" ref="T24" si="99">S24/1000</f>
        <v>139.88715723168124</v>
      </c>
    </row>
    <row r="25" spans="1:20" x14ac:dyDescent="0.25">
      <c r="A25" s="5">
        <v>44568</v>
      </c>
      <c r="B25">
        <v>6.5570000000000003E-2</v>
      </c>
      <c r="C25">
        <v>6.658E-2</v>
      </c>
      <c r="D25">
        <v>6.0109999999999997E-2</v>
      </c>
      <c r="E25">
        <v>6.3320000000000001E-2</v>
      </c>
      <c r="F25">
        <v>234145359</v>
      </c>
      <c r="G25">
        <v>6.3320000000000001E-2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-7.7279752704782793E-3</v>
      </c>
      <c r="Q25">
        <f t="shared" ref="Q25" si="101">F25*P25</f>
        <v>-1809469.5440492588</v>
      </c>
      <c r="R25">
        <f t="shared" ref="R25" si="102">R26+Q25</f>
        <v>14070445366.203577</v>
      </c>
      <c r="S25">
        <f t="shared" ref="S25" si="103">R25/100000</f>
        <v>140704.45366203578</v>
      </c>
      <c r="T25">
        <f t="shared" ref="T25" si="104">S25/1000</f>
        <v>140.70445366203577</v>
      </c>
    </row>
    <row r="26" spans="1:20" x14ac:dyDescent="0.25">
      <c r="A26" s="5">
        <v>44567</v>
      </c>
      <c r="B26">
        <v>6.6720000000000002E-2</v>
      </c>
      <c r="C26">
        <v>6.7239999999999994E-2</v>
      </c>
      <c r="D26">
        <v>6.2399999999999997E-2</v>
      </c>
      <c r="E26">
        <v>6.5629999999999994E-2</v>
      </c>
      <c r="F26">
        <v>189146718.59999999</v>
      </c>
      <c r="G26">
        <v>6.5629999999999994E-2</v>
      </c>
      <c r="L26" t="s">
        <v>8</v>
      </c>
      <c r="M26" t="s">
        <v>7</v>
      </c>
      <c r="N26" t="s">
        <v>7</v>
      </c>
      <c r="P26">
        <f t="shared" ref="P26" si="105">IF(C26=D26,0,((E26-D26)-(C26-E26))/(C26-D26))</f>
        <v>0.33471074380165233</v>
      </c>
      <c r="Q26">
        <f t="shared" ref="Q26" si="106">F26*P26</f>
        <v>63309438.870247826</v>
      </c>
      <c r="R26">
        <f t="shared" ref="R26" si="107">R27+Q26</f>
        <v>14072254835.747625</v>
      </c>
      <c r="S26">
        <f t="shared" ref="S26" si="108">R26/100000</f>
        <v>140722.54835747625</v>
      </c>
      <c r="T26">
        <f t="shared" ref="T26" si="109">S26/1000</f>
        <v>140.72254835747626</v>
      </c>
    </row>
    <row r="27" spans="1:20" x14ac:dyDescent="0.25">
      <c r="A27" s="5">
        <v>44566</v>
      </c>
      <c r="B27">
        <v>7.109E-2</v>
      </c>
      <c r="C27">
        <v>7.3300000000000004E-2</v>
      </c>
      <c r="D27">
        <v>6.2199999999999998E-2</v>
      </c>
      <c r="E27">
        <v>6.6669999999999993E-2</v>
      </c>
      <c r="F27">
        <v>242076390.40000001</v>
      </c>
      <c r="G27">
        <v>6.6669999999999993E-2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-0.19459459459459594</v>
      </c>
      <c r="Q27">
        <f t="shared" ref="Q27" si="111">F27*P27</f>
        <v>-47106757.050811134</v>
      </c>
      <c r="R27">
        <f t="shared" ref="R27" si="112">R28+Q27</f>
        <v>14008945396.877378</v>
      </c>
      <c r="S27">
        <f t="shared" ref="S27" si="113">R27/100000</f>
        <v>140089.45396877377</v>
      </c>
      <c r="T27">
        <f t="shared" ref="T27" si="114">S27/1000</f>
        <v>140.08945396877377</v>
      </c>
    </row>
    <row r="28" spans="1:20" x14ac:dyDescent="0.25">
      <c r="A28" s="5">
        <v>44565</v>
      </c>
      <c r="B28">
        <v>7.4389999999999998E-2</v>
      </c>
      <c r="C28">
        <v>7.4499999999999997E-2</v>
      </c>
      <c r="D28">
        <v>7.0900000000000005E-2</v>
      </c>
      <c r="E28">
        <v>7.1120000000000003E-2</v>
      </c>
      <c r="F28">
        <v>197797575.90000001</v>
      </c>
      <c r="G28">
        <v>7.1120000000000003E-2</v>
      </c>
      <c r="L28" t="s">
        <v>7</v>
      </c>
      <c r="M28" t="s">
        <v>7</v>
      </c>
      <c r="N28" t="s">
        <v>8</v>
      </c>
      <c r="P28">
        <f t="shared" ref="P28" si="115">IF(C28=D28,0,((E28-D28)-(C28-E28))/(C28-D28))</f>
        <v>-0.87777777777777866</v>
      </c>
      <c r="Q28">
        <f t="shared" ref="Q28" si="116">F28*P28</f>
        <v>-173622316.62333351</v>
      </c>
      <c r="R28">
        <f t="shared" ref="R28" si="117">R29+Q28</f>
        <v>14056052153.92819</v>
      </c>
      <c r="S28">
        <f t="shared" ref="S28" si="118">R28/100000</f>
        <v>140560.52153928191</v>
      </c>
      <c r="T28">
        <f t="shared" ref="T28" si="119">S28/1000</f>
        <v>140.56052153928192</v>
      </c>
    </row>
    <row r="29" spans="1:20" x14ac:dyDescent="0.25">
      <c r="A29" s="5">
        <v>44564</v>
      </c>
      <c r="B29">
        <v>7.7049999999999993E-2</v>
      </c>
      <c r="C29">
        <v>7.7869999999999995E-2</v>
      </c>
      <c r="D29">
        <v>7.3169999999999999E-2</v>
      </c>
      <c r="E29">
        <v>7.4380000000000002E-2</v>
      </c>
      <c r="F29">
        <v>179049628.59999999</v>
      </c>
      <c r="G29">
        <v>7.4380000000000002E-2</v>
      </c>
      <c r="L29" t="s">
        <v>7</v>
      </c>
      <c r="M29" t="s">
        <v>8</v>
      </c>
      <c r="N29" t="s">
        <v>8</v>
      </c>
      <c r="P29">
        <f t="shared" ref="P29" si="120">IF(C29=D29,0,((E29-D29)-(C29-E29))/(C29-D29))</f>
        <v>-0.48510638297872177</v>
      </c>
      <c r="Q29">
        <f t="shared" ref="Q29" si="121">F29*P29</f>
        <v>-86858117.703829497</v>
      </c>
      <c r="R29">
        <f t="shared" ref="R29" si="122">R30+Q29</f>
        <v>14229674470.551523</v>
      </c>
      <c r="S29">
        <f t="shared" ref="S29" si="123">R29/100000</f>
        <v>142296.74470551524</v>
      </c>
      <c r="T29">
        <f t="shared" ref="T29" si="124">S29/1000</f>
        <v>142.29674470551524</v>
      </c>
    </row>
    <row r="30" spans="1:20" x14ac:dyDescent="0.25">
      <c r="A30" s="5">
        <v>44563</v>
      </c>
      <c r="B30">
        <v>7.6660000000000006E-2</v>
      </c>
      <c r="C30">
        <v>7.7950000000000005E-2</v>
      </c>
      <c r="D30">
        <v>7.4620000000000006E-2</v>
      </c>
      <c r="E30">
        <v>7.7049999999999993E-2</v>
      </c>
      <c r="F30">
        <v>164583050.69999999</v>
      </c>
      <c r="G30">
        <v>7.7049999999999993E-2</v>
      </c>
      <c r="L30" t="s">
        <v>7</v>
      </c>
      <c r="M30" t="s">
        <v>8</v>
      </c>
      <c r="N30" t="s">
        <v>8</v>
      </c>
      <c r="P30">
        <f t="shared" ref="P30" si="125">IF(C30=D30,0,((E30-D30)-(C30-E30))/(C30-D30))</f>
        <v>0.45945945945945227</v>
      </c>
      <c r="Q30">
        <f t="shared" ref="Q30" si="126">F30*P30</f>
        <v>75619239.510809615</v>
      </c>
      <c r="R30">
        <f t="shared" ref="R30" si="127">R31+Q30</f>
        <v>14316532588.255352</v>
      </c>
      <c r="S30">
        <f t="shared" ref="S30" si="128">R30/100000</f>
        <v>143165.32588255353</v>
      </c>
      <c r="T30">
        <f t="shared" ref="T30" si="129">S30/1000</f>
        <v>143.16532588255353</v>
      </c>
    </row>
    <row r="31" spans="1:20" x14ac:dyDescent="0.25">
      <c r="A31" s="5">
        <v>44562</v>
      </c>
      <c r="B31">
        <v>7.4679999999999996E-2</v>
      </c>
      <c r="C31">
        <v>7.6749999999999999E-2</v>
      </c>
      <c r="D31">
        <v>7.4560000000000001E-2</v>
      </c>
      <c r="E31">
        <v>7.6649999999999996E-2</v>
      </c>
      <c r="F31">
        <v>145700825.90000001</v>
      </c>
      <c r="G31">
        <v>7.6649999999999996E-2</v>
      </c>
      <c r="L31" t="s">
        <v>7</v>
      </c>
      <c r="M31" t="s">
        <v>8</v>
      </c>
      <c r="N31" t="s">
        <v>8</v>
      </c>
      <c r="P31">
        <f t="shared" ref="P31" si="130">IF(C31=D31,0,((E31-D31)-(C31-E31))/(C31-D31))</f>
        <v>0.90867579908675522</v>
      </c>
      <c r="Q31">
        <f t="shared" ref="Q31" si="131">F31*P31</f>
        <v>132394814.4022827</v>
      </c>
      <c r="R31">
        <f t="shared" ref="R31" si="132">R32+Q31</f>
        <v>14240913348.744543</v>
      </c>
      <c r="S31">
        <f t="shared" ref="S31" si="133">R31/100000</f>
        <v>142409.13348744542</v>
      </c>
      <c r="T31">
        <f t="shared" ref="T31" si="134">S31/1000</f>
        <v>142.40913348744542</v>
      </c>
    </row>
    <row r="32" spans="1:20" x14ac:dyDescent="0.25">
      <c r="A32" s="5">
        <v>44561</v>
      </c>
      <c r="B32">
        <v>7.8310000000000005E-2</v>
      </c>
      <c r="C32">
        <v>8.0240000000000006E-2</v>
      </c>
      <c r="D32">
        <v>7.3300000000000004E-2</v>
      </c>
      <c r="E32">
        <v>7.4709999999999999E-2</v>
      </c>
      <c r="F32">
        <v>261495451</v>
      </c>
      <c r="G32">
        <v>7.4709999999999999E-2</v>
      </c>
      <c r="L32" t="s">
        <v>7</v>
      </c>
      <c r="M32" t="s">
        <v>8</v>
      </c>
      <c r="N32" t="s">
        <v>8</v>
      </c>
      <c r="P32">
        <f t="shared" ref="P32" si="135">IF(C32=D32,0,((E32-D32)-(C32-E32))/(C32-D32))</f>
        <v>-0.59365994236311403</v>
      </c>
      <c r="Q32">
        <f t="shared" ref="Q32" si="136">F32*P32</f>
        <v>-155239374.36887652</v>
      </c>
      <c r="R32">
        <f t="shared" ref="R32" si="137">R33+Q32</f>
        <v>14108518534.34226</v>
      </c>
      <c r="S32">
        <f t="shared" ref="S32" si="138">R32/100000</f>
        <v>141085.18534342261</v>
      </c>
      <c r="T32">
        <f t="shared" ref="T32" si="139">S32/1000</f>
        <v>141.08518534342261</v>
      </c>
    </row>
    <row r="33" spans="1:20" x14ac:dyDescent="0.25">
      <c r="A33" s="5">
        <v>44560</v>
      </c>
      <c r="B33">
        <v>8.0159999999999995E-2</v>
      </c>
      <c r="C33">
        <v>8.3360000000000004E-2</v>
      </c>
      <c r="D33">
        <v>7.5340000000000004E-2</v>
      </c>
      <c r="E33">
        <v>7.8289999999999998E-2</v>
      </c>
      <c r="F33">
        <v>389224926.30000001</v>
      </c>
      <c r="G33">
        <v>7.8289999999999998E-2</v>
      </c>
      <c r="L33" t="s">
        <v>8</v>
      </c>
      <c r="M33" t="s">
        <v>8</v>
      </c>
      <c r="N33" t="s">
        <v>8</v>
      </c>
      <c r="P33">
        <f t="shared" ref="P33" si="140">IF(C33=D33,0,((E33-D33)-(C33-E33))/(C33-D33))</f>
        <v>-0.2643391521197021</v>
      </c>
      <c r="Q33">
        <f t="shared" ref="Q33" si="141">F33*P33</f>
        <v>-102887387.00199555</v>
      </c>
      <c r="R33">
        <f t="shared" ref="R33" si="142">R34+Q33</f>
        <v>14263757908.711138</v>
      </c>
      <c r="S33">
        <f t="shared" ref="S33" si="143">R33/100000</f>
        <v>142637.57908711137</v>
      </c>
      <c r="T33">
        <f t="shared" ref="T33" si="144">S33/1000</f>
        <v>142.63757908711136</v>
      </c>
    </row>
    <row r="34" spans="1:20" x14ac:dyDescent="0.25">
      <c r="A34" s="5">
        <v>44559</v>
      </c>
      <c r="B34">
        <v>7.5170000000000001E-2</v>
      </c>
      <c r="C34">
        <v>8.2199999999999995E-2</v>
      </c>
      <c r="D34">
        <v>7.4859999999999996E-2</v>
      </c>
      <c r="E34">
        <v>8.0079999999999998E-2</v>
      </c>
      <c r="F34">
        <v>477328404.69999999</v>
      </c>
      <c r="G34">
        <v>8.0079999999999998E-2</v>
      </c>
      <c r="L34" t="s">
        <v>8</v>
      </c>
      <c r="M34" t="s">
        <v>8</v>
      </c>
      <c r="N34" t="s">
        <v>8</v>
      </c>
      <c r="P34">
        <f t="shared" ref="P34" si="145">IF(C34=D34,0,((E34-D34)-(C34-E34))/(C34-D34))</f>
        <v>0.422343324250682</v>
      </c>
      <c r="Q34">
        <f t="shared" ref="Q34" si="146">F34*P34</f>
        <v>201596465.20027286</v>
      </c>
      <c r="R34">
        <f t="shared" ref="R34" si="147">R35+Q34</f>
        <v>14366645295.713133</v>
      </c>
      <c r="S34">
        <f t="shared" ref="S34" si="148">R34/100000</f>
        <v>143666.45295713132</v>
      </c>
      <c r="T34">
        <f t="shared" ref="T34" si="149">S34/1000</f>
        <v>143.66645295713133</v>
      </c>
    </row>
    <row r="35" spans="1:20" x14ac:dyDescent="0.25">
      <c r="A35" s="5">
        <v>44558</v>
      </c>
      <c r="B35">
        <v>7.9149999999999998E-2</v>
      </c>
      <c r="C35">
        <v>8.3970000000000003E-2</v>
      </c>
      <c r="D35">
        <v>7.3620000000000005E-2</v>
      </c>
      <c r="E35">
        <v>7.5149999999999995E-2</v>
      </c>
      <c r="F35">
        <v>362513120.89999998</v>
      </c>
      <c r="G35">
        <v>7.5149999999999995E-2</v>
      </c>
      <c r="L35" t="s">
        <v>7</v>
      </c>
      <c r="M35" t="s">
        <v>8</v>
      </c>
      <c r="N35" t="s">
        <v>8</v>
      </c>
      <c r="P35">
        <f t="shared" ref="P35" si="150">IF(C35=D35,0,((E35-D35)-(C35-E35))/(C35-D35))</f>
        <v>-0.70434782608695845</v>
      </c>
      <c r="Q35">
        <f t="shared" ref="Q35" si="151">F35*P35</f>
        <v>-255335328.63391373</v>
      </c>
      <c r="R35">
        <f t="shared" ref="R35" si="152">R36+Q35</f>
        <v>14165048830.512859</v>
      </c>
      <c r="S35">
        <f t="shared" ref="S35" si="153">R35/100000</f>
        <v>141650.48830512859</v>
      </c>
      <c r="T35">
        <f t="shared" ref="T35" si="154">S35/1000</f>
        <v>141.65048830512859</v>
      </c>
    </row>
    <row r="36" spans="1:20" x14ac:dyDescent="0.25">
      <c r="A36" s="5">
        <v>44557</v>
      </c>
      <c r="B36">
        <v>7.6700000000000004E-2</v>
      </c>
      <c r="C36">
        <v>8.5339999999999999E-2</v>
      </c>
      <c r="D36">
        <v>7.6109999999999997E-2</v>
      </c>
      <c r="E36">
        <v>7.9149999999999998E-2</v>
      </c>
      <c r="F36">
        <v>469803447.60000002</v>
      </c>
      <c r="G36">
        <v>7.9149999999999998E-2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-0.34127843986998907</v>
      </c>
      <c r="Q36">
        <f t="shared" ref="Q36" si="156">F36*P36</f>
        <v>-160333787.64247018</v>
      </c>
      <c r="R36">
        <f t="shared" ref="R36" si="157">R37+Q36</f>
        <v>14420384159.146772</v>
      </c>
      <c r="S36">
        <f t="shared" ref="S36" si="158">R36/100000</f>
        <v>144203.84159146773</v>
      </c>
      <c r="T36">
        <f t="shared" ref="T36" si="159">S36/1000</f>
        <v>144.20384159146772</v>
      </c>
    </row>
    <row r="37" spans="1:20" x14ac:dyDescent="0.25">
      <c r="A37" s="5">
        <v>44556</v>
      </c>
      <c r="B37">
        <v>7.2989999999999999E-2</v>
      </c>
      <c r="C37">
        <v>7.671E-2</v>
      </c>
      <c r="D37">
        <v>7.0739999999999997E-2</v>
      </c>
      <c r="E37">
        <v>7.6689999999999994E-2</v>
      </c>
      <c r="F37">
        <v>150129622.80000001</v>
      </c>
      <c r="G37">
        <v>7.6689999999999994E-2</v>
      </c>
      <c r="L37" t="s">
        <v>8</v>
      </c>
      <c r="M37" t="s">
        <v>8</v>
      </c>
      <c r="N37" t="s">
        <v>8</v>
      </c>
      <c r="P37">
        <f t="shared" ref="P37" si="160">IF(C37=D37,0,((E37-D37)-(C37-E37))/(C37-D37))</f>
        <v>0.99329983249581033</v>
      </c>
      <c r="Q37">
        <f t="shared" ref="Q37" si="161">F37*P37</f>
        <v>149123729.17989919</v>
      </c>
      <c r="R37">
        <f t="shared" ref="R37" si="162">R38+Q37</f>
        <v>14580717946.789242</v>
      </c>
      <c r="S37">
        <f t="shared" ref="S37" si="163">R37/100000</f>
        <v>145807.17946789242</v>
      </c>
      <c r="T37">
        <f t="shared" ref="T37" si="164">S37/1000</f>
        <v>145.80717946789241</v>
      </c>
    </row>
    <row r="38" spans="1:20" x14ac:dyDescent="0.25">
      <c r="A38" s="5">
        <v>44555</v>
      </c>
      <c r="B38">
        <v>7.1870000000000003E-2</v>
      </c>
      <c r="C38">
        <v>7.4149999999999994E-2</v>
      </c>
      <c r="D38">
        <v>7.1129999999999999E-2</v>
      </c>
      <c r="E38">
        <v>7.2959999999999997E-2</v>
      </c>
      <c r="F38">
        <v>113321712.2</v>
      </c>
      <c r="G38">
        <v>7.2959999999999997E-2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0.21192052980132542</v>
      </c>
      <c r="Q38">
        <f t="shared" ref="Q38" si="166">F38*P38</f>
        <v>24015197.287417322</v>
      </c>
      <c r="R38">
        <f t="shared" ref="R38" si="167">R39+Q38</f>
        <v>14431594217.609343</v>
      </c>
      <c r="S38">
        <f t="shared" ref="S38" si="168">R38/100000</f>
        <v>144315.94217609343</v>
      </c>
      <c r="T38">
        <f t="shared" ref="T38" si="169">S38/1000</f>
        <v>144.31594217609344</v>
      </c>
    </row>
    <row r="39" spans="1:20" x14ac:dyDescent="0.25">
      <c r="A39" s="5">
        <v>44554</v>
      </c>
      <c r="B39">
        <v>7.306E-2</v>
      </c>
      <c r="C39">
        <v>7.6139999999999999E-2</v>
      </c>
      <c r="D39">
        <v>7.0610000000000006E-2</v>
      </c>
      <c r="E39">
        <v>7.1840000000000001E-2</v>
      </c>
      <c r="F39">
        <v>219081234.30000001</v>
      </c>
      <c r="G39">
        <v>7.1840000000000001E-2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-0.55515370705244249</v>
      </c>
      <c r="Q39">
        <f t="shared" ref="Q39" si="171">F39*P39</f>
        <v>-121623759.36726972</v>
      </c>
      <c r="R39">
        <f t="shared" ref="R39" si="172">R40+Q39</f>
        <v>14407579020.321926</v>
      </c>
      <c r="S39">
        <f t="shared" ref="S39" si="173">R39/100000</f>
        <v>144075.79020321925</v>
      </c>
      <c r="T39">
        <f t="shared" ref="T39" si="174">S39/1000</f>
        <v>144.07579020321924</v>
      </c>
    </row>
    <row r="40" spans="1:20" x14ac:dyDescent="0.25">
      <c r="A40" s="5">
        <v>44553</v>
      </c>
      <c r="B40">
        <v>6.7650000000000002E-2</v>
      </c>
      <c r="C40">
        <v>7.4090000000000003E-2</v>
      </c>
      <c r="D40">
        <v>6.5820000000000004E-2</v>
      </c>
      <c r="E40">
        <v>7.3050000000000004E-2</v>
      </c>
      <c r="F40">
        <v>270400495.89999998</v>
      </c>
      <c r="G40">
        <v>7.3050000000000004E-2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0.74848851269649352</v>
      </c>
      <c r="Q40">
        <f t="shared" ref="Q40" si="176">F40*P40</f>
        <v>202391665.00858527</v>
      </c>
      <c r="R40">
        <f t="shared" ref="R40" si="177">R41+Q40</f>
        <v>14529202779.689196</v>
      </c>
      <c r="S40">
        <f t="shared" ref="S40" si="178">R40/100000</f>
        <v>145292.02779689195</v>
      </c>
      <c r="T40">
        <f t="shared" ref="T40" si="179">S40/1000</f>
        <v>145.29202779689194</v>
      </c>
    </row>
    <row r="41" spans="1:20" x14ac:dyDescent="0.25">
      <c r="A41" s="5">
        <v>44552</v>
      </c>
      <c r="B41">
        <v>6.3130000000000006E-2</v>
      </c>
      <c r="C41">
        <v>6.88E-2</v>
      </c>
      <c r="D41">
        <v>6.3100000000000003E-2</v>
      </c>
      <c r="E41">
        <v>6.7669999999999994E-2</v>
      </c>
      <c r="F41">
        <v>282571148.5</v>
      </c>
      <c r="G41">
        <v>6.7669999999999994E-2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0.60350877192982222</v>
      </c>
      <c r="Q41">
        <f t="shared" ref="Q41" si="181">F41*P41</f>
        <v>170534166.81403443</v>
      </c>
      <c r="R41">
        <f t="shared" ref="R41" si="182">R42+Q41</f>
        <v>14326811114.680611</v>
      </c>
      <c r="S41">
        <f t="shared" ref="S41" si="183">R41/100000</f>
        <v>143268.1111468061</v>
      </c>
      <c r="T41">
        <f t="shared" ref="T41" si="184">S41/1000</f>
        <v>143.26811114680609</v>
      </c>
    </row>
    <row r="42" spans="1:20" x14ac:dyDescent="0.25">
      <c r="A42" s="5">
        <v>44551</v>
      </c>
      <c r="B42">
        <v>5.9420000000000001E-2</v>
      </c>
      <c r="C42">
        <v>6.5250000000000002E-2</v>
      </c>
      <c r="D42">
        <v>5.851E-2</v>
      </c>
      <c r="E42">
        <v>6.3130000000000006E-2</v>
      </c>
      <c r="F42">
        <v>158479505.59999999</v>
      </c>
      <c r="G42">
        <v>6.3130000000000006E-2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0.37091988130563919</v>
      </c>
      <c r="Q42">
        <f t="shared" ref="Q42" si="186">F42*P42</f>
        <v>58783199.406528376</v>
      </c>
      <c r="R42">
        <f t="shared" ref="R42" si="187">R43+Q42</f>
        <v>14156276947.866577</v>
      </c>
      <c r="S42">
        <f t="shared" ref="S42" si="188">R42/100000</f>
        <v>141562.76947866578</v>
      </c>
      <c r="T42">
        <f t="shared" ref="T42" si="189">S42/1000</f>
        <v>141.56276947866579</v>
      </c>
    </row>
    <row r="43" spans="1:20" x14ac:dyDescent="0.25">
      <c r="A43" s="5">
        <v>44550</v>
      </c>
      <c r="B43">
        <v>6.0819999999999999E-2</v>
      </c>
      <c r="C43">
        <v>6.173E-2</v>
      </c>
      <c r="D43">
        <v>5.7230000000000003E-2</v>
      </c>
      <c r="E43">
        <v>5.944E-2</v>
      </c>
      <c r="F43">
        <v>184970597</v>
      </c>
      <c r="G43">
        <v>5.944E-2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-1.7777777777778607E-2</v>
      </c>
      <c r="Q43">
        <f t="shared" ref="Q43" si="191">F43*P43</f>
        <v>-3288366.1688890425</v>
      </c>
      <c r="R43">
        <f t="shared" ref="R43" si="192">R44+Q43</f>
        <v>14097493748.460049</v>
      </c>
      <c r="S43">
        <f t="shared" ref="S43" si="193">R43/100000</f>
        <v>140974.93748460049</v>
      </c>
      <c r="T43">
        <f t="shared" ref="T43" si="194">S43/1000</f>
        <v>140.9749374846005</v>
      </c>
    </row>
    <row r="44" spans="1:20" x14ac:dyDescent="0.25">
      <c r="A44" s="5">
        <v>44549</v>
      </c>
      <c r="B44">
        <v>6.3030000000000003E-2</v>
      </c>
      <c r="C44">
        <v>6.3320000000000001E-2</v>
      </c>
      <c r="D44">
        <v>6.0400000000000002E-2</v>
      </c>
      <c r="E44">
        <v>6.0839999999999998E-2</v>
      </c>
      <c r="F44">
        <v>109472345.90000001</v>
      </c>
      <c r="G44">
        <v>6.0839999999999998E-2</v>
      </c>
      <c r="L44" t="s">
        <v>7</v>
      </c>
      <c r="M44" t="s">
        <v>7</v>
      </c>
      <c r="N44" t="s">
        <v>7</v>
      </c>
      <c r="P44">
        <f t="shared" ref="P44" si="195">IF(C44=D44,0,((E44-D44)-(C44-E44))/(C44-D44))</f>
        <v>-0.69863013698630405</v>
      </c>
      <c r="Q44">
        <f t="shared" ref="Q44" si="196">F44*P44</f>
        <v>-76480680.012329072</v>
      </c>
      <c r="R44">
        <f t="shared" ref="R44" si="197">R45+Q44</f>
        <v>14100782114.628937</v>
      </c>
      <c r="S44">
        <f t="shared" ref="S44" si="198">R44/100000</f>
        <v>141007.82114628938</v>
      </c>
      <c r="T44">
        <f t="shared" ref="T44" si="199">S44/1000</f>
        <v>141.00782114628939</v>
      </c>
    </row>
    <row r="45" spans="1:20" x14ac:dyDescent="0.25">
      <c r="A45" s="5">
        <v>44548</v>
      </c>
      <c r="B45">
        <v>5.9389999999999998E-2</v>
      </c>
      <c r="C45">
        <v>6.5759999999999999E-2</v>
      </c>
      <c r="D45">
        <v>5.8529999999999999E-2</v>
      </c>
      <c r="E45">
        <v>6.3030000000000003E-2</v>
      </c>
      <c r="F45">
        <v>269815212.60000002</v>
      </c>
      <c r="G45">
        <v>6.3030000000000003E-2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0.2448132780082998</v>
      </c>
      <c r="Q45">
        <f t="shared" ref="Q45" si="201">F45*P45</f>
        <v>66054346.653112322</v>
      </c>
      <c r="R45">
        <f t="shared" ref="R45" si="202">R46+Q45</f>
        <v>14177262794.641266</v>
      </c>
      <c r="S45">
        <f t="shared" ref="S45" si="203">R45/100000</f>
        <v>141772.62794641266</v>
      </c>
      <c r="T45">
        <f t="shared" ref="T45" si="204">S45/1000</f>
        <v>141.77262794641265</v>
      </c>
    </row>
    <row r="46" spans="1:20" x14ac:dyDescent="0.25">
      <c r="A46" s="5">
        <v>44547</v>
      </c>
      <c r="B46">
        <v>6.028E-2</v>
      </c>
      <c r="C46">
        <v>6.1559999999999997E-2</v>
      </c>
      <c r="D46">
        <v>5.7630000000000001E-2</v>
      </c>
      <c r="E46">
        <v>5.944E-2</v>
      </c>
      <c r="F46">
        <v>125275876.90000001</v>
      </c>
      <c r="G46">
        <v>5.944E-2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-7.8880407124681445E-2</v>
      </c>
      <c r="Q46">
        <f t="shared" ref="Q46" si="206">F46*P46</f>
        <v>-9881812.1727734767</v>
      </c>
      <c r="R46">
        <f t="shared" ref="R46" si="207">R47+Q46</f>
        <v>14111208447.988153</v>
      </c>
      <c r="S46">
        <f t="shared" ref="S46" si="208">R46/100000</f>
        <v>141112.08447988154</v>
      </c>
      <c r="T46">
        <f t="shared" ref="T46" si="209">S46/1000</f>
        <v>141.11208447988153</v>
      </c>
    </row>
    <row r="47" spans="1:20" x14ac:dyDescent="0.25">
      <c r="A47" s="5">
        <v>44546</v>
      </c>
      <c r="B47">
        <v>6.2100000000000002E-2</v>
      </c>
      <c r="C47">
        <v>6.4030000000000004E-2</v>
      </c>
      <c r="D47">
        <v>6.0100000000000001E-2</v>
      </c>
      <c r="E47">
        <v>6.028E-2</v>
      </c>
      <c r="F47">
        <v>118946038.3</v>
      </c>
      <c r="G47">
        <v>6.028E-2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-0.90839694656488579</v>
      </c>
      <c r="Q47">
        <f t="shared" ref="Q47" si="211">F47*P47</f>
        <v>-108050217.99770996</v>
      </c>
      <c r="R47">
        <f t="shared" ref="R47" si="212">R48+Q47</f>
        <v>14121090260.160927</v>
      </c>
      <c r="S47">
        <f t="shared" ref="S47" si="213">R47/100000</f>
        <v>141210.90260160927</v>
      </c>
      <c r="T47">
        <f t="shared" ref="T47" si="214">S47/1000</f>
        <v>141.21090260160926</v>
      </c>
    </row>
    <row r="48" spans="1:20" x14ac:dyDescent="0.25">
      <c r="A48" s="5">
        <v>44545</v>
      </c>
      <c r="B48">
        <v>6.062E-2</v>
      </c>
      <c r="C48">
        <v>6.2810000000000005E-2</v>
      </c>
      <c r="D48">
        <v>5.7930000000000002E-2</v>
      </c>
      <c r="E48">
        <v>6.2080000000000003E-2</v>
      </c>
      <c r="F48">
        <v>155348849.09999999</v>
      </c>
      <c r="G48">
        <v>6.2080000000000003E-2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0.70081967213114704</v>
      </c>
      <c r="Q48">
        <f t="shared" ref="Q48" si="216">F48*P48</f>
        <v>108871529.49221303</v>
      </c>
      <c r="R48">
        <f t="shared" ref="R48" si="217">R49+Q48</f>
        <v>14229140478.158636</v>
      </c>
      <c r="S48">
        <f t="shared" ref="S48" si="218">R48/100000</f>
        <v>142291.40478158637</v>
      </c>
      <c r="T48">
        <f t="shared" ref="T48" si="219">S48/1000</f>
        <v>142.29140478158638</v>
      </c>
    </row>
    <row r="49" spans="1:20" x14ac:dyDescent="0.25">
      <c r="A49" s="5">
        <v>44544</v>
      </c>
      <c r="B49">
        <v>5.8110000000000002E-2</v>
      </c>
      <c r="C49">
        <v>6.1150000000000003E-2</v>
      </c>
      <c r="D49">
        <v>5.6980000000000003E-2</v>
      </c>
      <c r="E49">
        <v>6.0630000000000003E-2</v>
      </c>
      <c r="F49">
        <v>161866982.09999999</v>
      </c>
      <c r="G49">
        <v>6.0630000000000003E-2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0.75059952038369326</v>
      </c>
      <c r="Q49">
        <f t="shared" ref="Q49" si="221">F49*P49</f>
        <v>121497279.13021585</v>
      </c>
      <c r="R49">
        <f t="shared" ref="R49" si="222">R50+Q49</f>
        <v>14120268948.666424</v>
      </c>
      <c r="S49">
        <f t="shared" ref="S49" si="223">R49/100000</f>
        <v>141202.68948666423</v>
      </c>
      <c r="T49">
        <f t="shared" ref="T49" si="224">S49/1000</f>
        <v>141.20268948666421</v>
      </c>
    </row>
    <row r="50" spans="1:20" x14ac:dyDescent="0.25">
      <c r="A50" s="5">
        <v>44543</v>
      </c>
      <c r="B50">
        <v>6.5320000000000003E-2</v>
      </c>
      <c r="C50">
        <v>6.5799999999999997E-2</v>
      </c>
      <c r="D50">
        <v>5.7299999999999997E-2</v>
      </c>
      <c r="E50">
        <v>5.8119999999999998E-2</v>
      </c>
      <c r="F50">
        <v>178403663.59999999</v>
      </c>
      <c r="G50">
        <v>5.8119999999999998E-2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-0.8070588235294115</v>
      </c>
      <c r="Q50">
        <f t="shared" ref="Q50" si="226">F50*P50</f>
        <v>-143982250.8583529</v>
      </c>
      <c r="R50">
        <f t="shared" ref="R50" si="227">R51+Q50</f>
        <v>13998771669.536207</v>
      </c>
      <c r="S50">
        <f t="shared" ref="S50" si="228">R50/100000</f>
        <v>139987.71669536206</v>
      </c>
      <c r="T50">
        <f t="shared" ref="T50" si="229">S50/1000</f>
        <v>139.98771669536205</v>
      </c>
    </row>
    <row r="51" spans="1:20" x14ac:dyDescent="0.25">
      <c r="A51" s="5">
        <v>44542</v>
      </c>
      <c r="B51">
        <v>6.5360000000000001E-2</v>
      </c>
      <c r="C51">
        <v>6.6180000000000003E-2</v>
      </c>
      <c r="D51">
        <v>6.3109999999999999E-2</v>
      </c>
      <c r="E51">
        <v>6.5369999999999998E-2</v>
      </c>
      <c r="F51">
        <v>100010935.7</v>
      </c>
      <c r="G51">
        <v>6.5369999999999998E-2</v>
      </c>
      <c r="L51" t="s">
        <v>7</v>
      </c>
      <c r="M51" t="s">
        <v>7</v>
      </c>
      <c r="N51" t="s">
        <v>7</v>
      </c>
      <c r="P51">
        <f t="shared" ref="P51" si="230">IF(C51=D51,0,((E51-D51)-(C51-E51))/(C51-D51))</f>
        <v>0.4723127035830591</v>
      </c>
      <c r="Q51">
        <f t="shared" ref="Q51" si="231">F51*P51</f>
        <v>47236435.428338483</v>
      </c>
      <c r="R51">
        <f t="shared" ref="R51" si="232">R52+Q51</f>
        <v>14142753920.39456</v>
      </c>
      <c r="S51">
        <f t="shared" ref="S51" si="233">R51/100000</f>
        <v>141427.53920394561</v>
      </c>
      <c r="T51">
        <f t="shared" ref="T51" si="234">S51/1000</f>
        <v>141.4275392039456</v>
      </c>
    </row>
    <row r="52" spans="1:20" x14ac:dyDescent="0.25">
      <c r="A52" s="5">
        <v>44541</v>
      </c>
      <c r="B52">
        <v>6.2429999999999999E-2</v>
      </c>
      <c r="C52">
        <v>6.3570000000000002E-2</v>
      </c>
      <c r="D52">
        <v>6.1370000000000001E-2</v>
      </c>
      <c r="E52">
        <v>6.3130000000000006E-2</v>
      </c>
      <c r="F52">
        <v>11084710.4</v>
      </c>
      <c r="G52">
        <v>6.3130000000000006E-2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0.60000000000000375</v>
      </c>
      <c r="Q52">
        <f t="shared" ref="Q52" si="236">F52*P52</f>
        <v>6650826.2400000421</v>
      </c>
      <c r="R52">
        <f t="shared" ref="R52" si="237">R53+Q52</f>
        <v>14095517484.966221</v>
      </c>
      <c r="S52">
        <f t="shared" ref="S52" si="238">R52/100000</f>
        <v>140955.1748496622</v>
      </c>
      <c r="T52">
        <f t="shared" ref="T52" si="239">S52/1000</f>
        <v>140.9551748496622</v>
      </c>
    </row>
    <row r="53" spans="1:20" x14ac:dyDescent="0.25">
      <c r="A53" s="5">
        <v>44540</v>
      </c>
      <c r="B53">
        <v>6.6339999999999996E-2</v>
      </c>
      <c r="C53">
        <v>6.8290000000000003E-2</v>
      </c>
      <c r="D53">
        <v>6.2109999999999999E-2</v>
      </c>
      <c r="E53">
        <v>6.2480000000000001E-2</v>
      </c>
      <c r="F53">
        <v>189512273.59999999</v>
      </c>
      <c r="G53">
        <v>6.2480000000000001E-2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-0.88025889967637472</v>
      </c>
      <c r="Q53">
        <f t="shared" ref="Q53" si="241">F53*P53</f>
        <v>-166819865.43430406</v>
      </c>
      <c r="R53">
        <f t="shared" ref="R53" si="242">R54+Q53</f>
        <v>14088866658.726221</v>
      </c>
      <c r="S53">
        <f t="shared" ref="S53" si="243">R53/100000</f>
        <v>140888.66658726221</v>
      </c>
      <c r="T53">
        <f t="shared" ref="T53" si="244">S53/1000</f>
        <v>140.88866658726221</v>
      </c>
    </row>
    <row r="54" spans="1:20" x14ac:dyDescent="0.25">
      <c r="A54" s="5">
        <v>44539</v>
      </c>
      <c r="B54">
        <v>7.46E-2</v>
      </c>
      <c r="C54">
        <v>7.4980000000000005E-2</v>
      </c>
      <c r="D54">
        <v>6.6259999999999999E-2</v>
      </c>
      <c r="E54">
        <v>6.6369999999999998E-2</v>
      </c>
      <c r="F54">
        <v>175401415.80000001</v>
      </c>
      <c r="G54">
        <v>6.6369999999999998E-2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-0.97477064220183507</v>
      </c>
      <c r="Q54">
        <f t="shared" ref="Q54" si="246">F54*P54</f>
        <v>-170976150.72247711</v>
      </c>
      <c r="R54">
        <f t="shared" ref="R54" si="247">R55+Q54</f>
        <v>14255686524.160524</v>
      </c>
      <c r="S54">
        <f t="shared" ref="S54" si="248">R54/100000</f>
        <v>142556.86524160524</v>
      </c>
      <c r="T54">
        <f t="shared" ref="T54" si="249">S54/1000</f>
        <v>142.55686524160524</v>
      </c>
    </row>
    <row r="55" spans="1:20" x14ac:dyDescent="0.25">
      <c r="A55" s="5">
        <v>44538</v>
      </c>
      <c r="B55">
        <v>6.9430000000000006E-2</v>
      </c>
      <c r="C55">
        <v>7.5469999999999995E-2</v>
      </c>
      <c r="D55">
        <v>6.8479999999999999E-2</v>
      </c>
      <c r="E55">
        <v>7.4579999999999994E-2</v>
      </c>
      <c r="F55">
        <v>324726517.5</v>
      </c>
      <c r="G55">
        <v>7.4579999999999994E-2</v>
      </c>
      <c r="L55" t="s">
        <v>8</v>
      </c>
      <c r="M55" t="s">
        <v>8</v>
      </c>
      <c r="N55" t="s">
        <v>7</v>
      </c>
      <c r="P55">
        <f t="shared" ref="P55" si="250">IF(C55=D55,0,((E55-D55)-(C55-E55))/(C55-D55))</f>
        <v>0.74535050071530695</v>
      </c>
      <c r="Q55">
        <f t="shared" ref="Q55" si="251">F55*P55</f>
        <v>242035072.41416287</v>
      </c>
      <c r="R55">
        <f t="shared" ref="R55" si="252">R56+Q55</f>
        <v>14426662674.883001</v>
      </c>
      <c r="S55">
        <f t="shared" ref="S55" si="253">R55/100000</f>
        <v>144266.62674883002</v>
      </c>
      <c r="T55">
        <f t="shared" ref="T55" si="254">S55/1000</f>
        <v>144.26662674883002</v>
      </c>
    </row>
    <row r="56" spans="1:20" x14ac:dyDescent="0.25">
      <c r="A56" s="5">
        <v>44537</v>
      </c>
      <c r="B56">
        <v>6.88E-2</v>
      </c>
      <c r="C56">
        <v>7.3410000000000003E-2</v>
      </c>
      <c r="D56">
        <v>6.7790000000000003E-2</v>
      </c>
      <c r="E56">
        <v>6.9449999999999998E-2</v>
      </c>
      <c r="F56">
        <v>275316689.80000001</v>
      </c>
      <c r="G56">
        <v>6.9449999999999998E-2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-0.40925266903914775</v>
      </c>
      <c r="Q56">
        <f t="shared" ref="Q56" si="256">F56*P56</f>
        <v>-112674090.13167311</v>
      </c>
      <c r="R56">
        <f t="shared" ref="R56" si="257">R57+Q56</f>
        <v>14184627602.468838</v>
      </c>
      <c r="S56">
        <f t="shared" ref="S56" si="258">R56/100000</f>
        <v>141846.27602468838</v>
      </c>
      <c r="T56">
        <f t="shared" ref="T56" si="259">S56/1000</f>
        <v>141.84627602468839</v>
      </c>
    </row>
    <row r="57" spans="1:20" x14ac:dyDescent="0.25">
      <c r="A57" s="5">
        <v>44536</v>
      </c>
      <c r="B57">
        <v>6.6489999999999994E-2</v>
      </c>
      <c r="C57">
        <v>6.9599999999999995E-2</v>
      </c>
      <c r="D57">
        <v>5.9950000000000003E-2</v>
      </c>
      <c r="E57">
        <v>6.8849999999999995E-2</v>
      </c>
      <c r="F57">
        <v>261979148.5</v>
      </c>
      <c r="G57">
        <v>6.8849999999999995E-2</v>
      </c>
      <c r="L57" t="s">
        <v>7</v>
      </c>
      <c r="M57" t="s">
        <v>8</v>
      </c>
      <c r="N57" t="s">
        <v>7</v>
      </c>
      <c r="P57">
        <f t="shared" ref="P57" si="260">IF(C57=D57,0,((E57-D57)-(C57-E57))/(C57-D57))</f>
        <v>0.84455958549222776</v>
      </c>
      <c r="Q57">
        <f t="shared" ref="Q57" si="261">F57*P57</f>
        <v>221257001.06476679</v>
      </c>
      <c r="R57">
        <f t="shared" ref="R57" si="262">R58+Q57</f>
        <v>14297301692.600512</v>
      </c>
      <c r="S57">
        <f t="shared" ref="S57" si="263">R57/100000</f>
        <v>142973.0169260051</v>
      </c>
      <c r="T57">
        <f t="shared" ref="T57" si="264">S57/1000</f>
        <v>142.9730169260051</v>
      </c>
    </row>
    <row r="58" spans="1:20" x14ac:dyDescent="0.25">
      <c r="A58" s="5">
        <v>44535</v>
      </c>
      <c r="B58">
        <v>7.0099999999999996E-2</v>
      </c>
      <c r="C58">
        <v>7.109E-2</v>
      </c>
      <c r="D58">
        <v>6.3539999999999999E-2</v>
      </c>
      <c r="E58">
        <v>6.6460000000000005E-2</v>
      </c>
      <c r="F58">
        <v>252595332</v>
      </c>
      <c r="G58">
        <v>6.6460000000000005E-2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-0.2264900662251641</v>
      </c>
      <c r="Q58">
        <f t="shared" ref="Q58" si="266">F58*P58</f>
        <v>-57210333.472847313</v>
      </c>
      <c r="R58">
        <f t="shared" ref="R58" si="267">R59+Q58</f>
        <v>14076044691.535746</v>
      </c>
      <c r="S58">
        <f t="shared" ref="S58" si="268">R58/100000</f>
        <v>140760.44691535746</v>
      </c>
      <c r="T58">
        <f t="shared" ref="T58" si="269">S58/1000</f>
        <v>140.76044691535745</v>
      </c>
    </row>
    <row r="59" spans="1:20" x14ac:dyDescent="0.25">
      <c r="A59" s="5">
        <v>44534</v>
      </c>
      <c r="B59">
        <v>8.1890000000000004E-2</v>
      </c>
      <c r="C59">
        <v>8.1909999999999997E-2</v>
      </c>
      <c r="D59">
        <v>5.2639999999999999E-2</v>
      </c>
      <c r="E59">
        <v>7.0069999999999993E-2</v>
      </c>
      <c r="F59">
        <v>566355037.70000005</v>
      </c>
      <c r="G59">
        <v>7.0069999999999993E-2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0.1909805261359751</v>
      </c>
      <c r="Q59">
        <f t="shared" ref="Q59" si="271">F59*P59</f>
        <v>108162783.07970603</v>
      </c>
      <c r="R59">
        <f t="shared" ref="R59" si="272">R60+Q59</f>
        <v>14133255025.008593</v>
      </c>
      <c r="S59">
        <f t="shared" ref="S59" si="273">R59/100000</f>
        <v>141332.55025008591</v>
      </c>
      <c r="T59">
        <f t="shared" ref="T59" si="274">S59/1000</f>
        <v>141.33255025008592</v>
      </c>
    </row>
    <row r="60" spans="1:20" x14ac:dyDescent="0.25">
      <c r="A60" s="5">
        <v>44533</v>
      </c>
      <c r="B60">
        <v>8.6099999999999996E-2</v>
      </c>
      <c r="C60">
        <v>8.9069999999999996E-2</v>
      </c>
      <c r="D60">
        <v>7.8719999999999998E-2</v>
      </c>
      <c r="E60">
        <v>8.1850000000000006E-2</v>
      </c>
      <c r="F60">
        <v>257870882.30000001</v>
      </c>
      <c r="G60">
        <v>8.1850000000000006E-2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-0.39516908212560226</v>
      </c>
      <c r="Q60">
        <f t="shared" ref="Q60" si="276">F60*P60</f>
        <v>-101902599.86541022</v>
      </c>
      <c r="R60">
        <f t="shared" ref="R60" si="277">R61+Q60</f>
        <v>14025092241.928886</v>
      </c>
      <c r="S60">
        <f t="shared" ref="S60" si="278">R60/100000</f>
        <v>140250.92241928887</v>
      </c>
      <c r="T60">
        <f t="shared" ref="T60" si="279">S60/1000</f>
        <v>140.25092241928886</v>
      </c>
    </row>
    <row r="61" spans="1:20" x14ac:dyDescent="0.25">
      <c r="A61" s="5">
        <v>44532</v>
      </c>
      <c r="B61">
        <v>8.7040000000000006E-2</v>
      </c>
      <c r="C61">
        <v>8.7410000000000002E-2</v>
      </c>
      <c r="D61">
        <v>8.3570000000000005E-2</v>
      </c>
      <c r="E61">
        <v>8.6080000000000004E-2</v>
      </c>
      <c r="F61">
        <v>138770511.09999999</v>
      </c>
      <c r="G61">
        <v>8.6080000000000004E-2</v>
      </c>
      <c r="L61" t="s">
        <v>7</v>
      </c>
      <c r="M61" t="s">
        <v>8</v>
      </c>
      <c r="N61" t="s">
        <v>7</v>
      </c>
      <c r="P61">
        <f t="shared" ref="P61" si="280">IF(C61=D61,0,((E61-D61)-(C61-E61))/(C61-D61))</f>
        <v>0.30729166666666707</v>
      </c>
      <c r="Q61">
        <f t="shared" ref="Q61" si="281">F61*P61</f>
        <v>42643021.640104219</v>
      </c>
      <c r="R61">
        <f t="shared" ref="R61" si="282">R62+Q61</f>
        <v>14126994841.794296</v>
      </c>
      <c r="S61">
        <f t="shared" ref="S61" si="283">R61/100000</f>
        <v>141269.94841794297</v>
      </c>
      <c r="T61">
        <f t="shared" ref="T61" si="284">S61/1000</f>
        <v>141.26994841794297</v>
      </c>
    </row>
    <row r="62" spans="1:20" x14ac:dyDescent="0.25">
      <c r="A62" s="5">
        <v>44531</v>
      </c>
      <c r="B62">
        <v>8.7529999999999997E-2</v>
      </c>
      <c r="C62">
        <v>0.09</v>
      </c>
      <c r="D62">
        <v>8.5720000000000005E-2</v>
      </c>
      <c r="E62">
        <v>8.7069999999999995E-2</v>
      </c>
      <c r="F62">
        <v>175021428.90000001</v>
      </c>
      <c r="G62">
        <v>8.7069999999999995E-2</v>
      </c>
      <c r="L62" t="s">
        <v>7</v>
      </c>
      <c r="M62" t="s">
        <v>8</v>
      </c>
      <c r="N62" t="s">
        <v>7</v>
      </c>
      <c r="P62">
        <f t="shared" ref="P62" si="285">IF(C62=D62,0,((E62-D62)-(C62-E62))/(C62-D62))</f>
        <v>-0.36915887850467638</v>
      </c>
      <c r="Q62">
        <f t="shared" ref="Q62" si="286">F62*P62</f>
        <v>-64610714.407009959</v>
      </c>
      <c r="R62">
        <f t="shared" ref="R62" si="287">R63+Q62</f>
        <v>14084351820.154192</v>
      </c>
      <c r="S62">
        <f t="shared" ref="S62" si="288">R62/100000</f>
        <v>140843.51820154191</v>
      </c>
      <c r="T62">
        <f t="shared" ref="T62" si="289">S62/1000</f>
        <v>140.84351820154191</v>
      </c>
    </row>
    <row r="63" spans="1:20" x14ac:dyDescent="0.25">
      <c r="A63" s="5">
        <v>44530</v>
      </c>
      <c r="B63">
        <v>9.1329999999999995E-2</v>
      </c>
      <c r="C63">
        <v>9.2189999999999994E-2</v>
      </c>
      <c r="D63">
        <v>8.6379999999999998E-2</v>
      </c>
      <c r="E63">
        <v>8.745E-2</v>
      </c>
      <c r="F63">
        <v>210288962.19999999</v>
      </c>
      <c r="G63">
        <v>8.745E-2</v>
      </c>
      <c r="L63" t="s">
        <v>7</v>
      </c>
      <c r="M63" t="s">
        <v>8</v>
      </c>
      <c r="N63" t="s">
        <v>7</v>
      </c>
      <c r="P63">
        <f t="shared" ref="P63" si="290">IF(C63=D63,0,((E63-D63)-(C63-E63))/(C63-D63))</f>
        <v>-0.63166953528399228</v>
      </c>
      <c r="Q63">
        <f t="shared" ref="Q63" si="291">F63*P63</f>
        <v>-132833131.02822702</v>
      </c>
      <c r="R63">
        <f t="shared" ref="R63" si="292">R64+Q63</f>
        <v>14148962534.561201</v>
      </c>
      <c r="S63">
        <f t="shared" ref="S63" si="293">R63/100000</f>
        <v>141489.625345612</v>
      </c>
      <c r="T63">
        <f t="shared" ref="T63" si="294">S63/1000</f>
        <v>141.48962534561201</v>
      </c>
    </row>
    <row r="64" spans="1:20" x14ac:dyDescent="0.25">
      <c r="A64" s="5">
        <v>44529</v>
      </c>
      <c r="B64">
        <v>8.3830000000000002E-2</v>
      </c>
      <c r="C64">
        <v>9.5799999999999996E-2</v>
      </c>
      <c r="D64">
        <v>8.3699999999999997E-2</v>
      </c>
      <c r="E64">
        <v>9.1289999999999996E-2</v>
      </c>
      <c r="F64">
        <v>644023226.10000002</v>
      </c>
      <c r="G64">
        <v>9.1289999999999996E-2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0.25454545454545452</v>
      </c>
      <c r="Q64">
        <f t="shared" ref="Q64" si="296">F64*P64</f>
        <v>163933184.82545453</v>
      </c>
      <c r="R64">
        <f t="shared" ref="R64" si="297">R65+Q64</f>
        <v>14281795665.589428</v>
      </c>
      <c r="S64">
        <f t="shared" ref="S64" si="298">R64/100000</f>
        <v>142817.95665589429</v>
      </c>
      <c r="T64">
        <f t="shared" ref="T64" si="299">S64/1000</f>
        <v>142.81795665589428</v>
      </c>
    </row>
    <row r="65" spans="1:20" x14ac:dyDescent="0.25">
      <c r="A65" s="5">
        <v>44528</v>
      </c>
      <c r="B65">
        <v>8.3549999999999999E-2</v>
      </c>
      <c r="C65">
        <v>8.4029999999999994E-2</v>
      </c>
      <c r="D65">
        <v>7.7009999999999995E-2</v>
      </c>
      <c r="E65">
        <v>8.3860000000000004E-2</v>
      </c>
      <c r="F65">
        <v>161870487.69999999</v>
      </c>
      <c r="G65">
        <v>8.3860000000000004E-2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0.95156695156695448</v>
      </c>
      <c r="Q65">
        <f t="shared" ref="Q65" si="301">F65*P65</f>
        <v>154030606.52934518</v>
      </c>
      <c r="R65">
        <f t="shared" ref="R65" si="302">R66+Q65</f>
        <v>14117862480.763973</v>
      </c>
      <c r="S65">
        <f t="shared" ref="S65" si="303">R65/100000</f>
        <v>141178.62480763975</v>
      </c>
      <c r="T65">
        <f t="shared" ref="T65" si="304">S65/1000</f>
        <v>141.17862480763975</v>
      </c>
    </row>
    <row r="66" spans="1:20" x14ac:dyDescent="0.25">
      <c r="A66" s="5">
        <v>44527</v>
      </c>
      <c r="B66">
        <v>8.1479999999999997E-2</v>
      </c>
      <c r="C66">
        <v>8.5239999999999996E-2</v>
      </c>
      <c r="D66">
        <v>8.1140000000000004E-2</v>
      </c>
      <c r="E66">
        <v>8.3549999999999999E-2</v>
      </c>
      <c r="F66">
        <v>117326863.40000001</v>
      </c>
      <c r="G66">
        <v>8.3549999999999999E-2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0.17560975609756091</v>
      </c>
      <c r="Q66">
        <f t="shared" ref="Q66" si="306">F66*P66</f>
        <v>20603741.865365848</v>
      </c>
      <c r="R66">
        <f t="shared" ref="R66" si="307">R67+Q66</f>
        <v>13963831874.234629</v>
      </c>
      <c r="S66">
        <f t="shared" ref="S66" si="308">R66/100000</f>
        <v>139638.31874234628</v>
      </c>
      <c r="T66">
        <f t="shared" ref="T66" si="309">S66/1000</f>
        <v>139.63831874234629</v>
      </c>
    </row>
    <row r="67" spans="1:20" x14ac:dyDescent="0.25">
      <c r="A67" s="5">
        <v>44526</v>
      </c>
      <c r="B67">
        <v>8.9440000000000006E-2</v>
      </c>
      <c r="C67">
        <v>9.0359999999999996E-2</v>
      </c>
      <c r="D67">
        <v>7.9269999999999993E-2</v>
      </c>
      <c r="E67">
        <v>8.1540000000000001E-2</v>
      </c>
      <c r="F67">
        <v>263101940.09999999</v>
      </c>
      <c r="G67">
        <v>8.1540000000000001E-2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-0.5906221821460762</v>
      </c>
      <c r="Q67">
        <f t="shared" ref="Q67" si="311">F67*P67</f>
        <v>-155393841.98872823</v>
      </c>
      <c r="R67">
        <f t="shared" ref="R67" si="312">R68+Q67</f>
        <v>13943228132.369263</v>
      </c>
      <c r="S67">
        <f t="shared" ref="S67" si="313">R67/100000</f>
        <v>139432.28132369262</v>
      </c>
      <c r="T67">
        <f t="shared" ref="T67" si="314">S67/1000</f>
        <v>139.43228132369262</v>
      </c>
    </row>
    <row r="68" spans="1:20" x14ac:dyDescent="0.25">
      <c r="A68" s="5">
        <v>44525</v>
      </c>
      <c r="B68">
        <v>8.6999999999999994E-2</v>
      </c>
      <c r="C68">
        <v>9.0899999999999995E-2</v>
      </c>
      <c r="D68">
        <v>8.6900000000000005E-2</v>
      </c>
      <c r="E68">
        <v>8.9440000000000006E-2</v>
      </c>
      <c r="F68">
        <v>171876575.30000001</v>
      </c>
      <c r="G68">
        <v>8.9440000000000006E-2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0.27000000000000357</v>
      </c>
      <c r="Q68">
        <f t="shared" ref="Q68" si="316">F68*P68</f>
        <v>46406675.331000619</v>
      </c>
      <c r="R68">
        <f t="shared" ref="R68" si="317">R69+Q68</f>
        <v>14098621974.35799</v>
      </c>
      <c r="S68">
        <f t="shared" ref="S68" si="318">R68/100000</f>
        <v>140986.21974357992</v>
      </c>
      <c r="T68">
        <f t="shared" ref="T68" si="319">S68/1000</f>
        <v>140.98621974357991</v>
      </c>
    </row>
    <row r="69" spans="1:20" x14ac:dyDescent="0.25">
      <c r="A69" s="5">
        <v>44524</v>
      </c>
      <c r="B69">
        <v>8.9969999999999994E-2</v>
      </c>
      <c r="C69">
        <v>9.1539999999999996E-2</v>
      </c>
      <c r="D69">
        <v>8.7999999999999995E-2</v>
      </c>
      <c r="E69">
        <v>8.899E-2</v>
      </c>
      <c r="F69">
        <v>55939089.5</v>
      </c>
      <c r="G69">
        <v>8.899E-2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-0.44067796610169246</v>
      </c>
      <c r="Q69">
        <f t="shared" ref="Q69" si="321">F69*P69</f>
        <v>-24651124.186440542</v>
      </c>
      <c r="R69">
        <f t="shared" ref="R69" si="322">R70+Q69</f>
        <v>14052215299.026989</v>
      </c>
      <c r="S69">
        <f t="shared" ref="S69" si="323">R69/100000</f>
        <v>140522.15299026988</v>
      </c>
      <c r="T69">
        <f t="shared" ref="T69" si="324">S69/1000</f>
        <v>140.52215299026989</v>
      </c>
    </row>
    <row r="70" spans="1:20" x14ac:dyDescent="0.25">
      <c r="A70" s="5">
        <v>44523</v>
      </c>
      <c r="B70">
        <v>8.8919999999999999E-2</v>
      </c>
      <c r="C70">
        <v>9.0740000000000001E-2</v>
      </c>
      <c r="D70">
        <v>8.6709999999999995E-2</v>
      </c>
      <c r="E70">
        <v>8.9959999999999998E-2</v>
      </c>
      <c r="F70">
        <v>142910419.59999999</v>
      </c>
      <c r="G70">
        <v>8.9959999999999998E-2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0.61290322580645074</v>
      </c>
      <c r="Q70">
        <f t="shared" ref="Q70" si="326">F70*P70</f>
        <v>87590257.174193412</v>
      </c>
      <c r="R70">
        <f t="shared" ref="R70" si="327">R71+Q70</f>
        <v>14076866423.21343</v>
      </c>
      <c r="S70">
        <f t="shared" ref="S70" si="328">R70/100000</f>
        <v>140768.6642321343</v>
      </c>
      <c r="T70">
        <f t="shared" ref="T70" si="329">S70/1000</f>
        <v>140.76866423213428</v>
      </c>
    </row>
    <row r="71" spans="1:20" x14ac:dyDescent="0.25">
      <c r="A71" s="5">
        <v>44522</v>
      </c>
      <c r="B71">
        <v>9.2829999999999996E-2</v>
      </c>
      <c r="C71">
        <v>9.3130000000000004E-2</v>
      </c>
      <c r="D71">
        <v>8.7679999999999994E-2</v>
      </c>
      <c r="E71">
        <v>8.8919999999999999E-2</v>
      </c>
      <c r="F71">
        <v>177103049.90000001</v>
      </c>
      <c r="G71">
        <v>8.8919999999999999E-2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-0.54495412844036606</v>
      </c>
      <c r="Q71">
        <f t="shared" ref="Q71" si="331">F71*P71</f>
        <v>-96513038.202385157</v>
      </c>
      <c r="R71">
        <f t="shared" ref="R71" si="332">R72+Q71</f>
        <v>13989276166.039236</v>
      </c>
      <c r="S71">
        <f t="shared" ref="S71" si="333">R71/100000</f>
        <v>139892.76166039237</v>
      </c>
      <c r="T71">
        <f t="shared" ref="T71" si="334">S71/1000</f>
        <v>139.89276166039238</v>
      </c>
    </row>
    <row r="72" spans="1:20" x14ac:dyDescent="0.25">
      <c r="A72" s="5">
        <v>44521</v>
      </c>
      <c r="B72">
        <v>9.3060000000000004E-2</v>
      </c>
      <c r="C72">
        <v>9.4850000000000004E-2</v>
      </c>
      <c r="D72">
        <v>9.1990000000000002E-2</v>
      </c>
      <c r="E72">
        <v>9.2829999999999996E-2</v>
      </c>
      <c r="F72">
        <v>127762244.59999999</v>
      </c>
      <c r="G72">
        <v>9.2829999999999996E-2</v>
      </c>
      <c r="L72" t="s">
        <v>8</v>
      </c>
      <c r="M72" t="s">
        <v>7</v>
      </c>
      <c r="N72" t="s">
        <v>7</v>
      </c>
      <c r="P72">
        <f t="shared" ref="P72" si="335">IF(C72=D72,0,((E72-D72)-(C72-E72))/(C72-D72))</f>
        <v>-0.41258741258741738</v>
      </c>
      <c r="Q72">
        <f t="shared" ref="Q72" si="336">F72*P72</f>
        <v>-52713093.925874732</v>
      </c>
      <c r="R72">
        <f t="shared" ref="R72" si="337">R73+Q72</f>
        <v>14085789204.241621</v>
      </c>
      <c r="S72">
        <f t="shared" ref="S72" si="338">R72/100000</f>
        <v>140857.89204241621</v>
      </c>
      <c r="T72">
        <f t="shared" ref="T72" si="339">S72/1000</f>
        <v>140.85789204241621</v>
      </c>
    </row>
    <row r="73" spans="1:20" x14ac:dyDescent="0.25">
      <c r="A73" s="5">
        <v>44520</v>
      </c>
      <c r="B73">
        <v>9.1389999999999999E-2</v>
      </c>
      <c r="C73">
        <v>9.3189999999999995E-2</v>
      </c>
      <c r="D73">
        <v>8.8789999999999994E-2</v>
      </c>
      <c r="E73">
        <v>9.307E-2</v>
      </c>
      <c r="F73">
        <v>113298220.59999999</v>
      </c>
      <c r="G73">
        <v>9.307E-2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0.94545454545454766</v>
      </c>
      <c r="Q73">
        <f t="shared" ref="Q73" si="341">F73*P73</f>
        <v>107118317.65818205</v>
      </c>
      <c r="R73">
        <f t="shared" ref="R73" si="342">R74+Q73</f>
        <v>14138502298.167496</v>
      </c>
      <c r="S73">
        <f t="shared" ref="S73" si="343">R73/100000</f>
        <v>141385.02298167496</v>
      </c>
      <c r="T73">
        <f t="shared" ref="T73" si="344">S73/1000</f>
        <v>141.38502298167495</v>
      </c>
    </row>
    <row r="74" spans="1:20" x14ac:dyDescent="0.25">
      <c r="A74" s="5">
        <v>44519</v>
      </c>
      <c r="B74">
        <v>8.7069999999999995E-2</v>
      </c>
      <c r="C74">
        <v>9.257E-2</v>
      </c>
      <c r="D74">
        <v>8.5010000000000002E-2</v>
      </c>
      <c r="E74">
        <v>9.1410000000000005E-2</v>
      </c>
      <c r="F74">
        <v>148358296.80000001</v>
      </c>
      <c r="G74">
        <v>9.1410000000000005E-2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0.69312169312169447</v>
      </c>
      <c r="Q74">
        <f t="shared" ref="Q74" si="346">F74*P74</f>
        <v>102830353.86666687</v>
      </c>
      <c r="R74">
        <f t="shared" ref="R74" si="347">R75+Q74</f>
        <v>14031383980.509314</v>
      </c>
      <c r="S74">
        <f t="shared" ref="S74" si="348">R74/100000</f>
        <v>140313.83980509313</v>
      </c>
      <c r="T74">
        <f t="shared" ref="T74" si="349">S74/1000</f>
        <v>140.31383980509312</v>
      </c>
    </row>
    <row r="75" spans="1:20" x14ac:dyDescent="0.25">
      <c r="A75" s="5">
        <v>44518</v>
      </c>
      <c r="B75">
        <v>9.5710000000000003E-2</v>
      </c>
      <c r="C75">
        <v>9.6930000000000002E-2</v>
      </c>
      <c r="D75">
        <v>8.4540000000000004E-2</v>
      </c>
      <c r="E75">
        <v>8.7059999999999998E-2</v>
      </c>
      <c r="F75">
        <v>216573912.69999999</v>
      </c>
      <c r="G75">
        <v>8.7059999999999998E-2</v>
      </c>
      <c r="L75" t="s">
        <v>8</v>
      </c>
      <c r="M75" t="s">
        <v>7</v>
      </c>
      <c r="N75" t="s">
        <v>7</v>
      </c>
      <c r="P75">
        <f t="shared" ref="P75" si="350">IF(C75=D75,0,((E75-D75)-(C75-E75))/(C75-D75))</f>
        <v>-0.59322033898305171</v>
      </c>
      <c r="Q75">
        <f t="shared" ref="Q75" si="351">F75*P75</f>
        <v>-128476049.90677984</v>
      </c>
      <c r="R75">
        <f t="shared" ref="R75" si="352">R76+Q75</f>
        <v>13928553626.642647</v>
      </c>
      <c r="S75">
        <f t="shared" ref="S75" si="353">R75/100000</f>
        <v>139285.53626642647</v>
      </c>
      <c r="T75">
        <f t="shared" ref="T75" si="354">S75/1000</f>
        <v>139.28553626642648</v>
      </c>
    </row>
    <row r="76" spans="1:20" x14ac:dyDescent="0.25">
      <c r="A76" s="5">
        <v>44517</v>
      </c>
      <c r="B76">
        <v>9.2979999999999993E-2</v>
      </c>
      <c r="C76">
        <v>9.6600000000000005E-2</v>
      </c>
      <c r="D76">
        <v>9.0050000000000005E-2</v>
      </c>
      <c r="E76">
        <v>9.5750000000000002E-2</v>
      </c>
      <c r="F76">
        <v>207847828.09999999</v>
      </c>
      <c r="G76">
        <v>9.5750000000000002E-2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0.74045801526717447</v>
      </c>
      <c r="Q76">
        <f t="shared" ref="Q76" si="356">F76*P76</f>
        <v>153902590.27251884</v>
      </c>
      <c r="R76">
        <f t="shared" ref="R76" si="357">R77+Q76</f>
        <v>14057029676.549427</v>
      </c>
      <c r="S76">
        <f t="shared" ref="S76" si="358">R76/100000</f>
        <v>140570.29676549428</v>
      </c>
      <c r="T76">
        <f t="shared" ref="T76" si="359">S76/1000</f>
        <v>140.57029676549428</v>
      </c>
    </row>
    <row r="77" spans="1:20" x14ac:dyDescent="0.25">
      <c r="A77" s="5">
        <v>44516</v>
      </c>
      <c r="B77">
        <v>0.10165</v>
      </c>
      <c r="C77">
        <v>0.10165</v>
      </c>
      <c r="D77">
        <v>8.5900000000000004E-2</v>
      </c>
      <c r="E77">
        <v>9.2920000000000003E-2</v>
      </c>
      <c r="F77">
        <v>307562100.69999999</v>
      </c>
      <c r="G77">
        <v>9.2920000000000003E-2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-0.10857142857142878</v>
      </c>
      <c r="Q77">
        <f t="shared" ref="Q77" si="361">F77*P77</f>
        <v>-33392456.647428632</v>
      </c>
      <c r="R77">
        <f t="shared" ref="R77" si="362">R78+Q77</f>
        <v>13903127086.276909</v>
      </c>
      <c r="S77">
        <f t="shared" ref="S77" si="363">R77/100000</f>
        <v>139031.2708627691</v>
      </c>
      <c r="T77">
        <f t="shared" ref="T77" si="364">S77/1000</f>
        <v>139.03127086276911</v>
      </c>
    </row>
    <row r="78" spans="1:20" x14ac:dyDescent="0.25">
      <c r="A78" s="5">
        <v>44515</v>
      </c>
      <c r="B78">
        <v>0.10156999999999999</v>
      </c>
      <c r="C78">
        <v>0.10548</v>
      </c>
      <c r="D78">
        <v>0.10006</v>
      </c>
      <c r="E78">
        <v>0.10165</v>
      </c>
      <c r="F78">
        <v>159177081.80000001</v>
      </c>
      <c r="G78">
        <v>0.10165</v>
      </c>
      <c r="L78" t="s">
        <v>7</v>
      </c>
      <c r="M78" t="s">
        <v>7</v>
      </c>
      <c r="N78" t="s">
        <v>8</v>
      </c>
      <c r="P78">
        <f t="shared" ref="P78" si="365">IF(C78=D78,0,((E78-D78)-(C78-E78))/(C78-D78))</f>
        <v>-0.41328413284132631</v>
      </c>
      <c r="Q78">
        <f t="shared" ref="Q78" si="366">F78*P78</f>
        <v>-65785362.219925873</v>
      </c>
      <c r="R78">
        <f t="shared" ref="R78" si="367">R79+Q78</f>
        <v>13936519542.924337</v>
      </c>
      <c r="S78">
        <f t="shared" ref="S78" si="368">R78/100000</f>
        <v>139365.19542924338</v>
      </c>
      <c r="T78">
        <f t="shared" ref="T78" si="369">S78/1000</f>
        <v>139.36519542924339</v>
      </c>
    </row>
    <row r="79" spans="1:20" x14ac:dyDescent="0.25">
      <c r="A79" s="5">
        <v>44514</v>
      </c>
      <c r="B79">
        <v>0.10138</v>
      </c>
      <c r="C79">
        <v>0.10750999999999999</v>
      </c>
      <c r="D79">
        <v>9.8839999999999997E-2</v>
      </c>
      <c r="E79">
        <v>0.10156</v>
      </c>
      <c r="F79">
        <v>201903735.19999999</v>
      </c>
      <c r="G79">
        <v>0.10156</v>
      </c>
      <c r="L79" t="s">
        <v>8</v>
      </c>
      <c r="M79" t="s">
        <v>7</v>
      </c>
      <c r="N79" t="s">
        <v>8</v>
      </c>
      <c r="P79">
        <f t="shared" ref="P79" si="370">IF(C79=D79,0,((E79-D79)-(C79-E79))/(C79-D79))</f>
        <v>-0.37254901960784287</v>
      </c>
      <c r="Q79">
        <f t="shared" ref="Q79" si="371">F79*P79</f>
        <v>-75219038.603921503</v>
      </c>
      <c r="R79">
        <f t="shared" ref="R79" si="372">R80+Q79</f>
        <v>14002304905.144262</v>
      </c>
      <c r="S79">
        <f t="shared" ref="S79" si="373">R79/100000</f>
        <v>140023.04905144262</v>
      </c>
      <c r="T79">
        <f t="shared" ref="T79" si="374">S79/1000</f>
        <v>140.02304905144263</v>
      </c>
    </row>
    <row r="80" spans="1:20" x14ac:dyDescent="0.25">
      <c r="A80" s="5">
        <v>44513</v>
      </c>
      <c r="B80">
        <v>9.9949999999999997E-2</v>
      </c>
      <c r="C80">
        <v>0.10241</v>
      </c>
      <c r="D80">
        <v>9.9739999999999995E-2</v>
      </c>
      <c r="E80">
        <v>0.10138</v>
      </c>
      <c r="F80">
        <v>125308264.40000001</v>
      </c>
      <c r="G80">
        <v>0.10138</v>
      </c>
      <c r="L80" t="s">
        <v>7</v>
      </c>
      <c r="M80" t="s">
        <v>7</v>
      </c>
      <c r="N80" t="s">
        <v>8</v>
      </c>
      <c r="P80">
        <f t="shared" ref="P80" si="375">IF(C80=D80,0,((E80-D80)-(C80-E80))/(C80-D80))</f>
        <v>0.22846441947565474</v>
      </c>
      <c r="Q80">
        <f t="shared" ref="Q80" si="376">F80*P80</f>
        <v>28628479.881647855</v>
      </c>
      <c r="R80">
        <f t="shared" ref="R80" si="377">R81+Q80</f>
        <v>14077523943.748184</v>
      </c>
      <c r="S80">
        <f t="shared" ref="S80" si="378">R80/100000</f>
        <v>140775.23943748185</v>
      </c>
      <c r="T80">
        <f t="shared" ref="T80" si="379">S80/1000</f>
        <v>140.77523943748184</v>
      </c>
    </row>
    <row r="81" spans="1:20" x14ac:dyDescent="0.25">
      <c r="A81" s="5">
        <v>44512</v>
      </c>
      <c r="B81">
        <v>0.10277</v>
      </c>
      <c r="C81">
        <v>0.10389</v>
      </c>
      <c r="D81">
        <v>9.7000000000000003E-2</v>
      </c>
      <c r="E81">
        <v>9.9909999999999999E-2</v>
      </c>
      <c r="F81">
        <v>163585789.90000001</v>
      </c>
      <c r="G81">
        <v>9.9909999999999999E-2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-0.15529753265602358</v>
      </c>
      <c r="Q81">
        <f t="shared" ref="Q81" si="381">F81*P81</f>
        <v>-25404469.549056664</v>
      </c>
      <c r="R81">
        <f t="shared" ref="R81" si="382">R82+Q81</f>
        <v>14048895463.866537</v>
      </c>
      <c r="S81">
        <f t="shared" ref="S81" si="383">R81/100000</f>
        <v>140488.95463866537</v>
      </c>
      <c r="T81">
        <f t="shared" ref="T81" si="384">S81/1000</f>
        <v>140.48895463866538</v>
      </c>
    </row>
    <row r="82" spans="1:20" x14ac:dyDescent="0.25">
      <c r="A82" s="5">
        <v>44511</v>
      </c>
      <c r="B82">
        <v>0.10209</v>
      </c>
      <c r="C82">
        <v>0.10553999999999999</v>
      </c>
      <c r="D82">
        <v>0.10036</v>
      </c>
      <c r="E82">
        <v>0.10265000000000001</v>
      </c>
      <c r="F82">
        <v>184058023.40000001</v>
      </c>
      <c r="G82">
        <v>0.10265000000000001</v>
      </c>
      <c r="L82" t="s">
        <v>8</v>
      </c>
      <c r="M82" t="s">
        <v>7</v>
      </c>
      <c r="N82" t="s">
        <v>8</v>
      </c>
      <c r="P82">
        <f t="shared" ref="P82" si="385">IF(C82=D82,0,((E82-D82)-(C82-E82))/(C82-D82))</f>
        <v>-0.115830115830114</v>
      </c>
      <c r="Q82">
        <f t="shared" ref="Q82" si="386">F82*P82</f>
        <v>-21319462.169883836</v>
      </c>
      <c r="R82">
        <f t="shared" ref="R82" si="387">R83+Q82</f>
        <v>14074299933.415594</v>
      </c>
      <c r="S82">
        <f t="shared" ref="S82" si="388">R82/100000</f>
        <v>140742.99933415593</v>
      </c>
      <c r="T82">
        <f t="shared" ref="T82" si="389">S82/1000</f>
        <v>140.74299933415594</v>
      </c>
    </row>
    <row r="83" spans="1:20" x14ac:dyDescent="0.25">
      <c r="A83" s="5">
        <v>44510</v>
      </c>
      <c r="B83">
        <v>0.11273</v>
      </c>
      <c r="C83">
        <v>0.11296</v>
      </c>
      <c r="D83">
        <v>9.5460000000000003E-2</v>
      </c>
      <c r="E83">
        <v>0.1021</v>
      </c>
      <c r="F83">
        <v>340608040.19999999</v>
      </c>
      <c r="G83">
        <v>0.1021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-0.24114285714285799</v>
      </c>
      <c r="Q83">
        <f t="shared" ref="Q83" si="391">F83*P83</f>
        <v>-82135195.979657426</v>
      </c>
      <c r="R83">
        <f t="shared" ref="R83" si="392">R84+Q83</f>
        <v>14095619395.585478</v>
      </c>
      <c r="S83">
        <f t="shared" ref="S83" si="393">R83/100000</f>
        <v>140956.19395585477</v>
      </c>
      <c r="T83">
        <f t="shared" ref="T83" si="394">S83/1000</f>
        <v>140.95619395585479</v>
      </c>
    </row>
    <row r="84" spans="1:20" x14ac:dyDescent="0.25">
      <c r="A84" s="5">
        <v>44509</v>
      </c>
      <c r="B84">
        <v>0.11151</v>
      </c>
      <c r="C84">
        <v>0.11569</v>
      </c>
      <c r="D84">
        <v>0.10965</v>
      </c>
      <c r="E84">
        <v>0.11272</v>
      </c>
      <c r="F84">
        <v>289281400.80000001</v>
      </c>
      <c r="G84">
        <v>0.11272</v>
      </c>
      <c r="L84" t="s">
        <v>8</v>
      </c>
      <c r="M84" t="s">
        <v>7</v>
      </c>
      <c r="N84" t="s">
        <v>8</v>
      </c>
      <c r="P84">
        <f t="shared" ref="P84" si="395">IF(C84=D84,0,((E84-D84)-(C84-E84))/(C84-D84))</f>
        <v>1.655629139072894E-2</v>
      </c>
      <c r="Q84">
        <f t="shared" ref="Q84" si="396">F84*P84</f>
        <v>4789427.1655630479</v>
      </c>
      <c r="R84">
        <f t="shared" ref="R84" si="397">R85+Q84</f>
        <v>14177754591.565136</v>
      </c>
      <c r="S84">
        <f t="shared" ref="S84" si="398">R84/100000</f>
        <v>141777.54591565137</v>
      </c>
      <c r="T84">
        <f t="shared" ref="T84" si="399">S84/1000</f>
        <v>141.77754591565136</v>
      </c>
    </row>
    <row r="85" spans="1:20" x14ac:dyDescent="0.25">
      <c r="A85" s="5">
        <v>44508</v>
      </c>
      <c r="B85">
        <v>0.10914</v>
      </c>
      <c r="C85">
        <v>0.11233</v>
      </c>
      <c r="D85">
        <v>0.10501000000000001</v>
      </c>
      <c r="E85">
        <v>0.11153</v>
      </c>
      <c r="F85">
        <v>208689706</v>
      </c>
      <c r="G85">
        <v>0.11153</v>
      </c>
      <c r="L85" t="s">
        <v>8</v>
      </c>
      <c r="M85" t="s">
        <v>7</v>
      </c>
      <c r="N85" t="s">
        <v>8</v>
      </c>
      <c r="P85">
        <f t="shared" ref="P85" si="400">IF(C85=D85,0,((E85-D85)-(C85-E85))/(C85-D85))</f>
        <v>0.78142076502732349</v>
      </c>
      <c r="Q85">
        <f t="shared" ref="Q85" si="401">F85*P85</f>
        <v>163074469.71584722</v>
      </c>
      <c r="R85">
        <f t="shared" ref="R85" si="402">R86+Q85</f>
        <v>14172965164.399572</v>
      </c>
      <c r="S85">
        <f t="shared" ref="S85" si="403">R85/100000</f>
        <v>141729.65164399572</v>
      </c>
      <c r="T85">
        <f t="shared" ref="T85" si="404">S85/1000</f>
        <v>141.72965164399571</v>
      </c>
    </row>
    <row r="86" spans="1:20" x14ac:dyDescent="0.25">
      <c r="A86" s="5">
        <v>44507</v>
      </c>
      <c r="B86">
        <v>0.10736999999999999</v>
      </c>
      <c r="C86">
        <v>0.11072</v>
      </c>
      <c r="D86">
        <v>0.10711</v>
      </c>
      <c r="E86">
        <v>0.10915</v>
      </c>
      <c r="F86">
        <v>127668969.8</v>
      </c>
      <c r="G86">
        <v>0.10915</v>
      </c>
      <c r="L86" t="s">
        <v>7</v>
      </c>
      <c r="M86" t="s">
        <v>7</v>
      </c>
      <c r="N86" t="s">
        <v>8</v>
      </c>
      <c r="P86">
        <f t="shared" ref="P86" si="405">IF(C86=D86,0,((E86-D86)-(C86-E86))/(C86-D86))</f>
        <v>0.13019390581717394</v>
      </c>
      <c r="Q86">
        <f t="shared" ref="Q86" si="406">F86*P86</f>
        <v>16621721.829916824</v>
      </c>
      <c r="R86">
        <f t="shared" ref="R86" si="407">R87+Q86</f>
        <v>14009890694.683725</v>
      </c>
      <c r="S86">
        <f t="shared" ref="S86" si="408">R86/100000</f>
        <v>140098.90694683726</v>
      </c>
      <c r="T86">
        <f t="shared" ref="T86" si="409">S86/1000</f>
        <v>140.09890694683727</v>
      </c>
    </row>
    <row r="87" spans="1:20" x14ac:dyDescent="0.25">
      <c r="A87" s="5">
        <v>44506</v>
      </c>
      <c r="B87">
        <v>0.10843</v>
      </c>
      <c r="C87">
        <v>0.11103</v>
      </c>
      <c r="D87">
        <v>0.10367</v>
      </c>
      <c r="E87">
        <v>0.10749</v>
      </c>
      <c r="F87">
        <v>167478894.30000001</v>
      </c>
      <c r="G87">
        <v>0.10749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3.8043478260869873E-2</v>
      </c>
      <c r="Q87">
        <f t="shared" ref="Q87" si="411">F87*P87</f>
        <v>6371479.674456574</v>
      </c>
      <c r="R87">
        <f t="shared" ref="R87" si="412">R88+Q87</f>
        <v>13993268972.853809</v>
      </c>
      <c r="S87">
        <f t="shared" ref="S87" si="413">R87/100000</f>
        <v>139932.6897285381</v>
      </c>
      <c r="T87">
        <f t="shared" ref="T87" si="414">S87/1000</f>
        <v>139.93268972853809</v>
      </c>
    </row>
    <row r="88" spans="1:20" x14ac:dyDescent="0.25">
      <c r="A88" s="5">
        <v>44505</v>
      </c>
      <c r="B88">
        <v>0.10895000000000001</v>
      </c>
      <c r="C88">
        <v>0.113</v>
      </c>
      <c r="D88">
        <v>0.10693</v>
      </c>
      <c r="E88">
        <v>0.10843</v>
      </c>
      <c r="F88">
        <v>231676876.59999999</v>
      </c>
      <c r="G88">
        <v>0.10843</v>
      </c>
      <c r="L88" t="s">
        <v>7</v>
      </c>
      <c r="M88" t="s">
        <v>7</v>
      </c>
      <c r="N88" t="s">
        <v>8</v>
      </c>
      <c r="P88">
        <f t="shared" ref="P88" si="415">IF(C88=D88,0,((E88-D88)-(C88-E88))/(C88-D88))</f>
        <v>-0.50576606260296542</v>
      </c>
      <c r="Q88">
        <f t="shared" ref="Q88" si="416">F88*P88</f>
        <v>-117174301.67413509</v>
      </c>
      <c r="R88">
        <f t="shared" ref="R88" si="417">R89+Q88</f>
        <v>13986897493.179354</v>
      </c>
      <c r="S88">
        <f t="shared" ref="S88" si="418">R88/100000</f>
        <v>139868.97493179355</v>
      </c>
      <c r="T88">
        <f t="shared" ref="T88" si="419">S88/1000</f>
        <v>139.86897493179356</v>
      </c>
    </row>
    <row r="89" spans="1:20" x14ac:dyDescent="0.25">
      <c r="A89" s="5">
        <v>44504</v>
      </c>
      <c r="B89">
        <v>0.10954999999999999</v>
      </c>
      <c r="C89">
        <v>0.113</v>
      </c>
      <c r="D89">
        <v>0.10534</v>
      </c>
      <c r="E89">
        <v>0.10895000000000001</v>
      </c>
      <c r="F89">
        <v>223530382</v>
      </c>
      <c r="G89">
        <v>0.10895000000000001</v>
      </c>
      <c r="L89" t="s">
        <v>7</v>
      </c>
      <c r="M89" t="s">
        <v>7</v>
      </c>
      <c r="N89" t="s">
        <v>8</v>
      </c>
      <c r="P89">
        <f t="shared" ref="P89" si="420">IF(C89=D89,0,((E89-D89)-(C89-E89))/(C89-D89))</f>
        <v>-5.744125326370704E-2</v>
      </c>
      <c r="Q89">
        <f t="shared" ref="Q89" si="421">F89*P89</f>
        <v>-12839865.284595182</v>
      </c>
      <c r="R89">
        <f t="shared" ref="R89" si="422">R90+Q89</f>
        <v>14104071794.853489</v>
      </c>
      <c r="S89">
        <f t="shared" ref="S89" si="423">R89/100000</f>
        <v>141040.71794853488</v>
      </c>
      <c r="T89">
        <f t="shared" ref="T89" si="424">S89/1000</f>
        <v>141.04071794853488</v>
      </c>
    </row>
    <row r="90" spans="1:20" x14ac:dyDescent="0.25">
      <c r="A90" s="5">
        <v>44503</v>
      </c>
      <c r="B90">
        <v>0.11459</v>
      </c>
      <c r="C90">
        <v>0.11484</v>
      </c>
      <c r="D90">
        <v>0.106</v>
      </c>
      <c r="E90">
        <v>0.10965999999999999</v>
      </c>
      <c r="F90">
        <v>232896207.09999999</v>
      </c>
      <c r="G90">
        <v>0.10965999999999999</v>
      </c>
      <c r="L90" t="s">
        <v>7</v>
      </c>
      <c r="M90" t="s">
        <v>7</v>
      </c>
      <c r="N90" t="s">
        <v>8</v>
      </c>
      <c r="P90">
        <f t="shared" ref="P90" si="425">IF(C90=D90,0,((E90-D90)-(C90-E90))/(C90-D90))</f>
        <v>-0.1719457013574669</v>
      </c>
      <c r="Q90">
        <f t="shared" ref="Q90" si="426">F90*P90</f>
        <v>-40045501.673303358</v>
      </c>
      <c r="R90">
        <f t="shared" ref="R90" si="427">R91+Q90</f>
        <v>14116911660.138084</v>
      </c>
      <c r="S90">
        <f t="shared" ref="S90" si="428">R90/100000</f>
        <v>141169.11660138084</v>
      </c>
      <c r="T90">
        <f t="shared" ref="T90" si="429">S90/1000</f>
        <v>141.16911660138084</v>
      </c>
    </row>
    <row r="91" spans="1:20" x14ac:dyDescent="0.25">
      <c r="A91" s="5">
        <v>44502</v>
      </c>
      <c r="B91">
        <v>0.11241</v>
      </c>
      <c r="C91">
        <v>0.11667</v>
      </c>
      <c r="D91">
        <v>0.10989</v>
      </c>
      <c r="E91">
        <v>0.11457000000000001</v>
      </c>
      <c r="F91">
        <v>259543692.5</v>
      </c>
      <c r="G91">
        <v>0.11457000000000001</v>
      </c>
      <c r="L91" t="s">
        <v>8</v>
      </c>
      <c r="M91" t="s">
        <v>7</v>
      </c>
      <c r="N91" t="s">
        <v>8</v>
      </c>
      <c r="P91">
        <f t="shared" ref="P91" si="430">IF(C91=D91,0,((E91-D91)-(C91-E91))/(C91-D91))</f>
        <v>0.38053097345132963</v>
      </c>
      <c r="Q91">
        <f t="shared" ref="Q91" si="431">F91*P91</f>
        <v>98764413.960177556</v>
      </c>
      <c r="R91">
        <f t="shared" ref="R91" si="432">R92+Q91</f>
        <v>14156957161.811388</v>
      </c>
      <c r="S91">
        <f t="shared" ref="S91" si="433">R91/100000</f>
        <v>141569.57161811387</v>
      </c>
      <c r="T91">
        <f t="shared" ref="T91" si="434">S91/1000</f>
        <v>141.56957161811388</v>
      </c>
    </row>
    <row r="92" spans="1:20" x14ac:dyDescent="0.25">
      <c r="A92" s="5">
        <v>44501</v>
      </c>
      <c r="B92">
        <v>0.11244999999999999</v>
      </c>
      <c r="C92">
        <v>0.11286</v>
      </c>
      <c r="D92">
        <v>0.10403999999999999</v>
      </c>
      <c r="E92">
        <v>0.11241</v>
      </c>
      <c r="F92">
        <v>267292363.59999999</v>
      </c>
      <c r="G92">
        <v>0.11241</v>
      </c>
      <c r="L92" t="s">
        <v>7</v>
      </c>
      <c r="M92" t="s">
        <v>7</v>
      </c>
      <c r="N92" t="s">
        <v>8</v>
      </c>
      <c r="P92">
        <f t="shared" ref="P92" si="435">IF(C92=D92,0,((E92-D92)-(C92-E92))/(C92-D92))</f>
        <v>0.89795918367346816</v>
      </c>
      <c r="Q92">
        <f t="shared" ref="Q92" si="436">F92*P92</f>
        <v>240017632.62040782</v>
      </c>
      <c r="R92">
        <f t="shared" ref="R92" si="437">R93+Q92</f>
        <v>14058192747.85121</v>
      </c>
      <c r="S92">
        <f t="shared" ref="S92" si="438">R92/100000</f>
        <v>140581.92747851211</v>
      </c>
      <c r="T92">
        <f t="shared" ref="T92" si="439">S92/1000</f>
        <v>140.58192747851211</v>
      </c>
    </row>
    <row r="93" spans="1:20" x14ac:dyDescent="0.25">
      <c r="A93" s="5">
        <v>44500</v>
      </c>
      <c r="B93">
        <v>0.10176</v>
      </c>
      <c r="C93">
        <v>0.125</v>
      </c>
      <c r="D93">
        <v>0.10133</v>
      </c>
      <c r="E93">
        <v>0.11233</v>
      </c>
      <c r="F93">
        <v>1051701018</v>
      </c>
      <c r="G93">
        <v>0.11233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-7.0553443177017533E-2</v>
      </c>
      <c r="Q93">
        <f t="shared" ref="Q93" si="441">F93*P93</f>
        <v>-74201128.012674496</v>
      </c>
      <c r="R93">
        <f t="shared" ref="R93" si="442">R94+Q93</f>
        <v>13818175115.230803</v>
      </c>
      <c r="S93">
        <f t="shared" ref="S93" si="443">R93/100000</f>
        <v>138181.75115230802</v>
      </c>
      <c r="T93">
        <f t="shared" ref="T93" si="444">S93/1000</f>
        <v>138.18175115230801</v>
      </c>
    </row>
    <row r="94" spans="1:20" x14ac:dyDescent="0.25">
      <c r="A94" s="5">
        <v>44499</v>
      </c>
      <c r="B94">
        <v>0.10119</v>
      </c>
      <c r="C94">
        <v>0.10389</v>
      </c>
      <c r="D94">
        <v>9.758E-2</v>
      </c>
      <c r="E94">
        <v>0.10161000000000001</v>
      </c>
      <c r="F94">
        <v>208015406.80000001</v>
      </c>
      <c r="G94">
        <v>0.10161000000000001</v>
      </c>
      <c r="L94" t="s">
        <v>8</v>
      </c>
      <c r="M94" t="s">
        <v>7</v>
      </c>
      <c r="N94" t="s">
        <v>8</v>
      </c>
      <c r="P94">
        <f t="shared" ref="P94" si="445">IF(C94=D94,0,((E94-D94)-(C94-E94))/(C94-D94))</f>
        <v>0.27733755942947963</v>
      </c>
      <c r="Q94">
        <f t="shared" ref="Q94" si="446">F94*P94</f>
        <v>57690485.245642386</v>
      </c>
      <c r="R94">
        <f t="shared" ref="R94" si="447">R95+Q94</f>
        <v>13892376243.243477</v>
      </c>
      <c r="S94">
        <f t="shared" ref="S94" si="448">R94/100000</f>
        <v>138923.76243243477</v>
      </c>
      <c r="T94">
        <f t="shared" ref="T94" si="449">S94/1000</f>
        <v>138.92376243243478</v>
      </c>
    </row>
    <row r="95" spans="1:20" x14ac:dyDescent="0.25">
      <c r="A95" s="5">
        <v>44498</v>
      </c>
      <c r="B95">
        <v>9.8250000000000004E-2</v>
      </c>
      <c r="C95">
        <v>0.10249</v>
      </c>
      <c r="D95">
        <v>9.7519999999999996E-2</v>
      </c>
      <c r="E95">
        <v>0.10116</v>
      </c>
      <c r="F95">
        <v>166463179.30000001</v>
      </c>
      <c r="G95">
        <v>0.10116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0.4647887323943673</v>
      </c>
      <c r="Q95">
        <f t="shared" ref="Q95" si="451">F95*P95</f>
        <v>77370210.097183287</v>
      </c>
      <c r="R95">
        <f t="shared" ref="R95" si="452">R96+Q95</f>
        <v>13834685757.997835</v>
      </c>
      <c r="S95">
        <f t="shared" ref="S95" si="453">R95/100000</f>
        <v>138346.85757997836</v>
      </c>
      <c r="T95">
        <f t="shared" ref="T95" si="454">S95/1000</f>
        <v>138.34685757997835</v>
      </c>
    </row>
    <row r="96" spans="1:20" x14ac:dyDescent="0.25">
      <c r="A96" s="5">
        <v>44497</v>
      </c>
      <c r="B96">
        <v>9.3509999999999996E-2</v>
      </c>
      <c r="C96">
        <v>0.10128</v>
      </c>
      <c r="D96">
        <v>9.3390000000000001E-2</v>
      </c>
      <c r="E96">
        <v>9.8229999999999998E-2</v>
      </c>
      <c r="F96">
        <v>222628594.69999999</v>
      </c>
      <c r="G96">
        <v>9.8229999999999998E-2</v>
      </c>
      <c r="L96" t="s">
        <v>8</v>
      </c>
      <c r="M96" t="s">
        <v>7</v>
      </c>
      <c r="N96" t="s">
        <v>8</v>
      </c>
      <c r="P96">
        <f t="shared" ref="P96" si="455">IF(C96=D96,0,((E96-D96)-(C96-E96))/(C96-D96))</f>
        <v>0.22686945500633729</v>
      </c>
      <c r="Q96">
        <f t="shared" ref="Q96" si="456">F96*P96</f>
        <v>50507627.948415749</v>
      </c>
      <c r="R96">
        <f t="shared" ref="R96" si="457">R97+Q96</f>
        <v>13757315547.900652</v>
      </c>
      <c r="S96">
        <f t="shared" ref="S96" si="458">R96/100000</f>
        <v>137573.15547900653</v>
      </c>
      <c r="T96">
        <f t="shared" ref="T96" si="459">S96/1000</f>
        <v>137.57315547900652</v>
      </c>
    </row>
    <row r="97" spans="1:20" x14ac:dyDescent="0.25">
      <c r="A97" s="5">
        <v>44496</v>
      </c>
      <c r="B97">
        <v>0.1069</v>
      </c>
      <c r="C97">
        <v>0.11051999999999999</v>
      </c>
      <c r="D97">
        <v>0.09</v>
      </c>
      <c r="E97">
        <v>9.3479999999999994E-2</v>
      </c>
      <c r="F97">
        <v>370584047.69999999</v>
      </c>
      <c r="G97">
        <v>9.3479999999999994E-2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-0.66081871345029264</v>
      </c>
      <c r="Q97">
        <f t="shared" ref="Q97" si="461">F97*P97</f>
        <v>-244888873.62631586</v>
      </c>
      <c r="R97">
        <f t="shared" ref="R97" si="462">R98+Q97</f>
        <v>13706807919.952236</v>
      </c>
      <c r="S97">
        <f t="shared" ref="S97" si="463">R97/100000</f>
        <v>137068.07919952236</v>
      </c>
      <c r="T97">
        <f t="shared" ref="T97" si="464">S97/1000</f>
        <v>137.06807919952234</v>
      </c>
    </row>
    <row r="98" spans="1:20" x14ac:dyDescent="0.25">
      <c r="A98" s="5">
        <v>44495</v>
      </c>
      <c r="B98">
        <v>0.11068</v>
      </c>
      <c r="C98">
        <v>0.1125</v>
      </c>
      <c r="D98">
        <v>0.1055</v>
      </c>
      <c r="E98">
        <v>0.10685</v>
      </c>
      <c r="F98">
        <v>222346656</v>
      </c>
      <c r="G98">
        <v>0.10685</v>
      </c>
      <c r="L98" t="s">
        <v>7</v>
      </c>
      <c r="M98" t="s">
        <v>8</v>
      </c>
      <c r="N98" t="s">
        <v>8</v>
      </c>
      <c r="P98">
        <f t="shared" ref="P98" si="465">IF(C98=D98,0,((E98-D98)-(C98-E98))/(C98-D98))</f>
        <v>-0.61428571428571355</v>
      </c>
      <c r="Q98">
        <f t="shared" ref="Q98" si="466">F98*P98</f>
        <v>-136584374.39999983</v>
      </c>
      <c r="R98">
        <f t="shared" ref="R98" si="467">R99+Q98</f>
        <v>13951696793.578552</v>
      </c>
      <c r="S98">
        <f t="shared" ref="S98" si="468">R98/100000</f>
        <v>139516.96793578553</v>
      </c>
      <c r="T98">
        <f t="shared" ref="T98" si="469">S98/1000</f>
        <v>139.51696793578554</v>
      </c>
    </row>
    <row r="99" spans="1:20" x14ac:dyDescent="0.25">
      <c r="A99" s="5">
        <v>44494</v>
      </c>
      <c r="B99">
        <v>0.10186000000000001</v>
      </c>
      <c r="C99">
        <v>0.11408</v>
      </c>
      <c r="D99">
        <v>0.10142</v>
      </c>
      <c r="E99">
        <v>0.11068</v>
      </c>
      <c r="F99">
        <v>332882732.5</v>
      </c>
      <c r="G99">
        <v>0.11068</v>
      </c>
      <c r="L99" t="s">
        <v>8</v>
      </c>
      <c r="M99" t="s">
        <v>8</v>
      </c>
      <c r="N99" t="s">
        <v>8</v>
      </c>
      <c r="P99">
        <f t="shared" ref="P99" si="470">IF(C99=D99,0,((E99-D99)-(C99-E99))/(C99-D99))</f>
        <v>0.46287519747235401</v>
      </c>
      <c r="Q99">
        <f t="shared" ref="Q99" si="471">F99*P99</f>
        <v>154083160.54107431</v>
      </c>
      <c r="R99">
        <f t="shared" ref="R99" si="472">R100+Q99</f>
        <v>14088281167.978552</v>
      </c>
      <c r="S99">
        <f t="shared" ref="S99" si="473">R99/100000</f>
        <v>140882.81167978552</v>
      </c>
      <c r="T99">
        <f t="shared" ref="T99" si="474">S99/1000</f>
        <v>140.8828116797855</v>
      </c>
    </row>
    <row r="100" spans="1:20" x14ac:dyDescent="0.25">
      <c r="A100" s="5">
        <v>44493</v>
      </c>
      <c r="B100">
        <v>0.10324999999999999</v>
      </c>
      <c r="C100">
        <v>0.10668999999999999</v>
      </c>
      <c r="D100">
        <v>9.9500000000000005E-2</v>
      </c>
      <c r="E100">
        <v>0.10185</v>
      </c>
      <c r="F100">
        <v>225687323.40000001</v>
      </c>
      <c r="G100">
        <v>0.10185</v>
      </c>
      <c r="L100" t="s">
        <v>8</v>
      </c>
      <c r="M100" t="s">
        <v>8</v>
      </c>
      <c r="N100" t="s">
        <v>8</v>
      </c>
      <c r="P100">
        <f t="shared" ref="P100" si="475">IF(C100=D100,0,((E100-D100)-(C100-E100))/(C100-D100))</f>
        <v>-0.34631432545201812</v>
      </c>
      <c r="Q100">
        <f t="shared" ref="Q100" si="476">F100*P100</f>
        <v>-78158753.166342467</v>
      </c>
      <c r="R100">
        <f t="shared" ref="R100" si="477">R101+Q100</f>
        <v>13934198007.437477</v>
      </c>
      <c r="S100">
        <f t="shared" ref="S100" si="478">R100/100000</f>
        <v>139341.98007437476</v>
      </c>
      <c r="T100">
        <f t="shared" ref="T100" si="479">S100/1000</f>
        <v>139.34198007437476</v>
      </c>
    </row>
    <row r="101" spans="1:20" x14ac:dyDescent="0.25">
      <c r="A101" s="5">
        <v>44492</v>
      </c>
      <c r="B101">
        <v>0.1018</v>
      </c>
      <c r="C101">
        <v>0.10587000000000001</v>
      </c>
      <c r="D101">
        <v>0.10004</v>
      </c>
      <c r="E101">
        <v>0.10324999999999999</v>
      </c>
      <c r="F101">
        <v>269348652.30000001</v>
      </c>
      <c r="G101">
        <v>0.10324999999999999</v>
      </c>
      <c r="L101" t="s">
        <v>8</v>
      </c>
      <c r="M101" t="s">
        <v>8</v>
      </c>
      <c r="N101" t="s">
        <v>8</v>
      </c>
      <c r="P101">
        <f t="shared" ref="P101" si="480">IF(C101=D101,0,((E101-D101)-(C101-E101))/(C101-D101))</f>
        <v>0.10120068610634292</v>
      </c>
      <c r="Q101">
        <f t="shared" ref="Q101" si="481">F101*P101</f>
        <v>27258268.414578799</v>
      </c>
      <c r="R101">
        <f t="shared" ref="R101" si="482">R102+Q101</f>
        <v>14012356760.603819</v>
      </c>
      <c r="S101">
        <f t="shared" ref="S101" si="483">R101/100000</f>
        <v>140123.56760603818</v>
      </c>
      <c r="T101">
        <f t="shared" ref="T101" si="484">S101/1000</f>
        <v>140.12356760603819</v>
      </c>
    </row>
    <row r="102" spans="1:20" x14ac:dyDescent="0.25">
      <c r="A102" s="5">
        <v>44491</v>
      </c>
      <c r="B102">
        <v>9.4570000000000001E-2</v>
      </c>
      <c r="C102">
        <v>0.10433000000000001</v>
      </c>
      <c r="D102">
        <v>9.3829999999999997E-2</v>
      </c>
      <c r="E102">
        <v>0.10179000000000001</v>
      </c>
      <c r="F102">
        <v>374157334.5</v>
      </c>
      <c r="G102">
        <v>0.10179000000000001</v>
      </c>
      <c r="L102" t="s">
        <v>8</v>
      </c>
      <c r="M102" t="s">
        <v>8</v>
      </c>
      <c r="N102" t="s">
        <v>8</v>
      </c>
      <c r="P102">
        <f t="shared" ref="P102" si="485">IF(C102=D102,0,((E102-D102)-(C102-E102))/(C102-D102))</f>
        <v>0.51619047619047653</v>
      </c>
      <c r="Q102">
        <f t="shared" ref="Q102" si="486">F102*P102</f>
        <v>193136452.66571441</v>
      </c>
      <c r="R102">
        <f t="shared" ref="R102" si="487">R103+Q102</f>
        <v>13985098492.18924</v>
      </c>
      <c r="S102">
        <f t="shared" ref="S102" si="488">R102/100000</f>
        <v>139850.98492189241</v>
      </c>
      <c r="T102">
        <f t="shared" ref="T102" si="489">S102/1000</f>
        <v>139.8509849218924</v>
      </c>
    </row>
    <row r="103" spans="1:20" x14ac:dyDescent="0.25">
      <c r="A103" s="5">
        <v>44490</v>
      </c>
      <c r="B103">
        <v>9.5839999999999995E-2</v>
      </c>
      <c r="C103">
        <v>0.10077</v>
      </c>
      <c r="D103">
        <v>9.3160000000000007E-2</v>
      </c>
      <c r="E103">
        <v>9.4509999999999997E-2</v>
      </c>
      <c r="F103">
        <v>231817586.40000001</v>
      </c>
      <c r="G103">
        <v>9.4509999999999997E-2</v>
      </c>
      <c r="L103" t="s">
        <v>8</v>
      </c>
      <c r="M103" t="s">
        <v>7</v>
      </c>
      <c r="N103" t="s">
        <v>8</v>
      </c>
      <c r="P103">
        <f t="shared" ref="P103" si="490">IF(C103=D103,0,((E103-D103)-(C103-E103))/(C103-D103))</f>
        <v>-0.64520367936925316</v>
      </c>
      <c r="Q103">
        <f t="shared" ref="Q103" si="491">F103*P103</f>
        <v>-149569559.68777975</v>
      </c>
      <c r="R103">
        <f t="shared" ref="R103" si="492">R104+Q103</f>
        <v>13791962039.523525</v>
      </c>
      <c r="S103">
        <f t="shared" ref="S103" si="493">R103/100000</f>
        <v>137919.62039523525</v>
      </c>
      <c r="T103">
        <f t="shared" ref="T103" si="494">S103/1000</f>
        <v>137.91962039523526</v>
      </c>
    </row>
    <row r="104" spans="1:20" x14ac:dyDescent="0.25">
      <c r="A104" s="5">
        <v>44489</v>
      </c>
      <c r="B104">
        <v>9.1520000000000004E-2</v>
      </c>
      <c r="C104">
        <v>9.6500000000000002E-2</v>
      </c>
      <c r="D104">
        <v>9.0690000000000007E-2</v>
      </c>
      <c r="E104">
        <v>9.5820000000000002E-2</v>
      </c>
      <c r="F104">
        <v>134019915.40000001</v>
      </c>
      <c r="G104">
        <v>9.5820000000000002E-2</v>
      </c>
      <c r="L104" t="s">
        <v>7</v>
      </c>
      <c r="M104" t="s">
        <v>7</v>
      </c>
      <c r="N104" t="s">
        <v>8</v>
      </c>
      <c r="P104">
        <f t="shared" ref="P104" si="495">IF(C104=D104,0,((E104-D104)-(C104-E104))/(C104-D104))</f>
        <v>0.7659208261617898</v>
      </c>
      <c r="Q104">
        <f t="shared" ref="Q104" si="496">F104*P104</f>
        <v>102648644.32530119</v>
      </c>
      <c r="R104">
        <f t="shared" ref="R104" si="497">R105+Q104</f>
        <v>13941531599.211306</v>
      </c>
      <c r="S104">
        <f t="shared" ref="S104" si="498">R104/100000</f>
        <v>139415.31599211306</v>
      </c>
      <c r="T104">
        <f t="shared" ref="T104" si="499">S104/1000</f>
        <v>139.41531599211305</v>
      </c>
    </row>
    <row r="105" spans="1:20" x14ac:dyDescent="0.25">
      <c r="A105" s="5">
        <v>44488</v>
      </c>
      <c r="B105">
        <v>9.3130000000000004E-2</v>
      </c>
      <c r="C105">
        <v>9.3990000000000004E-2</v>
      </c>
      <c r="D105">
        <v>0.09</v>
      </c>
      <c r="E105">
        <v>9.1539999999999996E-2</v>
      </c>
      <c r="F105">
        <v>127187441.5</v>
      </c>
      <c r="G105">
        <v>9.1539999999999996E-2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-0.22807017543859809</v>
      </c>
      <c r="Q105">
        <f t="shared" ref="Q105" si="501">F105*P105</f>
        <v>-29007662.09649143</v>
      </c>
      <c r="R105">
        <f t="shared" ref="R105" si="502">R106+Q105</f>
        <v>13838882954.886003</v>
      </c>
      <c r="S105">
        <f t="shared" ref="S105" si="503">R105/100000</f>
        <v>138388.82954886003</v>
      </c>
      <c r="T105">
        <f t="shared" ref="T105" si="504">S105/1000</f>
        <v>138.38882954886003</v>
      </c>
    </row>
    <row r="106" spans="1:20" x14ac:dyDescent="0.25">
      <c r="A106" s="5">
        <v>44487</v>
      </c>
      <c r="B106">
        <v>9.3880000000000005E-2</v>
      </c>
      <c r="C106">
        <v>9.4549999999999995E-2</v>
      </c>
      <c r="D106">
        <v>9.0770000000000003E-2</v>
      </c>
      <c r="E106">
        <v>9.3160000000000007E-2</v>
      </c>
      <c r="F106">
        <v>111401824.09999999</v>
      </c>
      <c r="G106">
        <v>9.3160000000000007E-2</v>
      </c>
      <c r="L106" t="s">
        <v>7</v>
      </c>
      <c r="M106" t="s">
        <v>7</v>
      </c>
      <c r="N106" t="s">
        <v>8</v>
      </c>
      <c r="P106">
        <f t="shared" ref="P106" si="505">IF(C106=D106,0,((E106-D106)-(C106-E106))/(C106-D106))</f>
        <v>0.26455026455026903</v>
      </c>
      <c r="Q106">
        <f t="shared" ref="Q106" si="506">F106*P106</f>
        <v>29471382.037037537</v>
      </c>
      <c r="R106">
        <f t="shared" ref="R106" si="507">R107+Q106</f>
        <v>13867890616.982494</v>
      </c>
      <c r="S106">
        <f t="shared" ref="S106" si="508">R106/100000</f>
        <v>138678.90616982494</v>
      </c>
      <c r="T106">
        <f t="shared" ref="T106" si="509">S106/1000</f>
        <v>138.67890616982496</v>
      </c>
    </row>
    <row r="107" spans="1:20" x14ac:dyDescent="0.25">
      <c r="A107" s="5">
        <v>44486</v>
      </c>
      <c r="B107">
        <v>9.7500000000000003E-2</v>
      </c>
      <c r="C107">
        <v>9.8180000000000003E-2</v>
      </c>
      <c r="D107">
        <v>9.0560000000000002E-2</v>
      </c>
      <c r="E107">
        <v>9.3909999999999993E-2</v>
      </c>
      <c r="F107">
        <v>135777889.80000001</v>
      </c>
      <c r="G107">
        <v>9.3909999999999993E-2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-0.12073490813648528</v>
      </c>
      <c r="Q107">
        <f t="shared" ref="Q107" si="511">F107*P107</f>
        <v>-16393131.051968824</v>
      </c>
      <c r="R107">
        <f t="shared" ref="R107" si="512">R108+Q107</f>
        <v>13838419234.945457</v>
      </c>
      <c r="S107">
        <f t="shared" ref="S107" si="513">R107/100000</f>
        <v>138384.19234945456</v>
      </c>
      <c r="T107">
        <f t="shared" ref="T107" si="514">S107/1000</f>
        <v>138.38419234945457</v>
      </c>
    </row>
    <row r="108" spans="1:20" x14ac:dyDescent="0.25">
      <c r="A108" s="5">
        <v>44485</v>
      </c>
      <c r="B108">
        <v>9.6329999999999999E-2</v>
      </c>
      <c r="C108">
        <v>0.10050000000000001</v>
      </c>
      <c r="D108">
        <v>9.5170000000000005E-2</v>
      </c>
      <c r="E108">
        <v>9.7500000000000003E-2</v>
      </c>
      <c r="F108">
        <v>192511911.69999999</v>
      </c>
      <c r="G108">
        <v>9.7500000000000003E-2</v>
      </c>
      <c r="L108" t="s">
        <v>8</v>
      </c>
      <c r="M108" t="s">
        <v>7</v>
      </c>
      <c r="N108" t="s">
        <v>8</v>
      </c>
      <c r="P108">
        <f t="shared" ref="P108" si="515">IF(C108=D108,0,((E108-D108)-(C108-E108))/(C108-D108))</f>
        <v>-0.12570356472795569</v>
      </c>
      <c r="Q108">
        <f t="shared" ref="Q108" si="516">F108*P108</f>
        <v>-24199433.553283438</v>
      </c>
      <c r="R108">
        <f t="shared" ref="R108" si="517">R109+Q108</f>
        <v>13854812365.997427</v>
      </c>
      <c r="S108">
        <f t="shared" ref="S108" si="518">R108/100000</f>
        <v>138548.12365997428</v>
      </c>
      <c r="T108">
        <f t="shared" ref="T108" si="519">S108/1000</f>
        <v>138.54812365997429</v>
      </c>
    </row>
    <row r="109" spans="1:20" x14ac:dyDescent="0.25">
      <c r="A109" s="5">
        <v>44484</v>
      </c>
      <c r="B109">
        <v>9.8640000000000005E-2</v>
      </c>
      <c r="C109">
        <v>0.1</v>
      </c>
      <c r="D109">
        <v>9.2310000000000003E-2</v>
      </c>
      <c r="E109">
        <v>9.6329999999999999E-2</v>
      </c>
      <c r="F109">
        <v>257557703.19999999</v>
      </c>
      <c r="G109">
        <v>9.6329999999999999E-2</v>
      </c>
      <c r="L109" t="s">
        <v>7</v>
      </c>
      <c r="M109" t="s">
        <v>7</v>
      </c>
      <c r="N109" t="s">
        <v>8</v>
      </c>
      <c r="P109">
        <f t="shared" ref="P109" si="520">IF(C109=D109,0,((E109-D109)-(C109-E109))/(C109-D109))</f>
        <v>4.551365409622745E-2</v>
      </c>
      <c r="Q109">
        <f t="shared" ref="Q109" si="521">F109*P109</f>
        <v>11722392.213263614</v>
      </c>
      <c r="R109">
        <f t="shared" ref="R109" si="522">R110+Q109</f>
        <v>13879011799.550711</v>
      </c>
      <c r="S109">
        <f t="shared" ref="S109" si="523">R109/100000</f>
        <v>138790.11799550711</v>
      </c>
      <c r="T109">
        <f t="shared" ref="T109" si="524">S109/1000</f>
        <v>138.7901179955071</v>
      </c>
    </row>
    <row r="110" spans="1:20" x14ac:dyDescent="0.25">
      <c r="A110" s="5">
        <v>44483</v>
      </c>
      <c r="B110">
        <v>9.4219999999999998E-2</v>
      </c>
      <c r="C110">
        <v>9.9220000000000003E-2</v>
      </c>
      <c r="D110">
        <v>9.3630000000000005E-2</v>
      </c>
      <c r="E110">
        <v>9.8640000000000005E-2</v>
      </c>
      <c r="F110">
        <v>157101250.40000001</v>
      </c>
      <c r="G110">
        <v>9.8640000000000005E-2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0.79248658318425858</v>
      </c>
      <c r="Q110">
        <f t="shared" ref="Q110" si="526">F110*P110</f>
        <v>124500633.14347064</v>
      </c>
      <c r="R110">
        <f t="shared" ref="R110" si="527">R111+Q110</f>
        <v>13867289407.337446</v>
      </c>
      <c r="S110">
        <f t="shared" ref="S110" si="528">R110/100000</f>
        <v>138672.89407337445</v>
      </c>
      <c r="T110">
        <f t="shared" ref="T110" si="529">S110/1000</f>
        <v>138.67289407337447</v>
      </c>
    </row>
    <row r="111" spans="1:20" x14ac:dyDescent="0.25">
      <c r="A111" s="5">
        <v>44482</v>
      </c>
      <c r="B111">
        <v>9.1499999999999998E-2</v>
      </c>
      <c r="C111">
        <v>9.5350000000000004E-2</v>
      </c>
      <c r="D111">
        <v>8.949E-2</v>
      </c>
      <c r="E111">
        <v>9.4210000000000002E-2</v>
      </c>
      <c r="F111">
        <v>141595959.59999999</v>
      </c>
      <c r="G111">
        <v>9.4210000000000002E-2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0.61092150170648418</v>
      </c>
      <c r="Q111">
        <f t="shared" ref="Q111" si="531">F111*P111</f>
        <v>86504016.274402663</v>
      </c>
      <c r="R111">
        <f t="shared" ref="R111" si="532">R112+Q111</f>
        <v>13742788774.193975</v>
      </c>
      <c r="S111">
        <f t="shared" ref="S111" si="533">R111/100000</f>
        <v>137427.88774193975</v>
      </c>
      <c r="T111">
        <f t="shared" ref="T111" si="534">S111/1000</f>
        <v>137.42788774193974</v>
      </c>
    </row>
    <row r="112" spans="1:20" x14ac:dyDescent="0.25">
      <c r="A112" s="5">
        <v>44481</v>
      </c>
      <c r="B112">
        <v>9.4350000000000003E-2</v>
      </c>
      <c r="C112">
        <v>9.4399999999999998E-2</v>
      </c>
      <c r="D112">
        <v>8.6440000000000003E-2</v>
      </c>
      <c r="E112">
        <v>9.1499999999999998E-2</v>
      </c>
      <c r="F112">
        <v>172519213.80000001</v>
      </c>
      <c r="G112">
        <v>9.1499999999999998E-2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0.27135678391959756</v>
      </c>
      <c r="Q112">
        <f t="shared" ref="Q112" si="536">F112*P112</f>
        <v>46814259.021105453</v>
      </c>
      <c r="R112">
        <f t="shared" ref="R112" si="537">R113+Q112</f>
        <v>13656284757.919573</v>
      </c>
      <c r="S112">
        <f t="shared" ref="S112" si="538">R112/100000</f>
        <v>136562.84757919572</v>
      </c>
      <c r="T112">
        <f t="shared" ref="T112" si="539">S112/1000</f>
        <v>136.5628475791957</v>
      </c>
    </row>
    <row r="113" spans="1:20" x14ac:dyDescent="0.25">
      <c r="A113" s="5">
        <v>44480</v>
      </c>
      <c r="B113">
        <v>9.5530000000000004E-2</v>
      </c>
      <c r="C113">
        <v>9.9150000000000002E-2</v>
      </c>
      <c r="D113">
        <v>9.1550000000000006E-2</v>
      </c>
      <c r="E113">
        <v>9.4350000000000003E-2</v>
      </c>
      <c r="F113">
        <v>140382270.09999999</v>
      </c>
      <c r="G113">
        <v>9.4350000000000003E-2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-0.26315789473684248</v>
      </c>
      <c r="Q113">
        <f t="shared" ref="Q113" si="541">F113*P113</f>
        <v>-36942702.65789479</v>
      </c>
      <c r="R113">
        <f t="shared" ref="R113" si="542">R114+Q113</f>
        <v>13609470498.898468</v>
      </c>
      <c r="S113">
        <f t="shared" ref="S113" si="543">R113/100000</f>
        <v>136094.70498898468</v>
      </c>
      <c r="T113">
        <f t="shared" ref="T113" si="544">S113/1000</f>
        <v>136.09470498898469</v>
      </c>
    </row>
    <row r="114" spans="1:20" x14ac:dyDescent="0.25">
      <c r="A114" s="5">
        <v>44479</v>
      </c>
      <c r="B114">
        <v>0.10299</v>
      </c>
      <c r="C114">
        <v>0.10306</v>
      </c>
      <c r="D114">
        <v>9.5079999999999998E-2</v>
      </c>
      <c r="E114">
        <v>9.5579999999999998E-2</v>
      </c>
      <c r="F114">
        <v>139508081.5</v>
      </c>
      <c r="G114">
        <v>9.5579999999999998E-2</v>
      </c>
      <c r="L114" t="s">
        <v>7</v>
      </c>
      <c r="M114" t="s">
        <v>8</v>
      </c>
      <c r="N114" t="s">
        <v>8</v>
      </c>
      <c r="P114">
        <f t="shared" ref="P114" si="545">IF(C114=D114,0,((E114-D114)-(C114-E114))/(C114-D114))</f>
        <v>-0.87468671679197985</v>
      </c>
      <c r="Q114">
        <f t="shared" ref="Q114" si="546">F114*P114</f>
        <v>-122025865.77318294</v>
      </c>
      <c r="R114">
        <f t="shared" ref="R114" si="547">R115+Q114</f>
        <v>13646413201.556362</v>
      </c>
      <c r="S114">
        <f t="shared" ref="S114" si="548">R114/100000</f>
        <v>136464.13201556363</v>
      </c>
      <c r="T114">
        <f t="shared" ref="T114" si="549">S114/1000</f>
        <v>136.46413201556362</v>
      </c>
    </row>
    <row r="115" spans="1:20" x14ac:dyDescent="0.25">
      <c r="A115" s="5">
        <v>44478</v>
      </c>
      <c r="B115">
        <v>9.9959999999999993E-2</v>
      </c>
      <c r="C115">
        <v>0.10764</v>
      </c>
      <c r="D115">
        <v>9.9019999999999997E-2</v>
      </c>
      <c r="E115">
        <v>0.10296</v>
      </c>
      <c r="F115">
        <v>208717781.19999999</v>
      </c>
      <c r="G115">
        <v>0.10296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-8.584686774942045E-2</v>
      </c>
      <c r="Q115">
        <f t="shared" ref="Q115" si="551">F115*P115</f>
        <v>-17917767.759628873</v>
      </c>
      <c r="R115">
        <f t="shared" ref="R115" si="552">R116+Q115</f>
        <v>13768439067.329546</v>
      </c>
      <c r="S115">
        <f t="shared" ref="S115" si="553">R115/100000</f>
        <v>137684.39067329545</v>
      </c>
      <c r="T115">
        <f t="shared" ref="T115" si="554">S115/1000</f>
        <v>137.68439067329544</v>
      </c>
    </row>
    <row r="116" spans="1:20" x14ac:dyDescent="0.25">
      <c r="A116" s="5">
        <v>44477</v>
      </c>
      <c r="B116">
        <v>9.8379999999999995E-2</v>
      </c>
      <c r="C116">
        <v>0.1028</v>
      </c>
      <c r="D116">
        <v>9.7610000000000002E-2</v>
      </c>
      <c r="E116">
        <v>9.9959999999999993E-2</v>
      </c>
      <c r="F116">
        <v>203283414.80000001</v>
      </c>
      <c r="G116">
        <v>9.9959999999999993E-2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-9.441233140655457E-2</v>
      </c>
      <c r="Q116">
        <f t="shared" ref="Q116" si="556">F116*P116</f>
        <v>-19192461.127553701</v>
      </c>
      <c r="R116">
        <f t="shared" ref="R116" si="557">R117+Q116</f>
        <v>13786356835.089174</v>
      </c>
      <c r="S116">
        <f t="shared" ref="S116" si="558">R116/100000</f>
        <v>137863.56835089173</v>
      </c>
      <c r="T116">
        <f t="shared" ref="T116" si="559">S116/1000</f>
        <v>137.86356835089174</v>
      </c>
    </row>
    <row r="117" spans="1:20" x14ac:dyDescent="0.25">
      <c r="A117" s="5">
        <v>44476</v>
      </c>
      <c r="B117">
        <v>9.8720000000000002E-2</v>
      </c>
      <c r="C117">
        <v>0.1</v>
      </c>
      <c r="D117">
        <v>9.5000000000000001E-2</v>
      </c>
      <c r="E117">
        <v>9.8369999999999999E-2</v>
      </c>
      <c r="F117">
        <v>199134154.19999999</v>
      </c>
      <c r="G117">
        <v>9.8369999999999999E-2</v>
      </c>
      <c r="L117" t="s">
        <v>7</v>
      </c>
      <c r="M117" t="s">
        <v>8</v>
      </c>
      <c r="N117" t="s">
        <v>8</v>
      </c>
      <c r="P117">
        <f t="shared" ref="P117" si="560">IF(C117=D117,0,((E117-D117)-(C117-E117))/(C117-D117))</f>
        <v>0.34799999999999798</v>
      </c>
      <c r="Q117">
        <f t="shared" ref="Q117" si="561">F117*P117</f>
        <v>69298685.661599591</v>
      </c>
      <c r="R117">
        <f t="shared" ref="R117" si="562">R118+Q117</f>
        <v>13805549296.216728</v>
      </c>
      <c r="S117">
        <f t="shared" ref="S117" si="563">R117/100000</f>
        <v>138055.49296216728</v>
      </c>
      <c r="T117">
        <f t="shared" ref="T117" si="564">S117/1000</f>
        <v>138.05549296216728</v>
      </c>
    </row>
    <row r="118" spans="1:20" x14ac:dyDescent="0.25">
      <c r="A118" s="5">
        <v>44475</v>
      </c>
      <c r="B118">
        <v>0.10316</v>
      </c>
      <c r="C118">
        <v>0.10348</v>
      </c>
      <c r="D118">
        <v>9.3560000000000004E-2</v>
      </c>
      <c r="E118">
        <v>9.8720000000000002E-2</v>
      </c>
      <c r="F118">
        <v>311661211.89999998</v>
      </c>
      <c r="G118">
        <v>9.8720000000000002E-2</v>
      </c>
      <c r="L118" t="s">
        <v>7</v>
      </c>
      <c r="M118" t="s">
        <v>8</v>
      </c>
      <c r="N118" t="s">
        <v>8</v>
      </c>
      <c r="P118">
        <f t="shared" ref="P118" si="565">IF(C118=D118,0,((E118-D118)-(C118-E118))/(C118-D118))</f>
        <v>4.0322580645161053E-2</v>
      </c>
      <c r="Q118">
        <f t="shared" ref="Q118" si="566">F118*P118</f>
        <v>12566984.350806376</v>
      </c>
      <c r="R118">
        <f t="shared" ref="R118" si="567">R119+Q118</f>
        <v>13736250610.555128</v>
      </c>
      <c r="S118">
        <f t="shared" ref="S118" si="568">R118/100000</f>
        <v>137362.50610555129</v>
      </c>
      <c r="T118">
        <f t="shared" ref="T118" si="569">S118/1000</f>
        <v>137.36250610555129</v>
      </c>
    </row>
    <row r="119" spans="1:20" x14ac:dyDescent="0.25">
      <c r="A119" s="5">
        <v>44474</v>
      </c>
      <c r="B119">
        <v>9.6990000000000007E-2</v>
      </c>
      <c r="C119">
        <v>0.1077</v>
      </c>
      <c r="D119">
        <v>9.6250000000000002E-2</v>
      </c>
      <c r="E119">
        <v>0.10310999999999999</v>
      </c>
      <c r="F119">
        <v>349085541.19999999</v>
      </c>
      <c r="G119">
        <v>0.10310999999999999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0.19825327510916857</v>
      </c>
      <c r="Q119">
        <f t="shared" ref="Q119" si="571">F119*P119</f>
        <v>69207351.836156592</v>
      </c>
      <c r="R119">
        <f t="shared" ref="R119" si="572">R120+Q119</f>
        <v>13723683626.204321</v>
      </c>
      <c r="S119">
        <f t="shared" ref="S119" si="573">R119/100000</f>
        <v>137236.83626204322</v>
      </c>
      <c r="T119">
        <f t="shared" ref="T119" si="574">S119/1000</f>
        <v>137.23683626204323</v>
      </c>
    </row>
    <row r="120" spans="1:20" x14ac:dyDescent="0.25">
      <c r="A120" s="5">
        <v>44473</v>
      </c>
      <c r="B120">
        <v>9.9640000000000006E-2</v>
      </c>
      <c r="C120">
        <v>0.1017</v>
      </c>
      <c r="D120">
        <v>9.4539999999999999E-2</v>
      </c>
      <c r="E120">
        <v>9.7339999999999996E-2</v>
      </c>
      <c r="F120">
        <v>209311941.19999999</v>
      </c>
      <c r="G120">
        <v>9.7339999999999996E-2</v>
      </c>
      <c r="L120" t="s">
        <v>7</v>
      </c>
      <c r="M120" t="s">
        <v>8</v>
      </c>
      <c r="N120" t="s">
        <v>8</v>
      </c>
      <c r="P120">
        <f t="shared" ref="P120" si="575">IF(C120=D120,0,((E120-D120)-(C120-E120))/(C120-D120))</f>
        <v>-0.21787709497206786</v>
      </c>
      <c r="Q120">
        <f t="shared" ref="Q120" si="576">F120*P120</f>
        <v>-45604277.691620283</v>
      </c>
      <c r="R120">
        <f t="shared" ref="R120" si="577">R121+Q120</f>
        <v>13654476274.368164</v>
      </c>
      <c r="S120">
        <f t="shared" ref="S120" si="578">R120/100000</f>
        <v>136544.76274368164</v>
      </c>
      <c r="T120">
        <f t="shared" ref="T120" si="579">S120/1000</f>
        <v>136.54476274368164</v>
      </c>
    </row>
    <row r="121" spans="1:20" x14ac:dyDescent="0.25">
      <c r="A121" s="5">
        <v>44472</v>
      </c>
      <c r="B121">
        <v>9.6430000000000002E-2</v>
      </c>
      <c r="C121">
        <v>0.10314</v>
      </c>
      <c r="D121">
        <v>9.4289999999999999E-2</v>
      </c>
      <c r="E121">
        <v>9.9299999999999999E-2</v>
      </c>
      <c r="F121">
        <v>199163565</v>
      </c>
      <c r="G121">
        <v>9.9299999999999999E-2</v>
      </c>
      <c r="L121" t="s">
        <v>8</v>
      </c>
      <c r="M121" t="s">
        <v>8</v>
      </c>
      <c r="N121" t="s">
        <v>8</v>
      </c>
      <c r="P121">
        <f t="shared" ref="P121" si="580">IF(C121=D121,0,((E121-D121)-(C121-E121))/(C121-D121))</f>
        <v>0.13220338983050903</v>
      </c>
      <c r="Q121">
        <f t="shared" ref="Q121" si="581">F121*P121</f>
        <v>26330098.423728924</v>
      </c>
      <c r="R121">
        <f t="shared" ref="R121" si="582">R122+Q121</f>
        <v>13700080552.059784</v>
      </c>
      <c r="S121">
        <f t="shared" ref="S121" si="583">R121/100000</f>
        <v>137000.80552059785</v>
      </c>
      <c r="T121">
        <f t="shared" ref="T121" si="584">S121/1000</f>
        <v>137.00080552059785</v>
      </c>
    </row>
    <row r="122" spans="1:20" x14ac:dyDescent="0.25">
      <c r="A122" s="5">
        <v>44471</v>
      </c>
      <c r="B122">
        <v>9.4649999999999998E-2</v>
      </c>
      <c r="C122">
        <v>0.10198</v>
      </c>
      <c r="D122">
        <v>9.3030000000000002E-2</v>
      </c>
      <c r="E122">
        <v>9.64E-2</v>
      </c>
      <c r="F122">
        <v>258138529.40000001</v>
      </c>
      <c r="G122">
        <v>9.64E-2</v>
      </c>
      <c r="L122" t="s">
        <v>8</v>
      </c>
      <c r="M122" t="s">
        <v>8</v>
      </c>
      <c r="N122" t="s">
        <v>8</v>
      </c>
      <c r="P122">
        <f t="shared" ref="P122" si="585">IF(C122=D122,0,((E122-D122)-(C122-E122))/(C122-D122))</f>
        <v>-0.24692737430167638</v>
      </c>
      <c r="Q122">
        <f t="shared" ref="Q122" si="586">F122*P122</f>
        <v>-63741469.270838097</v>
      </c>
      <c r="R122">
        <f t="shared" ref="R122" si="587">R123+Q122</f>
        <v>13673750453.636055</v>
      </c>
      <c r="S122">
        <f t="shared" ref="S122" si="588">R122/100000</f>
        <v>136737.50453636056</v>
      </c>
      <c r="T122">
        <f t="shared" ref="T122" si="589">S122/1000</f>
        <v>136.73750453636055</v>
      </c>
    </row>
    <row r="123" spans="1:20" x14ac:dyDescent="0.25">
      <c r="A123" s="5">
        <v>44470</v>
      </c>
      <c r="B123">
        <v>8.5790000000000005E-2</v>
      </c>
      <c r="C123">
        <v>9.5850000000000005E-2</v>
      </c>
      <c r="D123">
        <v>8.4140000000000006E-2</v>
      </c>
      <c r="E123">
        <v>9.4640000000000002E-2</v>
      </c>
      <c r="F123">
        <v>312314024.80000001</v>
      </c>
      <c r="G123">
        <v>9.4640000000000002E-2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0.7933390264730994</v>
      </c>
      <c r="Q123">
        <f t="shared" ref="Q123" si="591">F123*P123</f>
        <v>247770904.38872743</v>
      </c>
      <c r="R123">
        <f t="shared" ref="R123" si="592">R124+Q123</f>
        <v>13737491922.906893</v>
      </c>
      <c r="S123">
        <f t="shared" ref="S123" si="593">R123/100000</f>
        <v>137374.91922906894</v>
      </c>
      <c r="T123">
        <f t="shared" ref="T123" si="594">S123/1000</f>
        <v>137.37491922906895</v>
      </c>
    </row>
    <row r="124" spans="1:20" x14ac:dyDescent="0.25">
      <c r="A124" s="5">
        <v>44469</v>
      </c>
      <c r="B124">
        <v>8.2559999999999995E-2</v>
      </c>
      <c r="C124">
        <v>8.9620000000000005E-2</v>
      </c>
      <c r="D124">
        <v>8.2309999999999994E-2</v>
      </c>
      <c r="E124">
        <v>8.5769999999999999E-2</v>
      </c>
      <c r="F124">
        <v>344419125.80000001</v>
      </c>
      <c r="G124">
        <v>8.5769999999999999E-2</v>
      </c>
      <c r="L124" t="s">
        <v>8</v>
      </c>
      <c r="M124" t="s">
        <v>8</v>
      </c>
      <c r="N124" t="s">
        <v>7</v>
      </c>
      <c r="P124">
        <f t="shared" ref="P124" si="595">IF(C124=D124,0,((E124-D124)-(C124-E124))/(C124-D124))</f>
        <v>-5.3351573187414618E-2</v>
      </c>
      <c r="Q124">
        <f t="shared" ref="Q124" si="596">F124*P124</f>
        <v>-18375302.197264064</v>
      </c>
      <c r="R124">
        <f t="shared" ref="R124" si="597">R125+Q124</f>
        <v>13489721018.518166</v>
      </c>
      <c r="S124">
        <f t="shared" ref="S124" si="598">R124/100000</f>
        <v>134897.21018518167</v>
      </c>
      <c r="T124">
        <f t="shared" ref="T124" si="599">S124/1000</f>
        <v>134.89721018518168</v>
      </c>
    </row>
    <row r="125" spans="1:20" x14ac:dyDescent="0.25">
      <c r="A125" s="5">
        <v>44468</v>
      </c>
      <c r="B125">
        <v>7.5200000000000003E-2</v>
      </c>
      <c r="C125">
        <v>8.5349999999999995E-2</v>
      </c>
      <c r="D125">
        <v>7.4649999999999994E-2</v>
      </c>
      <c r="E125">
        <v>8.2530000000000006E-2</v>
      </c>
      <c r="F125">
        <v>362676081.30000001</v>
      </c>
      <c r="G125">
        <v>8.2530000000000006E-2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0.4728971962616843</v>
      </c>
      <c r="Q125">
        <f t="shared" ref="Q125" si="601">F125*P125</f>
        <v>171508501.99794468</v>
      </c>
      <c r="R125">
        <f t="shared" ref="R125" si="602">R126+Q125</f>
        <v>13508096320.715429</v>
      </c>
      <c r="S125">
        <f t="shared" ref="S125" si="603">R125/100000</f>
        <v>135080.9632071543</v>
      </c>
      <c r="T125">
        <f t="shared" ref="T125" si="604">S125/1000</f>
        <v>135.0809632071543</v>
      </c>
    </row>
    <row r="126" spans="1:20" x14ac:dyDescent="0.25">
      <c r="A126" s="5">
        <v>44467</v>
      </c>
      <c r="B126">
        <v>7.9369999999999996E-2</v>
      </c>
      <c r="C126">
        <v>8.0390000000000003E-2</v>
      </c>
      <c r="D126">
        <v>7.4889999999999998E-2</v>
      </c>
      <c r="E126">
        <v>7.5310000000000002E-2</v>
      </c>
      <c r="F126">
        <v>165395729.19999999</v>
      </c>
      <c r="G126">
        <v>7.5310000000000002E-2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-0.84727272727272607</v>
      </c>
      <c r="Q126">
        <f t="shared" ref="Q126" si="606">F126*P126</f>
        <v>-140135290.55854523</v>
      </c>
      <c r="R126">
        <f t="shared" ref="R126" si="607">R127+Q126</f>
        <v>13336587818.717485</v>
      </c>
      <c r="S126">
        <f t="shared" ref="S126" si="608">R126/100000</f>
        <v>133365.87818717485</v>
      </c>
      <c r="T126">
        <f t="shared" ref="T126" si="609">S126/1000</f>
        <v>133.36587818717484</v>
      </c>
    </row>
    <row r="127" spans="1:20" x14ac:dyDescent="0.25">
      <c r="A127" s="5">
        <v>44466</v>
      </c>
      <c r="B127">
        <v>8.3419999999999994E-2</v>
      </c>
      <c r="C127">
        <v>8.5750000000000007E-2</v>
      </c>
      <c r="D127">
        <v>7.911E-2</v>
      </c>
      <c r="E127">
        <v>7.9369999999999996E-2</v>
      </c>
      <c r="F127">
        <v>135840228.5</v>
      </c>
      <c r="G127">
        <v>7.9369999999999996E-2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-0.92168674698795294</v>
      </c>
      <c r="Q127">
        <f t="shared" ref="Q127" si="611">F127*P127</f>
        <v>-125202138.31626521</v>
      </c>
      <c r="R127">
        <f t="shared" ref="R127" si="612">R128+Q127</f>
        <v>13476723109.276031</v>
      </c>
      <c r="S127">
        <f t="shared" ref="S127" si="613">R127/100000</f>
        <v>134767.23109276031</v>
      </c>
      <c r="T127">
        <f t="shared" ref="T127" si="614">S127/1000</f>
        <v>134.76723109276031</v>
      </c>
    </row>
    <row r="128" spans="1:20" x14ac:dyDescent="0.25">
      <c r="A128" s="5">
        <v>44465</v>
      </c>
      <c r="B128">
        <v>8.3930000000000005E-2</v>
      </c>
      <c r="C128">
        <v>8.4589999999999999E-2</v>
      </c>
      <c r="D128">
        <v>7.6499999999999999E-2</v>
      </c>
      <c r="E128">
        <v>8.3510000000000001E-2</v>
      </c>
      <c r="F128">
        <v>166189132.5</v>
      </c>
      <c r="G128">
        <v>8.3510000000000001E-2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0.73300370828183004</v>
      </c>
      <c r="Q128">
        <f t="shared" ref="Q128" si="616">F128*P128</f>
        <v>121817250.39864039</v>
      </c>
      <c r="R128">
        <f t="shared" ref="R128" si="617">R129+Q128</f>
        <v>13601925247.592297</v>
      </c>
      <c r="S128">
        <f t="shared" ref="S128" si="618">R128/100000</f>
        <v>136019.25247592296</v>
      </c>
      <c r="T128">
        <f t="shared" ref="T128" si="619">S128/1000</f>
        <v>136.01925247592297</v>
      </c>
    </row>
    <row r="129" spans="1:20" x14ac:dyDescent="0.25">
      <c r="A129" s="5">
        <v>44464</v>
      </c>
      <c r="B129">
        <v>8.4900000000000003E-2</v>
      </c>
      <c r="C129">
        <v>9.35E-2</v>
      </c>
      <c r="D129">
        <v>8.1549999999999997E-2</v>
      </c>
      <c r="E129">
        <v>8.4019999999999997E-2</v>
      </c>
      <c r="F129">
        <v>153900412.09999999</v>
      </c>
      <c r="G129">
        <v>8.4019999999999997E-2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-0.58661087866108796</v>
      </c>
      <c r="Q129">
        <f t="shared" ref="Q129" si="621">F129*P129</f>
        <v>-90279655.968284532</v>
      </c>
      <c r="R129">
        <f t="shared" ref="R129" si="622">R130+Q129</f>
        <v>13480107997.193657</v>
      </c>
      <c r="S129">
        <f t="shared" ref="S129" si="623">R129/100000</f>
        <v>134801.07997193656</v>
      </c>
      <c r="T129">
        <f t="shared" ref="T129" si="624">S129/1000</f>
        <v>134.80107997193656</v>
      </c>
    </row>
    <row r="130" spans="1:20" x14ac:dyDescent="0.25">
      <c r="A130" s="5">
        <v>44463</v>
      </c>
      <c r="B130">
        <v>9.3049999999999994E-2</v>
      </c>
      <c r="C130">
        <v>9.3420000000000003E-2</v>
      </c>
      <c r="D130">
        <v>7.9280000000000003E-2</v>
      </c>
      <c r="E130">
        <v>8.4919999999999995E-2</v>
      </c>
      <c r="F130">
        <v>199496399.80000001</v>
      </c>
      <c r="G130">
        <v>8.4919999999999995E-2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-0.20226308345120333</v>
      </c>
      <c r="Q130">
        <f t="shared" ref="Q130" si="626">F130*P130</f>
        <v>-40350756.960962027</v>
      </c>
      <c r="R130">
        <f t="shared" ref="R130" si="627">R131+Q130</f>
        <v>13570387653.161942</v>
      </c>
      <c r="S130">
        <f t="shared" ref="S130" si="628">R130/100000</f>
        <v>135703.8765316194</v>
      </c>
      <c r="T130">
        <f t="shared" ref="T130" si="629">S130/1000</f>
        <v>135.70387653161941</v>
      </c>
    </row>
    <row r="131" spans="1:20" x14ac:dyDescent="0.25">
      <c r="A131" s="5">
        <v>44462</v>
      </c>
      <c r="B131">
        <v>9.1939999999999994E-2</v>
      </c>
      <c r="C131">
        <v>9.6689999999999998E-2</v>
      </c>
      <c r="D131">
        <v>8.8429999999999995E-2</v>
      </c>
      <c r="E131">
        <v>9.3039999999999998E-2</v>
      </c>
      <c r="F131">
        <v>181085647.59999999</v>
      </c>
      <c r="G131">
        <v>9.3039999999999998E-2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0.11622276029055716</v>
      </c>
      <c r="Q131">
        <f t="shared" ref="Q131" si="631">F131*P131</f>
        <v>21046273.813075107</v>
      </c>
      <c r="R131">
        <f t="shared" ref="R131" si="632">R132+Q131</f>
        <v>13610738410.122904</v>
      </c>
      <c r="S131">
        <f t="shared" ref="S131" si="633">R131/100000</f>
        <v>136107.38410122905</v>
      </c>
      <c r="T131">
        <f t="shared" ref="T131" si="634">S131/1000</f>
        <v>136.10738410122906</v>
      </c>
    </row>
    <row r="132" spans="1:20" x14ac:dyDescent="0.25">
      <c r="A132" s="5">
        <v>44461</v>
      </c>
      <c r="B132">
        <v>8.0860000000000001E-2</v>
      </c>
      <c r="C132">
        <v>9.2289999999999997E-2</v>
      </c>
      <c r="D132">
        <v>7.8899999999999998E-2</v>
      </c>
      <c r="E132">
        <v>9.1969999999999996E-2</v>
      </c>
      <c r="F132">
        <v>156113285.5</v>
      </c>
      <c r="G132">
        <v>9.1969999999999996E-2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0.9522031366691559</v>
      </c>
      <c r="Q132">
        <f t="shared" ref="Q132" si="636">F132*P132</f>
        <v>148651560.12882745</v>
      </c>
      <c r="R132">
        <f t="shared" ref="R132" si="637">R133+Q132</f>
        <v>13589692136.309828</v>
      </c>
      <c r="S132">
        <f t="shared" ref="S132" si="638">R132/100000</f>
        <v>135896.92136309828</v>
      </c>
      <c r="T132">
        <f t="shared" ref="T132" si="639">S132/1000</f>
        <v>135.89692136309827</v>
      </c>
    </row>
    <row r="133" spans="1:20" x14ac:dyDescent="0.25">
      <c r="A133" s="5">
        <v>44460</v>
      </c>
      <c r="B133">
        <v>8.7069999999999995E-2</v>
      </c>
      <c r="C133">
        <v>9.1740000000000002E-2</v>
      </c>
      <c r="D133">
        <v>7.8270000000000006E-2</v>
      </c>
      <c r="E133">
        <v>8.0710000000000004E-2</v>
      </c>
      <c r="F133">
        <v>246348738.80000001</v>
      </c>
      <c r="G133">
        <v>8.0710000000000004E-2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-0.63771343726800322</v>
      </c>
      <c r="Q133">
        <f t="shared" ref="Q133" si="641">F133*P133</f>
        <v>-157099900.98678553</v>
      </c>
      <c r="R133">
        <f t="shared" ref="R133" si="642">R134+Q133</f>
        <v>13441040576.181</v>
      </c>
      <c r="S133">
        <f t="shared" ref="S133" si="643">R133/100000</f>
        <v>134410.40576180999</v>
      </c>
      <c r="T133">
        <f t="shared" ref="T133" si="644">S133/1000</f>
        <v>134.41040576180998</v>
      </c>
    </row>
    <row r="134" spans="1:20" x14ac:dyDescent="0.25">
      <c r="A134" s="5">
        <v>44459</v>
      </c>
      <c r="B134">
        <v>0.10248</v>
      </c>
      <c r="C134">
        <v>0.10269</v>
      </c>
      <c r="D134">
        <v>9.1219999999999996E-2</v>
      </c>
      <c r="E134">
        <v>9.2469999999999997E-2</v>
      </c>
      <c r="F134">
        <v>116387687.09999999</v>
      </c>
      <c r="G134">
        <v>9.2469999999999997E-2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-0.78204010462074969</v>
      </c>
      <c r="Q134">
        <f t="shared" ref="Q134" si="646">F134*P134</f>
        <v>-91019838.996251076</v>
      </c>
      <c r="R134">
        <f t="shared" ref="R134" si="647">R135+Q134</f>
        <v>13598140477.167786</v>
      </c>
      <c r="S134">
        <f t="shared" ref="S134" si="648">R134/100000</f>
        <v>135981.40477167786</v>
      </c>
      <c r="T134">
        <f t="shared" ref="T134" si="649">S134/1000</f>
        <v>135.98140477167786</v>
      </c>
    </row>
    <row r="135" spans="1:20" x14ac:dyDescent="0.25">
      <c r="A135" s="5">
        <v>44458</v>
      </c>
      <c r="B135">
        <v>0.10833</v>
      </c>
      <c r="C135">
        <v>0.10858</v>
      </c>
      <c r="D135">
        <v>0.1008</v>
      </c>
      <c r="E135">
        <v>0.10252</v>
      </c>
      <c r="F135">
        <v>90973722.099999994</v>
      </c>
      <c r="G135">
        <v>0.10252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-0.55784061696658094</v>
      </c>
      <c r="Q135">
        <f t="shared" ref="Q135" si="651">F135*P135</f>
        <v>-50748837.264010273</v>
      </c>
      <c r="R135">
        <f t="shared" ref="R135" si="652">R136+Q135</f>
        <v>13689160316.164036</v>
      </c>
      <c r="S135">
        <f t="shared" ref="S135" si="653">R135/100000</f>
        <v>136891.60316164035</v>
      </c>
      <c r="T135">
        <f t="shared" ref="T135" si="654">S135/1000</f>
        <v>136.89160316164035</v>
      </c>
    </row>
    <row r="136" spans="1:20" x14ac:dyDescent="0.25">
      <c r="A136" s="5">
        <v>44457</v>
      </c>
      <c r="B136">
        <v>0.10767</v>
      </c>
      <c r="C136">
        <v>0.11151</v>
      </c>
      <c r="D136">
        <v>0.10582999999999999</v>
      </c>
      <c r="E136">
        <v>0.10832</v>
      </c>
      <c r="F136">
        <v>106982395</v>
      </c>
      <c r="G136">
        <v>0.10832</v>
      </c>
      <c r="L136" t="s">
        <v>7</v>
      </c>
      <c r="M136" t="s">
        <v>7</v>
      </c>
      <c r="N136" t="s">
        <v>7</v>
      </c>
      <c r="P136">
        <f t="shared" ref="P136" si="655">IF(C136=D136,0,((E136-D136)-(C136-E136))/(C136-D136))</f>
        <v>-0.12323943661971686</v>
      </c>
      <c r="Q136">
        <f t="shared" ref="Q136" si="656">F136*P136</f>
        <v>-13184450.088028014</v>
      </c>
      <c r="R136">
        <f t="shared" ref="R136" si="657">R137+Q136</f>
        <v>13739909153.428045</v>
      </c>
      <c r="S136">
        <f t="shared" ref="S136" si="658">R136/100000</f>
        <v>137399.09153428045</v>
      </c>
      <c r="T136">
        <f t="shared" ref="T136" si="659">S136/1000</f>
        <v>137.39909153428044</v>
      </c>
    </row>
    <row r="137" spans="1:20" x14ac:dyDescent="0.25">
      <c r="A137" s="5">
        <v>44456</v>
      </c>
      <c r="B137">
        <v>0.1119</v>
      </c>
      <c r="C137">
        <v>0.11686000000000001</v>
      </c>
      <c r="D137">
        <v>0.10569000000000001</v>
      </c>
      <c r="E137">
        <v>0.10767</v>
      </c>
      <c r="F137">
        <v>266146164.40000001</v>
      </c>
      <c r="G137">
        <v>0.10767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-0.64547896150402939</v>
      </c>
      <c r="Q137">
        <f t="shared" ref="Q137" si="661">F137*P137</f>
        <v>-171791749.80519268</v>
      </c>
      <c r="R137">
        <f t="shared" ref="R137" si="662">R138+Q137</f>
        <v>13753093603.516073</v>
      </c>
      <c r="S137">
        <f t="shared" ref="S137" si="663">R137/100000</f>
        <v>137530.93603516073</v>
      </c>
      <c r="T137">
        <f t="shared" ref="T137" si="664">S137/1000</f>
        <v>137.53093603516072</v>
      </c>
    </row>
    <row r="138" spans="1:20" x14ac:dyDescent="0.25">
      <c r="A138" s="5">
        <v>44455</v>
      </c>
      <c r="B138">
        <v>0.11126999999999999</v>
      </c>
      <c r="C138">
        <v>0.1162</v>
      </c>
      <c r="D138">
        <v>0.10714</v>
      </c>
      <c r="E138">
        <v>0.11191</v>
      </c>
      <c r="F138">
        <v>273517056</v>
      </c>
      <c r="G138">
        <v>0.11191</v>
      </c>
      <c r="L138" t="s">
        <v>8</v>
      </c>
      <c r="M138" t="s">
        <v>7</v>
      </c>
      <c r="N138" t="s">
        <v>7</v>
      </c>
      <c r="P138">
        <f t="shared" ref="P138" si="665">IF(C138=D138,0,((E138-D138)-(C138-E138))/(C138-D138))</f>
        <v>5.2980132450330508E-2</v>
      </c>
      <c r="Q138">
        <f t="shared" ref="Q138" si="666">F138*P138</f>
        <v>14490969.854304466</v>
      </c>
      <c r="R138">
        <f t="shared" ref="R138" si="667">R139+Q138</f>
        <v>13924885353.321266</v>
      </c>
      <c r="S138">
        <f t="shared" ref="S138" si="668">R138/100000</f>
        <v>139248.85353321265</v>
      </c>
      <c r="T138">
        <f t="shared" ref="T138" si="669">S138/1000</f>
        <v>139.24885353321264</v>
      </c>
    </row>
    <row r="139" spans="1:20" x14ac:dyDescent="0.25">
      <c r="A139" s="5">
        <v>44454</v>
      </c>
      <c r="B139">
        <v>0.10668</v>
      </c>
      <c r="C139">
        <v>0.11262</v>
      </c>
      <c r="D139">
        <v>0.10457</v>
      </c>
      <c r="E139">
        <v>0.11123</v>
      </c>
      <c r="F139">
        <v>198007130.59999999</v>
      </c>
      <c r="G139">
        <v>0.11123</v>
      </c>
      <c r="L139" t="s">
        <v>8</v>
      </c>
      <c r="M139" t="s">
        <v>7</v>
      </c>
      <c r="N139" t="s">
        <v>7</v>
      </c>
      <c r="P139">
        <f t="shared" ref="P139" si="670">IF(C139=D139,0,((E139-D139)-(C139-E139))/(C139-D139))</f>
        <v>0.65465838509316721</v>
      </c>
      <c r="Q139">
        <f t="shared" ref="Q139" si="671">F139*P139</f>
        <v>129627028.35552785</v>
      </c>
      <c r="R139">
        <f t="shared" ref="R139" si="672">R140+Q139</f>
        <v>13910394383.466961</v>
      </c>
      <c r="S139">
        <f t="shared" ref="S139" si="673">R139/100000</f>
        <v>139103.9438346696</v>
      </c>
      <c r="T139">
        <f t="shared" ref="T139" si="674">S139/1000</f>
        <v>139.10394383466959</v>
      </c>
    </row>
    <row r="140" spans="1:20" x14ac:dyDescent="0.25">
      <c r="A140" s="5">
        <v>44453</v>
      </c>
      <c r="B140">
        <v>0.10253</v>
      </c>
      <c r="C140">
        <v>0.10718999999999999</v>
      </c>
      <c r="D140">
        <v>0.10074</v>
      </c>
      <c r="E140">
        <v>0.10679</v>
      </c>
      <c r="F140">
        <v>174350593.09999999</v>
      </c>
      <c r="G140">
        <v>0.10679</v>
      </c>
      <c r="L140" t="s">
        <v>7</v>
      </c>
      <c r="M140" t="s">
        <v>7</v>
      </c>
      <c r="N140" t="s">
        <v>7</v>
      </c>
      <c r="P140">
        <f t="shared" ref="P140" si="675">IF(C140=D140,0,((E140-D140)-(C140-E140))/(C140-D140))</f>
        <v>0.87596899224806268</v>
      </c>
      <c r="Q140">
        <f t="shared" ref="Q140" si="676">F140*P140</f>
        <v>152725713.33565903</v>
      </c>
      <c r="R140">
        <f t="shared" ref="R140" si="677">R141+Q140</f>
        <v>13780767355.111433</v>
      </c>
      <c r="S140">
        <f t="shared" ref="S140" si="678">R140/100000</f>
        <v>137807.67355111433</v>
      </c>
      <c r="T140">
        <f t="shared" ref="T140" si="679">S140/1000</f>
        <v>137.80767355111433</v>
      </c>
    </row>
    <row r="141" spans="1:20" x14ac:dyDescent="0.25">
      <c r="A141" s="5">
        <v>44452</v>
      </c>
      <c r="B141">
        <v>0.11194999999999999</v>
      </c>
      <c r="C141">
        <v>0.1139</v>
      </c>
      <c r="D141">
        <v>9.6229999999999996E-2</v>
      </c>
      <c r="E141">
        <v>0.10256</v>
      </c>
      <c r="F141">
        <v>289228917.89999998</v>
      </c>
      <c r="G141">
        <v>0.10256</v>
      </c>
      <c r="L141" t="s">
        <v>8</v>
      </c>
      <c r="M141" t="s">
        <v>7</v>
      </c>
      <c r="N141" t="s">
        <v>7</v>
      </c>
      <c r="P141">
        <f t="shared" ref="P141" si="680">IF(C141=D141,0,((E141-D141)-(C141-E141))/(C141-D141))</f>
        <v>-0.28353140916808145</v>
      </c>
      <c r="Q141">
        <f t="shared" ref="Q141" si="681">F141*P141</f>
        <v>-82005482.664346337</v>
      </c>
      <c r="R141">
        <f t="shared" ref="R141" si="682">R142+Q141</f>
        <v>13628041641.775774</v>
      </c>
      <c r="S141">
        <f t="shared" ref="S141" si="683">R141/100000</f>
        <v>136280.41641775775</v>
      </c>
      <c r="T141">
        <f t="shared" ref="T141" si="684">S141/1000</f>
        <v>136.28041641775775</v>
      </c>
    </row>
    <row r="142" spans="1:20" x14ac:dyDescent="0.25">
      <c r="A142" s="5">
        <v>44451</v>
      </c>
      <c r="B142">
        <v>0.10696</v>
      </c>
      <c r="C142">
        <v>0.11298999999999999</v>
      </c>
      <c r="D142">
        <v>0.10428999999999999</v>
      </c>
      <c r="E142">
        <v>0.11178</v>
      </c>
      <c r="F142">
        <v>229914729.40000001</v>
      </c>
      <c r="G142">
        <v>0.11178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0.72183908045977263</v>
      </c>
      <c r="Q142">
        <f t="shared" ref="Q142" si="686">F142*P142</f>
        <v>165961436.85425347</v>
      </c>
      <c r="R142">
        <f t="shared" ref="R142" si="687">R143+Q142</f>
        <v>13710047124.440121</v>
      </c>
      <c r="S142">
        <f t="shared" ref="S142" si="688">R142/100000</f>
        <v>137100.47124440121</v>
      </c>
      <c r="T142">
        <f t="shared" ref="T142" si="689">S142/1000</f>
        <v>137.10047124440121</v>
      </c>
    </row>
    <row r="143" spans="1:20" x14ac:dyDescent="0.25">
      <c r="A143" s="5">
        <v>44450</v>
      </c>
      <c r="B143">
        <v>0.10636</v>
      </c>
      <c r="C143">
        <v>0.1119</v>
      </c>
      <c r="D143">
        <v>0.10412</v>
      </c>
      <c r="E143">
        <v>0.10696</v>
      </c>
      <c r="F143">
        <v>228714414.5</v>
      </c>
      <c r="G143">
        <v>0.10696</v>
      </c>
      <c r="L143" t="s">
        <v>7</v>
      </c>
      <c r="M143" t="s">
        <v>8</v>
      </c>
      <c r="N143" t="s">
        <v>7</v>
      </c>
      <c r="P143">
        <f t="shared" ref="P143" si="690">IF(C143=D143,0,((E143-D143)-(C143-E143))/(C143-D143))</f>
        <v>-0.26992287917737867</v>
      </c>
      <c r="Q143">
        <f t="shared" ref="Q143" si="691">F143*P143</f>
        <v>-61735253.271208405</v>
      </c>
      <c r="R143">
        <f t="shared" ref="R143" si="692">R144+Q143</f>
        <v>13544085687.585867</v>
      </c>
      <c r="S143">
        <f t="shared" ref="S143" si="693">R143/100000</f>
        <v>135440.85687585868</v>
      </c>
      <c r="T143">
        <f t="shared" ref="T143" si="694">S143/1000</f>
        <v>135.44085687585869</v>
      </c>
    </row>
    <row r="144" spans="1:20" x14ac:dyDescent="0.25">
      <c r="A144" s="5">
        <v>44449</v>
      </c>
      <c r="B144">
        <v>0.10818</v>
      </c>
      <c r="C144">
        <v>0.12111</v>
      </c>
      <c r="D144">
        <v>0.10314</v>
      </c>
      <c r="E144">
        <v>0.10638</v>
      </c>
      <c r="F144">
        <v>567748417.60000002</v>
      </c>
      <c r="G144">
        <v>0.10638</v>
      </c>
      <c r="L144" t="s">
        <v>8</v>
      </c>
      <c r="M144" t="s">
        <v>8</v>
      </c>
      <c r="N144" t="s">
        <v>7</v>
      </c>
      <c r="P144">
        <f t="shared" ref="P144" si="695">IF(C144=D144,0,((E144-D144)-(C144-E144))/(C144-D144))</f>
        <v>-0.63939899833055014</v>
      </c>
      <c r="Q144">
        <f t="shared" ref="Q144" si="696">F144*P144</f>
        <v>-363017769.51719493</v>
      </c>
      <c r="R144">
        <f t="shared" ref="R144" si="697">R145+Q144</f>
        <v>13605820940.857075</v>
      </c>
      <c r="S144">
        <f t="shared" ref="S144" si="698">R144/100000</f>
        <v>136058.20940857075</v>
      </c>
      <c r="T144">
        <f t="shared" ref="T144" si="699">S144/1000</f>
        <v>136.05820940857075</v>
      </c>
    </row>
    <row r="145" spans="1:20" x14ac:dyDescent="0.25">
      <c r="A145" s="5">
        <v>44448</v>
      </c>
      <c r="B145">
        <v>0.10333000000000001</v>
      </c>
      <c r="C145">
        <v>0.11096</v>
      </c>
      <c r="D145">
        <v>0.10133</v>
      </c>
      <c r="E145">
        <v>0.10818</v>
      </c>
      <c r="F145">
        <v>284479893.19999999</v>
      </c>
      <c r="G145">
        <v>0.10818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0.42263759086188896</v>
      </c>
      <c r="Q145">
        <f t="shared" ref="Q145" si="701">F145*P145</f>
        <v>120231896.71069546</v>
      </c>
      <c r="R145">
        <f t="shared" ref="R145" si="702">R146+Q145</f>
        <v>13968838710.374269</v>
      </c>
      <c r="S145">
        <f t="shared" ref="S145" si="703">R145/100000</f>
        <v>139688.38710374269</v>
      </c>
      <c r="T145">
        <f t="shared" ref="T145" si="704">S145/1000</f>
        <v>139.68838710374268</v>
      </c>
    </row>
    <row r="146" spans="1:20" x14ac:dyDescent="0.25">
      <c r="A146" s="5">
        <v>44447</v>
      </c>
      <c r="B146">
        <v>0.10181999999999999</v>
      </c>
      <c r="C146">
        <v>0.106</v>
      </c>
      <c r="D146">
        <v>9.1609999999999997E-2</v>
      </c>
      <c r="E146">
        <v>0.10335</v>
      </c>
      <c r="F146">
        <v>352610244.89999998</v>
      </c>
      <c r="G146">
        <v>0.10335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0.63168867268936768</v>
      </c>
      <c r="Q146">
        <f t="shared" ref="Q146" si="706">F146*P146</f>
        <v>222739897.57755387</v>
      </c>
      <c r="R146">
        <f t="shared" ref="R146" si="707">R147+Q146</f>
        <v>13848606813.663574</v>
      </c>
      <c r="S146">
        <f t="shared" ref="S146" si="708">R146/100000</f>
        <v>138486.06813663573</v>
      </c>
      <c r="T146">
        <f t="shared" ref="T146" si="709">S146/1000</f>
        <v>138.48606813663574</v>
      </c>
    </row>
    <row r="147" spans="1:20" x14ac:dyDescent="0.25">
      <c r="A147" s="5">
        <v>44446</v>
      </c>
      <c r="B147">
        <v>0.13075000000000001</v>
      </c>
      <c r="C147">
        <v>0.13099</v>
      </c>
      <c r="D147">
        <v>8.5620000000000002E-2</v>
      </c>
      <c r="E147">
        <v>0.10186000000000001</v>
      </c>
      <c r="F147">
        <v>611575512.39999998</v>
      </c>
      <c r="G147">
        <v>0.10186000000000001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-0.28410844170156463</v>
      </c>
      <c r="Q147">
        <f t="shared" ref="Q147" si="711">F147*P147</f>
        <v>-173753765.8107999</v>
      </c>
      <c r="R147">
        <f t="shared" ref="R147" si="712">R148+Q147</f>
        <v>13625866916.08602</v>
      </c>
      <c r="S147">
        <f t="shared" ref="S147" si="713">R147/100000</f>
        <v>136258.66916086018</v>
      </c>
      <c r="T147">
        <f t="shared" ref="T147" si="714">S147/1000</f>
        <v>136.25866916086019</v>
      </c>
    </row>
    <row r="148" spans="1:20" x14ac:dyDescent="0.25">
      <c r="A148" s="5">
        <v>44445</v>
      </c>
      <c r="B148">
        <v>0.13274</v>
      </c>
      <c r="C148">
        <v>0.13483999999999999</v>
      </c>
      <c r="D148">
        <v>0.1225</v>
      </c>
      <c r="E148">
        <v>0.13081999999999999</v>
      </c>
      <c r="F148">
        <v>285039173</v>
      </c>
      <c r="G148">
        <v>0.13081999999999999</v>
      </c>
      <c r="L148" t="s">
        <v>7</v>
      </c>
      <c r="M148" t="s">
        <v>8</v>
      </c>
      <c r="N148" t="s">
        <v>8</v>
      </c>
      <c r="P148">
        <f t="shared" ref="P148" si="715">IF(C148=D148,0,((E148-D148)-(C148-E148))/(C148-D148))</f>
        <v>0.3484602917341979</v>
      </c>
      <c r="Q148">
        <f t="shared" ref="Q148" si="716">F148*P148</f>
        <v>99324833.379254505</v>
      </c>
      <c r="R148">
        <f t="shared" ref="R148" si="717">R149+Q148</f>
        <v>13799620681.89682</v>
      </c>
      <c r="S148">
        <f t="shared" ref="S148" si="718">R148/100000</f>
        <v>137996.2068189682</v>
      </c>
      <c r="T148">
        <f t="shared" ref="T148" si="719">S148/1000</f>
        <v>137.9962068189682</v>
      </c>
    </row>
    <row r="149" spans="1:20" x14ac:dyDescent="0.25">
      <c r="A149" s="5">
        <v>44444</v>
      </c>
      <c r="B149">
        <v>0.12221</v>
      </c>
      <c r="C149">
        <v>0.13661000000000001</v>
      </c>
      <c r="D149">
        <v>0.12049</v>
      </c>
      <c r="E149">
        <v>0.13274</v>
      </c>
      <c r="F149">
        <v>309368799.10000002</v>
      </c>
      <c r="G149">
        <v>0.13274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0.51985111662530892</v>
      </c>
      <c r="Q149">
        <f t="shared" ref="Q149" si="721">F149*P149</f>
        <v>160825715.66116586</v>
      </c>
      <c r="R149">
        <f t="shared" ref="R149" si="722">R150+Q149</f>
        <v>13700295848.517565</v>
      </c>
      <c r="S149">
        <f t="shared" ref="S149" si="723">R149/100000</f>
        <v>137002.95848517565</v>
      </c>
      <c r="T149">
        <f t="shared" ref="T149" si="724">S149/1000</f>
        <v>137.00295848517564</v>
      </c>
    </row>
    <row r="150" spans="1:20" x14ac:dyDescent="0.25">
      <c r="A150" s="5">
        <v>44443</v>
      </c>
      <c r="B150">
        <v>0.11938</v>
      </c>
      <c r="C150">
        <v>0.12587999999999999</v>
      </c>
      <c r="D150">
        <v>0.11806</v>
      </c>
      <c r="E150">
        <v>0.12218999999999999</v>
      </c>
      <c r="F150">
        <v>303983563.89999998</v>
      </c>
      <c r="G150">
        <v>0.12218999999999999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5.6265984654730983E-2</v>
      </c>
      <c r="Q150">
        <f t="shared" ref="Q150" si="726">F150*P150</f>
        <v>17103934.541687835</v>
      </c>
      <c r="R150">
        <f t="shared" ref="R150" si="727">R151+Q150</f>
        <v>13539470132.8564</v>
      </c>
      <c r="S150">
        <f t="shared" ref="S150" si="728">R150/100000</f>
        <v>135394.701328564</v>
      </c>
      <c r="T150">
        <f t="shared" ref="T150" si="729">S150/1000</f>
        <v>135.394701328564</v>
      </c>
    </row>
    <row r="151" spans="1:20" x14ac:dyDescent="0.25">
      <c r="A151" s="5">
        <v>44442</v>
      </c>
      <c r="B151">
        <v>0.1139</v>
      </c>
      <c r="C151">
        <v>0.12304</v>
      </c>
      <c r="D151">
        <v>0.11161</v>
      </c>
      <c r="E151">
        <v>0.11940000000000001</v>
      </c>
      <c r="F151">
        <v>352023386.60000002</v>
      </c>
      <c r="G151">
        <v>0.11940000000000001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0.36307961504812042</v>
      </c>
      <c r="Q151">
        <f t="shared" ref="Q151" si="731">F151*P151</f>
        <v>127812515.69466367</v>
      </c>
      <c r="R151">
        <f t="shared" ref="R151" si="732">R152+Q151</f>
        <v>13522366198.314713</v>
      </c>
      <c r="S151">
        <f t="shared" ref="S151" si="733">R151/100000</f>
        <v>135223.66198314712</v>
      </c>
      <c r="T151">
        <f t="shared" ref="T151" si="734">S151/1000</f>
        <v>135.22366198314711</v>
      </c>
    </row>
    <row r="152" spans="1:20" x14ac:dyDescent="0.25">
      <c r="A152" s="5">
        <v>44441</v>
      </c>
      <c r="B152">
        <v>0.11507000000000001</v>
      </c>
      <c r="C152">
        <v>0.11600000000000001</v>
      </c>
      <c r="D152">
        <v>0.11153</v>
      </c>
      <c r="E152">
        <v>0.11388</v>
      </c>
      <c r="F152">
        <v>194417708.30000001</v>
      </c>
      <c r="G152">
        <v>0.11388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5.1454138702456402E-2</v>
      </c>
      <c r="Q152">
        <f t="shared" ref="Q152" si="736">F152*P152</f>
        <v>10003595.72908191</v>
      </c>
      <c r="R152">
        <f t="shared" ref="R152" si="737">R153+Q152</f>
        <v>13394553682.620049</v>
      </c>
      <c r="S152">
        <f t="shared" ref="S152" si="738">R152/100000</f>
        <v>133945.53682620049</v>
      </c>
      <c r="T152">
        <f t="shared" ref="T152" si="739">S152/1000</f>
        <v>133.94553682620048</v>
      </c>
    </row>
    <row r="153" spans="1:20" x14ac:dyDescent="0.25">
      <c r="A153" s="5">
        <v>44440</v>
      </c>
      <c r="B153">
        <v>0.10803</v>
      </c>
      <c r="C153">
        <v>0.11592</v>
      </c>
      <c r="D153">
        <v>0.10546</v>
      </c>
      <c r="E153">
        <v>0.11516</v>
      </c>
      <c r="F153">
        <v>208482133.90000001</v>
      </c>
      <c r="G153">
        <v>0.11516</v>
      </c>
      <c r="L153" t="s">
        <v>8</v>
      </c>
      <c r="M153" t="s">
        <v>7</v>
      </c>
      <c r="N153" t="s">
        <v>8</v>
      </c>
      <c r="P153">
        <f t="shared" ref="P153" si="740">IF(C153=D153,0,((E153-D153)-(C153-E153))/(C153-D153))</f>
        <v>0.8546845124282989</v>
      </c>
      <c r="Q153">
        <f t="shared" ref="Q153" si="741">F153*P153</f>
        <v>178186450.96233284</v>
      </c>
      <c r="R153">
        <f t="shared" ref="R153" si="742">R154+Q153</f>
        <v>13384550086.890966</v>
      </c>
      <c r="S153">
        <f t="shared" ref="S153" si="743">R153/100000</f>
        <v>133845.50086890967</v>
      </c>
      <c r="T153">
        <f t="shared" ref="T153" si="744">S153/1000</f>
        <v>133.84550086890968</v>
      </c>
    </row>
    <row r="154" spans="1:20" x14ac:dyDescent="0.25">
      <c r="A154" s="5">
        <v>44439</v>
      </c>
      <c r="B154">
        <v>0.10725</v>
      </c>
      <c r="C154">
        <v>0.11249000000000001</v>
      </c>
      <c r="D154">
        <v>0.10416</v>
      </c>
      <c r="E154">
        <v>0.108</v>
      </c>
      <c r="F154">
        <v>190191693.90000001</v>
      </c>
      <c r="G154">
        <v>0.108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-7.8031212484995366E-2</v>
      </c>
      <c r="Q154">
        <f t="shared" ref="Q154" si="746">F154*P154</f>
        <v>-14840888.479592098</v>
      </c>
      <c r="R154">
        <f t="shared" ref="R154" si="747">R155+Q154</f>
        <v>13206363635.928633</v>
      </c>
      <c r="S154">
        <f t="shared" ref="S154" si="748">R154/100000</f>
        <v>132063.63635928632</v>
      </c>
      <c r="T154">
        <f t="shared" ref="T154" si="749">S154/1000</f>
        <v>132.06363635928631</v>
      </c>
    </row>
    <row r="155" spans="1:20" x14ac:dyDescent="0.25">
      <c r="A155" s="5">
        <v>44438</v>
      </c>
      <c r="B155">
        <v>0.10994</v>
      </c>
      <c r="C155">
        <v>0.11317000000000001</v>
      </c>
      <c r="D155">
        <v>0.10511</v>
      </c>
      <c r="E155">
        <v>0.10716000000000001</v>
      </c>
      <c r="F155">
        <v>213887872.90000001</v>
      </c>
      <c r="G155">
        <v>0.10716000000000001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-0.491315136476425</v>
      </c>
      <c r="Q155">
        <f t="shared" ref="Q155" si="751">F155*P155</f>
        <v>-105086349.46451575</v>
      </c>
      <c r="R155">
        <f t="shared" ref="R155" si="752">R156+Q155</f>
        <v>13221204524.408224</v>
      </c>
      <c r="S155">
        <f t="shared" ref="S155" si="753">R155/100000</f>
        <v>132212.04524408226</v>
      </c>
      <c r="T155">
        <f t="shared" ref="T155" si="754">S155/1000</f>
        <v>132.21204524408225</v>
      </c>
    </row>
    <row r="156" spans="1:20" x14ac:dyDescent="0.25">
      <c r="A156" s="5">
        <v>44437</v>
      </c>
      <c r="B156">
        <v>0.11342000000000001</v>
      </c>
      <c r="C156">
        <v>0.11476</v>
      </c>
      <c r="D156">
        <v>0.10763</v>
      </c>
      <c r="E156">
        <v>0.10997</v>
      </c>
      <c r="F156">
        <v>170996663.80000001</v>
      </c>
      <c r="G156">
        <v>0.10997</v>
      </c>
      <c r="L156" t="s">
        <v>8</v>
      </c>
      <c r="M156" t="s">
        <v>7</v>
      </c>
      <c r="N156" t="s">
        <v>8</v>
      </c>
      <c r="P156">
        <f t="shared" ref="P156" si="755">IF(C156=D156,0,((E156-D156)-(C156-E156))/(C156-D156))</f>
        <v>-0.34361851332398435</v>
      </c>
      <c r="Q156">
        <f t="shared" ref="Q156" si="756">F156*P156</f>
        <v>-58757619.398317181</v>
      </c>
      <c r="R156">
        <f t="shared" ref="R156" si="757">R157+Q156</f>
        <v>13326290873.87274</v>
      </c>
      <c r="S156">
        <f t="shared" ref="S156" si="758">R156/100000</f>
        <v>133262.90873872739</v>
      </c>
      <c r="T156">
        <f t="shared" ref="T156" si="759">S156/1000</f>
        <v>133.26290873872739</v>
      </c>
    </row>
    <row r="157" spans="1:20" x14ac:dyDescent="0.25">
      <c r="A157" s="5">
        <v>44436</v>
      </c>
      <c r="B157">
        <v>0.11273</v>
      </c>
      <c r="C157">
        <v>0.11405</v>
      </c>
      <c r="D157">
        <v>0.10885</v>
      </c>
      <c r="E157">
        <v>0.11336</v>
      </c>
      <c r="F157">
        <v>175645276.69999999</v>
      </c>
      <c r="G157">
        <v>0.11336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0.73461538461538589</v>
      </c>
      <c r="Q157">
        <f t="shared" ref="Q157" si="761">F157*P157</f>
        <v>129031722.49884637</v>
      </c>
      <c r="R157">
        <f t="shared" ref="R157" si="762">R158+Q157</f>
        <v>13385048493.271057</v>
      </c>
      <c r="S157">
        <f t="shared" ref="S157" si="763">R157/100000</f>
        <v>133850.48493271056</v>
      </c>
      <c r="T157">
        <f t="shared" ref="T157" si="764">S157/1000</f>
        <v>133.85048493271057</v>
      </c>
    </row>
    <row r="158" spans="1:20" x14ac:dyDescent="0.25">
      <c r="A158" s="5">
        <v>44435</v>
      </c>
      <c r="B158">
        <v>0.10551000000000001</v>
      </c>
      <c r="C158">
        <v>0.11395</v>
      </c>
      <c r="D158">
        <v>0.10173</v>
      </c>
      <c r="E158">
        <v>0.11266</v>
      </c>
      <c r="F158">
        <v>327454810.80000001</v>
      </c>
      <c r="G158">
        <v>0.11266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0.78887070376432078</v>
      </c>
      <c r="Q158">
        <f t="shared" ref="Q158" si="766">F158*P158</f>
        <v>258319507.04680851</v>
      </c>
      <c r="R158">
        <f t="shared" ref="R158" si="767">R159+Q158</f>
        <v>13256016770.772211</v>
      </c>
      <c r="S158">
        <f t="shared" ref="S158" si="768">R158/100000</f>
        <v>132560.16770772211</v>
      </c>
      <c r="T158">
        <f t="shared" ref="T158" si="769">S158/1000</f>
        <v>132.56016770772212</v>
      </c>
    </row>
    <row r="159" spans="1:20" x14ac:dyDescent="0.25">
      <c r="A159" s="5">
        <v>44434</v>
      </c>
      <c r="B159">
        <v>0.11284</v>
      </c>
      <c r="C159">
        <v>0.11849999999999999</v>
      </c>
      <c r="D159">
        <v>0.10421</v>
      </c>
      <c r="E159">
        <v>0.10571</v>
      </c>
      <c r="F159">
        <v>331325875.30000001</v>
      </c>
      <c r="G159">
        <v>0.10571</v>
      </c>
      <c r="L159" t="s">
        <v>8</v>
      </c>
      <c r="M159" t="s">
        <v>7</v>
      </c>
      <c r="N159" t="s">
        <v>8</v>
      </c>
      <c r="P159">
        <f t="shared" ref="P159" si="770">IF(C159=D159,0,((E159-D159)-(C159-E159))/(C159-D159))</f>
        <v>-0.79006298110566808</v>
      </c>
      <c r="Q159">
        <f t="shared" ref="Q159" si="771">F159*P159</f>
        <v>-261768308.75696284</v>
      </c>
      <c r="R159">
        <f t="shared" ref="R159" si="772">R160+Q159</f>
        <v>12997697263.725403</v>
      </c>
      <c r="S159">
        <f t="shared" ref="S159" si="773">R159/100000</f>
        <v>129976.97263725403</v>
      </c>
      <c r="T159">
        <f t="shared" ref="T159" si="774">S159/1000</f>
        <v>129.97697263725402</v>
      </c>
    </row>
    <row r="160" spans="1:20" x14ac:dyDescent="0.25">
      <c r="A160" s="5">
        <v>44433</v>
      </c>
      <c r="B160">
        <v>0.10718999999999999</v>
      </c>
      <c r="C160">
        <v>0.11394</v>
      </c>
      <c r="D160">
        <v>0.10345</v>
      </c>
      <c r="E160">
        <v>0.11287999999999999</v>
      </c>
      <c r="F160">
        <v>269933825.5</v>
      </c>
      <c r="G160">
        <v>0.11287999999999999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0.79790276453765385</v>
      </c>
      <c r="Q160">
        <f t="shared" ref="Q160" si="776">F160*P160</f>
        <v>215380945.60867465</v>
      </c>
      <c r="R160">
        <f t="shared" ref="R160" si="777">R161+Q160</f>
        <v>13259465572.482367</v>
      </c>
      <c r="S160">
        <f t="shared" ref="S160" si="778">R160/100000</f>
        <v>132594.65572482368</v>
      </c>
      <c r="T160">
        <f t="shared" ref="T160" si="779">S160/1000</f>
        <v>132.59465572482367</v>
      </c>
    </row>
    <row r="161" spans="1:20" x14ac:dyDescent="0.25">
      <c r="A161" s="5">
        <v>44432</v>
      </c>
      <c r="B161">
        <v>0.11509</v>
      </c>
      <c r="C161">
        <v>0.12438</v>
      </c>
      <c r="D161">
        <v>0.10471</v>
      </c>
      <c r="E161">
        <v>0.10724</v>
      </c>
      <c r="F161">
        <v>433777527.60000002</v>
      </c>
      <c r="G161">
        <v>0.10724</v>
      </c>
      <c r="L161" t="s">
        <v>8</v>
      </c>
      <c r="M161" t="s">
        <v>8</v>
      </c>
      <c r="N161" t="s">
        <v>8</v>
      </c>
      <c r="P161">
        <f t="shared" ref="P161" si="780">IF(C161=D161,0,((E161-D161)-(C161-E161))/(C161-D161))</f>
        <v>-0.74275546517539359</v>
      </c>
      <c r="Q161">
        <f t="shared" ref="Q161" si="781">F161*P161</f>
        <v>-322190629.29517013</v>
      </c>
      <c r="R161">
        <f t="shared" ref="R161" si="782">R162+Q161</f>
        <v>13044084626.873692</v>
      </c>
      <c r="S161">
        <f t="shared" ref="S161" si="783">R161/100000</f>
        <v>130440.84626873692</v>
      </c>
      <c r="T161">
        <f t="shared" ref="T161" si="784">S161/1000</f>
        <v>130.44084626873692</v>
      </c>
    </row>
    <row r="162" spans="1:20" x14ac:dyDescent="0.25">
      <c r="A162" s="5">
        <v>44431</v>
      </c>
      <c r="B162">
        <v>0.1095</v>
      </c>
      <c r="C162">
        <v>0.12231</v>
      </c>
      <c r="D162">
        <v>0.1082</v>
      </c>
      <c r="E162">
        <v>0.11526</v>
      </c>
      <c r="F162">
        <v>411109969.80000001</v>
      </c>
      <c r="G162">
        <v>0.11526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7.0871722182821583E-4</v>
      </c>
      <c r="Q162">
        <f t="shared" ref="Q162" si="786">F162*P162</f>
        <v>291360.71566253772</v>
      </c>
      <c r="R162">
        <f t="shared" ref="R162" si="787">R163+Q162</f>
        <v>13366275256.168861</v>
      </c>
      <c r="S162">
        <f t="shared" ref="S162" si="788">R162/100000</f>
        <v>133662.75256168863</v>
      </c>
      <c r="T162">
        <f t="shared" ref="T162" si="789">S162/1000</f>
        <v>133.66275256168862</v>
      </c>
    </row>
    <row r="163" spans="1:20" x14ac:dyDescent="0.25">
      <c r="A163" s="5">
        <v>44430</v>
      </c>
      <c r="B163">
        <v>0.10689</v>
      </c>
      <c r="C163">
        <v>0.10947999999999999</v>
      </c>
      <c r="D163">
        <v>0.10638</v>
      </c>
      <c r="E163">
        <v>0.10921</v>
      </c>
      <c r="F163">
        <v>31575618.699999999</v>
      </c>
      <c r="G163">
        <v>0.10921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0.82580645161290767</v>
      </c>
      <c r="Q163">
        <f t="shared" ref="Q163" si="791">F163*P163</f>
        <v>26075349.636129171</v>
      </c>
      <c r="R163">
        <f t="shared" ref="R163" si="792">R164+Q163</f>
        <v>13365983895.453199</v>
      </c>
      <c r="S163">
        <f t="shared" ref="S163" si="793">R163/100000</f>
        <v>133659.838954532</v>
      </c>
      <c r="T163">
        <f t="shared" ref="T163" si="794">S163/1000</f>
        <v>133.65983895453201</v>
      </c>
    </row>
    <row r="164" spans="1:20" x14ac:dyDescent="0.25">
      <c r="A164" s="5">
        <v>44429</v>
      </c>
      <c r="B164">
        <v>0.108</v>
      </c>
      <c r="C164">
        <v>0.1128</v>
      </c>
      <c r="D164">
        <v>0.10299999999999999</v>
      </c>
      <c r="E164">
        <v>0.10700999999999999</v>
      </c>
      <c r="F164">
        <v>265686697.59999999</v>
      </c>
      <c r="G164">
        <v>0.10700999999999999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-0.18163265306122481</v>
      </c>
      <c r="Q164">
        <f t="shared" ref="Q164" si="796">F164*P164</f>
        <v>-48257379.768163346</v>
      </c>
      <c r="R164">
        <f t="shared" ref="R164" si="797">R165+Q164</f>
        <v>13339908545.81707</v>
      </c>
      <c r="S164">
        <f t="shared" ref="S164" si="798">R164/100000</f>
        <v>133399.08545817071</v>
      </c>
      <c r="T164">
        <f t="shared" ref="T164" si="799">S164/1000</f>
        <v>133.3990854581707</v>
      </c>
    </row>
    <row r="165" spans="1:20" x14ac:dyDescent="0.25">
      <c r="A165" s="5">
        <v>44428</v>
      </c>
      <c r="B165">
        <v>0.10445</v>
      </c>
      <c r="C165">
        <v>0.11081000000000001</v>
      </c>
      <c r="D165">
        <v>0.10285999999999999</v>
      </c>
      <c r="E165">
        <v>0.108</v>
      </c>
      <c r="F165">
        <v>181952863.69999999</v>
      </c>
      <c r="G165">
        <v>0.108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0.29308176100628869</v>
      </c>
      <c r="Q165">
        <f t="shared" ref="Q165" si="801">F165*P165</f>
        <v>53327065.713333219</v>
      </c>
      <c r="R165">
        <f t="shared" ref="R165" si="802">R166+Q165</f>
        <v>13388165925.585234</v>
      </c>
      <c r="S165">
        <f t="shared" ref="S165" si="803">R165/100000</f>
        <v>133881.65925585234</v>
      </c>
      <c r="T165">
        <f t="shared" ref="T165" si="804">S165/1000</f>
        <v>133.88165925585233</v>
      </c>
    </row>
    <row r="166" spans="1:20" x14ac:dyDescent="0.25">
      <c r="A166" s="5">
        <v>44427</v>
      </c>
      <c r="B166">
        <v>9.7449999999999995E-2</v>
      </c>
      <c r="C166">
        <v>0.10460999999999999</v>
      </c>
      <c r="D166">
        <v>9.5549999999999996E-2</v>
      </c>
      <c r="E166">
        <v>0.10442</v>
      </c>
      <c r="F166">
        <v>194790560.90000001</v>
      </c>
      <c r="G166">
        <v>0.10442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0.95805739514348875</v>
      </c>
      <c r="Q166">
        <f t="shared" ref="Q166" si="806">F166*P166</f>
        <v>186620537.37439311</v>
      </c>
      <c r="R166">
        <f t="shared" ref="R166" si="807">R167+Q166</f>
        <v>13334838859.871901</v>
      </c>
      <c r="S166">
        <f t="shared" ref="S166" si="808">R166/100000</f>
        <v>133348.388598719</v>
      </c>
      <c r="T166">
        <f t="shared" ref="T166" si="809">S166/1000</f>
        <v>133.348388598719</v>
      </c>
    </row>
    <row r="167" spans="1:20" x14ac:dyDescent="0.25">
      <c r="A167" s="5">
        <v>44426</v>
      </c>
      <c r="B167">
        <v>9.9449999999999997E-2</v>
      </c>
      <c r="C167">
        <v>0.10184</v>
      </c>
      <c r="D167">
        <v>9.3200000000000005E-2</v>
      </c>
      <c r="E167">
        <v>9.7449999999999995E-2</v>
      </c>
      <c r="F167">
        <v>230048154.59999999</v>
      </c>
      <c r="G167">
        <v>9.7449999999999995E-2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-1.6203703703705462E-2</v>
      </c>
      <c r="Q167">
        <f t="shared" ref="Q167" si="811">F167*P167</f>
        <v>-3727632.1347226268</v>
      </c>
      <c r="R167">
        <f t="shared" ref="R167" si="812">R168+Q167</f>
        <v>13148218322.497507</v>
      </c>
      <c r="S167">
        <f t="shared" ref="S167" si="813">R167/100000</f>
        <v>131482.18322497507</v>
      </c>
      <c r="T167">
        <f t="shared" ref="T167" si="814">S167/1000</f>
        <v>131.48218322497507</v>
      </c>
    </row>
    <row r="168" spans="1:20" x14ac:dyDescent="0.25">
      <c r="A168" s="5">
        <v>44425</v>
      </c>
      <c r="B168">
        <v>0.10680000000000001</v>
      </c>
      <c r="C168">
        <v>0.11292000000000001</v>
      </c>
      <c r="D168">
        <v>9.8330000000000001E-2</v>
      </c>
      <c r="E168">
        <v>9.9540000000000003E-2</v>
      </c>
      <c r="F168">
        <v>265095218.19999999</v>
      </c>
      <c r="G168">
        <v>9.9540000000000003E-2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-0.83413296778615464</v>
      </c>
      <c r="Q168">
        <f t="shared" ref="Q168" si="816">F168*P168</f>
        <v>-221124661.10308424</v>
      </c>
      <c r="R168">
        <f t="shared" ref="R168" si="817">R169+Q168</f>
        <v>13151945954.632229</v>
      </c>
      <c r="S168">
        <f t="shared" ref="S168" si="818">R168/100000</f>
        <v>131519.45954632229</v>
      </c>
      <c r="T168">
        <f t="shared" ref="T168" si="819">S168/1000</f>
        <v>131.51945954632228</v>
      </c>
    </row>
    <row r="169" spans="1:20" x14ac:dyDescent="0.25">
      <c r="A169" s="5">
        <v>44424</v>
      </c>
      <c r="B169">
        <v>0.11158</v>
      </c>
      <c r="C169">
        <v>0.11691</v>
      </c>
      <c r="D169">
        <v>0.1055</v>
      </c>
      <c r="E169">
        <v>0.10664</v>
      </c>
      <c r="F169">
        <v>252798328.40000001</v>
      </c>
      <c r="G169">
        <v>0.10664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-0.80017528483786127</v>
      </c>
      <c r="Q169">
        <f t="shared" ref="Q169" si="821">F169*P169</f>
        <v>-202282974.4340052</v>
      </c>
      <c r="R169">
        <f t="shared" ref="R169" si="822">R170+Q169</f>
        <v>13373070615.735313</v>
      </c>
      <c r="S169">
        <f t="shared" ref="S169" si="823">R169/100000</f>
        <v>133730.70615735312</v>
      </c>
      <c r="T169">
        <f t="shared" ref="T169" si="824">S169/1000</f>
        <v>133.73070615735313</v>
      </c>
    </row>
    <row r="170" spans="1:20" x14ac:dyDescent="0.25">
      <c r="A170" s="5">
        <v>44423</v>
      </c>
      <c r="B170">
        <v>0.11158999999999999</v>
      </c>
      <c r="C170">
        <v>0.11304</v>
      </c>
      <c r="D170">
        <v>0.10491</v>
      </c>
      <c r="E170">
        <v>0.1115</v>
      </c>
      <c r="F170">
        <v>189875082.90000001</v>
      </c>
      <c r="G170">
        <v>0.1115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0.62115621156211565</v>
      </c>
      <c r="Q170">
        <f t="shared" ref="Q170" si="826">F170*P170</f>
        <v>117942087.16420665</v>
      </c>
      <c r="R170">
        <f t="shared" ref="R170" si="827">R171+Q170</f>
        <v>13575353590.169319</v>
      </c>
      <c r="S170">
        <f t="shared" ref="S170" si="828">R170/100000</f>
        <v>135753.53590169319</v>
      </c>
      <c r="T170">
        <f t="shared" ref="T170" si="829">S170/1000</f>
        <v>135.7535359016932</v>
      </c>
    </row>
    <row r="171" spans="1:20" x14ac:dyDescent="0.25">
      <c r="A171" s="5">
        <v>44422</v>
      </c>
      <c r="B171">
        <v>0.10581</v>
      </c>
      <c r="C171">
        <v>0.11633</v>
      </c>
      <c r="D171">
        <v>0.10408000000000001</v>
      </c>
      <c r="E171">
        <v>0.11165</v>
      </c>
      <c r="F171">
        <v>351139908.69999999</v>
      </c>
      <c r="G171">
        <v>0.11165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0.235918367346938</v>
      </c>
      <c r="Q171">
        <f t="shared" ref="Q171" si="831">F171*P171</f>
        <v>82840353.97085686</v>
      </c>
      <c r="R171">
        <f t="shared" ref="R171" si="832">R172+Q171</f>
        <v>13457411503.005112</v>
      </c>
      <c r="S171">
        <f t="shared" ref="S171" si="833">R171/100000</f>
        <v>134574.11503005112</v>
      </c>
      <c r="T171">
        <f t="shared" ref="T171" si="834">S171/1000</f>
        <v>134.57411503005113</v>
      </c>
    </row>
    <row r="172" spans="1:20" x14ac:dyDescent="0.25">
      <c r="A172" s="5">
        <v>44421</v>
      </c>
      <c r="B172">
        <v>9.9180000000000004E-2</v>
      </c>
      <c r="C172">
        <v>0.1071</v>
      </c>
      <c r="D172">
        <v>9.7540000000000002E-2</v>
      </c>
      <c r="E172">
        <v>0.10577</v>
      </c>
      <c r="F172">
        <v>175563372.90000001</v>
      </c>
      <c r="G172">
        <v>0.10577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0.72175732217573263</v>
      </c>
      <c r="Q172">
        <f t="shared" ref="Q172" si="836">F172*P172</f>
        <v>126714149.89644359</v>
      </c>
      <c r="R172">
        <f t="shared" ref="R172" si="837">R173+Q172</f>
        <v>13374571149.034254</v>
      </c>
      <c r="S172">
        <f t="shared" ref="S172" si="838">R172/100000</f>
        <v>133745.71149034254</v>
      </c>
      <c r="T172">
        <f t="shared" ref="T172" si="839">S172/1000</f>
        <v>133.74571149034253</v>
      </c>
    </row>
    <row r="173" spans="1:20" x14ac:dyDescent="0.25">
      <c r="A173" s="5">
        <v>44420</v>
      </c>
      <c r="B173">
        <v>0.10449</v>
      </c>
      <c r="C173">
        <v>0.1065</v>
      </c>
      <c r="D173">
        <v>9.4750000000000001E-2</v>
      </c>
      <c r="E173">
        <v>9.9140000000000006E-2</v>
      </c>
      <c r="F173">
        <v>237563194.40000001</v>
      </c>
      <c r="G173">
        <v>9.9140000000000006E-2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-0.25276595744680747</v>
      </c>
      <c r="Q173">
        <f t="shared" ref="Q173" si="841">F173*P173</f>
        <v>-60047888.286638051</v>
      </c>
      <c r="R173">
        <f t="shared" ref="R173" si="842">R174+Q173</f>
        <v>13247856999.13781</v>
      </c>
      <c r="S173">
        <f t="shared" ref="S173" si="843">R173/100000</f>
        <v>132478.56999137808</v>
      </c>
      <c r="T173">
        <f t="shared" ref="T173" si="844">S173/1000</f>
        <v>132.47856999137809</v>
      </c>
    </row>
    <row r="174" spans="1:20" x14ac:dyDescent="0.25">
      <c r="A174" s="5">
        <v>44419</v>
      </c>
      <c r="B174">
        <v>9.7670000000000007E-2</v>
      </c>
      <c r="C174">
        <v>0.10680000000000001</v>
      </c>
      <c r="D174">
        <v>9.6920000000000006E-2</v>
      </c>
      <c r="E174">
        <v>0.10444000000000001</v>
      </c>
      <c r="F174">
        <v>283222619</v>
      </c>
      <c r="G174">
        <v>0.10444000000000001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0.52226720647773262</v>
      </c>
      <c r="Q174">
        <f t="shared" ref="Q174" si="846">F174*P174</f>
        <v>147917886.03643718</v>
      </c>
      <c r="R174">
        <f t="shared" ref="R174" si="847">R175+Q174</f>
        <v>13307904887.424448</v>
      </c>
      <c r="S174">
        <f t="shared" ref="S174" si="848">R174/100000</f>
        <v>133079.04887424447</v>
      </c>
      <c r="T174">
        <f t="shared" ref="T174" si="849">S174/1000</f>
        <v>133.07904887424448</v>
      </c>
    </row>
    <row r="175" spans="1:20" x14ac:dyDescent="0.25">
      <c r="A175" s="5">
        <v>44418</v>
      </c>
      <c r="B175">
        <v>9.1649999999999995E-2</v>
      </c>
      <c r="C175">
        <v>0.1</v>
      </c>
      <c r="D175">
        <v>9.0459999999999999E-2</v>
      </c>
      <c r="E175">
        <v>9.7710000000000005E-2</v>
      </c>
      <c r="F175">
        <v>247760803.09999999</v>
      </c>
      <c r="G175">
        <v>9.7710000000000005E-2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0.51991614255765228</v>
      </c>
      <c r="Q175">
        <f t="shared" ref="Q175" si="851">F175*P175</f>
        <v>128814841.02473801</v>
      </c>
      <c r="R175">
        <f t="shared" ref="R175" si="852">R176+Q175</f>
        <v>13159987001.38801</v>
      </c>
      <c r="S175">
        <f t="shared" ref="S175" si="853">R175/100000</f>
        <v>131599.87001388011</v>
      </c>
      <c r="T175">
        <f t="shared" ref="T175" si="854">S175/1000</f>
        <v>131.59987001388009</v>
      </c>
    </row>
    <row r="176" spans="1:20" x14ac:dyDescent="0.25">
      <c r="A176" s="5">
        <v>44417</v>
      </c>
      <c r="B176">
        <v>8.6989999999999998E-2</v>
      </c>
      <c r="C176">
        <v>9.3289999999999998E-2</v>
      </c>
      <c r="D176">
        <v>8.3510000000000001E-2</v>
      </c>
      <c r="E176">
        <v>9.1689999999999994E-2</v>
      </c>
      <c r="F176">
        <v>212212843.59999999</v>
      </c>
      <c r="G176">
        <v>9.1689999999999994E-2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0.67280163599181908</v>
      </c>
      <c r="Q176">
        <f t="shared" ref="Q176" si="856">F176*P176</f>
        <v>142777148.35255602</v>
      </c>
      <c r="R176">
        <f t="shared" ref="R176" si="857">R177+Q176</f>
        <v>13031172160.363272</v>
      </c>
      <c r="S176">
        <f t="shared" ref="S176" si="858">R176/100000</f>
        <v>130311.72160363272</v>
      </c>
      <c r="T176">
        <f t="shared" ref="T176" si="859">S176/1000</f>
        <v>130.31172160363272</v>
      </c>
    </row>
    <row r="177" spans="1:20" x14ac:dyDescent="0.25">
      <c r="A177" s="5">
        <v>44416</v>
      </c>
      <c r="B177">
        <v>9.3229999999999993E-2</v>
      </c>
      <c r="C177">
        <v>9.4899999999999998E-2</v>
      </c>
      <c r="D177">
        <v>8.5449999999999998E-2</v>
      </c>
      <c r="E177">
        <v>8.7090000000000001E-2</v>
      </c>
      <c r="F177">
        <v>185874239.09999999</v>
      </c>
      <c r="G177">
        <v>8.7090000000000001E-2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-0.65291005291005233</v>
      </c>
      <c r="Q177">
        <f t="shared" ref="Q177" si="861">F177*P177</f>
        <v>-121359159.28539671</v>
      </c>
      <c r="R177">
        <f t="shared" ref="R177" si="862">R178+Q177</f>
        <v>12888395012.010715</v>
      </c>
      <c r="S177">
        <f t="shared" ref="S177" si="863">R177/100000</f>
        <v>128883.95012010715</v>
      </c>
      <c r="T177">
        <f t="shared" ref="T177" si="864">S177/1000</f>
        <v>128.88395012010716</v>
      </c>
    </row>
    <row r="178" spans="1:20" x14ac:dyDescent="0.25">
      <c r="A178" s="5">
        <v>44415</v>
      </c>
      <c r="B178">
        <v>9.1249999999999998E-2</v>
      </c>
      <c r="C178">
        <v>9.6110000000000001E-2</v>
      </c>
      <c r="D178">
        <v>8.8830000000000006E-2</v>
      </c>
      <c r="E178">
        <v>9.3210000000000001E-2</v>
      </c>
      <c r="F178">
        <v>317082641.5</v>
      </c>
      <c r="G178">
        <v>9.3210000000000001E-2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0.2032967032967028</v>
      </c>
      <c r="Q178">
        <f t="shared" ref="Q178" si="866">F178*P178</f>
        <v>64461855.689560279</v>
      </c>
      <c r="R178">
        <f t="shared" ref="R178" si="867">R179+Q178</f>
        <v>13009754171.296112</v>
      </c>
      <c r="S178">
        <f t="shared" ref="S178" si="868">R178/100000</f>
        <v>130097.54171296112</v>
      </c>
      <c r="T178">
        <f t="shared" ref="T178" si="869">S178/1000</f>
        <v>130.09754171296112</v>
      </c>
    </row>
    <row r="179" spans="1:20" x14ac:dyDescent="0.25">
      <c r="A179" s="5">
        <v>44414</v>
      </c>
      <c r="B179">
        <v>8.6040000000000005E-2</v>
      </c>
      <c r="C179">
        <v>9.1359999999999997E-2</v>
      </c>
      <c r="D179">
        <v>8.3500000000000005E-2</v>
      </c>
      <c r="E179">
        <v>9.1230000000000006E-2</v>
      </c>
      <c r="F179">
        <v>307174672.5</v>
      </c>
      <c r="G179">
        <v>9.1230000000000006E-2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0.96692111959287752</v>
      </c>
      <c r="Q179">
        <f t="shared" ref="Q179" si="871">F179*P179</f>
        <v>297013678.24427551</v>
      </c>
      <c r="R179">
        <f t="shared" ref="R179" si="872">R180+Q179</f>
        <v>12945292315.606552</v>
      </c>
      <c r="S179">
        <f t="shared" ref="S179" si="873">R179/100000</f>
        <v>129452.92315606552</v>
      </c>
      <c r="T179">
        <f t="shared" ref="T179" si="874">S179/1000</f>
        <v>129.45292315606551</v>
      </c>
    </row>
    <row r="180" spans="1:20" x14ac:dyDescent="0.25">
      <c r="A180" s="5">
        <v>44413</v>
      </c>
      <c r="B180">
        <v>8.1269999999999995E-2</v>
      </c>
      <c r="C180">
        <v>8.7400000000000005E-2</v>
      </c>
      <c r="D180">
        <v>7.8E-2</v>
      </c>
      <c r="E180">
        <v>8.6069999999999994E-2</v>
      </c>
      <c r="F180">
        <v>296358158.19999999</v>
      </c>
      <c r="G180">
        <v>8.6069999999999994E-2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0.71702127659574233</v>
      </c>
      <c r="Q180">
        <f t="shared" ref="Q180" si="876">F180*P180</f>
        <v>212495104.92212695</v>
      </c>
      <c r="R180">
        <f t="shared" ref="R180" si="877">R181+Q180</f>
        <v>12648278637.362276</v>
      </c>
      <c r="S180">
        <f t="shared" ref="S180" si="878">R180/100000</f>
        <v>126482.78637362276</v>
      </c>
      <c r="T180">
        <f t="shared" ref="T180" si="879">S180/1000</f>
        <v>126.48278637362276</v>
      </c>
    </row>
    <row r="181" spans="1:20" x14ac:dyDescent="0.25">
      <c r="A181" s="5">
        <v>44412</v>
      </c>
      <c r="B181">
        <v>7.8869999999999996E-2</v>
      </c>
      <c r="C181">
        <v>8.1670000000000006E-2</v>
      </c>
      <c r="D181">
        <v>7.6840000000000006E-2</v>
      </c>
      <c r="E181">
        <v>8.1210000000000004E-2</v>
      </c>
      <c r="F181">
        <v>118478988.5</v>
      </c>
      <c r="G181">
        <v>8.1210000000000004E-2</v>
      </c>
      <c r="L181" t="s">
        <v>7</v>
      </c>
      <c r="M181" t="s">
        <v>8</v>
      </c>
      <c r="N181" t="s">
        <v>8</v>
      </c>
      <c r="P181">
        <f t="shared" ref="P181" si="880">IF(C181=D181,0,((E181-D181)-(C181-E181))/(C181-D181))</f>
        <v>0.80952380952380876</v>
      </c>
      <c r="Q181">
        <f t="shared" ref="Q181" si="881">F181*P181</f>
        <v>95911562.119047523</v>
      </c>
      <c r="R181">
        <f t="shared" ref="R181" si="882">R182+Q181</f>
        <v>12435783532.440149</v>
      </c>
      <c r="S181">
        <f t="shared" ref="S181" si="883">R181/100000</f>
        <v>124357.83532440149</v>
      </c>
      <c r="T181">
        <f t="shared" ref="T181" si="884">S181/1000</f>
        <v>124.35783532440149</v>
      </c>
    </row>
    <row r="182" spans="1:20" x14ac:dyDescent="0.25">
      <c r="A182" s="5">
        <v>44411</v>
      </c>
      <c r="B182">
        <v>8.1629999999999994E-2</v>
      </c>
      <c r="C182">
        <v>8.2040000000000002E-2</v>
      </c>
      <c r="D182">
        <v>7.6700000000000004E-2</v>
      </c>
      <c r="E182">
        <v>7.8850000000000003E-2</v>
      </c>
      <c r="F182">
        <v>134878903.19999999</v>
      </c>
      <c r="G182">
        <v>7.8850000000000003E-2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-0.19475655430711605</v>
      </c>
      <c r="Q182">
        <f t="shared" ref="Q182" si="886">F182*P182</f>
        <v>-26268550.435955048</v>
      </c>
      <c r="R182">
        <f t="shared" ref="R182" si="887">R183+Q182</f>
        <v>12339871970.321102</v>
      </c>
      <c r="S182">
        <f t="shared" ref="S182" si="888">R182/100000</f>
        <v>123398.71970321103</v>
      </c>
      <c r="T182">
        <f t="shared" ref="T182" si="889">S182/1000</f>
        <v>123.39871970321103</v>
      </c>
    </row>
    <row r="183" spans="1:20" x14ac:dyDescent="0.25">
      <c r="A183" s="5">
        <v>44410</v>
      </c>
      <c r="B183">
        <v>7.9600000000000004E-2</v>
      </c>
      <c r="C183">
        <v>8.5099999999999995E-2</v>
      </c>
      <c r="D183">
        <v>7.7710000000000001E-2</v>
      </c>
      <c r="E183">
        <v>8.158E-2</v>
      </c>
      <c r="F183">
        <v>167603170.80000001</v>
      </c>
      <c r="G183">
        <v>8.158E-2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4.7361299052774475E-2</v>
      </c>
      <c r="Q183">
        <f t="shared" ref="Q183" si="891">F183*P183</f>
        <v>7937903.8944520392</v>
      </c>
      <c r="R183">
        <f t="shared" ref="R183" si="892">R184+Q183</f>
        <v>12366140520.757057</v>
      </c>
      <c r="S183">
        <f t="shared" ref="S183" si="893">R183/100000</f>
        <v>123661.40520757057</v>
      </c>
      <c r="T183">
        <f t="shared" ref="T183" si="894">S183/1000</f>
        <v>123.66140520757057</v>
      </c>
    </row>
    <row r="184" spans="1:20" x14ac:dyDescent="0.25">
      <c r="A184" s="5">
        <v>44409</v>
      </c>
      <c r="B184">
        <v>8.3720000000000003E-2</v>
      </c>
      <c r="C184">
        <v>8.8459999999999997E-2</v>
      </c>
      <c r="D184">
        <v>7.85E-2</v>
      </c>
      <c r="E184">
        <v>7.9549999999999996E-2</v>
      </c>
      <c r="F184">
        <v>253612136.30000001</v>
      </c>
      <c r="G184">
        <v>7.9549999999999996E-2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-0.78915662650602492</v>
      </c>
      <c r="Q184">
        <f t="shared" ref="Q184" si="896">F184*P184</f>
        <v>-200139697.92349419</v>
      </c>
      <c r="R184">
        <f t="shared" ref="R184" si="897">R185+Q184</f>
        <v>12358202616.862606</v>
      </c>
      <c r="S184">
        <f t="shared" ref="S184" si="898">R184/100000</f>
        <v>123582.02616862606</v>
      </c>
      <c r="T184">
        <f t="shared" ref="T184" si="899">S184/1000</f>
        <v>123.58202616862606</v>
      </c>
    </row>
    <row r="185" spans="1:20" x14ac:dyDescent="0.25">
      <c r="A185" s="5">
        <v>44408</v>
      </c>
      <c r="B185">
        <v>8.047E-2</v>
      </c>
      <c r="C185">
        <v>8.5000000000000006E-2</v>
      </c>
      <c r="D185">
        <v>7.7850000000000003E-2</v>
      </c>
      <c r="E185">
        <v>8.3650000000000002E-2</v>
      </c>
      <c r="F185">
        <v>275583009</v>
      </c>
      <c r="G185">
        <v>8.3650000000000002E-2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0.62237762237762151</v>
      </c>
      <c r="Q185">
        <f t="shared" ref="Q185" si="901">F185*P185</f>
        <v>171516697.90909067</v>
      </c>
      <c r="R185">
        <f t="shared" ref="R185" si="902">R186+Q185</f>
        <v>12558342314.7861</v>
      </c>
      <c r="S185">
        <f t="shared" ref="S185" si="903">R185/100000</f>
        <v>125583.423147861</v>
      </c>
      <c r="T185">
        <f t="shared" ref="T185" si="904">S185/1000</f>
        <v>125.583423147861</v>
      </c>
    </row>
    <row r="186" spans="1:20" x14ac:dyDescent="0.25">
      <c r="A186" s="5">
        <v>44407</v>
      </c>
      <c r="B186">
        <v>7.5870000000000007E-2</v>
      </c>
      <c r="C186">
        <v>8.0750000000000002E-2</v>
      </c>
      <c r="D186">
        <v>7.3160000000000003E-2</v>
      </c>
      <c r="E186">
        <v>8.0479999999999996E-2</v>
      </c>
      <c r="F186">
        <v>255032111.69999999</v>
      </c>
      <c r="G186">
        <v>8.0479999999999996E-2</v>
      </c>
      <c r="L186" t="s">
        <v>8</v>
      </c>
      <c r="M186" t="s">
        <v>7</v>
      </c>
      <c r="N186" t="s">
        <v>8</v>
      </c>
      <c r="P186">
        <f t="shared" ref="P186" si="905">IF(C186=D186,0,((E186-D186)-(C186-E186))/(C186-D186))</f>
        <v>0.92885375494070976</v>
      </c>
      <c r="Q186">
        <f t="shared" ref="Q186" si="906">F186*P186</f>
        <v>236887534.58300352</v>
      </c>
      <c r="R186">
        <f t="shared" ref="R186" si="907">R187+Q186</f>
        <v>12386825616.87701</v>
      </c>
      <c r="S186">
        <f t="shared" ref="S186" si="908">R186/100000</f>
        <v>123868.25616877011</v>
      </c>
      <c r="T186">
        <f t="shared" ref="T186" si="909">S186/1000</f>
        <v>123.8682561687701</v>
      </c>
    </row>
    <row r="187" spans="1:20" x14ac:dyDescent="0.25">
      <c r="A187" s="5">
        <v>44406</v>
      </c>
      <c r="B187">
        <v>7.4160000000000004E-2</v>
      </c>
      <c r="C187">
        <v>7.8700000000000006E-2</v>
      </c>
      <c r="D187">
        <v>7.2889999999999996E-2</v>
      </c>
      <c r="E187">
        <v>7.5920000000000001E-2</v>
      </c>
      <c r="F187">
        <v>190117050.30000001</v>
      </c>
      <c r="G187">
        <v>7.5920000000000001E-2</v>
      </c>
      <c r="L187" t="s">
        <v>8</v>
      </c>
      <c r="M187" t="s">
        <v>7</v>
      </c>
      <c r="N187" t="s">
        <v>8</v>
      </c>
      <c r="P187">
        <f t="shared" ref="P187" si="910">IF(C187=D187,0,((E187-D187)-(C187-E187))/(C187-D187))</f>
        <v>4.3029259896729746E-2</v>
      </c>
      <c r="Q187">
        <f t="shared" ref="Q187" si="911">F187*P187</f>
        <v>8180595.9681583429</v>
      </c>
      <c r="R187">
        <f t="shared" ref="R187" si="912">R188+Q187</f>
        <v>12149938082.294006</v>
      </c>
      <c r="S187">
        <f t="shared" ref="S187" si="913">R187/100000</f>
        <v>121499.38082294006</v>
      </c>
      <c r="T187">
        <f t="shared" ref="T187" si="914">S187/1000</f>
        <v>121.49938082294005</v>
      </c>
    </row>
    <row r="188" spans="1:20" x14ac:dyDescent="0.25">
      <c r="A188" s="5">
        <v>44405</v>
      </c>
      <c r="B188">
        <v>7.6469999999999996E-2</v>
      </c>
      <c r="C188">
        <v>7.6980000000000007E-2</v>
      </c>
      <c r="D188">
        <v>7.2539999999999993E-2</v>
      </c>
      <c r="E188">
        <v>7.4200000000000002E-2</v>
      </c>
      <c r="F188">
        <v>185390183.09999999</v>
      </c>
      <c r="G188">
        <v>7.4200000000000002E-2</v>
      </c>
      <c r="L188" t="s">
        <v>8</v>
      </c>
      <c r="M188" t="s">
        <v>7</v>
      </c>
      <c r="N188" t="s">
        <v>8</v>
      </c>
      <c r="P188">
        <f t="shared" ref="P188" si="915">IF(C188=D188,0,((E188-D188)-(C188-E188))/(C188-D188))</f>
        <v>-0.25225225225225056</v>
      </c>
      <c r="Q188">
        <f t="shared" ref="Q188" si="916">F188*P188</f>
        <v>-46765091.23243212</v>
      </c>
      <c r="R188">
        <f t="shared" ref="R188" si="917">R189+Q188</f>
        <v>12141757486.325848</v>
      </c>
      <c r="S188">
        <f t="shared" ref="S188" si="918">R188/100000</f>
        <v>121417.57486325847</v>
      </c>
      <c r="T188">
        <f t="shared" ref="T188" si="919">S188/1000</f>
        <v>121.41757486325847</v>
      </c>
    </row>
    <row r="189" spans="1:20" x14ac:dyDescent="0.25">
      <c r="A189" s="5">
        <v>44404</v>
      </c>
      <c r="B189">
        <v>7.4249999999999997E-2</v>
      </c>
      <c r="C189">
        <v>7.8359999999999999E-2</v>
      </c>
      <c r="D189">
        <v>6.9559999999999997E-2</v>
      </c>
      <c r="E189">
        <v>7.6480000000000006E-2</v>
      </c>
      <c r="F189">
        <v>303215326.10000002</v>
      </c>
      <c r="G189">
        <v>7.6480000000000006E-2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0.57272727272727453</v>
      </c>
      <c r="Q189">
        <f t="shared" ref="Q189" si="921">F189*P189</f>
        <v>173659686.76636419</v>
      </c>
      <c r="R189">
        <f t="shared" ref="R189" si="922">R190+Q189</f>
        <v>12188522577.558279</v>
      </c>
      <c r="S189">
        <f t="shared" ref="S189" si="923">R189/100000</f>
        <v>121885.22577558279</v>
      </c>
      <c r="T189">
        <f t="shared" ref="T189" si="924">S189/1000</f>
        <v>121.88522577558278</v>
      </c>
    </row>
    <row r="190" spans="1:20" x14ac:dyDescent="0.25">
      <c r="A190" s="5">
        <v>44403</v>
      </c>
      <c r="B190">
        <v>7.424E-2</v>
      </c>
      <c r="C190">
        <v>8.5000000000000006E-2</v>
      </c>
      <c r="D190">
        <v>7.3179999999999995E-2</v>
      </c>
      <c r="E190">
        <v>7.424E-2</v>
      </c>
      <c r="F190">
        <v>673971744.29999995</v>
      </c>
      <c r="G190">
        <v>7.424E-2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-0.82064297800338337</v>
      </c>
      <c r="Q190">
        <f t="shared" ref="Q190" si="926">F190*P190</f>
        <v>-553090179.33248675</v>
      </c>
      <c r="R190">
        <f t="shared" ref="R190" si="927">R191+Q190</f>
        <v>12014862890.791914</v>
      </c>
      <c r="S190">
        <f t="shared" ref="S190" si="928">R190/100000</f>
        <v>120148.62890791913</v>
      </c>
      <c r="T190">
        <f t="shared" ref="T190" si="929">S190/1000</f>
        <v>120.14862890791913</v>
      </c>
    </row>
    <row r="191" spans="1:20" x14ac:dyDescent="0.25">
      <c r="A191" s="5">
        <v>44402</v>
      </c>
      <c r="B191">
        <v>6.4600000000000005E-2</v>
      </c>
      <c r="C191">
        <v>7.5329999999999994E-2</v>
      </c>
      <c r="D191">
        <v>6.2190000000000002E-2</v>
      </c>
      <c r="E191">
        <v>7.4200000000000002E-2</v>
      </c>
      <c r="F191">
        <v>547294043.10000002</v>
      </c>
      <c r="G191">
        <v>7.4200000000000002E-2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0.82800608828006195</v>
      </c>
      <c r="Q191">
        <f t="shared" ref="Q191" si="931">F191*P191</f>
        <v>453162799.76621068</v>
      </c>
      <c r="R191">
        <f t="shared" ref="R191" si="932">R192+Q191</f>
        <v>12567953070.124401</v>
      </c>
      <c r="S191">
        <f t="shared" ref="S191" si="933">R191/100000</f>
        <v>125679.53070124402</v>
      </c>
      <c r="T191">
        <f t="shared" ref="T191:T197" si="934">S191/1000</f>
        <v>125.67953070124402</v>
      </c>
    </row>
    <row r="192" spans="1:20" x14ac:dyDescent="0.25">
      <c r="A192" s="5">
        <v>44401</v>
      </c>
      <c r="B192">
        <v>6.3039999999999999E-2</v>
      </c>
      <c r="C192">
        <v>6.6460000000000005E-2</v>
      </c>
      <c r="D192">
        <v>6.2590000000000007E-2</v>
      </c>
      <c r="E192">
        <v>6.4579999999999999E-2</v>
      </c>
      <c r="F192">
        <v>138153806.90000001</v>
      </c>
      <c r="G192">
        <v>6.4579999999999999E-2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2.8423772609815285E-2</v>
      </c>
      <c r="Q192">
        <f t="shared" ref="Q192" si="936">F192*P192</f>
        <v>3926852.3925059303</v>
      </c>
      <c r="R192">
        <f t="shared" ref="R192" si="937">R193+Q192</f>
        <v>12114790270.358191</v>
      </c>
      <c r="S192">
        <f t="shared" ref="S192" si="938">R192/100000</f>
        <v>121147.9027035819</v>
      </c>
      <c r="T192">
        <f t="shared" si="934"/>
        <v>121.14790270358191</v>
      </c>
    </row>
    <row r="193" spans="1:20" x14ac:dyDescent="0.25">
      <c r="A193" s="5">
        <v>44400</v>
      </c>
      <c r="B193">
        <v>6.2030000000000002E-2</v>
      </c>
      <c r="C193">
        <v>6.3649999999999998E-2</v>
      </c>
      <c r="D193">
        <v>5.9380000000000002E-2</v>
      </c>
      <c r="E193">
        <v>6.3049999999999995E-2</v>
      </c>
      <c r="F193">
        <v>118617965.8</v>
      </c>
      <c r="G193">
        <v>6.3049999999999995E-2</v>
      </c>
      <c r="L193" t="s">
        <v>7</v>
      </c>
      <c r="M193" t="s">
        <v>8</v>
      </c>
      <c r="N193" t="s">
        <v>7</v>
      </c>
      <c r="P193">
        <f t="shared" ref="P193" si="939">IF(C193=D193,0,((E193-D193)-(C193-E193))/(C193-D193))</f>
        <v>0.71896955503512694</v>
      </c>
      <c r="Q193">
        <f t="shared" ref="Q193" si="940">F193*P193</f>
        <v>85282706.090397909</v>
      </c>
      <c r="R193">
        <f t="shared" ref="R193" si="941">R194+Q193</f>
        <v>12110863417.965685</v>
      </c>
      <c r="S193">
        <f t="shared" ref="S193" si="942">R193/100000</f>
        <v>121108.63417965684</v>
      </c>
      <c r="T193">
        <f t="shared" si="934"/>
        <v>121.10863417965685</v>
      </c>
    </row>
    <row r="194" spans="1:20" x14ac:dyDescent="0.25">
      <c r="A194" s="5">
        <v>44399</v>
      </c>
      <c r="B194">
        <v>5.8610000000000002E-2</v>
      </c>
      <c r="C194">
        <v>6.4030000000000004E-2</v>
      </c>
      <c r="D194">
        <v>5.7779999999999998E-2</v>
      </c>
      <c r="E194">
        <v>6.207E-2</v>
      </c>
      <c r="F194">
        <v>180239410.40000001</v>
      </c>
      <c r="G194">
        <v>6.207E-2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0.37279999999999947</v>
      </c>
      <c r="Q194">
        <f t="shared" ref="Q194" si="944">F194*P194</f>
        <v>67193252.197119907</v>
      </c>
      <c r="R194">
        <f t="shared" ref="R194" si="945">R195+Q194</f>
        <v>12025580711.875286</v>
      </c>
      <c r="S194">
        <f t="shared" ref="S194" si="946">R194/100000</f>
        <v>120255.80711875285</v>
      </c>
      <c r="T194">
        <f t="shared" si="934"/>
        <v>120.25580711875286</v>
      </c>
    </row>
    <row r="195" spans="1:20" x14ac:dyDescent="0.25">
      <c r="A195" s="5">
        <v>44398</v>
      </c>
      <c r="B195">
        <v>5.339E-2</v>
      </c>
      <c r="C195">
        <v>6.0319999999999999E-2</v>
      </c>
      <c r="D195">
        <v>5.1860000000000003E-2</v>
      </c>
      <c r="E195">
        <v>5.8619999999999998E-2</v>
      </c>
      <c r="F195">
        <v>173014431</v>
      </c>
      <c r="G195">
        <v>5.8619999999999998E-2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0.59810874704491701</v>
      </c>
      <c r="Q195">
        <f t="shared" ref="Q195" si="948">F195*P195</f>
        <v>103481444.54609925</v>
      </c>
      <c r="R195">
        <f t="shared" ref="R195" si="949">R196+Q195</f>
        <v>11958387459.678165</v>
      </c>
      <c r="S195">
        <f t="shared" ref="S195" si="950">R195/100000</f>
        <v>119583.87459678165</v>
      </c>
      <c r="T195">
        <f t="shared" si="934"/>
        <v>119.58387459678165</v>
      </c>
    </row>
    <row r="196" spans="1:20" x14ac:dyDescent="0.25">
      <c r="A196" s="5">
        <v>44397</v>
      </c>
      <c r="B196">
        <v>5.8090000000000003E-2</v>
      </c>
      <c r="C196">
        <v>5.9150000000000001E-2</v>
      </c>
      <c r="D196">
        <v>5.0700000000000002E-2</v>
      </c>
      <c r="E196">
        <v>5.3400000000000003E-2</v>
      </c>
      <c r="F196">
        <v>220076607.59999999</v>
      </c>
      <c r="G196">
        <v>5.3400000000000003E-2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-0.36094674556212986</v>
      </c>
      <c r="Q196">
        <f t="shared" ref="Q196" si="952">F196*P196</f>
        <v>-79435935.287573889</v>
      </c>
      <c r="R196">
        <f t="shared" ref="R196" si="953">R197+Q196</f>
        <v>11854906015.132067</v>
      </c>
      <c r="S196">
        <f t="shared" ref="S196" si="954">R196/100000</f>
        <v>118549.06015132066</v>
      </c>
      <c r="T196">
        <f t="shared" si="934"/>
        <v>118.54906015132066</v>
      </c>
    </row>
    <row r="197" spans="1:20" x14ac:dyDescent="0.25">
      <c r="A197" s="5">
        <v>44396</v>
      </c>
      <c r="B197">
        <v>6.3270000000000007E-2</v>
      </c>
      <c r="C197">
        <v>6.368E-2</v>
      </c>
      <c r="D197">
        <v>5.7770000000000002E-2</v>
      </c>
      <c r="E197">
        <v>5.8110000000000002E-2</v>
      </c>
      <c r="F197">
        <v>110019627.8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-0.88494077834179352</v>
      </c>
      <c r="Q197">
        <f t="shared" ref="Q197" si="956">F197*P197</f>
        <v>-97360855.058206424</v>
      </c>
      <c r="R197">
        <f t="shared" ref="R197" si="957">R198+Q197</f>
        <v>11934341950.419641</v>
      </c>
      <c r="S197">
        <f t="shared" ref="S197" si="958">R197/100000</f>
        <v>119343.41950419641</v>
      </c>
      <c r="T197">
        <f t="shared" si="934"/>
        <v>119.34341950419642</v>
      </c>
    </row>
    <row r="198" spans="1:20" x14ac:dyDescent="0.25">
      <c r="A198" s="5">
        <v>44395</v>
      </c>
      <c r="B198">
        <v>6.2239999999999997E-2</v>
      </c>
      <c r="C198">
        <v>6.5040000000000001E-2</v>
      </c>
      <c r="D198">
        <v>6.1420000000000002E-2</v>
      </c>
      <c r="E198">
        <v>6.3250000000000001E-2</v>
      </c>
      <c r="F198">
        <v>90316325.5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1.1049723756905633E-2</v>
      </c>
      <c r="Q198">
        <f t="shared" ref="Q198:Q261" si="960">F198*P198</f>
        <v>997970.44751377206</v>
      </c>
      <c r="R198">
        <f t="shared" ref="R198:R261" si="961">R199+Q198</f>
        <v>12031702805.477848</v>
      </c>
      <c r="S198">
        <f t="shared" ref="S198:S261" si="962">R198/100000</f>
        <v>120317.02805477848</v>
      </c>
      <c r="T198">
        <f t="shared" ref="T198:T261" si="963">S198/1000</f>
        <v>120.31702805477848</v>
      </c>
    </row>
    <row r="199" spans="1:20" x14ac:dyDescent="0.25">
      <c r="A199" s="5">
        <v>44394</v>
      </c>
      <c r="B199">
        <v>6.173E-2</v>
      </c>
      <c r="C199">
        <v>6.3390000000000002E-2</v>
      </c>
      <c r="D199">
        <v>6.0330000000000002E-2</v>
      </c>
      <c r="E199">
        <v>6.2199999999999998E-2</v>
      </c>
      <c r="F199">
        <v>102328241.09999999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0.22222222222221996</v>
      </c>
      <c r="Q199">
        <f t="shared" si="960"/>
        <v>22739609.133333102</v>
      </c>
      <c r="R199">
        <f t="shared" si="961"/>
        <v>12030704835.030334</v>
      </c>
      <c r="S199">
        <f t="shared" si="962"/>
        <v>120307.04835030335</v>
      </c>
      <c r="T199">
        <f t="shared" si="963"/>
        <v>120.30704835030335</v>
      </c>
    </row>
    <row r="200" spans="1:20" x14ac:dyDescent="0.25">
      <c r="A200" s="5">
        <v>44393</v>
      </c>
      <c r="B200">
        <v>6.7390000000000005E-2</v>
      </c>
      <c r="C200">
        <v>6.8330000000000002E-2</v>
      </c>
      <c r="D200">
        <v>6.139E-2</v>
      </c>
      <c r="E200">
        <v>6.1740000000000003E-2</v>
      </c>
      <c r="F200">
        <v>140663510.90000001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-0.89913544668587808</v>
      </c>
      <c r="Q200">
        <f t="shared" si="960"/>
        <v>-126475548.70547539</v>
      </c>
      <c r="R200">
        <f t="shared" si="961"/>
        <v>12007965225.897001</v>
      </c>
      <c r="S200">
        <f t="shared" si="962"/>
        <v>120079.65225897002</v>
      </c>
      <c r="T200">
        <f t="shared" si="963"/>
        <v>120.07965225897001</v>
      </c>
    </row>
    <row r="201" spans="1:20" x14ac:dyDescent="0.25">
      <c r="A201" s="5">
        <v>44392</v>
      </c>
      <c r="B201">
        <v>7.1249999999999994E-2</v>
      </c>
      <c r="C201">
        <v>7.1510000000000004E-2</v>
      </c>
      <c r="D201">
        <v>6.5000000000000002E-2</v>
      </c>
      <c r="E201">
        <v>6.7339999999999997E-2</v>
      </c>
      <c r="F201">
        <v>130086331.7</v>
      </c>
      <c r="G201">
        <v>0</v>
      </c>
      <c r="L201" t="s">
        <v>8</v>
      </c>
      <c r="M201" t="s">
        <v>7</v>
      </c>
      <c r="N201" t="s">
        <v>7</v>
      </c>
      <c r="P201">
        <f t="shared" si="959"/>
        <v>-0.28110599078341192</v>
      </c>
      <c r="Q201">
        <f t="shared" si="960"/>
        <v>-36568047.159908064</v>
      </c>
      <c r="R201">
        <f t="shared" si="961"/>
        <v>12134440774.602476</v>
      </c>
      <c r="S201">
        <f t="shared" si="962"/>
        <v>121344.40774602476</v>
      </c>
      <c r="T201">
        <f t="shared" si="963"/>
        <v>121.34440774602477</v>
      </c>
    </row>
    <row r="202" spans="1:20" x14ac:dyDescent="0.25">
      <c r="A202" s="5">
        <v>44391</v>
      </c>
      <c r="B202">
        <v>6.9180000000000005E-2</v>
      </c>
      <c r="C202">
        <v>7.1349999999999997E-2</v>
      </c>
      <c r="D202">
        <v>6.454E-2</v>
      </c>
      <c r="E202">
        <v>7.127E-2</v>
      </c>
      <c r="F202">
        <v>142644793.5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0.97650513950073514</v>
      </c>
      <c r="Q202">
        <f t="shared" si="960"/>
        <v>139293373.97577107</v>
      </c>
      <c r="R202">
        <f t="shared" si="961"/>
        <v>12171008821.762384</v>
      </c>
      <c r="S202">
        <f t="shared" si="962"/>
        <v>121710.08821762384</v>
      </c>
      <c r="T202">
        <f t="shared" si="963"/>
        <v>121.71008821762383</v>
      </c>
    </row>
    <row r="203" spans="1:20" x14ac:dyDescent="0.25">
      <c r="A203" s="5">
        <v>44390</v>
      </c>
      <c r="B203">
        <v>7.1760000000000004E-2</v>
      </c>
      <c r="C203">
        <v>7.2239999999999999E-2</v>
      </c>
      <c r="D203">
        <v>6.7699999999999996E-2</v>
      </c>
      <c r="E203">
        <v>6.9159999999999999E-2</v>
      </c>
      <c r="F203">
        <v>105142682.90000001</v>
      </c>
      <c r="G203">
        <v>0</v>
      </c>
      <c r="L203" t="s">
        <v>7</v>
      </c>
      <c r="M203" t="s">
        <v>7</v>
      </c>
      <c r="N203" t="s">
        <v>7</v>
      </c>
      <c r="P203">
        <f t="shared" si="959"/>
        <v>-0.35682819383259817</v>
      </c>
      <c r="Q203">
        <f t="shared" si="960"/>
        <v>-37517873.63392061</v>
      </c>
      <c r="R203">
        <f t="shared" si="961"/>
        <v>12031715447.786613</v>
      </c>
      <c r="S203">
        <f t="shared" si="962"/>
        <v>120317.15447786613</v>
      </c>
      <c r="T203">
        <f t="shared" si="963"/>
        <v>120.31715447786614</v>
      </c>
    </row>
    <row r="204" spans="1:20" x14ac:dyDescent="0.25">
      <c r="A204" s="5">
        <v>44389</v>
      </c>
      <c r="B204">
        <v>7.3969999999999994E-2</v>
      </c>
      <c r="C204">
        <v>7.5020000000000003E-2</v>
      </c>
      <c r="D204">
        <v>7.016E-2</v>
      </c>
      <c r="E204">
        <v>7.1790000000000007E-2</v>
      </c>
      <c r="F204">
        <v>85198798.900000006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-0.32921810699588255</v>
      </c>
      <c r="Q204">
        <f t="shared" si="960"/>
        <v>-28048987.292180881</v>
      </c>
      <c r="R204">
        <f t="shared" si="961"/>
        <v>12069233321.420534</v>
      </c>
      <c r="S204">
        <f t="shared" si="962"/>
        <v>120692.33321420534</v>
      </c>
      <c r="T204">
        <f t="shared" si="963"/>
        <v>120.69233321420533</v>
      </c>
    </row>
    <row r="205" spans="1:20" x14ac:dyDescent="0.25">
      <c r="A205" s="5">
        <v>44388</v>
      </c>
      <c r="B205">
        <v>7.2969999999999993E-2</v>
      </c>
      <c r="C205">
        <v>7.4590000000000004E-2</v>
      </c>
      <c r="D205">
        <v>7.1550000000000002E-2</v>
      </c>
      <c r="E205">
        <v>7.3950000000000002E-2</v>
      </c>
      <c r="F205">
        <v>88694438.400000006</v>
      </c>
      <c r="G205">
        <v>0</v>
      </c>
      <c r="L205" t="s">
        <v>7</v>
      </c>
      <c r="M205" t="s">
        <v>7</v>
      </c>
      <c r="N205" t="s">
        <v>8</v>
      </c>
      <c r="P205">
        <f t="shared" si="959"/>
        <v>0.57894736842105166</v>
      </c>
      <c r="Q205">
        <f t="shared" si="960"/>
        <v>51349411.705263078</v>
      </c>
      <c r="R205">
        <f t="shared" si="961"/>
        <v>12097282308.712715</v>
      </c>
      <c r="S205">
        <f t="shared" si="962"/>
        <v>120972.82308712715</v>
      </c>
      <c r="T205">
        <f t="shared" si="963"/>
        <v>120.97282308712715</v>
      </c>
    </row>
    <row r="206" spans="1:20" x14ac:dyDescent="0.25">
      <c r="A206" s="5">
        <v>44387</v>
      </c>
      <c r="B206">
        <v>7.4980000000000005E-2</v>
      </c>
      <c r="C206">
        <v>7.5880000000000003E-2</v>
      </c>
      <c r="D206">
        <v>7.1319999999999995E-2</v>
      </c>
      <c r="E206">
        <v>7.2950000000000001E-2</v>
      </c>
      <c r="F206">
        <v>84565280.299999997</v>
      </c>
      <c r="G206">
        <v>0</v>
      </c>
      <c r="L206" t="s">
        <v>7</v>
      </c>
      <c r="M206" t="s">
        <v>7</v>
      </c>
      <c r="N206" t="s">
        <v>8</v>
      </c>
      <c r="P206">
        <f t="shared" si="959"/>
        <v>-0.28508771929824411</v>
      </c>
      <c r="Q206">
        <f t="shared" si="960"/>
        <v>-24108522.892543733</v>
      </c>
      <c r="R206">
        <f t="shared" si="961"/>
        <v>12045932897.007452</v>
      </c>
      <c r="S206">
        <f t="shared" si="962"/>
        <v>120459.32897007452</v>
      </c>
      <c r="T206">
        <f t="shared" si="963"/>
        <v>120.45932897007452</v>
      </c>
    </row>
    <row r="207" spans="1:20" x14ac:dyDescent="0.25">
      <c r="A207" s="5">
        <v>44386</v>
      </c>
      <c r="B207">
        <v>7.4910000000000004E-2</v>
      </c>
      <c r="C207">
        <v>7.5689999999999993E-2</v>
      </c>
      <c r="D207">
        <v>7.0730000000000001E-2</v>
      </c>
      <c r="E207">
        <v>7.5029999999999999E-2</v>
      </c>
      <c r="F207">
        <v>132555011.5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0.7338709677419375</v>
      </c>
      <c r="Q207">
        <f t="shared" si="960"/>
        <v>97278274.56854865</v>
      </c>
      <c r="R207">
        <f t="shared" si="961"/>
        <v>12070041419.899996</v>
      </c>
      <c r="S207">
        <f t="shared" si="962"/>
        <v>120700.41419899996</v>
      </c>
      <c r="T207">
        <f t="shared" si="963"/>
        <v>120.70041419899997</v>
      </c>
    </row>
    <row r="208" spans="1:20" x14ac:dyDescent="0.25">
      <c r="A208" s="5">
        <v>44385</v>
      </c>
      <c r="B208">
        <v>8.1280000000000005E-2</v>
      </c>
      <c r="C208">
        <v>8.1360000000000002E-2</v>
      </c>
      <c r="D208">
        <v>7.3719999999999994E-2</v>
      </c>
      <c r="E208">
        <v>7.4840000000000004E-2</v>
      </c>
      <c r="F208">
        <v>172743453.69999999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-0.70680628272251078</v>
      </c>
      <c r="Q208">
        <f t="shared" si="960"/>
        <v>-122096158.37434514</v>
      </c>
      <c r="R208">
        <f t="shared" si="961"/>
        <v>11972763145.331448</v>
      </c>
      <c r="S208">
        <f t="shared" si="962"/>
        <v>119727.63145331448</v>
      </c>
      <c r="T208">
        <f t="shared" si="963"/>
        <v>119.72763145331447</v>
      </c>
    </row>
    <row r="209" spans="1:20" x14ac:dyDescent="0.25">
      <c r="A209" s="5">
        <v>44384</v>
      </c>
      <c r="B209">
        <v>8.0829999999999999E-2</v>
      </c>
      <c r="C209">
        <v>8.5419999999999996E-2</v>
      </c>
      <c r="D209">
        <v>7.9100000000000004E-2</v>
      </c>
      <c r="E209">
        <v>8.1350000000000006E-2</v>
      </c>
      <c r="F209">
        <v>232855272.09999999</v>
      </c>
      <c r="G209">
        <v>0</v>
      </c>
      <c r="L209" t="s">
        <v>8</v>
      </c>
      <c r="M209" t="s">
        <v>7</v>
      </c>
      <c r="N209" t="s">
        <v>8</v>
      </c>
      <c r="P209">
        <f t="shared" si="959"/>
        <v>-0.28797468354430228</v>
      </c>
      <c r="Q209">
        <f t="shared" si="960"/>
        <v>-67056423.294619896</v>
      </c>
      <c r="R209">
        <f t="shared" si="961"/>
        <v>12094859303.705793</v>
      </c>
      <c r="S209">
        <f t="shared" si="962"/>
        <v>120948.59303705793</v>
      </c>
      <c r="T209">
        <f t="shared" si="963"/>
        <v>120.94859303705793</v>
      </c>
    </row>
    <row r="210" spans="1:20" x14ac:dyDescent="0.25">
      <c r="A210" s="5">
        <v>44383</v>
      </c>
      <c r="B210">
        <v>7.9699999999999993E-2</v>
      </c>
      <c r="C210">
        <v>8.2650000000000001E-2</v>
      </c>
      <c r="D210">
        <v>7.8E-2</v>
      </c>
      <c r="E210">
        <v>8.0829999999999999E-2</v>
      </c>
      <c r="F210">
        <v>165970163.90000001</v>
      </c>
      <c r="G210">
        <v>0</v>
      </c>
      <c r="L210" t="s">
        <v>8</v>
      </c>
      <c r="M210" t="s">
        <v>7</v>
      </c>
      <c r="N210" t="s">
        <v>8</v>
      </c>
      <c r="P210">
        <f t="shared" si="959"/>
        <v>0.21720430107526811</v>
      </c>
      <c r="Q210">
        <f t="shared" si="960"/>
        <v>36049433.449247196</v>
      </c>
      <c r="R210">
        <f t="shared" si="961"/>
        <v>12161915727.000414</v>
      </c>
      <c r="S210">
        <f t="shared" si="962"/>
        <v>121619.15727000414</v>
      </c>
      <c r="T210">
        <f t="shared" si="963"/>
        <v>121.61915727000414</v>
      </c>
    </row>
    <row r="211" spans="1:20" x14ac:dyDescent="0.25">
      <c r="A211" s="5">
        <v>44382</v>
      </c>
      <c r="B211">
        <v>8.2979999999999998E-2</v>
      </c>
      <c r="C211">
        <v>8.2979999999999998E-2</v>
      </c>
      <c r="D211">
        <v>7.6999999999999999E-2</v>
      </c>
      <c r="E211">
        <v>7.9640000000000002E-2</v>
      </c>
      <c r="F211">
        <v>176984829.30000001</v>
      </c>
      <c r="G211">
        <v>0</v>
      </c>
      <c r="L211" t="s">
        <v>7</v>
      </c>
      <c r="M211" t="s">
        <v>7</v>
      </c>
      <c r="N211" t="s">
        <v>8</v>
      </c>
      <c r="P211">
        <f t="shared" si="959"/>
        <v>-0.1170568561872897</v>
      </c>
      <c r="Q211">
        <f t="shared" si="960"/>
        <v>-20717287.710702118</v>
      </c>
      <c r="R211">
        <f t="shared" si="961"/>
        <v>12125866293.551167</v>
      </c>
      <c r="S211">
        <f t="shared" si="962"/>
        <v>121258.66293551166</v>
      </c>
      <c r="T211">
        <f t="shared" si="963"/>
        <v>121.25866293551167</v>
      </c>
    </row>
    <row r="212" spans="1:20" x14ac:dyDescent="0.25">
      <c r="A212" s="5">
        <v>44381</v>
      </c>
      <c r="B212">
        <v>8.2309999999999994E-2</v>
      </c>
      <c r="C212">
        <v>8.4489999999999996E-2</v>
      </c>
      <c r="D212">
        <v>7.8920000000000004E-2</v>
      </c>
      <c r="E212">
        <v>8.3000000000000004E-2</v>
      </c>
      <c r="F212">
        <v>166431628.80000001</v>
      </c>
      <c r="G212">
        <v>0</v>
      </c>
      <c r="L212" t="s">
        <v>8</v>
      </c>
      <c r="M212" t="s">
        <v>7</v>
      </c>
      <c r="N212" t="s">
        <v>8</v>
      </c>
      <c r="P212">
        <f t="shared" si="959"/>
        <v>0.46499102333932008</v>
      </c>
      <c r="Q212">
        <f t="shared" si="960"/>
        <v>77389213.391741857</v>
      </c>
      <c r="R212">
        <f t="shared" si="961"/>
        <v>12146583581.261869</v>
      </c>
      <c r="S212">
        <f t="shared" si="962"/>
        <v>121465.83581261869</v>
      </c>
      <c r="T212">
        <f t="shared" si="963"/>
        <v>121.46583581261869</v>
      </c>
    </row>
    <row r="213" spans="1:20" x14ac:dyDescent="0.25">
      <c r="A213" s="5">
        <v>44380</v>
      </c>
      <c r="B213">
        <v>8.1519999999999995E-2</v>
      </c>
      <c r="C213">
        <v>8.2809999999999995E-2</v>
      </c>
      <c r="D213">
        <v>7.8799999999999995E-2</v>
      </c>
      <c r="E213">
        <v>8.2299999999999998E-2</v>
      </c>
      <c r="F213">
        <v>102808717.3</v>
      </c>
      <c r="G213">
        <v>0</v>
      </c>
      <c r="L213" t="s">
        <v>8</v>
      </c>
      <c r="M213" t="s">
        <v>7</v>
      </c>
      <c r="N213" t="s">
        <v>8</v>
      </c>
      <c r="P213">
        <f t="shared" si="959"/>
        <v>0.74563591022444065</v>
      </c>
      <c r="Q213">
        <f t="shared" si="960"/>
        <v>76657871.50299269</v>
      </c>
      <c r="R213">
        <f t="shared" si="961"/>
        <v>12069194367.870127</v>
      </c>
      <c r="S213">
        <f t="shared" si="962"/>
        <v>120691.94367870127</v>
      </c>
      <c r="T213">
        <f t="shared" si="963"/>
        <v>120.69194367870126</v>
      </c>
    </row>
    <row r="214" spans="1:20" x14ac:dyDescent="0.25">
      <c r="A214" s="5">
        <v>44379</v>
      </c>
      <c r="B214">
        <v>8.1949999999999995E-2</v>
      </c>
      <c r="C214">
        <v>8.3250000000000005E-2</v>
      </c>
      <c r="D214">
        <v>7.7189999999999995E-2</v>
      </c>
      <c r="E214">
        <v>8.1509999999999999E-2</v>
      </c>
      <c r="F214">
        <v>125320314.3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0.4257425742574249</v>
      </c>
      <c r="Q214">
        <f t="shared" si="960"/>
        <v>53354193.21683158</v>
      </c>
      <c r="R214">
        <f t="shared" si="961"/>
        <v>11992536496.367134</v>
      </c>
      <c r="S214">
        <f t="shared" si="962"/>
        <v>119925.36496367134</v>
      </c>
      <c r="T214">
        <f t="shared" si="963"/>
        <v>119.92536496367134</v>
      </c>
    </row>
    <row r="215" spans="1:20" x14ac:dyDescent="0.25">
      <c r="A215" s="5">
        <v>44378</v>
      </c>
      <c r="B215">
        <v>8.7910000000000002E-2</v>
      </c>
      <c r="C215">
        <v>8.8039999999999993E-2</v>
      </c>
      <c r="D215">
        <v>7.9630000000000006E-2</v>
      </c>
      <c r="E215">
        <v>8.2049999999999998E-2</v>
      </c>
      <c r="F215">
        <v>172434359.5</v>
      </c>
      <c r="G215">
        <v>0</v>
      </c>
      <c r="L215" t="s">
        <v>7</v>
      </c>
      <c r="M215" t="s">
        <v>8</v>
      </c>
      <c r="N215" t="s">
        <v>8</v>
      </c>
      <c r="P215">
        <f t="shared" si="959"/>
        <v>-0.42449464922711166</v>
      </c>
      <c r="Q215">
        <f t="shared" si="960"/>
        <v>-73197462.950654164</v>
      </c>
      <c r="R215">
        <f t="shared" si="961"/>
        <v>11939182303.150303</v>
      </c>
      <c r="S215">
        <f t="shared" si="962"/>
        <v>119391.82303150302</v>
      </c>
      <c r="T215">
        <f t="shared" si="963"/>
        <v>119.39182303150302</v>
      </c>
    </row>
    <row r="216" spans="1:20" x14ac:dyDescent="0.25">
      <c r="A216" s="5">
        <v>44377</v>
      </c>
      <c r="B216">
        <v>8.6139999999999994E-2</v>
      </c>
      <c r="C216">
        <v>9.6000000000000002E-2</v>
      </c>
      <c r="D216">
        <v>7.9740000000000005E-2</v>
      </c>
      <c r="E216">
        <v>8.7910000000000002E-2</v>
      </c>
      <c r="F216">
        <v>262637647.90000001</v>
      </c>
      <c r="G216">
        <v>0</v>
      </c>
      <c r="L216" t="s">
        <v>8</v>
      </c>
      <c r="M216" t="s">
        <v>8</v>
      </c>
      <c r="N216" t="s">
        <v>8</v>
      </c>
      <c r="P216">
        <f t="shared" si="959"/>
        <v>4.9200492004918056E-3</v>
      </c>
      <c r="Q216">
        <f t="shared" si="960"/>
        <v>1292190.1495694434</v>
      </c>
      <c r="R216">
        <f t="shared" si="961"/>
        <v>12012379766.100958</v>
      </c>
      <c r="S216">
        <f t="shared" si="962"/>
        <v>120123.79766100958</v>
      </c>
      <c r="T216">
        <f t="shared" si="963"/>
        <v>120.12379766100958</v>
      </c>
    </row>
    <row r="217" spans="1:20" x14ac:dyDescent="0.25">
      <c r="A217" s="5">
        <v>44376</v>
      </c>
      <c r="B217">
        <v>8.004E-2</v>
      </c>
      <c r="C217">
        <v>8.8690000000000005E-2</v>
      </c>
      <c r="D217">
        <v>7.9399999999999998E-2</v>
      </c>
      <c r="E217">
        <v>8.6190000000000003E-2</v>
      </c>
      <c r="F217">
        <v>339593194.60000002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0.46178686759956933</v>
      </c>
      <c r="Q217">
        <f t="shared" si="960"/>
        <v>156819677.59246498</v>
      </c>
      <c r="R217">
        <f t="shared" si="961"/>
        <v>12011087575.951389</v>
      </c>
      <c r="S217">
        <f t="shared" si="962"/>
        <v>120110.87575951389</v>
      </c>
      <c r="T217">
        <f t="shared" si="963"/>
        <v>120.11087575951389</v>
      </c>
    </row>
    <row r="218" spans="1:20" x14ac:dyDescent="0.25">
      <c r="A218" s="5">
        <v>44375</v>
      </c>
      <c r="B218">
        <v>7.213E-2</v>
      </c>
      <c r="C218">
        <v>8.5000000000000006E-2</v>
      </c>
      <c r="D218">
        <v>7.109E-2</v>
      </c>
      <c r="E218">
        <v>8.0060000000000006E-2</v>
      </c>
      <c r="F218">
        <v>376571766.19999999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0.28971962616822461</v>
      </c>
      <c r="Q218">
        <f t="shared" si="960"/>
        <v>109100231.32897207</v>
      </c>
      <c r="R218">
        <f t="shared" si="961"/>
        <v>11854267898.358925</v>
      </c>
      <c r="S218">
        <f t="shared" si="962"/>
        <v>118542.67898358924</v>
      </c>
      <c r="T218">
        <f t="shared" si="963"/>
        <v>118.54267898358924</v>
      </c>
    </row>
    <row r="219" spans="1:20" x14ac:dyDescent="0.25">
      <c r="A219" s="5">
        <v>44374</v>
      </c>
      <c r="B219">
        <v>7.0019999999999999E-2</v>
      </c>
      <c r="C219">
        <v>7.2319999999999995E-2</v>
      </c>
      <c r="D219">
        <v>6.7000000000000004E-2</v>
      </c>
      <c r="E219">
        <v>7.213E-2</v>
      </c>
      <c r="F219">
        <v>138572523.90000001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0.92857142857143005</v>
      </c>
      <c r="Q219">
        <f t="shared" si="960"/>
        <v>128674486.47857164</v>
      </c>
      <c r="R219">
        <f t="shared" si="961"/>
        <v>11745167667.029953</v>
      </c>
      <c r="S219">
        <f t="shared" si="962"/>
        <v>117451.67667029952</v>
      </c>
      <c r="T219">
        <f t="shared" si="963"/>
        <v>117.45167667029952</v>
      </c>
    </row>
    <row r="220" spans="1:20" x14ac:dyDescent="0.25">
      <c r="A220" s="5">
        <v>44373</v>
      </c>
      <c r="B220">
        <v>6.9400000000000003E-2</v>
      </c>
      <c r="C220">
        <v>7.1629999999999999E-2</v>
      </c>
      <c r="D220">
        <v>6.5790000000000001E-2</v>
      </c>
      <c r="E220">
        <v>7.0019999999999999E-2</v>
      </c>
      <c r="F220">
        <v>185595711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0.44863013698630105</v>
      </c>
      <c r="Q220">
        <f t="shared" si="960"/>
        <v>83263829.24999994</v>
      </c>
      <c r="R220">
        <f t="shared" si="961"/>
        <v>11616493180.551382</v>
      </c>
      <c r="S220">
        <f t="shared" si="962"/>
        <v>116164.93180551381</v>
      </c>
      <c r="T220">
        <f t="shared" si="963"/>
        <v>116.16493180551382</v>
      </c>
    </row>
    <row r="221" spans="1:20" x14ac:dyDescent="0.25">
      <c r="A221" s="5">
        <v>44372</v>
      </c>
      <c r="B221">
        <v>7.8909999999999994E-2</v>
      </c>
      <c r="C221">
        <v>8.1680000000000003E-2</v>
      </c>
      <c r="D221">
        <v>6.8769999999999998E-2</v>
      </c>
      <c r="E221">
        <v>6.9360000000000005E-2</v>
      </c>
      <c r="F221">
        <v>229604326.40000001</v>
      </c>
      <c r="G221">
        <v>0</v>
      </c>
      <c r="L221" t="s">
        <v>7</v>
      </c>
      <c r="M221" t="s">
        <v>8</v>
      </c>
      <c r="N221" t="s">
        <v>7</v>
      </c>
      <c r="P221">
        <f t="shared" si="959"/>
        <v>-0.90859798605731878</v>
      </c>
      <c r="Q221">
        <f t="shared" si="960"/>
        <v>-208618028.55708727</v>
      </c>
      <c r="R221">
        <f t="shared" si="961"/>
        <v>11533229351.301382</v>
      </c>
      <c r="S221">
        <f t="shared" si="962"/>
        <v>115332.29351301382</v>
      </c>
      <c r="T221">
        <f t="shared" si="963"/>
        <v>115.33229351301382</v>
      </c>
    </row>
    <row r="222" spans="1:20" x14ac:dyDescent="0.25">
      <c r="A222" s="5">
        <v>44371</v>
      </c>
      <c r="B222">
        <v>7.3660000000000003E-2</v>
      </c>
      <c r="C222">
        <v>7.9969999999999999E-2</v>
      </c>
      <c r="D222">
        <v>7.0330000000000004E-2</v>
      </c>
      <c r="E222">
        <v>7.8979999999999995E-2</v>
      </c>
      <c r="F222">
        <v>187492615.5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0.79460580912862966</v>
      </c>
      <c r="Q222">
        <f t="shared" si="960"/>
        <v>148982721.44502056</v>
      </c>
      <c r="R222">
        <f t="shared" si="961"/>
        <v>11741847379.858469</v>
      </c>
      <c r="S222">
        <f t="shared" si="962"/>
        <v>117418.47379858469</v>
      </c>
      <c r="T222">
        <f t="shared" si="963"/>
        <v>117.41847379858469</v>
      </c>
    </row>
    <row r="223" spans="1:20" x14ac:dyDescent="0.25">
      <c r="A223" s="5">
        <v>44370</v>
      </c>
      <c r="B223">
        <v>6.8659999999999999E-2</v>
      </c>
      <c r="C223">
        <v>7.9460000000000003E-2</v>
      </c>
      <c r="D223">
        <v>6.515E-2</v>
      </c>
      <c r="E223">
        <v>7.3679999999999995E-2</v>
      </c>
      <c r="F223">
        <v>294397457.69999999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0.1921733053808517</v>
      </c>
      <c r="Q223">
        <f t="shared" si="960"/>
        <v>56575332.54192847</v>
      </c>
      <c r="R223">
        <f t="shared" si="961"/>
        <v>11592864658.413448</v>
      </c>
      <c r="S223">
        <f t="shared" si="962"/>
        <v>115928.64658413448</v>
      </c>
      <c r="T223">
        <f t="shared" si="963"/>
        <v>115.92864658413447</v>
      </c>
    </row>
    <row r="224" spans="1:20" x14ac:dyDescent="0.25">
      <c r="A224" s="5">
        <v>44369</v>
      </c>
      <c r="B224">
        <v>7.2260000000000005E-2</v>
      </c>
      <c r="C224">
        <v>7.8950000000000006E-2</v>
      </c>
      <c r="D224">
        <v>5.9700000000000003E-2</v>
      </c>
      <c r="E224">
        <v>6.8629999999999997E-2</v>
      </c>
      <c r="F224">
        <v>524260052.19999999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-7.220779220779304E-2</v>
      </c>
      <c r="Q224">
        <f t="shared" si="960"/>
        <v>-37855660.912104331</v>
      </c>
      <c r="R224">
        <f t="shared" si="961"/>
        <v>11536289325.871519</v>
      </c>
      <c r="S224">
        <f t="shared" si="962"/>
        <v>115362.89325871519</v>
      </c>
      <c r="T224">
        <f t="shared" si="963"/>
        <v>115.36289325871519</v>
      </c>
    </row>
    <row r="225" spans="1:20" x14ac:dyDescent="0.25">
      <c r="A225" s="5">
        <v>44368</v>
      </c>
      <c r="B225">
        <v>9.5649999999999999E-2</v>
      </c>
      <c r="C225">
        <v>9.6189999999999998E-2</v>
      </c>
      <c r="D225">
        <v>7.2010000000000005E-2</v>
      </c>
      <c r="E225">
        <v>7.2249999999999995E-2</v>
      </c>
      <c r="F225">
        <v>361574298.69999999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-0.98014888337469064</v>
      </c>
      <c r="Q225">
        <f t="shared" si="960"/>
        <v>-354396645.12779182</v>
      </c>
      <c r="R225">
        <f t="shared" si="961"/>
        <v>11574144986.783623</v>
      </c>
      <c r="S225">
        <f t="shared" si="962"/>
        <v>115741.44986783623</v>
      </c>
      <c r="T225">
        <f t="shared" si="963"/>
        <v>115.74144986783622</v>
      </c>
    </row>
    <row r="226" spans="1:20" x14ac:dyDescent="0.25">
      <c r="A226" s="5">
        <v>44367</v>
      </c>
      <c r="B226">
        <v>9.2960000000000001E-2</v>
      </c>
      <c r="C226">
        <v>9.74E-2</v>
      </c>
      <c r="D226">
        <v>8.5879999999999998E-2</v>
      </c>
      <c r="E226">
        <v>9.5670000000000005E-2</v>
      </c>
      <c r="F226">
        <v>162321917.59999999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0.69965277777777868</v>
      </c>
      <c r="Q226">
        <f t="shared" si="960"/>
        <v>113568980.5430557</v>
      </c>
      <c r="R226">
        <f t="shared" si="961"/>
        <v>11928541631.911415</v>
      </c>
      <c r="S226">
        <f t="shared" si="962"/>
        <v>119285.41631911416</v>
      </c>
      <c r="T226">
        <f t="shared" si="963"/>
        <v>119.28541631911416</v>
      </c>
    </row>
    <row r="227" spans="1:20" x14ac:dyDescent="0.25">
      <c r="A227" s="5">
        <v>44366</v>
      </c>
      <c r="B227">
        <v>9.6320000000000003E-2</v>
      </c>
      <c r="C227">
        <v>9.9000000000000005E-2</v>
      </c>
      <c r="D227">
        <v>9.2840000000000006E-2</v>
      </c>
      <c r="E227">
        <v>9.3039999999999998E-2</v>
      </c>
      <c r="F227">
        <v>109294063.8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-0.93506493506493771</v>
      </c>
      <c r="Q227">
        <f t="shared" si="960"/>
        <v>-102197046.67013016</v>
      </c>
      <c r="R227">
        <f t="shared" si="961"/>
        <v>11814972651.368359</v>
      </c>
      <c r="S227">
        <f t="shared" si="962"/>
        <v>118149.72651368359</v>
      </c>
      <c r="T227">
        <f t="shared" si="963"/>
        <v>118.14972651368359</v>
      </c>
    </row>
    <row r="228" spans="1:20" x14ac:dyDescent="0.25">
      <c r="A228" s="5">
        <v>44365</v>
      </c>
      <c r="B228">
        <v>0.10345</v>
      </c>
      <c r="C228">
        <v>0.10360999999999999</v>
      </c>
      <c r="D228">
        <v>9.2130000000000004E-2</v>
      </c>
      <c r="E228">
        <v>9.6299999999999997E-2</v>
      </c>
      <c r="F228">
        <v>178661892.40000001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-0.27351916376306679</v>
      </c>
      <c r="Q228">
        <f t="shared" si="960"/>
        <v>-48867451.405575022</v>
      </c>
      <c r="R228">
        <f t="shared" si="961"/>
        <v>11917169698.038488</v>
      </c>
      <c r="S228">
        <f t="shared" si="962"/>
        <v>119171.69698038488</v>
      </c>
      <c r="T228">
        <f t="shared" si="963"/>
        <v>119.17169698038488</v>
      </c>
    </row>
    <row r="229" spans="1:20" x14ac:dyDescent="0.25">
      <c r="A229" s="5">
        <v>44364</v>
      </c>
      <c r="B229">
        <v>0.10406</v>
      </c>
      <c r="C229">
        <v>0.11</v>
      </c>
      <c r="D229">
        <v>0.10158</v>
      </c>
      <c r="E229">
        <v>0.10349999999999999</v>
      </c>
      <c r="F229">
        <v>187161891.90000001</v>
      </c>
      <c r="G229">
        <v>0</v>
      </c>
      <c r="L229" t="s">
        <v>7</v>
      </c>
      <c r="M229" t="s">
        <v>8</v>
      </c>
      <c r="N229" t="s">
        <v>7</v>
      </c>
      <c r="P229">
        <f t="shared" si="959"/>
        <v>-0.54394299287411119</v>
      </c>
      <c r="Q229">
        <f t="shared" si="960"/>
        <v>-101805399.63206688</v>
      </c>
      <c r="R229">
        <f t="shared" si="961"/>
        <v>11966037149.444063</v>
      </c>
      <c r="S229">
        <f t="shared" si="962"/>
        <v>119660.37149444064</v>
      </c>
      <c r="T229">
        <f t="shared" si="963"/>
        <v>119.66037149444064</v>
      </c>
    </row>
    <row r="230" spans="1:20" x14ac:dyDescent="0.25">
      <c r="A230" s="5">
        <v>44363</v>
      </c>
      <c r="B230">
        <v>0.10735</v>
      </c>
      <c r="C230">
        <v>0.1145</v>
      </c>
      <c r="D230">
        <v>0.1027</v>
      </c>
      <c r="E230">
        <v>0.1041</v>
      </c>
      <c r="F230">
        <v>253943596.90000001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-0.76271186440678007</v>
      </c>
      <c r="Q230">
        <f t="shared" si="960"/>
        <v>-193685794.24576283</v>
      </c>
      <c r="R230">
        <f t="shared" si="961"/>
        <v>12067842549.07613</v>
      </c>
      <c r="S230">
        <f t="shared" si="962"/>
        <v>120678.42549076129</v>
      </c>
      <c r="T230">
        <f t="shared" si="963"/>
        <v>120.6784254907613</v>
      </c>
    </row>
    <row r="231" spans="1:20" x14ac:dyDescent="0.25">
      <c r="A231" s="5">
        <v>44362</v>
      </c>
      <c r="B231">
        <v>0.11047999999999999</v>
      </c>
      <c r="C231">
        <v>0.11448999999999999</v>
      </c>
      <c r="D231">
        <v>0.10577</v>
      </c>
      <c r="E231">
        <v>0.10735</v>
      </c>
      <c r="F231">
        <v>243095299.59999999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-0.63761467889908263</v>
      </c>
      <c r="Q231">
        <f t="shared" si="960"/>
        <v>-155001131.3963303</v>
      </c>
      <c r="R231">
        <f t="shared" si="961"/>
        <v>12261528343.321892</v>
      </c>
      <c r="S231">
        <f t="shared" si="962"/>
        <v>122615.28343321892</v>
      </c>
      <c r="T231">
        <f t="shared" si="963"/>
        <v>122.61528343321892</v>
      </c>
    </row>
    <row r="232" spans="1:20" x14ac:dyDescent="0.25">
      <c r="A232" s="5">
        <v>44361</v>
      </c>
      <c r="B232">
        <v>0.10764</v>
      </c>
      <c r="C232">
        <v>0.11149000000000001</v>
      </c>
      <c r="D232">
        <v>0.10441</v>
      </c>
      <c r="E232">
        <v>0.11047999999999999</v>
      </c>
      <c r="F232">
        <v>235377628.40000001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0.71468926553672019</v>
      </c>
      <c r="Q232">
        <f t="shared" si="960"/>
        <v>168221864.36497104</v>
      </c>
      <c r="R232">
        <f t="shared" si="961"/>
        <v>12416529474.718222</v>
      </c>
      <c r="S232">
        <f t="shared" si="962"/>
        <v>124165.29474718221</v>
      </c>
      <c r="T232">
        <f t="shared" si="963"/>
        <v>124.16529474718222</v>
      </c>
    </row>
    <row r="233" spans="1:20" x14ac:dyDescent="0.25">
      <c r="A233" s="5">
        <v>44360</v>
      </c>
      <c r="B233">
        <v>9.8790000000000003E-2</v>
      </c>
      <c r="C233">
        <v>0.10988000000000001</v>
      </c>
      <c r="D233">
        <v>9.554E-2</v>
      </c>
      <c r="E233">
        <v>0.10765</v>
      </c>
      <c r="F233">
        <v>222260077.09999999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0.68898186889818569</v>
      </c>
      <c r="Q233">
        <f t="shared" si="960"/>
        <v>153133163.30181283</v>
      </c>
      <c r="R233">
        <f t="shared" si="961"/>
        <v>12248307610.353251</v>
      </c>
      <c r="S233">
        <f t="shared" si="962"/>
        <v>122483.07610353251</v>
      </c>
      <c r="T233">
        <f t="shared" si="963"/>
        <v>122.48307610353251</v>
      </c>
    </row>
    <row r="234" spans="1:20" x14ac:dyDescent="0.25">
      <c r="A234" s="5">
        <v>44359</v>
      </c>
      <c r="B234">
        <v>0.10224</v>
      </c>
      <c r="C234">
        <v>0.10299999999999999</v>
      </c>
      <c r="D234">
        <v>9.1910000000000006E-2</v>
      </c>
      <c r="E234">
        <v>9.8809999999999995E-2</v>
      </c>
      <c r="F234">
        <v>285862805.39999998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0.24436429215509403</v>
      </c>
      <c r="Q234">
        <f t="shared" si="960"/>
        <v>69854662.095040381</v>
      </c>
      <c r="R234">
        <f t="shared" si="961"/>
        <v>12095174447.051437</v>
      </c>
      <c r="S234">
        <f t="shared" si="962"/>
        <v>120951.74447051437</v>
      </c>
      <c r="T234">
        <f t="shared" si="963"/>
        <v>120.95174447051437</v>
      </c>
    </row>
    <row r="235" spans="1:20" x14ac:dyDescent="0.25">
      <c r="A235" s="5">
        <v>44358</v>
      </c>
      <c r="B235">
        <v>0.10854</v>
      </c>
      <c r="C235">
        <v>0.11650000000000001</v>
      </c>
      <c r="D235">
        <v>0.10059</v>
      </c>
      <c r="E235">
        <v>0.10228</v>
      </c>
      <c r="F235">
        <v>361770498.80000001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-0.78755499685732289</v>
      </c>
      <c r="Q235">
        <f t="shared" si="960"/>
        <v>-284914164.04550612</v>
      </c>
      <c r="R235">
        <f t="shared" si="961"/>
        <v>12025319784.956396</v>
      </c>
      <c r="S235">
        <f t="shared" si="962"/>
        <v>120253.19784956396</v>
      </c>
      <c r="T235">
        <f t="shared" si="963"/>
        <v>120.25319784956396</v>
      </c>
    </row>
    <row r="236" spans="1:20" x14ac:dyDescent="0.25">
      <c r="A236" s="5">
        <v>44357</v>
      </c>
      <c r="B236">
        <v>0.11511</v>
      </c>
      <c r="C236">
        <v>0.11706</v>
      </c>
      <c r="D236">
        <v>0.10462</v>
      </c>
      <c r="E236">
        <v>0.10851</v>
      </c>
      <c r="F236">
        <v>218822767</v>
      </c>
      <c r="G236">
        <v>0</v>
      </c>
      <c r="L236" t="s">
        <v>7</v>
      </c>
      <c r="M236" t="s">
        <v>8</v>
      </c>
      <c r="N236" t="s">
        <v>7</v>
      </c>
      <c r="P236">
        <f t="shared" si="959"/>
        <v>-0.37459807073955098</v>
      </c>
      <c r="Q236">
        <f t="shared" si="960"/>
        <v>-81970586.352090284</v>
      </c>
      <c r="R236">
        <f t="shared" si="961"/>
        <v>12310233949.001902</v>
      </c>
      <c r="S236">
        <f t="shared" si="962"/>
        <v>123102.33949001902</v>
      </c>
      <c r="T236">
        <f t="shared" si="963"/>
        <v>123.10233949001902</v>
      </c>
    </row>
    <row r="237" spans="1:20" x14ac:dyDescent="0.25">
      <c r="A237" s="5">
        <v>44356</v>
      </c>
      <c r="B237">
        <v>0.10809000000000001</v>
      </c>
      <c r="C237">
        <v>0.11600000000000001</v>
      </c>
      <c r="D237">
        <v>0.10342</v>
      </c>
      <c r="E237">
        <v>0.115</v>
      </c>
      <c r="F237">
        <v>251329172.19999999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0.8410174880763116</v>
      </c>
      <c r="Q237">
        <f t="shared" si="960"/>
        <v>211372229.08394274</v>
      </c>
      <c r="R237">
        <f t="shared" si="961"/>
        <v>12392204535.353992</v>
      </c>
      <c r="S237">
        <f t="shared" si="962"/>
        <v>123922.04535353993</v>
      </c>
      <c r="T237">
        <f t="shared" si="963"/>
        <v>123.92204535353993</v>
      </c>
    </row>
    <row r="238" spans="1:20" x14ac:dyDescent="0.25">
      <c r="A238" s="5">
        <v>44355</v>
      </c>
      <c r="B238">
        <v>0.111</v>
      </c>
      <c r="C238">
        <v>0.11347</v>
      </c>
      <c r="D238">
        <v>9.8409999999999997E-2</v>
      </c>
      <c r="E238">
        <v>0.10809000000000001</v>
      </c>
      <c r="F238">
        <v>409008708.10000002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0.28552456839309504</v>
      </c>
      <c r="Q238">
        <f t="shared" si="960"/>
        <v>116782034.8492699</v>
      </c>
      <c r="R238">
        <f t="shared" si="961"/>
        <v>12180832306.27005</v>
      </c>
      <c r="S238">
        <f t="shared" si="962"/>
        <v>121808.3230627005</v>
      </c>
      <c r="T238">
        <f t="shared" si="963"/>
        <v>121.8083230627005</v>
      </c>
    </row>
    <row r="239" spans="1:20" x14ac:dyDescent="0.25">
      <c r="A239" s="5">
        <v>44354</v>
      </c>
      <c r="B239">
        <v>0.12357</v>
      </c>
      <c r="C239">
        <v>0.129</v>
      </c>
      <c r="D239">
        <v>0.108</v>
      </c>
      <c r="E239">
        <v>0.11112</v>
      </c>
      <c r="F239">
        <v>295326123.30000001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-0.70285714285714318</v>
      </c>
      <c r="Q239">
        <f t="shared" si="960"/>
        <v>-207572075.2337144</v>
      </c>
      <c r="R239">
        <f t="shared" si="961"/>
        <v>12064050271.42078</v>
      </c>
      <c r="S239">
        <f t="shared" si="962"/>
        <v>120640.5027142078</v>
      </c>
      <c r="T239">
        <f t="shared" si="963"/>
        <v>120.6405027142078</v>
      </c>
    </row>
    <row r="240" spans="1:20" x14ac:dyDescent="0.25">
      <c r="A240" s="5">
        <v>44353</v>
      </c>
      <c r="B240">
        <v>0.12037</v>
      </c>
      <c r="C240">
        <v>0.13150000000000001</v>
      </c>
      <c r="D240">
        <v>0.11941</v>
      </c>
      <c r="E240">
        <v>0.12361999999999999</v>
      </c>
      <c r="F240">
        <v>298291753</v>
      </c>
      <c r="G240">
        <v>0</v>
      </c>
      <c r="L240" t="s">
        <v>8</v>
      </c>
      <c r="M240" t="s">
        <v>7</v>
      </c>
      <c r="N240" t="s">
        <v>8</v>
      </c>
      <c r="P240">
        <f t="shared" si="959"/>
        <v>-0.30355665839536966</v>
      </c>
      <c r="Q240">
        <f t="shared" si="960"/>
        <v>-90548447.767576978</v>
      </c>
      <c r="R240">
        <f t="shared" si="961"/>
        <v>12271622346.654495</v>
      </c>
      <c r="S240">
        <f t="shared" si="962"/>
        <v>122716.22346654495</v>
      </c>
      <c r="T240">
        <f t="shared" si="963"/>
        <v>122.71622346654495</v>
      </c>
    </row>
    <row r="241" spans="1:20" x14ac:dyDescent="0.25">
      <c r="A241" s="5">
        <v>44352</v>
      </c>
      <c r="B241">
        <v>0.12640999999999999</v>
      </c>
      <c r="C241">
        <v>0.13686999999999999</v>
      </c>
      <c r="D241">
        <v>0.11502999999999999</v>
      </c>
      <c r="E241">
        <v>0.12037</v>
      </c>
      <c r="F241">
        <v>330799957.89999998</v>
      </c>
      <c r="G241">
        <v>0</v>
      </c>
      <c r="L241" t="s">
        <v>7</v>
      </c>
      <c r="M241" t="s">
        <v>7</v>
      </c>
      <c r="N241" t="s">
        <v>8</v>
      </c>
      <c r="P241">
        <f t="shared" si="959"/>
        <v>-0.51098901098900995</v>
      </c>
      <c r="Q241">
        <f t="shared" si="960"/>
        <v>-169035143.32252711</v>
      </c>
      <c r="R241">
        <f t="shared" si="961"/>
        <v>12362170794.422071</v>
      </c>
      <c r="S241">
        <f t="shared" si="962"/>
        <v>123621.70794422072</v>
      </c>
      <c r="T241">
        <f t="shared" si="963"/>
        <v>123.62170794422072</v>
      </c>
    </row>
    <row r="242" spans="1:20" x14ac:dyDescent="0.25">
      <c r="A242" s="5">
        <v>44351</v>
      </c>
      <c r="B242">
        <v>0.13957</v>
      </c>
      <c r="C242">
        <v>0.13958000000000001</v>
      </c>
      <c r="D242">
        <v>0.11912</v>
      </c>
      <c r="E242">
        <v>0.12623999999999999</v>
      </c>
      <c r="F242">
        <v>385012182.19999999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-0.30400782013685385</v>
      </c>
      <c r="Q242">
        <f t="shared" si="960"/>
        <v>-117046714.23675519</v>
      </c>
      <c r="R242">
        <f t="shared" si="961"/>
        <v>12531205937.744598</v>
      </c>
      <c r="S242">
        <f t="shared" si="962"/>
        <v>125312.05937744598</v>
      </c>
      <c r="T242">
        <f t="shared" si="963"/>
        <v>125.31205937744599</v>
      </c>
    </row>
    <row r="243" spans="1:20" x14ac:dyDescent="0.25">
      <c r="A243" s="5">
        <v>44350</v>
      </c>
      <c r="B243">
        <v>0.12321</v>
      </c>
      <c r="C243">
        <v>0.15482000000000001</v>
      </c>
      <c r="D243">
        <v>0.12112000000000001</v>
      </c>
      <c r="E243">
        <v>0.13955000000000001</v>
      </c>
      <c r="F243">
        <v>838521329.89999998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9.3768545994065144E-2</v>
      </c>
      <c r="Q243">
        <f t="shared" si="960"/>
        <v>78626925.889732823</v>
      </c>
      <c r="R243">
        <f t="shared" si="961"/>
        <v>12648252651.981354</v>
      </c>
      <c r="S243">
        <f t="shared" si="962"/>
        <v>126482.52651981353</v>
      </c>
      <c r="T243">
        <f t="shared" si="963"/>
        <v>126.48252651981353</v>
      </c>
    </row>
    <row r="244" spans="1:20" x14ac:dyDescent="0.25">
      <c r="A244" s="5">
        <v>44349</v>
      </c>
      <c r="B244">
        <v>0.11806999999999999</v>
      </c>
      <c r="C244">
        <v>0.12978999999999999</v>
      </c>
      <c r="D244">
        <v>0.11743000000000001</v>
      </c>
      <c r="E244">
        <v>0.12325</v>
      </c>
      <c r="F244">
        <v>276689572.89999998</v>
      </c>
      <c r="G244">
        <v>0</v>
      </c>
      <c r="L244" t="s">
        <v>8</v>
      </c>
      <c r="M244" t="s">
        <v>8</v>
      </c>
      <c r="N244" t="s">
        <v>7</v>
      </c>
      <c r="P244">
        <f t="shared" si="959"/>
        <v>-5.8252427184465973E-2</v>
      </c>
      <c r="Q244">
        <f t="shared" si="960"/>
        <v>-16117839.198058238</v>
      </c>
      <c r="R244">
        <f t="shared" si="961"/>
        <v>12569625726.091621</v>
      </c>
      <c r="S244">
        <f t="shared" si="962"/>
        <v>125696.25726091622</v>
      </c>
      <c r="T244">
        <f t="shared" si="963"/>
        <v>125.69625726091621</v>
      </c>
    </row>
    <row r="245" spans="1:20" x14ac:dyDescent="0.25">
      <c r="A245" s="5">
        <v>44348</v>
      </c>
      <c r="B245">
        <v>0.11584</v>
      </c>
      <c r="C245">
        <v>0.12082</v>
      </c>
      <c r="D245">
        <v>0.10924</v>
      </c>
      <c r="E245">
        <v>0.11806999999999999</v>
      </c>
      <c r="F245">
        <v>241099577.09999999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0.5250431778929181</v>
      </c>
      <c r="Q245">
        <f t="shared" si="960"/>
        <v>126587688.14922263</v>
      </c>
      <c r="R245">
        <f t="shared" si="961"/>
        <v>12585743565.28968</v>
      </c>
      <c r="S245">
        <f t="shared" si="962"/>
        <v>125857.43565289681</v>
      </c>
      <c r="T245">
        <f t="shared" si="963"/>
        <v>125.85743565289681</v>
      </c>
    </row>
    <row r="246" spans="1:20" x14ac:dyDescent="0.25">
      <c r="A246" s="5">
        <v>44347</v>
      </c>
      <c r="B246">
        <v>0.10542</v>
      </c>
      <c r="C246">
        <v>0.11599</v>
      </c>
      <c r="D246">
        <v>0.10047</v>
      </c>
      <c r="E246">
        <v>0.11584</v>
      </c>
      <c r="F246">
        <v>204377628.30000001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0.9806701030927838</v>
      </c>
      <c r="Q246">
        <f t="shared" si="960"/>
        <v>200427029.81481966</v>
      </c>
      <c r="R246">
        <f t="shared" si="961"/>
        <v>12459155877.140457</v>
      </c>
      <c r="S246">
        <f t="shared" si="962"/>
        <v>124591.55877140457</v>
      </c>
      <c r="T246">
        <f t="shared" si="963"/>
        <v>124.59155877140456</v>
      </c>
    </row>
    <row r="247" spans="1:20" x14ac:dyDescent="0.25">
      <c r="A247" s="5">
        <v>44346</v>
      </c>
      <c r="B247">
        <v>9.9659999999999999E-2</v>
      </c>
      <c r="C247">
        <v>0.11099000000000001</v>
      </c>
      <c r="D247">
        <v>9.357E-2</v>
      </c>
      <c r="E247">
        <v>0.10546</v>
      </c>
      <c r="F247">
        <v>225098049.90000001</v>
      </c>
      <c r="G247">
        <v>0</v>
      </c>
      <c r="L247" t="s">
        <v>8</v>
      </c>
      <c r="M247" t="s">
        <v>7</v>
      </c>
      <c r="N247" t="s">
        <v>7</v>
      </c>
      <c r="P247">
        <f t="shared" si="959"/>
        <v>0.36509758897818534</v>
      </c>
      <c r="Q247">
        <f t="shared" si="960"/>
        <v>82182755.302181259</v>
      </c>
      <c r="R247">
        <f t="shared" si="961"/>
        <v>12258728847.325638</v>
      </c>
      <c r="S247">
        <f t="shared" si="962"/>
        <v>122587.28847325638</v>
      </c>
      <c r="T247">
        <f t="shared" si="963"/>
        <v>122.58728847325638</v>
      </c>
    </row>
    <row r="248" spans="1:20" x14ac:dyDescent="0.25">
      <c r="A248" s="5">
        <v>44345</v>
      </c>
      <c r="B248">
        <v>0.11101</v>
      </c>
      <c r="C248">
        <v>0.11551</v>
      </c>
      <c r="D248">
        <v>9.3840000000000007E-2</v>
      </c>
      <c r="E248">
        <v>9.9519999999999997E-2</v>
      </c>
      <c r="F248">
        <v>280785558.60000002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-0.4757729580064613</v>
      </c>
      <c r="Q248">
        <f t="shared" si="960"/>
        <v>-133590175.78061859</v>
      </c>
      <c r="R248">
        <f t="shared" si="961"/>
        <v>12176546092.023457</v>
      </c>
      <c r="S248">
        <f t="shared" si="962"/>
        <v>121765.46092023456</v>
      </c>
      <c r="T248">
        <f t="shared" si="963"/>
        <v>121.76546092023456</v>
      </c>
    </row>
    <row r="249" spans="1:20" x14ac:dyDescent="0.25">
      <c r="A249" s="5">
        <v>44344</v>
      </c>
      <c r="B249">
        <v>0.12156</v>
      </c>
      <c r="C249">
        <v>0.12293</v>
      </c>
      <c r="D249">
        <v>0.10050000000000001</v>
      </c>
      <c r="E249">
        <v>0.11085</v>
      </c>
      <c r="F249">
        <v>363765082.30000001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-7.712884529647776E-2</v>
      </c>
      <c r="Q249">
        <f t="shared" si="960"/>
        <v>-28056780.756977201</v>
      </c>
      <c r="R249">
        <f t="shared" si="961"/>
        <v>12310136267.804075</v>
      </c>
      <c r="S249">
        <f t="shared" si="962"/>
        <v>123101.36267804075</v>
      </c>
      <c r="T249">
        <f t="shared" si="963"/>
        <v>123.10136267804074</v>
      </c>
    </row>
    <row r="250" spans="1:20" x14ac:dyDescent="0.25">
      <c r="A250" s="5">
        <v>44343</v>
      </c>
      <c r="B250">
        <v>0.13353999999999999</v>
      </c>
      <c r="C250">
        <v>0.13538</v>
      </c>
      <c r="D250">
        <v>0.11884</v>
      </c>
      <c r="E250">
        <v>0.12156</v>
      </c>
      <c r="F250">
        <v>262001741.59999999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-0.67110036275695284</v>
      </c>
      <c r="Q250">
        <f t="shared" si="960"/>
        <v>-175829463.83071342</v>
      </c>
      <c r="R250">
        <f t="shared" si="961"/>
        <v>12338193048.561052</v>
      </c>
      <c r="S250">
        <f t="shared" si="962"/>
        <v>123381.93048561053</v>
      </c>
      <c r="T250">
        <f t="shared" si="963"/>
        <v>123.38193048561052</v>
      </c>
    </row>
    <row r="251" spans="1:20" x14ac:dyDescent="0.25">
      <c r="A251" s="5">
        <v>44342</v>
      </c>
      <c r="B251">
        <v>0.10747</v>
      </c>
      <c r="C251">
        <v>0.13400000000000001</v>
      </c>
      <c r="D251">
        <v>0.10535</v>
      </c>
      <c r="E251">
        <v>0.13353999999999999</v>
      </c>
      <c r="F251">
        <v>417781207.39999998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0.9678883071553217</v>
      </c>
      <c r="Q251">
        <f t="shared" si="960"/>
        <v>404365545.59169233</v>
      </c>
      <c r="R251">
        <f t="shared" si="961"/>
        <v>12514022512.391766</v>
      </c>
      <c r="S251">
        <f t="shared" si="962"/>
        <v>125140.22512391765</v>
      </c>
      <c r="T251">
        <f t="shared" si="963"/>
        <v>125.14022512391766</v>
      </c>
    </row>
    <row r="252" spans="1:20" x14ac:dyDescent="0.25">
      <c r="A252" s="5">
        <v>44341</v>
      </c>
      <c r="B252">
        <v>0.10939</v>
      </c>
      <c r="C252">
        <v>0.11384</v>
      </c>
      <c r="D252">
        <v>9.7640000000000005E-2</v>
      </c>
      <c r="E252">
        <v>0.10750999999999999</v>
      </c>
      <c r="F252">
        <v>311205897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0.21851851851851786</v>
      </c>
      <c r="Q252">
        <f t="shared" si="960"/>
        <v>68004251.566666469</v>
      </c>
      <c r="R252">
        <f t="shared" si="961"/>
        <v>12109656966.800074</v>
      </c>
      <c r="S252">
        <f t="shared" si="962"/>
        <v>121096.56966800074</v>
      </c>
      <c r="T252">
        <f t="shared" si="963"/>
        <v>121.09656966800074</v>
      </c>
    </row>
    <row r="253" spans="1:20" x14ac:dyDescent="0.25">
      <c r="A253" s="5">
        <v>44340</v>
      </c>
      <c r="B253">
        <v>8.7059999999999998E-2</v>
      </c>
      <c r="C253">
        <v>0.11</v>
      </c>
      <c r="D253">
        <v>8.4269999999999998E-2</v>
      </c>
      <c r="E253">
        <v>0.10935</v>
      </c>
      <c r="F253">
        <v>390303375.30000001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0.94947532063738849</v>
      </c>
      <c r="Q253">
        <f t="shared" si="960"/>
        <v>370583422.40882248</v>
      </c>
      <c r="R253">
        <f t="shared" si="961"/>
        <v>12041652715.233408</v>
      </c>
      <c r="S253">
        <f t="shared" si="962"/>
        <v>120416.52715233408</v>
      </c>
      <c r="T253">
        <f t="shared" si="963"/>
        <v>120.41652715233408</v>
      </c>
    </row>
    <row r="254" spans="1:20" x14ac:dyDescent="0.25">
      <c r="A254" s="5">
        <v>44339</v>
      </c>
      <c r="B254">
        <v>0.10465000000000001</v>
      </c>
      <c r="C254">
        <v>0.11012</v>
      </c>
      <c r="D254">
        <v>6.9279999999999994E-2</v>
      </c>
      <c r="E254">
        <v>8.6980000000000002E-2</v>
      </c>
      <c r="F254">
        <v>621089141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-0.13320274240940222</v>
      </c>
      <c r="Q254">
        <f t="shared" si="960"/>
        <v>-82730776.861899897</v>
      </c>
      <c r="R254">
        <f t="shared" si="961"/>
        <v>11671069292.824585</v>
      </c>
      <c r="S254">
        <f t="shared" si="962"/>
        <v>116710.69292824584</v>
      </c>
      <c r="T254">
        <f t="shared" si="963"/>
        <v>116.71069292824585</v>
      </c>
    </row>
    <row r="255" spans="1:20" x14ac:dyDescent="0.25">
      <c r="A255" s="5">
        <v>44338</v>
      </c>
      <c r="B255">
        <v>0.1139</v>
      </c>
      <c r="C255">
        <v>0.12069000000000001</v>
      </c>
      <c r="D255">
        <v>9.8210000000000006E-2</v>
      </c>
      <c r="E255">
        <v>0.10459</v>
      </c>
      <c r="F255">
        <v>376895947.80000001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-0.43238434163701095</v>
      </c>
      <c r="Q255">
        <f t="shared" si="960"/>
        <v>-162963906.25516024</v>
      </c>
      <c r="R255">
        <f t="shared" si="961"/>
        <v>11753800069.686485</v>
      </c>
      <c r="S255">
        <f t="shared" si="962"/>
        <v>117538.00069686485</v>
      </c>
      <c r="T255">
        <f t="shared" si="963"/>
        <v>117.53800069686486</v>
      </c>
    </row>
    <row r="256" spans="1:20" x14ac:dyDescent="0.25">
      <c r="A256" s="5">
        <v>44337</v>
      </c>
      <c r="B256">
        <v>0.14338999999999999</v>
      </c>
      <c r="C256">
        <v>0.14601</v>
      </c>
      <c r="D256">
        <v>9.6939999999999998E-2</v>
      </c>
      <c r="E256">
        <v>0.1138</v>
      </c>
      <c r="F256">
        <v>490348416.30000001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-0.312818422661504</v>
      </c>
      <c r="Q256">
        <f t="shared" si="960"/>
        <v>-153390018.14153251</v>
      </c>
      <c r="R256">
        <f t="shared" si="961"/>
        <v>11916763975.941645</v>
      </c>
      <c r="S256">
        <f t="shared" si="962"/>
        <v>119167.63975941644</v>
      </c>
      <c r="T256">
        <f t="shared" si="963"/>
        <v>119.16763975941645</v>
      </c>
    </row>
    <row r="257" spans="1:20" x14ac:dyDescent="0.25">
      <c r="A257" s="5">
        <v>44336</v>
      </c>
      <c r="B257">
        <v>0.11086</v>
      </c>
      <c r="C257">
        <v>0.14688000000000001</v>
      </c>
      <c r="D257">
        <v>0.1</v>
      </c>
      <c r="E257">
        <v>0.14346</v>
      </c>
      <c r="F257">
        <v>540108707.10000002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0.85409556313993151</v>
      </c>
      <c r="Q257">
        <f t="shared" si="960"/>
        <v>461304450.34735483</v>
      </c>
      <c r="R257">
        <f t="shared" si="961"/>
        <v>12070153994.083178</v>
      </c>
      <c r="S257">
        <f t="shared" si="962"/>
        <v>120701.53994083178</v>
      </c>
      <c r="T257">
        <f t="shared" si="963"/>
        <v>120.70153994083178</v>
      </c>
    </row>
    <row r="258" spans="1:20" x14ac:dyDescent="0.25">
      <c r="A258" s="5">
        <v>44335</v>
      </c>
      <c r="B258">
        <v>0.17518</v>
      </c>
      <c r="C258">
        <v>0.17781</v>
      </c>
      <c r="D258">
        <v>6.0819999999999999E-2</v>
      </c>
      <c r="E258">
        <v>0.11079</v>
      </c>
      <c r="F258">
        <v>898510106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-0.14573895204718348</v>
      </c>
      <c r="Q258">
        <f t="shared" si="960"/>
        <v>-130947921.25224374</v>
      </c>
      <c r="R258">
        <f t="shared" si="961"/>
        <v>11608849543.735823</v>
      </c>
      <c r="S258">
        <f t="shared" si="962"/>
        <v>116088.49543735823</v>
      </c>
      <c r="T258">
        <f t="shared" si="963"/>
        <v>116.08849543735823</v>
      </c>
    </row>
    <row r="259" spans="1:20" x14ac:dyDescent="0.25">
      <c r="A259" s="5">
        <v>44334</v>
      </c>
      <c r="B259">
        <v>0.16930000000000001</v>
      </c>
      <c r="C259">
        <v>0.18642</v>
      </c>
      <c r="D259">
        <v>0.1663</v>
      </c>
      <c r="E259">
        <v>0.17523</v>
      </c>
      <c r="F259">
        <v>231926897.5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-0.11232604373757515</v>
      </c>
      <c r="Q259">
        <f t="shared" si="960"/>
        <v>-26051430.832505111</v>
      </c>
      <c r="R259">
        <f t="shared" si="961"/>
        <v>11739797464.988066</v>
      </c>
      <c r="S259">
        <f t="shared" si="962"/>
        <v>117397.97464988066</v>
      </c>
      <c r="T259">
        <f t="shared" si="963"/>
        <v>117.39797464988067</v>
      </c>
    </row>
    <row r="260" spans="1:20" x14ac:dyDescent="0.25">
      <c r="A260" s="5">
        <v>44333</v>
      </c>
      <c r="B260">
        <v>0.18281</v>
      </c>
      <c r="C260">
        <v>0.183</v>
      </c>
      <c r="D260">
        <v>0.1608</v>
      </c>
      <c r="E260">
        <v>0.16911999999999999</v>
      </c>
      <c r="F260">
        <v>281593163.30000001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-0.25045045045045089</v>
      </c>
      <c r="Q260">
        <f t="shared" si="960"/>
        <v>-70525134.592252374</v>
      </c>
      <c r="R260">
        <f t="shared" si="961"/>
        <v>11765848895.82057</v>
      </c>
      <c r="S260">
        <f t="shared" si="962"/>
        <v>117658.48895820569</v>
      </c>
      <c r="T260">
        <f t="shared" si="963"/>
        <v>117.65848895820569</v>
      </c>
    </row>
    <row r="261" spans="1:20" x14ac:dyDescent="0.25">
      <c r="A261" s="5">
        <v>44332</v>
      </c>
      <c r="B261">
        <v>0.18540000000000001</v>
      </c>
      <c r="C261">
        <v>0.20388000000000001</v>
      </c>
      <c r="D261">
        <v>0.17197999999999999</v>
      </c>
      <c r="E261">
        <v>0.18295</v>
      </c>
      <c r="F261">
        <v>288338660.60000002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-0.31222570532915339</v>
      </c>
      <c r="Q261">
        <f t="shared" si="960"/>
        <v>-90026741.679498374</v>
      </c>
      <c r="R261">
        <f t="shared" si="961"/>
        <v>11836374030.412823</v>
      </c>
      <c r="S261">
        <f t="shared" si="962"/>
        <v>118363.74030412822</v>
      </c>
      <c r="T261">
        <f t="shared" si="963"/>
        <v>118.36374030412823</v>
      </c>
    </row>
    <row r="262" spans="1:20" x14ac:dyDescent="0.25">
      <c r="A262" s="5">
        <v>44331</v>
      </c>
      <c r="B262">
        <v>0.20066000000000001</v>
      </c>
      <c r="C262">
        <v>0.20499999999999999</v>
      </c>
      <c r="D262">
        <v>0.18284</v>
      </c>
      <c r="E262">
        <v>0.18546000000000001</v>
      </c>
      <c r="F262">
        <v>226193813.69999999</v>
      </c>
      <c r="G262">
        <v>0</v>
      </c>
      <c r="L262" t="s">
        <v>7</v>
      </c>
      <c r="M262" t="s">
        <v>8</v>
      </c>
      <c r="N262" t="s">
        <v>7</v>
      </c>
      <c r="P262">
        <f t="shared" ref="P262:P325" si="964">IF(C262=D262,0,((E262-D262)-(C262-E262))/(C262-D262))</f>
        <v>-0.76353790613718298</v>
      </c>
      <c r="Q262">
        <f t="shared" ref="Q262:Q325" si="965">F262*P262</f>
        <v>-172707550.89368203</v>
      </c>
      <c r="R262">
        <f t="shared" ref="R262:R325" si="966">R263+Q262</f>
        <v>11926400772.092321</v>
      </c>
      <c r="S262">
        <f t="shared" ref="S262:S325" si="967">R262/100000</f>
        <v>119264.00772092321</v>
      </c>
      <c r="T262">
        <f t="shared" ref="T262:T325" si="968">S262/1000</f>
        <v>119.26400772092322</v>
      </c>
    </row>
    <row r="263" spans="1:20" x14ac:dyDescent="0.25">
      <c r="A263" s="5">
        <v>44330</v>
      </c>
      <c r="B263">
        <v>0.18572</v>
      </c>
      <c r="C263">
        <v>0.20688999999999999</v>
      </c>
      <c r="D263">
        <v>0.18459999999999999</v>
      </c>
      <c r="E263">
        <v>0.20074</v>
      </c>
      <c r="F263">
        <v>220231645.80000001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0.44818304172274676</v>
      </c>
      <c r="Q263">
        <f t="shared" si="965"/>
        <v>98704088.898250595</v>
      </c>
      <c r="R263">
        <f t="shared" si="966"/>
        <v>12099108322.986004</v>
      </c>
      <c r="S263">
        <f t="shared" si="967"/>
        <v>120991.08322986004</v>
      </c>
      <c r="T263">
        <f t="shared" si="968"/>
        <v>120.99108322986004</v>
      </c>
    </row>
    <row r="264" spans="1:20" x14ac:dyDescent="0.25">
      <c r="A264" s="5">
        <v>44329</v>
      </c>
      <c r="B264">
        <v>0.18034</v>
      </c>
      <c r="C264">
        <v>0.19825999999999999</v>
      </c>
      <c r="D264">
        <v>0.17</v>
      </c>
      <c r="E264">
        <v>0.18542</v>
      </c>
      <c r="F264">
        <v>382023095.89999998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9.1295116772823814E-2</v>
      </c>
      <c r="Q264">
        <f t="shared" si="965"/>
        <v>34876843.150106169</v>
      </c>
      <c r="R264">
        <f t="shared" si="966"/>
        <v>12000404234.087753</v>
      </c>
      <c r="S264">
        <f t="shared" si="967"/>
        <v>120004.04234087754</v>
      </c>
      <c r="T264">
        <f t="shared" si="968"/>
        <v>120.00404234087753</v>
      </c>
    </row>
    <row r="265" spans="1:20" x14ac:dyDescent="0.25">
      <c r="A265" s="5">
        <v>44328</v>
      </c>
      <c r="B265">
        <v>0.21937000000000001</v>
      </c>
      <c r="C265">
        <v>0.2228</v>
      </c>
      <c r="D265">
        <v>0.17657</v>
      </c>
      <c r="E265">
        <v>0.18052000000000001</v>
      </c>
      <c r="F265">
        <v>302769977.60000002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-0.82911529309971843</v>
      </c>
      <c r="Q265">
        <f t="shared" si="965"/>
        <v>-251031218.71961921</v>
      </c>
      <c r="R265">
        <f t="shared" si="966"/>
        <v>11965527390.937647</v>
      </c>
      <c r="S265">
        <f t="shared" si="967"/>
        <v>119655.27390937647</v>
      </c>
      <c r="T265">
        <f t="shared" si="968"/>
        <v>119.65527390937646</v>
      </c>
    </row>
    <row r="266" spans="1:20" x14ac:dyDescent="0.25">
      <c r="A266" s="5">
        <v>44327</v>
      </c>
      <c r="B266">
        <v>0.20741000000000001</v>
      </c>
      <c r="C266">
        <v>0.22338</v>
      </c>
      <c r="D266">
        <v>0.20197999999999999</v>
      </c>
      <c r="E266">
        <v>0.2195</v>
      </c>
      <c r="F266">
        <v>255941972.80000001</v>
      </c>
      <c r="G266">
        <v>0</v>
      </c>
      <c r="L266" t="s">
        <v>8</v>
      </c>
      <c r="M266" t="s">
        <v>7</v>
      </c>
      <c r="N266" t="s">
        <v>8</v>
      </c>
      <c r="P266">
        <f t="shared" si="964"/>
        <v>0.637383177570094</v>
      </c>
      <c r="Q266">
        <f t="shared" si="965"/>
        <v>163133107.89682257</v>
      </c>
      <c r="R266">
        <f t="shared" si="966"/>
        <v>12216558609.657267</v>
      </c>
      <c r="S266">
        <f t="shared" si="967"/>
        <v>122165.58609657266</v>
      </c>
      <c r="T266">
        <f t="shared" si="968"/>
        <v>122.16558609657267</v>
      </c>
    </row>
    <row r="267" spans="1:20" x14ac:dyDescent="0.25">
      <c r="A267" s="5">
        <v>44326</v>
      </c>
      <c r="B267">
        <v>0.23499999999999999</v>
      </c>
      <c r="C267">
        <v>0.25</v>
      </c>
      <c r="D267">
        <v>0.19463</v>
      </c>
      <c r="E267">
        <v>0.20760999999999999</v>
      </c>
      <c r="F267">
        <v>488625029.10000002</v>
      </c>
      <c r="G267">
        <v>0</v>
      </c>
      <c r="L267" t="s">
        <v>7</v>
      </c>
      <c r="M267" t="s">
        <v>7</v>
      </c>
      <c r="N267" t="s">
        <v>8</v>
      </c>
      <c r="P267">
        <f t="shared" si="964"/>
        <v>-0.53115405454217113</v>
      </c>
      <c r="Q267">
        <f t="shared" si="965"/>
        <v>-259535165.35725138</v>
      </c>
      <c r="R267">
        <f t="shared" si="966"/>
        <v>12053425501.760445</v>
      </c>
      <c r="S267">
        <f t="shared" si="967"/>
        <v>120534.25501760445</v>
      </c>
      <c r="T267">
        <f t="shared" si="968"/>
        <v>120.53425501760445</v>
      </c>
    </row>
    <row r="268" spans="1:20" x14ac:dyDescent="0.25">
      <c r="A268" s="5">
        <v>44325</v>
      </c>
      <c r="B268">
        <v>0.23451</v>
      </c>
      <c r="C268">
        <v>0.24199999999999999</v>
      </c>
      <c r="D268">
        <v>0.21653</v>
      </c>
      <c r="E268">
        <v>0.23505999999999999</v>
      </c>
      <c r="F268">
        <v>350855314.39999998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0.45504515115822508</v>
      </c>
      <c r="Q268">
        <f t="shared" si="965"/>
        <v>159655009.57581457</v>
      </c>
      <c r="R268">
        <f t="shared" si="966"/>
        <v>12312960667.117697</v>
      </c>
      <c r="S268">
        <f t="shared" si="967"/>
        <v>123129.60667117697</v>
      </c>
      <c r="T268">
        <f t="shared" si="968"/>
        <v>123.12960667117697</v>
      </c>
    </row>
    <row r="269" spans="1:20" x14ac:dyDescent="0.25">
      <c r="A269" s="5">
        <v>44324</v>
      </c>
      <c r="B269">
        <v>0.22581999999999999</v>
      </c>
      <c r="C269">
        <v>0.24088000000000001</v>
      </c>
      <c r="D269">
        <v>0.223</v>
      </c>
      <c r="E269">
        <v>0.23446</v>
      </c>
      <c r="F269">
        <v>294765840.5</v>
      </c>
      <c r="G269">
        <v>0</v>
      </c>
      <c r="L269" t="s">
        <v>8</v>
      </c>
      <c r="M269" t="s">
        <v>7</v>
      </c>
      <c r="N269" t="s">
        <v>8</v>
      </c>
      <c r="P269">
        <f t="shared" si="964"/>
        <v>0.28187919463087174</v>
      </c>
      <c r="Q269">
        <f t="shared" si="965"/>
        <v>83088357.724831998</v>
      </c>
      <c r="R269">
        <f t="shared" si="966"/>
        <v>12153305657.541882</v>
      </c>
      <c r="S269">
        <f t="shared" si="967"/>
        <v>121533.05657541881</v>
      </c>
      <c r="T269">
        <f t="shared" si="968"/>
        <v>121.53305657541881</v>
      </c>
    </row>
    <row r="270" spans="1:20" x14ac:dyDescent="0.25">
      <c r="A270" s="5">
        <v>44323</v>
      </c>
      <c r="B270">
        <v>0.23351</v>
      </c>
      <c r="C270">
        <v>0.24504999999999999</v>
      </c>
      <c r="D270">
        <v>0.219</v>
      </c>
      <c r="E270">
        <v>0.22552</v>
      </c>
      <c r="F270">
        <v>393732068.80000001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-0.49942418426103641</v>
      </c>
      <c r="Q270">
        <f t="shared" si="965"/>
        <v>-196639317.27785027</v>
      </c>
      <c r="R270">
        <f t="shared" si="966"/>
        <v>12070217299.817049</v>
      </c>
      <c r="S270">
        <f t="shared" si="967"/>
        <v>120702.17299817048</v>
      </c>
      <c r="T270">
        <f t="shared" si="968"/>
        <v>120.70217299817048</v>
      </c>
    </row>
    <row r="271" spans="1:20" x14ac:dyDescent="0.25">
      <c r="A271" s="5">
        <v>44322</v>
      </c>
      <c r="B271">
        <v>0.21153</v>
      </c>
      <c r="C271">
        <v>0.25691000000000003</v>
      </c>
      <c r="D271">
        <v>0.20738999999999999</v>
      </c>
      <c r="E271">
        <v>0.23355000000000001</v>
      </c>
      <c r="F271">
        <v>934150613.39999998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5.6542810985460316E-2</v>
      </c>
      <c r="Q271">
        <f t="shared" si="965"/>
        <v>52819501.565428011</v>
      </c>
      <c r="R271">
        <f t="shared" si="966"/>
        <v>12266856617.0949</v>
      </c>
      <c r="S271">
        <f t="shared" si="967"/>
        <v>122668.56617094899</v>
      </c>
      <c r="T271">
        <f t="shared" si="968"/>
        <v>122.66856617094899</v>
      </c>
    </row>
    <row r="272" spans="1:20" x14ac:dyDescent="0.25">
      <c r="A272" s="5">
        <v>44321</v>
      </c>
      <c r="B272">
        <v>0.19319</v>
      </c>
      <c r="C272">
        <v>0.21765000000000001</v>
      </c>
      <c r="D272">
        <v>0.19120000000000001</v>
      </c>
      <c r="E272">
        <v>0.21168000000000001</v>
      </c>
      <c r="F272">
        <v>289196485.69999999</v>
      </c>
      <c r="G272">
        <v>0</v>
      </c>
      <c r="L272" t="s">
        <v>8</v>
      </c>
      <c r="M272" t="s">
        <v>8</v>
      </c>
      <c r="N272" t="s">
        <v>8</v>
      </c>
      <c r="P272">
        <f t="shared" si="964"/>
        <v>0.54858223062381828</v>
      </c>
      <c r="Q272">
        <f t="shared" si="965"/>
        <v>158648053.21387514</v>
      </c>
      <c r="R272">
        <f t="shared" si="966"/>
        <v>12214037115.529472</v>
      </c>
      <c r="S272">
        <f t="shared" si="967"/>
        <v>122140.37115529472</v>
      </c>
      <c r="T272">
        <f t="shared" si="968"/>
        <v>122.14037115529472</v>
      </c>
    </row>
    <row r="273" spans="1:20" x14ac:dyDescent="0.25">
      <c r="A273" s="5">
        <v>44320</v>
      </c>
      <c r="B273">
        <v>0.21179000000000001</v>
      </c>
      <c r="C273">
        <v>0.21235999999999999</v>
      </c>
      <c r="D273">
        <v>0.19073000000000001</v>
      </c>
      <c r="E273">
        <v>0.19300999999999999</v>
      </c>
      <c r="F273">
        <v>336291243.30000001</v>
      </c>
      <c r="G273">
        <v>0</v>
      </c>
      <c r="L273" t="s">
        <v>7</v>
      </c>
      <c r="M273" t="s">
        <v>8</v>
      </c>
      <c r="N273" t="s">
        <v>8</v>
      </c>
      <c r="P273">
        <f t="shared" si="964"/>
        <v>-0.78918169209431543</v>
      </c>
      <c r="Q273">
        <f t="shared" si="965"/>
        <v>-265394892.42399514</v>
      </c>
      <c r="R273">
        <f t="shared" si="966"/>
        <v>12055389062.315598</v>
      </c>
      <c r="S273">
        <f t="shared" si="967"/>
        <v>120553.89062315598</v>
      </c>
      <c r="T273">
        <f t="shared" si="968"/>
        <v>120.55389062315598</v>
      </c>
    </row>
    <row r="274" spans="1:20" x14ac:dyDescent="0.25">
      <c r="A274" s="5">
        <v>44319</v>
      </c>
      <c r="B274">
        <v>0.20441000000000001</v>
      </c>
      <c r="C274">
        <v>0.22500000000000001</v>
      </c>
      <c r="D274">
        <v>0.20352000000000001</v>
      </c>
      <c r="E274">
        <v>0.21163000000000001</v>
      </c>
      <c r="F274">
        <v>315993852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-0.24487895716945937</v>
      </c>
      <c r="Q274">
        <f t="shared" si="965"/>
        <v>-77380244.949720487</v>
      </c>
      <c r="R274">
        <f t="shared" si="966"/>
        <v>12320783954.739594</v>
      </c>
      <c r="S274">
        <f t="shared" si="967"/>
        <v>123207.83954739594</v>
      </c>
      <c r="T274">
        <f t="shared" si="968"/>
        <v>123.20783954739593</v>
      </c>
    </row>
    <row r="275" spans="1:20" x14ac:dyDescent="0.25">
      <c r="A275" s="5">
        <v>44318</v>
      </c>
      <c r="B275">
        <v>0.21024999999999999</v>
      </c>
      <c r="C275">
        <v>0.21082000000000001</v>
      </c>
      <c r="D275">
        <v>0.19803999999999999</v>
      </c>
      <c r="E275">
        <v>0.20441999999999999</v>
      </c>
      <c r="F275">
        <v>175380229</v>
      </c>
      <c r="G275">
        <v>0</v>
      </c>
      <c r="L275" t="s">
        <v>7</v>
      </c>
      <c r="M275" t="s">
        <v>7</v>
      </c>
      <c r="N275" t="s">
        <v>8</v>
      </c>
      <c r="P275">
        <f t="shared" si="964"/>
        <v>-1.5649452269186214E-3</v>
      </c>
      <c r="Q275">
        <f t="shared" si="965"/>
        <v>-274460.45226944477</v>
      </c>
      <c r="R275">
        <f t="shared" si="966"/>
        <v>12398164199.689314</v>
      </c>
      <c r="S275">
        <f t="shared" si="967"/>
        <v>123981.64199689314</v>
      </c>
      <c r="T275">
        <f t="shared" si="968"/>
        <v>123.98164199689315</v>
      </c>
    </row>
    <row r="276" spans="1:20" x14ac:dyDescent="0.25">
      <c r="A276" s="5">
        <v>44317</v>
      </c>
      <c r="B276">
        <v>0.20508999999999999</v>
      </c>
      <c r="C276">
        <v>0.2172</v>
      </c>
      <c r="D276">
        <v>0.20080999999999999</v>
      </c>
      <c r="E276">
        <v>0.21024999999999999</v>
      </c>
      <c r="F276">
        <v>269231027.80000001</v>
      </c>
      <c r="G276">
        <v>0</v>
      </c>
      <c r="L276" t="s">
        <v>8</v>
      </c>
      <c r="M276" t="s">
        <v>7</v>
      </c>
      <c r="N276" t="s">
        <v>8</v>
      </c>
      <c r="P276">
        <f t="shared" si="964"/>
        <v>0.15192190359975533</v>
      </c>
      <c r="Q276">
        <f t="shared" si="965"/>
        <v>40902090.251494646</v>
      </c>
      <c r="R276">
        <f t="shared" si="966"/>
        <v>12398438660.141582</v>
      </c>
      <c r="S276">
        <f t="shared" si="967"/>
        <v>123984.38660141583</v>
      </c>
      <c r="T276">
        <f t="shared" si="968"/>
        <v>123.98438660141582</v>
      </c>
    </row>
    <row r="277" spans="1:20" x14ac:dyDescent="0.25">
      <c r="A277" s="5">
        <v>44316</v>
      </c>
      <c r="B277">
        <v>0.192</v>
      </c>
      <c r="C277">
        <v>0.21</v>
      </c>
      <c r="D277">
        <v>0.18814</v>
      </c>
      <c r="E277">
        <v>0.20508000000000001</v>
      </c>
      <c r="F277">
        <v>251171025.69999999</v>
      </c>
      <c r="G277">
        <v>0</v>
      </c>
      <c r="L277" t="s">
        <v>8</v>
      </c>
      <c r="M277" t="s">
        <v>7</v>
      </c>
      <c r="N277" t="s">
        <v>8</v>
      </c>
      <c r="P277">
        <f t="shared" si="964"/>
        <v>0.54986276303751302</v>
      </c>
      <c r="Q277">
        <f t="shared" si="965"/>
        <v>138109594.1863682</v>
      </c>
      <c r="R277">
        <f t="shared" si="966"/>
        <v>12357536569.890087</v>
      </c>
      <c r="S277">
        <f t="shared" si="967"/>
        <v>123575.36569890087</v>
      </c>
      <c r="T277">
        <f t="shared" si="968"/>
        <v>123.57536569890087</v>
      </c>
    </row>
    <row r="278" spans="1:20" x14ac:dyDescent="0.25">
      <c r="A278" s="5">
        <v>44315</v>
      </c>
      <c r="B278">
        <v>0.19850000000000001</v>
      </c>
      <c r="C278">
        <v>0.20227999999999999</v>
      </c>
      <c r="D278">
        <v>0.18271000000000001</v>
      </c>
      <c r="E278">
        <v>0.19186</v>
      </c>
      <c r="F278">
        <v>268326660.80000001</v>
      </c>
      <c r="G278">
        <v>0</v>
      </c>
      <c r="L278" t="s">
        <v>7</v>
      </c>
      <c r="M278" t="s">
        <v>7</v>
      </c>
      <c r="N278" t="s">
        <v>8</v>
      </c>
      <c r="P278">
        <f t="shared" si="964"/>
        <v>-6.4895247828308369E-2</v>
      </c>
      <c r="Q278">
        <f t="shared" si="965"/>
        <v>-17413125.151558436</v>
      </c>
      <c r="R278">
        <f t="shared" si="966"/>
        <v>12219426975.703718</v>
      </c>
      <c r="S278">
        <f t="shared" si="967"/>
        <v>122194.26975703718</v>
      </c>
      <c r="T278">
        <f t="shared" si="968"/>
        <v>122.19426975703718</v>
      </c>
    </row>
    <row r="279" spans="1:20" x14ac:dyDescent="0.25">
      <c r="A279" s="5">
        <v>44314</v>
      </c>
      <c r="B279">
        <v>0.21265999999999999</v>
      </c>
      <c r="C279">
        <v>0.22355</v>
      </c>
      <c r="D279">
        <v>0.18329000000000001</v>
      </c>
      <c r="E279">
        <v>0.19855999999999999</v>
      </c>
      <c r="F279">
        <v>531601163.5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-0.2414307004470948</v>
      </c>
      <c r="Q279">
        <f t="shared" si="965"/>
        <v>-128344841.26229557</v>
      </c>
      <c r="R279">
        <f t="shared" si="966"/>
        <v>12236840100.855276</v>
      </c>
      <c r="S279">
        <f t="shared" si="967"/>
        <v>122368.40100855276</v>
      </c>
      <c r="T279">
        <f t="shared" si="968"/>
        <v>122.36840100855275</v>
      </c>
    </row>
    <row r="280" spans="1:20" x14ac:dyDescent="0.25">
      <c r="A280" s="5">
        <v>44313</v>
      </c>
      <c r="B280">
        <v>0.16455</v>
      </c>
      <c r="C280">
        <v>0.217</v>
      </c>
      <c r="D280">
        <v>0.16051000000000001</v>
      </c>
      <c r="E280">
        <v>0.2127</v>
      </c>
      <c r="F280">
        <v>761508039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0.84776066560453178</v>
      </c>
      <c r="Q280">
        <f t="shared" si="965"/>
        <v>645576562.00584173</v>
      </c>
      <c r="R280">
        <f t="shared" si="966"/>
        <v>12365184942.117571</v>
      </c>
      <c r="S280">
        <f t="shared" si="967"/>
        <v>123651.84942117571</v>
      </c>
      <c r="T280">
        <f t="shared" si="968"/>
        <v>123.65184942117571</v>
      </c>
    </row>
    <row r="281" spans="1:20" x14ac:dyDescent="0.25">
      <c r="A281" s="5">
        <v>44312</v>
      </c>
      <c r="B281">
        <v>0.14138000000000001</v>
      </c>
      <c r="C281">
        <v>0.16749</v>
      </c>
      <c r="D281">
        <v>0.13958000000000001</v>
      </c>
      <c r="E281">
        <v>0.16438</v>
      </c>
      <c r="F281">
        <v>260643269.59999999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0.77714080974561073</v>
      </c>
      <c r="Q281">
        <f t="shared" si="965"/>
        <v>202556521.59168753</v>
      </c>
      <c r="R281">
        <f t="shared" si="966"/>
        <v>11719608380.111729</v>
      </c>
      <c r="S281">
        <f t="shared" si="967"/>
        <v>117196.08380111729</v>
      </c>
      <c r="T281">
        <f t="shared" si="968"/>
        <v>117.19608380111728</v>
      </c>
    </row>
    <row r="282" spans="1:20" x14ac:dyDescent="0.25">
      <c r="A282" s="5">
        <v>44311</v>
      </c>
      <c r="B282">
        <v>0.14352000000000001</v>
      </c>
      <c r="C282">
        <v>0.16</v>
      </c>
      <c r="D282">
        <v>0.13206000000000001</v>
      </c>
      <c r="E282">
        <v>0.14111000000000001</v>
      </c>
      <c r="F282">
        <v>186732539.09999999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-0.35218324982104476</v>
      </c>
      <c r="Q282">
        <f t="shared" si="965"/>
        <v>-65764072.467573307</v>
      </c>
      <c r="R282">
        <f t="shared" si="966"/>
        <v>11517051858.520041</v>
      </c>
      <c r="S282">
        <f t="shared" si="967"/>
        <v>115170.51858520041</v>
      </c>
      <c r="T282">
        <f t="shared" si="968"/>
        <v>115.17051858520041</v>
      </c>
    </row>
    <row r="283" spans="1:20" x14ac:dyDescent="0.25">
      <c r="A283" s="5">
        <v>44310</v>
      </c>
      <c r="B283">
        <v>0.15892000000000001</v>
      </c>
      <c r="C283">
        <v>0.1598</v>
      </c>
      <c r="D283">
        <v>0.14219999999999999</v>
      </c>
      <c r="E283">
        <v>0.14354</v>
      </c>
      <c r="F283">
        <v>170838962.69999999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-0.84772727272727189</v>
      </c>
      <c r="Q283">
        <f t="shared" si="965"/>
        <v>-144824847.92522711</v>
      </c>
      <c r="R283">
        <f t="shared" si="966"/>
        <v>11582815930.987614</v>
      </c>
      <c r="S283">
        <f t="shared" si="967"/>
        <v>115828.15930987614</v>
      </c>
      <c r="T283">
        <f t="shared" si="968"/>
        <v>115.82815930987614</v>
      </c>
    </row>
    <row r="284" spans="1:20" x14ac:dyDescent="0.25">
      <c r="A284" s="5">
        <v>44309</v>
      </c>
      <c r="B284">
        <v>0.16194</v>
      </c>
      <c r="C284">
        <v>0.16627</v>
      </c>
      <c r="D284">
        <v>0.11749999999999999</v>
      </c>
      <c r="E284">
        <v>0.15917999999999999</v>
      </c>
      <c r="F284">
        <v>559303978.5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0.70924748820996464</v>
      </c>
      <c r="Q284">
        <f t="shared" si="965"/>
        <v>396684941.89696509</v>
      </c>
      <c r="R284">
        <f t="shared" si="966"/>
        <v>11727640778.91284</v>
      </c>
      <c r="S284">
        <f t="shared" si="967"/>
        <v>117276.4077891284</v>
      </c>
      <c r="T284">
        <f t="shared" si="968"/>
        <v>117.2764077891284</v>
      </c>
    </row>
    <row r="285" spans="1:20" x14ac:dyDescent="0.25">
      <c r="A285" s="5">
        <v>44308</v>
      </c>
      <c r="B285">
        <v>0.17591000000000001</v>
      </c>
      <c r="C285">
        <v>0.1915</v>
      </c>
      <c r="D285">
        <v>0.157</v>
      </c>
      <c r="E285">
        <v>0.16199</v>
      </c>
      <c r="F285">
        <v>334451547.39999998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-0.71072463768115979</v>
      </c>
      <c r="Q285">
        <f t="shared" si="965"/>
        <v>-237702954.84776822</v>
      </c>
      <c r="R285">
        <f t="shared" si="966"/>
        <v>11330955837.015875</v>
      </c>
      <c r="S285">
        <f t="shared" si="967"/>
        <v>113309.55837015875</v>
      </c>
      <c r="T285">
        <f t="shared" si="968"/>
        <v>113.30955837015874</v>
      </c>
    </row>
    <row r="286" spans="1:20" x14ac:dyDescent="0.25">
      <c r="A286" s="5">
        <v>44307</v>
      </c>
      <c r="B286">
        <v>0.19234999999999999</v>
      </c>
      <c r="C286">
        <v>0.19499</v>
      </c>
      <c r="D286">
        <v>0.17432</v>
      </c>
      <c r="E286">
        <v>0.1757</v>
      </c>
      <c r="F286">
        <v>226993419.59999999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-0.86647314949201815</v>
      </c>
      <c r="Q286">
        <f t="shared" si="965"/>
        <v>-196683703.19477519</v>
      </c>
      <c r="R286">
        <f t="shared" si="966"/>
        <v>11568658791.863644</v>
      </c>
      <c r="S286">
        <f t="shared" si="967"/>
        <v>115686.58791863643</v>
      </c>
      <c r="T286">
        <f t="shared" si="968"/>
        <v>115.68658791863643</v>
      </c>
    </row>
    <row r="287" spans="1:20" x14ac:dyDescent="0.25">
      <c r="A287" s="5">
        <v>44306</v>
      </c>
      <c r="B287">
        <v>0.18126</v>
      </c>
      <c r="C287">
        <v>0.19592999999999999</v>
      </c>
      <c r="D287">
        <v>0.16414999999999999</v>
      </c>
      <c r="E287">
        <v>0.19255</v>
      </c>
      <c r="F287">
        <v>362119352.5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0.78728760226557626</v>
      </c>
      <c r="Q287">
        <f t="shared" si="965"/>
        <v>285092076.76368803</v>
      </c>
      <c r="R287">
        <f t="shared" si="966"/>
        <v>11765342495.058418</v>
      </c>
      <c r="S287">
        <f t="shared" si="967"/>
        <v>117653.42495058419</v>
      </c>
      <c r="T287">
        <f t="shared" si="968"/>
        <v>117.65342495058418</v>
      </c>
    </row>
    <row r="288" spans="1:20" x14ac:dyDescent="0.25">
      <c r="A288" s="5">
        <v>44305</v>
      </c>
      <c r="B288">
        <v>0.20179</v>
      </c>
      <c r="C288">
        <v>0.20910000000000001</v>
      </c>
      <c r="D288">
        <v>0.17756</v>
      </c>
      <c r="E288">
        <v>0.1812</v>
      </c>
      <c r="F288">
        <v>288178435.10000002</v>
      </c>
      <c r="G288">
        <v>0</v>
      </c>
      <c r="L288" t="s">
        <v>8</v>
      </c>
      <c r="M288" t="s">
        <v>7</v>
      </c>
      <c r="N288" t="s">
        <v>7</v>
      </c>
      <c r="P288">
        <f t="shared" si="964"/>
        <v>-0.76918199112238406</v>
      </c>
      <c r="Q288">
        <f t="shared" si="965"/>
        <v>-221661662.50875074</v>
      </c>
      <c r="R288">
        <f t="shared" si="966"/>
        <v>11480250418.294731</v>
      </c>
      <c r="S288">
        <f t="shared" si="967"/>
        <v>114802.5041829473</v>
      </c>
      <c r="T288">
        <f t="shared" si="968"/>
        <v>114.8025041829473</v>
      </c>
    </row>
    <row r="289" spans="1:20" x14ac:dyDescent="0.25">
      <c r="A289" s="5">
        <v>44304</v>
      </c>
      <c r="B289">
        <v>0.22023999999999999</v>
      </c>
      <c r="C289">
        <v>0.22439000000000001</v>
      </c>
      <c r="D289">
        <v>0.17402999999999999</v>
      </c>
      <c r="E289">
        <v>0.20169000000000001</v>
      </c>
      <c r="F289">
        <v>415948837.39999998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9.8490865766481694E-2</v>
      </c>
      <c r="Q289">
        <f t="shared" si="965"/>
        <v>40967161.110087521</v>
      </c>
      <c r="R289">
        <f t="shared" si="966"/>
        <v>11701912080.803482</v>
      </c>
      <c r="S289">
        <f t="shared" si="967"/>
        <v>117019.12080803482</v>
      </c>
      <c r="T289">
        <f t="shared" si="968"/>
        <v>117.01912080803481</v>
      </c>
    </row>
    <row r="290" spans="1:20" x14ac:dyDescent="0.25">
      <c r="A290" s="5">
        <v>44303</v>
      </c>
      <c r="B290">
        <v>0.23666000000000001</v>
      </c>
      <c r="C290">
        <v>0.25477</v>
      </c>
      <c r="D290">
        <v>0.21443999999999999</v>
      </c>
      <c r="E290">
        <v>0.22020000000000001</v>
      </c>
      <c r="F290">
        <v>463689230.19999999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-0.71435655839325496</v>
      </c>
      <c r="Q290">
        <f t="shared" si="965"/>
        <v>-331239442.64968973</v>
      </c>
      <c r="R290">
        <f t="shared" si="966"/>
        <v>11660944919.693394</v>
      </c>
      <c r="S290">
        <f t="shared" si="967"/>
        <v>116609.44919693394</v>
      </c>
      <c r="T290">
        <f t="shared" si="968"/>
        <v>116.60944919693394</v>
      </c>
    </row>
    <row r="291" spans="1:20" x14ac:dyDescent="0.25">
      <c r="A291" s="5">
        <v>44302</v>
      </c>
      <c r="B291">
        <v>0.21565999999999999</v>
      </c>
      <c r="C291">
        <v>0.24299999999999999</v>
      </c>
      <c r="D291">
        <v>0.19499</v>
      </c>
      <c r="E291">
        <v>0.23657</v>
      </c>
      <c r="F291">
        <v>438548184.19999999</v>
      </c>
      <c r="G291">
        <v>0</v>
      </c>
      <c r="L291" t="s">
        <v>8</v>
      </c>
      <c r="M291" t="s">
        <v>8</v>
      </c>
      <c r="N291" t="s">
        <v>8</v>
      </c>
      <c r="P291">
        <f t="shared" si="964"/>
        <v>0.73213913767965044</v>
      </c>
      <c r="Q291">
        <f t="shared" si="965"/>
        <v>321078289.41116452</v>
      </c>
      <c r="R291">
        <f t="shared" si="966"/>
        <v>11992184362.343084</v>
      </c>
      <c r="S291">
        <f t="shared" si="967"/>
        <v>119921.84362343085</v>
      </c>
      <c r="T291">
        <f t="shared" si="968"/>
        <v>119.92184362343085</v>
      </c>
    </row>
    <row r="292" spans="1:20" x14ac:dyDescent="0.25">
      <c r="A292" s="5">
        <v>44301</v>
      </c>
      <c r="B292">
        <v>0.20033999999999999</v>
      </c>
      <c r="C292">
        <v>0.21990000000000001</v>
      </c>
      <c r="D292">
        <v>0.19666</v>
      </c>
      <c r="E292">
        <v>0.21575</v>
      </c>
      <c r="F292">
        <v>279385521.5</v>
      </c>
      <c r="G292">
        <v>0</v>
      </c>
      <c r="L292" t="s">
        <v>8</v>
      </c>
      <c r="M292" t="s">
        <v>7</v>
      </c>
      <c r="N292" t="s">
        <v>8</v>
      </c>
      <c r="P292">
        <f t="shared" si="964"/>
        <v>0.64285714285714179</v>
      </c>
      <c r="Q292">
        <f t="shared" si="965"/>
        <v>179604978.10714257</v>
      </c>
      <c r="R292">
        <f t="shared" si="966"/>
        <v>11671106072.931919</v>
      </c>
      <c r="S292">
        <f t="shared" si="967"/>
        <v>116711.06072931919</v>
      </c>
      <c r="T292">
        <f t="shared" si="968"/>
        <v>116.71106072931919</v>
      </c>
    </row>
    <row r="293" spans="1:20" x14ac:dyDescent="0.25">
      <c r="A293" s="5">
        <v>44300</v>
      </c>
      <c r="B293">
        <v>0.20277999999999999</v>
      </c>
      <c r="C293">
        <v>0.20333999999999999</v>
      </c>
      <c r="D293">
        <v>0.18994</v>
      </c>
      <c r="E293">
        <v>0.20019999999999999</v>
      </c>
      <c r="F293">
        <v>229676542.30000001</v>
      </c>
      <c r="G293">
        <v>0</v>
      </c>
      <c r="L293" t="s">
        <v>7</v>
      </c>
      <c r="M293" t="s">
        <v>7</v>
      </c>
      <c r="N293" t="s">
        <v>8</v>
      </c>
      <c r="P293">
        <f t="shared" si="964"/>
        <v>0.53134328358208882</v>
      </c>
      <c r="Q293">
        <f t="shared" si="965"/>
        <v>122037088.14746253</v>
      </c>
      <c r="R293">
        <f t="shared" si="966"/>
        <v>11491501094.824776</v>
      </c>
      <c r="S293">
        <f t="shared" si="967"/>
        <v>114915.01094824776</v>
      </c>
      <c r="T293">
        <f t="shared" si="968"/>
        <v>114.91501094824775</v>
      </c>
    </row>
    <row r="294" spans="1:20" x14ac:dyDescent="0.25">
      <c r="A294" s="5">
        <v>44299</v>
      </c>
      <c r="B294">
        <v>0.19636999999999999</v>
      </c>
      <c r="C294">
        <v>0.20596</v>
      </c>
      <c r="D294">
        <v>0.19044</v>
      </c>
      <c r="E294">
        <v>0.20277999999999999</v>
      </c>
      <c r="F294">
        <v>220982906.5</v>
      </c>
      <c r="G294">
        <v>0</v>
      </c>
      <c r="L294" t="s">
        <v>8</v>
      </c>
      <c r="M294" t="s">
        <v>7</v>
      </c>
      <c r="N294" t="s">
        <v>8</v>
      </c>
      <c r="P294">
        <f t="shared" si="964"/>
        <v>0.59020618556700843</v>
      </c>
      <c r="Q294">
        <f t="shared" si="965"/>
        <v>130425478.32087587</v>
      </c>
      <c r="R294">
        <f t="shared" si="966"/>
        <v>11369464006.677313</v>
      </c>
      <c r="S294">
        <f t="shared" si="967"/>
        <v>113694.64006677312</v>
      </c>
      <c r="T294">
        <f t="shared" si="968"/>
        <v>113.69464006677312</v>
      </c>
    </row>
    <row r="295" spans="1:20" x14ac:dyDescent="0.25">
      <c r="A295" s="5">
        <v>44298</v>
      </c>
      <c r="B295">
        <v>0.20458000000000001</v>
      </c>
      <c r="C295">
        <v>0.20552999999999999</v>
      </c>
      <c r="D295">
        <v>0.19284000000000001</v>
      </c>
      <c r="E295">
        <v>0.19650999999999999</v>
      </c>
      <c r="F295">
        <v>171192208.30000001</v>
      </c>
      <c r="G295">
        <v>0</v>
      </c>
      <c r="L295" t="s">
        <v>7</v>
      </c>
      <c r="M295" t="s">
        <v>7</v>
      </c>
      <c r="N295" t="s">
        <v>8</v>
      </c>
      <c r="P295">
        <f t="shared" si="964"/>
        <v>-0.42159180457053036</v>
      </c>
      <c r="Q295">
        <f t="shared" si="965"/>
        <v>-72173232.025611132</v>
      </c>
      <c r="R295">
        <f t="shared" si="966"/>
        <v>11239038528.356438</v>
      </c>
      <c r="S295">
        <f t="shared" si="967"/>
        <v>112390.38528356438</v>
      </c>
      <c r="T295">
        <f t="shared" si="968"/>
        <v>112.39038528356437</v>
      </c>
    </row>
    <row r="296" spans="1:20" x14ac:dyDescent="0.25">
      <c r="A296" s="5">
        <v>44297</v>
      </c>
      <c r="B296">
        <v>0.20807999999999999</v>
      </c>
      <c r="C296">
        <v>0.20993000000000001</v>
      </c>
      <c r="D296">
        <v>0.20105000000000001</v>
      </c>
      <c r="E296">
        <v>0.20444999999999999</v>
      </c>
      <c r="F296">
        <v>151474157.19999999</v>
      </c>
      <c r="G296">
        <v>0</v>
      </c>
      <c r="L296" t="s">
        <v>7</v>
      </c>
      <c r="M296" t="s">
        <v>7</v>
      </c>
      <c r="N296" t="s">
        <v>8</v>
      </c>
      <c r="P296">
        <f t="shared" si="964"/>
        <v>-0.23423423423423723</v>
      </c>
      <c r="Q296">
        <f t="shared" si="965"/>
        <v>-35480433.218018465</v>
      </c>
      <c r="R296">
        <f t="shared" si="966"/>
        <v>11311211760.38205</v>
      </c>
      <c r="S296">
        <f t="shared" si="967"/>
        <v>113112.1176038205</v>
      </c>
      <c r="T296">
        <f t="shared" si="968"/>
        <v>113.11211760382051</v>
      </c>
    </row>
    <row r="297" spans="1:20" x14ac:dyDescent="0.25">
      <c r="A297" s="5">
        <v>44296</v>
      </c>
      <c r="B297">
        <v>0.21908</v>
      </c>
      <c r="C297">
        <v>0.21951999999999999</v>
      </c>
      <c r="D297">
        <v>0.20207</v>
      </c>
      <c r="E297">
        <v>0.20802000000000001</v>
      </c>
      <c r="F297">
        <v>191358563</v>
      </c>
      <c r="G297">
        <v>0</v>
      </c>
      <c r="L297" t="s">
        <v>7</v>
      </c>
      <c r="M297" t="s">
        <v>7</v>
      </c>
      <c r="N297" t="s">
        <v>8</v>
      </c>
      <c r="P297">
        <f t="shared" si="964"/>
        <v>-0.31805157593123057</v>
      </c>
      <c r="Q297">
        <f t="shared" si="965"/>
        <v>-60861892.530085668</v>
      </c>
      <c r="R297">
        <f t="shared" si="966"/>
        <v>11346692193.600067</v>
      </c>
      <c r="S297">
        <f t="shared" si="967"/>
        <v>113466.92193600067</v>
      </c>
      <c r="T297">
        <f t="shared" si="968"/>
        <v>113.46692193600067</v>
      </c>
    </row>
    <row r="298" spans="1:20" x14ac:dyDescent="0.25">
      <c r="A298" s="5">
        <v>44295</v>
      </c>
      <c r="B298">
        <v>0.20613999999999999</v>
      </c>
      <c r="C298">
        <v>0.21964</v>
      </c>
      <c r="D298">
        <v>0.2</v>
      </c>
      <c r="E298">
        <v>0.21908</v>
      </c>
      <c r="F298">
        <v>202853513</v>
      </c>
      <c r="G298">
        <v>0</v>
      </c>
      <c r="L298" t="s">
        <v>8</v>
      </c>
      <c r="M298" t="s">
        <v>7</v>
      </c>
      <c r="N298" t="s">
        <v>8</v>
      </c>
      <c r="P298">
        <f t="shared" si="964"/>
        <v>0.94297352342158802</v>
      </c>
      <c r="Q298">
        <f t="shared" si="965"/>
        <v>191285491.89205691</v>
      </c>
      <c r="R298">
        <f t="shared" si="966"/>
        <v>11407554086.130154</v>
      </c>
      <c r="S298">
        <f t="shared" si="967"/>
        <v>114075.54086130153</v>
      </c>
      <c r="T298">
        <f t="shared" si="968"/>
        <v>114.07554086130153</v>
      </c>
    </row>
    <row r="299" spans="1:20" x14ac:dyDescent="0.25">
      <c r="A299" s="5">
        <v>44294</v>
      </c>
      <c r="B299">
        <v>0.19117000000000001</v>
      </c>
      <c r="C299">
        <v>0.20924999999999999</v>
      </c>
      <c r="D299">
        <v>0.18926999999999999</v>
      </c>
      <c r="E299">
        <v>0.20627999999999999</v>
      </c>
      <c r="F299">
        <v>204687132.59999999</v>
      </c>
      <c r="G299">
        <v>0</v>
      </c>
      <c r="L299" t="s">
        <v>8</v>
      </c>
      <c r="M299" t="s">
        <v>7</v>
      </c>
      <c r="N299" t="s">
        <v>8</v>
      </c>
      <c r="P299">
        <f t="shared" si="964"/>
        <v>0.70270270270270263</v>
      </c>
      <c r="Q299">
        <f t="shared" si="965"/>
        <v>143834201.28648648</v>
      </c>
      <c r="R299">
        <f t="shared" si="966"/>
        <v>11216268594.238096</v>
      </c>
      <c r="S299">
        <f t="shared" si="967"/>
        <v>112162.68594238097</v>
      </c>
      <c r="T299">
        <f t="shared" si="968"/>
        <v>112.16268594238096</v>
      </c>
    </row>
    <row r="300" spans="1:20" x14ac:dyDescent="0.25">
      <c r="A300" s="5">
        <v>44293</v>
      </c>
      <c r="B300">
        <v>0.20508999999999999</v>
      </c>
      <c r="C300">
        <v>0.20596</v>
      </c>
      <c r="D300">
        <v>0.18132000000000001</v>
      </c>
      <c r="E300">
        <v>0.19095999999999999</v>
      </c>
      <c r="F300">
        <v>324074158.19999999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-0.21753246753246885</v>
      </c>
      <c r="Q300">
        <f t="shared" si="965"/>
        <v>-70496651.296753675</v>
      </c>
      <c r="R300">
        <f t="shared" si="966"/>
        <v>11072434392.951611</v>
      </c>
      <c r="S300">
        <f t="shared" si="967"/>
        <v>110724.34392951611</v>
      </c>
      <c r="T300">
        <f t="shared" si="968"/>
        <v>110.72434392951611</v>
      </c>
    </row>
    <row r="301" spans="1:20" x14ac:dyDescent="0.25">
      <c r="A301" s="5">
        <v>44292</v>
      </c>
      <c r="B301">
        <v>0.21171000000000001</v>
      </c>
      <c r="C301">
        <v>0.222</v>
      </c>
      <c r="D301">
        <v>0.19320000000000001</v>
      </c>
      <c r="E301">
        <v>0.20502999999999999</v>
      </c>
      <c r="F301">
        <v>331367739.19999999</v>
      </c>
      <c r="G301">
        <v>0</v>
      </c>
      <c r="L301" t="s">
        <v>7</v>
      </c>
      <c r="M301" t="s">
        <v>8</v>
      </c>
      <c r="N301" t="s">
        <v>8</v>
      </c>
      <c r="P301">
        <f t="shared" si="964"/>
        <v>-0.17847222222222342</v>
      </c>
      <c r="Q301">
        <f t="shared" si="965"/>
        <v>-59139936.787778169</v>
      </c>
      <c r="R301">
        <f t="shared" si="966"/>
        <v>11142931044.248363</v>
      </c>
      <c r="S301">
        <f t="shared" si="967"/>
        <v>111429.31044248363</v>
      </c>
      <c r="T301">
        <f t="shared" si="968"/>
        <v>111.42931044248364</v>
      </c>
    </row>
    <row r="302" spans="1:20" x14ac:dyDescent="0.25">
      <c r="A302" s="5">
        <v>44291</v>
      </c>
      <c r="B302">
        <v>0.22181000000000001</v>
      </c>
      <c r="C302">
        <v>0.22788</v>
      </c>
      <c r="D302">
        <v>0.20713000000000001</v>
      </c>
      <c r="E302">
        <v>0.21171000000000001</v>
      </c>
      <c r="F302">
        <v>436441295.39999998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-0.55855421686746964</v>
      </c>
      <c r="Q302">
        <f t="shared" si="965"/>
        <v>-243776125.96077096</v>
      </c>
      <c r="R302">
        <f t="shared" si="966"/>
        <v>11202070981.036142</v>
      </c>
      <c r="S302">
        <f t="shared" si="967"/>
        <v>112020.70981036143</v>
      </c>
      <c r="T302">
        <f t="shared" si="968"/>
        <v>112.02070981036142</v>
      </c>
    </row>
    <row r="303" spans="1:20" x14ac:dyDescent="0.25">
      <c r="A303" s="5">
        <v>44290</v>
      </c>
      <c r="B303">
        <v>0.18140000000000001</v>
      </c>
      <c r="C303">
        <v>0.22425999999999999</v>
      </c>
      <c r="D303">
        <v>0.17852000000000001</v>
      </c>
      <c r="E303">
        <v>0.22159000000000001</v>
      </c>
      <c r="F303">
        <v>489345720.10000002</v>
      </c>
      <c r="G303">
        <v>0</v>
      </c>
      <c r="L303" t="s">
        <v>7</v>
      </c>
      <c r="M303" t="s">
        <v>8</v>
      </c>
      <c r="N303" t="s">
        <v>8</v>
      </c>
      <c r="P303">
        <f t="shared" si="964"/>
        <v>0.88325317009182425</v>
      </c>
      <c r="Q303">
        <f t="shared" si="965"/>
        <v>432216158.54919153</v>
      </c>
      <c r="R303">
        <f t="shared" si="966"/>
        <v>11445847106.996914</v>
      </c>
      <c r="S303">
        <f t="shared" si="967"/>
        <v>114458.47106996913</v>
      </c>
      <c r="T303">
        <f t="shared" si="968"/>
        <v>114.45847106996914</v>
      </c>
    </row>
    <row r="304" spans="1:20" x14ac:dyDescent="0.25">
      <c r="A304" s="5">
        <v>44289</v>
      </c>
      <c r="B304">
        <v>0.20238</v>
      </c>
      <c r="C304">
        <v>0.20885000000000001</v>
      </c>
      <c r="D304">
        <v>0.18007000000000001</v>
      </c>
      <c r="E304">
        <v>0.18160000000000001</v>
      </c>
      <c r="F304">
        <v>335947856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-0.89367616400277949</v>
      </c>
      <c r="Q304">
        <f t="shared" si="965"/>
        <v>-300228591.25503814</v>
      </c>
      <c r="R304">
        <f t="shared" si="966"/>
        <v>11013630948.447721</v>
      </c>
      <c r="S304">
        <f t="shared" si="967"/>
        <v>110136.30948447721</v>
      </c>
      <c r="T304">
        <f t="shared" si="968"/>
        <v>110.13630948447721</v>
      </c>
    </row>
    <row r="305" spans="1:20" x14ac:dyDescent="0.25">
      <c r="A305" s="5">
        <v>44288</v>
      </c>
      <c r="B305">
        <v>0.17746000000000001</v>
      </c>
      <c r="C305">
        <v>0.21537999999999999</v>
      </c>
      <c r="D305">
        <v>0.17596000000000001</v>
      </c>
      <c r="E305">
        <v>0.20230999999999999</v>
      </c>
      <c r="F305">
        <v>525502874.5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0.33688483003551478</v>
      </c>
      <c r="Q305">
        <f t="shared" si="965"/>
        <v>177033946.55910695</v>
      </c>
      <c r="R305">
        <f t="shared" si="966"/>
        <v>11313859539.702759</v>
      </c>
      <c r="S305">
        <f t="shared" si="967"/>
        <v>113138.59539702759</v>
      </c>
      <c r="T305">
        <f t="shared" si="968"/>
        <v>113.13859539702759</v>
      </c>
    </row>
    <row r="306" spans="1:20" x14ac:dyDescent="0.25">
      <c r="A306" s="5">
        <v>44287</v>
      </c>
      <c r="B306">
        <v>0.17646000000000001</v>
      </c>
      <c r="C306">
        <v>0.18165000000000001</v>
      </c>
      <c r="D306">
        <v>0.17043</v>
      </c>
      <c r="E306">
        <v>0.17746000000000001</v>
      </c>
      <c r="F306">
        <v>159351968</v>
      </c>
      <c r="G306">
        <v>0</v>
      </c>
      <c r="L306" t="s">
        <v>8</v>
      </c>
      <c r="M306" t="s">
        <v>8</v>
      </c>
      <c r="N306" t="s">
        <v>7</v>
      </c>
      <c r="P306">
        <f t="shared" si="964"/>
        <v>0.25311942959001849</v>
      </c>
      <c r="Q306">
        <f t="shared" si="965"/>
        <v>40335079.244206876</v>
      </c>
      <c r="R306">
        <f t="shared" si="966"/>
        <v>11136825593.143652</v>
      </c>
      <c r="S306">
        <f t="shared" si="967"/>
        <v>111368.25593143652</v>
      </c>
      <c r="T306">
        <f t="shared" si="968"/>
        <v>111.36825593143652</v>
      </c>
    </row>
    <row r="307" spans="1:20" x14ac:dyDescent="0.25">
      <c r="A307" s="5">
        <v>44286</v>
      </c>
      <c r="B307">
        <v>0.18312999999999999</v>
      </c>
      <c r="C307">
        <v>0.189</v>
      </c>
      <c r="D307">
        <v>0.16700000000000001</v>
      </c>
      <c r="E307">
        <v>0.17646000000000001</v>
      </c>
      <c r="F307">
        <v>221050342.5</v>
      </c>
      <c r="G307">
        <v>0</v>
      </c>
      <c r="L307" t="s">
        <v>7</v>
      </c>
      <c r="M307" t="s">
        <v>8</v>
      </c>
      <c r="N307" t="s">
        <v>7</v>
      </c>
      <c r="P307">
        <f t="shared" si="964"/>
        <v>-0.14000000000000001</v>
      </c>
      <c r="Q307">
        <f t="shared" si="965"/>
        <v>-30947047.950000003</v>
      </c>
      <c r="R307">
        <f t="shared" si="966"/>
        <v>11096490513.899445</v>
      </c>
      <c r="S307">
        <f t="shared" si="967"/>
        <v>110964.90513899445</v>
      </c>
      <c r="T307">
        <f t="shared" si="968"/>
        <v>110.96490513899445</v>
      </c>
    </row>
    <row r="308" spans="1:20" x14ac:dyDescent="0.25">
      <c r="A308" s="5">
        <v>44285</v>
      </c>
      <c r="B308">
        <v>0.17798</v>
      </c>
      <c r="C308">
        <v>0.18906999999999999</v>
      </c>
      <c r="D308">
        <v>0.17368</v>
      </c>
      <c r="E308">
        <v>0.18328</v>
      </c>
      <c r="F308">
        <v>208784301.69999999</v>
      </c>
      <c r="G308">
        <v>0</v>
      </c>
      <c r="L308" t="s">
        <v>8</v>
      </c>
      <c r="M308" t="s">
        <v>8</v>
      </c>
      <c r="N308" t="s">
        <v>7</v>
      </c>
      <c r="P308">
        <f t="shared" si="964"/>
        <v>0.24756335282651143</v>
      </c>
      <c r="Q308">
        <f t="shared" si="965"/>
        <v>51687341.746393904</v>
      </c>
      <c r="R308">
        <f t="shared" si="966"/>
        <v>11127437561.849445</v>
      </c>
      <c r="S308">
        <f t="shared" si="967"/>
        <v>111274.37561849445</v>
      </c>
      <c r="T308">
        <f t="shared" si="968"/>
        <v>111.27437561849445</v>
      </c>
    </row>
    <row r="309" spans="1:20" x14ac:dyDescent="0.25">
      <c r="A309" s="5">
        <v>44284</v>
      </c>
      <c r="B309">
        <v>0.17151</v>
      </c>
      <c r="C309">
        <v>0.18029999999999999</v>
      </c>
      <c r="D309">
        <v>0.17</v>
      </c>
      <c r="E309">
        <v>0.17802000000000001</v>
      </c>
      <c r="F309">
        <v>188519632.5</v>
      </c>
      <c r="G309">
        <v>0</v>
      </c>
      <c r="L309" t="s">
        <v>8</v>
      </c>
      <c r="M309" t="s">
        <v>8</v>
      </c>
      <c r="N309" t="s">
        <v>7</v>
      </c>
      <c r="P309">
        <f t="shared" si="964"/>
        <v>0.55728155339806174</v>
      </c>
      <c r="Q309">
        <f t="shared" si="965"/>
        <v>105058513.64563173</v>
      </c>
      <c r="R309">
        <f t="shared" si="966"/>
        <v>11075750220.103052</v>
      </c>
      <c r="S309">
        <f t="shared" si="967"/>
        <v>110757.50220103053</v>
      </c>
      <c r="T309">
        <f t="shared" si="968"/>
        <v>110.75750220103052</v>
      </c>
    </row>
    <row r="310" spans="1:20" x14ac:dyDescent="0.25">
      <c r="A310" s="5">
        <v>44283</v>
      </c>
      <c r="B310">
        <v>0.16688</v>
      </c>
      <c r="C310">
        <v>0.17627999999999999</v>
      </c>
      <c r="D310">
        <v>0.16297</v>
      </c>
      <c r="E310">
        <v>0.17151</v>
      </c>
      <c r="F310">
        <v>218101104.09999999</v>
      </c>
      <c r="G310">
        <v>0</v>
      </c>
      <c r="L310" t="s">
        <v>8</v>
      </c>
      <c r="M310" t="s">
        <v>8</v>
      </c>
      <c r="N310" t="s">
        <v>7</v>
      </c>
      <c r="P310">
        <f t="shared" si="964"/>
        <v>0.28324567993989475</v>
      </c>
      <c r="Q310">
        <f t="shared" si="965"/>
        <v>61776195.526446261</v>
      </c>
      <c r="R310">
        <f t="shared" si="966"/>
        <v>10970691706.45742</v>
      </c>
      <c r="S310">
        <f t="shared" si="967"/>
        <v>109706.9170645742</v>
      </c>
      <c r="T310">
        <f t="shared" si="968"/>
        <v>109.7069170645742</v>
      </c>
    </row>
    <row r="311" spans="1:20" x14ac:dyDescent="0.25">
      <c r="A311" s="5">
        <v>44282</v>
      </c>
      <c r="B311">
        <v>0.16718</v>
      </c>
      <c r="C311">
        <v>0.17258999999999999</v>
      </c>
      <c r="D311">
        <v>0.1593</v>
      </c>
      <c r="E311">
        <v>0.16685</v>
      </c>
      <c r="F311">
        <v>175957786.40000001</v>
      </c>
      <c r="G311">
        <v>0</v>
      </c>
      <c r="L311" t="s">
        <v>8</v>
      </c>
      <c r="M311" t="s">
        <v>7</v>
      </c>
      <c r="N311" t="s">
        <v>7</v>
      </c>
      <c r="P311">
        <f t="shared" si="964"/>
        <v>0.13619262603461299</v>
      </c>
      <c r="Q311">
        <f t="shared" si="965"/>
        <v>23964153.001053512</v>
      </c>
      <c r="R311">
        <f t="shared" si="966"/>
        <v>10908915510.930975</v>
      </c>
      <c r="S311">
        <f t="shared" si="967"/>
        <v>109089.15510930975</v>
      </c>
      <c r="T311">
        <f t="shared" si="968"/>
        <v>109.08915510930976</v>
      </c>
    </row>
    <row r="312" spans="1:20" x14ac:dyDescent="0.25">
      <c r="A312" s="5">
        <v>44281</v>
      </c>
      <c r="B312">
        <v>0.15401999999999999</v>
      </c>
      <c r="C312">
        <v>0.16875000000000001</v>
      </c>
      <c r="D312">
        <v>0.15368000000000001</v>
      </c>
      <c r="E312">
        <v>0.16728999999999999</v>
      </c>
      <c r="F312">
        <v>219201528.59999999</v>
      </c>
      <c r="G312">
        <v>0</v>
      </c>
      <c r="L312" t="s">
        <v>8</v>
      </c>
      <c r="M312" t="s">
        <v>7</v>
      </c>
      <c r="N312" t="s">
        <v>7</v>
      </c>
      <c r="P312">
        <f t="shared" si="964"/>
        <v>0.80623755806237329</v>
      </c>
      <c r="Q312">
        <f t="shared" si="965"/>
        <v>176728505.14200348</v>
      </c>
      <c r="R312">
        <f t="shared" si="966"/>
        <v>10884951357.929922</v>
      </c>
      <c r="S312">
        <f t="shared" si="967"/>
        <v>108849.51357929922</v>
      </c>
      <c r="T312">
        <f t="shared" si="968"/>
        <v>108.84951357929923</v>
      </c>
    </row>
    <row r="313" spans="1:20" x14ac:dyDescent="0.25">
      <c r="A313" s="5">
        <v>44280</v>
      </c>
      <c r="B313">
        <v>0.15675</v>
      </c>
      <c r="C313">
        <v>0.16234999999999999</v>
      </c>
      <c r="D313">
        <v>0.14474999999999999</v>
      </c>
      <c r="E313">
        <v>0.15387999999999999</v>
      </c>
      <c r="F313">
        <v>368428985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3.7499999999999645E-2</v>
      </c>
      <c r="Q313">
        <f t="shared" si="965"/>
        <v>13816086.93749987</v>
      </c>
      <c r="R313">
        <f t="shared" si="966"/>
        <v>10708222852.787918</v>
      </c>
      <c r="S313">
        <f t="shared" si="967"/>
        <v>107082.22852787918</v>
      </c>
      <c r="T313">
        <f t="shared" si="968"/>
        <v>107.08222852787918</v>
      </c>
    </row>
    <row r="314" spans="1:20" x14ac:dyDescent="0.25">
      <c r="A314" s="5">
        <v>44279</v>
      </c>
      <c r="B314">
        <v>0.16633999999999999</v>
      </c>
      <c r="C314">
        <v>0.185</v>
      </c>
      <c r="D314">
        <v>0.15</v>
      </c>
      <c r="E314">
        <v>0.15667</v>
      </c>
      <c r="F314">
        <v>412087972.19999999</v>
      </c>
      <c r="G314">
        <v>0</v>
      </c>
      <c r="L314" t="s">
        <v>8</v>
      </c>
      <c r="M314" t="s">
        <v>8</v>
      </c>
      <c r="N314" t="s">
        <v>8</v>
      </c>
      <c r="P314">
        <f t="shared" si="964"/>
        <v>-0.61885714285714233</v>
      </c>
      <c r="Q314">
        <f t="shared" si="965"/>
        <v>-255023585.08148548</v>
      </c>
      <c r="R314">
        <f t="shared" si="966"/>
        <v>10694406765.850418</v>
      </c>
      <c r="S314">
        <f t="shared" si="967"/>
        <v>106944.06765850418</v>
      </c>
      <c r="T314">
        <f t="shared" si="968"/>
        <v>106.94406765850418</v>
      </c>
    </row>
    <row r="315" spans="1:20" x14ac:dyDescent="0.25">
      <c r="A315" s="5">
        <v>44278</v>
      </c>
      <c r="B315">
        <v>0.16163</v>
      </c>
      <c r="C315">
        <v>0.17036999999999999</v>
      </c>
      <c r="D315">
        <v>0.15087</v>
      </c>
      <c r="E315">
        <v>0.16633999999999999</v>
      </c>
      <c r="F315">
        <v>286610062.5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0.58666666666666589</v>
      </c>
      <c r="Q315">
        <f t="shared" si="965"/>
        <v>168144569.99999979</v>
      </c>
      <c r="R315">
        <f t="shared" si="966"/>
        <v>10949430350.931904</v>
      </c>
      <c r="S315">
        <f t="shared" si="967"/>
        <v>109494.30350931904</v>
      </c>
      <c r="T315">
        <f t="shared" si="968"/>
        <v>109.49430350931904</v>
      </c>
    </row>
    <row r="316" spans="1:20" x14ac:dyDescent="0.25">
      <c r="A316" s="5">
        <v>44277</v>
      </c>
      <c r="B316">
        <v>0.17484</v>
      </c>
      <c r="C316">
        <v>0.18299000000000001</v>
      </c>
      <c r="D316">
        <v>0.16031000000000001</v>
      </c>
      <c r="E316">
        <v>0.16178999999999999</v>
      </c>
      <c r="F316">
        <v>274268317.39999998</v>
      </c>
      <c r="G316">
        <v>0</v>
      </c>
      <c r="L316" t="s">
        <v>7</v>
      </c>
      <c r="M316" t="s">
        <v>7</v>
      </c>
      <c r="N316" t="s">
        <v>8</v>
      </c>
      <c r="P316">
        <f t="shared" si="964"/>
        <v>-0.86948853615520449</v>
      </c>
      <c r="Q316">
        <f t="shared" si="965"/>
        <v>-238473157.80987698</v>
      </c>
      <c r="R316">
        <f t="shared" si="966"/>
        <v>10781285780.931904</v>
      </c>
      <c r="S316">
        <f t="shared" si="967"/>
        <v>107812.85780931904</v>
      </c>
      <c r="T316">
        <f t="shared" si="968"/>
        <v>107.81285780931904</v>
      </c>
    </row>
    <row r="317" spans="1:20" x14ac:dyDescent="0.25">
      <c r="A317" s="5">
        <v>44276</v>
      </c>
      <c r="B317">
        <v>0.17086000000000001</v>
      </c>
      <c r="C317">
        <v>0.17626</v>
      </c>
      <c r="D317">
        <v>0.16524</v>
      </c>
      <c r="E317">
        <v>0.17484</v>
      </c>
      <c r="F317">
        <v>199334250.59999999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0.74228675136116073</v>
      </c>
      <c r="Q317">
        <f t="shared" si="965"/>
        <v>147963173.31288549</v>
      </c>
      <c r="R317">
        <f t="shared" si="966"/>
        <v>11019758938.741781</v>
      </c>
      <c r="S317">
        <f t="shared" si="967"/>
        <v>110197.58938741781</v>
      </c>
      <c r="T317">
        <f t="shared" si="968"/>
        <v>110.19758938741782</v>
      </c>
    </row>
    <row r="318" spans="1:20" x14ac:dyDescent="0.25">
      <c r="A318" s="5">
        <v>44275</v>
      </c>
      <c r="B318">
        <v>0.18381</v>
      </c>
      <c r="C318">
        <v>0.19</v>
      </c>
      <c r="D318">
        <v>0.17050000000000001</v>
      </c>
      <c r="E318">
        <v>0.17079</v>
      </c>
      <c r="F318">
        <v>248765233.5</v>
      </c>
      <c r="G318">
        <v>0</v>
      </c>
      <c r="L318" t="s">
        <v>7</v>
      </c>
      <c r="M318" t="s">
        <v>7</v>
      </c>
      <c r="N318" t="s">
        <v>8</v>
      </c>
      <c r="P318">
        <f t="shared" si="964"/>
        <v>-0.97025641025641185</v>
      </c>
      <c r="Q318">
        <f t="shared" si="965"/>
        <v>-241366062.45230809</v>
      </c>
      <c r="R318">
        <f t="shared" si="966"/>
        <v>10871795765.428896</v>
      </c>
      <c r="S318">
        <f t="shared" si="967"/>
        <v>108717.95765428896</v>
      </c>
      <c r="T318">
        <f t="shared" si="968"/>
        <v>108.71795765428895</v>
      </c>
    </row>
    <row r="319" spans="1:20" x14ac:dyDescent="0.25">
      <c r="A319" s="5">
        <v>44274</v>
      </c>
      <c r="B319">
        <v>0.17907000000000001</v>
      </c>
      <c r="C319">
        <v>0.19400000000000001</v>
      </c>
      <c r="D319">
        <v>0.17318</v>
      </c>
      <c r="E319">
        <v>0.18396999999999999</v>
      </c>
      <c r="F319">
        <v>334138410</v>
      </c>
      <c r="G319">
        <v>0</v>
      </c>
      <c r="L319" t="s">
        <v>7</v>
      </c>
      <c r="M319" t="s">
        <v>8</v>
      </c>
      <c r="N319" t="s">
        <v>8</v>
      </c>
      <c r="P319">
        <f t="shared" si="964"/>
        <v>3.6503362151776304E-2</v>
      </c>
      <c r="Q319">
        <f t="shared" si="965"/>
        <v>12197175.389048712</v>
      </c>
      <c r="R319">
        <f t="shared" si="966"/>
        <v>11113161827.881205</v>
      </c>
      <c r="S319">
        <f t="shared" si="967"/>
        <v>111131.61827881205</v>
      </c>
      <c r="T319">
        <f t="shared" si="968"/>
        <v>111.13161827881206</v>
      </c>
    </row>
    <row r="320" spans="1:20" x14ac:dyDescent="0.25">
      <c r="A320" s="5">
        <v>44273</v>
      </c>
      <c r="B320">
        <v>0.19674</v>
      </c>
      <c r="C320">
        <v>0.20300000000000001</v>
      </c>
      <c r="D320">
        <v>0.17</v>
      </c>
      <c r="E320">
        <v>0.17904999999999999</v>
      </c>
      <c r="F320">
        <v>646187685.10000002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-0.45151515151515309</v>
      </c>
      <c r="Q320">
        <f t="shared" si="965"/>
        <v>-291763530.54515254</v>
      </c>
      <c r="R320">
        <f t="shared" si="966"/>
        <v>11100964652.492155</v>
      </c>
      <c r="S320">
        <f t="shared" si="967"/>
        <v>111009.64652492155</v>
      </c>
      <c r="T320">
        <f t="shared" si="968"/>
        <v>111.00964652492155</v>
      </c>
    </row>
    <row r="321" spans="1:20" x14ac:dyDescent="0.25">
      <c r="A321" s="5">
        <v>44272</v>
      </c>
      <c r="B321">
        <v>0.15504999999999999</v>
      </c>
      <c r="C321">
        <v>0.19919999999999999</v>
      </c>
      <c r="D321">
        <v>0.15117</v>
      </c>
      <c r="E321">
        <v>0.19681000000000001</v>
      </c>
      <c r="F321">
        <v>1246280849.0999999</v>
      </c>
      <c r="G321">
        <v>0</v>
      </c>
      <c r="L321" t="s">
        <v>8</v>
      </c>
      <c r="M321" t="s">
        <v>8</v>
      </c>
      <c r="N321" t="s">
        <v>8</v>
      </c>
      <c r="P321">
        <f t="shared" si="964"/>
        <v>0.90047886737455862</v>
      </c>
      <c r="Q321">
        <f t="shared" si="965"/>
        <v>1122249567.4281712</v>
      </c>
      <c r="R321">
        <f t="shared" si="966"/>
        <v>11392728183.037308</v>
      </c>
      <c r="S321">
        <f t="shared" si="967"/>
        <v>113927.28183037307</v>
      </c>
      <c r="T321">
        <f t="shared" si="968"/>
        <v>113.92728183037308</v>
      </c>
    </row>
    <row r="322" spans="1:20" x14ac:dyDescent="0.25">
      <c r="A322" s="5">
        <v>44271</v>
      </c>
      <c r="B322">
        <v>0.16123999999999999</v>
      </c>
      <c r="C322">
        <v>0.16639999999999999</v>
      </c>
      <c r="D322">
        <v>0.14978</v>
      </c>
      <c r="E322">
        <v>0.15504999999999999</v>
      </c>
      <c r="F322">
        <v>336684875.39999998</v>
      </c>
      <c r="G322">
        <v>0</v>
      </c>
      <c r="L322" t="s">
        <v>8</v>
      </c>
      <c r="M322" t="s">
        <v>7</v>
      </c>
      <c r="N322" t="s">
        <v>8</v>
      </c>
      <c r="P322">
        <f t="shared" si="964"/>
        <v>-0.36582430806257543</v>
      </c>
      <c r="Q322">
        <f t="shared" si="965"/>
        <v>-123167511.57833941</v>
      </c>
      <c r="R322">
        <f t="shared" si="966"/>
        <v>10270478615.609137</v>
      </c>
      <c r="S322">
        <f t="shared" si="967"/>
        <v>102704.78615609136</v>
      </c>
      <c r="T322">
        <f t="shared" si="968"/>
        <v>102.70478615609136</v>
      </c>
    </row>
    <row r="323" spans="1:20" x14ac:dyDescent="0.25">
      <c r="A323" s="5">
        <v>44270</v>
      </c>
      <c r="B323">
        <v>0.16414999999999999</v>
      </c>
      <c r="C323">
        <v>0.17366999999999999</v>
      </c>
      <c r="D323">
        <v>0.14631</v>
      </c>
      <c r="E323">
        <v>0.16109000000000001</v>
      </c>
      <c r="F323">
        <v>445500064.5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8.0409356725147499E-2</v>
      </c>
      <c r="Q323">
        <f t="shared" si="965"/>
        <v>35822373.607456721</v>
      </c>
      <c r="R323">
        <f t="shared" si="966"/>
        <v>10393646127.187475</v>
      </c>
      <c r="S323">
        <f t="shared" si="967"/>
        <v>103936.46127187475</v>
      </c>
      <c r="T323">
        <f t="shared" si="968"/>
        <v>103.93646127187475</v>
      </c>
    </row>
    <row r="324" spans="1:20" x14ac:dyDescent="0.25">
      <c r="A324" s="5">
        <v>44269</v>
      </c>
      <c r="B324">
        <v>0.18268999999999999</v>
      </c>
      <c r="C324">
        <v>0.18808</v>
      </c>
      <c r="D324">
        <v>0.16159999999999999</v>
      </c>
      <c r="E324">
        <v>0.16414999999999999</v>
      </c>
      <c r="F324">
        <v>402747196.60000002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-0.80740181268882205</v>
      </c>
      <c r="Q324">
        <f t="shared" si="965"/>
        <v>-325178816.59018141</v>
      </c>
      <c r="R324">
        <f t="shared" si="966"/>
        <v>10357823753.580019</v>
      </c>
      <c r="S324">
        <f t="shared" si="967"/>
        <v>103578.23753580019</v>
      </c>
      <c r="T324">
        <f t="shared" si="968"/>
        <v>103.57823753580018</v>
      </c>
    </row>
    <row r="325" spans="1:20" x14ac:dyDescent="0.25">
      <c r="A325" s="5">
        <v>44268</v>
      </c>
      <c r="B325">
        <v>0.16339999999999999</v>
      </c>
      <c r="C325">
        <v>0.18398999999999999</v>
      </c>
      <c r="D325">
        <v>0.15351000000000001</v>
      </c>
      <c r="E325">
        <v>0.18251999999999999</v>
      </c>
      <c r="F325">
        <v>496348688.19999999</v>
      </c>
      <c r="G325">
        <v>0</v>
      </c>
      <c r="L325" t="s">
        <v>7</v>
      </c>
      <c r="M325" t="s">
        <v>7</v>
      </c>
      <c r="N325" t="s">
        <v>8</v>
      </c>
      <c r="P325">
        <f t="shared" si="964"/>
        <v>0.90354330708661412</v>
      </c>
      <c r="Q325">
        <f t="shared" si="965"/>
        <v>448472535.20433068</v>
      </c>
      <c r="R325">
        <f t="shared" si="966"/>
        <v>10683002570.1702</v>
      </c>
      <c r="S325">
        <f t="shared" si="967"/>
        <v>106830.025701702</v>
      </c>
      <c r="T325">
        <f t="shared" si="968"/>
        <v>106.830025701702</v>
      </c>
    </row>
    <row r="326" spans="1:20" x14ac:dyDescent="0.25">
      <c r="A326" s="5">
        <v>44267</v>
      </c>
      <c r="B326">
        <v>0.17691000000000001</v>
      </c>
      <c r="C326">
        <v>0.19764000000000001</v>
      </c>
      <c r="D326">
        <v>0.154</v>
      </c>
      <c r="E326">
        <v>0.16339000000000001</v>
      </c>
      <c r="F326">
        <v>1028580494.3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-0.56966086159486673</v>
      </c>
      <c r="Q326">
        <f t="shared" ref="Q326:Q389" si="970">F326*P326</f>
        <v>-585942050.6026119</v>
      </c>
      <c r="R326">
        <f t="shared" ref="R326:R389" si="971">R327+Q326</f>
        <v>10234530034.96587</v>
      </c>
      <c r="S326">
        <f t="shared" ref="S326:S389" si="972">R326/100000</f>
        <v>102345.3003496587</v>
      </c>
      <c r="T326">
        <f t="shared" ref="T326:T389" si="973">S326/1000</f>
        <v>102.3453003496587</v>
      </c>
    </row>
    <row r="327" spans="1:20" x14ac:dyDescent="0.25">
      <c r="A327" s="5">
        <v>44266</v>
      </c>
      <c r="B327">
        <v>0.12756999999999999</v>
      </c>
      <c r="C327">
        <v>0.18034</v>
      </c>
      <c r="D327">
        <v>0.12742999999999999</v>
      </c>
      <c r="E327">
        <v>0.17701</v>
      </c>
      <c r="F327">
        <v>1322319595.3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0.87412587412587417</v>
      </c>
      <c r="Q327">
        <f t="shared" si="970"/>
        <v>1155873772.1153846</v>
      </c>
      <c r="R327">
        <f t="shared" si="971"/>
        <v>10820472085.568481</v>
      </c>
      <c r="S327">
        <f t="shared" si="972"/>
        <v>108204.72085568482</v>
      </c>
      <c r="T327">
        <f t="shared" si="973"/>
        <v>108.20472085568483</v>
      </c>
    </row>
    <row r="328" spans="1:20" x14ac:dyDescent="0.25">
      <c r="A328" s="5">
        <v>44265</v>
      </c>
      <c r="B328">
        <v>0.13463</v>
      </c>
      <c r="C328">
        <v>0.1353</v>
      </c>
      <c r="D328">
        <v>0.12250999999999999</v>
      </c>
      <c r="E328">
        <v>0.12759000000000001</v>
      </c>
      <c r="F328">
        <v>242664094.80000001</v>
      </c>
      <c r="G328">
        <v>0</v>
      </c>
      <c r="L328" t="s">
        <v>7</v>
      </c>
      <c r="M328" t="s">
        <v>8</v>
      </c>
      <c r="N328" t="s">
        <v>8</v>
      </c>
      <c r="P328">
        <f t="shared" si="969"/>
        <v>-0.20562939796716009</v>
      </c>
      <c r="Q328">
        <f t="shared" si="970"/>
        <v>-49898871.721969865</v>
      </c>
      <c r="R328">
        <f t="shared" si="971"/>
        <v>9664598313.4530964</v>
      </c>
      <c r="S328">
        <f t="shared" si="972"/>
        <v>96645.983134530965</v>
      </c>
      <c r="T328">
        <f t="shared" si="973"/>
        <v>96.645983134530965</v>
      </c>
    </row>
    <row r="329" spans="1:20" x14ac:dyDescent="0.25">
      <c r="A329" s="5">
        <v>44264</v>
      </c>
      <c r="B329">
        <v>0.12545000000000001</v>
      </c>
      <c r="C329">
        <v>0.1358</v>
      </c>
      <c r="D329">
        <v>0.12182</v>
      </c>
      <c r="E329">
        <v>0.13457</v>
      </c>
      <c r="F329">
        <v>306838521.69999999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0.82403433476394727</v>
      </c>
      <c r="Q329">
        <f t="shared" si="970"/>
        <v>252845477.10901248</v>
      </c>
      <c r="R329">
        <f t="shared" si="971"/>
        <v>9714497185.175066</v>
      </c>
      <c r="S329">
        <f t="shared" si="972"/>
        <v>97144.971851750655</v>
      </c>
      <c r="T329">
        <f t="shared" si="973"/>
        <v>97.144971851750654</v>
      </c>
    </row>
    <row r="330" spans="1:20" x14ac:dyDescent="0.25">
      <c r="A330" s="5">
        <v>44263</v>
      </c>
      <c r="B330">
        <v>0.11805</v>
      </c>
      <c r="C330">
        <v>0.12776999999999999</v>
      </c>
      <c r="D330">
        <v>0.11469</v>
      </c>
      <c r="E330">
        <v>0.12544</v>
      </c>
      <c r="F330">
        <v>217317228.40000001</v>
      </c>
      <c r="G330">
        <v>0</v>
      </c>
      <c r="L330" t="s">
        <v>8</v>
      </c>
      <c r="M330" t="s">
        <v>7</v>
      </c>
      <c r="N330" t="s">
        <v>8</v>
      </c>
      <c r="P330">
        <f t="shared" si="969"/>
        <v>0.64373088685015289</v>
      </c>
      <c r="Q330">
        <f t="shared" si="970"/>
        <v>139893812.16574925</v>
      </c>
      <c r="R330">
        <f t="shared" si="971"/>
        <v>9461651708.0660534</v>
      </c>
      <c r="S330">
        <f t="shared" si="972"/>
        <v>94616.517080660531</v>
      </c>
      <c r="T330">
        <f t="shared" si="973"/>
        <v>94.616517080660529</v>
      </c>
    </row>
    <row r="331" spans="1:20" x14ac:dyDescent="0.25">
      <c r="A331" s="5">
        <v>44262</v>
      </c>
      <c r="B331">
        <v>0.11595999999999999</v>
      </c>
      <c r="C331">
        <v>0.11949</v>
      </c>
      <c r="D331">
        <v>0.1145</v>
      </c>
      <c r="E331">
        <v>0.11801</v>
      </c>
      <c r="F331">
        <v>135571765.09999999</v>
      </c>
      <c r="G331">
        <v>0</v>
      </c>
      <c r="L331" t="s">
        <v>8</v>
      </c>
      <c r="M331" t="s">
        <v>7</v>
      </c>
      <c r="N331" t="s">
        <v>8</v>
      </c>
      <c r="P331">
        <f t="shared" si="969"/>
        <v>0.40681362725451026</v>
      </c>
      <c r="Q331">
        <f t="shared" si="970"/>
        <v>55152441.513627417</v>
      </c>
      <c r="R331">
        <f t="shared" si="971"/>
        <v>9321757895.9003048</v>
      </c>
      <c r="S331">
        <f t="shared" si="972"/>
        <v>93217.578959003047</v>
      </c>
      <c r="T331">
        <f t="shared" si="973"/>
        <v>93.217578959003049</v>
      </c>
    </row>
    <row r="332" spans="1:20" x14ac:dyDescent="0.25">
      <c r="A332" s="5">
        <v>44261</v>
      </c>
      <c r="B332">
        <v>0.11584</v>
      </c>
      <c r="C332">
        <v>0.11844</v>
      </c>
      <c r="D332">
        <v>0.11092</v>
      </c>
      <c r="E332">
        <v>0.11595999999999999</v>
      </c>
      <c r="F332">
        <v>111557840.2</v>
      </c>
      <c r="G332">
        <v>0</v>
      </c>
      <c r="L332" t="s">
        <v>8</v>
      </c>
      <c r="M332" t="s">
        <v>7</v>
      </c>
      <c r="N332" t="s">
        <v>8</v>
      </c>
      <c r="P332">
        <f t="shared" si="969"/>
        <v>0.34042553191489089</v>
      </c>
      <c r="Q332">
        <f t="shared" si="970"/>
        <v>37977137.089361399</v>
      </c>
      <c r="R332">
        <f t="shared" si="971"/>
        <v>9266605454.3866768</v>
      </c>
      <c r="S332">
        <f t="shared" si="972"/>
        <v>92666.054543866761</v>
      </c>
      <c r="T332">
        <f t="shared" si="973"/>
        <v>92.666054543866764</v>
      </c>
    </row>
    <row r="333" spans="1:20" x14ac:dyDescent="0.25">
      <c r="A333" s="5">
        <v>44260</v>
      </c>
      <c r="B333">
        <v>0.11819</v>
      </c>
      <c r="C333">
        <v>0.11851</v>
      </c>
      <c r="D333">
        <v>0.10954</v>
      </c>
      <c r="E333">
        <v>0.11579</v>
      </c>
      <c r="F333">
        <v>178321503.30000001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0.39353400222965473</v>
      </c>
      <c r="Q333">
        <f t="shared" si="970"/>
        <v>70175574.877257586</v>
      </c>
      <c r="R333">
        <f t="shared" si="971"/>
        <v>9228628317.2973156</v>
      </c>
      <c r="S333">
        <f t="shared" si="972"/>
        <v>92286.283172973155</v>
      </c>
      <c r="T333">
        <f t="shared" si="973"/>
        <v>92.286283172973157</v>
      </c>
    </row>
    <row r="334" spans="1:20" x14ac:dyDescent="0.25">
      <c r="A334" s="5">
        <v>44259</v>
      </c>
      <c r="B334">
        <v>0.12633</v>
      </c>
      <c r="C334">
        <v>0.12878000000000001</v>
      </c>
      <c r="D334">
        <v>0.11311</v>
      </c>
      <c r="E334">
        <v>0.11836000000000001</v>
      </c>
      <c r="F334">
        <v>302875798.89999998</v>
      </c>
      <c r="G334">
        <v>0</v>
      </c>
      <c r="L334" t="s">
        <v>7</v>
      </c>
      <c r="M334" t="s">
        <v>8</v>
      </c>
      <c r="N334" t="s">
        <v>8</v>
      </c>
      <c r="P334">
        <f t="shared" si="969"/>
        <v>-0.32992980216975065</v>
      </c>
      <c r="Q334">
        <f t="shared" si="970"/>
        <v>-99927752.413082168</v>
      </c>
      <c r="R334">
        <f t="shared" si="971"/>
        <v>9158452742.4200573</v>
      </c>
      <c r="S334">
        <f t="shared" si="972"/>
        <v>91584.527424200569</v>
      </c>
      <c r="T334">
        <f t="shared" si="973"/>
        <v>91.584527424200573</v>
      </c>
    </row>
    <row r="335" spans="1:20" x14ac:dyDescent="0.25">
      <c r="A335" s="5">
        <v>44258</v>
      </c>
      <c r="B335">
        <v>0.11402</v>
      </c>
      <c r="C335">
        <v>0.13100000000000001</v>
      </c>
      <c r="D335">
        <v>0.11252</v>
      </c>
      <c r="E335">
        <v>0.12631999999999999</v>
      </c>
      <c r="F335">
        <v>294586961.19999999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0.49350649350649189</v>
      </c>
      <c r="Q335">
        <f t="shared" si="970"/>
        <v>145380578.25454497</v>
      </c>
      <c r="R335">
        <f t="shared" si="971"/>
        <v>9258380494.8331394</v>
      </c>
      <c r="S335">
        <f t="shared" si="972"/>
        <v>92583.804948331395</v>
      </c>
      <c r="T335">
        <f t="shared" si="973"/>
        <v>92.583804948331391</v>
      </c>
    </row>
    <row r="336" spans="1:20" x14ac:dyDescent="0.25">
      <c r="A336" s="5">
        <v>44257</v>
      </c>
      <c r="B336">
        <v>0.11588</v>
      </c>
      <c r="C336">
        <v>0.1198</v>
      </c>
      <c r="D336">
        <v>0.10934000000000001</v>
      </c>
      <c r="E336">
        <v>0.11405999999999999</v>
      </c>
      <c r="F336">
        <v>231604387.40000001</v>
      </c>
      <c r="G336">
        <v>0</v>
      </c>
      <c r="L336" t="s">
        <v>7</v>
      </c>
      <c r="M336" t="s">
        <v>8</v>
      </c>
      <c r="N336" t="s">
        <v>8</v>
      </c>
      <c r="P336">
        <f t="shared" si="969"/>
        <v>-9.7514340344170281E-2</v>
      </c>
      <c r="Q336">
        <f t="shared" si="970"/>
        <v>-22584749.058126662</v>
      </c>
      <c r="R336">
        <f t="shared" si="971"/>
        <v>9112999916.5785942</v>
      </c>
      <c r="S336">
        <f t="shared" si="972"/>
        <v>91129.999165785935</v>
      </c>
      <c r="T336">
        <f t="shared" si="973"/>
        <v>91.129999165785932</v>
      </c>
    </row>
    <row r="337" spans="1:20" x14ac:dyDescent="0.25">
      <c r="A337" s="5">
        <v>44256</v>
      </c>
      <c r="B337">
        <v>0.10768</v>
      </c>
      <c r="C337">
        <v>0.11865000000000001</v>
      </c>
      <c r="D337">
        <v>0.1065</v>
      </c>
      <c r="E337">
        <v>0.11600000000000001</v>
      </c>
      <c r="F337">
        <v>221925700</v>
      </c>
      <c r="G337">
        <v>0</v>
      </c>
      <c r="L337" t="s">
        <v>8</v>
      </c>
      <c r="M337" t="s">
        <v>8</v>
      </c>
      <c r="N337" t="s">
        <v>8</v>
      </c>
      <c r="P337">
        <f t="shared" si="969"/>
        <v>0.563786008230453</v>
      </c>
      <c r="Q337">
        <f t="shared" si="970"/>
        <v>125118604.52674904</v>
      </c>
      <c r="R337">
        <f t="shared" si="971"/>
        <v>9135584665.6367207</v>
      </c>
      <c r="S337">
        <f t="shared" si="972"/>
        <v>91355.846656367212</v>
      </c>
      <c r="T337">
        <f t="shared" si="973"/>
        <v>91.355846656367206</v>
      </c>
    </row>
    <row r="338" spans="1:20" x14ac:dyDescent="0.25">
      <c r="A338" s="5">
        <v>44255</v>
      </c>
      <c r="B338">
        <v>0.11576</v>
      </c>
      <c r="C338">
        <v>0.11674</v>
      </c>
      <c r="D338">
        <v>9.8400000000000001E-2</v>
      </c>
      <c r="E338">
        <v>0.10752</v>
      </c>
      <c r="F338">
        <v>266389729.30000001</v>
      </c>
      <c r="G338">
        <v>0</v>
      </c>
      <c r="L338" t="s">
        <v>7</v>
      </c>
      <c r="M338" t="s">
        <v>7</v>
      </c>
      <c r="N338" t="s">
        <v>8</v>
      </c>
      <c r="P338">
        <f t="shared" si="969"/>
        <v>-5.4525627044705021E-3</v>
      </c>
      <c r="Q338">
        <f t="shared" si="970"/>
        <v>-1452506.7028351731</v>
      </c>
      <c r="R338">
        <f t="shared" si="971"/>
        <v>9010466061.109972</v>
      </c>
      <c r="S338">
        <f t="shared" si="972"/>
        <v>90104.660611099724</v>
      </c>
      <c r="T338">
        <f t="shared" si="973"/>
        <v>90.104660611099717</v>
      </c>
    </row>
    <row r="339" spans="1:20" x14ac:dyDescent="0.25">
      <c r="A339" s="5">
        <v>44254</v>
      </c>
      <c r="B339">
        <v>0.10925</v>
      </c>
      <c r="C339">
        <v>0.121</v>
      </c>
      <c r="D339">
        <v>0.10886</v>
      </c>
      <c r="E339">
        <v>0.11577</v>
      </c>
      <c r="F339">
        <v>215325230.80000001</v>
      </c>
      <c r="G339">
        <v>0</v>
      </c>
      <c r="L339" t="s">
        <v>8</v>
      </c>
      <c r="M339" t="s">
        <v>7</v>
      </c>
      <c r="N339" t="s">
        <v>8</v>
      </c>
      <c r="P339">
        <f t="shared" si="969"/>
        <v>0.13838550247116979</v>
      </c>
      <c r="Q339">
        <f t="shared" si="970"/>
        <v>29797890.258978609</v>
      </c>
      <c r="R339">
        <f t="shared" si="971"/>
        <v>9011918567.8128071</v>
      </c>
      <c r="S339">
        <f t="shared" si="972"/>
        <v>90119.185678128066</v>
      </c>
      <c r="T339">
        <f t="shared" si="973"/>
        <v>90.119185678128062</v>
      </c>
    </row>
    <row r="340" spans="1:20" x14ac:dyDescent="0.25">
      <c r="A340" s="5">
        <v>44253</v>
      </c>
      <c r="B340">
        <v>0.10885</v>
      </c>
      <c r="C340">
        <v>0.11605</v>
      </c>
      <c r="D340">
        <v>0.10141</v>
      </c>
      <c r="E340">
        <v>0.10944</v>
      </c>
      <c r="F340">
        <v>273227849.39999998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9.6994535519125041E-2</v>
      </c>
      <c r="Q340">
        <f t="shared" si="970"/>
        <v>26501608.343442444</v>
      </c>
      <c r="R340">
        <f t="shared" si="971"/>
        <v>8982120677.5538292</v>
      </c>
      <c r="S340">
        <f t="shared" si="972"/>
        <v>89821.206775538289</v>
      </c>
      <c r="T340">
        <f t="shared" si="973"/>
        <v>89.821206775538286</v>
      </c>
    </row>
    <row r="341" spans="1:20" x14ac:dyDescent="0.25">
      <c r="A341" s="5">
        <v>44252</v>
      </c>
      <c r="B341">
        <v>0.11193</v>
      </c>
      <c r="C341">
        <v>0.12485</v>
      </c>
      <c r="D341">
        <v>0.10804999999999999</v>
      </c>
      <c r="E341">
        <v>0.109</v>
      </c>
      <c r="F341">
        <v>309033982.10000002</v>
      </c>
      <c r="G341">
        <v>0</v>
      </c>
      <c r="L341" t="s">
        <v>7</v>
      </c>
      <c r="M341" t="s">
        <v>8</v>
      </c>
      <c r="N341" t="s">
        <v>8</v>
      </c>
      <c r="P341">
        <f t="shared" si="969"/>
        <v>-0.8869047619047612</v>
      </c>
      <c r="Q341">
        <f t="shared" si="970"/>
        <v>-274083710.31488073</v>
      </c>
      <c r="R341">
        <f t="shared" si="971"/>
        <v>8955619069.2103863</v>
      </c>
      <c r="S341">
        <f t="shared" si="972"/>
        <v>89556.190692103861</v>
      </c>
      <c r="T341">
        <f t="shared" si="973"/>
        <v>89.556190692103854</v>
      </c>
    </row>
    <row r="342" spans="1:20" x14ac:dyDescent="0.25">
      <c r="A342" s="5">
        <v>44251</v>
      </c>
      <c r="B342">
        <v>0.1055</v>
      </c>
      <c r="C342">
        <v>0.12333</v>
      </c>
      <c r="D342">
        <v>9.8180000000000003E-2</v>
      </c>
      <c r="E342">
        <v>0.1119</v>
      </c>
      <c r="F342">
        <v>428385874.19999999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9.1053677932405611E-2</v>
      </c>
      <c r="Q342">
        <f t="shared" si="970"/>
        <v>39006109.420198828</v>
      </c>
      <c r="R342">
        <f t="shared" si="971"/>
        <v>9229702779.5252666</v>
      </c>
      <c r="S342">
        <f t="shared" si="972"/>
        <v>92297.027795252667</v>
      </c>
      <c r="T342">
        <f t="shared" si="973"/>
        <v>92.29702779525266</v>
      </c>
    </row>
    <row r="343" spans="1:20" x14ac:dyDescent="0.25">
      <c r="A343" s="5">
        <v>44250</v>
      </c>
      <c r="B343">
        <v>0.12322</v>
      </c>
      <c r="C343">
        <v>0.12443</v>
      </c>
      <c r="D343">
        <v>8.1000000000000003E-2</v>
      </c>
      <c r="E343">
        <v>0.10557</v>
      </c>
      <c r="F343">
        <v>676231744.20000005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0.13147593829150342</v>
      </c>
      <c r="Q343">
        <f t="shared" si="970"/>
        <v>88908203.071194932</v>
      </c>
      <c r="R343">
        <f t="shared" si="971"/>
        <v>9190696670.1050682</v>
      </c>
      <c r="S343">
        <f t="shared" si="972"/>
        <v>91906.966701050682</v>
      </c>
      <c r="T343">
        <f t="shared" si="973"/>
        <v>91.906966701050678</v>
      </c>
    </row>
    <row r="344" spans="1:20" x14ac:dyDescent="0.25">
      <c r="A344" s="5">
        <v>44249</v>
      </c>
      <c r="B344">
        <v>0.13721</v>
      </c>
      <c r="C344">
        <v>0.14000000000000001</v>
      </c>
      <c r="D344">
        <v>0.1</v>
      </c>
      <c r="E344">
        <v>0.12314</v>
      </c>
      <c r="F344">
        <v>525334346.5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0.15699999999999947</v>
      </c>
      <c r="Q344">
        <f t="shared" si="970"/>
        <v>82477492.400499716</v>
      </c>
      <c r="R344">
        <f t="shared" si="971"/>
        <v>9101788467.0338726</v>
      </c>
      <c r="S344">
        <f t="shared" si="972"/>
        <v>91017.884670338724</v>
      </c>
      <c r="T344">
        <f t="shared" si="973"/>
        <v>91.017884670338731</v>
      </c>
    </row>
    <row r="345" spans="1:20" x14ac:dyDescent="0.25">
      <c r="A345" s="5">
        <v>44248</v>
      </c>
      <c r="B345">
        <v>0.13517000000000001</v>
      </c>
      <c r="C345">
        <v>0.14294000000000001</v>
      </c>
      <c r="D345">
        <v>0.13081000000000001</v>
      </c>
      <c r="E345">
        <v>0.13736999999999999</v>
      </c>
      <c r="F345">
        <v>265041221</v>
      </c>
      <c r="G345">
        <v>0</v>
      </c>
      <c r="L345" t="s">
        <v>7</v>
      </c>
      <c r="M345" t="s">
        <v>7</v>
      </c>
      <c r="N345" t="s">
        <v>8</v>
      </c>
      <c r="P345">
        <f t="shared" si="969"/>
        <v>8.1615828524316814E-2</v>
      </c>
      <c r="Q345">
        <f t="shared" si="970"/>
        <v>21631558.845011555</v>
      </c>
      <c r="R345">
        <f t="shared" si="971"/>
        <v>9019310974.6333733</v>
      </c>
      <c r="S345">
        <f t="shared" si="972"/>
        <v>90193.109746333736</v>
      </c>
      <c r="T345">
        <f t="shared" si="973"/>
        <v>90.193109746333732</v>
      </c>
    </row>
    <row r="346" spans="1:20" x14ac:dyDescent="0.25">
      <c r="A346" s="5">
        <v>44247</v>
      </c>
      <c r="B346">
        <v>0.14921999999999999</v>
      </c>
      <c r="C346">
        <v>0.157</v>
      </c>
      <c r="D346">
        <v>0.12341000000000001</v>
      </c>
      <c r="E346">
        <v>0.13506000000000001</v>
      </c>
      <c r="F346">
        <v>484562303.30000001</v>
      </c>
      <c r="G346">
        <v>0</v>
      </c>
      <c r="L346" t="s">
        <v>8</v>
      </c>
      <c r="M346" t="s">
        <v>8</v>
      </c>
      <c r="N346" t="s">
        <v>8</v>
      </c>
      <c r="P346">
        <f t="shared" si="969"/>
        <v>-0.30634117296814473</v>
      </c>
      <c r="Q346">
        <f t="shared" si="970"/>
        <v>-148441384.36906791</v>
      </c>
      <c r="R346">
        <f t="shared" si="971"/>
        <v>8997679415.7883625</v>
      </c>
      <c r="S346">
        <f t="shared" si="972"/>
        <v>89976.794157883618</v>
      </c>
      <c r="T346">
        <f t="shared" si="973"/>
        <v>89.976794157883617</v>
      </c>
    </row>
    <row r="347" spans="1:20" x14ac:dyDescent="0.25">
      <c r="A347" s="5">
        <v>44246</v>
      </c>
      <c r="B347">
        <v>0.13911999999999999</v>
      </c>
      <c r="C347">
        <v>0.15</v>
      </c>
      <c r="D347">
        <v>0.1275</v>
      </c>
      <c r="E347">
        <v>0.14921999999999999</v>
      </c>
      <c r="F347">
        <v>308008718.60000002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0.93066666666666642</v>
      </c>
      <c r="Q347">
        <f t="shared" si="970"/>
        <v>286653447.44373327</v>
      </c>
      <c r="R347">
        <f t="shared" si="971"/>
        <v>9146120800.1574306</v>
      </c>
      <c r="S347">
        <f t="shared" si="972"/>
        <v>91461.208001574312</v>
      </c>
      <c r="T347">
        <f t="shared" si="973"/>
        <v>91.461208001574306</v>
      </c>
    </row>
    <row r="348" spans="1:20" x14ac:dyDescent="0.25">
      <c r="A348" s="5">
        <v>44245</v>
      </c>
      <c r="B348">
        <v>0.13733000000000001</v>
      </c>
      <c r="C348">
        <v>0.14515</v>
      </c>
      <c r="D348">
        <v>0.13270999999999999</v>
      </c>
      <c r="E348">
        <v>0.13907</v>
      </c>
      <c r="F348">
        <v>287684250.89999998</v>
      </c>
      <c r="G348">
        <v>0</v>
      </c>
      <c r="L348" t="s">
        <v>8</v>
      </c>
      <c r="M348" t="s">
        <v>8</v>
      </c>
      <c r="N348" t="s">
        <v>7</v>
      </c>
      <c r="P348">
        <f t="shared" si="969"/>
        <v>2.2508038585209191E-2</v>
      </c>
      <c r="Q348">
        <f t="shared" si="970"/>
        <v>6475208.2196142012</v>
      </c>
      <c r="R348">
        <f t="shared" si="971"/>
        <v>8859467352.7136974</v>
      </c>
      <c r="S348">
        <f t="shared" si="972"/>
        <v>88594.673527136969</v>
      </c>
      <c r="T348">
        <f t="shared" si="973"/>
        <v>88.594673527136962</v>
      </c>
    </row>
    <row r="349" spans="1:20" x14ac:dyDescent="0.25">
      <c r="A349" s="5">
        <v>44244</v>
      </c>
      <c r="B349">
        <v>0.13161999999999999</v>
      </c>
      <c r="C349">
        <v>0.13980000000000001</v>
      </c>
      <c r="D349">
        <v>0.12086</v>
      </c>
      <c r="E349">
        <v>0.13733999999999999</v>
      </c>
      <c r="F349">
        <v>299796585.5</v>
      </c>
      <c r="G349">
        <v>0</v>
      </c>
      <c r="L349" t="s">
        <v>7</v>
      </c>
      <c r="M349" t="s">
        <v>8</v>
      </c>
      <c r="N349" t="s">
        <v>7</v>
      </c>
      <c r="P349">
        <f t="shared" si="969"/>
        <v>0.7402323125659962</v>
      </c>
      <c r="Q349">
        <f t="shared" si="970"/>
        <v>221919119.7840544</v>
      </c>
      <c r="R349">
        <f t="shared" si="971"/>
        <v>8852992144.4940834</v>
      </c>
      <c r="S349">
        <f t="shared" si="972"/>
        <v>88529.921444940832</v>
      </c>
      <c r="T349">
        <f t="shared" si="973"/>
        <v>88.529921444940825</v>
      </c>
    </row>
    <row r="350" spans="1:20" x14ac:dyDescent="0.25">
      <c r="A350" s="5">
        <v>44243</v>
      </c>
      <c r="B350">
        <v>0.13163</v>
      </c>
      <c r="C350">
        <v>0.14063000000000001</v>
      </c>
      <c r="D350">
        <v>0.12230000000000001</v>
      </c>
      <c r="E350">
        <v>0.13183</v>
      </c>
      <c r="F350">
        <v>352177916.60000002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3.9825422804145916E-2</v>
      </c>
      <c r="Q350">
        <f t="shared" si="970"/>
        <v>14025634.430878239</v>
      </c>
      <c r="R350">
        <f t="shared" si="971"/>
        <v>8631073024.7100296</v>
      </c>
      <c r="S350">
        <f t="shared" si="972"/>
        <v>86310.730247100291</v>
      </c>
      <c r="T350">
        <f t="shared" si="973"/>
        <v>86.310730247100295</v>
      </c>
    </row>
    <row r="351" spans="1:20" x14ac:dyDescent="0.25">
      <c r="A351" s="5">
        <v>44242</v>
      </c>
      <c r="B351">
        <v>0.13331000000000001</v>
      </c>
      <c r="C351">
        <v>0.14699999999999999</v>
      </c>
      <c r="D351">
        <v>0.1105</v>
      </c>
      <c r="E351">
        <v>0.13161</v>
      </c>
      <c r="F351">
        <v>618356247.60000002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0.15671232876712379</v>
      </c>
      <c r="Q351">
        <f t="shared" si="970"/>
        <v>96904047.569096208</v>
      </c>
      <c r="R351">
        <f t="shared" si="971"/>
        <v>8617047390.2791519</v>
      </c>
      <c r="S351">
        <f t="shared" si="972"/>
        <v>86170.47390279152</v>
      </c>
      <c r="T351">
        <f t="shared" si="973"/>
        <v>86.170473902791514</v>
      </c>
    </row>
    <row r="352" spans="1:20" x14ac:dyDescent="0.25">
      <c r="A352" s="5">
        <v>44241</v>
      </c>
      <c r="B352">
        <v>0.14776</v>
      </c>
      <c r="C352">
        <v>0.159</v>
      </c>
      <c r="D352">
        <v>0.12595999999999999</v>
      </c>
      <c r="E352">
        <v>0.13325000000000001</v>
      </c>
      <c r="F352">
        <v>583895352.39999998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-0.55871670702179077</v>
      </c>
      <c r="Q352">
        <f t="shared" si="970"/>
        <v>-326232088.53825605</v>
      </c>
      <c r="R352">
        <f t="shared" si="971"/>
        <v>8520143342.7100563</v>
      </c>
      <c r="S352">
        <f t="shared" si="972"/>
        <v>85201.433427100565</v>
      </c>
      <c r="T352">
        <f t="shared" si="973"/>
        <v>85.201433427100568</v>
      </c>
    </row>
    <row r="353" spans="1:20" x14ac:dyDescent="0.25">
      <c r="A353" s="5">
        <v>44240</v>
      </c>
      <c r="B353">
        <v>0.11788</v>
      </c>
      <c r="C353">
        <v>0.16111</v>
      </c>
      <c r="D353">
        <v>0.11695999999999999</v>
      </c>
      <c r="E353">
        <v>0.14754999999999999</v>
      </c>
      <c r="F353">
        <v>1019277813.6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0.38573046432616021</v>
      </c>
      <c r="Q353">
        <f t="shared" si="970"/>
        <v>393166504.31728137</v>
      </c>
      <c r="R353">
        <f t="shared" si="971"/>
        <v>8846375431.248312</v>
      </c>
      <c r="S353">
        <f t="shared" si="972"/>
        <v>88463.754312483114</v>
      </c>
      <c r="T353">
        <f t="shared" si="973"/>
        <v>88.463754312483118</v>
      </c>
    </row>
    <row r="354" spans="1:20" x14ac:dyDescent="0.25">
      <c r="A354" s="5">
        <v>44239</v>
      </c>
      <c r="B354">
        <v>0.11543</v>
      </c>
      <c r="C354">
        <v>0.11985999999999999</v>
      </c>
      <c r="D354">
        <v>0.1066</v>
      </c>
      <c r="E354">
        <v>0.11798</v>
      </c>
      <c r="F354">
        <v>375705599.69999999</v>
      </c>
      <c r="G354">
        <v>0</v>
      </c>
      <c r="L354" t="s">
        <v>7</v>
      </c>
      <c r="M354" t="s">
        <v>8</v>
      </c>
      <c r="N354" t="s">
        <v>8</v>
      </c>
      <c r="P354">
        <f t="shared" si="969"/>
        <v>0.71644042232277627</v>
      </c>
      <c r="Q354">
        <f t="shared" si="970"/>
        <v>269170678.5180999</v>
      </c>
      <c r="R354">
        <f t="shared" si="971"/>
        <v>8453208926.9310312</v>
      </c>
      <c r="S354">
        <f t="shared" si="972"/>
        <v>84532.089269310309</v>
      </c>
      <c r="T354">
        <f t="shared" si="973"/>
        <v>84.532089269310305</v>
      </c>
    </row>
    <row r="355" spans="1:20" x14ac:dyDescent="0.25">
      <c r="A355" s="5">
        <v>44238</v>
      </c>
      <c r="B355">
        <v>0.10399</v>
      </c>
      <c r="C355">
        <v>0.12001000000000001</v>
      </c>
      <c r="D355">
        <v>0.10334</v>
      </c>
      <c r="E355">
        <v>0.11555</v>
      </c>
      <c r="F355">
        <v>536382461.60000002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0.4649070185962802</v>
      </c>
      <c r="Q355">
        <f t="shared" si="970"/>
        <v>249367971.04978976</v>
      </c>
      <c r="R355">
        <f t="shared" si="971"/>
        <v>8184038248.4129314</v>
      </c>
      <c r="S355">
        <f t="shared" si="972"/>
        <v>81840.38248412931</v>
      </c>
      <c r="T355">
        <f t="shared" si="973"/>
        <v>81.840382484129307</v>
      </c>
    </row>
    <row r="356" spans="1:20" x14ac:dyDescent="0.25">
      <c r="A356" s="5">
        <v>44237</v>
      </c>
      <c r="B356">
        <v>0.10492</v>
      </c>
      <c r="C356">
        <v>0.1143</v>
      </c>
      <c r="D356">
        <v>9.0999999999999998E-2</v>
      </c>
      <c r="E356">
        <v>0.10409</v>
      </c>
      <c r="F356">
        <v>783131255.29999995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0.12360515021459259</v>
      </c>
      <c r="Q356">
        <f t="shared" si="970"/>
        <v>96799056.44909896</v>
      </c>
      <c r="R356">
        <f t="shared" si="971"/>
        <v>7934670277.363142</v>
      </c>
      <c r="S356">
        <f t="shared" si="972"/>
        <v>79346.702773631419</v>
      </c>
      <c r="T356">
        <f t="shared" si="973"/>
        <v>79.346702773631421</v>
      </c>
    </row>
    <row r="357" spans="1:20" x14ac:dyDescent="0.25">
      <c r="A357" s="5">
        <v>44236</v>
      </c>
      <c r="B357">
        <v>7.9719999999999999E-2</v>
      </c>
      <c r="C357">
        <v>0.1094</v>
      </c>
      <c r="D357">
        <v>7.9710000000000003E-2</v>
      </c>
      <c r="E357">
        <v>0.10507</v>
      </c>
      <c r="F357">
        <v>934626494.10000002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0.70831929942741656</v>
      </c>
      <c r="Q357">
        <f t="shared" si="970"/>
        <v>662013983.52721453</v>
      </c>
      <c r="R357">
        <f t="shared" si="971"/>
        <v>7837871220.9140434</v>
      </c>
      <c r="S357">
        <f t="shared" si="972"/>
        <v>78378.712209140431</v>
      </c>
      <c r="T357">
        <f t="shared" si="973"/>
        <v>78.378712209140431</v>
      </c>
    </row>
    <row r="358" spans="1:20" x14ac:dyDescent="0.25">
      <c r="A358" s="5">
        <v>44235</v>
      </c>
      <c r="B358">
        <v>7.5920000000000001E-2</v>
      </c>
      <c r="C358">
        <v>8.2350000000000007E-2</v>
      </c>
      <c r="D358">
        <v>7.4810000000000001E-2</v>
      </c>
      <c r="E358">
        <v>7.9719999999999999E-2</v>
      </c>
      <c r="F358">
        <v>337460392.19999999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0.30238726790450782</v>
      </c>
      <c r="Q358">
        <f t="shared" si="970"/>
        <v>102043726.02334167</v>
      </c>
      <c r="R358">
        <f t="shared" si="971"/>
        <v>7175857237.3868284</v>
      </c>
      <c r="S358">
        <f t="shared" si="972"/>
        <v>71758.572373868286</v>
      </c>
      <c r="T358">
        <f t="shared" si="973"/>
        <v>71.75857237386829</v>
      </c>
    </row>
    <row r="359" spans="1:20" x14ac:dyDescent="0.25">
      <c r="A359" s="5">
        <v>44234</v>
      </c>
      <c r="B359">
        <v>7.8750000000000001E-2</v>
      </c>
      <c r="C359">
        <v>8.1479999999999997E-2</v>
      </c>
      <c r="D359">
        <v>7.2760000000000005E-2</v>
      </c>
      <c r="E359">
        <v>7.5980000000000006E-2</v>
      </c>
      <c r="F359">
        <v>278794654.60000002</v>
      </c>
      <c r="G359">
        <v>0</v>
      </c>
      <c r="L359" t="s">
        <v>7</v>
      </c>
      <c r="M359" t="s">
        <v>8</v>
      </c>
      <c r="N359" t="s">
        <v>8</v>
      </c>
      <c r="P359">
        <f t="shared" si="969"/>
        <v>-0.26146788990825603</v>
      </c>
      <c r="Q359">
        <f t="shared" si="970"/>
        <v>-72895850.055963069</v>
      </c>
      <c r="R359">
        <f t="shared" si="971"/>
        <v>7073813511.3634863</v>
      </c>
      <c r="S359">
        <f t="shared" si="972"/>
        <v>70738.135113634868</v>
      </c>
      <c r="T359">
        <f t="shared" si="973"/>
        <v>70.738135113634868</v>
      </c>
    </row>
    <row r="360" spans="1:20" x14ac:dyDescent="0.25">
      <c r="A360" s="5">
        <v>44233</v>
      </c>
      <c r="B360">
        <v>8.2650000000000001E-2</v>
      </c>
      <c r="C360">
        <v>8.3000000000000004E-2</v>
      </c>
      <c r="D360">
        <v>7.5889999999999999E-2</v>
      </c>
      <c r="E360">
        <v>7.8619999999999995E-2</v>
      </c>
      <c r="F360">
        <v>278482751.39999998</v>
      </c>
      <c r="G360">
        <v>0</v>
      </c>
      <c r="L360" t="s">
        <v>7</v>
      </c>
      <c r="M360" t="s">
        <v>8</v>
      </c>
      <c r="N360" t="s">
        <v>8</v>
      </c>
      <c r="P360">
        <f t="shared" si="969"/>
        <v>-0.23206751054852481</v>
      </c>
      <c r="Q360">
        <f t="shared" si="970"/>
        <v>-64626798.848101705</v>
      </c>
      <c r="R360">
        <f t="shared" si="971"/>
        <v>7146709361.4194498</v>
      </c>
      <c r="S360">
        <f t="shared" si="972"/>
        <v>71467.093614194499</v>
      </c>
      <c r="T360">
        <f t="shared" si="973"/>
        <v>71.467093614194496</v>
      </c>
    </row>
    <row r="361" spans="1:20" x14ac:dyDescent="0.25">
      <c r="A361" s="5">
        <v>44232</v>
      </c>
      <c r="B361">
        <v>7.6380000000000003E-2</v>
      </c>
      <c r="C361">
        <v>8.5400000000000004E-2</v>
      </c>
      <c r="D361">
        <v>7.553E-2</v>
      </c>
      <c r="E361">
        <v>8.2559999999999995E-2</v>
      </c>
      <c r="F361">
        <v>431427314.10000002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0.42451874366767822</v>
      </c>
      <c r="Q361">
        <f t="shared" si="970"/>
        <v>183148981.3656528</v>
      </c>
      <c r="R361">
        <f t="shared" si="971"/>
        <v>7211336160.2675514</v>
      </c>
      <c r="S361">
        <f t="shared" si="972"/>
        <v>72113.361602675519</v>
      </c>
      <c r="T361">
        <f t="shared" si="973"/>
        <v>72.113361602675525</v>
      </c>
    </row>
    <row r="362" spans="1:20" x14ac:dyDescent="0.25">
      <c r="A362" s="5">
        <v>44231</v>
      </c>
      <c r="B362">
        <v>7.9570000000000002E-2</v>
      </c>
      <c r="C362">
        <v>8.0600000000000005E-2</v>
      </c>
      <c r="D362">
        <v>7.1379999999999999E-2</v>
      </c>
      <c r="E362">
        <v>7.6329999999999995E-2</v>
      </c>
      <c r="F362">
        <v>339154610.10000002</v>
      </c>
      <c r="G362">
        <v>0</v>
      </c>
      <c r="L362" t="s">
        <v>7</v>
      </c>
      <c r="M362" t="s">
        <v>8</v>
      </c>
      <c r="N362" t="s">
        <v>8</v>
      </c>
      <c r="P362">
        <f t="shared" si="969"/>
        <v>7.3752711496744658E-2</v>
      </c>
      <c r="Q362">
        <f t="shared" si="970"/>
        <v>25013572.111496225</v>
      </c>
      <c r="R362">
        <f t="shared" si="971"/>
        <v>7028187178.9018984</v>
      </c>
      <c r="S362">
        <f t="shared" si="972"/>
        <v>70281.871789018987</v>
      </c>
      <c r="T362">
        <f t="shared" si="973"/>
        <v>70.281871789018993</v>
      </c>
    </row>
    <row r="363" spans="1:20" x14ac:dyDescent="0.25">
      <c r="A363" s="5">
        <v>44230</v>
      </c>
      <c r="B363">
        <v>7.7619999999999995E-2</v>
      </c>
      <c r="C363">
        <v>8.301E-2</v>
      </c>
      <c r="D363">
        <v>7.5439999999999993E-2</v>
      </c>
      <c r="E363">
        <v>7.9509999999999997E-2</v>
      </c>
      <c r="F363">
        <v>354720308.69999999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7.5297225891677741E-2</v>
      </c>
      <c r="Q363">
        <f t="shared" si="970"/>
        <v>26709455.21254956</v>
      </c>
      <c r="R363">
        <f t="shared" si="971"/>
        <v>7003173606.7904024</v>
      </c>
      <c r="S363">
        <f t="shared" si="972"/>
        <v>70031.736067904028</v>
      </c>
      <c r="T363">
        <f t="shared" si="973"/>
        <v>70.031736067904035</v>
      </c>
    </row>
    <row r="364" spans="1:20" x14ac:dyDescent="0.25">
      <c r="A364" s="5">
        <v>44229</v>
      </c>
      <c r="B364">
        <v>7.5090000000000004E-2</v>
      </c>
      <c r="C364">
        <v>8.165E-2</v>
      </c>
      <c r="D364">
        <v>7.2020000000000001E-2</v>
      </c>
      <c r="E364">
        <v>7.7609999999999998E-2</v>
      </c>
      <c r="F364">
        <v>427026335.60000002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0.1609553478712353</v>
      </c>
      <c r="Q364">
        <f t="shared" si="970"/>
        <v>68732172.396676883</v>
      </c>
      <c r="R364">
        <f t="shared" si="971"/>
        <v>6976464151.5778532</v>
      </c>
      <c r="S364">
        <f t="shared" si="972"/>
        <v>69764.641515778538</v>
      </c>
      <c r="T364">
        <f t="shared" si="973"/>
        <v>69.764641515778536</v>
      </c>
    </row>
    <row r="365" spans="1:20" x14ac:dyDescent="0.25">
      <c r="A365" s="5">
        <v>44228</v>
      </c>
      <c r="B365">
        <v>6.9110000000000005E-2</v>
      </c>
      <c r="C365">
        <v>7.7429999999999999E-2</v>
      </c>
      <c r="D365">
        <v>6.6900000000000001E-2</v>
      </c>
      <c r="E365">
        <v>7.5039999999999996E-2</v>
      </c>
      <c r="F365">
        <v>390463194.80000001</v>
      </c>
      <c r="G365">
        <v>0</v>
      </c>
      <c r="L365" t="s">
        <v>7</v>
      </c>
      <c r="M365" t="s">
        <v>7</v>
      </c>
      <c r="N365" t="s">
        <v>8</v>
      </c>
      <c r="P365">
        <f t="shared" si="969"/>
        <v>0.54605887939221198</v>
      </c>
      <c r="Q365">
        <f t="shared" si="970"/>
        <v>213215894.59639099</v>
      </c>
      <c r="R365">
        <f t="shared" si="971"/>
        <v>6907731979.1811762</v>
      </c>
      <c r="S365">
        <f t="shared" si="972"/>
        <v>69077.319791811766</v>
      </c>
      <c r="T365">
        <f t="shared" si="973"/>
        <v>69.07731979181176</v>
      </c>
    </row>
    <row r="366" spans="1:20" x14ac:dyDescent="0.25">
      <c r="A366" s="5">
        <v>44227</v>
      </c>
      <c r="B366">
        <v>7.3139999999999997E-2</v>
      </c>
      <c r="C366">
        <v>8.1049999999999997E-2</v>
      </c>
      <c r="D366">
        <v>6.5100000000000005E-2</v>
      </c>
      <c r="E366">
        <v>6.9180000000000005E-2</v>
      </c>
      <c r="F366">
        <v>570469660.5</v>
      </c>
      <c r="G366">
        <v>0</v>
      </c>
      <c r="L366" t="s">
        <v>8</v>
      </c>
      <c r="M366" t="s">
        <v>8</v>
      </c>
      <c r="N366" t="s">
        <v>8</v>
      </c>
      <c r="P366">
        <f t="shared" si="969"/>
        <v>-0.48840125391849498</v>
      </c>
      <c r="Q366">
        <f t="shared" si="970"/>
        <v>-278618097.51065814</v>
      </c>
      <c r="R366">
        <f t="shared" si="971"/>
        <v>6694516084.5847855</v>
      </c>
      <c r="S366">
        <f t="shared" si="972"/>
        <v>66945.160845847859</v>
      </c>
      <c r="T366">
        <f t="shared" si="973"/>
        <v>66.945160845847852</v>
      </c>
    </row>
    <row r="367" spans="1:20" x14ac:dyDescent="0.25">
      <c r="A367" s="5">
        <v>44226</v>
      </c>
      <c r="B367">
        <v>6.7199999999999996E-2</v>
      </c>
      <c r="C367">
        <v>7.8780000000000003E-2</v>
      </c>
      <c r="D367">
        <v>6.4649999999999999E-2</v>
      </c>
      <c r="E367">
        <v>7.306E-2</v>
      </c>
      <c r="F367">
        <v>624004071.20000005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0.19037508846426024</v>
      </c>
      <c r="Q367">
        <f t="shared" si="970"/>
        <v>118794830.25675856</v>
      </c>
      <c r="R367">
        <f t="shared" si="971"/>
        <v>6973134182.0954437</v>
      </c>
      <c r="S367">
        <f t="shared" si="972"/>
        <v>69731.341820954432</v>
      </c>
      <c r="T367">
        <f t="shared" si="973"/>
        <v>69.731341820954427</v>
      </c>
    </row>
    <row r="368" spans="1:20" x14ac:dyDescent="0.25">
      <c r="A368" s="5">
        <v>44225</v>
      </c>
      <c r="B368">
        <v>6.54E-2</v>
      </c>
      <c r="C368">
        <v>7.1230000000000002E-2</v>
      </c>
      <c r="D368">
        <v>6.3039999999999999E-2</v>
      </c>
      <c r="E368">
        <v>6.7169999999999994E-2</v>
      </c>
      <c r="F368">
        <v>425494764.30000001</v>
      </c>
      <c r="G368">
        <v>0</v>
      </c>
      <c r="L368" t="s">
        <v>8</v>
      </c>
      <c r="M368" t="s">
        <v>7</v>
      </c>
      <c r="N368" t="s">
        <v>7</v>
      </c>
      <c r="P368">
        <f t="shared" si="969"/>
        <v>8.5470085470069242E-3</v>
      </c>
      <c r="Q368">
        <f t="shared" si="970"/>
        <v>3636707.3871787968</v>
      </c>
      <c r="R368">
        <f t="shared" si="971"/>
        <v>6854339351.838685</v>
      </c>
      <c r="S368">
        <f t="shared" si="972"/>
        <v>68543.393518386845</v>
      </c>
      <c r="T368">
        <f t="shared" si="973"/>
        <v>68.54339351838685</v>
      </c>
    </row>
    <row r="369" spans="1:20" x14ac:dyDescent="0.25">
      <c r="A369" s="5">
        <v>44224</v>
      </c>
      <c r="B369">
        <v>6.2050000000000001E-2</v>
      </c>
      <c r="C369">
        <v>6.7599999999999993E-2</v>
      </c>
      <c r="D369">
        <v>6.1359999999999998E-2</v>
      </c>
      <c r="E369">
        <v>6.54E-2</v>
      </c>
      <c r="F369">
        <v>196487222.09999999</v>
      </c>
      <c r="G369">
        <v>0</v>
      </c>
      <c r="L369" t="s">
        <v>8</v>
      </c>
      <c r="M369" t="s">
        <v>7</v>
      </c>
      <c r="N369" t="s">
        <v>7</v>
      </c>
      <c r="P369">
        <f t="shared" si="969"/>
        <v>0.29487179487179643</v>
      </c>
      <c r="Q369">
        <f t="shared" si="970"/>
        <v>57938539.850000307</v>
      </c>
      <c r="R369">
        <f t="shared" si="971"/>
        <v>6850702644.4515066</v>
      </c>
      <c r="S369">
        <f t="shared" si="972"/>
        <v>68507.026444515068</v>
      </c>
      <c r="T369">
        <f t="shared" si="973"/>
        <v>68.507026444515063</v>
      </c>
    </row>
    <row r="370" spans="1:20" x14ac:dyDescent="0.25">
      <c r="A370" s="5">
        <v>44223</v>
      </c>
      <c r="B370">
        <v>6.7849999999999994E-2</v>
      </c>
      <c r="C370">
        <v>6.8199999999999997E-2</v>
      </c>
      <c r="D370">
        <v>6.0019999999999997E-2</v>
      </c>
      <c r="E370">
        <v>6.2059999999999997E-2</v>
      </c>
      <c r="F370">
        <v>217731163.40000001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-0.50122249388753048</v>
      </c>
      <c r="Q370">
        <f t="shared" si="970"/>
        <v>-109131756.7163814</v>
      </c>
      <c r="R370">
        <f t="shared" si="971"/>
        <v>6792764104.6015062</v>
      </c>
      <c r="S370">
        <f t="shared" si="972"/>
        <v>67927.641046015066</v>
      </c>
      <c r="T370">
        <f t="shared" si="973"/>
        <v>67.927641046015069</v>
      </c>
    </row>
    <row r="371" spans="1:20" x14ac:dyDescent="0.25">
      <c r="A371" s="5">
        <v>44222</v>
      </c>
      <c r="B371">
        <v>6.6729999999999998E-2</v>
      </c>
      <c r="C371">
        <v>6.8640000000000007E-2</v>
      </c>
      <c r="D371">
        <v>6.3619999999999996E-2</v>
      </c>
      <c r="E371">
        <v>6.7849999999999994E-2</v>
      </c>
      <c r="F371">
        <v>185630504.90000001</v>
      </c>
      <c r="G371">
        <v>0</v>
      </c>
      <c r="L371" t="s">
        <v>7</v>
      </c>
      <c r="M371" t="s">
        <v>8</v>
      </c>
      <c r="N371" t="s">
        <v>7</v>
      </c>
      <c r="P371">
        <f t="shared" si="969"/>
        <v>0.6852589641434218</v>
      </c>
      <c r="Q371">
        <f t="shared" si="970"/>
        <v>127204967.50119439</v>
      </c>
      <c r="R371">
        <f t="shared" si="971"/>
        <v>6901895861.3178873</v>
      </c>
      <c r="S371">
        <f t="shared" si="972"/>
        <v>69018.958613178867</v>
      </c>
      <c r="T371">
        <f t="shared" si="973"/>
        <v>69.018958613178867</v>
      </c>
    </row>
    <row r="372" spans="1:20" x14ac:dyDescent="0.25">
      <c r="A372" s="5">
        <v>44221</v>
      </c>
      <c r="B372">
        <v>6.9010000000000002E-2</v>
      </c>
      <c r="C372">
        <v>7.2080000000000005E-2</v>
      </c>
      <c r="D372">
        <v>6.5930000000000002E-2</v>
      </c>
      <c r="E372">
        <v>6.6729999999999998E-2</v>
      </c>
      <c r="F372">
        <v>204513619.80000001</v>
      </c>
      <c r="G372">
        <v>0</v>
      </c>
      <c r="L372" t="s">
        <v>7</v>
      </c>
      <c r="M372" t="s">
        <v>8</v>
      </c>
      <c r="N372" t="s">
        <v>7</v>
      </c>
      <c r="P372">
        <f t="shared" si="969"/>
        <v>-0.73983739837398543</v>
      </c>
      <c r="Q372">
        <f t="shared" si="970"/>
        <v>-151306824.40487841</v>
      </c>
      <c r="R372">
        <f t="shared" si="971"/>
        <v>6774690893.8166933</v>
      </c>
      <c r="S372">
        <f t="shared" si="972"/>
        <v>67746.908938166933</v>
      </c>
      <c r="T372">
        <f t="shared" si="973"/>
        <v>67.746908938166939</v>
      </c>
    </row>
    <row r="373" spans="1:20" x14ac:dyDescent="0.25">
      <c r="A373" s="5">
        <v>44220</v>
      </c>
      <c r="B373">
        <v>6.7919999999999994E-2</v>
      </c>
      <c r="C373">
        <v>7.2760000000000005E-2</v>
      </c>
      <c r="D373">
        <v>6.7110000000000003E-2</v>
      </c>
      <c r="E373">
        <v>6.9070000000000006E-2</v>
      </c>
      <c r="F373">
        <v>206100526.5</v>
      </c>
      <c r="G373">
        <v>0</v>
      </c>
      <c r="L373" t="s">
        <v>8</v>
      </c>
      <c r="M373" t="s">
        <v>8</v>
      </c>
      <c r="N373" t="s">
        <v>7</v>
      </c>
      <c r="P373">
        <f t="shared" si="969"/>
        <v>-0.30619469026548579</v>
      </c>
      <c r="Q373">
        <f t="shared" si="970"/>
        <v>-63106886.875221044</v>
      </c>
      <c r="R373">
        <f t="shared" si="971"/>
        <v>6925997718.2215719</v>
      </c>
      <c r="S373">
        <f t="shared" si="972"/>
        <v>69259.97718221572</v>
      </c>
      <c r="T373">
        <f t="shared" si="973"/>
        <v>69.259977182215721</v>
      </c>
    </row>
    <row r="374" spans="1:20" x14ac:dyDescent="0.25">
      <c r="A374" s="5">
        <v>44219</v>
      </c>
      <c r="B374">
        <v>6.7570000000000005E-2</v>
      </c>
      <c r="C374">
        <v>7.0499999999999993E-2</v>
      </c>
      <c r="D374">
        <v>6.522E-2</v>
      </c>
      <c r="E374">
        <v>6.7809999999999995E-2</v>
      </c>
      <c r="F374">
        <v>189390525.40000001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-1.8939393939394505E-2</v>
      </c>
      <c r="Q374">
        <f t="shared" si="970"/>
        <v>-3586941.7689395011</v>
      </c>
      <c r="R374">
        <f t="shared" si="971"/>
        <v>6989104605.0967932</v>
      </c>
      <c r="S374">
        <f t="shared" si="972"/>
        <v>69891.046050967925</v>
      </c>
      <c r="T374">
        <f t="shared" si="973"/>
        <v>69.89104605096793</v>
      </c>
    </row>
    <row r="375" spans="1:20" x14ac:dyDescent="0.25">
      <c r="A375" s="5">
        <v>44218</v>
      </c>
      <c r="B375">
        <v>6.2129999999999998E-2</v>
      </c>
      <c r="C375">
        <v>6.9769999999999999E-2</v>
      </c>
      <c r="D375">
        <v>5.7000000000000002E-2</v>
      </c>
      <c r="E375">
        <v>6.7570000000000005E-2</v>
      </c>
      <c r="F375">
        <v>282759185.39999998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0.65544244322631262</v>
      </c>
      <c r="Q375">
        <f t="shared" si="970"/>
        <v>185332371.32325789</v>
      </c>
      <c r="R375">
        <f t="shared" si="971"/>
        <v>6992691546.8657331</v>
      </c>
      <c r="S375">
        <f t="shared" si="972"/>
        <v>69926.915468657331</v>
      </c>
      <c r="T375">
        <f t="shared" si="973"/>
        <v>69.926915468657327</v>
      </c>
    </row>
    <row r="376" spans="1:20" x14ac:dyDescent="0.25">
      <c r="A376" s="5">
        <v>44217</v>
      </c>
      <c r="B376">
        <v>7.4060000000000001E-2</v>
      </c>
      <c r="C376">
        <v>7.4899999999999994E-2</v>
      </c>
      <c r="D376">
        <v>6.0440000000000001E-2</v>
      </c>
      <c r="E376">
        <v>6.2140000000000001E-2</v>
      </c>
      <c r="F376">
        <v>280709966.69999999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-0.76486860304287674</v>
      </c>
      <c r="Q376">
        <f t="shared" si="970"/>
        <v>-214706240.09004143</v>
      </c>
      <c r="R376">
        <f t="shared" si="971"/>
        <v>6807359175.5424757</v>
      </c>
      <c r="S376">
        <f t="shared" si="972"/>
        <v>68073.591755424757</v>
      </c>
      <c r="T376">
        <f t="shared" si="973"/>
        <v>68.073591755424758</v>
      </c>
    </row>
    <row r="377" spans="1:20" x14ac:dyDescent="0.25">
      <c r="A377" s="5">
        <v>44216</v>
      </c>
      <c r="B377">
        <v>7.3620000000000005E-2</v>
      </c>
      <c r="C377">
        <v>7.5550000000000006E-2</v>
      </c>
      <c r="D377">
        <v>6.7799999999999999E-2</v>
      </c>
      <c r="E377">
        <v>7.4130000000000001E-2</v>
      </c>
      <c r="F377">
        <v>303065833.69999999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0.6335483870967733</v>
      </c>
      <c r="Q377">
        <f t="shared" si="970"/>
        <v>192006870.12477392</v>
      </c>
      <c r="R377">
        <f t="shared" si="971"/>
        <v>7022065415.6325169</v>
      </c>
      <c r="S377">
        <f t="shared" si="972"/>
        <v>70220.654156325167</v>
      </c>
      <c r="T377">
        <f t="shared" si="973"/>
        <v>70.220654156325168</v>
      </c>
    </row>
    <row r="378" spans="1:20" x14ac:dyDescent="0.25">
      <c r="A378" s="5">
        <v>44215</v>
      </c>
      <c r="B378">
        <v>7.8880000000000006E-2</v>
      </c>
      <c r="C378">
        <v>7.9200000000000007E-2</v>
      </c>
      <c r="D378">
        <v>7.1900000000000006E-2</v>
      </c>
      <c r="E378">
        <v>7.3580000000000007E-2</v>
      </c>
      <c r="F378">
        <v>319888811.30000001</v>
      </c>
      <c r="G378">
        <v>0</v>
      </c>
      <c r="L378" t="s">
        <v>7</v>
      </c>
      <c r="M378" t="s">
        <v>8</v>
      </c>
      <c r="N378" t="s">
        <v>8</v>
      </c>
      <c r="P378">
        <f t="shared" si="969"/>
        <v>-0.53972602739726006</v>
      </c>
      <c r="Q378">
        <f t="shared" si="970"/>
        <v>-172652317.33178076</v>
      </c>
      <c r="R378">
        <f t="shared" si="971"/>
        <v>6830058545.5077429</v>
      </c>
      <c r="S378">
        <f t="shared" si="972"/>
        <v>68300.585455077424</v>
      </c>
      <c r="T378">
        <f t="shared" si="973"/>
        <v>68.300585455077425</v>
      </c>
    </row>
    <row r="379" spans="1:20" x14ac:dyDescent="0.25">
      <c r="A379" s="5">
        <v>44214</v>
      </c>
      <c r="B379">
        <v>7.3400000000000007E-2</v>
      </c>
      <c r="C379">
        <v>8.1299999999999997E-2</v>
      </c>
      <c r="D379">
        <v>7.0499999999999993E-2</v>
      </c>
      <c r="E379">
        <v>7.8899999999999998E-2</v>
      </c>
      <c r="F379">
        <v>494553977.39999998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0.5555555555555558</v>
      </c>
      <c r="Q379">
        <f t="shared" si="970"/>
        <v>274752209.66666675</v>
      </c>
      <c r="R379">
        <f t="shared" si="971"/>
        <v>7002710862.8395233</v>
      </c>
      <c r="S379">
        <f t="shared" si="972"/>
        <v>70027.108628395232</v>
      </c>
      <c r="T379">
        <f t="shared" si="973"/>
        <v>70.027108628395226</v>
      </c>
    </row>
    <row r="380" spans="1:20" x14ac:dyDescent="0.25">
      <c r="A380" s="5">
        <v>44213</v>
      </c>
      <c r="B380">
        <v>7.3469999999999994E-2</v>
      </c>
      <c r="C380">
        <v>7.9500000000000001E-2</v>
      </c>
      <c r="D380">
        <v>6.9620000000000001E-2</v>
      </c>
      <c r="E380">
        <v>7.3410000000000003E-2</v>
      </c>
      <c r="F380">
        <v>451842559.69999999</v>
      </c>
      <c r="G380">
        <v>0</v>
      </c>
      <c r="L380" t="s">
        <v>8</v>
      </c>
      <c r="M380" t="s">
        <v>8</v>
      </c>
      <c r="N380" t="s">
        <v>8</v>
      </c>
      <c r="P380">
        <f t="shared" si="969"/>
        <v>-0.23279352226720612</v>
      </c>
      <c r="Q380">
        <f t="shared" si="970"/>
        <v>-105186020.98279336</v>
      </c>
      <c r="R380">
        <f t="shared" si="971"/>
        <v>6727958653.1728563</v>
      </c>
      <c r="S380">
        <f t="shared" si="972"/>
        <v>67279.586531728564</v>
      </c>
      <c r="T380">
        <f t="shared" si="973"/>
        <v>67.279586531728569</v>
      </c>
    </row>
    <row r="381" spans="1:20" x14ac:dyDescent="0.25">
      <c r="A381" s="5">
        <v>44212</v>
      </c>
      <c r="B381">
        <v>6.6250000000000003E-2</v>
      </c>
      <c r="C381">
        <v>7.5749999999999998E-2</v>
      </c>
      <c r="D381">
        <v>6.5949999999999995E-2</v>
      </c>
      <c r="E381">
        <v>7.349E-2</v>
      </c>
      <c r="F381">
        <v>470878746.19999999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0.53877551020408221</v>
      </c>
      <c r="Q381">
        <f t="shared" si="970"/>
        <v>253697936.72816354</v>
      </c>
      <c r="R381">
        <f t="shared" si="971"/>
        <v>6833144674.1556501</v>
      </c>
      <c r="S381">
        <f t="shared" si="972"/>
        <v>68331.446741556501</v>
      </c>
      <c r="T381">
        <f t="shared" si="973"/>
        <v>68.331446741556505</v>
      </c>
    </row>
    <row r="382" spans="1:20" x14ac:dyDescent="0.25">
      <c r="A382" s="5">
        <v>44211</v>
      </c>
      <c r="B382">
        <v>6.905E-2</v>
      </c>
      <c r="C382">
        <v>7.0169999999999996E-2</v>
      </c>
      <c r="D382">
        <v>0.06</v>
      </c>
      <c r="E382">
        <v>6.6220000000000001E-2</v>
      </c>
      <c r="F382">
        <v>395566646.60000002</v>
      </c>
      <c r="G382">
        <v>0</v>
      </c>
      <c r="L382" t="s">
        <v>7</v>
      </c>
      <c r="M382" t="s">
        <v>7</v>
      </c>
      <c r="N382" t="s">
        <v>8</v>
      </c>
      <c r="P382">
        <f t="shared" si="969"/>
        <v>0.22320550639134792</v>
      </c>
      <c r="Q382">
        <f t="shared" si="970"/>
        <v>88292653.665880367</v>
      </c>
      <c r="R382">
        <f t="shared" si="971"/>
        <v>6579446737.4274864</v>
      </c>
      <c r="S382">
        <f t="shared" si="972"/>
        <v>65794.467374274871</v>
      </c>
      <c r="T382">
        <f t="shared" si="973"/>
        <v>65.794467374274873</v>
      </c>
    </row>
    <row r="383" spans="1:20" x14ac:dyDescent="0.25">
      <c r="A383" s="5">
        <v>44210</v>
      </c>
      <c r="B383">
        <v>7.0449999999999999E-2</v>
      </c>
      <c r="C383">
        <v>7.2340000000000002E-2</v>
      </c>
      <c r="D383">
        <v>6.5000000000000002E-2</v>
      </c>
      <c r="E383">
        <v>6.9059999999999996E-2</v>
      </c>
      <c r="F383">
        <v>461350719.30000001</v>
      </c>
      <c r="G383">
        <v>0</v>
      </c>
      <c r="L383" t="s">
        <v>7</v>
      </c>
      <c r="M383" t="s">
        <v>8</v>
      </c>
      <c r="N383" t="s">
        <v>8</v>
      </c>
      <c r="P383">
        <f t="shared" si="969"/>
        <v>0.10626702997275056</v>
      </c>
      <c r="Q383">
        <f t="shared" si="970"/>
        <v>49026370.715803131</v>
      </c>
      <c r="R383">
        <f t="shared" si="971"/>
        <v>6491154083.7616062</v>
      </c>
      <c r="S383">
        <f t="shared" si="972"/>
        <v>64911.540837616063</v>
      </c>
      <c r="T383">
        <f t="shared" si="973"/>
        <v>64.911540837616059</v>
      </c>
    </row>
    <row r="384" spans="1:20" x14ac:dyDescent="0.25">
      <c r="A384" s="5">
        <v>44209</v>
      </c>
      <c r="B384">
        <v>6.1960000000000001E-2</v>
      </c>
      <c r="C384">
        <v>7.2279999999999997E-2</v>
      </c>
      <c r="D384">
        <v>5.8720000000000001E-2</v>
      </c>
      <c r="E384">
        <v>7.0349999999999996E-2</v>
      </c>
      <c r="F384">
        <v>373479935.19999999</v>
      </c>
      <c r="G384">
        <v>0</v>
      </c>
      <c r="L384" t="s">
        <v>8</v>
      </c>
      <c r="M384" t="s">
        <v>8</v>
      </c>
      <c r="N384" t="s">
        <v>8</v>
      </c>
      <c r="P384">
        <f t="shared" si="969"/>
        <v>0.71533923303834779</v>
      </c>
      <c r="Q384">
        <f t="shared" si="970"/>
        <v>267164850.40117982</v>
      </c>
      <c r="R384">
        <f t="shared" si="971"/>
        <v>6442127713.0458031</v>
      </c>
      <c r="S384">
        <f t="shared" si="972"/>
        <v>64421.277130458031</v>
      </c>
      <c r="T384">
        <f t="shared" si="973"/>
        <v>64.421277130458037</v>
      </c>
    </row>
    <row r="385" spans="1:20" x14ac:dyDescent="0.25">
      <c r="A385" s="5">
        <v>44208</v>
      </c>
      <c r="B385">
        <v>6.4979999999999996E-2</v>
      </c>
      <c r="C385">
        <v>7.0999999999999994E-2</v>
      </c>
      <c r="D385">
        <v>5.8069999999999997E-2</v>
      </c>
      <c r="E385">
        <v>6.1969999999999997E-2</v>
      </c>
      <c r="F385">
        <v>454342552.10000002</v>
      </c>
      <c r="G385">
        <v>0</v>
      </c>
      <c r="L385" t="s">
        <v>8</v>
      </c>
      <c r="M385" t="s">
        <v>8</v>
      </c>
      <c r="N385" t="s">
        <v>8</v>
      </c>
      <c r="P385">
        <f t="shared" si="969"/>
        <v>-0.39675174013921088</v>
      </c>
      <c r="Q385">
        <f t="shared" si="970"/>
        <v>-180261198.16496509</v>
      </c>
      <c r="R385">
        <f t="shared" si="971"/>
        <v>6174962862.6446228</v>
      </c>
      <c r="S385">
        <f t="shared" si="972"/>
        <v>61749.628626446225</v>
      </c>
      <c r="T385">
        <f t="shared" si="973"/>
        <v>61.749628626446224</v>
      </c>
    </row>
    <row r="386" spans="1:20" x14ac:dyDescent="0.25">
      <c r="A386" s="5">
        <v>44207</v>
      </c>
      <c r="B386">
        <v>7.2840000000000002E-2</v>
      </c>
      <c r="C386">
        <v>7.3260000000000006E-2</v>
      </c>
      <c r="D386">
        <v>5.1310000000000001E-2</v>
      </c>
      <c r="E386">
        <v>6.4810000000000006E-2</v>
      </c>
      <c r="F386">
        <v>896752163.79999995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0.23006833712984076</v>
      </c>
      <c r="Q386">
        <f t="shared" si="970"/>
        <v>206314279.14305258</v>
      </c>
      <c r="R386">
        <f t="shared" si="971"/>
        <v>6355224060.8095875</v>
      </c>
      <c r="S386">
        <f t="shared" si="972"/>
        <v>63552.240608095875</v>
      </c>
      <c r="T386">
        <f t="shared" si="973"/>
        <v>63.552240608095879</v>
      </c>
    </row>
    <row r="387" spans="1:20" x14ac:dyDescent="0.25">
      <c r="A387" s="5">
        <v>44206</v>
      </c>
      <c r="B387">
        <v>7.5889999999999999E-2</v>
      </c>
      <c r="C387">
        <v>8.3099999999999993E-2</v>
      </c>
      <c r="D387">
        <v>6.6839999999999997E-2</v>
      </c>
      <c r="E387">
        <v>7.2849999999999998E-2</v>
      </c>
      <c r="F387">
        <v>463354814.10000002</v>
      </c>
      <c r="G387">
        <v>0</v>
      </c>
      <c r="L387" t="s">
        <v>8</v>
      </c>
      <c r="M387" t="s">
        <v>8</v>
      </c>
      <c r="N387" t="s">
        <v>7</v>
      </c>
      <c r="P387">
        <f t="shared" si="969"/>
        <v>-0.26076260762607595</v>
      </c>
      <c r="Q387">
        <f t="shared" si="970"/>
        <v>-120825609.58081166</v>
      </c>
      <c r="R387">
        <f t="shared" si="971"/>
        <v>6148909781.6665354</v>
      </c>
      <c r="S387">
        <f t="shared" si="972"/>
        <v>61489.097816665351</v>
      </c>
      <c r="T387">
        <f t="shared" si="973"/>
        <v>61.48909781666535</v>
      </c>
    </row>
    <row r="388" spans="1:20" x14ac:dyDescent="0.25">
      <c r="A388" s="5">
        <v>44205</v>
      </c>
      <c r="B388">
        <v>7.3219999999999993E-2</v>
      </c>
      <c r="C388">
        <v>0.08</v>
      </c>
      <c r="D388">
        <v>7.0999999999999994E-2</v>
      </c>
      <c r="E388">
        <v>7.5870000000000007E-2</v>
      </c>
      <c r="F388">
        <v>319075245.10000002</v>
      </c>
      <c r="G388">
        <v>0</v>
      </c>
      <c r="L388" t="s">
        <v>8</v>
      </c>
      <c r="M388" t="s">
        <v>8</v>
      </c>
      <c r="N388" t="s">
        <v>7</v>
      </c>
      <c r="P388">
        <f t="shared" si="969"/>
        <v>8.2222222222224195E-2</v>
      </c>
      <c r="Q388">
        <f t="shared" si="970"/>
        <v>26235075.708222855</v>
      </c>
      <c r="R388">
        <f t="shared" si="971"/>
        <v>6269735391.2473469</v>
      </c>
      <c r="S388">
        <f t="shared" si="972"/>
        <v>62697.353912473467</v>
      </c>
      <c r="T388">
        <f t="shared" si="973"/>
        <v>62.697353912473467</v>
      </c>
    </row>
    <row r="389" spans="1:20" x14ac:dyDescent="0.25">
      <c r="A389" s="5">
        <v>44204</v>
      </c>
      <c r="B389">
        <v>7.5840000000000005E-2</v>
      </c>
      <c r="C389">
        <v>7.7499999999999999E-2</v>
      </c>
      <c r="D389">
        <v>6.8000000000000005E-2</v>
      </c>
      <c r="E389">
        <v>7.3370000000000005E-2</v>
      </c>
      <c r="F389">
        <v>398774074.60000002</v>
      </c>
      <c r="G389">
        <v>0</v>
      </c>
      <c r="L389" t="s">
        <v>7</v>
      </c>
      <c r="M389" t="s">
        <v>7</v>
      </c>
      <c r="N389" t="s">
        <v>7</v>
      </c>
      <c r="P389">
        <f t="shared" si="969"/>
        <v>0.1305263157894743</v>
      </c>
      <c r="Q389">
        <f t="shared" si="970"/>
        <v>52050510.789894983</v>
      </c>
      <c r="R389">
        <f t="shared" si="971"/>
        <v>6243500315.5391245</v>
      </c>
      <c r="S389">
        <f t="shared" si="972"/>
        <v>62435.003155391241</v>
      </c>
      <c r="T389">
        <f t="shared" si="973"/>
        <v>62.435003155391243</v>
      </c>
    </row>
    <row r="390" spans="1:20" x14ac:dyDescent="0.25">
      <c r="A390" s="5">
        <v>44203</v>
      </c>
      <c r="B390">
        <v>7.7759999999999996E-2</v>
      </c>
      <c r="C390">
        <v>8.4790000000000004E-2</v>
      </c>
      <c r="D390">
        <v>7.0699999999999999E-2</v>
      </c>
      <c r="E390">
        <v>7.5810000000000002E-2</v>
      </c>
      <c r="F390">
        <v>696858168.10000002</v>
      </c>
      <c r="G390">
        <v>0</v>
      </c>
      <c r="L390" t="s">
        <v>7</v>
      </c>
      <c r="M390" t="s">
        <v>7</v>
      </c>
      <c r="N390" t="s">
        <v>7</v>
      </c>
      <c r="P390">
        <f t="shared" ref="P390:P453" si="974">IF(C390=D390,0,((E390-D390)-(C390-E390))/(C390-D390))</f>
        <v>-0.27466288147622409</v>
      </c>
      <c r="Q390">
        <f t="shared" ref="Q390:Q453" si="975">F390*P390</f>
        <v>-191401072.43058896</v>
      </c>
      <c r="R390">
        <f t="shared" ref="R390:R453" si="976">R391+Q390</f>
        <v>6191449804.7492294</v>
      </c>
      <c r="S390">
        <f t="shared" ref="S390:S453" si="977">R390/100000</f>
        <v>61914.498047492292</v>
      </c>
      <c r="T390">
        <f t="shared" ref="T390:T453" si="978">S390/1000</f>
        <v>61.914498047492295</v>
      </c>
    </row>
    <row r="391" spans="1:20" x14ac:dyDescent="0.25">
      <c r="A391" s="5">
        <v>44202</v>
      </c>
      <c r="B391">
        <v>7.0260000000000003E-2</v>
      </c>
      <c r="C391">
        <v>8.5000000000000006E-2</v>
      </c>
      <c r="D391">
        <v>6.9559999999999997E-2</v>
      </c>
      <c r="E391">
        <v>7.7719999999999997E-2</v>
      </c>
      <c r="F391">
        <v>812528626.60000002</v>
      </c>
      <c r="G391">
        <v>0</v>
      </c>
      <c r="L391" t="s">
        <v>8</v>
      </c>
      <c r="M391" t="s">
        <v>8</v>
      </c>
      <c r="N391" t="s">
        <v>7</v>
      </c>
      <c r="P391">
        <f t="shared" si="974"/>
        <v>5.699481865284918E-2</v>
      </c>
      <c r="Q391">
        <f t="shared" si="975"/>
        <v>46309921.723315611</v>
      </c>
      <c r="R391">
        <f t="shared" si="976"/>
        <v>6382850877.1798182</v>
      </c>
      <c r="S391">
        <f t="shared" si="977"/>
        <v>63828.508771798181</v>
      </c>
      <c r="T391">
        <f t="shared" si="978"/>
        <v>63.828508771798184</v>
      </c>
    </row>
    <row r="392" spans="1:20" x14ac:dyDescent="0.25">
      <c r="A392" s="5">
        <v>44201</v>
      </c>
      <c r="B392">
        <v>6.9980000000000001E-2</v>
      </c>
      <c r="C392">
        <v>7.4950000000000003E-2</v>
      </c>
      <c r="D392">
        <v>6.5170000000000006E-2</v>
      </c>
      <c r="E392">
        <v>7.0230000000000001E-2</v>
      </c>
      <c r="F392">
        <v>556215920.39999998</v>
      </c>
      <c r="G392">
        <v>0</v>
      </c>
      <c r="L392" t="s">
        <v>7</v>
      </c>
      <c r="M392" t="s">
        <v>8</v>
      </c>
      <c r="N392" t="s">
        <v>7</v>
      </c>
      <c r="P392">
        <f t="shared" si="974"/>
        <v>3.4764826175868423E-2</v>
      </c>
      <c r="Q392">
        <f t="shared" si="975"/>
        <v>19336749.788956665</v>
      </c>
      <c r="R392">
        <f t="shared" si="976"/>
        <v>6336540955.4565029</v>
      </c>
      <c r="S392">
        <f t="shared" si="977"/>
        <v>63365.409554565027</v>
      </c>
      <c r="T392">
        <f t="shared" si="978"/>
        <v>63.365409554565026</v>
      </c>
    </row>
    <row r="393" spans="1:20" x14ac:dyDescent="0.25">
      <c r="A393" s="5">
        <v>44200</v>
      </c>
      <c r="B393">
        <v>6.7659999999999998E-2</v>
      </c>
      <c r="C393">
        <v>7.8E-2</v>
      </c>
      <c r="D393">
        <v>6.6850000000000007E-2</v>
      </c>
      <c r="E393">
        <v>6.9980000000000001E-2</v>
      </c>
      <c r="F393">
        <v>730857823.20000005</v>
      </c>
      <c r="G393">
        <v>0</v>
      </c>
      <c r="L393" t="s">
        <v>8</v>
      </c>
      <c r="M393" t="s">
        <v>8</v>
      </c>
      <c r="N393" t="s">
        <v>7</v>
      </c>
      <c r="P393">
        <f t="shared" si="974"/>
        <v>-0.4385650224215254</v>
      </c>
      <c r="Q393">
        <f t="shared" si="975"/>
        <v>-320528677.61865526</v>
      </c>
      <c r="R393">
        <f t="shared" si="976"/>
        <v>6317204205.6675463</v>
      </c>
      <c r="S393">
        <f t="shared" si="977"/>
        <v>63172.042056675462</v>
      </c>
      <c r="T393">
        <f t="shared" si="978"/>
        <v>63.172042056675465</v>
      </c>
    </row>
    <row r="394" spans="1:20" x14ac:dyDescent="0.25">
      <c r="A394" s="5">
        <v>44199</v>
      </c>
      <c r="B394">
        <v>7.2190000000000004E-2</v>
      </c>
      <c r="C394">
        <v>7.689E-2</v>
      </c>
      <c r="D394">
        <v>6.3299999999999995E-2</v>
      </c>
      <c r="E394">
        <v>6.7629999999999996E-2</v>
      </c>
      <c r="F394">
        <v>971917210.89999998</v>
      </c>
      <c r="G394">
        <v>0</v>
      </c>
      <c r="L394" t="s">
        <v>7</v>
      </c>
      <c r="M394" t="s">
        <v>7</v>
      </c>
      <c r="N394" t="s">
        <v>7</v>
      </c>
      <c r="P394">
        <f t="shared" si="974"/>
        <v>-0.36276674025018413</v>
      </c>
      <c r="Q394">
        <f t="shared" si="975"/>
        <v>-352579238.3912437</v>
      </c>
      <c r="R394">
        <f t="shared" si="976"/>
        <v>6637732883.2862015</v>
      </c>
      <c r="S394">
        <f t="shared" si="977"/>
        <v>66377.328832862011</v>
      </c>
      <c r="T394">
        <f t="shared" si="978"/>
        <v>66.377328832862005</v>
      </c>
    </row>
    <row r="395" spans="1:20" x14ac:dyDescent="0.25">
      <c r="A395" s="5">
        <v>44198</v>
      </c>
      <c r="B395">
        <v>7.8960000000000002E-2</v>
      </c>
      <c r="C395">
        <v>8.1280000000000005E-2</v>
      </c>
      <c r="D395">
        <v>7.0260000000000003E-2</v>
      </c>
      <c r="E395">
        <v>7.2190000000000004E-2</v>
      </c>
      <c r="F395">
        <v>494851911.10000002</v>
      </c>
      <c r="G395">
        <v>0</v>
      </c>
      <c r="L395" t="s">
        <v>7</v>
      </c>
      <c r="M395" t="s">
        <v>7</v>
      </c>
      <c r="N395" t="s">
        <v>8</v>
      </c>
      <c r="P395">
        <f t="shared" si="974"/>
        <v>-0.64972776769509966</v>
      </c>
      <c r="Q395">
        <f t="shared" si="975"/>
        <v>-321519027.53865695</v>
      </c>
      <c r="R395">
        <f t="shared" si="976"/>
        <v>6990312121.6774454</v>
      </c>
      <c r="S395">
        <f t="shared" si="977"/>
        <v>69903.121216774452</v>
      </c>
      <c r="T395">
        <f t="shared" si="978"/>
        <v>69.903121216774451</v>
      </c>
    </row>
    <row r="396" spans="1:20" x14ac:dyDescent="0.25">
      <c r="A396" s="5">
        <v>44197</v>
      </c>
      <c r="B396">
        <v>8.2570000000000005E-2</v>
      </c>
      <c r="C396">
        <v>8.8999999999999996E-2</v>
      </c>
      <c r="D396">
        <v>7.7229999999999993E-2</v>
      </c>
      <c r="E396">
        <v>7.8869999999999996E-2</v>
      </c>
      <c r="F396">
        <v>580732126.20000005</v>
      </c>
      <c r="G396">
        <v>0</v>
      </c>
      <c r="L396" t="s">
        <v>8</v>
      </c>
      <c r="M396" t="s">
        <v>8</v>
      </c>
      <c r="N396" t="s">
        <v>8</v>
      </c>
      <c r="P396">
        <f t="shared" si="974"/>
        <v>-0.72132540356839381</v>
      </c>
      <c r="Q396">
        <f t="shared" si="975"/>
        <v>-418896835.29634643</v>
      </c>
      <c r="R396">
        <f t="shared" si="976"/>
        <v>7311831149.2161026</v>
      </c>
      <c r="S396">
        <f t="shared" si="977"/>
        <v>73118.311492161025</v>
      </c>
      <c r="T396">
        <f t="shared" si="978"/>
        <v>73.118311492161027</v>
      </c>
    </row>
    <row r="397" spans="1:20" x14ac:dyDescent="0.25">
      <c r="A397" s="5">
        <v>44196</v>
      </c>
      <c r="B397">
        <v>7.7249999999999999E-2</v>
      </c>
      <c r="C397">
        <v>8.5779999999999995E-2</v>
      </c>
      <c r="D397">
        <v>7.145E-2</v>
      </c>
      <c r="E397">
        <v>8.2570000000000005E-2</v>
      </c>
      <c r="F397">
        <v>714590780.89999998</v>
      </c>
      <c r="G397">
        <v>0</v>
      </c>
      <c r="L397" t="s">
        <v>8</v>
      </c>
      <c r="M397" t="s">
        <v>8</v>
      </c>
      <c r="N397" t="s">
        <v>8</v>
      </c>
      <c r="P397">
        <f t="shared" si="974"/>
        <v>0.55198883461270176</v>
      </c>
      <c r="Q397">
        <f t="shared" si="975"/>
        <v>394446132.37397146</v>
      </c>
      <c r="R397">
        <f t="shared" si="976"/>
        <v>7730727984.5124493</v>
      </c>
      <c r="S397">
        <f t="shared" si="977"/>
        <v>77307.279845124489</v>
      </c>
      <c r="T397">
        <f t="shared" si="978"/>
        <v>77.307279845124484</v>
      </c>
    </row>
    <row r="398" spans="1:20" x14ac:dyDescent="0.25">
      <c r="A398" s="5">
        <v>44195</v>
      </c>
      <c r="B398">
        <v>8.4309999999999996E-2</v>
      </c>
      <c r="C398">
        <v>8.4440000000000001E-2</v>
      </c>
      <c r="D398">
        <v>6.9889999999999994E-2</v>
      </c>
      <c r="E398">
        <v>7.7340000000000006E-2</v>
      </c>
      <c r="F398">
        <v>912631524.20000005</v>
      </c>
      <c r="G398">
        <v>0</v>
      </c>
      <c r="L398" t="s">
        <v>7</v>
      </c>
      <c r="M398" t="s">
        <v>7</v>
      </c>
      <c r="N398" t="s">
        <v>8</v>
      </c>
      <c r="P398">
        <f t="shared" si="974"/>
        <v>2.4054982817870569E-2</v>
      </c>
      <c r="Q398">
        <f t="shared" si="975"/>
        <v>21953335.63367803</v>
      </c>
      <c r="R398">
        <f t="shared" si="976"/>
        <v>7336281852.1384773</v>
      </c>
      <c r="S398">
        <f t="shared" si="977"/>
        <v>73362.818521384776</v>
      </c>
      <c r="T398">
        <f t="shared" si="978"/>
        <v>73.362818521384781</v>
      </c>
    </row>
    <row r="399" spans="1:20" x14ac:dyDescent="0.25">
      <c r="A399" s="5">
        <v>44194</v>
      </c>
      <c r="B399">
        <v>8.931E-2</v>
      </c>
      <c r="C399">
        <v>9.128E-2</v>
      </c>
      <c r="D399">
        <v>7.7460000000000001E-2</v>
      </c>
      <c r="E399">
        <v>8.4309999999999996E-2</v>
      </c>
      <c r="F399">
        <v>697664214</v>
      </c>
      <c r="G399">
        <v>0</v>
      </c>
      <c r="L399" t="s">
        <v>8</v>
      </c>
      <c r="M399" t="s">
        <v>8</v>
      </c>
      <c r="N399" t="s">
        <v>8</v>
      </c>
      <c r="P399">
        <f t="shared" si="974"/>
        <v>-8.6830680173667872E-3</v>
      </c>
      <c r="Q399">
        <f t="shared" si="975"/>
        <v>-6057865.8234447381</v>
      </c>
      <c r="R399">
        <f t="shared" si="976"/>
        <v>7314328516.5047989</v>
      </c>
      <c r="S399">
        <f t="shared" si="977"/>
        <v>73143.285165047986</v>
      </c>
      <c r="T399">
        <f t="shared" si="978"/>
        <v>73.143285165047985</v>
      </c>
    </row>
    <row r="400" spans="1:20" x14ac:dyDescent="0.25">
      <c r="A400" s="5">
        <v>44193</v>
      </c>
      <c r="B400">
        <v>7.6359999999999997E-2</v>
      </c>
      <c r="C400">
        <v>9.3200000000000005E-2</v>
      </c>
      <c r="D400">
        <v>7.528E-2</v>
      </c>
      <c r="E400">
        <v>8.9300000000000004E-2</v>
      </c>
      <c r="F400">
        <v>949652809</v>
      </c>
      <c r="G400">
        <v>0</v>
      </c>
      <c r="L400" t="s">
        <v>7</v>
      </c>
      <c r="M400" t="s">
        <v>7</v>
      </c>
      <c r="N400" t="s">
        <v>8</v>
      </c>
      <c r="P400">
        <f t="shared" si="974"/>
        <v>0.5647321428571429</v>
      </c>
      <c r="Q400">
        <f t="shared" si="975"/>
        <v>536299465.79687506</v>
      </c>
      <c r="R400">
        <f t="shared" si="976"/>
        <v>7320386382.3282433</v>
      </c>
      <c r="S400">
        <f t="shared" si="977"/>
        <v>73203.863823282431</v>
      </c>
      <c r="T400">
        <f t="shared" si="978"/>
        <v>73.203863823282433</v>
      </c>
    </row>
    <row r="401" spans="1:20" x14ac:dyDescent="0.25">
      <c r="A401" s="5">
        <v>44192</v>
      </c>
      <c r="B401">
        <v>8.6540000000000006E-2</v>
      </c>
      <c r="C401">
        <v>9.98E-2</v>
      </c>
      <c r="D401">
        <v>7.3069999999999996E-2</v>
      </c>
      <c r="E401">
        <v>7.6369999999999993E-2</v>
      </c>
      <c r="F401">
        <v>2394132008.3000002</v>
      </c>
      <c r="G401">
        <v>0</v>
      </c>
      <c r="L401" t="s">
        <v>8</v>
      </c>
      <c r="M401" t="s">
        <v>8</v>
      </c>
      <c r="N401" t="s">
        <v>8</v>
      </c>
      <c r="P401">
        <f t="shared" si="974"/>
        <v>-0.75308641975308666</v>
      </c>
      <c r="Q401">
        <f t="shared" si="975"/>
        <v>-1802988302.5469143</v>
      </c>
      <c r="R401">
        <f t="shared" si="976"/>
        <v>6784086916.5313683</v>
      </c>
      <c r="S401">
        <f t="shared" si="977"/>
        <v>67840.869165313678</v>
      </c>
      <c r="T401">
        <f t="shared" si="978"/>
        <v>67.840869165313677</v>
      </c>
    </row>
    <row r="402" spans="1:20" x14ac:dyDescent="0.25">
      <c r="A402" s="5">
        <v>44191</v>
      </c>
      <c r="B402">
        <v>6.3329999999999997E-2</v>
      </c>
      <c r="C402">
        <v>9.4200000000000006E-2</v>
      </c>
      <c r="D402">
        <v>6.2829999999999997E-2</v>
      </c>
      <c r="E402">
        <v>8.6599999999999996E-2</v>
      </c>
      <c r="F402">
        <v>1886748913.5999999</v>
      </c>
      <c r="G402">
        <v>0</v>
      </c>
      <c r="L402" t="s">
        <v>8</v>
      </c>
      <c r="M402" t="s">
        <v>8</v>
      </c>
      <c r="N402" t="s">
        <v>8</v>
      </c>
      <c r="P402">
        <f t="shared" si="974"/>
        <v>0.5154606311762826</v>
      </c>
      <c r="Q402">
        <f t="shared" si="975"/>
        <v>972544785.8754214</v>
      </c>
      <c r="R402">
        <f t="shared" si="976"/>
        <v>8587075219.0782824</v>
      </c>
      <c r="S402">
        <f t="shared" si="977"/>
        <v>85870.75219078282</v>
      </c>
      <c r="T402">
        <f t="shared" si="978"/>
        <v>85.870752190782824</v>
      </c>
    </row>
    <row r="403" spans="1:20" x14ac:dyDescent="0.25">
      <c r="A403" s="5">
        <v>44190</v>
      </c>
      <c r="B403">
        <v>5.9319999999999998E-2</v>
      </c>
      <c r="C403">
        <v>6.6110000000000002E-2</v>
      </c>
      <c r="D403">
        <v>5.7750000000000003E-2</v>
      </c>
      <c r="E403">
        <v>6.3270000000000007E-2</v>
      </c>
      <c r="F403">
        <v>713305231.39999998</v>
      </c>
      <c r="G403">
        <v>0</v>
      </c>
      <c r="L403" t="s">
        <v>8</v>
      </c>
      <c r="M403" t="s">
        <v>8</v>
      </c>
      <c r="N403" t="s">
        <v>8</v>
      </c>
      <c r="P403">
        <f t="shared" si="974"/>
        <v>0.3205741626794269</v>
      </c>
      <c r="Q403">
        <f t="shared" si="975"/>
        <v>228667227.29090983</v>
      </c>
      <c r="R403">
        <f t="shared" si="976"/>
        <v>7614530433.2028608</v>
      </c>
      <c r="S403">
        <f t="shared" si="977"/>
        <v>76145.304332028609</v>
      </c>
      <c r="T403">
        <f t="shared" si="978"/>
        <v>76.145304332028616</v>
      </c>
    </row>
    <row r="404" spans="1:20" x14ac:dyDescent="0.25">
      <c r="A404" s="5">
        <v>44189</v>
      </c>
      <c r="B404">
        <v>5.7270000000000001E-2</v>
      </c>
      <c r="C404">
        <v>6.2E-2</v>
      </c>
      <c r="D404">
        <v>5.0229999999999997E-2</v>
      </c>
      <c r="E404">
        <v>5.9380000000000002E-2</v>
      </c>
      <c r="F404">
        <v>1222458342.2</v>
      </c>
      <c r="G404">
        <v>0</v>
      </c>
      <c r="L404" t="s">
        <v>7</v>
      </c>
      <c r="M404" t="s">
        <v>7</v>
      </c>
      <c r="N404" t="s">
        <v>8</v>
      </c>
      <c r="P404">
        <f t="shared" si="974"/>
        <v>0.55480033984706933</v>
      </c>
      <c r="Q404">
        <f t="shared" si="975"/>
        <v>678220303.70144498</v>
      </c>
      <c r="R404">
        <f t="shared" si="976"/>
        <v>7385863205.9119511</v>
      </c>
      <c r="S404">
        <f t="shared" si="977"/>
        <v>73858.632059119511</v>
      </c>
      <c r="T404">
        <f t="shared" si="978"/>
        <v>73.858632059119515</v>
      </c>
    </row>
    <row r="405" spans="1:20" x14ac:dyDescent="0.25">
      <c r="A405" s="5">
        <v>44188</v>
      </c>
      <c r="B405">
        <v>5.1339999999999997E-2</v>
      </c>
      <c r="C405">
        <v>6.5049999999999997E-2</v>
      </c>
      <c r="D405">
        <v>5.0869999999999999E-2</v>
      </c>
      <c r="E405">
        <v>5.7270000000000001E-2</v>
      </c>
      <c r="F405">
        <v>1742794256.5</v>
      </c>
      <c r="G405">
        <v>0</v>
      </c>
      <c r="L405" t="s">
        <v>8</v>
      </c>
      <c r="M405" t="s">
        <v>8</v>
      </c>
      <c r="N405" t="s">
        <v>8</v>
      </c>
      <c r="P405">
        <f t="shared" si="974"/>
        <v>-9.7320169252467739E-2</v>
      </c>
      <c r="Q405">
        <f t="shared" si="975"/>
        <v>-169609032.01480868</v>
      </c>
      <c r="R405">
        <f t="shared" si="976"/>
        <v>6707642902.2105064</v>
      </c>
      <c r="S405">
        <f t="shared" si="977"/>
        <v>67076.429022105061</v>
      </c>
      <c r="T405">
        <f t="shared" si="978"/>
        <v>67.07642902210506</v>
      </c>
    </row>
    <row r="406" spans="1:20" x14ac:dyDescent="0.25">
      <c r="A406" s="5">
        <v>44187</v>
      </c>
      <c r="B406">
        <v>4.9399999999999999E-2</v>
      </c>
      <c r="C406">
        <v>5.3039999999999997E-2</v>
      </c>
      <c r="D406">
        <v>4.478E-2</v>
      </c>
      <c r="E406">
        <v>5.1380000000000002E-2</v>
      </c>
      <c r="F406">
        <v>670130818.20000005</v>
      </c>
      <c r="G406">
        <v>0</v>
      </c>
      <c r="L406" t="s">
        <v>7</v>
      </c>
      <c r="M406" t="s">
        <v>7</v>
      </c>
      <c r="N406" t="s">
        <v>8</v>
      </c>
      <c r="P406">
        <f t="shared" si="974"/>
        <v>0.59806295399515852</v>
      </c>
      <c r="Q406">
        <f t="shared" si="975"/>
        <v>400780416.69588459</v>
      </c>
      <c r="R406">
        <f t="shared" si="976"/>
        <v>6877251934.2253151</v>
      </c>
      <c r="S406">
        <f t="shared" si="977"/>
        <v>68772.519342253145</v>
      </c>
      <c r="T406">
        <f t="shared" si="978"/>
        <v>68.772519342253148</v>
      </c>
    </row>
    <row r="407" spans="1:20" x14ac:dyDescent="0.25">
      <c r="A407" s="5">
        <v>44186</v>
      </c>
      <c r="B407">
        <v>4.6300000000000001E-2</v>
      </c>
      <c r="C407">
        <v>5.5E-2</v>
      </c>
      <c r="D407">
        <v>4.5409999999999999E-2</v>
      </c>
      <c r="E407">
        <v>4.9399999999999999E-2</v>
      </c>
      <c r="F407">
        <v>924502306</v>
      </c>
      <c r="G407">
        <v>0</v>
      </c>
      <c r="L407" t="s">
        <v>8</v>
      </c>
      <c r="M407" t="s">
        <v>8</v>
      </c>
      <c r="N407" t="s">
        <v>8</v>
      </c>
      <c r="P407">
        <f t="shared" si="974"/>
        <v>-0.16788321167883213</v>
      </c>
      <c r="Q407">
        <f t="shared" si="975"/>
        <v>-155208416.33576643</v>
      </c>
      <c r="R407">
        <f t="shared" si="976"/>
        <v>6476471517.5294304</v>
      </c>
      <c r="S407">
        <f t="shared" si="977"/>
        <v>64764.715175294303</v>
      </c>
      <c r="T407">
        <f t="shared" si="978"/>
        <v>64.764715175294299</v>
      </c>
    </row>
    <row r="408" spans="1:20" x14ac:dyDescent="0.25">
      <c r="A408" s="5">
        <v>44185</v>
      </c>
      <c r="B408">
        <v>5.0130000000000001E-2</v>
      </c>
      <c r="C408">
        <v>5.4949999999999999E-2</v>
      </c>
      <c r="D408">
        <v>4.4490000000000002E-2</v>
      </c>
      <c r="E408">
        <v>4.6269999999999999E-2</v>
      </c>
      <c r="F408">
        <v>890469707.10000002</v>
      </c>
      <c r="G408">
        <v>0</v>
      </c>
      <c r="L408" t="s">
        <v>7</v>
      </c>
      <c r="M408" t="s">
        <v>7</v>
      </c>
      <c r="N408" t="s">
        <v>8</v>
      </c>
      <c r="P408">
        <f t="shared" si="974"/>
        <v>-0.65965583173996223</v>
      </c>
      <c r="Q408">
        <f t="shared" si="975"/>
        <v>-587403535.27629101</v>
      </c>
      <c r="R408">
        <f t="shared" si="976"/>
        <v>6631679933.8651972</v>
      </c>
      <c r="S408">
        <f t="shared" si="977"/>
        <v>66316.799338651967</v>
      </c>
      <c r="T408">
        <f t="shared" si="978"/>
        <v>66.316799338651961</v>
      </c>
    </row>
    <row r="409" spans="1:20" x14ac:dyDescent="0.25">
      <c r="A409" s="5">
        <v>44184</v>
      </c>
      <c r="B409">
        <v>4.3810000000000002E-2</v>
      </c>
      <c r="C409">
        <v>5.4850000000000003E-2</v>
      </c>
      <c r="D409">
        <v>4.3749999999999997E-2</v>
      </c>
      <c r="E409">
        <v>5.0090000000000003E-2</v>
      </c>
      <c r="F409">
        <v>1343422130.7</v>
      </c>
      <c r="G409">
        <v>0</v>
      </c>
      <c r="L409" t="s">
        <v>8</v>
      </c>
      <c r="M409" t="s">
        <v>8</v>
      </c>
      <c r="N409" t="s">
        <v>8</v>
      </c>
      <c r="P409">
        <f t="shared" si="974"/>
        <v>0.14234234234234272</v>
      </c>
      <c r="Q409">
        <f t="shared" si="975"/>
        <v>191225852.83837891</v>
      </c>
      <c r="R409">
        <f t="shared" si="976"/>
        <v>7219083469.1414881</v>
      </c>
      <c r="S409">
        <f t="shared" si="977"/>
        <v>72190.834691414886</v>
      </c>
      <c r="T409">
        <f t="shared" si="978"/>
        <v>72.190834691414892</v>
      </c>
    </row>
    <row r="410" spans="1:20" x14ac:dyDescent="0.25">
      <c r="A410" s="5">
        <v>44183</v>
      </c>
      <c r="B410">
        <v>3.7819999999999999E-2</v>
      </c>
      <c r="C410">
        <v>4.4900000000000002E-2</v>
      </c>
      <c r="D410">
        <v>3.6639999999999999E-2</v>
      </c>
      <c r="E410">
        <v>4.3799999999999999E-2</v>
      </c>
      <c r="F410">
        <v>631468119.89999998</v>
      </c>
      <c r="G410">
        <v>0</v>
      </c>
      <c r="L410" t="s">
        <v>8</v>
      </c>
      <c r="M410" t="s">
        <v>8</v>
      </c>
      <c r="N410" t="s">
        <v>8</v>
      </c>
      <c r="P410">
        <f t="shared" si="974"/>
        <v>0.73365617433413965</v>
      </c>
      <c r="Q410">
        <f t="shared" si="975"/>
        <v>463280485.05980581</v>
      </c>
      <c r="R410">
        <f t="shared" si="976"/>
        <v>7027857616.3031092</v>
      </c>
      <c r="S410">
        <f t="shared" si="977"/>
        <v>70278.576163031088</v>
      </c>
      <c r="T410">
        <f t="shared" si="978"/>
        <v>70.27857616303109</v>
      </c>
    </row>
    <row r="411" spans="1:20" x14ac:dyDescent="0.25">
      <c r="A411" s="5">
        <v>44182</v>
      </c>
      <c r="B411">
        <v>3.916E-2</v>
      </c>
      <c r="C411">
        <v>4.0300000000000002E-2</v>
      </c>
      <c r="D411">
        <v>3.6560000000000002E-2</v>
      </c>
      <c r="E411">
        <v>3.7900000000000003E-2</v>
      </c>
      <c r="F411">
        <v>515656647.19999999</v>
      </c>
      <c r="G411">
        <v>0</v>
      </c>
      <c r="L411" t="s">
        <v>7</v>
      </c>
      <c r="M411" t="s">
        <v>8</v>
      </c>
      <c r="N411" t="s">
        <v>8</v>
      </c>
      <c r="P411">
        <f t="shared" si="974"/>
        <v>-0.28342245989304771</v>
      </c>
      <c r="Q411">
        <f t="shared" si="975"/>
        <v>-146148675.40962544</v>
      </c>
      <c r="R411">
        <f t="shared" si="976"/>
        <v>6564577131.2433033</v>
      </c>
      <c r="S411">
        <f t="shared" si="977"/>
        <v>65645.771312433033</v>
      </c>
      <c r="T411">
        <f t="shared" si="978"/>
        <v>65.645771312433027</v>
      </c>
    </row>
    <row r="412" spans="1:20" x14ac:dyDescent="0.25">
      <c r="A412" s="5">
        <v>44181</v>
      </c>
      <c r="B412">
        <v>3.5029999999999999E-2</v>
      </c>
      <c r="C412">
        <v>3.9750000000000001E-2</v>
      </c>
      <c r="D412">
        <v>3.4160000000000003E-2</v>
      </c>
      <c r="E412">
        <v>3.9210000000000002E-2</v>
      </c>
      <c r="F412">
        <v>613989127.60000002</v>
      </c>
      <c r="G412">
        <v>0</v>
      </c>
      <c r="L412" t="s">
        <v>8</v>
      </c>
      <c r="M412" t="s">
        <v>8</v>
      </c>
      <c r="N412" t="s">
        <v>8</v>
      </c>
      <c r="P412">
        <f t="shared" si="974"/>
        <v>0.80679785330948162</v>
      </c>
      <c r="Q412">
        <f t="shared" si="975"/>
        <v>495365110.10304141</v>
      </c>
      <c r="R412">
        <f t="shared" si="976"/>
        <v>6710725806.6529284</v>
      </c>
      <c r="S412">
        <f t="shared" si="977"/>
        <v>67107.258066529277</v>
      </c>
      <c r="T412">
        <f t="shared" si="978"/>
        <v>67.107258066529283</v>
      </c>
    </row>
    <row r="413" spans="1:20" x14ac:dyDescent="0.25">
      <c r="A413" s="5">
        <v>44180</v>
      </c>
      <c r="B413">
        <v>3.2989999999999998E-2</v>
      </c>
      <c r="C413">
        <v>3.5740000000000001E-2</v>
      </c>
      <c r="D413">
        <v>3.2280000000000003E-2</v>
      </c>
      <c r="E413">
        <v>3.5029999999999999E-2</v>
      </c>
      <c r="F413">
        <v>248630787.40000001</v>
      </c>
      <c r="G413">
        <v>0</v>
      </c>
      <c r="L413" t="s">
        <v>8</v>
      </c>
      <c r="M413" t="s">
        <v>8</v>
      </c>
      <c r="N413" t="s">
        <v>8</v>
      </c>
      <c r="P413">
        <f t="shared" si="974"/>
        <v>0.58959537572254173</v>
      </c>
      <c r="Q413">
        <f t="shared" si="975"/>
        <v>146591562.5132944</v>
      </c>
      <c r="R413">
        <f t="shared" si="976"/>
        <v>6215360696.5498867</v>
      </c>
      <c r="S413">
        <f t="shared" si="977"/>
        <v>62153.606965498868</v>
      </c>
      <c r="T413">
        <f t="shared" si="978"/>
        <v>62.153606965498867</v>
      </c>
    </row>
    <row r="414" spans="1:20" x14ac:dyDescent="0.25">
      <c r="A414" s="5">
        <v>44179</v>
      </c>
      <c r="B414">
        <v>3.2759999999999997E-2</v>
      </c>
      <c r="C414">
        <v>3.3259999999999998E-2</v>
      </c>
      <c r="D414">
        <v>3.1550000000000002E-2</v>
      </c>
      <c r="E414">
        <v>3.2960000000000003E-2</v>
      </c>
      <c r="F414">
        <v>145426523.59999999</v>
      </c>
      <c r="G414">
        <v>0</v>
      </c>
      <c r="L414" t="s">
        <v>7</v>
      </c>
      <c r="M414" t="s">
        <v>7</v>
      </c>
      <c r="N414" t="s">
        <v>8</v>
      </c>
      <c r="P414">
        <f t="shared" si="974"/>
        <v>0.64912280701754932</v>
      </c>
      <c r="Q414">
        <f t="shared" si="975"/>
        <v>94399673.214035884</v>
      </c>
      <c r="R414">
        <f t="shared" si="976"/>
        <v>6068769134.0365925</v>
      </c>
      <c r="S414">
        <f t="shared" si="977"/>
        <v>60687.691340365927</v>
      </c>
      <c r="T414">
        <f t="shared" si="978"/>
        <v>60.68769134036593</v>
      </c>
    </row>
    <row r="415" spans="1:20" x14ac:dyDescent="0.25">
      <c r="A415" s="5">
        <v>44178</v>
      </c>
      <c r="B415">
        <v>3.2680000000000001E-2</v>
      </c>
      <c r="C415">
        <v>3.4000000000000002E-2</v>
      </c>
      <c r="D415">
        <v>3.2250000000000001E-2</v>
      </c>
      <c r="E415">
        <v>3.2779999999999997E-2</v>
      </c>
      <c r="F415">
        <v>224837567.09999999</v>
      </c>
      <c r="G415">
        <v>0</v>
      </c>
      <c r="L415" t="s">
        <v>8</v>
      </c>
      <c r="M415" t="s">
        <v>7</v>
      </c>
      <c r="N415" t="s">
        <v>8</v>
      </c>
      <c r="P415">
        <f t="shared" si="974"/>
        <v>-0.39428571428571968</v>
      </c>
      <c r="Q415">
        <f t="shared" si="975"/>
        <v>-88650240.742286921</v>
      </c>
      <c r="R415">
        <f t="shared" si="976"/>
        <v>5974369460.8225565</v>
      </c>
      <c r="S415">
        <f t="shared" si="977"/>
        <v>59743.694608225567</v>
      </c>
      <c r="T415">
        <f t="shared" si="978"/>
        <v>59.743694608225567</v>
      </c>
    </row>
    <row r="416" spans="1:20" x14ac:dyDescent="0.25">
      <c r="A416" s="5">
        <v>44177</v>
      </c>
      <c r="B416">
        <v>2.9559999999999999E-2</v>
      </c>
      <c r="C416">
        <v>3.3169999999999998E-2</v>
      </c>
      <c r="D416">
        <v>2.9409999999999999E-2</v>
      </c>
      <c r="E416">
        <v>3.2669999999999998E-2</v>
      </c>
      <c r="F416">
        <v>211600918.69999999</v>
      </c>
      <c r="G416">
        <v>0</v>
      </c>
      <c r="L416" t="s">
        <v>8</v>
      </c>
      <c r="M416" t="s">
        <v>7</v>
      </c>
      <c r="N416" t="s">
        <v>8</v>
      </c>
      <c r="P416">
        <f t="shared" si="974"/>
        <v>0.73404255319148903</v>
      </c>
      <c r="Q416">
        <f t="shared" si="975"/>
        <v>155324078.62021267</v>
      </c>
      <c r="R416">
        <f t="shared" si="976"/>
        <v>6063019701.5648432</v>
      </c>
      <c r="S416">
        <f t="shared" si="977"/>
        <v>60630.197015648431</v>
      </c>
      <c r="T416">
        <f t="shared" si="978"/>
        <v>60.630197015648434</v>
      </c>
    </row>
    <row r="417" spans="1:20" x14ac:dyDescent="0.25">
      <c r="A417" s="5">
        <v>44176</v>
      </c>
      <c r="B417">
        <v>3.2680000000000001E-2</v>
      </c>
      <c r="C417">
        <v>3.2890000000000003E-2</v>
      </c>
      <c r="D417">
        <v>2.9389999999999999E-2</v>
      </c>
      <c r="E417">
        <v>2.955E-2</v>
      </c>
      <c r="F417">
        <v>368731337.89999998</v>
      </c>
      <c r="G417">
        <v>0</v>
      </c>
      <c r="L417" t="s">
        <v>7</v>
      </c>
      <c r="M417" t="s">
        <v>7</v>
      </c>
      <c r="N417" t="s">
        <v>8</v>
      </c>
      <c r="P417">
        <f t="shared" si="974"/>
        <v>-0.90857142857142836</v>
      </c>
      <c r="Q417">
        <f t="shared" si="975"/>
        <v>-335018758.43485707</v>
      </c>
      <c r="R417">
        <f t="shared" si="976"/>
        <v>5907695622.9446306</v>
      </c>
      <c r="S417">
        <f t="shared" si="977"/>
        <v>59076.956229446303</v>
      </c>
      <c r="T417">
        <f t="shared" si="978"/>
        <v>59.076956229446303</v>
      </c>
    </row>
    <row r="418" spans="1:20" x14ac:dyDescent="0.25">
      <c r="A418" s="5">
        <v>44175</v>
      </c>
      <c r="B418">
        <v>3.1029999999999999E-2</v>
      </c>
      <c r="C418">
        <v>3.3599999999999998E-2</v>
      </c>
      <c r="D418">
        <v>2.9510000000000002E-2</v>
      </c>
      <c r="E418">
        <v>3.2649999999999998E-2</v>
      </c>
      <c r="F418">
        <v>355947338.19999999</v>
      </c>
      <c r="G418">
        <v>0</v>
      </c>
      <c r="L418" t="s">
        <v>8</v>
      </c>
      <c r="M418" t="s">
        <v>7</v>
      </c>
      <c r="N418" t="s">
        <v>8</v>
      </c>
      <c r="P418">
        <f t="shared" si="974"/>
        <v>0.53545232273838617</v>
      </c>
      <c r="Q418">
        <f t="shared" si="975"/>
        <v>190592829.01173589</v>
      </c>
      <c r="R418">
        <f t="shared" si="976"/>
        <v>6242714381.379488</v>
      </c>
      <c r="S418">
        <f t="shared" si="977"/>
        <v>62427.143813794879</v>
      </c>
      <c r="T418">
        <f t="shared" si="978"/>
        <v>62.427143813794878</v>
      </c>
    </row>
    <row r="419" spans="1:20" x14ac:dyDescent="0.25">
      <c r="A419" s="5">
        <v>44174</v>
      </c>
      <c r="B419">
        <v>3.1359999999999999E-2</v>
      </c>
      <c r="C419">
        <v>3.2489999999999998E-2</v>
      </c>
      <c r="D419">
        <v>2.8500000000000001E-2</v>
      </c>
      <c r="E419">
        <v>3.1050000000000001E-2</v>
      </c>
      <c r="F419">
        <v>385011734.39999998</v>
      </c>
      <c r="G419">
        <v>0</v>
      </c>
      <c r="L419" t="s">
        <v>7</v>
      </c>
      <c r="M419" t="s">
        <v>7</v>
      </c>
      <c r="N419" t="s">
        <v>8</v>
      </c>
      <c r="P419">
        <f t="shared" si="974"/>
        <v>0.27819548872180555</v>
      </c>
      <c r="Q419">
        <f t="shared" si="975"/>
        <v>107108527.61503799</v>
      </c>
      <c r="R419">
        <f t="shared" si="976"/>
        <v>6052121552.3677521</v>
      </c>
      <c r="S419">
        <f t="shared" si="977"/>
        <v>60521.215523677522</v>
      </c>
      <c r="T419">
        <f t="shared" si="978"/>
        <v>60.521215523677519</v>
      </c>
    </row>
    <row r="420" spans="1:20" x14ac:dyDescent="0.25">
      <c r="A420" s="5">
        <v>44173</v>
      </c>
      <c r="B420">
        <v>3.5549999999999998E-2</v>
      </c>
      <c r="C420">
        <v>3.5580000000000001E-2</v>
      </c>
      <c r="D420">
        <v>3.0689999999999999E-2</v>
      </c>
      <c r="E420">
        <v>3.1350000000000003E-2</v>
      </c>
      <c r="F420">
        <v>501573771.80000001</v>
      </c>
      <c r="G420">
        <v>0</v>
      </c>
      <c r="L420" t="s">
        <v>7</v>
      </c>
      <c r="M420" t="s">
        <v>7</v>
      </c>
      <c r="N420" t="s">
        <v>8</v>
      </c>
      <c r="P420">
        <f t="shared" si="974"/>
        <v>-0.73006134969324987</v>
      </c>
      <c r="Q420">
        <f t="shared" si="975"/>
        <v>-366179624.81104213</v>
      </c>
      <c r="R420">
        <f t="shared" si="976"/>
        <v>5945013024.7527142</v>
      </c>
      <c r="S420">
        <f t="shared" si="977"/>
        <v>59450.130247527144</v>
      </c>
      <c r="T420">
        <f t="shared" si="978"/>
        <v>59.450130247527142</v>
      </c>
    </row>
    <row r="421" spans="1:20" x14ac:dyDescent="0.25">
      <c r="A421" s="5">
        <v>44172</v>
      </c>
      <c r="B421">
        <v>3.5360000000000003E-2</v>
      </c>
      <c r="C421">
        <v>3.6490000000000002E-2</v>
      </c>
      <c r="D421">
        <v>3.3450000000000001E-2</v>
      </c>
      <c r="E421">
        <v>3.5549999999999998E-2</v>
      </c>
      <c r="F421">
        <v>379986012.80000001</v>
      </c>
      <c r="G421">
        <v>0</v>
      </c>
      <c r="L421" t="s">
        <v>7</v>
      </c>
      <c r="M421" t="s">
        <v>8</v>
      </c>
      <c r="N421" t="s">
        <v>8</v>
      </c>
      <c r="P421">
        <f t="shared" si="974"/>
        <v>0.38157894736841907</v>
      </c>
      <c r="Q421">
        <f t="shared" si="975"/>
        <v>144994662.77894661</v>
      </c>
      <c r="R421">
        <f t="shared" si="976"/>
        <v>6311192649.563756</v>
      </c>
      <c r="S421">
        <f t="shared" si="977"/>
        <v>63111.926495637563</v>
      </c>
      <c r="T421">
        <f t="shared" si="978"/>
        <v>63.111926495637562</v>
      </c>
    </row>
    <row r="422" spans="1:20" x14ac:dyDescent="0.25">
      <c r="A422" s="5">
        <v>44171</v>
      </c>
      <c r="B422">
        <v>3.4009999999999999E-2</v>
      </c>
      <c r="C422">
        <v>3.5999999999999997E-2</v>
      </c>
      <c r="D422">
        <v>3.3399999999999999E-2</v>
      </c>
      <c r="E422">
        <v>3.5380000000000002E-2</v>
      </c>
      <c r="F422">
        <v>438252286.89999998</v>
      </c>
      <c r="G422">
        <v>0</v>
      </c>
      <c r="L422" t="s">
        <v>8</v>
      </c>
      <c r="M422" t="s">
        <v>8</v>
      </c>
      <c r="N422" t="s">
        <v>8</v>
      </c>
      <c r="P422">
        <f t="shared" si="974"/>
        <v>0.5230769230769261</v>
      </c>
      <c r="Q422">
        <f t="shared" si="975"/>
        <v>229239657.76307824</v>
      </c>
      <c r="R422">
        <f t="shared" si="976"/>
        <v>6166197986.7848091</v>
      </c>
      <c r="S422">
        <f t="shared" si="977"/>
        <v>61661.979867848095</v>
      </c>
      <c r="T422">
        <f t="shared" si="978"/>
        <v>61.661979867848096</v>
      </c>
    </row>
    <row r="423" spans="1:20" x14ac:dyDescent="0.25">
      <c r="A423" s="5">
        <v>44170</v>
      </c>
      <c r="B423">
        <v>2.9510000000000002E-2</v>
      </c>
      <c r="C423">
        <v>3.4849999999999999E-2</v>
      </c>
      <c r="D423">
        <v>2.9020000000000001E-2</v>
      </c>
      <c r="E423">
        <v>3.4020000000000002E-2</v>
      </c>
      <c r="F423">
        <v>364215975</v>
      </c>
      <c r="G423">
        <v>0</v>
      </c>
      <c r="L423" t="s">
        <v>7</v>
      </c>
      <c r="M423" t="s">
        <v>7</v>
      </c>
      <c r="N423" t="s">
        <v>8</v>
      </c>
      <c r="P423">
        <f t="shared" si="974"/>
        <v>0.71526586620926325</v>
      </c>
      <c r="Q423">
        <f t="shared" si="975"/>
        <v>260511254.84562635</v>
      </c>
      <c r="R423">
        <f t="shared" si="976"/>
        <v>5936958329.0217304</v>
      </c>
      <c r="S423">
        <f t="shared" si="977"/>
        <v>59369.583290217306</v>
      </c>
      <c r="T423">
        <f t="shared" si="978"/>
        <v>59.369583290217307</v>
      </c>
    </row>
    <row r="424" spans="1:20" x14ac:dyDescent="0.25">
      <c r="A424" s="5">
        <v>44169</v>
      </c>
      <c r="B424">
        <v>3.3599999999999998E-2</v>
      </c>
      <c r="C424">
        <v>3.49E-2</v>
      </c>
      <c r="D424">
        <v>2.887E-2</v>
      </c>
      <c r="E424">
        <v>2.954E-2</v>
      </c>
      <c r="F424">
        <v>387244987.5</v>
      </c>
      <c r="G424">
        <v>0</v>
      </c>
      <c r="L424" t="s">
        <v>8</v>
      </c>
      <c r="M424" t="s">
        <v>8</v>
      </c>
      <c r="N424" t="s">
        <v>8</v>
      </c>
      <c r="P424">
        <f t="shared" si="974"/>
        <v>-0.77777777777777768</v>
      </c>
      <c r="Q424">
        <f t="shared" si="975"/>
        <v>-301190545.83333331</v>
      </c>
      <c r="R424">
        <f t="shared" si="976"/>
        <v>5676447074.1761045</v>
      </c>
      <c r="S424">
        <f t="shared" si="977"/>
        <v>56764.470741761048</v>
      </c>
      <c r="T424">
        <f t="shared" si="978"/>
        <v>56.764470741761045</v>
      </c>
    </row>
    <row r="425" spans="1:20" x14ac:dyDescent="0.25">
      <c r="A425" s="5">
        <v>44168</v>
      </c>
      <c r="B425">
        <v>3.1119999999999998E-2</v>
      </c>
      <c r="C425">
        <v>3.397E-2</v>
      </c>
      <c r="D425">
        <v>3.0599999999999999E-2</v>
      </c>
      <c r="E425">
        <v>3.3599999999999998E-2</v>
      </c>
      <c r="F425">
        <v>373468058.60000002</v>
      </c>
      <c r="G425">
        <v>0</v>
      </c>
      <c r="L425" t="s">
        <v>8</v>
      </c>
      <c r="M425" t="s">
        <v>8</v>
      </c>
      <c r="N425" t="s">
        <v>8</v>
      </c>
      <c r="P425">
        <f t="shared" si="974"/>
        <v>0.78041543026706106</v>
      </c>
      <c r="Q425">
        <f t="shared" si="975"/>
        <v>291460235.643323</v>
      </c>
      <c r="R425">
        <f t="shared" si="976"/>
        <v>5977637620.0094376</v>
      </c>
      <c r="S425">
        <f t="shared" si="977"/>
        <v>59776.376200094375</v>
      </c>
      <c r="T425">
        <f t="shared" si="978"/>
        <v>59.776376200094376</v>
      </c>
    </row>
    <row r="426" spans="1:20" x14ac:dyDescent="0.25">
      <c r="A426" s="5">
        <v>44167</v>
      </c>
      <c r="B426">
        <v>2.7980000000000001E-2</v>
      </c>
      <c r="C426">
        <v>3.3489999999999999E-2</v>
      </c>
      <c r="D426">
        <v>2.75E-2</v>
      </c>
      <c r="E426">
        <v>3.1140000000000001E-2</v>
      </c>
      <c r="F426">
        <v>485463891.89999998</v>
      </c>
      <c r="G426">
        <v>0</v>
      </c>
      <c r="L426" t="s">
        <v>8</v>
      </c>
      <c r="M426" t="s">
        <v>8</v>
      </c>
      <c r="N426" t="s">
        <v>8</v>
      </c>
      <c r="P426">
        <f t="shared" si="974"/>
        <v>0.21535893155258817</v>
      </c>
      <c r="Q426">
        <f t="shared" si="975"/>
        <v>104548985.06694517</v>
      </c>
      <c r="R426">
        <f t="shared" si="976"/>
        <v>5686177384.3661146</v>
      </c>
      <c r="S426">
        <f t="shared" si="977"/>
        <v>56861.773843661147</v>
      </c>
      <c r="T426">
        <f t="shared" si="978"/>
        <v>56.861773843661148</v>
      </c>
    </row>
    <row r="427" spans="1:20" x14ac:dyDescent="0.25">
      <c r="A427" s="5">
        <v>44166</v>
      </c>
      <c r="B427">
        <v>2.9340000000000001E-2</v>
      </c>
      <c r="C427">
        <v>3.1379999999999998E-2</v>
      </c>
      <c r="D427">
        <v>2.647E-2</v>
      </c>
      <c r="E427">
        <v>2.7959999999999999E-2</v>
      </c>
      <c r="F427">
        <v>447537651.30000001</v>
      </c>
      <c r="G427">
        <v>0</v>
      </c>
      <c r="L427" t="s">
        <v>7</v>
      </c>
      <c r="M427" t="s">
        <v>8</v>
      </c>
      <c r="N427" t="s">
        <v>7</v>
      </c>
      <c r="P427">
        <f t="shared" si="974"/>
        <v>-0.39307535641547903</v>
      </c>
      <c r="Q427">
        <f t="shared" si="975"/>
        <v>-175916021.79409388</v>
      </c>
      <c r="R427">
        <f t="shared" si="976"/>
        <v>5581628399.2991695</v>
      </c>
      <c r="S427">
        <f t="shared" si="977"/>
        <v>55816.283992991695</v>
      </c>
      <c r="T427">
        <f t="shared" si="978"/>
        <v>55.816283992991693</v>
      </c>
    </row>
    <row r="428" spans="1:20" x14ac:dyDescent="0.25">
      <c r="A428" s="5">
        <v>44165</v>
      </c>
      <c r="B428">
        <v>2.93E-2</v>
      </c>
      <c r="C428">
        <v>3.099E-2</v>
      </c>
      <c r="D428">
        <v>2.7709999999999999E-2</v>
      </c>
      <c r="E428">
        <v>2.9329999999999998E-2</v>
      </c>
      <c r="F428">
        <v>528772837.5</v>
      </c>
      <c r="G428">
        <v>0</v>
      </c>
      <c r="L428" t="s">
        <v>7</v>
      </c>
      <c r="M428" t="s">
        <v>8</v>
      </c>
      <c r="N428" t="s">
        <v>7</v>
      </c>
      <c r="P428">
        <f t="shared" si="974"/>
        <v>-1.2195121951220068E-2</v>
      </c>
      <c r="Q428">
        <f t="shared" si="975"/>
        <v>-6448449.2378051719</v>
      </c>
      <c r="R428">
        <f t="shared" si="976"/>
        <v>5757544421.0932636</v>
      </c>
      <c r="S428">
        <f t="shared" si="977"/>
        <v>57575.444210932634</v>
      </c>
      <c r="T428">
        <f t="shared" si="978"/>
        <v>57.575444210932631</v>
      </c>
    </row>
    <row r="429" spans="1:20" x14ac:dyDescent="0.25">
      <c r="A429" s="5">
        <v>44164</v>
      </c>
      <c r="B429">
        <v>2.673E-2</v>
      </c>
      <c r="C429">
        <v>3.092E-2</v>
      </c>
      <c r="D429">
        <v>2.63E-2</v>
      </c>
      <c r="E429">
        <v>2.928E-2</v>
      </c>
      <c r="F429">
        <v>511569050.30000001</v>
      </c>
      <c r="G429">
        <v>0</v>
      </c>
      <c r="L429" t="s">
        <v>8</v>
      </c>
      <c r="M429" t="s">
        <v>8</v>
      </c>
      <c r="N429" t="s">
        <v>7</v>
      </c>
      <c r="P429">
        <f t="shared" si="974"/>
        <v>0.29004329004329027</v>
      </c>
      <c r="Q429">
        <f t="shared" si="975"/>
        <v>148377170.43333346</v>
      </c>
      <c r="R429">
        <f t="shared" si="976"/>
        <v>5763992870.331069</v>
      </c>
      <c r="S429">
        <f t="shared" si="977"/>
        <v>57639.928703310688</v>
      </c>
      <c r="T429">
        <f t="shared" si="978"/>
        <v>57.639928703310687</v>
      </c>
    </row>
    <row r="430" spans="1:20" x14ac:dyDescent="0.25">
      <c r="A430" s="5">
        <v>44163</v>
      </c>
      <c r="B430">
        <v>2.4629999999999999E-2</v>
      </c>
      <c r="C430">
        <v>2.8459999999999999E-2</v>
      </c>
      <c r="D430">
        <v>2.401E-2</v>
      </c>
      <c r="E430">
        <v>2.673E-2</v>
      </c>
      <c r="F430">
        <v>472877350.39999998</v>
      </c>
      <c r="G430">
        <v>0</v>
      </c>
      <c r="L430" t="s">
        <v>8</v>
      </c>
      <c r="M430" t="s">
        <v>8</v>
      </c>
      <c r="N430" t="s">
        <v>7</v>
      </c>
      <c r="P430">
        <f t="shared" si="974"/>
        <v>0.22247191011235989</v>
      </c>
      <c r="Q430">
        <f t="shared" si="975"/>
        <v>105201927.3923597</v>
      </c>
      <c r="R430">
        <f t="shared" si="976"/>
        <v>5615615699.8977356</v>
      </c>
      <c r="S430">
        <f t="shared" si="977"/>
        <v>56156.156998977356</v>
      </c>
      <c r="T430">
        <f t="shared" si="978"/>
        <v>56.156156998977359</v>
      </c>
    </row>
    <row r="431" spans="1:20" x14ac:dyDescent="0.25">
      <c r="A431" s="5">
        <v>44162</v>
      </c>
      <c r="B431">
        <v>2.5839999999999998E-2</v>
      </c>
      <c r="C431">
        <v>2.6800000000000001E-2</v>
      </c>
      <c r="D431">
        <v>2.2929999999999999E-2</v>
      </c>
      <c r="E431">
        <v>2.4649999999999998E-2</v>
      </c>
      <c r="F431">
        <v>355007375.39999998</v>
      </c>
      <c r="G431">
        <v>0</v>
      </c>
      <c r="L431" t="s">
        <v>8</v>
      </c>
      <c r="M431" t="s">
        <v>8</v>
      </c>
      <c r="N431" t="s">
        <v>7</v>
      </c>
      <c r="P431">
        <f t="shared" si="974"/>
        <v>-0.11111111111111191</v>
      </c>
      <c r="Q431">
        <f t="shared" si="975"/>
        <v>-39445263.933333613</v>
      </c>
      <c r="R431">
        <f t="shared" si="976"/>
        <v>5510413772.5053759</v>
      </c>
      <c r="S431">
        <f t="shared" si="977"/>
        <v>55104.137725053755</v>
      </c>
      <c r="T431">
        <f t="shared" si="978"/>
        <v>55.104137725053754</v>
      </c>
    </row>
    <row r="432" spans="1:20" x14ac:dyDescent="0.25">
      <c r="A432" s="5">
        <v>44161</v>
      </c>
      <c r="B432">
        <v>2.8760000000000001E-2</v>
      </c>
      <c r="C432">
        <v>3.3000000000000002E-2</v>
      </c>
      <c r="D432">
        <v>2.223E-2</v>
      </c>
      <c r="E432">
        <v>2.5819999999999999E-2</v>
      </c>
      <c r="F432">
        <v>1461119468.2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-0.33333333333333354</v>
      </c>
      <c r="Q432">
        <f t="shared" si="975"/>
        <v>-487039822.73333365</v>
      </c>
      <c r="R432">
        <f t="shared" si="976"/>
        <v>5549859036.4387093</v>
      </c>
      <c r="S432">
        <f t="shared" si="977"/>
        <v>55498.590364387092</v>
      </c>
      <c r="T432">
        <f t="shared" si="978"/>
        <v>55.498590364387091</v>
      </c>
    </row>
    <row r="433" spans="1:20" x14ac:dyDescent="0.25">
      <c r="A433" s="5">
        <v>44160</v>
      </c>
      <c r="B433">
        <v>2.538E-2</v>
      </c>
      <c r="C433">
        <v>3.6810000000000002E-2</v>
      </c>
      <c r="D433">
        <v>2.4899999999999999E-2</v>
      </c>
      <c r="E433">
        <v>2.879E-2</v>
      </c>
      <c r="F433">
        <v>1682762928.7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-0.34676742233417301</v>
      </c>
      <c r="Q433">
        <f t="shared" si="975"/>
        <v>-583527363.18480277</v>
      </c>
      <c r="R433">
        <f t="shared" si="976"/>
        <v>6036898859.1720428</v>
      </c>
      <c r="S433">
        <f t="shared" si="977"/>
        <v>60368.98859172043</v>
      </c>
      <c r="T433">
        <f t="shared" si="978"/>
        <v>60.368988591720431</v>
      </c>
    </row>
    <row r="434" spans="1:20" x14ac:dyDescent="0.25">
      <c r="A434" s="5">
        <v>44159</v>
      </c>
      <c r="B434">
        <v>2.443E-2</v>
      </c>
      <c r="C434">
        <v>2.5870000000000001E-2</v>
      </c>
      <c r="D434">
        <v>2.3019999999999999E-2</v>
      </c>
      <c r="E434">
        <v>2.5350000000000001E-2</v>
      </c>
      <c r="F434">
        <v>431994697.89999998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0.63508771929824614</v>
      </c>
      <c r="Q434">
        <f t="shared" si="975"/>
        <v>274354527.43824583</v>
      </c>
      <c r="R434">
        <f t="shared" si="976"/>
        <v>6620426222.3568459</v>
      </c>
      <c r="S434">
        <f t="shared" si="977"/>
        <v>66204.262223568454</v>
      </c>
      <c r="T434">
        <f t="shared" si="978"/>
        <v>66.204262223568449</v>
      </c>
    </row>
    <row r="435" spans="1:20" x14ac:dyDescent="0.25">
      <c r="A435" s="5">
        <v>44158</v>
      </c>
      <c r="B435">
        <v>2.2620000000000001E-2</v>
      </c>
      <c r="C435">
        <v>2.4500000000000001E-2</v>
      </c>
      <c r="D435">
        <v>2.2169999999999999E-2</v>
      </c>
      <c r="E435">
        <v>2.4420000000000001E-2</v>
      </c>
      <c r="F435">
        <v>220867670.40000001</v>
      </c>
      <c r="G435">
        <v>0</v>
      </c>
      <c r="L435" t="s">
        <v>7</v>
      </c>
      <c r="M435" t="s">
        <v>8</v>
      </c>
      <c r="N435" t="s">
        <v>8</v>
      </c>
      <c r="P435">
        <f t="shared" si="974"/>
        <v>0.93133047210300413</v>
      </c>
      <c r="Q435">
        <f t="shared" si="975"/>
        <v>205700791.74592271</v>
      </c>
      <c r="R435">
        <f t="shared" si="976"/>
        <v>6346071694.9186001</v>
      </c>
      <c r="S435">
        <f t="shared" si="977"/>
        <v>63460.716949186004</v>
      </c>
      <c r="T435">
        <f t="shared" si="978"/>
        <v>63.460716949186001</v>
      </c>
    </row>
    <row r="436" spans="1:20" x14ac:dyDescent="0.25">
      <c r="A436" s="5">
        <v>44157</v>
      </c>
      <c r="B436">
        <v>2.3709999999999998E-2</v>
      </c>
      <c r="C436">
        <v>2.418E-2</v>
      </c>
      <c r="D436">
        <v>2.111E-2</v>
      </c>
      <c r="E436">
        <v>2.2599999999999999E-2</v>
      </c>
      <c r="F436">
        <v>242693682.30000001</v>
      </c>
      <c r="G436">
        <v>0</v>
      </c>
      <c r="L436" t="s">
        <v>8</v>
      </c>
      <c r="M436" t="s">
        <v>8</v>
      </c>
      <c r="N436" t="s">
        <v>8</v>
      </c>
      <c r="P436">
        <f t="shared" si="974"/>
        <v>-2.9315960912053185E-2</v>
      </c>
      <c r="Q436">
        <f t="shared" si="975"/>
        <v>-7114798.5039090542</v>
      </c>
      <c r="R436">
        <f t="shared" si="976"/>
        <v>6140370903.172677</v>
      </c>
      <c r="S436">
        <f t="shared" si="977"/>
        <v>61403.709031726772</v>
      </c>
      <c r="T436">
        <f t="shared" si="978"/>
        <v>61.40370903172677</v>
      </c>
    </row>
    <row r="437" spans="1:20" x14ac:dyDescent="0.25">
      <c r="A437" s="5">
        <v>44156</v>
      </c>
      <c r="B437">
        <v>2.2519999999999998E-2</v>
      </c>
      <c r="C437">
        <v>2.385E-2</v>
      </c>
      <c r="D437">
        <v>2.213E-2</v>
      </c>
      <c r="E437">
        <v>2.3709999999999998E-2</v>
      </c>
      <c r="F437">
        <v>308450359.60000002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0.83720930232557988</v>
      </c>
      <c r="Q437">
        <f t="shared" si="975"/>
        <v>258237510.36279026</v>
      </c>
      <c r="R437">
        <f t="shared" si="976"/>
        <v>6147485701.6765862</v>
      </c>
      <c r="S437">
        <f t="shared" si="977"/>
        <v>61474.857016765862</v>
      </c>
      <c r="T437">
        <f t="shared" si="978"/>
        <v>61.47485701676586</v>
      </c>
    </row>
    <row r="438" spans="1:20" x14ac:dyDescent="0.25">
      <c r="A438" s="5">
        <v>44155</v>
      </c>
      <c r="B438">
        <v>2.111E-2</v>
      </c>
      <c r="C438">
        <v>2.2679999999999999E-2</v>
      </c>
      <c r="D438">
        <v>2.095E-2</v>
      </c>
      <c r="E438">
        <v>2.249E-2</v>
      </c>
      <c r="F438">
        <v>125583401.2</v>
      </c>
      <c r="G438">
        <v>0</v>
      </c>
      <c r="L438" t="s">
        <v>8</v>
      </c>
      <c r="M438" t="s">
        <v>8</v>
      </c>
      <c r="N438" t="s">
        <v>8</v>
      </c>
      <c r="P438">
        <f t="shared" si="974"/>
        <v>0.78034682080924933</v>
      </c>
      <c r="Q438">
        <f t="shared" si="975"/>
        <v>97998607.872832477</v>
      </c>
      <c r="R438">
        <f t="shared" si="976"/>
        <v>5889248191.313796</v>
      </c>
      <c r="S438">
        <f t="shared" si="977"/>
        <v>58892.481913137963</v>
      </c>
      <c r="T438">
        <f t="shared" si="978"/>
        <v>58.892481913137964</v>
      </c>
    </row>
    <row r="439" spans="1:20" x14ac:dyDescent="0.25">
      <c r="A439" s="5">
        <v>44154</v>
      </c>
      <c r="B439">
        <v>2.1739999999999999E-2</v>
      </c>
      <c r="C439">
        <v>2.1999999999999999E-2</v>
      </c>
      <c r="D439">
        <v>2.0750000000000001E-2</v>
      </c>
      <c r="E439">
        <v>2.1090000000000001E-2</v>
      </c>
      <c r="F439">
        <v>137379607.09999999</v>
      </c>
      <c r="G439">
        <v>0</v>
      </c>
      <c r="L439" t="s">
        <v>7</v>
      </c>
      <c r="M439" t="s">
        <v>8</v>
      </c>
      <c r="N439" t="s">
        <v>8</v>
      </c>
      <c r="P439">
        <f t="shared" si="974"/>
        <v>-0.45599999999999896</v>
      </c>
      <c r="Q439">
        <f t="shared" si="975"/>
        <v>-62645100.837599851</v>
      </c>
      <c r="R439">
        <f t="shared" si="976"/>
        <v>5791249583.4409637</v>
      </c>
      <c r="S439">
        <f t="shared" si="977"/>
        <v>57912.495834409638</v>
      </c>
      <c r="T439">
        <f t="shared" si="978"/>
        <v>57.91249583440964</v>
      </c>
    </row>
    <row r="440" spans="1:20" x14ac:dyDescent="0.25">
      <c r="A440" s="5">
        <v>44153</v>
      </c>
      <c r="B440">
        <v>2.2839999999999999E-2</v>
      </c>
      <c r="C440">
        <v>2.3099999999999999E-2</v>
      </c>
      <c r="D440">
        <v>2.069E-2</v>
      </c>
      <c r="E440">
        <v>2.1760000000000002E-2</v>
      </c>
      <c r="F440">
        <v>250473109.59999999</v>
      </c>
      <c r="G440">
        <v>0</v>
      </c>
      <c r="L440" t="s">
        <v>7</v>
      </c>
      <c r="M440" t="s">
        <v>8</v>
      </c>
      <c r="N440" t="s">
        <v>8</v>
      </c>
      <c r="P440">
        <f t="shared" si="974"/>
        <v>-0.11203319502074525</v>
      </c>
      <c r="Q440">
        <f t="shared" si="975"/>
        <v>-28061302.735269301</v>
      </c>
      <c r="R440">
        <f t="shared" si="976"/>
        <v>5853894684.2785635</v>
      </c>
      <c r="S440">
        <f t="shared" si="977"/>
        <v>58538.946842785634</v>
      </c>
      <c r="T440">
        <f t="shared" si="978"/>
        <v>58.538946842785634</v>
      </c>
    </row>
    <row r="441" spans="1:20" x14ac:dyDescent="0.25">
      <c r="A441" s="5">
        <v>44152</v>
      </c>
      <c r="B441">
        <v>2.1940000000000001E-2</v>
      </c>
      <c r="C441">
        <v>2.3130000000000001E-2</v>
      </c>
      <c r="D441">
        <v>2.1239999999999998E-2</v>
      </c>
      <c r="E441">
        <v>2.2870000000000001E-2</v>
      </c>
      <c r="F441">
        <v>282802123.69999999</v>
      </c>
      <c r="G441">
        <v>0</v>
      </c>
      <c r="L441" t="s">
        <v>8</v>
      </c>
      <c r="M441" t="s">
        <v>8</v>
      </c>
      <c r="N441" t="s">
        <v>8</v>
      </c>
      <c r="P441">
        <f t="shared" si="974"/>
        <v>0.72486772486772544</v>
      </c>
      <c r="Q441">
        <f t="shared" si="975"/>
        <v>204994131.99418005</v>
      </c>
      <c r="R441">
        <f t="shared" si="976"/>
        <v>5881955987.013833</v>
      </c>
      <c r="S441">
        <f t="shared" si="977"/>
        <v>58819.559870138328</v>
      </c>
      <c r="T441">
        <f t="shared" si="978"/>
        <v>58.819559870138328</v>
      </c>
    </row>
    <row r="442" spans="1:20" x14ac:dyDescent="0.25">
      <c r="A442" s="5">
        <v>44151</v>
      </c>
      <c r="B442">
        <v>1.9939999999999999E-2</v>
      </c>
      <c r="C442">
        <v>2.232E-2</v>
      </c>
      <c r="D442">
        <v>1.9720000000000001E-2</v>
      </c>
      <c r="E442">
        <v>2.1940000000000001E-2</v>
      </c>
      <c r="F442">
        <v>222538342.80000001</v>
      </c>
      <c r="G442">
        <v>0</v>
      </c>
      <c r="L442" t="s">
        <v>8</v>
      </c>
      <c r="M442" t="s">
        <v>8</v>
      </c>
      <c r="N442" t="s">
        <v>8</v>
      </c>
      <c r="P442">
        <f t="shared" si="974"/>
        <v>0.70769230769230873</v>
      </c>
      <c r="Q442">
        <f t="shared" si="975"/>
        <v>157488673.36615407</v>
      </c>
      <c r="R442">
        <f t="shared" si="976"/>
        <v>5676961855.0196533</v>
      </c>
      <c r="S442">
        <f t="shared" si="977"/>
        <v>56769.61855019653</v>
      </c>
      <c r="T442">
        <f t="shared" si="978"/>
        <v>56.769618550196533</v>
      </c>
    </row>
    <row r="443" spans="1:20" x14ac:dyDescent="0.25">
      <c r="A443" s="5">
        <v>44150</v>
      </c>
      <c r="B443">
        <v>2.0140000000000002E-2</v>
      </c>
      <c r="C443">
        <v>2.1499999999999998E-2</v>
      </c>
      <c r="D443">
        <v>1.9259999999999999E-2</v>
      </c>
      <c r="E443">
        <v>1.9939999999999999E-2</v>
      </c>
      <c r="F443">
        <v>204772794.40000001</v>
      </c>
      <c r="G443">
        <v>0</v>
      </c>
      <c r="L443" t="s">
        <v>8</v>
      </c>
      <c r="M443" t="s">
        <v>8</v>
      </c>
      <c r="N443" t="s">
        <v>8</v>
      </c>
      <c r="P443">
        <f t="shared" si="974"/>
        <v>-0.39285714285714252</v>
      </c>
      <c r="Q443">
        <f t="shared" si="975"/>
        <v>-80446454.942857072</v>
      </c>
      <c r="R443">
        <f t="shared" si="976"/>
        <v>5519473181.6534996</v>
      </c>
      <c r="S443">
        <f t="shared" si="977"/>
        <v>55194.731816534993</v>
      </c>
      <c r="T443">
        <f t="shared" si="978"/>
        <v>55.194731816534997</v>
      </c>
    </row>
    <row r="444" spans="1:20" x14ac:dyDescent="0.25">
      <c r="A444" s="5">
        <v>44149</v>
      </c>
      <c r="B444">
        <v>2.0289999999999999E-2</v>
      </c>
      <c r="C444">
        <v>2.0400000000000001E-2</v>
      </c>
      <c r="D444">
        <v>1.95E-2</v>
      </c>
      <c r="E444">
        <v>2.0140000000000002E-2</v>
      </c>
      <c r="F444">
        <v>75783741.700000003</v>
      </c>
      <c r="G444">
        <v>0</v>
      </c>
      <c r="L444" t="s">
        <v>8</v>
      </c>
      <c r="M444" t="s">
        <v>8</v>
      </c>
      <c r="N444" t="s">
        <v>8</v>
      </c>
      <c r="P444">
        <f t="shared" si="974"/>
        <v>0.42222222222222361</v>
      </c>
      <c r="Q444">
        <f t="shared" si="975"/>
        <v>31997579.828888994</v>
      </c>
      <c r="R444">
        <f t="shared" si="976"/>
        <v>5599919636.5963564</v>
      </c>
      <c r="S444">
        <f t="shared" si="977"/>
        <v>55999.196365963566</v>
      </c>
      <c r="T444">
        <f t="shared" si="978"/>
        <v>55.999196365963563</v>
      </c>
    </row>
    <row r="445" spans="1:20" x14ac:dyDescent="0.25">
      <c r="A445" s="5">
        <v>44148</v>
      </c>
      <c r="B445">
        <v>1.9210000000000001E-2</v>
      </c>
      <c r="C445">
        <v>2.0490000000000001E-2</v>
      </c>
      <c r="D445">
        <v>1.9210000000000001E-2</v>
      </c>
      <c r="E445">
        <v>2.027E-2</v>
      </c>
      <c r="F445">
        <v>98212978.400000006</v>
      </c>
      <c r="G445">
        <v>0</v>
      </c>
      <c r="L445" t="s">
        <v>8</v>
      </c>
      <c r="M445" t="s">
        <v>8</v>
      </c>
      <c r="N445" t="s">
        <v>8</v>
      </c>
      <c r="P445">
        <f t="shared" si="974"/>
        <v>0.65624999999999767</v>
      </c>
      <c r="Q445">
        <f t="shared" si="975"/>
        <v>64452267.074999772</v>
      </c>
      <c r="R445">
        <f t="shared" si="976"/>
        <v>5567922056.7674675</v>
      </c>
      <c r="S445">
        <f t="shared" si="977"/>
        <v>55679.220567674674</v>
      </c>
      <c r="T445">
        <f t="shared" si="978"/>
        <v>55.679220567674676</v>
      </c>
    </row>
    <row r="446" spans="1:20" x14ac:dyDescent="0.25">
      <c r="A446" s="5">
        <v>44147</v>
      </c>
      <c r="B446">
        <v>2.0209999999999999E-2</v>
      </c>
      <c r="C446">
        <v>2.0500000000000001E-2</v>
      </c>
      <c r="D446">
        <v>1.9040000000000001E-2</v>
      </c>
      <c r="E446">
        <v>1.9230000000000001E-2</v>
      </c>
      <c r="F446">
        <v>108867115.7</v>
      </c>
      <c r="G446">
        <v>0</v>
      </c>
      <c r="L446" t="s">
        <v>7</v>
      </c>
      <c r="M446" t="s">
        <v>8</v>
      </c>
      <c r="N446" t="s">
        <v>8</v>
      </c>
      <c r="P446">
        <f t="shared" si="974"/>
        <v>-0.73972602739726123</v>
      </c>
      <c r="Q446">
        <f t="shared" si="975"/>
        <v>-80531839.010959014</v>
      </c>
      <c r="R446">
        <f t="shared" si="976"/>
        <v>5503469789.6924677</v>
      </c>
      <c r="S446">
        <f t="shared" si="977"/>
        <v>55034.697896924677</v>
      </c>
      <c r="T446">
        <f t="shared" si="978"/>
        <v>55.034697896924676</v>
      </c>
    </row>
    <row r="447" spans="1:20" x14ac:dyDescent="0.25">
      <c r="A447" s="5">
        <v>44146</v>
      </c>
      <c r="B447">
        <v>2.0209999999999999E-2</v>
      </c>
      <c r="C447">
        <v>2.0889999999999999E-2</v>
      </c>
      <c r="D447">
        <v>2.0070000000000001E-2</v>
      </c>
      <c r="E447">
        <v>2.0209999999999999E-2</v>
      </c>
      <c r="F447">
        <v>114802493</v>
      </c>
      <c r="G447">
        <v>0</v>
      </c>
      <c r="L447" t="s">
        <v>8</v>
      </c>
      <c r="M447" t="s">
        <v>8</v>
      </c>
      <c r="N447" t="s">
        <v>8</v>
      </c>
      <c r="P447">
        <f t="shared" si="974"/>
        <v>-0.65853658536585824</v>
      </c>
      <c r="Q447">
        <f t="shared" si="975"/>
        <v>-75601641.731707841</v>
      </c>
      <c r="R447">
        <f t="shared" si="976"/>
        <v>5584001628.7034264</v>
      </c>
      <c r="S447">
        <f t="shared" si="977"/>
        <v>55840.016287034261</v>
      </c>
      <c r="T447">
        <f t="shared" si="978"/>
        <v>55.84001628703426</v>
      </c>
    </row>
    <row r="448" spans="1:20" x14ac:dyDescent="0.25">
      <c r="A448" s="5">
        <v>44145</v>
      </c>
      <c r="B448">
        <v>1.9400000000000001E-2</v>
      </c>
      <c r="C448">
        <v>2.0480000000000002E-2</v>
      </c>
      <c r="D448">
        <v>1.908E-2</v>
      </c>
      <c r="E448">
        <v>2.0230000000000001E-2</v>
      </c>
      <c r="F448">
        <v>165379975.69999999</v>
      </c>
      <c r="G448">
        <v>0</v>
      </c>
      <c r="L448" t="s">
        <v>8</v>
      </c>
      <c r="M448" t="s">
        <v>8</v>
      </c>
      <c r="N448" t="s">
        <v>8</v>
      </c>
      <c r="P448">
        <f t="shared" si="974"/>
        <v>0.64285714285714302</v>
      </c>
      <c r="Q448">
        <f t="shared" si="975"/>
        <v>106315698.66428573</v>
      </c>
      <c r="R448">
        <f t="shared" si="976"/>
        <v>5659603270.4351339</v>
      </c>
      <c r="S448">
        <f t="shared" si="977"/>
        <v>56596.032704351339</v>
      </c>
      <c r="T448">
        <f t="shared" si="978"/>
        <v>56.596032704351337</v>
      </c>
    </row>
    <row r="449" spans="1:20" x14ac:dyDescent="0.25">
      <c r="A449" s="5">
        <v>44144</v>
      </c>
      <c r="B449">
        <v>1.9279999999999999E-2</v>
      </c>
      <c r="C449">
        <v>1.9480000000000001E-2</v>
      </c>
      <c r="D449">
        <v>1.8540000000000001E-2</v>
      </c>
      <c r="E449">
        <v>1.9390000000000001E-2</v>
      </c>
      <c r="F449">
        <v>82941855.5</v>
      </c>
      <c r="G449">
        <v>0</v>
      </c>
      <c r="L449" t="s">
        <v>8</v>
      </c>
      <c r="M449" t="s">
        <v>8</v>
      </c>
      <c r="N449" t="s">
        <v>8</v>
      </c>
      <c r="P449">
        <f t="shared" si="974"/>
        <v>0.80851063829787273</v>
      </c>
      <c r="Q449">
        <f t="shared" si="975"/>
        <v>67059372.531914927</v>
      </c>
      <c r="R449">
        <f t="shared" si="976"/>
        <v>5553287571.7708483</v>
      </c>
      <c r="S449">
        <f t="shared" si="977"/>
        <v>55532.875717708484</v>
      </c>
      <c r="T449">
        <f t="shared" si="978"/>
        <v>55.532875717708485</v>
      </c>
    </row>
    <row r="450" spans="1:20" x14ac:dyDescent="0.25">
      <c r="A450" s="5">
        <v>44143</v>
      </c>
      <c r="B450">
        <v>1.8509999999999999E-2</v>
      </c>
      <c r="C450">
        <v>1.967E-2</v>
      </c>
      <c r="D450">
        <v>1.8280000000000001E-2</v>
      </c>
      <c r="E450">
        <v>1.9300000000000001E-2</v>
      </c>
      <c r="F450">
        <v>116603037.59999999</v>
      </c>
      <c r="G450">
        <v>0</v>
      </c>
      <c r="L450" t="s">
        <v>7</v>
      </c>
      <c r="M450" t="s">
        <v>8</v>
      </c>
      <c r="N450" t="s">
        <v>8</v>
      </c>
      <c r="P450">
        <f t="shared" si="974"/>
        <v>0.46762589928057685</v>
      </c>
      <c r="Q450">
        <f t="shared" si="975"/>
        <v>54526600.31654691</v>
      </c>
      <c r="R450">
        <f t="shared" si="976"/>
        <v>5486228199.2389336</v>
      </c>
      <c r="S450">
        <f t="shared" si="977"/>
        <v>54862.281992389333</v>
      </c>
      <c r="T450">
        <f t="shared" si="978"/>
        <v>54.862281992389335</v>
      </c>
    </row>
    <row r="451" spans="1:20" x14ac:dyDescent="0.25">
      <c r="A451" s="5">
        <v>44142</v>
      </c>
      <c r="B451">
        <v>2.053E-2</v>
      </c>
      <c r="C451">
        <v>2.0959999999999999E-2</v>
      </c>
      <c r="D451">
        <v>1.772E-2</v>
      </c>
      <c r="E451">
        <v>1.8519999999999998E-2</v>
      </c>
      <c r="F451">
        <v>337869712.30000001</v>
      </c>
      <c r="G451">
        <v>0</v>
      </c>
      <c r="L451" t="s">
        <v>8</v>
      </c>
      <c r="M451" t="s">
        <v>8</v>
      </c>
      <c r="N451" t="s">
        <v>8</v>
      </c>
      <c r="P451">
        <f t="shared" si="974"/>
        <v>-0.50617283950617364</v>
      </c>
      <c r="Q451">
        <f t="shared" si="975"/>
        <v>-171020471.65802497</v>
      </c>
      <c r="R451">
        <f t="shared" si="976"/>
        <v>5431701598.9223871</v>
      </c>
      <c r="S451">
        <f t="shared" si="977"/>
        <v>54317.015989223873</v>
      </c>
      <c r="T451">
        <f t="shared" si="978"/>
        <v>54.317015989223876</v>
      </c>
    </row>
    <row r="452" spans="1:20" x14ac:dyDescent="0.25">
      <c r="A452" s="5">
        <v>44141</v>
      </c>
      <c r="B452">
        <v>1.8859999999999998E-2</v>
      </c>
      <c r="C452">
        <v>2.0570000000000001E-2</v>
      </c>
      <c r="D452">
        <v>1.8589999999999999E-2</v>
      </c>
      <c r="E452">
        <v>2.053E-2</v>
      </c>
      <c r="F452">
        <v>260348475.5</v>
      </c>
      <c r="G452">
        <v>0</v>
      </c>
      <c r="L452" t="s">
        <v>8</v>
      </c>
      <c r="M452" t="s">
        <v>8</v>
      </c>
      <c r="N452" t="s">
        <v>8</v>
      </c>
      <c r="P452">
        <f t="shared" si="974"/>
        <v>0.95959595959595778</v>
      </c>
      <c r="Q452">
        <f t="shared" si="975"/>
        <v>249829345.1767672</v>
      </c>
      <c r="R452">
        <f t="shared" si="976"/>
        <v>5602722070.5804119</v>
      </c>
      <c r="S452">
        <f t="shared" si="977"/>
        <v>56027.220705804117</v>
      </c>
      <c r="T452">
        <f t="shared" si="978"/>
        <v>56.027220705804119</v>
      </c>
    </row>
    <row r="453" spans="1:20" x14ac:dyDescent="0.25">
      <c r="A453" s="5">
        <v>44140</v>
      </c>
      <c r="B453">
        <v>1.753E-2</v>
      </c>
      <c r="C453">
        <v>1.89E-2</v>
      </c>
      <c r="D453">
        <v>1.7510000000000001E-2</v>
      </c>
      <c r="E453">
        <v>1.8859999999999998E-2</v>
      </c>
      <c r="F453">
        <v>137794645.5</v>
      </c>
      <c r="G453">
        <v>0</v>
      </c>
      <c r="L453" t="s">
        <v>8</v>
      </c>
      <c r="M453" t="s">
        <v>7</v>
      </c>
      <c r="N453" t="s">
        <v>8</v>
      </c>
      <c r="P453">
        <f t="shared" si="974"/>
        <v>0.94244604316546499</v>
      </c>
      <c r="Q453">
        <f t="shared" si="975"/>
        <v>129864018.42086294</v>
      </c>
      <c r="R453">
        <f t="shared" si="976"/>
        <v>5352892725.4036446</v>
      </c>
      <c r="S453">
        <f t="shared" si="977"/>
        <v>53528.927254036447</v>
      </c>
      <c r="T453">
        <f t="shared" si="978"/>
        <v>53.528927254036446</v>
      </c>
    </row>
    <row r="454" spans="1:20" x14ac:dyDescent="0.25">
      <c r="A454" s="5">
        <v>44139</v>
      </c>
      <c r="B454">
        <v>1.746E-2</v>
      </c>
      <c r="C454">
        <v>1.7649999999999999E-2</v>
      </c>
      <c r="D454">
        <v>1.6660000000000001E-2</v>
      </c>
      <c r="E454">
        <v>1.753E-2</v>
      </c>
      <c r="F454">
        <v>66900578.700000003</v>
      </c>
      <c r="G454">
        <v>0</v>
      </c>
      <c r="L454" t="s">
        <v>7</v>
      </c>
      <c r="M454" t="s">
        <v>7</v>
      </c>
      <c r="N454" t="s">
        <v>8</v>
      </c>
      <c r="P454">
        <f t="shared" ref="P454:P517" si="979">IF(C454=D454,0,((E454-D454)-(C454-E454))/(C454-D454))</f>
        <v>0.7575757575757599</v>
      </c>
      <c r="Q454">
        <f t="shared" ref="Q454:Q517" si="980">F454*P454</f>
        <v>50682256.59090925</v>
      </c>
      <c r="R454">
        <f t="shared" ref="R454:R517" si="981">R455+Q454</f>
        <v>5223028706.9827814</v>
      </c>
      <c r="S454">
        <f t="shared" ref="S454:S517" si="982">R454/100000</f>
        <v>52230.287069827813</v>
      </c>
      <c r="T454">
        <f t="shared" ref="T454:T517" si="983">S454/1000</f>
        <v>52.23028706982781</v>
      </c>
    </row>
    <row r="455" spans="1:20" x14ac:dyDescent="0.25">
      <c r="A455" s="5">
        <v>44138</v>
      </c>
      <c r="B455">
        <v>1.72E-2</v>
      </c>
      <c r="C455">
        <v>1.7469999999999999E-2</v>
      </c>
      <c r="D455">
        <v>1.66E-2</v>
      </c>
      <c r="E455">
        <v>1.745E-2</v>
      </c>
      <c r="F455">
        <v>79691858.200000003</v>
      </c>
      <c r="G455">
        <v>0</v>
      </c>
      <c r="L455" t="s">
        <v>7</v>
      </c>
      <c r="M455" t="s">
        <v>7</v>
      </c>
      <c r="N455" t="s">
        <v>8</v>
      </c>
      <c r="P455">
        <f t="shared" si="979"/>
        <v>0.95402298850574896</v>
      </c>
      <c r="Q455">
        <f t="shared" si="980"/>
        <v>76027864.719540372</v>
      </c>
      <c r="R455">
        <f t="shared" si="981"/>
        <v>5172346450.3918724</v>
      </c>
      <c r="S455">
        <f t="shared" si="982"/>
        <v>51723.464503918723</v>
      </c>
      <c r="T455">
        <f t="shared" si="983"/>
        <v>51.72346450391872</v>
      </c>
    </row>
    <row r="456" spans="1:20" x14ac:dyDescent="0.25">
      <c r="A456" s="5">
        <v>44137</v>
      </c>
      <c r="B456">
        <v>1.7940000000000001E-2</v>
      </c>
      <c r="C456">
        <v>1.8190000000000001E-2</v>
      </c>
      <c r="D456">
        <v>1.7129999999999999E-2</v>
      </c>
      <c r="E456">
        <v>1.719E-2</v>
      </c>
      <c r="F456">
        <v>121046550.2</v>
      </c>
      <c r="G456">
        <v>0</v>
      </c>
      <c r="L456" t="s">
        <v>8</v>
      </c>
      <c r="M456" t="s">
        <v>7</v>
      </c>
      <c r="N456" t="s">
        <v>8</v>
      </c>
      <c r="P456">
        <f t="shared" si="979"/>
        <v>-0.88679245283018693</v>
      </c>
      <c r="Q456">
        <f t="shared" si="980"/>
        <v>-107343167.15849036</v>
      </c>
      <c r="R456">
        <f t="shared" si="981"/>
        <v>5096318585.6723318</v>
      </c>
      <c r="S456">
        <f t="shared" si="982"/>
        <v>50963.185856723321</v>
      </c>
      <c r="T456">
        <f t="shared" si="983"/>
        <v>50.963185856723321</v>
      </c>
    </row>
    <row r="457" spans="1:20" x14ac:dyDescent="0.25">
      <c r="A457" s="5">
        <v>44136</v>
      </c>
      <c r="B457">
        <v>1.772E-2</v>
      </c>
      <c r="C457">
        <v>1.8110000000000001E-2</v>
      </c>
      <c r="D457">
        <v>1.7469999999999999E-2</v>
      </c>
      <c r="E457">
        <v>1.7940000000000001E-2</v>
      </c>
      <c r="F457">
        <v>74970082.299999997</v>
      </c>
      <c r="G457">
        <v>0</v>
      </c>
      <c r="L457" t="s">
        <v>8</v>
      </c>
      <c r="M457" t="s">
        <v>7</v>
      </c>
      <c r="N457" t="s">
        <v>8</v>
      </c>
      <c r="P457">
        <f t="shared" si="979"/>
        <v>0.46875000000000133</v>
      </c>
      <c r="Q457">
        <f t="shared" si="980"/>
        <v>35142226.078125097</v>
      </c>
      <c r="R457">
        <f t="shared" si="981"/>
        <v>5203661752.830822</v>
      </c>
      <c r="S457">
        <f t="shared" si="982"/>
        <v>52036.617528308219</v>
      </c>
      <c r="T457">
        <f t="shared" si="983"/>
        <v>52.03661752830822</v>
      </c>
    </row>
    <row r="458" spans="1:20" x14ac:dyDescent="0.25">
      <c r="A458" s="5">
        <v>44135</v>
      </c>
      <c r="B458">
        <v>1.7510000000000001E-2</v>
      </c>
      <c r="C458">
        <v>1.7999999999999999E-2</v>
      </c>
      <c r="D458">
        <v>1.7340000000000001E-2</v>
      </c>
      <c r="E458">
        <v>1.7729999999999999E-2</v>
      </c>
      <c r="F458">
        <v>83933778.799999997</v>
      </c>
      <c r="G458">
        <v>0</v>
      </c>
      <c r="L458" t="s">
        <v>8</v>
      </c>
      <c r="M458" t="s">
        <v>7</v>
      </c>
      <c r="N458" t="s">
        <v>8</v>
      </c>
      <c r="P458">
        <f t="shared" si="979"/>
        <v>0.18181818181818038</v>
      </c>
      <c r="Q458">
        <f t="shared" si="980"/>
        <v>15260687.054545334</v>
      </c>
      <c r="R458">
        <f t="shared" si="981"/>
        <v>5168519526.752697</v>
      </c>
      <c r="S458">
        <f t="shared" si="982"/>
        <v>51685.195267526971</v>
      </c>
      <c r="T458">
        <f t="shared" si="983"/>
        <v>51.685195267526971</v>
      </c>
    </row>
    <row r="459" spans="1:20" x14ac:dyDescent="0.25">
      <c r="A459" s="5">
        <v>44134</v>
      </c>
      <c r="B459">
        <v>1.755E-2</v>
      </c>
      <c r="C459">
        <v>1.8030000000000001E-2</v>
      </c>
      <c r="D459">
        <v>1.6629999999999999E-2</v>
      </c>
      <c r="E459">
        <v>1.7489999999999999E-2</v>
      </c>
      <c r="F459">
        <v>134102785.2</v>
      </c>
      <c r="G459">
        <v>0</v>
      </c>
      <c r="L459" t="s">
        <v>7</v>
      </c>
      <c r="M459" t="s">
        <v>7</v>
      </c>
      <c r="N459" t="s">
        <v>8</v>
      </c>
      <c r="P459">
        <f t="shared" si="979"/>
        <v>0.22857142857142637</v>
      </c>
      <c r="Q459">
        <f t="shared" si="980"/>
        <v>30652065.188571133</v>
      </c>
      <c r="R459">
        <f t="shared" si="981"/>
        <v>5153258839.6981516</v>
      </c>
      <c r="S459">
        <f t="shared" si="982"/>
        <v>51532.588396981519</v>
      </c>
      <c r="T459">
        <f t="shared" si="983"/>
        <v>51.532588396981517</v>
      </c>
    </row>
    <row r="460" spans="1:20" x14ac:dyDescent="0.25">
      <c r="A460" s="5">
        <v>44133</v>
      </c>
      <c r="B460">
        <v>1.771E-2</v>
      </c>
      <c r="C460">
        <v>1.8089999999999998E-2</v>
      </c>
      <c r="D460">
        <v>1.7340000000000001E-2</v>
      </c>
      <c r="E460">
        <v>1.7569999999999999E-2</v>
      </c>
      <c r="F460">
        <v>189300216.69999999</v>
      </c>
      <c r="G460">
        <v>0</v>
      </c>
      <c r="L460" t="s">
        <v>7</v>
      </c>
      <c r="M460" t="s">
        <v>7</v>
      </c>
      <c r="N460" t="s">
        <v>8</v>
      </c>
      <c r="P460">
        <f t="shared" si="979"/>
        <v>-0.38666666666667088</v>
      </c>
      <c r="Q460">
        <f t="shared" si="980"/>
        <v>-73196083.790667459</v>
      </c>
      <c r="R460">
        <f t="shared" si="981"/>
        <v>5122606774.5095806</v>
      </c>
      <c r="S460">
        <f t="shared" si="982"/>
        <v>51226.067745095803</v>
      </c>
      <c r="T460">
        <f t="shared" si="983"/>
        <v>51.226067745095804</v>
      </c>
    </row>
    <row r="461" spans="1:20" x14ac:dyDescent="0.25">
      <c r="A461" s="5">
        <v>44132</v>
      </c>
      <c r="B461">
        <v>1.8599999999999998E-2</v>
      </c>
      <c r="C461">
        <v>1.866E-2</v>
      </c>
      <c r="D461">
        <v>1.7399999999999999E-2</v>
      </c>
      <c r="E461">
        <v>1.7739999999999999E-2</v>
      </c>
      <c r="F461">
        <v>251607907</v>
      </c>
      <c r="G461">
        <v>0</v>
      </c>
      <c r="L461" t="s">
        <v>7</v>
      </c>
      <c r="M461" t="s">
        <v>7</v>
      </c>
      <c r="N461" t="s">
        <v>8</v>
      </c>
      <c r="P461">
        <f t="shared" si="979"/>
        <v>-0.46031746031746057</v>
      </c>
      <c r="Q461">
        <f t="shared" si="980"/>
        <v>-115819512.74603181</v>
      </c>
      <c r="R461">
        <f t="shared" si="981"/>
        <v>5195802858.3002481</v>
      </c>
      <c r="S461">
        <f t="shared" si="982"/>
        <v>51958.02858300248</v>
      </c>
      <c r="T461">
        <f t="shared" si="983"/>
        <v>51.958028583002481</v>
      </c>
    </row>
    <row r="462" spans="1:20" x14ac:dyDescent="0.25">
      <c r="A462" s="5">
        <v>44131</v>
      </c>
      <c r="B462">
        <v>1.8339999999999999E-2</v>
      </c>
      <c r="C462">
        <v>1.907E-2</v>
      </c>
      <c r="D462">
        <v>1.8249999999999999E-2</v>
      </c>
      <c r="E462">
        <v>1.8599999999999998E-2</v>
      </c>
      <c r="F462">
        <v>210805159.90000001</v>
      </c>
      <c r="G462">
        <v>0</v>
      </c>
      <c r="L462" t="s">
        <v>7</v>
      </c>
      <c r="M462" t="s">
        <v>8</v>
      </c>
      <c r="N462" t="s">
        <v>8</v>
      </c>
      <c r="P462">
        <f t="shared" si="979"/>
        <v>-0.14634146341463641</v>
      </c>
      <c r="Q462">
        <f t="shared" si="980"/>
        <v>-30849535.59512243</v>
      </c>
      <c r="R462">
        <f t="shared" si="981"/>
        <v>5311622371.0462799</v>
      </c>
      <c r="S462">
        <f t="shared" si="982"/>
        <v>53116.2237104628</v>
      </c>
      <c r="T462">
        <f t="shared" si="983"/>
        <v>53.116223710462798</v>
      </c>
    </row>
    <row r="463" spans="1:20" x14ac:dyDescent="0.25">
      <c r="A463" s="5">
        <v>44130</v>
      </c>
      <c r="B463">
        <v>1.8929999999999999E-2</v>
      </c>
      <c r="C463">
        <v>1.924E-2</v>
      </c>
      <c r="D463">
        <v>1.805E-2</v>
      </c>
      <c r="E463">
        <v>1.8350000000000002E-2</v>
      </c>
      <c r="F463">
        <v>112763527.09999999</v>
      </c>
      <c r="G463">
        <v>0</v>
      </c>
      <c r="L463" t="s">
        <v>7</v>
      </c>
      <c r="M463" t="s">
        <v>8</v>
      </c>
      <c r="N463" t="s">
        <v>8</v>
      </c>
      <c r="P463">
        <f t="shared" si="979"/>
        <v>-0.49579831932772833</v>
      </c>
      <c r="Q463">
        <f t="shared" si="980"/>
        <v>-55907967.217646748</v>
      </c>
      <c r="R463">
        <f t="shared" si="981"/>
        <v>5342471906.6414022</v>
      </c>
      <c r="S463">
        <f t="shared" si="982"/>
        <v>53424.719066414022</v>
      </c>
      <c r="T463">
        <f t="shared" si="983"/>
        <v>53.424719066414021</v>
      </c>
    </row>
    <row r="464" spans="1:20" x14ac:dyDescent="0.25">
      <c r="A464" s="5">
        <v>44129</v>
      </c>
      <c r="B464">
        <v>1.9439999999999999E-2</v>
      </c>
      <c r="C464">
        <v>1.975E-2</v>
      </c>
      <c r="D464">
        <v>1.883E-2</v>
      </c>
      <c r="E464">
        <v>1.8950000000000002E-2</v>
      </c>
      <c r="F464">
        <v>134296069.90000001</v>
      </c>
      <c r="G464">
        <v>0</v>
      </c>
      <c r="L464" t="s">
        <v>8</v>
      </c>
      <c r="M464" t="s">
        <v>8</v>
      </c>
      <c r="N464" t="s">
        <v>8</v>
      </c>
      <c r="P464">
        <f t="shared" si="979"/>
        <v>-0.73913043478260443</v>
      </c>
      <c r="Q464">
        <f t="shared" si="980"/>
        <v>-99262312.534782037</v>
      </c>
      <c r="R464">
        <f t="shared" si="981"/>
        <v>5398379873.8590488</v>
      </c>
      <c r="S464">
        <f t="shared" si="982"/>
        <v>53983.798738590485</v>
      </c>
      <c r="T464">
        <f t="shared" si="983"/>
        <v>53.983798738590487</v>
      </c>
    </row>
    <row r="465" spans="1:20" x14ac:dyDescent="0.25">
      <c r="A465" s="5">
        <v>44128</v>
      </c>
      <c r="B465">
        <v>1.9699999999999999E-2</v>
      </c>
      <c r="C465">
        <v>2.019E-2</v>
      </c>
      <c r="D465">
        <v>1.9279999999999999E-2</v>
      </c>
      <c r="E465">
        <v>1.9439999999999999E-2</v>
      </c>
      <c r="F465">
        <v>99788605.200000003</v>
      </c>
      <c r="G465">
        <v>0</v>
      </c>
      <c r="L465" t="s">
        <v>8</v>
      </c>
      <c r="M465" t="s">
        <v>8</v>
      </c>
      <c r="N465" t="s">
        <v>8</v>
      </c>
      <c r="P465">
        <f t="shared" si="979"/>
        <v>-0.64835164835164782</v>
      </c>
      <c r="Q465">
        <f t="shared" si="980"/>
        <v>-64698106.668131821</v>
      </c>
      <c r="R465">
        <f t="shared" si="981"/>
        <v>5497642186.3938313</v>
      </c>
      <c r="S465">
        <f t="shared" si="982"/>
        <v>54976.421863938311</v>
      </c>
      <c r="T465">
        <f t="shared" si="983"/>
        <v>54.976421863938313</v>
      </c>
    </row>
    <row r="466" spans="1:20" x14ac:dyDescent="0.25">
      <c r="A466" s="5">
        <v>44127</v>
      </c>
      <c r="B466">
        <v>1.949E-2</v>
      </c>
      <c r="C466">
        <v>1.9990000000000001E-2</v>
      </c>
      <c r="D466">
        <v>1.9060000000000001E-2</v>
      </c>
      <c r="E466">
        <v>1.9730000000000001E-2</v>
      </c>
      <c r="F466">
        <v>115875318.59999999</v>
      </c>
      <c r="G466">
        <v>0</v>
      </c>
      <c r="L466" t="s">
        <v>8</v>
      </c>
      <c r="M466" t="s">
        <v>8</v>
      </c>
      <c r="N466" t="s">
        <v>8</v>
      </c>
      <c r="P466">
        <f t="shared" si="979"/>
        <v>0.44086021505376399</v>
      </c>
      <c r="Q466">
        <f t="shared" si="980"/>
        <v>51084817.87741942</v>
      </c>
      <c r="R466">
        <f t="shared" si="981"/>
        <v>5562340293.0619631</v>
      </c>
      <c r="S466">
        <f t="shared" si="982"/>
        <v>55623.402930619632</v>
      </c>
      <c r="T466">
        <f t="shared" si="983"/>
        <v>55.623402930619633</v>
      </c>
    </row>
    <row r="467" spans="1:20" x14ac:dyDescent="0.25">
      <c r="A467" s="5">
        <v>44126</v>
      </c>
      <c r="B467">
        <v>1.8540000000000001E-2</v>
      </c>
      <c r="C467">
        <v>1.9980000000000001E-2</v>
      </c>
      <c r="D467">
        <v>1.8489999999999999E-2</v>
      </c>
      <c r="E467">
        <v>1.95E-2</v>
      </c>
      <c r="F467">
        <v>183648501.5</v>
      </c>
      <c r="G467">
        <v>0</v>
      </c>
      <c r="L467" t="s">
        <v>8</v>
      </c>
      <c r="M467" t="s">
        <v>8</v>
      </c>
      <c r="N467" t="s">
        <v>8</v>
      </c>
      <c r="P467">
        <f t="shared" si="979"/>
        <v>0.35570469798657622</v>
      </c>
      <c r="Q467">
        <f t="shared" si="980"/>
        <v>65324634.76174479</v>
      </c>
      <c r="R467">
        <f t="shared" si="981"/>
        <v>5511255475.1845436</v>
      </c>
      <c r="S467">
        <f t="shared" si="982"/>
        <v>55112.554751845433</v>
      </c>
      <c r="T467">
        <f t="shared" si="983"/>
        <v>55.11255475184543</v>
      </c>
    </row>
    <row r="468" spans="1:20" x14ac:dyDescent="0.25">
      <c r="A468" s="5">
        <v>44125</v>
      </c>
      <c r="B468">
        <v>1.8270000000000002E-2</v>
      </c>
      <c r="C468">
        <v>1.9109999999999999E-2</v>
      </c>
      <c r="D468">
        <v>1.8169999999999999E-2</v>
      </c>
      <c r="E468">
        <v>1.8540000000000001E-2</v>
      </c>
      <c r="F468">
        <v>176968300.19999999</v>
      </c>
      <c r="G468">
        <v>0</v>
      </c>
      <c r="L468" t="s">
        <v>7</v>
      </c>
      <c r="M468" t="s">
        <v>8</v>
      </c>
      <c r="N468" t="s">
        <v>8</v>
      </c>
      <c r="P468">
        <f t="shared" si="979"/>
        <v>-0.21276595744680357</v>
      </c>
      <c r="Q468">
        <f t="shared" si="980"/>
        <v>-37652829.82978636</v>
      </c>
      <c r="R468">
        <f t="shared" si="981"/>
        <v>5445930840.4227991</v>
      </c>
      <c r="S468">
        <f t="shared" si="982"/>
        <v>54459.308404227988</v>
      </c>
      <c r="T468">
        <f t="shared" si="983"/>
        <v>54.45930840422799</v>
      </c>
    </row>
    <row r="469" spans="1:20" x14ac:dyDescent="0.25">
      <c r="A469" s="5">
        <v>44124</v>
      </c>
      <c r="B469">
        <v>1.9779999999999999E-2</v>
      </c>
      <c r="C469">
        <v>2.0639999999999999E-2</v>
      </c>
      <c r="D469">
        <v>1.7930000000000001E-2</v>
      </c>
      <c r="E469">
        <v>1.83E-2</v>
      </c>
      <c r="F469">
        <v>276738202.30000001</v>
      </c>
      <c r="G469">
        <v>0</v>
      </c>
      <c r="L469" t="s">
        <v>8</v>
      </c>
      <c r="M469" t="s">
        <v>8</v>
      </c>
      <c r="N469" t="s">
        <v>8</v>
      </c>
      <c r="P469">
        <f t="shared" si="979"/>
        <v>-0.72693726937269432</v>
      </c>
      <c r="Q469">
        <f t="shared" si="980"/>
        <v>-201171313.11107028</v>
      </c>
      <c r="R469">
        <f t="shared" si="981"/>
        <v>5483583670.2525854</v>
      </c>
      <c r="S469">
        <f t="shared" si="982"/>
        <v>54835.836702525856</v>
      </c>
      <c r="T469">
        <f t="shared" si="983"/>
        <v>54.835836702525853</v>
      </c>
    </row>
    <row r="470" spans="1:20" x14ac:dyDescent="0.25">
      <c r="A470" s="5">
        <v>44123</v>
      </c>
      <c r="B470">
        <v>1.8409999999999999E-2</v>
      </c>
      <c r="C470">
        <v>1.9990000000000001E-2</v>
      </c>
      <c r="D470">
        <v>1.7739999999999999E-2</v>
      </c>
      <c r="E470">
        <v>1.9789999999999999E-2</v>
      </c>
      <c r="F470">
        <v>356609905.5</v>
      </c>
      <c r="G470">
        <v>0</v>
      </c>
      <c r="L470" t="s">
        <v>8</v>
      </c>
      <c r="M470" t="s">
        <v>7</v>
      </c>
      <c r="N470" t="s">
        <v>8</v>
      </c>
      <c r="P470">
        <f t="shared" si="979"/>
        <v>0.82222222222222041</v>
      </c>
      <c r="Q470">
        <f t="shared" si="980"/>
        <v>293212588.96666604</v>
      </c>
      <c r="R470">
        <f t="shared" si="981"/>
        <v>5684754983.363656</v>
      </c>
      <c r="S470">
        <f t="shared" si="982"/>
        <v>56847.549833636564</v>
      </c>
      <c r="T470">
        <f t="shared" si="983"/>
        <v>56.847549833636563</v>
      </c>
    </row>
    <row r="471" spans="1:20" x14ac:dyDescent="0.25">
      <c r="A471" s="5">
        <v>44122</v>
      </c>
      <c r="B471">
        <v>1.8110000000000001E-2</v>
      </c>
      <c r="C471">
        <v>1.8530000000000001E-2</v>
      </c>
      <c r="D471">
        <v>1.804E-2</v>
      </c>
      <c r="E471">
        <v>1.84E-2</v>
      </c>
      <c r="F471">
        <v>159192928.5</v>
      </c>
      <c r="G471">
        <v>0</v>
      </c>
      <c r="L471" t="s">
        <v>8</v>
      </c>
      <c r="M471" t="s">
        <v>7</v>
      </c>
      <c r="N471" t="s">
        <v>8</v>
      </c>
      <c r="P471">
        <f t="shared" si="979"/>
        <v>0.46938775510203501</v>
      </c>
      <c r="Q471">
        <f t="shared" si="980"/>
        <v>74723211.336733773</v>
      </c>
      <c r="R471">
        <f t="shared" si="981"/>
        <v>5391542394.3969898</v>
      </c>
      <c r="S471">
        <f t="shared" si="982"/>
        <v>53915.423943969901</v>
      </c>
      <c r="T471">
        <f t="shared" si="983"/>
        <v>53.915423943969898</v>
      </c>
    </row>
    <row r="472" spans="1:20" x14ac:dyDescent="0.25">
      <c r="A472" s="5">
        <v>44121</v>
      </c>
      <c r="B472">
        <v>1.8030000000000001E-2</v>
      </c>
      <c r="C472">
        <v>1.8380000000000001E-2</v>
      </c>
      <c r="D472">
        <v>1.7760000000000001E-2</v>
      </c>
      <c r="E472">
        <v>1.8120000000000001E-2</v>
      </c>
      <c r="F472">
        <v>63749447.399999999</v>
      </c>
      <c r="G472">
        <v>0</v>
      </c>
      <c r="L472" t="s">
        <v>8</v>
      </c>
      <c r="M472" t="s">
        <v>7</v>
      </c>
      <c r="N472" t="s">
        <v>8</v>
      </c>
      <c r="P472">
        <f t="shared" si="979"/>
        <v>0.16129032258064444</v>
      </c>
      <c r="Q472">
        <f t="shared" si="980"/>
        <v>10282168.935483824</v>
      </c>
      <c r="R472">
        <f t="shared" si="981"/>
        <v>5316819183.060256</v>
      </c>
      <c r="S472">
        <f t="shared" si="982"/>
        <v>53168.191830602562</v>
      </c>
      <c r="T472">
        <f t="shared" si="983"/>
        <v>53.168191830602559</v>
      </c>
    </row>
    <row r="473" spans="1:20" x14ac:dyDescent="0.25">
      <c r="A473" s="5">
        <v>44120</v>
      </c>
      <c r="B473">
        <v>1.866E-2</v>
      </c>
      <c r="C473">
        <v>1.8839999999999999E-2</v>
      </c>
      <c r="D473">
        <v>1.719E-2</v>
      </c>
      <c r="E473">
        <v>1.8030000000000001E-2</v>
      </c>
      <c r="F473">
        <v>144448691.40000001</v>
      </c>
      <c r="G473">
        <v>0</v>
      </c>
      <c r="L473" t="s">
        <v>7</v>
      </c>
      <c r="M473" t="s">
        <v>7</v>
      </c>
      <c r="N473" t="s">
        <v>8</v>
      </c>
      <c r="P473">
        <f t="shared" si="979"/>
        <v>1.8181818181819558E-2</v>
      </c>
      <c r="Q473">
        <f t="shared" si="980"/>
        <v>2626339.8436365626</v>
      </c>
      <c r="R473">
        <f t="shared" si="981"/>
        <v>5306537014.1247721</v>
      </c>
      <c r="S473">
        <f t="shared" si="982"/>
        <v>53065.370141247724</v>
      </c>
      <c r="T473">
        <f t="shared" si="983"/>
        <v>53.065370141247726</v>
      </c>
    </row>
    <row r="474" spans="1:20" x14ac:dyDescent="0.25">
      <c r="A474" s="5">
        <v>44119</v>
      </c>
      <c r="B474">
        <v>1.9E-2</v>
      </c>
      <c r="C474">
        <v>1.9290000000000002E-2</v>
      </c>
      <c r="D474">
        <v>1.8350000000000002E-2</v>
      </c>
      <c r="E474">
        <v>1.865E-2</v>
      </c>
      <c r="F474">
        <v>136426655.69999999</v>
      </c>
      <c r="G474">
        <v>0</v>
      </c>
      <c r="L474" t="s">
        <v>7</v>
      </c>
      <c r="M474" t="s">
        <v>8</v>
      </c>
      <c r="N474" t="s">
        <v>8</v>
      </c>
      <c r="P474">
        <f t="shared" si="979"/>
        <v>-0.36170212765957821</v>
      </c>
      <c r="Q474">
        <f t="shared" si="980"/>
        <v>-49345811.636170723</v>
      </c>
      <c r="R474">
        <f t="shared" si="981"/>
        <v>5303910674.2811356</v>
      </c>
      <c r="S474">
        <f t="shared" si="982"/>
        <v>53039.106742811353</v>
      </c>
      <c r="T474">
        <f t="shared" si="983"/>
        <v>53.039106742811356</v>
      </c>
    </row>
    <row r="475" spans="1:20" x14ac:dyDescent="0.25">
      <c r="A475" s="5">
        <v>44118</v>
      </c>
      <c r="B475">
        <v>2.0029999999999999E-2</v>
      </c>
      <c r="C475">
        <v>2.0049999999999998E-2</v>
      </c>
      <c r="D475">
        <v>1.823E-2</v>
      </c>
      <c r="E475">
        <v>1.9E-2</v>
      </c>
      <c r="F475">
        <v>179678338.5</v>
      </c>
      <c r="G475">
        <v>0</v>
      </c>
      <c r="L475" t="s">
        <v>7</v>
      </c>
      <c r="M475" t="s">
        <v>8</v>
      </c>
      <c r="N475" t="s">
        <v>8</v>
      </c>
      <c r="P475">
        <f t="shared" si="979"/>
        <v>-0.15384615384615341</v>
      </c>
      <c r="Q475">
        <f t="shared" si="980"/>
        <v>-27642821.30769223</v>
      </c>
      <c r="R475">
        <f t="shared" si="981"/>
        <v>5353256485.9173059</v>
      </c>
      <c r="S475">
        <f t="shared" si="982"/>
        <v>53532.564859173057</v>
      </c>
      <c r="T475">
        <f t="shared" si="983"/>
        <v>53.532564859173057</v>
      </c>
    </row>
    <row r="476" spans="1:20" x14ac:dyDescent="0.25">
      <c r="A476" s="5">
        <v>44117</v>
      </c>
      <c r="B476">
        <v>2.027E-2</v>
      </c>
      <c r="C476">
        <v>2.0660000000000001E-2</v>
      </c>
      <c r="D476">
        <v>1.968E-2</v>
      </c>
      <c r="E476">
        <v>0.02</v>
      </c>
      <c r="F476">
        <v>142998038.90000001</v>
      </c>
      <c r="G476">
        <v>0</v>
      </c>
      <c r="L476" t="s">
        <v>7</v>
      </c>
      <c r="M476" t="s">
        <v>8</v>
      </c>
      <c r="N476" t="s">
        <v>8</v>
      </c>
      <c r="P476">
        <f t="shared" si="979"/>
        <v>-0.34693877551020352</v>
      </c>
      <c r="Q476">
        <f t="shared" si="980"/>
        <v>-49611564.51632645</v>
      </c>
      <c r="R476">
        <f t="shared" si="981"/>
        <v>5380899307.2249985</v>
      </c>
      <c r="S476">
        <f t="shared" si="982"/>
        <v>53808.993072249985</v>
      </c>
      <c r="T476">
        <f t="shared" si="983"/>
        <v>53.808993072249983</v>
      </c>
    </row>
    <row r="477" spans="1:20" x14ac:dyDescent="0.25">
      <c r="A477" s="5">
        <v>44116</v>
      </c>
      <c r="B477">
        <v>2.0559999999999998E-2</v>
      </c>
      <c r="C477">
        <v>2.1090000000000001E-2</v>
      </c>
      <c r="D477">
        <v>2.001E-2</v>
      </c>
      <c r="E477">
        <v>2.026E-2</v>
      </c>
      <c r="F477">
        <v>254122862.69999999</v>
      </c>
      <c r="G477">
        <v>0</v>
      </c>
      <c r="L477" t="s">
        <v>8</v>
      </c>
      <c r="M477" t="s">
        <v>8</v>
      </c>
      <c r="N477" t="s">
        <v>8</v>
      </c>
      <c r="P477">
        <f t="shared" si="979"/>
        <v>-0.53703703703703709</v>
      </c>
      <c r="Q477">
        <f t="shared" si="980"/>
        <v>-136473389.22777778</v>
      </c>
      <c r="R477">
        <f t="shared" si="981"/>
        <v>5430510871.7413254</v>
      </c>
      <c r="S477">
        <f t="shared" si="982"/>
        <v>54305.108717413255</v>
      </c>
      <c r="T477">
        <f t="shared" si="983"/>
        <v>54.305108717413255</v>
      </c>
    </row>
    <row r="478" spans="1:20" x14ac:dyDescent="0.25">
      <c r="A478" s="5">
        <v>44115</v>
      </c>
      <c r="B478">
        <v>1.976E-2</v>
      </c>
      <c r="C478">
        <v>2.0760000000000001E-2</v>
      </c>
      <c r="D478">
        <v>1.933E-2</v>
      </c>
      <c r="E478">
        <v>2.0559999999999998E-2</v>
      </c>
      <c r="F478">
        <v>207865934.59999999</v>
      </c>
      <c r="G478">
        <v>0</v>
      </c>
      <c r="L478" t="s">
        <v>7</v>
      </c>
      <c r="M478" t="s">
        <v>8</v>
      </c>
      <c r="N478" t="s">
        <v>8</v>
      </c>
      <c r="P478">
        <f t="shared" si="979"/>
        <v>0.72027972027971721</v>
      </c>
      <c r="Q478">
        <f t="shared" si="980"/>
        <v>149721617.22937</v>
      </c>
      <c r="R478">
        <f t="shared" si="981"/>
        <v>5566984260.9691029</v>
      </c>
      <c r="S478">
        <f t="shared" si="982"/>
        <v>55669.842609691026</v>
      </c>
      <c r="T478">
        <f t="shared" si="983"/>
        <v>55.669842609691024</v>
      </c>
    </row>
    <row r="479" spans="1:20" x14ac:dyDescent="0.25">
      <c r="A479" s="5">
        <v>44114</v>
      </c>
      <c r="B479">
        <v>2.0150000000000001E-2</v>
      </c>
      <c r="C479">
        <v>2.0879999999999999E-2</v>
      </c>
      <c r="D479">
        <v>1.9259999999999999E-2</v>
      </c>
      <c r="E479">
        <v>1.9720000000000001E-2</v>
      </c>
      <c r="F479">
        <v>239346999.30000001</v>
      </c>
      <c r="G479">
        <v>0</v>
      </c>
      <c r="L479" t="s">
        <v>8</v>
      </c>
      <c r="M479" t="s">
        <v>8</v>
      </c>
      <c r="N479" t="s">
        <v>8</v>
      </c>
      <c r="P479">
        <f t="shared" si="979"/>
        <v>-0.43209876543209619</v>
      </c>
      <c r="Q479">
        <f t="shared" si="980"/>
        <v>-103421542.90740679</v>
      </c>
      <c r="R479">
        <f t="shared" si="981"/>
        <v>5417262643.7397327</v>
      </c>
      <c r="S479">
        <f t="shared" si="982"/>
        <v>54172.626437397324</v>
      </c>
      <c r="T479">
        <f t="shared" si="983"/>
        <v>54.172626437397327</v>
      </c>
    </row>
    <row r="480" spans="1:20" x14ac:dyDescent="0.25">
      <c r="A480" s="5">
        <v>44113</v>
      </c>
      <c r="B480">
        <v>1.924E-2</v>
      </c>
      <c r="C480">
        <v>2.0480000000000002E-2</v>
      </c>
      <c r="D480">
        <v>1.8550000000000001E-2</v>
      </c>
      <c r="E480">
        <v>2.0160000000000001E-2</v>
      </c>
      <c r="F480">
        <v>234830895</v>
      </c>
      <c r="G480">
        <v>0</v>
      </c>
      <c r="L480" t="s">
        <v>8</v>
      </c>
      <c r="M480" t="s">
        <v>8</v>
      </c>
      <c r="N480" t="s">
        <v>8</v>
      </c>
      <c r="P480">
        <f t="shared" si="979"/>
        <v>0.66839378238341907</v>
      </c>
      <c r="Q480">
        <f t="shared" si="980"/>
        <v>156959510.12953353</v>
      </c>
      <c r="R480">
        <f t="shared" si="981"/>
        <v>5520684186.6471395</v>
      </c>
      <c r="S480">
        <f t="shared" si="982"/>
        <v>55206.841866471397</v>
      </c>
      <c r="T480">
        <f t="shared" si="983"/>
        <v>55.2068418664714</v>
      </c>
    </row>
    <row r="481" spans="1:20" x14ac:dyDescent="0.25">
      <c r="A481" s="5">
        <v>44112</v>
      </c>
      <c r="B481">
        <v>1.8880000000000001E-2</v>
      </c>
      <c r="C481">
        <v>1.9599999999999999E-2</v>
      </c>
      <c r="D481">
        <v>1.7569999999999999E-2</v>
      </c>
      <c r="E481">
        <v>1.9210000000000001E-2</v>
      </c>
      <c r="F481">
        <v>269413348.60000002</v>
      </c>
      <c r="G481">
        <v>0</v>
      </c>
      <c r="L481" t="s">
        <v>8</v>
      </c>
      <c r="M481" t="s">
        <v>7</v>
      </c>
      <c r="N481" t="s">
        <v>8</v>
      </c>
      <c r="P481">
        <f t="shared" si="979"/>
        <v>0.61576354679803169</v>
      </c>
      <c r="Q481">
        <f t="shared" si="980"/>
        <v>165894919.08867055</v>
      </c>
      <c r="R481">
        <f t="shared" si="981"/>
        <v>5363724676.5176058</v>
      </c>
      <c r="S481">
        <f t="shared" si="982"/>
        <v>53637.24676517606</v>
      </c>
      <c r="T481">
        <f t="shared" si="983"/>
        <v>53.637246765176059</v>
      </c>
    </row>
    <row r="482" spans="1:20" x14ac:dyDescent="0.25">
      <c r="A482" s="5">
        <v>44111</v>
      </c>
      <c r="B482">
        <v>1.821E-2</v>
      </c>
      <c r="C482">
        <v>1.9429999999999999E-2</v>
      </c>
      <c r="D482">
        <v>1.7420000000000001E-2</v>
      </c>
      <c r="E482">
        <v>1.8870000000000001E-2</v>
      </c>
      <c r="F482">
        <v>272069946.5</v>
      </c>
      <c r="G482">
        <v>0</v>
      </c>
      <c r="L482" t="s">
        <v>7</v>
      </c>
      <c r="M482" t="s">
        <v>7</v>
      </c>
      <c r="N482" t="s">
        <v>8</v>
      </c>
      <c r="P482">
        <f t="shared" si="979"/>
        <v>0.44278606965174272</v>
      </c>
      <c r="Q482">
        <f t="shared" si="980"/>
        <v>120468782.28109491</v>
      </c>
      <c r="R482">
        <f t="shared" si="981"/>
        <v>5197829757.4289351</v>
      </c>
      <c r="S482">
        <f t="shared" si="982"/>
        <v>51978.297574289354</v>
      </c>
      <c r="T482">
        <f t="shared" si="983"/>
        <v>51.978297574289357</v>
      </c>
    </row>
    <row r="483" spans="1:20" x14ac:dyDescent="0.25">
      <c r="A483" s="5">
        <v>44110</v>
      </c>
      <c r="B483">
        <v>2.07E-2</v>
      </c>
      <c r="C483">
        <v>2.0750000000000001E-2</v>
      </c>
      <c r="D483">
        <v>1.7739999999999999E-2</v>
      </c>
      <c r="E483">
        <v>1.8180000000000002E-2</v>
      </c>
      <c r="F483">
        <v>513182518.89999998</v>
      </c>
      <c r="G483">
        <v>0</v>
      </c>
      <c r="L483" t="s">
        <v>7</v>
      </c>
      <c r="M483" t="s">
        <v>7</v>
      </c>
      <c r="N483" t="s">
        <v>8</v>
      </c>
      <c r="P483">
        <f t="shared" si="979"/>
        <v>-0.70764119601328734</v>
      </c>
      <c r="Q483">
        <f t="shared" si="980"/>
        <v>-363149091.44750744</v>
      </c>
      <c r="R483">
        <f t="shared" si="981"/>
        <v>5077360975.1478405</v>
      </c>
      <c r="S483">
        <f t="shared" si="982"/>
        <v>50773.609751478405</v>
      </c>
      <c r="T483">
        <f t="shared" si="983"/>
        <v>50.773609751478403</v>
      </c>
    </row>
    <row r="484" spans="1:20" x14ac:dyDescent="0.25">
      <c r="A484" s="5">
        <v>44109</v>
      </c>
      <c r="B484">
        <v>2.1260000000000001E-2</v>
      </c>
      <c r="C484">
        <v>2.1749999999999999E-2</v>
      </c>
      <c r="D484">
        <v>2.0080000000000001E-2</v>
      </c>
      <c r="E484">
        <v>2.07E-2</v>
      </c>
      <c r="F484">
        <v>568039913.10000002</v>
      </c>
      <c r="G484">
        <v>0</v>
      </c>
      <c r="L484" t="s">
        <v>7</v>
      </c>
      <c r="M484" t="s">
        <v>8</v>
      </c>
      <c r="N484" t="s">
        <v>8</v>
      </c>
      <c r="P484">
        <f t="shared" si="979"/>
        <v>-0.25748502994011996</v>
      </c>
      <c r="Q484">
        <f t="shared" si="980"/>
        <v>-146261774.03173664</v>
      </c>
      <c r="R484">
        <f t="shared" si="981"/>
        <v>5440510066.5953484</v>
      </c>
      <c r="S484">
        <f t="shared" si="982"/>
        <v>54405.100665953483</v>
      </c>
      <c r="T484">
        <f t="shared" si="983"/>
        <v>54.405100665953483</v>
      </c>
    </row>
    <row r="485" spans="1:20" x14ac:dyDescent="0.25">
      <c r="A485" s="5">
        <v>44108</v>
      </c>
      <c r="B485">
        <v>1.857E-2</v>
      </c>
      <c r="C485">
        <v>2.146E-2</v>
      </c>
      <c r="D485">
        <v>1.8290000000000001E-2</v>
      </c>
      <c r="E485">
        <v>2.129E-2</v>
      </c>
      <c r="F485">
        <v>418884679.89999998</v>
      </c>
      <c r="G485">
        <v>0</v>
      </c>
      <c r="L485" t="s">
        <v>8</v>
      </c>
      <c r="M485" t="s">
        <v>8</v>
      </c>
      <c r="N485" t="s">
        <v>8</v>
      </c>
      <c r="P485">
        <f t="shared" si="979"/>
        <v>0.89274447949526814</v>
      </c>
      <c r="Q485">
        <f t="shared" si="980"/>
        <v>373956985.52586746</v>
      </c>
      <c r="R485">
        <f t="shared" si="981"/>
        <v>5586771840.6270847</v>
      </c>
      <c r="S485">
        <f t="shared" si="982"/>
        <v>55867.718406270847</v>
      </c>
      <c r="T485">
        <f t="shared" si="983"/>
        <v>55.867718406270846</v>
      </c>
    </row>
    <row r="486" spans="1:20" x14ac:dyDescent="0.25">
      <c r="A486" s="5">
        <v>44107</v>
      </c>
      <c r="B486">
        <v>1.804E-2</v>
      </c>
      <c r="C486">
        <v>1.9630000000000002E-2</v>
      </c>
      <c r="D486">
        <v>1.7399999999999999E-2</v>
      </c>
      <c r="E486">
        <v>1.857E-2</v>
      </c>
      <c r="F486">
        <v>294732266.89999998</v>
      </c>
      <c r="G486">
        <v>0</v>
      </c>
      <c r="L486" t="s">
        <v>8</v>
      </c>
      <c r="M486" t="s">
        <v>8</v>
      </c>
      <c r="N486" t="s">
        <v>8</v>
      </c>
      <c r="P486">
        <f t="shared" si="979"/>
        <v>4.9327354260089169E-2</v>
      </c>
      <c r="Q486">
        <f t="shared" si="980"/>
        <v>14538362.941255452</v>
      </c>
      <c r="R486">
        <f t="shared" si="981"/>
        <v>5212814855.1012173</v>
      </c>
      <c r="S486">
        <f t="shared" si="982"/>
        <v>52128.148551012171</v>
      </c>
      <c r="T486">
        <f t="shared" si="983"/>
        <v>52.128148551012174</v>
      </c>
    </row>
    <row r="487" spans="1:20" x14ac:dyDescent="0.25">
      <c r="A487" s="5">
        <v>44106</v>
      </c>
      <c r="B487">
        <v>1.942E-2</v>
      </c>
      <c r="C487">
        <v>1.9609999999999999E-2</v>
      </c>
      <c r="D487">
        <v>1.6310000000000002E-2</v>
      </c>
      <c r="E487">
        <v>1.8020000000000001E-2</v>
      </c>
      <c r="F487">
        <v>557115808</v>
      </c>
      <c r="G487">
        <v>0</v>
      </c>
      <c r="L487" t="s">
        <v>7</v>
      </c>
      <c r="M487" t="s">
        <v>7</v>
      </c>
      <c r="N487" t="s">
        <v>8</v>
      </c>
      <c r="P487">
        <f t="shared" si="979"/>
        <v>3.6363636363637014E-2</v>
      </c>
      <c r="Q487">
        <f t="shared" si="980"/>
        <v>20258756.654545818</v>
      </c>
      <c r="R487">
        <f t="shared" si="981"/>
        <v>5198276492.1599617</v>
      </c>
      <c r="S487">
        <f t="shared" si="982"/>
        <v>51982.764921599613</v>
      </c>
      <c r="T487">
        <f t="shared" si="983"/>
        <v>51.98276492159961</v>
      </c>
    </row>
    <row r="488" spans="1:20" x14ac:dyDescent="0.25">
      <c r="A488" s="5">
        <v>44105</v>
      </c>
      <c r="B488">
        <v>1.9550000000000001E-2</v>
      </c>
      <c r="C488">
        <v>2.0799999999999999E-2</v>
      </c>
      <c r="D488">
        <v>1.8020000000000001E-2</v>
      </c>
      <c r="E488">
        <v>1.9449999999999999E-2</v>
      </c>
      <c r="F488">
        <v>727442769</v>
      </c>
      <c r="G488">
        <v>0</v>
      </c>
      <c r="L488" t="s">
        <v>8</v>
      </c>
      <c r="M488" t="s">
        <v>8</v>
      </c>
      <c r="N488" t="s">
        <v>8</v>
      </c>
      <c r="P488">
        <f t="shared" si="979"/>
        <v>2.8776978417265037E-2</v>
      </c>
      <c r="Q488">
        <f t="shared" si="980"/>
        <v>20933604.863308515</v>
      </c>
      <c r="R488">
        <f t="shared" si="981"/>
        <v>5178017735.5054159</v>
      </c>
      <c r="S488">
        <f t="shared" si="982"/>
        <v>51780.177355054162</v>
      </c>
      <c r="T488">
        <f t="shared" si="983"/>
        <v>51.780177355054164</v>
      </c>
    </row>
    <row r="489" spans="1:20" x14ac:dyDescent="0.25">
      <c r="A489" s="5">
        <v>44104</v>
      </c>
      <c r="B489">
        <v>1.7469999999999999E-2</v>
      </c>
      <c r="C489">
        <v>1.9879999999999998E-2</v>
      </c>
      <c r="D489">
        <v>1.687E-2</v>
      </c>
      <c r="E489">
        <v>1.9550000000000001E-2</v>
      </c>
      <c r="F489">
        <v>774663746.70000005</v>
      </c>
      <c r="G489">
        <v>0</v>
      </c>
      <c r="L489" t="s">
        <v>8</v>
      </c>
      <c r="M489" t="s">
        <v>8</v>
      </c>
      <c r="N489" t="s">
        <v>8</v>
      </c>
      <c r="P489">
        <f t="shared" si="979"/>
        <v>0.78073089700996867</v>
      </c>
      <c r="Q489">
        <f t="shared" si="980"/>
        <v>604803921.8421942</v>
      </c>
      <c r="R489">
        <f t="shared" si="981"/>
        <v>5157084130.642107</v>
      </c>
      <c r="S489">
        <f t="shared" si="982"/>
        <v>51570.841306421069</v>
      </c>
      <c r="T489">
        <f t="shared" si="983"/>
        <v>51.570841306421066</v>
      </c>
    </row>
    <row r="490" spans="1:20" x14ac:dyDescent="0.25">
      <c r="A490" s="5">
        <v>44103</v>
      </c>
      <c r="B490">
        <v>1.5100000000000001E-2</v>
      </c>
      <c r="C490">
        <v>1.796E-2</v>
      </c>
      <c r="D490">
        <v>1.5010000000000001E-2</v>
      </c>
      <c r="E490">
        <v>1.7469999999999999E-2</v>
      </c>
      <c r="F490">
        <v>477713211</v>
      </c>
      <c r="G490">
        <v>0</v>
      </c>
      <c r="L490" t="s">
        <v>8</v>
      </c>
      <c r="M490" t="s">
        <v>8</v>
      </c>
      <c r="N490" t="s">
        <v>7</v>
      </c>
      <c r="P490">
        <f t="shared" si="979"/>
        <v>0.66779661016949088</v>
      </c>
      <c r="Q490">
        <f t="shared" si="980"/>
        <v>319015262.93898273</v>
      </c>
      <c r="R490">
        <f t="shared" si="981"/>
        <v>4552280208.7999125</v>
      </c>
      <c r="S490">
        <f t="shared" si="982"/>
        <v>45522.802087999124</v>
      </c>
      <c r="T490">
        <f t="shared" si="983"/>
        <v>45.522802087999125</v>
      </c>
    </row>
    <row r="491" spans="1:20" x14ac:dyDescent="0.25">
      <c r="A491" s="5">
        <v>44102</v>
      </c>
      <c r="B491">
        <v>1.5520000000000001E-2</v>
      </c>
      <c r="C491">
        <v>1.619E-2</v>
      </c>
      <c r="D491">
        <v>1.502E-2</v>
      </c>
      <c r="E491">
        <v>1.511E-2</v>
      </c>
      <c r="F491">
        <v>150050301.59999999</v>
      </c>
      <c r="G491">
        <v>0</v>
      </c>
      <c r="L491" t="s">
        <v>7</v>
      </c>
      <c r="M491" t="s">
        <v>8</v>
      </c>
      <c r="N491" t="s">
        <v>7</v>
      </c>
      <c r="P491">
        <f t="shared" si="979"/>
        <v>-0.84615384615384637</v>
      </c>
      <c r="Q491">
        <f t="shared" si="980"/>
        <v>-126965639.81538464</v>
      </c>
      <c r="R491">
        <f t="shared" si="981"/>
        <v>4233264945.8609295</v>
      </c>
      <c r="S491">
        <f t="shared" si="982"/>
        <v>42332.649458609296</v>
      </c>
      <c r="T491">
        <f t="shared" si="983"/>
        <v>42.332649458609296</v>
      </c>
    </row>
    <row r="492" spans="1:20" x14ac:dyDescent="0.25">
      <c r="A492" s="5">
        <v>44101</v>
      </c>
      <c r="B492">
        <v>1.6330000000000001E-2</v>
      </c>
      <c r="C492">
        <v>1.6590000000000001E-2</v>
      </c>
      <c r="D492">
        <v>1.507E-2</v>
      </c>
      <c r="E492">
        <v>1.5480000000000001E-2</v>
      </c>
      <c r="F492">
        <v>172946870.59999999</v>
      </c>
      <c r="G492">
        <v>0</v>
      </c>
      <c r="L492" t="s">
        <v>7</v>
      </c>
      <c r="M492" t="s">
        <v>8</v>
      </c>
      <c r="N492" t="s">
        <v>7</v>
      </c>
      <c r="P492">
        <f t="shared" si="979"/>
        <v>-0.46052631578947301</v>
      </c>
      <c r="Q492">
        <f t="shared" si="980"/>
        <v>-79646585.144736722</v>
      </c>
      <c r="R492">
        <f t="shared" si="981"/>
        <v>4360230585.6763144</v>
      </c>
      <c r="S492">
        <f t="shared" si="982"/>
        <v>43602.305856763145</v>
      </c>
      <c r="T492">
        <f t="shared" si="983"/>
        <v>43.602305856763145</v>
      </c>
    </row>
    <row r="493" spans="1:20" x14ac:dyDescent="0.25">
      <c r="A493" s="5">
        <v>44100</v>
      </c>
      <c r="B493">
        <v>1.5949999999999999E-2</v>
      </c>
      <c r="C493">
        <v>1.66E-2</v>
      </c>
      <c r="D493">
        <v>1.5789999999999998E-2</v>
      </c>
      <c r="E493">
        <v>1.6330000000000001E-2</v>
      </c>
      <c r="F493">
        <v>153273368.5</v>
      </c>
      <c r="G493">
        <v>0</v>
      </c>
      <c r="L493" t="s">
        <v>8</v>
      </c>
      <c r="M493" t="s">
        <v>8</v>
      </c>
      <c r="N493" t="s">
        <v>7</v>
      </c>
      <c r="P493">
        <f t="shared" si="979"/>
        <v>0.3333333333333362</v>
      </c>
      <c r="Q493">
        <f t="shared" si="980"/>
        <v>51091122.833333775</v>
      </c>
      <c r="R493">
        <f t="shared" si="981"/>
        <v>4439877170.8210506</v>
      </c>
      <c r="S493">
        <f t="shared" si="982"/>
        <v>44398.771708210508</v>
      </c>
      <c r="T493">
        <f t="shared" si="983"/>
        <v>44.398771708210511</v>
      </c>
    </row>
    <row r="494" spans="1:20" x14ac:dyDescent="0.25">
      <c r="A494" s="5">
        <v>44099</v>
      </c>
      <c r="B494">
        <v>1.461E-2</v>
      </c>
      <c r="C494">
        <v>1.635E-2</v>
      </c>
      <c r="D494">
        <v>1.439E-2</v>
      </c>
      <c r="E494">
        <v>1.592E-2</v>
      </c>
      <c r="F494">
        <v>317136170.60000002</v>
      </c>
      <c r="G494">
        <v>0</v>
      </c>
      <c r="L494" t="s">
        <v>8</v>
      </c>
      <c r="M494" t="s">
        <v>8</v>
      </c>
      <c r="N494" t="s">
        <v>7</v>
      </c>
      <c r="P494">
        <f t="shared" si="979"/>
        <v>0.56122448979591855</v>
      </c>
      <c r="Q494">
        <f t="shared" si="980"/>
        <v>177984585.5408164</v>
      </c>
      <c r="R494">
        <f t="shared" si="981"/>
        <v>4388786047.9877167</v>
      </c>
      <c r="S494">
        <f t="shared" si="982"/>
        <v>43887.86047987717</v>
      </c>
      <c r="T494">
        <f t="shared" si="983"/>
        <v>43.887860479877169</v>
      </c>
    </row>
    <row r="495" spans="1:20" x14ac:dyDescent="0.25">
      <c r="A495" s="5">
        <v>44098</v>
      </c>
      <c r="B495">
        <v>1.388E-2</v>
      </c>
      <c r="C495">
        <v>1.472E-2</v>
      </c>
      <c r="D495">
        <v>1.358E-2</v>
      </c>
      <c r="E495">
        <v>1.46E-2</v>
      </c>
      <c r="F495">
        <v>211600210.80000001</v>
      </c>
      <c r="G495">
        <v>0</v>
      </c>
      <c r="L495" t="s">
        <v>7</v>
      </c>
      <c r="M495" t="s">
        <v>8</v>
      </c>
      <c r="N495" t="s">
        <v>7</v>
      </c>
      <c r="P495">
        <f t="shared" si="979"/>
        <v>0.78947368421052588</v>
      </c>
      <c r="Q495">
        <f t="shared" si="980"/>
        <v>167052797.99999991</v>
      </c>
      <c r="R495">
        <f t="shared" si="981"/>
        <v>4210801462.4469004</v>
      </c>
      <c r="S495">
        <f t="shared" si="982"/>
        <v>42108.014624469004</v>
      </c>
      <c r="T495">
        <f t="shared" si="983"/>
        <v>42.108014624469007</v>
      </c>
    </row>
    <row r="496" spans="1:20" x14ac:dyDescent="0.25">
      <c r="A496" s="5">
        <v>44097</v>
      </c>
      <c r="B496">
        <v>1.418E-2</v>
      </c>
      <c r="C496">
        <v>1.54E-2</v>
      </c>
      <c r="D496">
        <v>1.29E-2</v>
      </c>
      <c r="E496">
        <v>1.389E-2</v>
      </c>
      <c r="F496">
        <v>269326447.80000001</v>
      </c>
      <c r="G496">
        <v>0</v>
      </c>
      <c r="L496" t="s">
        <v>8</v>
      </c>
      <c r="M496" t="s">
        <v>8</v>
      </c>
      <c r="N496" t="s">
        <v>7</v>
      </c>
      <c r="P496">
        <f t="shared" si="979"/>
        <v>-0.20800000000000052</v>
      </c>
      <c r="Q496">
        <f t="shared" si="980"/>
        <v>-56019901.142400146</v>
      </c>
      <c r="R496">
        <f t="shared" si="981"/>
        <v>4043748664.4469004</v>
      </c>
      <c r="S496">
        <f t="shared" si="982"/>
        <v>40437.486644469005</v>
      </c>
      <c r="T496">
        <f t="shared" si="983"/>
        <v>40.437486644469004</v>
      </c>
    </row>
    <row r="497" spans="1:20" x14ac:dyDescent="0.25">
      <c r="A497" s="5">
        <v>44096</v>
      </c>
      <c r="B497">
        <v>1.38E-2</v>
      </c>
      <c r="C497">
        <v>1.443E-2</v>
      </c>
      <c r="D497">
        <v>1.342E-2</v>
      </c>
      <c r="E497">
        <v>1.4149999999999999E-2</v>
      </c>
      <c r="F497">
        <v>399914195.30000001</v>
      </c>
      <c r="G497">
        <v>0</v>
      </c>
      <c r="L497" t="s">
        <v>8</v>
      </c>
      <c r="M497" t="s">
        <v>7</v>
      </c>
      <c r="N497" t="s">
        <v>7</v>
      </c>
      <c r="P497">
        <f t="shared" si="979"/>
        <v>0.44554455445544433</v>
      </c>
      <c r="Q497">
        <f t="shared" si="980"/>
        <v>178179591.96534607</v>
      </c>
      <c r="R497">
        <f t="shared" si="981"/>
        <v>4099768565.5893006</v>
      </c>
      <c r="S497">
        <f t="shared" si="982"/>
        <v>40997.685655893009</v>
      </c>
      <c r="T497">
        <f t="shared" si="983"/>
        <v>40.997685655893008</v>
      </c>
    </row>
    <row r="498" spans="1:20" x14ac:dyDescent="0.25">
      <c r="A498" s="5">
        <v>44095</v>
      </c>
      <c r="B498">
        <v>1.5709999999999998E-2</v>
      </c>
      <c r="C498">
        <v>1.6070000000000001E-2</v>
      </c>
      <c r="D498">
        <v>1.268E-2</v>
      </c>
      <c r="E498">
        <v>1.38E-2</v>
      </c>
      <c r="F498">
        <v>519344213.80000001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-0.33923303834808305</v>
      </c>
      <c r="Q498">
        <f t="shared" si="980"/>
        <v>-176178715.59587044</v>
      </c>
      <c r="R498">
        <f t="shared" si="981"/>
        <v>3921588973.6239548</v>
      </c>
      <c r="S498">
        <f t="shared" si="982"/>
        <v>39215.889736239551</v>
      </c>
      <c r="T498">
        <f t="shared" si="983"/>
        <v>39.215889736239554</v>
      </c>
    </row>
    <row r="499" spans="1:20" x14ac:dyDescent="0.25">
      <c r="A499" s="5">
        <v>44094</v>
      </c>
      <c r="B499">
        <v>1.686E-2</v>
      </c>
      <c r="C499">
        <v>1.694E-2</v>
      </c>
      <c r="D499">
        <v>1.525E-2</v>
      </c>
      <c r="E499">
        <v>1.5720000000000001E-2</v>
      </c>
      <c r="F499">
        <v>138091093.90000001</v>
      </c>
      <c r="G499">
        <v>0</v>
      </c>
      <c r="L499" t="s">
        <v>7</v>
      </c>
      <c r="M499" t="s">
        <v>8</v>
      </c>
      <c r="N499" t="s">
        <v>7</v>
      </c>
      <c r="P499">
        <f t="shared" si="979"/>
        <v>-0.44378698224851892</v>
      </c>
      <c r="Q499">
        <f t="shared" si="980"/>
        <v>-61283029.837277859</v>
      </c>
      <c r="R499">
        <f t="shared" si="981"/>
        <v>4097767689.2198253</v>
      </c>
      <c r="S499">
        <f t="shared" si="982"/>
        <v>40977.676892198251</v>
      </c>
      <c r="T499">
        <f t="shared" si="983"/>
        <v>40.977676892198254</v>
      </c>
    </row>
    <row r="500" spans="1:20" x14ac:dyDescent="0.25">
      <c r="A500" s="5">
        <v>44093</v>
      </c>
      <c r="B500">
        <v>1.7049999999999999E-2</v>
      </c>
      <c r="C500">
        <v>1.7239999999999998E-2</v>
      </c>
      <c r="D500">
        <v>1.644E-2</v>
      </c>
      <c r="E500">
        <v>1.686E-2</v>
      </c>
      <c r="F500">
        <v>115390364.59999999</v>
      </c>
      <c r="G500">
        <v>0</v>
      </c>
      <c r="L500" t="s">
        <v>8</v>
      </c>
      <c r="M500" t="s">
        <v>8</v>
      </c>
      <c r="N500" t="s">
        <v>7</v>
      </c>
      <c r="P500">
        <f t="shared" si="979"/>
        <v>5.0000000000002383E-2</v>
      </c>
      <c r="Q500">
        <f t="shared" si="980"/>
        <v>5769518.2300002743</v>
      </c>
      <c r="R500">
        <f t="shared" si="981"/>
        <v>4159050719.0571032</v>
      </c>
      <c r="S500">
        <f t="shared" si="982"/>
        <v>41590.507190571028</v>
      </c>
      <c r="T500">
        <f t="shared" si="983"/>
        <v>41.590507190571032</v>
      </c>
    </row>
    <row r="501" spans="1:20" x14ac:dyDescent="0.25">
      <c r="A501" s="5">
        <v>44092</v>
      </c>
      <c r="B501">
        <v>1.6629999999999999E-2</v>
      </c>
      <c r="C501">
        <v>1.7409999999999998E-2</v>
      </c>
      <c r="D501">
        <v>1.6410000000000001E-2</v>
      </c>
      <c r="E501">
        <v>1.7059999999999999E-2</v>
      </c>
      <c r="F501">
        <v>178671831.90000001</v>
      </c>
      <c r="G501">
        <v>0</v>
      </c>
      <c r="L501" t="s">
        <v>8</v>
      </c>
      <c r="M501" t="s">
        <v>8</v>
      </c>
      <c r="N501" t="s">
        <v>7</v>
      </c>
      <c r="P501">
        <f t="shared" si="979"/>
        <v>0.29999999999999893</v>
      </c>
      <c r="Q501">
        <f t="shared" si="980"/>
        <v>53601549.569999814</v>
      </c>
      <c r="R501">
        <f t="shared" si="981"/>
        <v>4153281200.8271027</v>
      </c>
      <c r="S501">
        <f t="shared" si="982"/>
        <v>41532.81200827103</v>
      </c>
      <c r="T501">
        <f t="shared" si="983"/>
        <v>41.53281200827103</v>
      </c>
    </row>
    <row r="502" spans="1:20" x14ac:dyDescent="0.25">
      <c r="A502" s="5">
        <v>44091</v>
      </c>
      <c r="B502">
        <v>1.6889999999999999E-2</v>
      </c>
      <c r="C502">
        <v>1.755E-2</v>
      </c>
      <c r="D502">
        <v>1.6109999999999999E-2</v>
      </c>
      <c r="E502">
        <v>1.6639999999999999E-2</v>
      </c>
      <c r="F502">
        <v>165772180.40000001</v>
      </c>
      <c r="G502">
        <v>0</v>
      </c>
      <c r="L502" t="s">
        <v>8</v>
      </c>
      <c r="M502" t="s">
        <v>8</v>
      </c>
      <c r="N502" t="s">
        <v>7</v>
      </c>
      <c r="P502">
        <f t="shared" si="979"/>
        <v>-0.26388888888889012</v>
      </c>
      <c r="Q502">
        <f t="shared" si="980"/>
        <v>-43745436.494444646</v>
      </c>
      <c r="R502">
        <f t="shared" si="981"/>
        <v>4099679651.257103</v>
      </c>
      <c r="S502">
        <f t="shared" si="982"/>
        <v>40996.796512571033</v>
      </c>
      <c r="T502">
        <f t="shared" si="983"/>
        <v>40.996796512571031</v>
      </c>
    </row>
    <row r="503" spans="1:20" x14ac:dyDescent="0.25">
      <c r="A503" s="5">
        <v>44090</v>
      </c>
      <c r="B503">
        <v>1.5630000000000002E-2</v>
      </c>
      <c r="C503">
        <v>1.6920000000000001E-2</v>
      </c>
      <c r="D503">
        <v>1.506E-2</v>
      </c>
      <c r="E503">
        <v>1.6889999999999999E-2</v>
      </c>
      <c r="F503">
        <v>227284975.40000001</v>
      </c>
      <c r="G503">
        <v>0</v>
      </c>
      <c r="L503" t="s">
        <v>7</v>
      </c>
      <c r="M503" t="s">
        <v>8</v>
      </c>
      <c r="N503" t="s">
        <v>7</v>
      </c>
      <c r="P503">
        <f t="shared" si="979"/>
        <v>0.96774193548386855</v>
      </c>
      <c r="Q503">
        <f t="shared" si="980"/>
        <v>219953201.99999946</v>
      </c>
      <c r="R503">
        <f t="shared" si="981"/>
        <v>4143425087.7515478</v>
      </c>
      <c r="S503">
        <f t="shared" si="982"/>
        <v>41434.250877515478</v>
      </c>
      <c r="T503">
        <f t="shared" si="983"/>
        <v>41.434250877515481</v>
      </c>
    </row>
    <row r="504" spans="1:20" x14ac:dyDescent="0.25">
      <c r="A504" s="5">
        <v>44089</v>
      </c>
      <c r="B504">
        <v>1.6789999999999999E-2</v>
      </c>
      <c r="C504">
        <v>1.6959999999999999E-2</v>
      </c>
      <c r="D504">
        <v>1.5570000000000001E-2</v>
      </c>
      <c r="E504">
        <v>1.5640000000000001E-2</v>
      </c>
      <c r="F504">
        <v>219850346</v>
      </c>
      <c r="G504">
        <v>0</v>
      </c>
      <c r="L504" t="s">
        <v>7</v>
      </c>
      <c r="M504" t="s">
        <v>8</v>
      </c>
      <c r="N504" t="s">
        <v>7</v>
      </c>
      <c r="P504">
        <f t="shared" si="979"/>
        <v>-0.89928057553956742</v>
      </c>
      <c r="Q504">
        <f t="shared" si="980"/>
        <v>-197707145.68345302</v>
      </c>
      <c r="R504">
        <f t="shared" si="981"/>
        <v>3923471885.7515483</v>
      </c>
      <c r="S504">
        <f t="shared" si="982"/>
        <v>39234.71885751548</v>
      </c>
      <c r="T504">
        <f t="shared" si="983"/>
        <v>39.234718857515482</v>
      </c>
    </row>
    <row r="505" spans="1:20" x14ac:dyDescent="0.25">
      <c r="A505" s="5">
        <v>44088</v>
      </c>
      <c r="B505">
        <v>1.668E-2</v>
      </c>
      <c r="C505">
        <v>1.704E-2</v>
      </c>
      <c r="D505">
        <v>1.61E-2</v>
      </c>
      <c r="E505">
        <v>1.6760000000000001E-2</v>
      </c>
      <c r="F505">
        <v>141016774.59999999</v>
      </c>
      <c r="G505">
        <v>0</v>
      </c>
      <c r="L505" t="s">
        <v>7</v>
      </c>
      <c r="M505" t="s">
        <v>8</v>
      </c>
      <c r="N505" t="s">
        <v>7</v>
      </c>
      <c r="P505">
        <f t="shared" si="979"/>
        <v>0.4042553191489382</v>
      </c>
      <c r="Q505">
        <f t="shared" si="980"/>
        <v>57006781.221276879</v>
      </c>
      <c r="R505">
        <f t="shared" si="981"/>
        <v>4121179031.4350014</v>
      </c>
      <c r="S505">
        <f t="shared" si="982"/>
        <v>41211.790314350015</v>
      </c>
      <c r="T505">
        <f t="shared" si="983"/>
        <v>41.211790314350019</v>
      </c>
    </row>
    <row r="506" spans="1:20" x14ac:dyDescent="0.25">
      <c r="A506" s="5">
        <v>44087</v>
      </c>
      <c r="B506">
        <v>1.7780000000000001E-2</v>
      </c>
      <c r="C506">
        <v>1.7829999999999999E-2</v>
      </c>
      <c r="D506">
        <v>1.6029999999999999E-2</v>
      </c>
      <c r="E506">
        <v>1.668E-2</v>
      </c>
      <c r="F506">
        <v>138356186.30000001</v>
      </c>
      <c r="G506">
        <v>0</v>
      </c>
      <c r="L506" t="s">
        <v>7</v>
      </c>
      <c r="M506" t="s">
        <v>8</v>
      </c>
      <c r="N506" t="s">
        <v>7</v>
      </c>
      <c r="P506">
        <f t="shared" si="979"/>
        <v>-0.27777777777777618</v>
      </c>
      <c r="Q506">
        <f t="shared" si="980"/>
        <v>-38432273.972222008</v>
      </c>
      <c r="R506">
        <f t="shared" si="981"/>
        <v>4064172250.2137246</v>
      </c>
      <c r="S506">
        <f t="shared" si="982"/>
        <v>40641.722502137243</v>
      </c>
      <c r="T506">
        <f t="shared" si="983"/>
        <v>40.641722502137242</v>
      </c>
    </row>
    <row r="507" spans="1:20" x14ac:dyDescent="0.25">
      <c r="A507" s="5">
        <v>44086</v>
      </c>
      <c r="B507">
        <v>1.7239999999999998E-2</v>
      </c>
      <c r="C507">
        <v>1.7950000000000001E-2</v>
      </c>
      <c r="D507">
        <v>1.685E-2</v>
      </c>
      <c r="E507">
        <v>1.7780000000000001E-2</v>
      </c>
      <c r="F507">
        <v>112495369.90000001</v>
      </c>
      <c r="G507">
        <v>0</v>
      </c>
      <c r="L507" t="s">
        <v>8</v>
      </c>
      <c r="M507" t="s">
        <v>8</v>
      </c>
      <c r="N507" t="s">
        <v>7</v>
      </c>
      <c r="P507">
        <f t="shared" si="979"/>
        <v>0.69090909090909092</v>
      </c>
      <c r="Q507">
        <f t="shared" si="980"/>
        <v>77724073.74909091</v>
      </c>
      <c r="R507">
        <f t="shared" si="981"/>
        <v>4102604524.1859465</v>
      </c>
      <c r="S507">
        <f t="shared" si="982"/>
        <v>41026.045241859465</v>
      </c>
      <c r="T507">
        <f t="shared" si="983"/>
        <v>41.026045241859464</v>
      </c>
    </row>
    <row r="508" spans="1:20" x14ac:dyDescent="0.25">
      <c r="A508" s="5">
        <v>44085</v>
      </c>
      <c r="B508">
        <v>1.7270000000000001E-2</v>
      </c>
      <c r="C508">
        <v>1.745E-2</v>
      </c>
      <c r="D508">
        <v>1.651E-2</v>
      </c>
      <c r="E508">
        <v>1.7239999999999998E-2</v>
      </c>
      <c r="F508">
        <v>134126743.2</v>
      </c>
      <c r="G508">
        <v>0</v>
      </c>
      <c r="L508" t="s">
        <v>7</v>
      </c>
      <c r="M508" t="s">
        <v>8</v>
      </c>
      <c r="N508" t="s">
        <v>7</v>
      </c>
      <c r="P508">
        <f t="shared" si="979"/>
        <v>0.55319148936169815</v>
      </c>
      <c r="Q508">
        <f t="shared" si="980"/>
        <v>74197772.834042028</v>
      </c>
      <c r="R508">
        <f t="shared" si="981"/>
        <v>4024880450.4368553</v>
      </c>
      <c r="S508">
        <f t="shared" si="982"/>
        <v>40248.804504368556</v>
      </c>
      <c r="T508">
        <f t="shared" si="983"/>
        <v>40.248804504368557</v>
      </c>
    </row>
    <row r="509" spans="1:20" x14ac:dyDescent="0.25">
      <c r="A509" s="5">
        <v>44084</v>
      </c>
      <c r="B509">
        <v>1.6480000000000002E-2</v>
      </c>
      <c r="C509">
        <v>1.789E-2</v>
      </c>
      <c r="D509">
        <v>1.6459999999999999E-2</v>
      </c>
      <c r="E509">
        <v>1.7270000000000001E-2</v>
      </c>
      <c r="F509">
        <v>188567599.5</v>
      </c>
      <c r="G509">
        <v>0</v>
      </c>
      <c r="L509" t="s">
        <v>8</v>
      </c>
      <c r="M509" t="s">
        <v>8</v>
      </c>
      <c r="N509" t="s">
        <v>7</v>
      </c>
      <c r="P509">
        <f t="shared" si="979"/>
        <v>0.13286713286713467</v>
      </c>
      <c r="Q509">
        <f t="shared" si="980"/>
        <v>25054436.297203138</v>
      </c>
      <c r="R509">
        <f t="shared" si="981"/>
        <v>3950682677.6028132</v>
      </c>
      <c r="S509">
        <f t="shared" si="982"/>
        <v>39506.826776028131</v>
      </c>
      <c r="T509">
        <f t="shared" si="983"/>
        <v>39.506826776028127</v>
      </c>
    </row>
    <row r="510" spans="1:20" x14ac:dyDescent="0.25">
      <c r="A510" s="5">
        <v>44083</v>
      </c>
      <c r="B510">
        <v>1.554E-2</v>
      </c>
      <c r="C510">
        <v>1.6930000000000001E-2</v>
      </c>
      <c r="D510">
        <v>1.5219999999999999E-2</v>
      </c>
      <c r="E510">
        <v>1.6469999999999999E-2</v>
      </c>
      <c r="F510">
        <v>257482642.19999999</v>
      </c>
      <c r="G510">
        <v>0</v>
      </c>
      <c r="L510" t="s">
        <v>8</v>
      </c>
      <c r="M510" t="s">
        <v>8</v>
      </c>
      <c r="N510" t="s">
        <v>7</v>
      </c>
      <c r="P510">
        <f t="shared" si="979"/>
        <v>0.46198830409356528</v>
      </c>
      <c r="Q510">
        <f t="shared" si="980"/>
        <v>118953969.20350826</v>
      </c>
      <c r="R510">
        <f t="shared" si="981"/>
        <v>3925628241.3056102</v>
      </c>
      <c r="S510">
        <f t="shared" si="982"/>
        <v>39256.282413056098</v>
      </c>
      <c r="T510">
        <f t="shared" si="983"/>
        <v>39.256282413056098</v>
      </c>
    </row>
    <row r="511" spans="1:20" x14ac:dyDescent="0.25">
      <c r="A511" s="5">
        <v>44082</v>
      </c>
      <c r="B511">
        <v>1.532E-2</v>
      </c>
      <c r="C511">
        <v>1.67E-2</v>
      </c>
      <c r="D511">
        <v>1.464E-2</v>
      </c>
      <c r="E511">
        <v>1.555E-2</v>
      </c>
      <c r="F511">
        <v>316192129.39999998</v>
      </c>
      <c r="G511">
        <v>0</v>
      </c>
      <c r="L511" t="s">
        <v>8</v>
      </c>
      <c r="M511" t="s">
        <v>8</v>
      </c>
      <c r="N511" t="s">
        <v>7</v>
      </c>
      <c r="P511">
        <f t="shared" si="979"/>
        <v>-0.11650485436893238</v>
      </c>
      <c r="Q511">
        <f t="shared" si="980"/>
        <v>-36837917.988349617</v>
      </c>
      <c r="R511">
        <f t="shared" si="981"/>
        <v>3806674272.1021018</v>
      </c>
      <c r="S511">
        <f t="shared" si="982"/>
        <v>38066.742721021015</v>
      </c>
      <c r="T511">
        <f t="shared" si="983"/>
        <v>38.066742721021015</v>
      </c>
    </row>
    <row r="512" spans="1:20" x14ac:dyDescent="0.25">
      <c r="A512" s="5">
        <v>44081</v>
      </c>
      <c r="B512">
        <v>1.528E-2</v>
      </c>
      <c r="C512">
        <v>1.575E-2</v>
      </c>
      <c r="D512">
        <v>1.3939999999999999E-2</v>
      </c>
      <c r="E512">
        <v>1.532E-2</v>
      </c>
      <c r="F512">
        <v>304323670.80000001</v>
      </c>
      <c r="G512">
        <v>0</v>
      </c>
      <c r="L512" t="s">
        <v>7</v>
      </c>
      <c r="M512" t="s">
        <v>7</v>
      </c>
      <c r="N512" t="s">
        <v>7</v>
      </c>
      <c r="P512">
        <f t="shared" si="979"/>
        <v>0.52486187845303911</v>
      </c>
      <c r="Q512">
        <f t="shared" si="980"/>
        <v>159727893.5138123</v>
      </c>
      <c r="R512">
        <f t="shared" si="981"/>
        <v>3843512190.0904512</v>
      </c>
      <c r="S512">
        <f t="shared" si="982"/>
        <v>38435.121900904509</v>
      </c>
      <c r="T512">
        <f t="shared" si="983"/>
        <v>38.435121900904512</v>
      </c>
    </row>
    <row r="513" spans="1:20" x14ac:dyDescent="0.25">
      <c r="A513" s="5">
        <v>44080</v>
      </c>
      <c r="B513">
        <v>1.4919999999999999E-2</v>
      </c>
      <c r="C513">
        <v>1.5730000000000001E-2</v>
      </c>
      <c r="D513">
        <v>1.391E-2</v>
      </c>
      <c r="E513">
        <v>1.528E-2</v>
      </c>
      <c r="F513">
        <v>308075816.5</v>
      </c>
      <c r="G513">
        <v>0</v>
      </c>
      <c r="L513" t="s">
        <v>8</v>
      </c>
      <c r="M513" t="s">
        <v>7</v>
      </c>
      <c r="N513" t="s">
        <v>7</v>
      </c>
      <c r="P513">
        <f t="shared" si="979"/>
        <v>0.50549450549450481</v>
      </c>
      <c r="Q513">
        <f t="shared" si="980"/>
        <v>155730632.51648331</v>
      </c>
      <c r="R513">
        <f t="shared" si="981"/>
        <v>3683784296.5766392</v>
      </c>
      <c r="S513">
        <f t="shared" si="982"/>
        <v>36837.842965766395</v>
      </c>
      <c r="T513">
        <f t="shared" si="983"/>
        <v>36.837842965766392</v>
      </c>
    </row>
    <row r="514" spans="1:20" x14ac:dyDescent="0.25">
      <c r="A514" s="5">
        <v>44079</v>
      </c>
      <c r="B514">
        <v>1.66E-2</v>
      </c>
      <c r="C514">
        <v>1.7170000000000001E-2</v>
      </c>
      <c r="D514">
        <v>1.32E-2</v>
      </c>
      <c r="E514">
        <v>1.494E-2</v>
      </c>
      <c r="F514">
        <v>455120968.5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-0.12342569269521428</v>
      </c>
      <c r="Q514">
        <f t="shared" si="980"/>
        <v>-56173620.797229297</v>
      </c>
      <c r="R514">
        <f t="shared" si="981"/>
        <v>3528053664.0601559</v>
      </c>
      <c r="S514">
        <f t="shared" si="982"/>
        <v>35280.53664060156</v>
      </c>
      <c r="T514">
        <f t="shared" si="983"/>
        <v>35.280536640601561</v>
      </c>
    </row>
    <row r="515" spans="1:20" x14ac:dyDescent="0.25">
      <c r="A515" s="5">
        <v>44078</v>
      </c>
      <c r="B515">
        <v>1.583E-2</v>
      </c>
      <c r="C515">
        <v>1.7440000000000001E-2</v>
      </c>
      <c r="D515">
        <v>1.5010000000000001E-2</v>
      </c>
      <c r="E515">
        <v>1.6590000000000001E-2</v>
      </c>
      <c r="F515">
        <v>469101536.19999999</v>
      </c>
      <c r="G515">
        <v>0</v>
      </c>
      <c r="L515" t="s">
        <v>7</v>
      </c>
      <c r="M515" t="s">
        <v>8</v>
      </c>
      <c r="N515" t="s">
        <v>7</v>
      </c>
      <c r="P515">
        <f t="shared" si="979"/>
        <v>0.30041152263374477</v>
      </c>
      <c r="Q515">
        <f t="shared" si="980"/>
        <v>140923506.75967073</v>
      </c>
      <c r="R515">
        <f t="shared" si="981"/>
        <v>3584227284.8573852</v>
      </c>
      <c r="S515">
        <f t="shared" si="982"/>
        <v>35842.272848573848</v>
      </c>
      <c r="T515">
        <f t="shared" si="983"/>
        <v>35.842272848573849</v>
      </c>
    </row>
    <row r="516" spans="1:20" x14ac:dyDescent="0.25">
      <c r="A516" s="5">
        <v>44077</v>
      </c>
      <c r="B516">
        <v>2.0369999999999999E-2</v>
      </c>
      <c r="C516">
        <v>2.0559999999999998E-2</v>
      </c>
      <c r="D516">
        <v>1.503E-2</v>
      </c>
      <c r="E516">
        <v>1.5869999999999999E-2</v>
      </c>
      <c r="F516">
        <v>670591338.29999995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-0.69620253164557</v>
      </c>
      <c r="Q516">
        <f t="shared" si="980"/>
        <v>-466867387.42405087</v>
      </c>
      <c r="R516">
        <f t="shared" si="981"/>
        <v>3443303778.0977144</v>
      </c>
      <c r="S516">
        <f t="shared" si="982"/>
        <v>34433.037780977145</v>
      </c>
      <c r="T516">
        <f t="shared" si="983"/>
        <v>34.433037780977145</v>
      </c>
    </row>
    <row r="517" spans="1:20" x14ac:dyDescent="0.25">
      <c r="A517" s="5">
        <v>44076</v>
      </c>
      <c r="B517">
        <v>2.189E-2</v>
      </c>
      <c r="C517">
        <v>2.2540000000000001E-2</v>
      </c>
      <c r="D517">
        <v>1.856E-2</v>
      </c>
      <c r="E517">
        <v>2.0369999999999999E-2</v>
      </c>
      <c r="F517">
        <v>587043274.60000002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-9.0452261306533319E-2</v>
      </c>
      <c r="Q517">
        <f t="shared" si="980"/>
        <v>-53099391.672362193</v>
      </c>
      <c r="R517">
        <f t="shared" si="981"/>
        <v>3910171165.5217652</v>
      </c>
      <c r="S517">
        <f t="shared" si="982"/>
        <v>39101.711655217652</v>
      </c>
      <c r="T517">
        <f t="shared" si="983"/>
        <v>39.101711655217649</v>
      </c>
    </row>
    <row r="518" spans="1:20" x14ac:dyDescent="0.25">
      <c r="A518" s="5">
        <v>44075</v>
      </c>
      <c r="B518">
        <v>2.2429999999999999E-2</v>
      </c>
      <c r="C518">
        <v>2.3310000000000001E-2</v>
      </c>
      <c r="D518">
        <v>2.1680000000000001E-2</v>
      </c>
      <c r="E518">
        <v>2.1899999999999999E-2</v>
      </c>
      <c r="F518">
        <v>506495953.69999999</v>
      </c>
      <c r="G518">
        <v>0</v>
      </c>
      <c r="L518" t="s">
        <v>7</v>
      </c>
      <c r="M518" t="s">
        <v>8</v>
      </c>
      <c r="N518" t="s">
        <v>7</v>
      </c>
      <c r="P518">
        <f t="shared" ref="P518:P581" si="984">IF(C518=D518,0,((E518-D518)-(C518-E518))/(C518-D518))</f>
        <v>-0.73006134969325398</v>
      </c>
      <c r="Q518">
        <f t="shared" ref="Q518:Q581" si="985">F518*P518</f>
        <v>-369773119.57239389</v>
      </c>
      <c r="R518">
        <f t="shared" ref="R518:R581" si="986">R519+Q518</f>
        <v>3963270557.1941276</v>
      </c>
      <c r="S518">
        <f t="shared" ref="S518:S581" si="987">R518/100000</f>
        <v>39632.705571941275</v>
      </c>
      <c r="T518">
        <f t="shared" ref="T518:T581" si="988">S518/1000</f>
        <v>39.632705571941273</v>
      </c>
    </row>
    <row r="519" spans="1:20" x14ac:dyDescent="0.25">
      <c r="A519" s="5">
        <v>44074</v>
      </c>
      <c r="B519">
        <v>2.3279999999999999E-2</v>
      </c>
      <c r="C519">
        <v>2.4369999999999999E-2</v>
      </c>
      <c r="D519">
        <v>2.24E-2</v>
      </c>
      <c r="E519">
        <v>2.2409999999999999E-2</v>
      </c>
      <c r="F519">
        <v>625312161.60000002</v>
      </c>
      <c r="G519">
        <v>0</v>
      </c>
      <c r="L519" t="s">
        <v>8</v>
      </c>
      <c r="M519" t="s">
        <v>8</v>
      </c>
      <c r="N519" t="s">
        <v>7</v>
      </c>
      <c r="P519">
        <f t="shared" si="984"/>
        <v>-0.98984771573604102</v>
      </c>
      <c r="Q519">
        <f t="shared" si="985"/>
        <v>-618963814.78172612</v>
      </c>
      <c r="R519">
        <f t="shared" si="986"/>
        <v>4333043676.7665215</v>
      </c>
      <c r="S519">
        <f t="shared" si="987"/>
        <v>43330.436767665211</v>
      </c>
      <c r="T519">
        <f t="shared" si="988"/>
        <v>43.330436767665212</v>
      </c>
    </row>
    <row r="520" spans="1:20" x14ac:dyDescent="0.25">
      <c r="A520" s="5">
        <v>44073</v>
      </c>
      <c r="B520">
        <v>2.0899999999999998E-2</v>
      </c>
      <c r="C520">
        <v>2.3380000000000001E-2</v>
      </c>
      <c r="D520">
        <v>2.0799999999999999E-2</v>
      </c>
      <c r="E520">
        <v>2.3269999999999999E-2</v>
      </c>
      <c r="F520">
        <v>349974851</v>
      </c>
      <c r="G520">
        <v>0</v>
      </c>
      <c r="L520" t="s">
        <v>8</v>
      </c>
      <c r="M520" t="s">
        <v>8</v>
      </c>
      <c r="N520" t="s">
        <v>7</v>
      </c>
      <c r="P520">
        <f t="shared" si="984"/>
        <v>0.91472868217054082</v>
      </c>
      <c r="Q520">
        <f t="shared" si="985"/>
        <v>320132034.24806136</v>
      </c>
      <c r="R520">
        <f t="shared" si="986"/>
        <v>4952007491.5482473</v>
      </c>
      <c r="S520">
        <f t="shared" si="987"/>
        <v>49520.074915482473</v>
      </c>
      <c r="T520">
        <f t="shared" si="988"/>
        <v>49.520074915482475</v>
      </c>
    </row>
    <row r="521" spans="1:20" x14ac:dyDescent="0.25">
      <c r="A521" s="5">
        <v>44072</v>
      </c>
      <c r="B521">
        <v>2.094E-2</v>
      </c>
      <c r="C521">
        <v>2.1360000000000001E-2</v>
      </c>
      <c r="D521">
        <v>2.044E-2</v>
      </c>
      <c r="E521">
        <v>2.0930000000000001E-2</v>
      </c>
      <c r="F521">
        <v>126997755.8</v>
      </c>
      <c r="G521">
        <v>0</v>
      </c>
      <c r="L521" t="s">
        <v>8</v>
      </c>
      <c r="M521" t="s">
        <v>7</v>
      </c>
      <c r="N521" t="s">
        <v>7</v>
      </c>
      <c r="P521">
        <f t="shared" si="984"/>
        <v>6.5217391304348893E-2</v>
      </c>
      <c r="Q521">
        <f t="shared" si="985"/>
        <v>8282462.3347827438</v>
      </c>
      <c r="R521">
        <f t="shared" si="986"/>
        <v>4631875457.3001862</v>
      </c>
      <c r="S521">
        <f t="shared" si="987"/>
        <v>46318.754573001861</v>
      </c>
      <c r="T521">
        <f t="shared" si="988"/>
        <v>46.318754573001861</v>
      </c>
    </row>
    <row r="522" spans="1:20" x14ac:dyDescent="0.25">
      <c r="A522" s="5">
        <v>44071</v>
      </c>
      <c r="B522">
        <v>2.0320000000000001E-2</v>
      </c>
      <c r="C522">
        <v>2.1190000000000001E-2</v>
      </c>
      <c r="D522">
        <v>2.001E-2</v>
      </c>
      <c r="E522">
        <v>2.0959999999999999E-2</v>
      </c>
      <c r="F522">
        <v>181077305.09999999</v>
      </c>
      <c r="G522">
        <v>0</v>
      </c>
      <c r="L522" t="s">
        <v>8</v>
      </c>
      <c r="M522" t="s">
        <v>7</v>
      </c>
      <c r="N522" t="s">
        <v>7</v>
      </c>
      <c r="P522">
        <f t="shared" si="984"/>
        <v>0.6101694915254221</v>
      </c>
      <c r="Q522">
        <f t="shared" si="985"/>
        <v>110487847.17966072</v>
      </c>
      <c r="R522">
        <f t="shared" si="986"/>
        <v>4623592994.9654036</v>
      </c>
      <c r="S522">
        <f t="shared" si="987"/>
        <v>46235.929949654033</v>
      </c>
      <c r="T522">
        <f t="shared" si="988"/>
        <v>46.235929949654036</v>
      </c>
    </row>
    <row r="523" spans="1:20" x14ac:dyDescent="0.25">
      <c r="A523" s="5">
        <v>44070</v>
      </c>
      <c r="B523">
        <v>2.24E-2</v>
      </c>
      <c r="C523">
        <v>2.2440000000000002E-2</v>
      </c>
      <c r="D523">
        <v>1.9269999999999999E-2</v>
      </c>
      <c r="E523">
        <v>2.0289999999999999E-2</v>
      </c>
      <c r="F523">
        <v>258525387.80000001</v>
      </c>
      <c r="G523">
        <v>0</v>
      </c>
      <c r="L523" t="s">
        <v>7</v>
      </c>
      <c r="M523" t="s">
        <v>7</v>
      </c>
      <c r="N523" t="s">
        <v>7</v>
      </c>
      <c r="P523">
        <f t="shared" si="984"/>
        <v>-0.35646687697160934</v>
      </c>
      <c r="Q523">
        <f t="shared" si="985"/>
        <v>-92155737.606940195</v>
      </c>
      <c r="R523">
        <f t="shared" si="986"/>
        <v>4513105147.7857428</v>
      </c>
      <c r="S523">
        <f t="shared" si="987"/>
        <v>45131.051477857429</v>
      </c>
      <c r="T523">
        <f t="shared" si="988"/>
        <v>45.131051477857426</v>
      </c>
    </row>
    <row r="524" spans="1:20" x14ac:dyDescent="0.25">
      <c r="A524" s="5">
        <v>44069</v>
      </c>
      <c r="B524">
        <v>2.1329999999999998E-2</v>
      </c>
      <c r="C524">
        <v>2.2499999999999999E-2</v>
      </c>
      <c r="D524">
        <v>2.0899999999999998E-2</v>
      </c>
      <c r="E524">
        <v>2.239E-2</v>
      </c>
      <c r="F524">
        <v>216213757.5</v>
      </c>
      <c r="G524">
        <v>0</v>
      </c>
      <c r="L524" t="s">
        <v>8</v>
      </c>
      <c r="M524" t="s">
        <v>8</v>
      </c>
      <c r="N524" t="s">
        <v>7</v>
      </c>
      <c r="P524">
        <f t="shared" si="984"/>
        <v>0.86250000000000138</v>
      </c>
      <c r="Q524">
        <f t="shared" si="985"/>
        <v>186484365.8437503</v>
      </c>
      <c r="R524">
        <f t="shared" si="986"/>
        <v>4605260885.392683</v>
      </c>
      <c r="S524">
        <f t="shared" si="987"/>
        <v>46052.608853926831</v>
      </c>
      <c r="T524">
        <f t="shared" si="988"/>
        <v>46.052608853926834</v>
      </c>
    </row>
    <row r="525" spans="1:20" x14ac:dyDescent="0.25">
      <c r="A525" s="5">
        <v>44068</v>
      </c>
      <c r="B525">
        <v>2.367E-2</v>
      </c>
      <c r="C525">
        <v>2.4150000000000001E-2</v>
      </c>
      <c r="D525">
        <v>2.0459999999999999E-2</v>
      </c>
      <c r="E525">
        <v>2.1350000000000001E-2</v>
      </c>
      <c r="F525">
        <v>310740011.10000002</v>
      </c>
      <c r="G525">
        <v>0</v>
      </c>
      <c r="L525" t="s">
        <v>7</v>
      </c>
      <c r="M525" t="s">
        <v>8</v>
      </c>
      <c r="N525" t="s">
        <v>7</v>
      </c>
      <c r="P525">
        <f t="shared" si="984"/>
        <v>-0.51761517615176078</v>
      </c>
      <c r="Q525">
        <f t="shared" si="985"/>
        <v>-160843745.5829266</v>
      </c>
      <c r="R525">
        <f t="shared" si="986"/>
        <v>4418776519.548933</v>
      </c>
      <c r="S525">
        <f t="shared" si="987"/>
        <v>44187.76519548933</v>
      </c>
      <c r="T525">
        <f t="shared" si="988"/>
        <v>44.187765195489327</v>
      </c>
    </row>
    <row r="526" spans="1:20" x14ac:dyDescent="0.25">
      <c r="A526" s="5">
        <v>44067</v>
      </c>
      <c r="B526">
        <v>2.1440000000000001E-2</v>
      </c>
      <c r="C526">
        <v>2.4279999999999999E-2</v>
      </c>
      <c r="D526">
        <v>2.111E-2</v>
      </c>
      <c r="E526">
        <v>2.3720000000000001E-2</v>
      </c>
      <c r="F526">
        <v>341475355.89999998</v>
      </c>
      <c r="G526">
        <v>0</v>
      </c>
      <c r="L526" t="s">
        <v>8</v>
      </c>
      <c r="M526" t="s">
        <v>8</v>
      </c>
      <c r="N526" t="s">
        <v>7</v>
      </c>
      <c r="P526">
        <f t="shared" si="984"/>
        <v>0.64668769716088448</v>
      </c>
      <c r="Q526">
        <f t="shared" si="985"/>
        <v>220827911.54416442</v>
      </c>
      <c r="R526">
        <f t="shared" si="986"/>
        <v>4579620265.1318598</v>
      </c>
      <c r="S526">
        <f t="shared" si="987"/>
        <v>45796.202651318599</v>
      </c>
      <c r="T526">
        <f t="shared" si="988"/>
        <v>45.796202651318602</v>
      </c>
    </row>
    <row r="527" spans="1:20" x14ac:dyDescent="0.25">
      <c r="A527" s="5">
        <v>44066</v>
      </c>
      <c r="B527">
        <v>2.1909999999999999E-2</v>
      </c>
      <c r="C527">
        <v>2.2200000000000001E-2</v>
      </c>
      <c r="D527">
        <v>2.0809999999999999E-2</v>
      </c>
      <c r="E527">
        <v>2.1440000000000001E-2</v>
      </c>
      <c r="F527">
        <v>184478850.69999999</v>
      </c>
      <c r="G527">
        <v>0</v>
      </c>
      <c r="L527" t="s">
        <v>8</v>
      </c>
      <c r="M527" t="s">
        <v>7</v>
      </c>
      <c r="N527" t="s">
        <v>7</v>
      </c>
      <c r="P527">
        <f t="shared" si="984"/>
        <v>-9.3525179856113638E-2</v>
      </c>
      <c r="Q527">
        <f t="shared" si="985"/>
        <v>-17253417.691366635</v>
      </c>
      <c r="R527">
        <f t="shared" si="986"/>
        <v>4358792353.5876951</v>
      </c>
      <c r="S527">
        <f t="shared" si="987"/>
        <v>43587.923535876951</v>
      </c>
      <c r="T527">
        <f t="shared" si="988"/>
        <v>43.587923535876953</v>
      </c>
    </row>
    <row r="528" spans="1:20" x14ac:dyDescent="0.25">
      <c r="A528" s="5">
        <v>44065</v>
      </c>
      <c r="B528">
        <v>2.1190000000000001E-2</v>
      </c>
      <c r="C528">
        <v>2.2009999999999998E-2</v>
      </c>
      <c r="D528">
        <v>0.02</v>
      </c>
      <c r="E528">
        <v>2.189E-2</v>
      </c>
      <c r="F528">
        <v>394064810.30000001</v>
      </c>
      <c r="G528">
        <v>0</v>
      </c>
      <c r="L528" t="s">
        <v>7</v>
      </c>
      <c r="M528" t="s">
        <v>7</v>
      </c>
      <c r="N528" t="s">
        <v>7</v>
      </c>
      <c r="P528">
        <f t="shared" si="984"/>
        <v>0.88059701492537445</v>
      </c>
      <c r="Q528">
        <f t="shared" si="985"/>
        <v>347012295.63731396</v>
      </c>
      <c r="R528">
        <f t="shared" si="986"/>
        <v>4376045771.2790613</v>
      </c>
      <c r="S528">
        <f t="shared" si="987"/>
        <v>43760.457712790616</v>
      </c>
      <c r="T528">
        <f t="shared" si="988"/>
        <v>43.760457712790618</v>
      </c>
    </row>
    <row r="529" spans="1:20" x14ac:dyDescent="0.25">
      <c r="A529" s="5">
        <v>44064</v>
      </c>
      <c r="B529">
        <v>2.2759999999999999E-2</v>
      </c>
      <c r="C529">
        <v>2.47E-2</v>
      </c>
      <c r="D529">
        <v>2.1000000000000001E-2</v>
      </c>
      <c r="E529">
        <v>2.1180000000000001E-2</v>
      </c>
      <c r="F529">
        <v>468672963.69999999</v>
      </c>
      <c r="G529">
        <v>0</v>
      </c>
      <c r="L529" t="s">
        <v>8</v>
      </c>
      <c r="M529" t="s">
        <v>8</v>
      </c>
      <c r="N529" t="s">
        <v>8</v>
      </c>
      <c r="P529">
        <f t="shared" si="984"/>
        <v>-0.90270270270270292</v>
      </c>
      <c r="Q529">
        <f t="shared" si="985"/>
        <v>-423072351.01567578</v>
      </c>
      <c r="R529">
        <f t="shared" si="986"/>
        <v>4029033475.6417475</v>
      </c>
      <c r="S529">
        <f t="shared" si="987"/>
        <v>40290.334756417476</v>
      </c>
      <c r="T529">
        <f t="shared" si="988"/>
        <v>40.290334756417479</v>
      </c>
    </row>
    <row r="530" spans="1:20" x14ac:dyDescent="0.25">
      <c r="A530" s="5">
        <v>44063</v>
      </c>
      <c r="B530">
        <v>2.1850000000000001E-2</v>
      </c>
      <c r="C530">
        <v>2.315E-2</v>
      </c>
      <c r="D530">
        <v>2.171E-2</v>
      </c>
      <c r="E530">
        <v>2.2759999999999999E-2</v>
      </c>
      <c r="F530">
        <v>262493012.5</v>
      </c>
      <c r="G530">
        <v>0</v>
      </c>
      <c r="L530" t="s">
        <v>8</v>
      </c>
      <c r="M530" t="s">
        <v>7</v>
      </c>
      <c r="N530" t="s">
        <v>8</v>
      </c>
      <c r="P530">
        <f t="shared" si="984"/>
        <v>0.45833333333333143</v>
      </c>
      <c r="Q530">
        <f t="shared" si="985"/>
        <v>120309297.39583284</v>
      </c>
      <c r="R530">
        <f t="shared" si="986"/>
        <v>4452105826.657423</v>
      </c>
      <c r="S530">
        <f t="shared" si="987"/>
        <v>44521.058266574233</v>
      </c>
      <c r="T530">
        <f t="shared" si="988"/>
        <v>44.521058266574236</v>
      </c>
    </row>
    <row r="531" spans="1:20" x14ac:dyDescent="0.25">
      <c r="A531" s="5">
        <v>44062</v>
      </c>
      <c r="B531">
        <v>2.315E-2</v>
      </c>
      <c r="C531">
        <v>2.3949999999999999E-2</v>
      </c>
      <c r="D531">
        <v>2.0879999999999999E-2</v>
      </c>
      <c r="E531">
        <v>2.1850000000000001E-2</v>
      </c>
      <c r="F531">
        <v>504228142.19999999</v>
      </c>
      <c r="G531">
        <v>0</v>
      </c>
      <c r="L531" t="s">
        <v>7</v>
      </c>
      <c r="M531" t="s">
        <v>7</v>
      </c>
      <c r="N531" t="s">
        <v>8</v>
      </c>
      <c r="P531">
        <f t="shared" si="984"/>
        <v>-0.36807817589576408</v>
      </c>
      <c r="Q531">
        <f t="shared" si="985"/>
        <v>-185595374.81628594</v>
      </c>
      <c r="R531">
        <f t="shared" si="986"/>
        <v>4331796529.26159</v>
      </c>
      <c r="S531">
        <f t="shared" si="987"/>
        <v>43317.965292615903</v>
      </c>
      <c r="T531">
        <f t="shared" si="988"/>
        <v>43.317965292615902</v>
      </c>
    </row>
    <row r="532" spans="1:20" x14ac:dyDescent="0.25">
      <c r="A532" s="5">
        <v>44061</v>
      </c>
      <c r="B532">
        <v>2.5170000000000001E-2</v>
      </c>
      <c r="C532">
        <v>2.5770000000000001E-2</v>
      </c>
      <c r="D532">
        <v>2.2429999999999999E-2</v>
      </c>
      <c r="E532">
        <v>2.315E-2</v>
      </c>
      <c r="F532">
        <v>435336959</v>
      </c>
      <c r="G532">
        <v>0</v>
      </c>
      <c r="L532" t="s">
        <v>7</v>
      </c>
      <c r="M532" t="s">
        <v>7</v>
      </c>
      <c r="N532" t="s">
        <v>8</v>
      </c>
      <c r="P532">
        <f t="shared" si="984"/>
        <v>-0.56886227544910106</v>
      </c>
      <c r="Q532">
        <f t="shared" si="985"/>
        <v>-247646773.08383203</v>
      </c>
      <c r="R532">
        <f t="shared" si="986"/>
        <v>4517391904.0778761</v>
      </c>
      <c r="S532">
        <f t="shared" si="987"/>
        <v>45173.919040778761</v>
      </c>
      <c r="T532">
        <f t="shared" si="988"/>
        <v>45.173919040778763</v>
      </c>
    </row>
    <row r="533" spans="1:20" x14ac:dyDescent="0.25">
      <c r="A533" s="5">
        <v>44060</v>
      </c>
      <c r="B533">
        <v>2.6349999999999998E-2</v>
      </c>
      <c r="C533">
        <v>2.6880000000000001E-2</v>
      </c>
      <c r="D533">
        <v>2.4799999999999999E-2</v>
      </c>
      <c r="E533">
        <v>2.52E-2</v>
      </c>
      <c r="F533">
        <v>473025711.80000001</v>
      </c>
      <c r="G533">
        <v>0</v>
      </c>
      <c r="L533" t="s">
        <v>7</v>
      </c>
      <c r="M533" t="s">
        <v>8</v>
      </c>
      <c r="N533" t="s">
        <v>8</v>
      </c>
      <c r="P533">
        <f t="shared" si="984"/>
        <v>-0.61538461538461475</v>
      </c>
      <c r="Q533">
        <f t="shared" si="985"/>
        <v>-291092745.72307664</v>
      </c>
      <c r="R533">
        <f t="shared" si="986"/>
        <v>4765038677.1617079</v>
      </c>
      <c r="S533">
        <f t="shared" si="987"/>
        <v>47650.386771617079</v>
      </c>
      <c r="T533">
        <f t="shared" si="988"/>
        <v>47.650386771617079</v>
      </c>
    </row>
    <row r="534" spans="1:20" x14ac:dyDescent="0.25">
      <c r="A534" s="5">
        <v>44059</v>
      </c>
      <c r="B534">
        <v>2.47E-2</v>
      </c>
      <c r="C534">
        <v>2.7439999999999999E-2</v>
      </c>
      <c r="D534">
        <v>2.445E-2</v>
      </c>
      <c r="E534">
        <v>2.632E-2</v>
      </c>
      <c r="F534">
        <v>600638379.10000002</v>
      </c>
      <c r="G534">
        <v>0</v>
      </c>
      <c r="L534" t="s">
        <v>8</v>
      </c>
      <c r="M534" t="s">
        <v>8</v>
      </c>
      <c r="N534" t="s">
        <v>8</v>
      </c>
      <c r="P534">
        <f t="shared" si="984"/>
        <v>0.25083612040133807</v>
      </c>
      <c r="Q534">
        <f t="shared" si="985"/>
        <v>150661800.77759215</v>
      </c>
      <c r="R534">
        <f t="shared" si="986"/>
        <v>5056131422.8847847</v>
      </c>
      <c r="S534">
        <f t="shared" si="987"/>
        <v>50561.314228847848</v>
      </c>
      <c r="T534">
        <f t="shared" si="988"/>
        <v>50.561314228847849</v>
      </c>
    </row>
    <row r="535" spans="1:20" x14ac:dyDescent="0.25">
      <c r="A535" s="5">
        <v>44058</v>
      </c>
      <c r="B535">
        <v>2.5049999999999999E-2</v>
      </c>
      <c r="C535">
        <v>2.5579999999999999E-2</v>
      </c>
      <c r="D535">
        <v>2.3560000000000001E-2</v>
      </c>
      <c r="E535">
        <v>2.47E-2</v>
      </c>
      <c r="F535">
        <v>400016589</v>
      </c>
      <c r="G535">
        <v>0</v>
      </c>
      <c r="L535" t="s">
        <v>7</v>
      </c>
      <c r="M535" t="s">
        <v>8</v>
      </c>
      <c r="N535" t="s">
        <v>8</v>
      </c>
      <c r="P535">
        <f t="shared" si="984"/>
        <v>0.12871287128712877</v>
      </c>
      <c r="Q535">
        <f t="shared" si="985"/>
        <v>51487283.732673287</v>
      </c>
      <c r="R535">
        <f t="shared" si="986"/>
        <v>4905469622.107193</v>
      </c>
      <c r="S535">
        <f t="shared" si="987"/>
        <v>49054.696221071928</v>
      </c>
      <c r="T535">
        <f t="shared" si="988"/>
        <v>49.054696221071929</v>
      </c>
    </row>
    <row r="536" spans="1:20" x14ac:dyDescent="0.25">
      <c r="A536" s="5">
        <v>44057</v>
      </c>
      <c r="B536">
        <v>2.546E-2</v>
      </c>
      <c r="C536">
        <v>2.6499999999999999E-2</v>
      </c>
      <c r="D536">
        <v>2.477E-2</v>
      </c>
      <c r="E536">
        <v>2.5049999999999999E-2</v>
      </c>
      <c r="F536">
        <v>421479665.30000001</v>
      </c>
      <c r="G536">
        <v>0</v>
      </c>
      <c r="L536" t="s">
        <v>7</v>
      </c>
      <c r="M536" t="s">
        <v>8</v>
      </c>
      <c r="N536" t="s">
        <v>8</v>
      </c>
      <c r="P536">
        <f t="shared" si="984"/>
        <v>-0.67630057803468302</v>
      </c>
      <c r="Q536">
        <f t="shared" si="985"/>
        <v>-285046941.27225477</v>
      </c>
      <c r="R536">
        <f t="shared" si="986"/>
        <v>4853982338.3745193</v>
      </c>
      <c r="S536">
        <f t="shared" si="987"/>
        <v>48539.823383745192</v>
      </c>
      <c r="T536">
        <f t="shared" si="988"/>
        <v>48.539823383745194</v>
      </c>
    </row>
    <row r="537" spans="1:20" x14ac:dyDescent="0.25">
      <c r="A537" s="5">
        <v>44056</v>
      </c>
      <c r="B537">
        <v>2.554E-2</v>
      </c>
      <c r="C537">
        <v>2.75E-2</v>
      </c>
      <c r="D537">
        <v>2.4289999999999999E-2</v>
      </c>
      <c r="E537">
        <v>2.546E-2</v>
      </c>
      <c r="F537">
        <v>547235921.79999995</v>
      </c>
      <c r="G537">
        <v>0</v>
      </c>
      <c r="L537" t="s">
        <v>8</v>
      </c>
      <c r="M537" t="s">
        <v>8</v>
      </c>
      <c r="N537" t="s">
        <v>8</v>
      </c>
      <c r="P537">
        <f t="shared" si="984"/>
        <v>-0.27102803738317727</v>
      </c>
      <c r="Q537">
        <f t="shared" si="985"/>
        <v>-148316277.87102786</v>
      </c>
      <c r="R537">
        <f t="shared" si="986"/>
        <v>5139029279.6467743</v>
      </c>
      <c r="S537">
        <f t="shared" si="987"/>
        <v>51390.292796467744</v>
      </c>
      <c r="T537">
        <f t="shared" si="988"/>
        <v>51.39029279646774</v>
      </c>
    </row>
    <row r="538" spans="1:20" x14ac:dyDescent="0.25">
      <c r="A538" s="5">
        <v>44055</v>
      </c>
      <c r="B538">
        <v>2.605E-2</v>
      </c>
      <c r="C538">
        <v>2.7629999999999998E-2</v>
      </c>
      <c r="D538">
        <v>2.3460000000000002E-2</v>
      </c>
      <c r="E538">
        <v>2.554E-2</v>
      </c>
      <c r="F538">
        <v>567252375.5</v>
      </c>
      <c r="G538">
        <v>0</v>
      </c>
      <c r="L538" t="s">
        <v>7</v>
      </c>
      <c r="M538" t="s">
        <v>8</v>
      </c>
      <c r="N538" t="s">
        <v>8</v>
      </c>
      <c r="P538">
        <f t="shared" si="984"/>
        <v>-2.3980815347720867E-3</v>
      </c>
      <c r="Q538">
        <f t="shared" si="985"/>
        <v>-1360317.4472421519</v>
      </c>
      <c r="R538">
        <f t="shared" si="986"/>
        <v>5287345557.5178022</v>
      </c>
      <c r="S538">
        <f t="shared" si="987"/>
        <v>52873.455575178021</v>
      </c>
      <c r="T538">
        <f t="shared" si="988"/>
        <v>52.873455575178021</v>
      </c>
    </row>
    <row r="539" spans="1:20" x14ac:dyDescent="0.25">
      <c r="A539" s="5">
        <v>44054</v>
      </c>
      <c r="B539">
        <v>2.4910000000000002E-2</v>
      </c>
      <c r="C539">
        <v>2.8389999999999999E-2</v>
      </c>
      <c r="D539">
        <v>2.4029999999999999E-2</v>
      </c>
      <c r="E539">
        <v>2.606E-2</v>
      </c>
      <c r="F539">
        <v>1092953330.2</v>
      </c>
      <c r="G539">
        <v>0</v>
      </c>
      <c r="L539" t="s">
        <v>8</v>
      </c>
      <c r="M539" t="s">
        <v>8</v>
      </c>
      <c r="N539" t="s">
        <v>8</v>
      </c>
      <c r="P539">
        <f t="shared" si="984"/>
        <v>-6.8807339449540886E-2</v>
      </c>
      <c r="Q539">
        <f t="shared" si="985"/>
        <v>-75203210.793577552</v>
      </c>
      <c r="R539">
        <f t="shared" si="986"/>
        <v>5288705874.965044</v>
      </c>
      <c r="S539">
        <f t="shared" si="987"/>
        <v>52887.058749650438</v>
      </c>
      <c r="T539">
        <f t="shared" si="988"/>
        <v>52.887058749650436</v>
      </c>
    </row>
    <row r="540" spans="1:20" x14ac:dyDescent="0.25">
      <c r="A540" s="5">
        <v>44053</v>
      </c>
      <c r="B540">
        <v>2.5139999999999999E-2</v>
      </c>
      <c r="C540">
        <v>2.5899999999999999E-2</v>
      </c>
      <c r="D540">
        <v>2.2759999999999999E-2</v>
      </c>
      <c r="E540">
        <v>2.4969999999999999E-2</v>
      </c>
      <c r="F540">
        <v>578344899.89999998</v>
      </c>
      <c r="G540">
        <v>0</v>
      </c>
      <c r="L540" t="s">
        <v>7</v>
      </c>
      <c r="M540" t="s">
        <v>8</v>
      </c>
      <c r="N540" t="s">
        <v>8</v>
      </c>
      <c r="P540">
        <f t="shared" si="984"/>
        <v>0.40764331210191074</v>
      </c>
      <c r="Q540">
        <f t="shared" si="985"/>
        <v>235758430.53248402</v>
      </c>
      <c r="R540">
        <f t="shared" si="986"/>
        <v>5363909085.7586212</v>
      </c>
      <c r="S540">
        <f t="shared" si="987"/>
        <v>53639.090857586212</v>
      </c>
      <c r="T540">
        <f t="shared" si="988"/>
        <v>53.639090857586211</v>
      </c>
    </row>
    <row r="541" spans="1:20" x14ac:dyDescent="0.25">
      <c r="A541" s="5">
        <v>44052</v>
      </c>
      <c r="B541">
        <v>2.6120000000000001E-2</v>
      </c>
      <c r="C541">
        <v>2.6120000000000001E-2</v>
      </c>
      <c r="D541">
        <v>2.3099999999999999E-2</v>
      </c>
      <c r="E541">
        <v>2.5149999999999999E-2</v>
      </c>
      <c r="F541">
        <v>551837470.60000002</v>
      </c>
      <c r="G541">
        <v>0</v>
      </c>
      <c r="L541" t="s">
        <v>7</v>
      </c>
      <c r="M541" t="s">
        <v>8</v>
      </c>
      <c r="N541" t="s">
        <v>8</v>
      </c>
      <c r="P541">
        <f t="shared" si="984"/>
        <v>0.35761589403973409</v>
      </c>
      <c r="Q541">
        <f t="shared" si="985"/>
        <v>197345850.41324449</v>
      </c>
      <c r="R541">
        <f t="shared" si="986"/>
        <v>5128150655.2261372</v>
      </c>
      <c r="S541">
        <f t="shared" si="987"/>
        <v>51281.506552261373</v>
      </c>
      <c r="T541">
        <f t="shared" si="988"/>
        <v>51.281506552261376</v>
      </c>
    </row>
    <row r="542" spans="1:20" x14ac:dyDescent="0.25">
      <c r="A542" s="5">
        <v>44051</v>
      </c>
      <c r="B542">
        <v>2.1829999999999999E-2</v>
      </c>
      <c r="C542">
        <v>2.6780000000000002E-2</v>
      </c>
      <c r="D542">
        <v>2.1340000000000001E-2</v>
      </c>
      <c r="E542">
        <v>2.6079999999999999E-2</v>
      </c>
      <c r="F542">
        <v>937195406</v>
      </c>
      <c r="G542">
        <v>0</v>
      </c>
      <c r="L542" t="s">
        <v>8</v>
      </c>
      <c r="M542" t="s">
        <v>8</v>
      </c>
      <c r="N542" t="s">
        <v>8</v>
      </c>
      <c r="P542">
        <f t="shared" si="984"/>
        <v>0.74264705882352844</v>
      </c>
      <c r="Q542">
        <f t="shared" si="985"/>
        <v>696005411.80882263</v>
      </c>
      <c r="R542">
        <f t="shared" si="986"/>
        <v>4930804804.8128929</v>
      </c>
      <c r="S542">
        <f t="shared" si="987"/>
        <v>49308.048048128927</v>
      </c>
      <c r="T542">
        <f t="shared" si="988"/>
        <v>49.308048048128924</v>
      </c>
    </row>
    <row r="543" spans="1:20" x14ac:dyDescent="0.25">
      <c r="A543" s="5">
        <v>44050</v>
      </c>
      <c r="B543">
        <v>2.0119999999999999E-2</v>
      </c>
      <c r="C543">
        <v>2.2749999999999999E-2</v>
      </c>
      <c r="D543">
        <v>2.002E-2</v>
      </c>
      <c r="E543">
        <v>2.1829999999999999E-2</v>
      </c>
      <c r="F543">
        <v>781033154.20000005</v>
      </c>
      <c r="G543">
        <v>0</v>
      </c>
      <c r="L543" t="s">
        <v>8</v>
      </c>
      <c r="M543" t="s">
        <v>8</v>
      </c>
      <c r="N543" t="s">
        <v>8</v>
      </c>
      <c r="P543">
        <f t="shared" si="984"/>
        <v>0.32600732600732546</v>
      </c>
      <c r="Q543">
        <f t="shared" si="985"/>
        <v>254622530.1238091</v>
      </c>
      <c r="R543">
        <f t="shared" si="986"/>
        <v>4234799393.0040703</v>
      </c>
      <c r="S543">
        <f t="shared" si="987"/>
        <v>42347.993930040706</v>
      </c>
      <c r="T543">
        <f t="shared" si="988"/>
        <v>42.347993930040708</v>
      </c>
    </row>
    <row r="544" spans="1:20" x14ac:dyDescent="0.25">
      <c r="A544" s="5">
        <v>44049</v>
      </c>
      <c r="B544">
        <v>1.9609999999999999E-2</v>
      </c>
      <c r="C544">
        <v>2.0930000000000001E-2</v>
      </c>
      <c r="D544">
        <v>1.9369999999999998E-2</v>
      </c>
      <c r="E544">
        <v>2.0109999999999999E-2</v>
      </c>
      <c r="F544">
        <v>556650625.70000005</v>
      </c>
      <c r="G544">
        <v>0</v>
      </c>
      <c r="L544" t="s">
        <v>8</v>
      </c>
      <c r="M544" t="s">
        <v>8</v>
      </c>
      <c r="N544" t="s">
        <v>8</v>
      </c>
      <c r="P544">
        <f t="shared" si="984"/>
        <v>-5.1282051282051336E-2</v>
      </c>
      <c r="Q544">
        <f t="shared" si="985"/>
        <v>-28546185.933333367</v>
      </c>
      <c r="R544">
        <f t="shared" si="986"/>
        <v>3980176862.8802614</v>
      </c>
      <c r="S544">
        <f t="shared" si="987"/>
        <v>39801.768628802616</v>
      </c>
      <c r="T544">
        <f t="shared" si="988"/>
        <v>39.801768628802613</v>
      </c>
    </row>
    <row r="545" spans="1:20" x14ac:dyDescent="0.25">
      <c r="A545" s="5">
        <v>44048</v>
      </c>
      <c r="B545">
        <v>1.8419999999999999E-2</v>
      </c>
      <c r="C545">
        <v>1.9779999999999999E-2</v>
      </c>
      <c r="D545">
        <v>1.813E-2</v>
      </c>
      <c r="E545">
        <v>1.958E-2</v>
      </c>
      <c r="F545">
        <v>416743173.19999999</v>
      </c>
      <c r="G545">
        <v>0</v>
      </c>
      <c r="L545" t="s">
        <v>8</v>
      </c>
      <c r="M545" t="s">
        <v>8</v>
      </c>
      <c r="N545" t="s">
        <v>7</v>
      </c>
      <c r="P545">
        <f t="shared" si="984"/>
        <v>0.7575757575757589</v>
      </c>
      <c r="Q545">
        <f t="shared" si="985"/>
        <v>315714525.15151572</v>
      </c>
      <c r="R545">
        <f t="shared" si="986"/>
        <v>4008723048.8135948</v>
      </c>
      <c r="S545">
        <f t="shared" si="987"/>
        <v>40087.230488135945</v>
      </c>
      <c r="T545">
        <f t="shared" si="988"/>
        <v>40.087230488135944</v>
      </c>
    </row>
    <row r="546" spans="1:20" x14ac:dyDescent="0.25">
      <c r="A546" s="5">
        <v>44047</v>
      </c>
      <c r="B546">
        <v>1.753E-2</v>
      </c>
      <c r="C546">
        <v>1.8489999999999999E-2</v>
      </c>
      <c r="D546">
        <v>1.753E-2</v>
      </c>
      <c r="E546">
        <v>1.8419999999999999E-2</v>
      </c>
      <c r="F546">
        <v>253832986.69999999</v>
      </c>
      <c r="G546">
        <v>0</v>
      </c>
      <c r="L546" t="s">
        <v>8</v>
      </c>
      <c r="M546" t="s">
        <v>8</v>
      </c>
      <c r="N546" t="s">
        <v>7</v>
      </c>
      <c r="P546">
        <f t="shared" si="984"/>
        <v>0.85416666666666519</v>
      </c>
      <c r="Q546">
        <f t="shared" si="985"/>
        <v>216815676.13958296</v>
      </c>
      <c r="R546">
        <f t="shared" si="986"/>
        <v>3693008523.6620793</v>
      </c>
      <c r="S546">
        <f t="shared" si="987"/>
        <v>36930.085236620791</v>
      </c>
      <c r="T546">
        <f t="shared" si="988"/>
        <v>36.930085236620791</v>
      </c>
    </row>
    <row r="547" spans="1:20" x14ac:dyDescent="0.25">
      <c r="A547" s="5">
        <v>44046</v>
      </c>
      <c r="B547">
        <v>1.7840000000000002E-2</v>
      </c>
      <c r="C547">
        <v>1.831E-2</v>
      </c>
      <c r="D547">
        <v>1.7409999999999998E-2</v>
      </c>
      <c r="E547">
        <v>1.754E-2</v>
      </c>
      <c r="F547">
        <v>268798003.69999999</v>
      </c>
      <c r="G547">
        <v>0</v>
      </c>
      <c r="L547" t="s">
        <v>8</v>
      </c>
      <c r="M547" t="s">
        <v>8</v>
      </c>
      <c r="N547" t="s">
        <v>7</v>
      </c>
      <c r="P547">
        <f t="shared" si="984"/>
        <v>-0.71111111111110792</v>
      </c>
      <c r="Q547">
        <f t="shared" si="985"/>
        <v>-191145247.0755547</v>
      </c>
      <c r="R547">
        <f t="shared" si="986"/>
        <v>3476192847.5224962</v>
      </c>
      <c r="S547">
        <f t="shared" si="987"/>
        <v>34761.928475224959</v>
      </c>
      <c r="T547">
        <f t="shared" si="988"/>
        <v>34.761928475224956</v>
      </c>
    </row>
    <row r="548" spans="1:20" x14ac:dyDescent="0.25">
      <c r="A548" s="5">
        <v>44045</v>
      </c>
      <c r="B548">
        <v>1.864E-2</v>
      </c>
      <c r="C548">
        <v>1.8880000000000001E-2</v>
      </c>
      <c r="D548">
        <v>1.4840000000000001E-2</v>
      </c>
      <c r="E548">
        <v>1.7819999999999999E-2</v>
      </c>
      <c r="F548">
        <v>445479537.60000002</v>
      </c>
      <c r="G548">
        <v>0</v>
      </c>
      <c r="L548" t="s">
        <v>7</v>
      </c>
      <c r="M548" t="s">
        <v>7</v>
      </c>
      <c r="N548" t="s">
        <v>7</v>
      </c>
      <c r="P548">
        <f t="shared" si="984"/>
        <v>0.47524752475247434</v>
      </c>
      <c r="Q548">
        <f t="shared" si="985"/>
        <v>211713047.57227683</v>
      </c>
      <c r="R548">
        <f t="shared" si="986"/>
        <v>3667338094.5980511</v>
      </c>
      <c r="S548">
        <f t="shared" si="987"/>
        <v>36673.380945980512</v>
      </c>
      <c r="T548">
        <f t="shared" si="988"/>
        <v>36.673380945980512</v>
      </c>
    </row>
    <row r="549" spans="1:20" x14ac:dyDescent="0.25">
      <c r="A549" s="5">
        <v>44044</v>
      </c>
      <c r="B549">
        <v>1.7989999999999999E-2</v>
      </c>
      <c r="C549">
        <v>1.8759999999999999E-2</v>
      </c>
      <c r="D549">
        <v>1.788E-2</v>
      </c>
      <c r="E549">
        <v>1.8669999999999999E-2</v>
      </c>
      <c r="F549">
        <v>379529027.60000002</v>
      </c>
      <c r="G549">
        <v>0</v>
      </c>
      <c r="L549" t="s">
        <v>7</v>
      </c>
      <c r="M549" t="s">
        <v>8</v>
      </c>
      <c r="N549" t="s">
        <v>8</v>
      </c>
      <c r="P549">
        <f t="shared" si="984"/>
        <v>0.79545454545454564</v>
      </c>
      <c r="Q549">
        <f t="shared" si="985"/>
        <v>301898090.13636374</v>
      </c>
      <c r="R549">
        <f t="shared" si="986"/>
        <v>3455625047.025774</v>
      </c>
      <c r="S549">
        <f t="shared" si="987"/>
        <v>34556.250470257743</v>
      </c>
      <c r="T549">
        <f t="shared" si="988"/>
        <v>34.556250470257744</v>
      </c>
    </row>
    <row r="550" spans="1:20" x14ac:dyDescent="0.25">
      <c r="A550" s="5">
        <v>44043</v>
      </c>
      <c r="B550">
        <v>1.8159999999999999E-2</v>
      </c>
      <c r="C550">
        <v>1.899E-2</v>
      </c>
      <c r="D550">
        <v>1.7739999999999999E-2</v>
      </c>
      <c r="E550">
        <v>1.7989999999999999E-2</v>
      </c>
      <c r="F550">
        <v>264950351.80000001</v>
      </c>
      <c r="G550">
        <v>0</v>
      </c>
      <c r="L550" t="s">
        <v>7</v>
      </c>
      <c r="M550" t="s">
        <v>8</v>
      </c>
      <c r="N550" t="s">
        <v>8</v>
      </c>
      <c r="P550">
        <f t="shared" si="984"/>
        <v>-0.6</v>
      </c>
      <c r="Q550">
        <f t="shared" si="985"/>
        <v>-158970211.08000001</v>
      </c>
      <c r="R550">
        <f t="shared" si="986"/>
        <v>3153726956.88941</v>
      </c>
      <c r="S550">
        <f t="shared" si="987"/>
        <v>31537.269568894098</v>
      </c>
      <c r="T550">
        <f t="shared" si="988"/>
        <v>31.5372695688941</v>
      </c>
    </row>
    <row r="551" spans="1:20" x14ac:dyDescent="0.25">
      <c r="A551" s="5">
        <v>44042</v>
      </c>
      <c r="B551">
        <v>1.7649999999999999E-2</v>
      </c>
      <c r="C551">
        <v>1.992E-2</v>
      </c>
      <c r="D551">
        <v>1.7440000000000001E-2</v>
      </c>
      <c r="E551">
        <v>1.8190000000000001E-2</v>
      </c>
      <c r="F551">
        <v>499608203.80000001</v>
      </c>
      <c r="G551">
        <v>0</v>
      </c>
      <c r="L551" t="s">
        <v>8</v>
      </c>
      <c r="M551" t="s">
        <v>8</v>
      </c>
      <c r="N551" t="s">
        <v>8</v>
      </c>
      <c r="P551">
        <f t="shared" si="984"/>
        <v>-0.39516129032258002</v>
      </c>
      <c r="Q551">
        <f t="shared" si="985"/>
        <v>-197425822.46935454</v>
      </c>
      <c r="R551">
        <f t="shared" si="986"/>
        <v>3312697167.9694099</v>
      </c>
      <c r="S551">
        <f t="shared" si="987"/>
        <v>33126.971679694099</v>
      </c>
      <c r="T551">
        <f t="shared" si="988"/>
        <v>33.126971679694101</v>
      </c>
    </row>
    <row r="552" spans="1:20" x14ac:dyDescent="0.25">
      <c r="A552" s="5">
        <v>44041</v>
      </c>
      <c r="B552">
        <v>1.7999999999999999E-2</v>
      </c>
      <c r="C552">
        <v>1.8370000000000001E-2</v>
      </c>
      <c r="D552">
        <v>1.7569999999999999E-2</v>
      </c>
      <c r="E552">
        <v>1.7670000000000002E-2</v>
      </c>
      <c r="F552">
        <v>289460703.60000002</v>
      </c>
      <c r="G552">
        <v>0</v>
      </c>
      <c r="L552" t="s">
        <v>8</v>
      </c>
      <c r="M552" t="s">
        <v>7</v>
      </c>
      <c r="N552" t="s">
        <v>8</v>
      </c>
      <c r="P552">
        <f t="shared" si="984"/>
        <v>-0.74999999999999345</v>
      </c>
      <c r="Q552">
        <f t="shared" si="985"/>
        <v>-217095527.69999811</v>
      </c>
      <c r="R552">
        <f t="shared" si="986"/>
        <v>3510122990.4387646</v>
      </c>
      <c r="S552">
        <f t="shared" si="987"/>
        <v>35101.229904387648</v>
      </c>
      <c r="T552">
        <f t="shared" si="988"/>
        <v>35.101229904387651</v>
      </c>
    </row>
    <row r="553" spans="1:20" x14ac:dyDescent="0.25">
      <c r="A553" s="5">
        <v>44040</v>
      </c>
      <c r="B553">
        <v>1.6930000000000001E-2</v>
      </c>
      <c r="C553">
        <v>1.806E-2</v>
      </c>
      <c r="D553">
        <v>1.6709999999999999E-2</v>
      </c>
      <c r="E553">
        <v>1.7999999999999999E-2</v>
      </c>
      <c r="F553">
        <v>348159127.80000001</v>
      </c>
      <c r="G553">
        <v>0</v>
      </c>
      <c r="L553" t="s">
        <v>8</v>
      </c>
      <c r="M553" t="s">
        <v>7</v>
      </c>
      <c r="N553" t="s">
        <v>8</v>
      </c>
      <c r="P553">
        <f t="shared" si="984"/>
        <v>0.91111111111110965</v>
      </c>
      <c r="Q553">
        <f t="shared" si="985"/>
        <v>317211649.77333283</v>
      </c>
      <c r="R553">
        <f t="shared" si="986"/>
        <v>3727218518.1387625</v>
      </c>
      <c r="S553">
        <f t="shared" si="987"/>
        <v>37272.185181387627</v>
      </c>
      <c r="T553">
        <f t="shared" si="988"/>
        <v>37.272185181387627</v>
      </c>
    </row>
    <row r="554" spans="1:20" x14ac:dyDescent="0.25">
      <c r="A554" s="5">
        <v>44039</v>
      </c>
      <c r="B554">
        <v>1.797E-2</v>
      </c>
      <c r="C554">
        <v>1.8079999999999999E-2</v>
      </c>
      <c r="D554">
        <v>1.6299999999999999E-2</v>
      </c>
      <c r="E554">
        <v>1.6920000000000001E-2</v>
      </c>
      <c r="F554">
        <v>553047177.10000002</v>
      </c>
      <c r="G554">
        <v>0</v>
      </c>
      <c r="L554" t="s">
        <v>7</v>
      </c>
      <c r="M554" t="s">
        <v>7</v>
      </c>
      <c r="N554" t="s">
        <v>8</v>
      </c>
      <c r="P554">
        <f t="shared" si="984"/>
        <v>-0.30337078651685129</v>
      </c>
      <c r="Q554">
        <f t="shared" si="985"/>
        <v>-167778357.09775135</v>
      </c>
      <c r="R554">
        <f t="shared" si="986"/>
        <v>3410006868.3654294</v>
      </c>
      <c r="S554">
        <f t="shared" si="987"/>
        <v>34100.068683654295</v>
      </c>
      <c r="T554">
        <f t="shared" si="988"/>
        <v>34.100068683654293</v>
      </c>
    </row>
    <row r="555" spans="1:20" x14ac:dyDescent="0.25">
      <c r="A555" s="5">
        <v>44038</v>
      </c>
      <c r="B555">
        <v>1.857E-2</v>
      </c>
      <c r="C555">
        <v>1.8620000000000001E-2</v>
      </c>
      <c r="D555">
        <v>1.7579999999999998E-2</v>
      </c>
      <c r="E555">
        <v>1.7979999999999999E-2</v>
      </c>
      <c r="F555">
        <v>265120459.19999999</v>
      </c>
      <c r="G555">
        <v>0</v>
      </c>
      <c r="L555" t="s">
        <v>7</v>
      </c>
      <c r="M555" t="s">
        <v>7</v>
      </c>
      <c r="N555" t="s">
        <v>8</v>
      </c>
      <c r="P555">
        <f t="shared" si="984"/>
        <v>-0.23076923076923078</v>
      </c>
      <c r="Q555">
        <f t="shared" si="985"/>
        <v>-61181644.430769235</v>
      </c>
      <c r="R555">
        <f t="shared" si="986"/>
        <v>3577785225.4631805</v>
      </c>
      <c r="S555">
        <f t="shared" si="987"/>
        <v>35777.852254631805</v>
      </c>
      <c r="T555">
        <f t="shared" si="988"/>
        <v>35.777852254631803</v>
      </c>
    </row>
    <row r="556" spans="1:20" x14ac:dyDescent="0.25">
      <c r="A556" s="5">
        <v>44037</v>
      </c>
      <c r="B556">
        <v>1.8440000000000002E-2</v>
      </c>
      <c r="C556">
        <v>1.8720000000000001E-2</v>
      </c>
      <c r="D556">
        <v>1.8280000000000001E-2</v>
      </c>
      <c r="E556">
        <v>1.8579999999999999E-2</v>
      </c>
      <c r="F556">
        <v>239441644.59999999</v>
      </c>
      <c r="G556">
        <v>0</v>
      </c>
      <c r="L556" t="s">
        <v>7</v>
      </c>
      <c r="M556" t="s">
        <v>7</v>
      </c>
      <c r="N556" t="s">
        <v>8</v>
      </c>
      <c r="P556">
        <f t="shared" si="984"/>
        <v>0.36363636363635721</v>
      </c>
      <c r="Q556">
        <f t="shared" si="985"/>
        <v>87069688.945453003</v>
      </c>
      <c r="R556">
        <f t="shared" si="986"/>
        <v>3638966869.89395</v>
      </c>
      <c r="S556">
        <f t="shared" si="987"/>
        <v>36389.668698939502</v>
      </c>
      <c r="T556">
        <f t="shared" si="988"/>
        <v>36.389668698939502</v>
      </c>
    </row>
    <row r="557" spans="1:20" x14ac:dyDescent="0.25">
      <c r="A557" s="5">
        <v>44036</v>
      </c>
      <c r="B557">
        <v>1.9619999999999999E-2</v>
      </c>
      <c r="C557">
        <v>1.9640000000000001E-2</v>
      </c>
      <c r="D557">
        <v>1.8200000000000001E-2</v>
      </c>
      <c r="E557">
        <v>1.8429999999999998E-2</v>
      </c>
      <c r="F557">
        <v>224395262.30000001</v>
      </c>
      <c r="G557">
        <v>0</v>
      </c>
      <c r="L557" t="s">
        <v>7</v>
      </c>
      <c r="M557" t="s">
        <v>7</v>
      </c>
      <c r="N557" t="s">
        <v>8</v>
      </c>
      <c r="P557">
        <f t="shared" si="984"/>
        <v>-0.68055555555555902</v>
      </c>
      <c r="Q557">
        <f t="shared" si="985"/>
        <v>-152713442.3986119</v>
      </c>
      <c r="R557">
        <f t="shared" si="986"/>
        <v>3551897180.9484968</v>
      </c>
      <c r="S557">
        <f t="shared" si="987"/>
        <v>35518.971809484967</v>
      </c>
      <c r="T557">
        <f t="shared" si="988"/>
        <v>35.518971809484967</v>
      </c>
    </row>
    <row r="558" spans="1:20" x14ac:dyDescent="0.25">
      <c r="A558" s="5">
        <v>44035</v>
      </c>
      <c r="B558">
        <v>1.8790000000000001E-2</v>
      </c>
      <c r="C558">
        <v>1.9779999999999999E-2</v>
      </c>
      <c r="D558">
        <v>1.8579999999999999E-2</v>
      </c>
      <c r="E558">
        <v>1.9650000000000001E-2</v>
      </c>
      <c r="F558">
        <v>316630409.19999999</v>
      </c>
      <c r="G558">
        <v>0</v>
      </c>
      <c r="L558" t="s">
        <v>8</v>
      </c>
      <c r="M558" t="s">
        <v>7</v>
      </c>
      <c r="N558" t="s">
        <v>8</v>
      </c>
      <c r="P558">
        <f t="shared" si="984"/>
        <v>0.78333333333333632</v>
      </c>
      <c r="Q558">
        <f t="shared" si="985"/>
        <v>248027153.87333426</v>
      </c>
      <c r="R558">
        <f t="shared" si="986"/>
        <v>3704610623.3471088</v>
      </c>
      <c r="S558">
        <f t="shared" si="987"/>
        <v>37046.106233471088</v>
      </c>
      <c r="T558">
        <f t="shared" si="988"/>
        <v>37.046106233471086</v>
      </c>
    </row>
    <row r="559" spans="1:20" x14ac:dyDescent="0.25">
      <c r="A559" s="5">
        <v>44034</v>
      </c>
      <c r="B559">
        <v>1.7989999999999999E-2</v>
      </c>
      <c r="C559">
        <v>1.8859999999999998E-2</v>
      </c>
      <c r="D559">
        <v>1.7639999999999999E-2</v>
      </c>
      <c r="E559">
        <v>1.882E-2</v>
      </c>
      <c r="F559">
        <v>219201824</v>
      </c>
      <c r="G559">
        <v>0</v>
      </c>
      <c r="L559" t="s">
        <v>8</v>
      </c>
      <c r="M559" t="s">
        <v>7</v>
      </c>
      <c r="N559" t="s">
        <v>8</v>
      </c>
      <c r="P559">
        <f t="shared" si="984"/>
        <v>0.93442622950819931</v>
      </c>
      <c r="Q559">
        <f t="shared" si="985"/>
        <v>204827933.90163991</v>
      </c>
      <c r="R559">
        <f t="shared" si="986"/>
        <v>3456583469.4737744</v>
      </c>
      <c r="S559">
        <f t="shared" si="987"/>
        <v>34565.834694737743</v>
      </c>
      <c r="T559">
        <f t="shared" si="988"/>
        <v>34.565834694737745</v>
      </c>
    </row>
    <row r="560" spans="1:20" x14ac:dyDescent="0.25">
      <c r="A560" s="5">
        <v>44033</v>
      </c>
      <c r="B560">
        <v>1.7229999999999999E-2</v>
      </c>
      <c r="C560">
        <v>1.8249999999999999E-2</v>
      </c>
      <c r="D560">
        <v>1.7229999999999999E-2</v>
      </c>
      <c r="E560">
        <v>1.7989999999999999E-2</v>
      </c>
      <c r="F560">
        <v>201197811</v>
      </c>
      <c r="G560">
        <v>0</v>
      </c>
      <c r="L560" t="s">
        <v>8</v>
      </c>
      <c r="M560" t="s">
        <v>7</v>
      </c>
      <c r="N560" t="s">
        <v>8</v>
      </c>
      <c r="P560">
        <f t="shared" si="984"/>
        <v>0.49019607843137297</v>
      </c>
      <c r="Q560">
        <f t="shared" si="985"/>
        <v>98626377.941176549</v>
      </c>
      <c r="R560">
        <f t="shared" si="986"/>
        <v>3251755535.5721345</v>
      </c>
      <c r="S560">
        <f t="shared" si="987"/>
        <v>32517.555355721346</v>
      </c>
      <c r="T560">
        <f t="shared" si="988"/>
        <v>32.517555355721349</v>
      </c>
    </row>
    <row r="561" spans="1:104" x14ac:dyDescent="0.25">
      <c r="A561" s="5">
        <v>44032</v>
      </c>
      <c r="B561">
        <v>1.7930000000000001E-2</v>
      </c>
      <c r="C561">
        <v>1.796E-2</v>
      </c>
      <c r="D561">
        <v>1.6820000000000002E-2</v>
      </c>
      <c r="E561">
        <v>1.7250000000000001E-2</v>
      </c>
      <c r="F561">
        <v>172166025.59999999</v>
      </c>
      <c r="G561">
        <v>0</v>
      </c>
      <c r="L561" t="s">
        <v>7</v>
      </c>
      <c r="M561" t="s">
        <v>7</v>
      </c>
      <c r="N561" t="s">
        <v>8</v>
      </c>
      <c r="P561">
        <f t="shared" si="984"/>
        <v>-0.2456140350877187</v>
      </c>
      <c r="Q561">
        <f t="shared" si="985"/>
        <v>-42286392.252631478</v>
      </c>
      <c r="R561">
        <f t="shared" si="986"/>
        <v>3153129157.6309581</v>
      </c>
      <c r="S561">
        <f t="shared" si="987"/>
        <v>31531.291576309581</v>
      </c>
      <c r="T561">
        <f t="shared" si="988"/>
        <v>31.531291576309581</v>
      </c>
      <c r="CZ561" t="s">
        <v>7</v>
      </c>
    </row>
    <row r="562" spans="1:104" x14ac:dyDescent="0.25">
      <c r="A562" s="5">
        <v>44031</v>
      </c>
      <c r="B562">
        <v>1.7909999999999999E-2</v>
      </c>
      <c r="C562">
        <v>1.8249999999999999E-2</v>
      </c>
      <c r="D562">
        <v>1.7469999999999999E-2</v>
      </c>
      <c r="E562">
        <v>1.7899999999999999E-2</v>
      </c>
      <c r="F562">
        <v>124777352.7</v>
      </c>
      <c r="G562">
        <v>0</v>
      </c>
      <c r="L562" t="s">
        <v>8</v>
      </c>
      <c r="M562" t="s">
        <v>7</v>
      </c>
      <c r="N562" t="s">
        <v>8</v>
      </c>
      <c r="P562">
        <f t="shared" si="984"/>
        <v>0.10256410256410291</v>
      </c>
      <c r="Q562">
        <f t="shared" si="985"/>
        <v>12797677.200000044</v>
      </c>
      <c r="R562">
        <f t="shared" si="986"/>
        <v>3195415549.8835897</v>
      </c>
      <c r="S562">
        <f t="shared" si="987"/>
        <v>31954.155498835898</v>
      </c>
      <c r="T562">
        <f t="shared" si="988"/>
        <v>31.954155498835899</v>
      </c>
      <c r="CZ562" t="s">
        <v>7</v>
      </c>
    </row>
    <row r="563" spans="1:104" x14ac:dyDescent="0.25">
      <c r="A563" s="5">
        <v>44030</v>
      </c>
      <c r="B563">
        <v>1.8100000000000002E-2</v>
      </c>
      <c r="C563">
        <v>1.821E-2</v>
      </c>
      <c r="D563">
        <v>1.77E-2</v>
      </c>
      <c r="E563">
        <v>1.7899999999999999E-2</v>
      </c>
      <c r="F563">
        <v>112550501.59999999</v>
      </c>
      <c r="G563">
        <v>0</v>
      </c>
      <c r="L563" t="s">
        <v>8</v>
      </c>
      <c r="M563" t="s">
        <v>7</v>
      </c>
      <c r="N563" t="s">
        <v>8</v>
      </c>
      <c r="P563">
        <f t="shared" si="984"/>
        <v>-0.21568627450980873</v>
      </c>
      <c r="Q563">
        <f t="shared" si="985"/>
        <v>-24275598.384314265</v>
      </c>
      <c r="R563">
        <f t="shared" si="986"/>
        <v>3182617872.6835899</v>
      </c>
      <c r="S563">
        <f t="shared" si="987"/>
        <v>31826.1787268359</v>
      </c>
      <c r="T563">
        <f t="shared" si="988"/>
        <v>31.826178726835899</v>
      </c>
      <c r="CZ563" t="s">
        <v>7</v>
      </c>
    </row>
    <row r="564" spans="1:104" x14ac:dyDescent="0.25">
      <c r="A564" s="5">
        <v>44029</v>
      </c>
      <c r="B564">
        <v>1.8010000000000002E-2</v>
      </c>
      <c r="C564">
        <v>1.8579999999999999E-2</v>
      </c>
      <c r="D564">
        <v>1.7680000000000001E-2</v>
      </c>
      <c r="E564">
        <v>1.8100000000000002E-2</v>
      </c>
      <c r="F564">
        <v>182223630.69999999</v>
      </c>
      <c r="G564">
        <v>0</v>
      </c>
      <c r="L564" t="s">
        <v>8</v>
      </c>
      <c r="M564" t="s">
        <v>7</v>
      </c>
      <c r="N564" t="s">
        <v>8</v>
      </c>
      <c r="P564">
        <f t="shared" si="984"/>
        <v>-6.6666666666664098E-2</v>
      </c>
      <c r="Q564">
        <f t="shared" si="985"/>
        <v>-12148242.046666197</v>
      </c>
      <c r="R564">
        <f t="shared" si="986"/>
        <v>3206893471.067904</v>
      </c>
      <c r="S564">
        <f t="shared" si="987"/>
        <v>32068.934710679041</v>
      </c>
      <c r="T564">
        <f t="shared" si="988"/>
        <v>32.068934710679038</v>
      </c>
    </row>
    <row r="565" spans="1:104" x14ac:dyDescent="0.25">
      <c r="A565" s="5">
        <v>44028</v>
      </c>
      <c r="B565">
        <v>1.9120000000000002E-2</v>
      </c>
      <c r="C565">
        <v>1.9120000000000002E-2</v>
      </c>
      <c r="D565">
        <v>1.7219999999999999E-2</v>
      </c>
      <c r="E565">
        <v>1.7999999999999999E-2</v>
      </c>
      <c r="F565">
        <v>375007857.19999999</v>
      </c>
      <c r="G565">
        <v>0</v>
      </c>
      <c r="L565" t="s">
        <v>7</v>
      </c>
      <c r="M565" t="s">
        <v>7</v>
      </c>
      <c r="N565" t="s">
        <v>8</v>
      </c>
      <c r="P565">
        <f t="shared" si="984"/>
        <v>-0.17894736842105424</v>
      </c>
      <c r="Q565">
        <f t="shared" si="985"/>
        <v>-67106669.183158495</v>
      </c>
      <c r="R565">
        <f t="shared" si="986"/>
        <v>3219041713.1145701</v>
      </c>
      <c r="S565">
        <f t="shared" si="987"/>
        <v>32190.417131145703</v>
      </c>
      <c r="T565">
        <f t="shared" si="988"/>
        <v>32.190417131145701</v>
      </c>
    </row>
    <row r="566" spans="1:104" x14ac:dyDescent="0.25">
      <c r="A566" s="5">
        <v>44027</v>
      </c>
      <c r="B566">
        <v>1.983E-2</v>
      </c>
      <c r="C566">
        <v>2.0049999999999998E-2</v>
      </c>
      <c r="D566">
        <v>1.9E-2</v>
      </c>
      <c r="E566">
        <v>1.9120000000000002E-2</v>
      </c>
      <c r="F566">
        <v>156984892.30000001</v>
      </c>
      <c r="G566">
        <v>0</v>
      </c>
      <c r="L566" t="s">
        <v>7</v>
      </c>
      <c r="M566" t="s">
        <v>8</v>
      </c>
      <c r="N566" t="s">
        <v>8</v>
      </c>
      <c r="P566">
        <f t="shared" si="984"/>
        <v>-0.77142857142856724</v>
      </c>
      <c r="Q566">
        <f t="shared" si="985"/>
        <v>-121102631.2028565</v>
      </c>
      <c r="R566">
        <f t="shared" si="986"/>
        <v>3286148382.2977285</v>
      </c>
      <c r="S566">
        <f t="shared" si="987"/>
        <v>32861.483822977287</v>
      </c>
      <c r="T566">
        <f t="shared" si="988"/>
        <v>32.861483822977284</v>
      </c>
    </row>
    <row r="567" spans="1:104" x14ac:dyDescent="0.25">
      <c r="A567" s="5">
        <v>44026</v>
      </c>
      <c r="B567">
        <v>2.0029999999999999E-2</v>
      </c>
      <c r="C567">
        <v>2.01E-2</v>
      </c>
      <c r="D567">
        <v>1.9259999999999999E-2</v>
      </c>
      <c r="E567">
        <v>1.9779999999999999E-2</v>
      </c>
      <c r="F567">
        <v>164376408.40000001</v>
      </c>
      <c r="G567">
        <v>0</v>
      </c>
      <c r="L567" t="s">
        <v>7</v>
      </c>
      <c r="M567" t="s">
        <v>8</v>
      </c>
      <c r="N567" t="s">
        <v>8</v>
      </c>
      <c r="P567">
        <f t="shared" si="984"/>
        <v>0.23809523809523653</v>
      </c>
      <c r="Q567">
        <f t="shared" si="985"/>
        <v>39137240.095237836</v>
      </c>
      <c r="R567">
        <f t="shared" si="986"/>
        <v>3407251013.5005851</v>
      </c>
      <c r="S567">
        <f t="shared" si="987"/>
        <v>34072.510135005854</v>
      </c>
      <c r="T567">
        <f t="shared" si="988"/>
        <v>34.072510135005857</v>
      </c>
    </row>
    <row r="568" spans="1:104" x14ac:dyDescent="0.25">
      <c r="A568" s="5">
        <v>44025</v>
      </c>
      <c r="B568">
        <v>1.9449999999999999E-2</v>
      </c>
      <c r="C568">
        <v>2.1000000000000001E-2</v>
      </c>
      <c r="D568">
        <v>1.9E-2</v>
      </c>
      <c r="E568">
        <v>2.0029999999999999E-2</v>
      </c>
      <c r="F568">
        <v>421810016.60000002</v>
      </c>
      <c r="G568">
        <v>0</v>
      </c>
      <c r="L568" t="s">
        <v>8</v>
      </c>
      <c r="M568" t="s">
        <v>8</v>
      </c>
      <c r="N568" t="s">
        <v>8</v>
      </c>
      <c r="P568">
        <f t="shared" si="984"/>
        <v>2.999999999999875E-2</v>
      </c>
      <c r="Q568">
        <f t="shared" si="985"/>
        <v>12654300.497999473</v>
      </c>
      <c r="R568">
        <f t="shared" si="986"/>
        <v>3368113773.4053473</v>
      </c>
      <c r="S568">
        <f t="shared" si="987"/>
        <v>33681.137734053475</v>
      </c>
      <c r="T568">
        <f t="shared" si="988"/>
        <v>33.681137734053472</v>
      </c>
    </row>
    <row r="569" spans="1:104" x14ac:dyDescent="0.25">
      <c r="A569" s="5">
        <v>44024</v>
      </c>
      <c r="B569">
        <v>0.02</v>
      </c>
      <c r="C569">
        <v>2.0140000000000002E-2</v>
      </c>
      <c r="D569">
        <v>1.9179999999999999E-2</v>
      </c>
      <c r="E569">
        <v>1.9449999999999999E-2</v>
      </c>
      <c r="F569">
        <v>163829946.80000001</v>
      </c>
      <c r="G569">
        <v>0</v>
      </c>
      <c r="L569" t="s">
        <v>8</v>
      </c>
      <c r="M569" t="s">
        <v>8</v>
      </c>
      <c r="N569" t="s">
        <v>8</v>
      </c>
      <c r="P569">
        <f t="shared" si="984"/>
        <v>-0.43750000000000272</v>
      </c>
      <c r="Q569">
        <f t="shared" si="985"/>
        <v>-71675601.725000456</v>
      </c>
      <c r="R569">
        <f t="shared" si="986"/>
        <v>3355459472.9073477</v>
      </c>
      <c r="S569">
        <f t="shared" si="987"/>
        <v>33554.594729073477</v>
      </c>
      <c r="T569">
        <f t="shared" si="988"/>
        <v>33.554594729073479</v>
      </c>
    </row>
    <row r="570" spans="1:104" x14ac:dyDescent="0.25">
      <c r="A570" s="5">
        <v>44023</v>
      </c>
      <c r="B570">
        <v>1.9689999999999999E-2</v>
      </c>
      <c r="C570">
        <v>2.0400000000000001E-2</v>
      </c>
      <c r="D570">
        <v>1.9470000000000001E-2</v>
      </c>
      <c r="E570">
        <v>2.001E-2</v>
      </c>
      <c r="F570">
        <v>180931385.5</v>
      </c>
      <c r="G570">
        <v>0</v>
      </c>
      <c r="L570" t="s">
        <v>8</v>
      </c>
      <c r="M570" t="s">
        <v>8</v>
      </c>
      <c r="N570" t="s">
        <v>8</v>
      </c>
      <c r="P570">
        <f t="shared" si="984"/>
        <v>0.16129032258064227</v>
      </c>
      <c r="Q570">
        <f t="shared" si="985"/>
        <v>29182481.532257542</v>
      </c>
      <c r="R570">
        <f t="shared" si="986"/>
        <v>3427135074.6323481</v>
      </c>
      <c r="S570">
        <f t="shared" si="987"/>
        <v>34271.350746323478</v>
      </c>
      <c r="T570">
        <f t="shared" si="988"/>
        <v>34.271350746323478</v>
      </c>
    </row>
    <row r="571" spans="1:104" x14ac:dyDescent="0.25">
      <c r="A571" s="5">
        <v>44022</v>
      </c>
      <c r="B571">
        <v>1.983E-2</v>
      </c>
      <c r="C571">
        <v>1.9980000000000001E-2</v>
      </c>
      <c r="D571">
        <v>1.866E-2</v>
      </c>
      <c r="E571">
        <v>1.967E-2</v>
      </c>
      <c r="F571">
        <v>230657953.59999999</v>
      </c>
      <c r="G571">
        <v>0</v>
      </c>
      <c r="L571" t="s">
        <v>7</v>
      </c>
      <c r="M571" t="s">
        <v>8</v>
      </c>
      <c r="N571" t="s">
        <v>8</v>
      </c>
      <c r="P571">
        <f t="shared" si="984"/>
        <v>0.53030303030302905</v>
      </c>
      <c r="Q571">
        <f t="shared" si="985"/>
        <v>122318611.75757547</v>
      </c>
      <c r="R571">
        <f t="shared" si="986"/>
        <v>3397952593.1000905</v>
      </c>
      <c r="S571">
        <f t="shared" si="987"/>
        <v>33979.525931000906</v>
      </c>
      <c r="T571">
        <f t="shared" si="988"/>
        <v>33.979525931000907</v>
      </c>
    </row>
    <row r="572" spans="1:104" x14ac:dyDescent="0.25">
      <c r="A572" s="5">
        <v>44021</v>
      </c>
      <c r="B572">
        <v>2.087E-2</v>
      </c>
      <c r="C572">
        <v>2.0959999999999999E-2</v>
      </c>
      <c r="D572">
        <v>1.9179999999999999E-2</v>
      </c>
      <c r="E572">
        <v>1.9800000000000002E-2</v>
      </c>
      <c r="F572">
        <v>369811666.10000002</v>
      </c>
      <c r="G572">
        <v>0</v>
      </c>
      <c r="L572" t="s">
        <v>7</v>
      </c>
      <c r="M572" t="s">
        <v>8</v>
      </c>
      <c r="N572" t="s">
        <v>8</v>
      </c>
      <c r="P572">
        <f t="shared" si="984"/>
        <v>-0.30337078651685129</v>
      </c>
      <c r="Q572">
        <f t="shared" si="985"/>
        <v>-112190056.00786419</v>
      </c>
      <c r="R572">
        <f t="shared" si="986"/>
        <v>3275633981.342515</v>
      </c>
      <c r="S572">
        <f t="shared" si="987"/>
        <v>32756.339813425151</v>
      </c>
      <c r="T572">
        <f t="shared" si="988"/>
        <v>32.75633981342515</v>
      </c>
    </row>
    <row r="573" spans="1:104" x14ac:dyDescent="0.25">
      <c r="A573" s="5">
        <v>44020</v>
      </c>
      <c r="B573">
        <v>2.0420000000000001E-2</v>
      </c>
      <c r="C573">
        <v>2.1329999999999998E-2</v>
      </c>
      <c r="D573">
        <v>2.0199999999999999E-2</v>
      </c>
      <c r="E573">
        <v>2.0879999999999999E-2</v>
      </c>
      <c r="F573">
        <v>522745131</v>
      </c>
      <c r="G573">
        <v>0</v>
      </c>
      <c r="L573" t="s">
        <v>8</v>
      </c>
      <c r="M573" t="s">
        <v>8</v>
      </c>
      <c r="N573" t="s">
        <v>8</v>
      </c>
      <c r="P573">
        <f t="shared" si="984"/>
        <v>0.20353982300885065</v>
      </c>
      <c r="Q573">
        <f t="shared" si="985"/>
        <v>106399451.44247845</v>
      </c>
      <c r="R573">
        <f t="shared" si="986"/>
        <v>3387824037.350379</v>
      </c>
      <c r="S573">
        <f t="shared" si="987"/>
        <v>33878.240373503788</v>
      </c>
      <c r="T573">
        <f t="shared" si="988"/>
        <v>33.878240373503786</v>
      </c>
    </row>
    <row r="574" spans="1:104" x14ac:dyDescent="0.25">
      <c r="A574" s="5">
        <v>44019</v>
      </c>
      <c r="B574">
        <v>1.9019999999999999E-2</v>
      </c>
      <c r="C574">
        <v>2.0809999999999999E-2</v>
      </c>
      <c r="D574">
        <v>1.8679999999999999E-2</v>
      </c>
      <c r="E574">
        <v>2.0420000000000001E-2</v>
      </c>
      <c r="F574">
        <v>529625106.5</v>
      </c>
      <c r="G574">
        <v>0</v>
      </c>
      <c r="L574" t="s">
        <v>8</v>
      </c>
      <c r="M574" t="s">
        <v>8</v>
      </c>
      <c r="N574" t="s">
        <v>8</v>
      </c>
      <c r="P574">
        <f t="shared" si="984"/>
        <v>0.63380281690141038</v>
      </c>
      <c r="Q574">
        <f t="shared" si="985"/>
        <v>335677884.40140945</v>
      </c>
      <c r="R574">
        <f t="shared" si="986"/>
        <v>3281424585.9079003</v>
      </c>
      <c r="S574">
        <f t="shared" si="987"/>
        <v>32814.245859079005</v>
      </c>
      <c r="T574">
        <f t="shared" si="988"/>
        <v>32.814245859079001</v>
      </c>
    </row>
    <row r="575" spans="1:104" x14ac:dyDescent="0.25">
      <c r="A575" s="5">
        <v>44018</v>
      </c>
      <c r="B575">
        <v>1.864E-2</v>
      </c>
      <c r="C575">
        <v>1.934E-2</v>
      </c>
      <c r="D575">
        <v>1.8440000000000002E-2</v>
      </c>
      <c r="E575">
        <v>1.9019999999999999E-2</v>
      </c>
      <c r="F575">
        <v>313009598.39999998</v>
      </c>
      <c r="G575">
        <v>0</v>
      </c>
      <c r="L575" t="s">
        <v>8</v>
      </c>
      <c r="M575" t="s">
        <v>8</v>
      </c>
      <c r="N575" t="s">
        <v>7</v>
      </c>
      <c r="P575">
        <f t="shared" si="984"/>
        <v>0.28888888888888548</v>
      </c>
      <c r="Q575">
        <f t="shared" si="985"/>
        <v>90424995.093332261</v>
      </c>
      <c r="R575">
        <f t="shared" si="986"/>
        <v>2945746701.5064907</v>
      </c>
      <c r="S575">
        <f t="shared" si="987"/>
        <v>29457.467015064907</v>
      </c>
      <c r="T575">
        <f t="shared" si="988"/>
        <v>29.457467015064907</v>
      </c>
    </row>
    <row r="576" spans="1:104" x14ac:dyDescent="0.25">
      <c r="A576" s="5">
        <v>44017</v>
      </c>
      <c r="B576">
        <v>1.9179999999999999E-2</v>
      </c>
      <c r="C576">
        <v>1.9439999999999999E-2</v>
      </c>
      <c r="D576">
        <v>1.7569999999999999E-2</v>
      </c>
      <c r="E576">
        <v>1.8689999999999998E-2</v>
      </c>
      <c r="F576">
        <v>576596174.89999998</v>
      </c>
      <c r="G576">
        <v>0</v>
      </c>
      <c r="L576" t="s">
        <v>7</v>
      </c>
      <c r="M576" t="s">
        <v>8</v>
      </c>
      <c r="N576" t="s">
        <v>7</v>
      </c>
      <c r="P576">
        <f t="shared" si="984"/>
        <v>0.19786096256684427</v>
      </c>
      <c r="Q576">
        <f t="shared" si="985"/>
        <v>114085874.17807448</v>
      </c>
      <c r="R576">
        <f t="shared" si="986"/>
        <v>2855321706.4131584</v>
      </c>
      <c r="S576">
        <f t="shared" si="987"/>
        <v>28553.217064131582</v>
      </c>
      <c r="T576">
        <f t="shared" si="988"/>
        <v>28.553217064131584</v>
      </c>
    </row>
    <row r="577" spans="1:20" x14ac:dyDescent="0.25">
      <c r="A577" s="5">
        <v>44016</v>
      </c>
      <c r="B577">
        <v>1.702E-2</v>
      </c>
      <c r="C577">
        <v>1.9550000000000001E-2</v>
      </c>
      <c r="D577">
        <v>1.6899999999999998E-2</v>
      </c>
      <c r="E577">
        <v>1.917E-2</v>
      </c>
      <c r="F577">
        <v>697538200.79999995</v>
      </c>
      <c r="G577">
        <v>0</v>
      </c>
      <c r="L577" t="s">
        <v>8</v>
      </c>
      <c r="M577" t="s">
        <v>8</v>
      </c>
      <c r="N577" t="s">
        <v>7</v>
      </c>
      <c r="P577">
        <f t="shared" si="984"/>
        <v>0.71320754716981027</v>
      </c>
      <c r="Q577">
        <f t="shared" si="985"/>
        <v>497489509.24981058</v>
      </c>
      <c r="R577">
        <f t="shared" si="986"/>
        <v>2741235832.2350841</v>
      </c>
      <c r="S577">
        <f t="shared" si="987"/>
        <v>27412.358322350839</v>
      </c>
      <c r="T577">
        <f t="shared" si="988"/>
        <v>27.41235832235084</v>
      </c>
    </row>
    <row r="578" spans="1:20" x14ac:dyDescent="0.25">
      <c r="A578" s="5">
        <v>44015</v>
      </c>
      <c r="B578">
        <v>1.7309999999999999E-2</v>
      </c>
      <c r="C578">
        <v>1.745E-2</v>
      </c>
      <c r="D578">
        <v>1.6639999999999999E-2</v>
      </c>
      <c r="E578">
        <v>1.703E-2</v>
      </c>
      <c r="F578">
        <v>228121810.5</v>
      </c>
      <c r="G578">
        <v>0</v>
      </c>
      <c r="L578" t="s">
        <v>7</v>
      </c>
      <c r="M578" t="s">
        <v>8</v>
      </c>
      <c r="N578" t="s">
        <v>7</v>
      </c>
      <c r="P578">
        <f t="shared" si="984"/>
        <v>-3.7037037037035453E-2</v>
      </c>
      <c r="Q578">
        <f t="shared" si="985"/>
        <v>-8448955.9444440827</v>
      </c>
      <c r="R578">
        <f t="shared" si="986"/>
        <v>2243746322.9852734</v>
      </c>
      <c r="S578">
        <f t="shared" si="987"/>
        <v>22437.463229852732</v>
      </c>
      <c r="T578">
        <f t="shared" si="988"/>
        <v>22.437463229852732</v>
      </c>
    </row>
    <row r="579" spans="1:20" x14ac:dyDescent="0.25">
      <c r="A579" s="5">
        <v>44014</v>
      </c>
      <c r="B579">
        <v>1.7430000000000001E-2</v>
      </c>
      <c r="C579">
        <v>1.8030000000000001E-2</v>
      </c>
      <c r="D579">
        <v>1.6500000000000001E-2</v>
      </c>
      <c r="E579">
        <v>1.7309999999999999E-2</v>
      </c>
      <c r="F579">
        <v>292408455.19999999</v>
      </c>
      <c r="G579">
        <v>0</v>
      </c>
      <c r="L579" t="s">
        <v>7</v>
      </c>
      <c r="M579" t="s">
        <v>8</v>
      </c>
      <c r="N579" t="s">
        <v>7</v>
      </c>
      <c r="P579">
        <f t="shared" si="984"/>
        <v>5.8823529411762304E-2</v>
      </c>
      <c r="Q579">
        <f t="shared" si="985"/>
        <v>17200497.364705179</v>
      </c>
      <c r="R579">
        <f t="shared" si="986"/>
        <v>2252195278.9297175</v>
      </c>
      <c r="S579">
        <f t="shared" si="987"/>
        <v>22521.952789297175</v>
      </c>
      <c r="T579">
        <f t="shared" si="988"/>
        <v>22.521952789297174</v>
      </c>
    </row>
    <row r="580" spans="1:20" x14ac:dyDescent="0.25">
      <c r="A580" s="5">
        <v>44013</v>
      </c>
      <c r="B580">
        <v>1.7399999999999999E-2</v>
      </c>
      <c r="C580">
        <v>1.7819999999999999E-2</v>
      </c>
      <c r="D580">
        <v>1.7000000000000001E-2</v>
      </c>
      <c r="E580">
        <v>1.7430000000000001E-2</v>
      </c>
      <c r="F580">
        <v>218194361.30000001</v>
      </c>
      <c r="G580">
        <v>0</v>
      </c>
      <c r="L580" t="s">
        <v>7</v>
      </c>
      <c r="M580" t="s">
        <v>8</v>
      </c>
      <c r="N580" t="s">
        <v>7</v>
      </c>
      <c r="P580">
        <f t="shared" si="984"/>
        <v>4.8780487804880424E-2</v>
      </c>
      <c r="Q580">
        <f t="shared" si="985"/>
        <v>10643627.380488323</v>
      </c>
      <c r="R580">
        <f t="shared" si="986"/>
        <v>2234994781.5650125</v>
      </c>
      <c r="S580">
        <f t="shared" si="987"/>
        <v>22349.947815650125</v>
      </c>
      <c r="T580">
        <f t="shared" si="988"/>
        <v>22.349947815650125</v>
      </c>
    </row>
    <row r="581" spans="1:20" x14ac:dyDescent="0.25">
      <c r="A581" s="5">
        <v>44012</v>
      </c>
      <c r="B581">
        <v>1.8030000000000001E-2</v>
      </c>
      <c r="C581">
        <v>1.8100000000000002E-2</v>
      </c>
      <c r="D581">
        <v>1.7319999999999999E-2</v>
      </c>
      <c r="E581">
        <v>1.7399999999999999E-2</v>
      </c>
      <c r="F581">
        <v>237394395.30000001</v>
      </c>
      <c r="G581">
        <v>0</v>
      </c>
      <c r="L581" t="s">
        <v>7</v>
      </c>
      <c r="M581" t="s">
        <v>8</v>
      </c>
      <c r="N581" t="s">
        <v>7</v>
      </c>
      <c r="P581">
        <f t="shared" si="984"/>
        <v>-0.79487179487179505</v>
      </c>
      <c r="Q581">
        <f t="shared" si="985"/>
        <v>-188698109.08461544</v>
      </c>
      <c r="R581">
        <f t="shared" si="986"/>
        <v>2224351154.1845241</v>
      </c>
      <c r="S581">
        <f t="shared" si="987"/>
        <v>22243.511541845241</v>
      </c>
      <c r="T581">
        <f t="shared" si="988"/>
        <v>22.24351154184524</v>
      </c>
    </row>
    <row r="582" spans="1:20" x14ac:dyDescent="0.25">
      <c r="A582" s="5">
        <v>44011</v>
      </c>
      <c r="B582">
        <v>1.7940000000000001E-2</v>
      </c>
      <c r="C582">
        <v>1.8360000000000001E-2</v>
      </c>
      <c r="D582">
        <v>1.695E-2</v>
      </c>
      <c r="E582">
        <v>1.8030000000000001E-2</v>
      </c>
      <c r="F582">
        <v>443213622.39999998</v>
      </c>
      <c r="G582">
        <v>0</v>
      </c>
      <c r="L582" t="s">
        <v>7</v>
      </c>
      <c r="M582" t="s">
        <v>8</v>
      </c>
      <c r="N582" t="s">
        <v>7</v>
      </c>
      <c r="P582">
        <f t="shared" ref="P582:P645" si="989">IF(C582=D582,0,((E582-D582)-(C582-E582))/(C582-D582))</f>
        <v>0.53191489361702116</v>
      </c>
      <c r="Q582">
        <f t="shared" ref="Q582:Q645" si="990">F582*P582</f>
        <v>235751926.80851057</v>
      </c>
      <c r="R582">
        <f t="shared" ref="R582:R645" si="991">R583+Q582</f>
        <v>2413049263.2691393</v>
      </c>
      <c r="S582">
        <f t="shared" ref="S582:S645" si="992">R582/100000</f>
        <v>24130.492632691392</v>
      </c>
      <c r="T582">
        <f t="shared" ref="T582:T645" si="993">S582/1000</f>
        <v>24.130492632691393</v>
      </c>
    </row>
    <row r="583" spans="1:20" x14ac:dyDescent="0.25">
      <c r="A583" s="5">
        <v>44010</v>
      </c>
      <c r="B583">
        <v>1.585E-2</v>
      </c>
      <c r="C583">
        <v>1.8599999999999998E-2</v>
      </c>
      <c r="D583">
        <v>1.5699999999999999E-2</v>
      </c>
      <c r="E583">
        <v>1.7909999999999999E-2</v>
      </c>
      <c r="F583">
        <v>832978732.89999998</v>
      </c>
      <c r="G583">
        <v>0</v>
      </c>
      <c r="L583" t="s">
        <v>8</v>
      </c>
      <c r="M583" t="s">
        <v>8</v>
      </c>
      <c r="N583" t="s">
        <v>7</v>
      </c>
      <c r="P583">
        <f t="shared" si="989"/>
        <v>0.52413793103448292</v>
      </c>
      <c r="Q583">
        <f t="shared" si="990"/>
        <v>436595749.65793115</v>
      </c>
      <c r="R583">
        <f t="shared" si="991"/>
        <v>2177297336.4606285</v>
      </c>
      <c r="S583">
        <f t="shared" si="992"/>
        <v>21772.973364606285</v>
      </c>
      <c r="T583">
        <f t="shared" si="993"/>
        <v>21.772973364606283</v>
      </c>
    </row>
    <row r="584" spans="1:20" x14ac:dyDescent="0.25">
      <c r="A584" s="5">
        <v>44009</v>
      </c>
      <c r="B584">
        <v>1.7840000000000002E-2</v>
      </c>
      <c r="C584">
        <v>1.7850000000000001E-2</v>
      </c>
      <c r="D584">
        <v>1.49E-2</v>
      </c>
      <c r="E584">
        <v>1.585E-2</v>
      </c>
      <c r="F584">
        <v>584467459.39999998</v>
      </c>
      <c r="G584">
        <v>0</v>
      </c>
      <c r="L584" t="s">
        <v>7</v>
      </c>
      <c r="M584" t="s">
        <v>7</v>
      </c>
      <c r="N584" t="s">
        <v>7</v>
      </c>
      <c r="P584">
        <f t="shared" si="989"/>
        <v>-0.35593220338983117</v>
      </c>
      <c r="Q584">
        <f t="shared" si="990"/>
        <v>-208030790.63389868</v>
      </c>
      <c r="R584">
        <f t="shared" si="991"/>
        <v>1740701586.8026972</v>
      </c>
      <c r="S584">
        <f t="shared" si="992"/>
        <v>17407.015868026971</v>
      </c>
      <c r="T584">
        <f t="shared" si="993"/>
        <v>17.407015868026971</v>
      </c>
    </row>
    <row r="585" spans="1:20" x14ac:dyDescent="0.25">
      <c r="A585" s="5">
        <v>44008</v>
      </c>
      <c r="B585">
        <v>1.8859999999999998E-2</v>
      </c>
      <c r="C585">
        <v>1.899E-2</v>
      </c>
      <c r="D585">
        <v>1.7760000000000001E-2</v>
      </c>
      <c r="E585">
        <v>1.7840000000000002E-2</v>
      </c>
      <c r="F585">
        <v>291187445.19999999</v>
      </c>
      <c r="G585">
        <v>0</v>
      </c>
      <c r="L585" t="s">
        <v>7</v>
      </c>
      <c r="M585" t="s">
        <v>7</v>
      </c>
      <c r="N585" t="s">
        <v>7</v>
      </c>
      <c r="P585">
        <f t="shared" si="989"/>
        <v>-0.86991869918699138</v>
      </c>
      <c r="Q585">
        <f t="shared" si="990"/>
        <v>-253309403.54796731</v>
      </c>
      <c r="R585">
        <f t="shared" si="991"/>
        <v>1948732377.4365959</v>
      </c>
      <c r="S585">
        <f t="shared" si="992"/>
        <v>19487.323774365959</v>
      </c>
      <c r="T585">
        <f t="shared" si="993"/>
        <v>19.487323774365958</v>
      </c>
    </row>
    <row r="586" spans="1:20" x14ac:dyDescent="0.25">
      <c r="A586" s="5">
        <v>44007</v>
      </c>
      <c r="B586">
        <v>1.951E-2</v>
      </c>
      <c r="C586">
        <v>1.9800000000000002E-2</v>
      </c>
      <c r="D586">
        <v>1.873E-2</v>
      </c>
      <c r="E586">
        <v>1.883E-2</v>
      </c>
      <c r="F586">
        <v>311205931.19999999</v>
      </c>
      <c r="G586">
        <v>0</v>
      </c>
      <c r="L586" t="s">
        <v>7</v>
      </c>
      <c r="M586" t="s">
        <v>8</v>
      </c>
      <c r="N586" t="s">
        <v>7</v>
      </c>
      <c r="P586">
        <f t="shared" si="989"/>
        <v>-0.81308411214953413</v>
      </c>
      <c r="Q586">
        <f t="shared" si="990"/>
        <v>-253036598.265421</v>
      </c>
      <c r="R586">
        <f t="shared" si="991"/>
        <v>2202041780.9845634</v>
      </c>
      <c r="S586">
        <f t="shared" si="992"/>
        <v>22020.417809845632</v>
      </c>
      <c r="T586">
        <f t="shared" si="993"/>
        <v>22.020417809845632</v>
      </c>
    </row>
    <row r="587" spans="1:20" x14ac:dyDescent="0.25">
      <c r="A587" s="5">
        <v>44006</v>
      </c>
      <c r="B587">
        <v>1.9449999999999999E-2</v>
      </c>
      <c r="C587">
        <v>2.0449999999999999E-2</v>
      </c>
      <c r="D587">
        <v>1.866E-2</v>
      </c>
      <c r="E587">
        <v>1.9529999999999999E-2</v>
      </c>
      <c r="F587">
        <v>551567854</v>
      </c>
      <c r="G587">
        <v>0</v>
      </c>
      <c r="L587" t="s">
        <v>7</v>
      </c>
      <c r="M587" t="s">
        <v>8</v>
      </c>
      <c r="N587" t="s">
        <v>7</v>
      </c>
      <c r="P587">
        <f t="shared" si="989"/>
        <v>-2.7932960893855548E-2</v>
      </c>
      <c r="Q587">
        <f t="shared" si="990"/>
        <v>-15406923.296089826</v>
      </c>
      <c r="R587">
        <f t="shared" si="991"/>
        <v>2455078379.2499843</v>
      </c>
      <c r="S587">
        <f t="shared" si="992"/>
        <v>24550.783792499842</v>
      </c>
      <c r="T587">
        <f t="shared" si="993"/>
        <v>24.550783792499843</v>
      </c>
    </row>
    <row r="588" spans="1:20" x14ac:dyDescent="0.25">
      <c r="A588" s="5">
        <v>44005</v>
      </c>
      <c r="B588">
        <v>2.0049999999999998E-2</v>
      </c>
      <c r="C588">
        <v>2.019E-2</v>
      </c>
      <c r="D588">
        <v>1.881E-2</v>
      </c>
      <c r="E588">
        <v>1.9460000000000002E-2</v>
      </c>
      <c r="F588">
        <v>458235925.5</v>
      </c>
      <c r="G588">
        <v>0</v>
      </c>
      <c r="L588" t="s">
        <v>7</v>
      </c>
      <c r="M588" t="s">
        <v>8</v>
      </c>
      <c r="N588" t="s">
        <v>7</v>
      </c>
      <c r="P588">
        <f t="shared" si="989"/>
        <v>-5.7971014492751292E-2</v>
      </c>
      <c r="Q588">
        <f t="shared" si="990"/>
        <v>-26564401.478259802</v>
      </c>
      <c r="R588">
        <f t="shared" si="991"/>
        <v>2470485302.5460739</v>
      </c>
      <c r="S588">
        <f t="shared" si="992"/>
        <v>24704.853025460739</v>
      </c>
      <c r="T588">
        <f t="shared" si="993"/>
        <v>24.704853025460739</v>
      </c>
    </row>
    <row r="589" spans="1:20" x14ac:dyDescent="0.25">
      <c r="A589" s="5">
        <v>44004</v>
      </c>
      <c r="B589">
        <v>1.9859999999999999E-2</v>
      </c>
      <c r="C589">
        <v>2.061E-2</v>
      </c>
      <c r="D589">
        <v>1.9269999999999999E-2</v>
      </c>
      <c r="E589">
        <v>2.0049999999999998E-2</v>
      </c>
      <c r="F589">
        <v>487508716.69999999</v>
      </c>
      <c r="G589">
        <v>0</v>
      </c>
      <c r="L589" t="s">
        <v>7</v>
      </c>
      <c r="M589" t="s">
        <v>8</v>
      </c>
      <c r="N589" t="s">
        <v>7</v>
      </c>
      <c r="P589">
        <f t="shared" si="989"/>
        <v>0.1641791044776103</v>
      </c>
      <c r="Q589">
        <f t="shared" si="990"/>
        <v>80038744.532835022</v>
      </c>
      <c r="R589">
        <f t="shared" si="991"/>
        <v>2497049704.024334</v>
      </c>
      <c r="S589">
        <f t="shared" si="992"/>
        <v>24970.497040243339</v>
      </c>
      <c r="T589">
        <f t="shared" si="993"/>
        <v>24.970497040243337</v>
      </c>
    </row>
    <row r="590" spans="1:20" x14ac:dyDescent="0.25">
      <c r="A590" s="5">
        <v>44003</v>
      </c>
      <c r="B590">
        <v>1.917E-2</v>
      </c>
      <c r="C590">
        <v>2.1229999999999999E-2</v>
      </c>
      <c r="D590">
        <v>1.907E-2</v>
      </c>
      <c r="E590">
        <v>1.9869999999999999E-2</v>
      </c>
      <c r="F590">
        <v>972731750.70000005</v>
      </c>
      <c r="G590">
        <v>0</v>
      </c>
      <c r="L590" t="s">
        <v>8</v>
      </c>
      <c r="M590" t="s">
        <v>8</v>
      </c>
      <c r="N590" t="s">
        <v>7</v>
      </c>
      <c r="P590">
        <f t="shared" si="989"/>
        <v>-0.25925925925926008</v>
      </c>
      <c r="Q590">
        <f t="shared" si="990"/>
        <v>-252189713.14444524</v>
      </c>
      <c r="R590">
        <f t="shared" si="991"/>
        <v>2417010959.4914989</v>
      </c>
      <c r="S590">
        <f t="shared" si="992"/>
        <v>24170.109594914989</v>
      </c>
      <c r="T590">
        <f t="shared" si="993"/>
        <v>24.17010959491499</v>
      </c>
    </row>
    <row r="591" spans="1:20" x14ac:dyDescent="0.25">
      <c r="A591" s="5">
        <v>44002</v>
      </c>
      <c r="B591">
        <v>1.8759999999999999E-2</v>
      </c>
      <c r="C591">
        <v>1.9449999999999999E-2</v>
      </c>
      <c r="D591">
        <v>1.7440000000000001E-2</v>
      </c>
      <c r="E591">
        <v>1.917E-2</v>
      </c>
      <c r="F591">
        <v>868306085.89999998</v>
      </c>
      <c r="G591">
        <v>0</v>
      </c>
      <c r="L591" t="s">
        <v>7</v>
      </c>
      <c r="M591" t="s">
        <v>7</v>
      </c>
      <c r="N591" t="s">
        <v>7</v>
      </c>
      <c r="P591">
        <f t="shared" si="989"/>
        <v>0.72139303482587136</v>
      </c>
      <c r="Q591">
        <f t="shared" si="990"/>
        <v>626389962.46517467</v>
      </c>
      <c r="R591">
        <f t="shared" si="991"/>
        <v>2669200672.6359444</v>
      </c>
      <c r="S591">
        <f t="shared" si="992"/>
        <v>26692.006726359443</v>
      </c>
      <c r="T591">
        <f t="shared" si="993"/>
        <v>26.692006726359441</v>
      </c>
    </row>
    <row r="592" spans="1:20" x14ac:dyDescent="0.25">
      <c r="A592" s="5">
        <v>44001</v>
      </c>
      <c r="B592">
        <v>2.0840000000000001E-2</v>
      </c>
      <c r="C592">
        <v>2.196E-2</v>
      </c>
      <c r="D592">
        <v>1.8409999999999999E-2</v>
      </c>
      <c r="E592">
        <v>1.8749999999999999E-2</v>
      </c>
      <c r="F592">
        <v>1023057484.9</v>
      </c>
      <c r="G592">
        <v>0</v>
      </c>
      <c r="L592" t="s">
        <v>7</v>
      </c>
      <c r="M592" t="s">
        <v>7</v>
      </c>
      <c r="N592" t="s">
        <v>7</v>
      </c>
      <c r="P592">
        <f t="shared" si="989"/>
        <v>-0.80845070422535215</v>
      </c>
      <c r="Q592">
        <f t="shared" si="990"/>
        <v>-827091544.13042259</v>
      </c>
      <c r="R592">
        <f t="shared" si="991"/>
        <v>2042810710.1707697</v>
      </c>
      <c r="S592">
        <f t="shared" si="992"/>
        <v>20428.107101707697</v>
      </c>
      <c r="T592">
        <f t="shared" si="993"/>
        <v>20.428107101707699</v>
      </c>
    </row>
    <row r="593" spans="1:20" x14ac:dyDescent="0.25">
      <c r="A593" s="5">
        <v>44000</v>
      </c>
      <c r="B593">
        <v>2.3300000000000001E-2</v>
      </c>
      <c r="C593">
        <v>2.3349999999999999E-2</v>
      </c>
      <c r="D593">
        <v>2.034E-2</v>
      </c>
      <c r="E593">
        <v>2.0820000000000002E-2</v>
      </c>
      <c r="F593">
        <v>688591267.70000005</v>
      </c>
      <c r="G593">
        <v>0</v>
      </c>
      <c r="L593" t="s">
        <v>7</v>
      </c>
      <c r="M593" t="s">
        <v>7</v>
      </c>
      <c r="N593" t="s">
        <v>7</v>
      </c>
      <c r="P593">
        <f t="shared" si="989"/>
        <v>-0.68106312292358706</v>
      </c>
      <c r="Q593">
        <f t="shared" si="990"/>
        <v>-468974119.1976738</v>
      </c>
      <c r="R593">
        <f t="shared" si="991"/>
        <v>2869902254.3011923</v>
      </c>
      <c r="S593">
        <f t="shared" si="992"/>
        <v>28699.022543011924</v>
      </c>
      <c r="T593">
        <f t="shared" si="993"/>
        <v>28.699022543011925</v>
      </c>
    </row>
    <row r="594" spans="1:20" x14ac:dyDescent="0.25">
      <c r="A594" s="5">
        <v>43999</v>
      </c>
      <c r="B594">
        <v>2.5149999999999999E-2</v>
      </c>
      <c r="C594">
        <v>2.5159999999999998E-2</v>
      </c>
      <c r="D594">
        <v>2.29E-2</v>
      </c>
      <c r="E594">
        <v>2.3300000000000001E-2</v>
      </c>
      <c r="F594">
        <v>507659798.89999998</v>
      </c>
      <c r="G594">
        <v>0</v>
      </c>
      <c r="L594" t="s">
        <v>7</v>
      </c>
      <c r="M594" t="s">
        <v>8</v>
      </c>
      <c r="N594" t="s">
        <v>7</v>
      </c>
      <c r="P594">
        <f t="shared" si="989"/>
        <v>-0.64601769911504303</v>
      </c>
      <c r="Q594">
        <f t="shared" si="990"/>
        <v>-327957215.21858346</v>
      </c>
      <c r="R594">
        <f t="shared" si="991"/>
        <v>3338876373.4988661</v>
      </c>
      <c r="S594">
        <f t="shared" si="992"/>
        <v>33388.763734988657</v>
      </c>
      <c r="T594">
        <f t="shared" si="993"/>
        <v>33.388763734988657</v>
      </c>
    </row>
    <row r="595" spans="1:20" x14ac:dyDescent="0.25">
      <c r="A595" s="5">
        <v>43998</v>
      </c>
      <c r="B595">
        <v>2.512E-2</v>
      </c>
      <c r="C595">
        <v>2.6540000000000001E-2</v>
      </c>
      <c r="D595">
        <v>2.4320000000000001E-2</v>
      </c>
      <c r="E595">
        <v>2.5149999999999999E-2</v>
      </c>
      <c r="F595">
        <v>572435017.39999998</v>
      </c>
      <c r="G595">
        <v>0</v>
      </c>
      <c r="L595" t="s">
        <v>8</v>
      </c>
      <c r="M595" t="s">
        <v>8</v>
      </c>
      <c r="N595" t="s">
        <v>7</v>
      </c>
      <c r="P595">
        <f t="shared" si="989"/>
        <v>-0.25225225225225451</v>
      </c>
      <c r="Q595">
        <f t="shared" si="990"/>
        <v>-144398022.4072085</v>
      </c>
      <c r="R595">
        <f t="shared" si="991"/>
        <v>3666833588.7174497</v>
      </c>
      <c r="S595">
        <f t="shared" si="992"/>
        <v>36668.335887174493</v>
      </c>
      <c r="T595">
        <f t="shared" si="993"/>
        <v>36.668335887174493</v>
      </c>
    </row>
    <row r="596" spans="1:20" x14ac:dyDescent="0.25">
      <c r="A596" s="5">
        <v>43997</v>
      </c>
      <c r="B596">
        <v>2.291E-2</v>
      </c>
      <c r="C596">
        <v>2.5749999999999999E-2</v>
      </c>
      <c r="D596">
        <v>2.0250000000000001E-2</v>
      </c>
      <c r="E596">
        <v>2.513E-2</v>
      </c>
      <c r="F596">
        <v>1199144868.9000001</v>
      </c>
      <c r="G596">
        <v>0</v>
      </c>
      <c r="L596" t="s">
        <v>7</v>
      </c>
      <c r="M596" t="s">
        <v>7</v>
      </c>
      <c r="N596" t="s">
        <v>7</v>
      </c>
      <c r="P596">
        <f t="shared" si="989"/>
        <v>0.77454545454545487</v>
      </c>
      <c r="Q596">
        <f t="shared" si="990"/>
        <v>928792207.54800045</v>
      </c>
      <c r="R596">
        <f t="shared" si="991"/>
        <v>3811231611.1246581</v>
      </c>
      <c r="S596">
        <f t="shared" si="992"/>
        <v>38112.316111246582</v>
      </c>
      <c r="T596">
        <f t="shared" si="993"/>
        <v>38.112316111246585</v>
      </c>
    </row>
    <row r="597" spans="1:20" x14ac:dyDescent="0.25">
      <c r="A597" s="5">
        <v>43996</v>
      </c>
      <c r="B597">
        <v>2.273E-2</v>
      </c>
      <c r="C597">
        <v>2.445E-2</v>
      </c>
      <c r="D597">
        <v>2.1340000000000001E-2</v>
      </c>
      <c r="E597">
        <v>2.291E-2</v>
      </c>
      <c r="F597">
        <v>745736444.20000005</v>
      </c>
      <c r="G597">
        <v>0</v>
      </c>
      <c r="L597" t="s">
        <v>7</v>
      </c>
      <c r="M597" t="s">
        <v>7</v>
      </c>
      <c r="N597" t="s">
        <v>7</v>
      </c>
      <c r="P597">
        <f t="shared" si="989"/>
        <v>9.6463022508034707E-3</v>
      </c>
      <c r="Q597">
        <f t="shared" si="990"/>
        <v>7193599.1401926372</v>
      </c>
      <c r="R597">
        <f t="shared" si="991"/>
        <v>2882439403.5766578</v>
      </c>
      <c r="S597">
        <f t="shared" si="992"/>
        <v>28824.394035766578</v>
      </c>
      <c r="T597">
        <f t="shared" si="993"/>
        <v>28.824394035766577</v>
      </c>
    </row>
    <row r="598" spans="1:20" x14ac:dyDescent="0.25">
      <c r="A598" s="5">
        <v>43995</v>
      </c>
      <c r="B598">
        <v>2.5950000000000001E-2</v>
      </c>
      <c r="C598">
        <v>2.605E-2</v>
      </c>
      <c r="D598">
        <v>2.1700000000000001E-2</v>
      </c>
      <c r="E598">
        <v>2.273E-2</v>
      </c>
      <c r="F598">
        <v>863248949.39999998</v>
      </c>
      <c r="G598">
        <v>0</v>
      </c>
      <c r="L598" t="s">
        <v>7</v>
      </c>
      <c r="M598" t="s">
        <v>7</v>
      </c>
      <c r="N598" t="s">
        <v>7</v>
      </c>
      <c r="P598">
        <f t="shared" si="989"/>
        <v>-0.52643678160919549</v>
      </c>
      <c r="Q598">
        <f t="shared" si="990"/>
        <v>-454445998.64965522</v>
      </c>
      <c r="R598">
        <f t="shared" si="991"/>
        <v>2875245804.4364653</v>
      </c>
      <c r="S598">
        <f t="shared" si="992"/>
        <v>28752.458044364652</v>
      </c>
      <c r="T598">
        <f t="shared" si="993"/>
        <v>28.752458044364651</v>
      </c>
    </row>
    <row r="599" spans="1:20" x14ac:dyDescent="0.25">
      <c r="A599" s="5">
        <v>43994</v>
      </c>
      <c r="B599">
        <v>2.5000000000000001E-2</v>
      </c>
      <c r="C599">
        <v>2.6790000000000001E-2</v>
      </c>
      <c r="D599">
        <v>2.4559999999999998E-2</v>
      </c>
      <c r="E599">
        <v>2.5940000000000001E-2</v>
      </c>
      <c r="F599">
        <v>681395463.89999998</v>
      </c>
      <c r="G599">
        <v>0</v>
      </c>
      <c r="L599" t="s">
        <v>7</v>
      </c>
      <c r="M599" t="s">
        <v>7</v>
      </c>
      <c r="N599" t="s">
        <v>8</v>
      </c>
      <c r="P599">
        <f t="shared" si="989"/>
        <v>0.23766816143497849</v>
      </c>
      <c r="Q599">
        <f t="shared" si="990"/>
        <v>161946007.11524725</v>
      </c>
      <c r="R599">
        <f t="shared" si="991"/>
        <v>3329691803.0861206</v>
      </c>
      <c r="S599">
        <f t="shared" si="992"/>
        <v>33296.918030861205</v>
      </c>
      <c r="T599">
        <f t="shared" si="993"/>
        <v>33.296918030861207</v>
      </c>
    </row>
    <row r="600" spans="1:20" x14ac:dyDescent="0.25">
      <c r="A600" s="5">
        <v>43993</v>
      </c>
      <c r="B600">
        <v>2.7300000000000001E-2</v>
      </c>
      <c r="C600">
        <v>2.9899999999999999E-2</v>
      </c>
      <c r="D600">
        <v>2.368E-2</v>
      </c>
      <c r="E600">
        <v>2.4969999999999999E-2</v>
      </c>
      <c r="F600">
        <v>1592897200.2</v>
      </c>
      <c r="G600">
        <v>0</v>
      </c>
      <c r="L600" t="s">
        <v>8</v>
      </c>
      <c r="M600" t="s">
        <v>8</v>
      </c>
      <c r="N600" t="s">
        <v>8</v>
      </c>
      <c r="P600">
        <f t="shared" si="989"/>
        <v>-0.58520900321543423</v>
      </c>
      <c r="Q600">
        <f t="shared" si="990"/>
        <v>-932177782.75369799</v>
      </c>
      <c r="R600">
        <f t="shared" si="991"/>
        <v>3167745795.9708734</v>
      </c>
      <c r="S600">
        <f t="shared" si="992"/>
        <v>31677.457959708732</v>
      </c>
      <c r="T600">
        <f t="shared" si="993"/>
        <v>31.677457959708732</v>
      </c>
    </row>
    <row r="601" spans="1:20" x14ac:dyDescent="0.25">
      <c r="A601" s="5">
        <v>43992</v>
      </c>
      <c r="B601">
        <v>2.443E-2</v>
      </c>
      <c r="C601">
        <v>2.896E-2</v>
      </c>
      <c r="D601">
        <v>2.3740000000000001E-2</v>
      </c>
      <c r="E601">
        <v>2.7300000000000001E-2</v>
      </c>
      <c r="F601">
        <v>1153412910.5999999</v>
      </c>
      <c r="G601">
        <v>0</v>
      </c>
      <c r="L601" t="s">
        <v>8</v>
      </c>
      <c r="M601" t="s">
        <v>8</v>
      </c>
      <c r="N601" t="s">
        <v>8</v>
      </c>
      <c r="P601">
        <f t="shared" si="989"/>
        <v>0.36398467432950243</v>
      </c>
      <c r="Q601">
        <f t="shared" si="990"/>
        <v>419824622.63218445</v>
      </c>
      <c r="R601">
        <f t="shared" si="991"/>
        <v>4099923578.7245712</v>
      </c>
      <c r="S601">
        <f t="shared" si="992"/>
        <v>40999.235787245714</v>
      </c>
      <c r="T601">
        <f t="shared" si="993"/>
        <v>40.999235787245716</v>
      </c>
    </row>
    <row r="602" spans="1:20" x14ac:dyDescent="0.25">
      <c r="A602" s="5">
        <v>43991</v>
      </c>
      <c r="B602">
        <v>2.1319999999999999E-2</v>
      </c>
      <c r="C602">
        <v>2.4660000000000001E-2</v>
      </c>
      <c r="D602">
        <v>2.07E-2</v>
      </c>
      <c r="E602">
        <v>2.443E-2</v>
      </c>
      <c r="F602">
        <v>559626622.70000005</v>
      </c>
      <c r="G602">
        <v>0</v>
      </c>
      <c r="L602" t="s">
        <v>8</v>
      </c>
      <c r="M602" t="s">
        <v>8</v>
      </c>
      <c r="N602" t="s">
        <v>8</v>
      </c>
      <c r="P602">
        <f t="shared" si="989"/>
        <v>0.88383838383838331</v>
      </c>
      <c r="Q602">
        <f t="shared" si="990"/>
        <v>494619489.76010078</v>
      </c>
      <c r="R602">
        <f t="shared" si="991"/>
        <v>3680098956.0923867</v>
      </c>
      <c r="S602">
        <f t="shared" si="992"/>
        <v>36800.989560923867</v>
      </c>
      <c r="T602">
        <f t="shared" si="993"/>
        <v>36.800989560923867</v>
      </c>
    </row>
    <row r="603" spans="1:20" x14ac:dyDescent="0.25">
      <c r="A603" s="5">
        <v>43990</v>
      </c>
      <c r="B603">
        <v>2.231E-2</v>
      </c>
      <c r="C603">
        <v>2.2440000000000002E-2</v>
      </c>
      <c r="D603">
        <v>2.0889999999999999E-2</v>
      </c>
      <c r="E603">
        <v>2.1319999999999999E-2</v>
      </c>
      <c r="F603">
        <v>291470548.30000001</v>
      </c>
      <c r="G603">
        <v>0</v>
      </c>
      <c r="L603" t="s">
        <v>8</v>
      </c>
      <c r="M603" t="s">
        <v>8</v>
      </c>
      <c r="N603" t="s">
        <v>8</v>
      </c>
      <c r="P603">
        <f t="shared" si="989"/>
        <v>-0.44516129032258184</v>
      </c>
      <c r="Q603">
        <f t="shared" si="990"/>
        <v>-129751405.37225842</v>
      </c>
      <c r="R603">
        <f t="shared" si="991"/>
        <v>3185479466.3322859</v>
      </c>
      <c r="S603">
        <f t="shared" si="992"/>
        <v>31854.79466332286</v>
      </c>
      <c r="T603">
        <f t="shared" si="993"/>
        <v>31.85479466332286</v>
      </c>
    </row>
    <row r="604" spans="1:20" x14ac:dyDescent="0.25">
      <c r="A604" s="5">
        <v>43989</v>
      </c>
      <c r="B604">
        <v>2.1229999999999999E-2</v>
      </c>
      <c r="C604">
        <v>2.2679999999999999E-2</v>
      </c>
      <c r="D604">
        <v>1.975E-2</v>
      </c>
      <c r="E604">
        <v>2.231E-2</v>
      </c>
      <c r="F604">
        <v>794464664.29999995</v>
      </c>
      <c r="G604">
        <v>0</v>
      </c>
      <c r="L604" t="s">
        <v>7</v>
      </c>
      <c r="M604" t="s">
        <v>8</v>
      </c>
      <c r="N604" t="s">
        <v>8</v>
      </c>
      <c r="P604">
        <f t="shared" si="989"/>
        <v>0.74744027303754335</v>
      </c>
      <c r="Q604">
        <f t="shared" si="990"/>
        <v>593814885.60307217</v>
      </c>
      <c r="R604">
        <f t="shared" si="991"/>
        <v>3315230871.7045441</v>
      </c>
      <c r="S604">
        <f t="shared" si="992"/>
        <v>33152.308717045438</v>
      </c>
      <c r="T604">
        <f t="shared" si="993"/>
        <v>33.152308717045436</v>
      </c>
    </row>
    <row r="605" spans="1:20" x14ac:dyDescent="0.25">
      <c r="A605" s="5">
        <v>43988</v>
      </c>
      <c r="B605">
        <v>1.796E-2</v>
      </c>
      <c r="C605">
        <v>2.257E-2</v>
      </c>
      <c r="D605">
        <v>1.788E-2</v>
      </c>
      <c r="E605">
        <v>2.121E-2</v>
      </c>
      <c r="F605">
        <v>1071002172.6</v>
      </c>
      <c r="G605">
        <v>0</v>
      </c>
      <c r="L605" t="s">
        <v>8</v>
      </c>
      <c r="M605" t="s">
        <v>8</v>
      </c>
      <c r="N605" t="s">
        <v>8</v>
      </c>
      <c r="P605">
        <f t="shared" si="989"/>
        <v>0.42004264392324087</v>
      </c>
      <c r="Q605">
        <f t="shared" si="990"/>
        <v>449866584.22643918</v>
      </c>
      <c r="R605">
        <f t="shared" si="991"/>
        <v>2721415986.1014719</v>
      </c>
      <c r="S605">
        <f t="shared" si="992"/>
        <v>27214.159861014719</v>
      </c>
      <c r="T605">
        <f t="shared" si="993"/>
        <v>27.214159861014718</v>
      </c>
    </row>
    <row r="606" spans="1:20" x14ac:dyDescent="0.25">
      <c r="A606" s="5">
        <v>43987</v>
      </c>
      <c r="B606">
        <v>1.6410000000000001E-2</v>
      </c>
      <c r="C606">
        <v>1.8249999999999999E-2</v>
      </c>
      <c r="D606">
        <v>1.6310000000000002E-2</v>
      </c>
      <c r="E606">
        <v>1.7989999999999999E-2</v>
      </c>
      <c r="F606">
        <v>371677952.80000001</v>
      </c>
      <c r="G606">
        <v>0</v>
      </c>
      <c r="L606" t="s">
        <v>8</v>
      </c>
      <c r="M606" t="s">
        <v>7</v>
      </c>
      <c r="N606" t="s">
        <v>8</v>
      </c>
      <c r="P606">
        <f t="shared" si="989"/>
        <v>0.73195876288659778</v>
      </c>
      <c r="Q606">
        <f t="shared" si="990"/>
        <v>272052934.52371126</v>
      </c>
      <c r="R606">
        <f t="shared" si="991"/>
        <v>2271549401.8750329</v>
      </c>
      <c r="S606">
        <f t="shared" si="992"/>
        <v>22715.494018750331</v>
      </c>
      <c r="T606">
        <f t="shared" si="993"/>
        <v>22.715494018750331</v>
      </c>
    </row>
    <row r="607" spans="1:20" x14ac:dyDescent="0.25">
      <c r="A607" s="5">
        <v>43986</v>
      </c>
      <c r="B607">
        <v>1.8030000000000001E-2</v>
      </c>
      <c r="C607">
        <v>1.806E-2</v>
      </c>
      <c r="D607">
        <v>1.6330000000000001E-2</v>
      </c>
      <c r="E607">
        <v>1.6410000000000001E-2</v>
      </c>
      <c r="F607">
        <v>322954926.19999999</v>
      </c>
      <c r="G607">
        <v>0</v>
      </c>
      <c r="L607" t="s">
        <v>7</v>
      </c>
      <c r="M607" t="s">
        <v>7</v>
      </c>
      <c r="N607" t="s">
        <v>8</v>
      </c>
      <c r="P607">
        <f t="shared" si="989"/>
        <v>-0.90751445086705174</v>
      </c>
      <c r="Q607">
        <f t="shared" si="990"/>
        <v>-293086262.50520223</v>
      </c>
      <c r="R607">
        <f t="shared" si="991"/>
        <v>1999496467.3513217</v>
      </c>
      <c r="S607">
        <f t="shared" si="992"/>
        <v>19994.964673513216</v>
      </c>
      <c r="T607">
        <f t="shared" si="993"/>
        <v>19.994964673513216</v>
      </c>
    </row>
    <row r="608" spans="1:20" x14ac:dyDescent="0.25">
      <c r="A608" s="5">
        <v>43985</v>
      </c>
      <c r="B608">
        <v>1.8239999999999999E-2</v>
      </c>
      <c r="C608">
        <v>1.8499999999999999E-2</v>
      </c>
      <c r="D608">
        <v>1.685E-2</v>
      </c>
      <c r="E608">
        <v>1.804E-2</v>
      </c>
      <c r="F608">
        <v>477720989</v>
      </c>
      <c r="G608">
        <v>0</v>
      </c>
      <c r="L608" t="s">
        <v>7</v>
      </c>
      <c r="M608" t="s">
        <v>8</v>
      </c>
      <c r="N608" t="s">
        <v>8</v>
      </c>
      <c r="P608">
        <f t="shared" si="989"/>
        <v>0.44242424242424366</v>
      </c>
      <c r="Q608">
        <f t="shared" si="990"/>
        <v>211355346.64848545</v>
      </c>
      <c r="R608">
        <f t="shared" si="991"/>
        <v>2292582729.856524</v>
      </c>
      <c r="S608">
        <f t="shared" si="992"/>
        <v>22925.82729856524</v>
      </c>
      <c r="T608">
        <f t="shared" si="993"/>
        <v>22.925827298565242</v>
      </c>
    </row>
    <row r="609" spans="1:20" x14ac:dyDescent="0.25">
      <c r="A609" s="5">
        <v>43984</v>
      </c>
      <c r="B609">
        <v>1.6240000000000001E-2</v>
      </c>
      <c r="C609">
        <v>1.976E-2</v>
      </c>
      <c r="D609">
        <v>1.6240000000000001E-2</v>
      </c>
      <c r="E609">
        <v>1.8239999999999999E-2</v>
      </c>
      <c r="F609">
        <v>1136482681.5</v>
      </c>
      <c r="G609">
        <v>0</v>
      </c>
      <c r="L609" t="s">
        <v>8</v>
      </c>
      <c r="M609" t="s">
        <v>8</v>
      </c>
      <c r="N609" t="s">
        <v>8</v>
      </c>
      <c r="P609">
        <f t="shared" si="989"/>
        <v>0.13636363636363577</v>
      </c>
      <c r="Q609">
        <f t="shared" si="990"/>
        <v>154974911.11363569</v>
      </c>
      <c r="R609">
        <f t="shared" si="991"/>
        <v>2081227383.2080386</v>
      </c>
      <c r="S609">
        <f t="shared" si="992"/>
        <v>20812.273832080387</v>
      </c>
      <c r="T609">
        <f t="shared" si="993"/>
        <v>20.812273832080386</v>
      </c>
    </row>
    <row r="610" spans="1:20" x14ac:dyDescent="0.25">
      <c r="A610" s="5">
        <v>43983</v>
      </c>
      <c r="B610">
        <v>1.4710000000000001E-2</v>
      </c>
      <c r="C610">
        <v>1.7649999999999999E-2</v>
      </c>
      <c r="D610">
        <v>1.421E-2</v>
      </c>
      <c r="E610">
        <v>1.626E-2</v>
      </c>
      <c r="F610">
        <v>1422667794.5999999</v>
      </c>
      <c r="G610">
        <v>0</v>
      </c>
      <c r="L610" t="s">
        <v>8</v>
      </c>
      <c r="M610" t="s">
        <v>8</v>
      </c>
      <c r="N610" t="s">
        <v>8</v>
      </c>
      <c r="P610">
        <f t="shared" si="989"/>
        <v>0.19186046511627941</v>
      </c>
      <c r="Q610">
        <f t="shared" si="990"/>
        <v>272953704.77790743</v>
      </c>
      <c r="R610">
        <f t="shared" si="991"/>
        <v>1926252472.0944028</v>
      </c>
      <c r="S610">
        <f t="shared" si="992"/>
        <v>19262.524720944028</v>
      </c>
      <c r="T610">
        <f t="shared" si="993"/>
        <v>19.262524720944029</v>
      </c>
    </row>
    <row r="611" spans="1:20" x14ac:dyDescent="0.25">
      <c r="A611" s="5">
        <v>43982</v>
      </c>
      <c r="B611">
        <v>1.342E-2</v>
      </c>
      <c r="C611">
        <v>1.55E-2</v>
      </c>
      <c r="D611">
        <v>1.337E-2</v>
      </c>
      <c r="E611">
        <v>1.4749999999999999E-2</v>
      </c>
      <c r="F611">
        <v>682906982.20000005</v>
      </c>
      <c r="G611">
        <v>0</v>
      </c>
      <c r="L611" t="s">
        <v>8</v>
      </c>
      <c r="M611" t="s">
        <v>8</v>
      </c>
      <c r="N611" t="s">
        <v>8</v>
      </c>
      <c r="P611">
        <f t="shared" si="989"/>
        <v>0.29577464788732333</v>
      </c>
      <c r="Q611">
        <f t="shared" si="990"/>
        <v>201986572.1999996</v>
      </c>
      <c r="R611">
        <f t="shared" si="991"/>
        <v>1653298767.3164954</v>
      </c>
      <c r="S611">
        <f t="shared" si="992"/>
        <v>16532.987673164953</v>
      </c>
      <c r="T611">
        <f t="shared" si="993"/>
        <v>16.532987673164953</v>
      </c>
    </row>
    <row r="612" spans="1:20" x14ac:dyDescent="0.25">
      <c r="A612" s="5">
        <v>43981</v>
      </c>
      <c r="B612">
        <v>1.2489999999999999E-2</v>
      </c>
      <c r="C612">
        <v>1.4250000000000001E-2</v>
      </c>
      <c r="D612">
        <v>1.2149999999999999E-2</v>
      </c>
      <c r="E612">
        <v>1.3390000000000001E-2</v>
      </c>
      <c r="F612">
        <v>445916680.39999998</v>
      </c>
      <c r="G612">
        <v>0</v>
      </c>
      <c r="L612" t="s">
        <v>8</v>
      </c>
      <c r="M612" t="s">
        <v>8</v>
      </c>
      <c r="N612" t="s">
        <v>8</v>
      </c>
      <c r="P612">
        <f t="shared" si="989"/>
        <v>0.18095238095238175</v>
      </c>
      <c r="Q612">
        <f t="shared" si="990"/>
        <v>80689685.024762258</v>
      </c>
      <c r="R612">
        <f t="shared" si="991"/>
        <v>1451312195.1164958</v>
      </c>
      <c r="S612">
        <f t="shared" si="992"/>
        <v>14513.121951164958</v>
      </c>
      <c r="T612">
        <f t="shared" si="993"/>
        <v>14.513121951164958</v>
      </c>
    </row>
    <row r="613" spans="1:20" x14ac:dyDescent="0.25">
      <c r="A613" s="5">
        <v>43980</v>
      </c>
      <c r="B613">
        <v>1.239E-2</v>
      </c>
      <c r="C613">
        <v>1.2630000000000001E-2</v>
      </c>
      <c r="D613">
        <v>1.188E-2</v>
      </c>
      <c r="E613">
        <v>1.248E-2</v>
      </c>
      <c r="F613">
        <v>255713962.59999999</v>
      </c>
      <c r="G613">
        <v>0</v>
      </c>
      <c r="L613" t="s">
        <v>7</v>
      </c>
      <c r="M613" t="s">
        <v>7</v>
      </c>
      <c r="N613" t="s">
        <v>8</v>
      </c>
      <c r="P613">
        <f t="shared" si="989"/>
        <v>0.5999999999999982</v>
      </c>
      <c r="Q613">
        <f t="shared" si="990"/>
        <v>153428377.55999953</v>
      </c>
      <c r="R613">
        <f t="shared" si="991"/>
        <v>1370622510.0917337</v>
      </c>
      <c r="S613">
        <f t="shared" si="992"/>
        <v>13706.225100917338</v>
      </c>
      <c r="T613">
        <f t="shared" si="993"/>
        <v>13.706225100917338</v>
      </c>
    </row>
    <row r="614" spans="1:20" x14ac:dyDescent="0.25">
      <c r="A614" s="5">
        <v>43979</v>
      </c>
      <c r="B614">
        <v>1.223E-2</v>
      </c>
      <c r="C614">
        <v>1.3100000000000001E-2</v>
      </c>
      <c r="D614">
        <v>1.1950000000000001E-2</v>
      </c>
      <c r="E614">
        <v>1.2370000000000001E-2</v>
      </c>
      <c r="F614">
        <v>362770793.19999999</v>
      </c>
      <c r="G614">
        <v>0</v>
      </c>
      <c r="L614" t="s">
        <v>8</v>
      </c>
      <c r="M614" t="s">
        <v>7</v>
      </c>
      <c r="N614" t="s">
        <v>8</v>
      </c>
      <c r="P614">
        <f t="shared" si="989"/>
        <v>-0.2695652173913039</v>
      </c>
      <c r="Q614">
        <f t="shared" si="990"/>
        <v>-97790387.732173741</v>
      </c>
      <c r="R614">
        <f t="shared" si="991"/>
        <v>1217194132.5317342</v>
      </c>
      <c r="S614">
        <f t="shared" si="992"/>
        <v>12171.941325317342</v>
      </c>
      <c r="T614">
        <f t="shared" si="993"/>
        <v>12.171941325317343</v>
      </c>
    </row>
    <row r="615" spans="1:20" x14ac:dyDescent="0.25">
      <c r="A615" s="5">
        <v>43978</v>
      </c>
      <c r="B615">
        <v>1.2370000000000001E-2</v>
      </c>
      <c r="C615">
        <v>1.2789999999999999E-2</v>
      </c>
      <c r="D615">
        <v>1.1599999999999999E-2</v>
      </c>
      <c r="E615">
        <v>1.2279999999999999E-2</v>
      </c>
      <c r="F615">
        <v>454142426.10000002</v>
      </c>
      <c r="G615">
        <v>0</v>
      </c>
      <c r="L615" t="s">
        <v>8</v>
      </c>
      <c r="M615" t="s">
        <v>7</v>
      </c>
      <c r="N615" t="s">
        <v>8</v>
      </c>
      <c r="P615">
        <f t="shared" si="989"/>
        <v>0.14285714285714285</v>
      </c>
      <c r="Q615">
        <f t="shared" si="990"/>
        <v>64877489.442857146</v>
      </c>
      <c r="R615">
        <f t="shared" si="991"/>
        <v>1314984520.2639079</v>
      </c>
      <c r="S615">
        <f t="shared" si="992"/>
        <v>13149.845202639079</v>
      </c>
      <c r="T615">
        <f t="shared" si="993"/>
        <v>13.149845202639078</v>
      </c>
    </row>
    <row r="616" spans="1:20" x14ac:dyDescent="0.25">
      <c r="A616" s="5">
        <v>43977</v>
      </c>
      <c r="B616">
        <v>1.248E-2</v>
      </c>
      <c r="C616">
        <v>1.3390000000000001E-2</v>
      </c>
      <c r="D616">
        <v>1.1560000000000001E-2</v>
      </c>
      <c r="E616">
        <v>1.2370000000000001E-2</v>
      </c>
      <c r="F616">
        <v>761163964.20000005</v>
      </c>
      <c r="G616">
        <v>0</v>
      </c>
      <c r="L616" t="s">
        <v>7</v>
      </c>
      <c r="M616" t="s">
        <v>7</v>
      </c>
      <c r="N616" t="s">
        <v>8</v>
      </c>
      <c r="P616">
        <f t="shared" si="989"/>
        <v>-0.1147540983606558</v>
      </c>
      <c r="Q616">
        <f t="shared" si="990"/>
        <v>-87346684.416393489</v>
      </c>
      <c r="R616">
        <f t="shared" si="991"/>
        <v>1250107030.8210509</v>
      </c>
      <c r="S616">
        <f t="shared" si="992"/>
        <v>12501.070308210508</v>
      </c>
      <c r="T616">
        <f t="shared" si="993"/>
        <v>12.501070308210508</v>
      </c>
    </row>
    <row r="617" spans="1:20" x14ac:dyDescent="0.25">
      <c r="A617" s="5">
        <v>43976</v>
      </c>
      <c r="B617">
        <v>9.8399999999999998E-3</v>
      </c>
      <c r="C617">
        <v>1.3899999999999999E-2</v>
      </c>
      <c r="D617">
        <v>9.7099999999999999E-3</v>
      </c>
      <c r="E617">
        <v>1.2460000000000001E-2</v>
      </c>
      <c r="F617">
        <v>1669887467.7</v>
      </c>
      <c r="G617">
        <v>0</v>
      </c>
      <c r="L617" t="s">
        <v>8</v>
      </c>
      <c r="M617" t="s">
        <v>8</v>
      </c>
      <c r="N617" t="s">
        <v>8</v>
      </c>
      <c r="P617">
        <f t="shared" si="989"/>
        <v>0.31264916467780485</v>
      </c>
      <c r="Q617">
        <f t="shared" si="990"/>
        <v>522088921.88233984</v>
      </c>
      <c r="R617">
        <f t="shared" si="991"/>
        <v>1337453715.2374444</v>
      </c>
      <c r="S617">
        <f t="shared" si="992"/>
        <v>13374.537152374443</v>
      </c>
      <c r="T617">
        <f t="shared" si="993"/>
        <v>13.374537152374444</v>
      </c>
    </row>
    <row r="618" spans="1:20" x14ac:dyDescent="0.25">
      <c r="A618" s="5">
        <v>43975</v>
      </c>
      <c r="B618">
        <v>9.8499999999999994E-3</v>
      </c>
      <c r="C618">
        <v>1.0869999999999999E-2</v>
      </c>
      <c r="D618">
        <v>9.3900000000000008E-3</v>
      </c>
      <c r="E618">
        <v>9.8499999999999994E-3</v>
      </c>
      <c r="F618">
        <v>517444086.30000001</v>
      </c>
      <c r="G618">
        <v>0</v>
      </c>
      <c r="L618" t="s">
        <v>7</v>
      </c>
      <c r="M618" t="s">
        <v>8</v>
      </c>
      <c r="N618" t="s">
        <v>8</v>
      </c>
      <c r="P618">
        <f t="shared" si="989"/>
        <v>-0.37837837837837973</v>
      </c>
      <c r="Q618">
        <f t="shared" si="990"/>
        <v>-195789654.27567637</v>
      </c>
      <c r="R618">
        <f t="shared" si="991"/>
        <v>815364793.35510457</v>
      </c>
      <c r="S618">
        <f t="shared" si="992"/>
        <v>8153.6479335510458</v>
      </c>
      <c r="T618">
        <f t="shared" si="993"/>
        <v>8.1536479335510457</v>
      </c>
    </row>
    <row r="619" spans="1:20" x14ac:dyDescent="0.25">
      <c r="A619" s="5">
        <v>43974</v>
      </c>
      <c r="B619">
        <v>1.004E-2</v>
      </c>
      <c r="C619">
        <v>1.052E-2</v>
      </c>
      <c r="D619">
        <v>9.6200000000000001E-3</v>
      </c>
      <c r="E619">
        <v>9.8499999999999994E-3</v>
      </c>
      <c r="F619">
        <v>246157982.69999999</v>
      </c>
      <c r="G619">
        <v>0</v>
      </c>
      <c r="L619" t="s">
        <v>7</v>
      </c>
      <c r="M619" t="s">
        <v>8</v>
      </c>
      <c r="N619" t="s">
        <v>8</v>
      </c>
      <c r="P619">
        <f t="shared" si="989"/>
        <v>-0.48888888888889032</v>
      </c>
      <c r="Q619">
        <f t="shared" si="990"/>
        <v>-120343902.65333368</v>
      </c>
      <c r="R619">
        <f t="shared" si="991"/>
        <v>1011154447.6307809</v>
      </c>
      <c r="S619">
        <f t="shared" si="992"/>
        <v>10111.544476307809</v>
      </c>
      <c r="T619">
        <f t="shared" si="993"/>
        <v>10.111544476307808</v>
      </c>
    </row>
    <row r="620" spans="1:20" x14ac:dyDescent="0.25">
      <c r="A620" s="5">
        <v>43973</v>
      </c>
      <c r="B620">
        <v>9.7400000000000004E-3</v>
      </c>
      <c r="C620">
        <v>1.059E-2</v>
      </c>
      <c r="D620">
        <v>9.2800000000000001E-3</v>
      </c>
      <c r="E620">
        <v>1.0030000000000001E-2</v>
      </c>
      <c r="F620">
        <v>489849708.10000002</v>
      </c>
      <c r="G620">
        <v>0</v>
      </c>
      <c r="L620" t="s">
        <v>8</v>
      </c>
      <c r="M620" t="s">
        <v>8</v>
      </c>
      <c r="N620" t="s">
        <v>8</v>
      </c>
      <c r="P620">
        <f t="shared" si="989"/>
        <v>0.14503816793893196</v>
      </c>
      <c r="Q620">
        <f t="shared" si="990"/>
        <v>71046904.228244603</v>
      </c>
      <c r="R620">
        <f t="shared" si="991"/>
        <v>1131498350.2841146</v>
      </c>
      <c r="S620">
        <f t="shared" si="992"/>
        <v>11314.983502841145</v>
      </c>
      <c r="T620">
        <f t="shared" si="993"/>
        <v>11.314983502841145</v>
      </c>
    </row>
    <row r="621" spans="1:20" x14ac:dyDescent="0.25">
      <c r="A621" s="5">
        <v>43972</v>
      </c>
      <c r="B621">
        <v>9.5999999999999992E-3</v>
      </c>
      <c r="C621">
        <v>1.025E-2</v>
      </c>
      <c r="D621">
        <v>8.5000000000000006E-3</v>
      </c>
      <c r="E621">
        <v>9.75E-3</v>
      </c>
      <c r="F621">
        <v>569619197.29999995</v>
      </c>
      <c r="G621">
        <v>0</v>
      </c>
      <c r="L621" t="s">
        <v>7</v>
      </c>
      <c r="M621" t="s">
        <v>7</v>
      </c>
      <c r="N621" t="s">
        <v>8</v>
      </c>
      <c r="P621">
        <f t="shared" si="989"/>
        <v>0.42857142857142799</v>
      </c>
      <c r="Q621">
        <f t="shared" si="990"/>
        <v>244122513.12857109</v>
      </c>
      <c r="R621">
        <f t="shared" si="991"/>
        <v>1060451446.0558701</v>
      </c>
      <c r="S621">
        <f t="shared" si="992"/>
        <v>10604.514460558701</v>
      </c>
      <c r="T621">
        <f t="shared" si="993"/>
        <v>10.604514460558701</v>
      </c>
    </row>
    <row r="622" spans="1:20" x14ac:dyDescent="0.25">
      <c r="A622" s="5">
        <v>43971</v>
      </c>
      <c r="B622">
        <v>9.7900000000000001E-3</v>
      </c>
      <c r="C622">
        <v>1.01E-2</v>
      </c>
      <c r="D622">
        <v>9.3200000000000002E-3</v>
      </c>
      <c r="E622">
        <v>9.6200000000000001E-3</v>
      </c>
      <c r="F622">
        <v>287512869.30000001</v>
      </c>
      <c r="G622">
        <v>0</v>
      </c>
      <c r="L622" t="s">
        <v>7</v>
      </c>
      <c r="M622" t="s">
        <v>8</v>
      </c>
      <c r="N622" t="s">
        <v>8</v>
      </c>
      <c r="P622">
        <f t="shared" si="989"/>
        <v>-0.23076923076923042</v>
      </c>
      <c r="Q622">
        <f t="shared" si="990"/>
        <v>-66349123.684615284</v>
      </c>
      <c r="R622">
        <f t="shared" si="991"/>
        <v>816328932.92729902</v>
      </c>
      <c r="S622">
        <f t="shared" si="992"/>
        <v>8163.2893292729905</v>
      </c>
      <c r="T622">
        <f t="shared" si="993"/>
        <v>8.16328932927299</v>
      </c>
    </row>
    <row r="623" spans="1:20" x14ac:dyDescent="0.25">
      <c r="A623" s="5">
        <v>43970</v>
      </c>
      <c r="B623">
        <v>9.9500000000000005E-3</v>
      </c>
      <c r="C623">
        <v>1.0330000000000001E-2</v>
      </c>
      <c r="D623">
        <v>9.3799999999999994E-3</v>
      </c>
      <c r="E623">
        <v>9.7900000000000001E-3</v>
      </c>
      <c r="F623">
        <v>387364266</v>
      </c>
      <c r="G623">
        <v>0</v>
      </c>
      <c r="L623" t="s">
        <v>7</v>
      </c>
      <c r="M623" t="s">
        <v>8</v>
      </c>
      <c r="N623" t="s">
        <v>8</v>
      </c>
      <c r="P623">
        <f t="shared" si="989"/>
        <v>-0.13684210526315763</v>
      </c>
      <c r="Q623">
        <f t="shared" si="990"/>
        <v>-53007741.663157791</v>
      </c>
      <c r="R623">
        <f t="shared" si="991"/>
        <v>882678056.61191428</v>
      </c>
      <c r="S623">
        <f t="shared" si="992"/>
        <v>8826.7805661191433</v>
      </c>
      <c r="T623">
        <f t="shared" si="993"/>
        <v>8.8267805661191439</v>
      </c>
    </row>
    <row r="624" spans="1:20" x14ac:dyDescent="0.25">
      <c r="A624" s="5">
        <v>43969</v>
      </c>
      <c r="B624">
        <v>1.056E-2</v>
      </c>
      <c r="C624">
        <v>1.059E-2</v>
      </c>
      <c r="D624">
        <v>9.7099999999999999E-3</v>
      </c>
      <c r="E624">
        <v>9.9699999999999997E-3</v>
      </c>
      <c r="F624">
        <v>366487581.10000002</v>
      </c>
      <c r="G624">
        <v>0</v>
      </c>
      <c r="L624" t="s">
        <v>7</v>
      </c>
      <c r="M624" t="s">
        <v>8</v>
      </c>
      <c r="N624" t="s">
        <v>8</v>
      </c>
      <c r="P624">
        <f t="shared" si="989"/>
        <v>-0.40909090909090989</v>
      </c>
      <c r="Q624">
        <f t="shared" si="990"/>
        <v>-149926737.72272757</v>
      </c>
      <c r="R624">
        <f t="shared" si="991"/>
        <v>935685798.2750721</v>
      </c>
      <c r="S624">
        <f t="shared" si="992"/>
        <v>9356.8579827507201</v>
      </c>
      <c r="T624">
        <f t="shared" si="993"/>
        <v>9.3568579827507197</v>
      </c>
    </row>
    <row r="625" spans="1:20" x14ac:dyDescent="0.25">
      <c r="A625" s="5">
        <v>43968</v>
      </c>
      <c r="B625">
        <v>1.0919999999999999E-2</v>
      </c>
      <c r="C625">
        <v>1.094E-2</v>
      </c>
      <c r="D625">
        <v>1.04E-2</v>
      </c>
      <c r="E625">
        <v>1.0580000000000001E-2</v>
      </c>
      <c r="F625">
        <v>290106028.5</v>
      </c>
      <c r="G625">
        <v>0</v>
      </c>
      <c r="L625" t="s">
        <v>8</v>
      </c>
      <c r="M625" t="s">
        <v>8</v>
      </c>
      <c r="N625" t="s">
        <v>8</v>
      </c>
      <c r="P625">
        <f t="shared" si="989"/>
        <v>-0.33333333333332904</v>
      </c>
      <c r="Q625">
        <f t="shared" si="990"/>
        <v>-96702009.499998748</v>
      </c>
      <c r="R625">
        <f t="shared" si="991"/>
        <v>1085612535.9977996</v>
      </c>
      <c r="S625">
        <f t="shared" si="992"/>
        <v>10856.125359977996</v>
      </c>
      <c r="T625">
        <f t="shared" si="993"/>
        <v>10.856125359977996</v>
      </c>
    </row>
    <row r="626" spans="1:20" x14ac:dyDescent="0.25">
      <c r="A626" s="5">
        <v>43967</v>
      </c>
      <c r="B626">
        <v>1.005E-2</v>
      </c>
      <c r="C626">
        <v>1.112E-2</v>
      </c>
      <c r="D626">
        <v>9.9500000000000005E-3</v>
      </c>
      <c r="E626">
        <v>1.089E-2</v>
      </c>
      <c r="F626">
        <v>367206774.80000001</v>
      </c>
      <c r="G626">
        <v>0</v>
      </c>
      <c r="L626" t="s">
        <v>8</v>
      </c>
      <c r="M626" t="s">
        <v>8</v>
      </c>
      <c r="N626" t="s">
        <v>8</v>
      </c>
      <c r="P626">
        <f t="shared" si="989"/>
        <v>0.60683760683760779</v>
      </c>
      <c r="Q626">
        <f t="shared" si="990"/>
        <v>222834880.4341884</v>
      </c>
      <c r="R626">
        <f t="shared" si="991"/>
        <v>1182314545.4977984</v>
      </c>
      <c r="S626">
        <f t="shared" si="992"/>
        <v>11823.145454977985</v>
      </c>
      <c r="T626">
        <f t="shared" si="993"/>
        <v>11.823145454977984</v>
      </c>
    </row>
    <row r="627" spans="1:20" x14ac:dyDescent="0.25">
      <c r="A627" s="5">
        <v>43966</v>
      </c>
      <c r="B627">
        <v>1.0460000000000001E-2</v>
      </c>
      <c r="C627">
        <v>1.1050000000000001E-2</v>
      </c>
      <c r="D627">
        <v>9.7999999999999997E-3</v>
      </c>
      <c r="E627">
        <v>1.004E-2</v>
      </c>
      <c r="F627">
        <v>763649394.39999998</v>
      </c>
      <c r="G627">
        <v>0</v>
      </c>
      <c r="L627" t="s">
        <v>7</v>
      </c>
      <c r="M627" t="s">
        <v>8</v>
      </c>
      <c r="N627" t="s">
        <v>8</v>
      </c>
      <c r="P627">
        <f t="shared" si="989"/>
        <v>-0.61599999999999933</v>
      </c>
      <c r="Q627">
        <f t="shared" si="990"/>
        <v>-470408026.95039946</v>
      </c>
      <c r="R627">
        <f t="shared" si="991"/>
        <v>959479665.06361008</v>
      </c>
      <c r="S627">
        <f t="shared" si="992"/>
        <v>9594.7966506361008</v>
      </c>
      <c r="T627">
        <f t="shared" si="993"/>
        <v>9.5947966506361002</v>
      </c>
    </row>
    <row r="628" spans="1:20" x14ac:dyDescent="0.25">
      <c r="A628" s="5">
        <v>43965</v>
      </c>
      <c r="B628">
        <v>9.4400000000000005E-3</v>
      </c>
      <c r="C628">
        <v>1.12E-2</v>
      </c>
      <c r="D628">
        <v>8.6199999999999992E-3</v>
      </c>
      <c r="E628">
        <v>1.0460000000000001E-2</v>
      </c>
      <c r="F628">
        <v>839047881.20000005</v>
      </c>
      <c r="G628">
        <v>0</v>
      </c>
      <c r="L628" t="s">
        <v>8</v>
      </c>
      <c r="M628" t="s">
        <v>8</v>
      </c>
      <c r="N628" t="s">
        <v>8</v>
      </c>
      <c r="P628">
        <f t="shared" si="989"/>
        <v>0.42635658914728747</v>
      </c>
      <c r="Q628">
        <f t="shared" si="990"/>
        <v>357733592.75969046</v>
      </c>
      <c r="R628">
        <f t="shared" si="991"/>
        <v>1429887692.0140095</v>
      </c>
      <c r="S628">
        <f t="shared" si="992"/>
        <v>14298.876920140096</v>
      </c>
      <c r="T628">
        <f t="shared" si="993"/>
        <v>14.298876920140096</v>
      </c>
    </row>
    <row r="629" spans="1:20" x14ac:dyDescent="0.25">
      <c r="A629" s="5">
        <v>43964</v>
      </c>
      <c r="B629">
        <v>7.6299999999999996E-3</v>
      </c>
      <c r="C629">
        <v>9.5499999999999995E-3</v>
      </c>
      <c r="D629">
        <v>7.6E-3</v>
      </c>
      <c r="E629">
        <v>9.4199999999999996E-3</v>
      </c>
      <c r="F629">
        <v>948107452.5</v>
      </c>
      <c r="G629">
        <v>0</v>
      </c>
      <c r="L629" t="s">
        <v>8</v>
      </c>
      <c r="M629" t="s">
        <v>8</v>
      </c>
      <c r="N629" t="s">
        <v>8</v>
      </c>
      <c r="P629">
        <f t="shared" si="989"/>
        <v>0.8666666666666667</v>
      </c>
      <c r="Q629">
        <f t="shared" si="990"/>
        <v>821693125.5</v>
      </c>
      <c r="R629">
        <f t="shared" si="991"/>
        <v>1072154099.254319</v>
      </c>
      <c r="S629">
        <f t="shared" si="992"/>
        <v>10721.540992543189</v>
      </c>
      <c r="T629">
        <f t="shared" si="993"/>
        <v>10.721540992543188</v>
      </c>
    </row>
    <row r="630" spans="1:20" x14ac:dyDescent="0.25">
      <c r="A630" s="5">
        <v>43963</v>
      </c>
      <c r="B630">
        <v>6.9899999999999997E-3</v>
      </c>
      <c r="C630">
        <v>7.8300000000000002E-3</v>
      </c>
      <c r="D630">
        <v>6.8599999999999998E-3</v>
      </c>
      <c r="E630">
        <v>7.62E-3</v>
      </c>
      <c r="F630">
        <v>251973124.09999999</v>
      </c>
      <c r="G630">
        <v>0</v>
      </c>
      <c r="L630" t="s">
        <v>8</v>
      </c>
      <c r="M630" t="s">
        <v>8</v>
      </c>
      <c r="N630" t="s">
        <v>8</v>
      </c>
      <c r="P630">
        <f t="shared" si="989"/>
        <v>0.56701030927835039</v>
      </c>
      <c r="Q630">
        <f t="shared" si="990"/>
        <v>142871359.02577317</v>
      </c>
      <c r="R630">
        <f t="shared" si="991"/>
        <v>250460973.75431901</v>
      </c>
      <c r="S630">
        <f t="shared" si="992"/>
        <v>2504.60973754319</v>
      </c>
      <c r="T630">
        <f t="shared" si="993"/>
        <v>2.5046097375431899</v>
      </c>
    </row>
    <row r="631" spans="1:20" x14ac:dyDescent="0.25">
      <c r="A631" s="5">
        <v>43962</v>
      </c>
      <c r="B631">
        <v>6.8399999999999997E-3</v>
      </c>
      <c r="C631">
        <v>7.3699999999999998E-3</v>
      </c>
      <c r="D631">
        <v>6.3200000000000001E-3</v>
      </c>
      <c r="E631">
        <v>7.0099999999999997E-3</v>
      </c>
      <c r="F631">
        <v>285090650.80000001</v>
      </c>
      <c r="G631">
        <v>0</v>
      </c>
      <c r="L631" t="s">
        <v>8</v>
      </c>
      <c r="M631" t="s">
        <v>8</v>
      </c>
      <c r="N631" t="s">
        <v>8</v>
      </c>
      <c r="P631">
        <f t="shared" si="989"/>
        <v>0.31428571428571395</v>
      </c>
      <c r="Q631">
        <f t="shared" si="990"/>
        <v>89599918.822857052</v>
      </c>
      <c r="R631">
        <f t="shared" si="991"/>
        <v>107589614.72854584</v>
      </c>
      <c r="S631">
        <f t="shared" si="992"/>
        <v>1075.8961472854585</v>
      </c>
      <c r="T631">
        <f t="shared" si="993"/>
        <v>1.0758961472854585</v>
      </c>
    </row>
    <row r="632" spans="1:20" x14ac:dyDescent="0.25">
      <c r="A632" s="5">
        <v>43961</v>
      </c>
      <c r="B632">
        <v>7.1599999999999997E-3</v>
      </c>
      <c r="C632">
        <v>7.3600000000000002E-3</v>
      </c>
      <c r="D632">
        <v>6.0699999999999999E-3</v>
      </c>
      <c r="E632">
        <v>6.8799999999999998E-3</v>
      </c>
      <c r="F632">
        <v>431189694.30000001</v>
      </c>
      <c r="G632">
        <v>0</v>
      </c>
      <c r="L632" t="s">
        <v>7</v>
      </c>
      <c r="M632" t="s">
        <v>7</v>
      </c>
      <c r="N632" t="s">
        <v>8</v>
      </c>
      <c r="P632">
        <f t="shared" si="989"/>
        <v>0.25581395348837166</v>
      </c>
      <c r="Q632">
        <f t="shared" si="990"/>
        <v>110304340.40232539</v>
      </c>
      <c r="R632">
        <f t="shared" si="991"/>
        <v>17989695.905688792</v>
      </c>
      <c r="S632">
        <f t="shared" si="992"/>
        <v>179.89695905688794</v>
      </c>
      <c r="T632">
        <f t="shared" si="993"/>
        <v>0.17989695905688793</v>
      </c>
    </row>
    <row r="633" spans="1:20" x14ac:dyDescent="0.25">
      <c r="A633" s="5">
        <v>43960</v>
      </c>
      <c r="B633">
        <v>7.0000000000000001E-3</v>
      </c>
      <c r="C633">
        <v>7.3499999999999998E-3</v>
      </c>
      <c r="D633">
        <v>6.94E-3</v>
      </c>
      <c r="E633">
        <v>7.1700000000000002E-3</v>
      </c>
      <c r="F633">
        <v>140087068.5</v>
      </c>
      <c r="G633">
        <v>0</v>
      </c>
      <c r="L633" t="s">
        <v>7</v>
      </c>
      <c r="M633" t="s">
        <v>7</v>
      </c>
      <c r="N633" t="s">
        <v>8</v>
      </c>
      <c r="P633">
        <f t="shared" si="989"/>
        <v>0.12195121951219656</v>
      </c>
      <c r="Q633">
        <f t="shared" si="990"/>
        <v>17083788.841463618</v>
      </c>
      <c r="R633">
        <f t="shared" si="991"/>
        <v>-92314644.496636599</v>
      </c>
      <c r="S633">
        <f t="shared" si="992"/>
        <v>-923.14644496636595</v>
      </c>
      <c r="T633">
        <f t="shared" si="993"/>
        <v>-0.923146444966366</v>
      </c>
    </row>
    <row r="634" spans="1:20" x14ac:dyDescent="0.25">
      <c r="A634" s="5">
        <v>43959</v>
      </c>
      <c r="B634">
        <v>7.0800000000000004E-3</v>
      </c>
      <c r="C634">
        <v>7.7000000000000002E-3</v>
      </c>
      <c r="D634">
        <v>6.8599999999999998E-3</v>
      </c>
      <c r="E634">
        <v>7.0200000000000002E-3</v>
      </c>
      <c r="F634">
        <v>304763350.89999998</v>
      </c>
      <c r="G634">
        <v>0</v>
      </c>
      <c r="L634" t="s">
        <v>8</v>
      </c>
      <c r="M634" t="s">
        <v>7</v>
      </c>
      <c r="N634" t="s">
        <v>8</v>
      </c>
      <c r="P634">
        <f t="shared" si="989"/>
        <v>-0.61904761904761829</v>
      </c>
      <c r="Q634">
        <f t="shared" si="990"/>
        <v>-188663026.74761879</v>
      </c>
      <c r="R634">
        <f t="shared" si="991"/>
        <v>-109398433.33810022</v>
      </c>
      <c r="S634">
        <f t="shared" si="992"/>
        <v>-1093.9843333810022</v>
      </c>
      <c r="T634">
        <f t="shared" si="993"/>
        <v>-1.0939843333810022</v>
      </c>
    </row>
    <row r="635" spans="1:20" x14ac:dyDescent="0.25">
      <c r="A635" s="5">
        <v>43958</v>
      </c>
      <c r="B635">
        <v>7.0200000000000002E-3</v>
      </c>
      <c r="C635">
        <v>7.4700000000000001E-3</v>
      </c>
      <c r="D635">
        <v>6.7400000000000003E-3</v>
      </c>
      <c r="E635">
        <v>7.0899999999999999E-3</v>
      </c>
      <c r="F635">
        <v>365211287.69999999</v>
      </c>
      <c r="G635">
        <v>0</v>
      </c>
      <c r="L635" t="s">
        <v>7</v>
      </c>
      <c r="M635" t="s">
        <v>7</v>
      </c>
      <c r="N635" t="s">
        <v>8</v>
      </c>
      <c r="P635">
        <f t="shared" si="989"/>
        <v>-4.1095890410959623E-2</v>
      </c>
      <c r="Q635">
        <f t="shared" si="990"/>
        <v>-15008683.056164647</v>
      </c>
      <c r="R635">
        <f t="shared" si="991"/>
        <v>79264593.40951857</v>
      </c>
      <c r="S635">
        <f t="shared" si="992"/>
        <v>792.64593409518568</v>
      </c>
      <c r="T635">
        <f t="shared" si="993"/>
        <v>0.79264593409518569</v>
      </c>
    </row>
    <row r="636" spans="1:20" x14ac:dyDescent="0.25">
      <c r="A636" s="5">
        <v>43957</v>
      </c>
      <c r="B636">
        <v>8.2500000000000004E-3</v>
      </c>
      <c r="C636">
        <v>8.3800000000000003E-3</v>
      </c>
      <c r="D636">
        <v>6.94E-3</v>
      </c>
      <c r="E636">
        <v>7.0600000000000003E-3</v>
      </c>
      <c r="F636">
        <v>438750687.30000001</v>
      </c>
      <c r="G636">
        <v>0</v>
      </c>
      <c r="L636" t="s">
        <v>7</v>
      </c>
      <c r="M636" t="s">
        <v>7</v>
      </c>
      <c r="N636" t="s">
        <v>8</v>
      </c>
      <c r="P636">
        <f t="shared" si="989"/>
        <v>-0.83333333333333293</v>
      </c>
      <c r="Q636">
        <f t="shared" si="990"/>
        <v>-365625572.74999982</v>
      </c>
      <c r="R636">
        <f t="shared" si="991"/>
        <v>94273276.465683222</v>
      </c>
      <c r="S636">
        <f t="shared" si="992"/>
        <v>942.73276465683227</v>
      </c>
      <c r="T636">
        <f t="shared" si="993"/>
        <v>0.94273276465683231</v>
      </c>
    </row>
    <row r="637" spans="1:20" x14ac:dyDescent="0.25">
      <c r="A637" s="5">
        <v>43956</v>
      </c>
      <c r="B637">
        <v>7.11E-3</v>
      </c>
      <c r="C637">
        <v>8.4899999999999993E-3</v>
      </c>
      <c r="D637">
        <v>6.8999999999999999E-3</v>
      </c>
      <c r="E637">
        <v>8.26E-3</v>
      </c>
      <c r="F637">
        <v>369724842.60000002</v>
      </c>
      <c r="G637">
        <v>0</v>
      </c>
      <c r="L637" t="s">
        <v>8</v>
      </c>
      <c r="M637" t="s">
        <v>8</v>
      </c>
      <c r="N637" t="s">
        <v>8</v>
      </c>
      <c r="P637">
        <f t="shared" si="989"/>
        <v>0.7106918238993718</v>
      </c>
      <c r="Q637">
        <f t="shared" si="990"/>
        <v>262760422.72830218</v>
      </c>
      <c r="R637">
        <f t="shared" si="991"/>
        <v>459898849.21568304</v>
      </c>
      <c r="S637">
        <f t="shared" si="992"/>
        <v>4598.98849215683</v>
      </c>
      <c r="T637">
        <f t="shared" si="993"/>
        <v>4.5989884921568303</v>
      </c>
    </row>
    <row r="638" spans="1:20" x14ac:dyDescent="0.25">
      <c r="A638" s="5">
        <v>43955</v>
      </c>
      <c r="B638">
        <v>6.0800000000000003E-3</v>
      </c>
      <c r="C638">
        <v>7.6899999999999998E-3</v>
      </c>
      <c r="D638">
        <v>5.9100000000000003E-3</v>
      </c>
      <c r="E638">
        <v>7.1000000000000004E-3</v>
      </c>
      <c r="F638">
        <v>810075635.39999998</v>
      </c>
      <c r="G638">
        <v>0</v>
      </c>
      <c r="L638" t="s">
        <v>8</v>
      </c>
      <c r="M638" t="s">
        <v>8</v>
      </c>
      <c r="N638" t="s">
        <v>8</v>
      </c>
      <c r="P638">
        <f t="shared" si="989"/>
        <v>0.33707865168539375</v>
      </c>
      <c r="Q638">
        <f t="shared" si="990"/>
        <v>273059202.9438206</v>
      </c>
      <c r="R638">
        <f t="shared" si="991"/>
        <v>197138426.48738086</v>
      </c>
      <c r="S638">
        <f t="shared" si="992"/>
        <v>1971.3842648738087</v>
      </c>
      <c r="T638">
        <f t="shared" si="993"/>
        <v>1.9713842648738087</v>
      </c>
    </row>
    <row r="639" spans="1:20" x14ac:dyDescent="0.25">
      <c r="A639" s="5">
        <v>43954</v>
      </c>
      <c r="B639">
        <v>6.2100000000000002E-3</v>
      </c>
      <c r="C639">
        <v>6.3099999999999996E-3</v>
      </c>
      <c r="D639">
        <v>5.7999999999999996E-3</v>
      </c>
      <c r="E639">
        <v>6.0600000000000003E-3</v>
      </c>
      <c r="F639">
        <v>136010921.19999999</v>
      </c>
      <c r="G639">
        <v>0</v>
      </c>
      <c r="L639" t="s">
        <v>8</v>
      </c>
      <c r="M639" t="s">
        <v>8</v>
      </c>
      <c r="N639" t="s">
        <v>8</v>
      </c>
      <c r="P639">
        <f t="shared" si="989"/>
        <v>1.9607843137257504E-2</v>
      </c>
      <c r="Q639">
        <f t="shared" si="990"/>
        <v>2666880.807843491</v>
      </c>
      <c r="R639">
        <f t="shared" si="991"/>
        <v>-75920776.456439748</v>
      </c>
      <c r="S639">
        <f t="shared" si="992"/>
        <v>-759.20776456439751</v>
      </c>
      <c r="T639">
        <f t="shared" si="993"/>
        <v>-0.75920776456439754</v>
      </c>
    </row>
    <row r="640" spans="1:20" x14ac:dyDescent="0.25">
      <c r="A640" s="5">
        <v>43953</v>
      </c>
      <c r="B640">
        <v>5.94E-3</v>
      </c>
      <c r="C640">
        <v>6.2700000000000004E-3</v>
      </c>
      <c r="D640">
        <v>5.7999999999999996E-3</v>
      </c>
      <c r="E640">
        <v>6.2100000000000002E-3</v>
      </c>
      <c r="F640">
        <v>185264500.5</v>
      </c>
      <c r="G640">
        <v>0</v>
      </c>
      <c r="L640" t="s">
        <v>7</v>
      </c>
      <c r="M640" t="s">
        <v>8</v>
      </c>
      <c r="N640" t="s">
        <v>8</v>
      </c>
      <c r="P640">
        <f t="shared" si="989"/>
        <v>0.74468085106382953</v>
      </c>
      <c r="Q640">
        <f t="shared" si="990"/>
        <v>137962925.90425527</v>
      </c>
      <c r="R640">
        <f t="shared" si="991"/>
        <v>-78587657.26428324</v>
      </c>
      <c r="S640">
        <f t="shared" si="992"/>
        <v>-785.87657264283234</v>
      </c>
      <c r="T640">
        <f t="shared" si="993"/>
        <v>-0.78587657264283239</v>
      </c>
    </row>
    <row r="641" spans="1:20" x14ac:dyDescent="0.25">
      <c r="A641" s="5">
        <v>43952</v>
      </c>
      <c r="B641">
        <v>5.4999999999999997E-3</v>
      </c>
      <c r="C641">
        <v>6.1700000000000001E-3</v>
      </c>
      <c r="D641">
        <v>5.4900000000000001E-3</v>
      </c>
      <c r="E641">
        <v>5.9500000000000004E-3</v>
      </c>
      <c r="F641">
        <v>266840826.40000001</v>
      </c>
      <c r="G641">
        <v>0</v>
      </c>
      <c r="L641" t="s">
        <v>8</v>
      </c>
      <c r="M641" t="s">
        <v>8</v>
      </c>
      <c r="N641" t="s">
        <v>8</v>
      </c>
      <c r="P641">
        <f t="shared" si="989"/>
        <v>0.35294117647058915</v>
      </c>
      <c r="Q641">
        <f t="shared" si="990"/>
        <v>94179115.200000241</v>
      </c>
      <c r="R641">
        <f t="shared" si="991"/>
        <v>-216550583.16853851</v>
      </c>
      <c r="S641">
        <f t="shared" si="992"/>
        <v>-2165.5058316853851</v>
      </c>
      <c r="T641">
        <f t="shared" si="993"/>
        <v>-2.165505831685385</v>
      </c>
    </row>
    <row r="642" spans="1:20" x14ac:dyDescent="0.25">
      <c r="A642" s="5">
        <v>43951</v>
      </c>
      <c r="B642">
        <v>5.3699999999999998E-3</v>
      </c>
      <c r="C642">
        <v>5.7800000000000004E-3</v>
      </c>
      <c r="D642">
        <v>5.0899999999999999E-3</v>
      </c>
      <c r="E642">
        <v>5.5300000000000002E-3</v>
      </c>
      <c r="F642">
        <v>269284322.10000002</v>
      </c>
      <c r="G642">
        <v>0</v>
      </c>
      <c r="L642" t="s">
        <v>8</v>
      </c>
      <c r="M642" t="s">
        <v>8</v>
      </c>
      <c r="N642" t="s">
        <v>8</v>
      </c>
      <c r="P642">
        <f t="shared" si="989"/>
        <v>0.2753623188405796</v>
      </c>
      <c r="Q642">
        <f t="shared" si="990"/>
        <v>74150755.360869542</v>
      </c>
      <c r="R642">
        <f t="shared" si="991"/>
        <v>-310729698.36853874</v>
      </c>
      <c r="S642">
        <f t="shared" si="992"/>
        <v>-3107.2969836853872</v>
      </c>
      <c r="T642">
        <f t="shared" si="993"/>
        <v>-3.1072969836853872</v>
      </c>
    </row>
    <row r="643" spans="1:20" x14ac:dyDescent="0.25">
      <c r="A643" s="5">
        <v>43950</v>
      </c>
      <c r="B643">
        <v>4.9800000000000001E-3</v>
      </c>
      <c r="C643">
        <v>5.4099999999999999E-3</v>
      </c>
      <c r="D643">
        <v>4.96E-3</v>
      </c>
      <c r="E643">
        <v>5.3699999999999998E-3</v>
      </c>
      <c r="F643">
        <v>155861951.40000001</v>
      </c>
      <c r="G643">
        <v>0</v>
      </c>
      <c r="L643" t="s">
        <v>8</v>
      </c>
      <c r="M643" t="s">
        <v>8</v>
      </c>
      <c r="N643" t="s">
        <v>8</v>
      </c>
      <c r="P643">
        <f t="shared" si="989"/>
        <v>0.82222222222222174</v>
      </c>
      <c r="Q643">
        <f t="shared" si="990"/>
        <v>128153160.03999993</v>
      </c>
      <c r="R643">
        <f t="shared" si="991"/>
        <v>-384880453.72940826</v>
      </c>
      <c r="S643">
        <f t="shared" si="992"/>
        <v>-3848.8045372940828</v>
      </c>
      <c r="T643">
        <f t="shared" si="993"/>
        <v>-3.8488045372940829</v>
      </c>
    </row>
    <row r="644" spans="1:20" x14ac:dyDescent="0.25">
      <c r="A644" s="5">
        <v>43949</v>
      </c>
      <c r="B644">
        <v>5.0099999999999997E-3</v>
      </c>
      <c r="C644">
        <v>5.0800000000000003E-3</v>
      </c>
      <c r="D644">
        <v>4.8399999999999997E-3</v>
      </c>
      <c r="E644">
        <v>4.9800000000000001E-3</v>
      </c>
      <c r="F644">
        <v>66439824.700000003</v>
      </c>
      <c r="G644">
        <v>0</v>
      </c>
      <c r="L644" t="s">
        <v>7</v>
      </c>
      <c r="M644" t="s">
        <v>8</v>
      </c>
      <c r="N644" t="s">
        <v>8</v>
      </c>
      <c r="P644">
        <f t="shared" si="989"/>
        <v>0.16666666666666666</v>
      </c>
      <c r="Q644">
        <f t="shared" si="990"/>
        <v>11073304.116666667</v>
      </c>
      <c r="R644">
        <f t="shared" si="991"/>
        <v>-513033613.76940817</v>
      </c>
      <c r="S644">
        <f t="shared" si="992"/>
        <v>-5130.336137694082</v>
      </c>
      <c r="T644">
        <f t="shared" si="993"/>
        <v>-5.1303361376940817</v>
      </c>
    </row>
    <row r="645" spans="1:20" x14ac:dyDescent="0.25">
      <c r="A645" s="5">
        <v>43948</v>
      </c>
      <c r="B645">
        <v>5.0699999999999999E-3</v>
      </c>
      <c r="C645">
        <v>5.2700000000000004E-3</v>
      </c>
      <c r="D645">
        <v>4.7800000000000004E-3</v>
      </c>
      <c r="E645">
        <v>5.0299999999999997E-3</v>
      </c>
      <c r="F645">
        <v>163531369.5</v>
      </c>
      <c r="G645">
        <v>0</v>
      </c>
      <c r="L645" t="s">
        <v>7</v>
      </c>
      <c r="M645" t="s">
        <v>8</v>
      </c>
      <c r="N645" t="s">
        <v>8</v>
      </c>
      <c r="P645">
        <f t="shared" si="989"/>
        <v>2.0408163265303522E-2</v>
      </c>
      <c r="Q645">
        <f t="shared" si="990"/>
        <v>3337374.8877546769</v>
      </c>
      <c r="R645">
        <f t="shared" si="991"/>
        <v>-524106917.88607484</v>
      </c>
      <c r="S645">
        <f t="shared" si="992"/>
        <v>-5241.0691788607483</v>
      </c>
      <c r="T645">
        <f t="shared" si="993"/>
        <v>-5.241069178860748</v>
      </c>
    </row>
    <row r="646" spans="1:20" x14ac:dyDescent="0.25">
      <c r="A646" s="5">
        <v>43947</v>
      </c>
      <c r="B646">
        <v>4.79E-3</v>
      </c>
      <c r="C646">
        <v>5.28E-3</v>
      </c>
      <c r="D646">
        <v>4.79E-3</v>
      </c>
      <c r="E646">
        <v>5.0699999999999999E-3</v>
      </c>
      <c r="F646">
        <v>216487227.69999999</v>
      </c>
      <c r="G646">
        <v>0</v>
      </c>
      <c r="L646" t="s">
        <v>8</v>
      </c>
      <c r="M646" t="s">
        <v>8</v>
      </c>
      <c r="N646" t="s">
        <v>8</v>
      </c>
      <c r="P646">
        <f t="shared" ref="P646:P709" si="994">IF(C646=D646,0,((E646-D646)-(C646-E646))/(C646-D646))</f>
        <v>0.14285714285714235</v>
      </c>
      <c r="Q646">
        <f t="shared" ref="Q646:Q709" si="995">F646*P646</f>
        <v>30926746.814285602</v>
      </c>
      <c r="R646">
        <f t="shared" ref="R646:R709" si="996">R647+Q646</f>
        <v>-527444292.77382952</v>
      </c>
      <c r="S646">
        <f t="shared" ref="S646:S709" si="997">R646/100000</f>
        <v>-5274.4429277382951</v>
      </c>
      <c r="T646">
        <f t="shared" ref="T646:T709" si="998">S646/1000</f>
        <v>-5.2744429277382947</v>
      </c>
    </row>
    <row r="647" spans="1:20" x14ac:dyDescent="0.25">
      <c r="A647" s="5">
        <v>43946</v>
      </c>
      <c r="B647">
        <v>4.6499999999999996E-3</v>
      </c>
      <c r="C647">
        <v>4.8300000000000001E-3</v>
      </c>
      <c r="D647">
        <v>4.5999999999999999E-3</v>
      </c>
      <c r="E647">
        <v>4.79E-3</v>
      </c>
      <c r="F647">
        <v>100135170.40000001</v>
      </c>
      <c r="G647">
        <v>0</v>
      </c>
      <c r="L647" t="s">
        <v>8</v>
      </c>
      <c r="M647" t="s">
        <v>8</v>
      </c>
      <c r="N647" t="s">
        <v>8</v>
      </c>
      <c r="P647">
        <f t="shared" si="994"/>
        <v>0.6521739130434776</v>
      </c>
      <c r="Q647">
        <f t="shared" si="995"/>
        <v>65305545.913043417</v>
      </c>
      <c r="R647">
        <f t="shared" si="996"/>
        <v>-558371039.5881151</v>
      </c>
      <c r="S647">
        <f t="shared" si="997"/>
        <v>-5583.7103958811513</v>
      </c>
      <c r="T647">
        <f t="shared" si="998"/>
        <v>-5.5837103958811509</v>
      </c>
    </row>
    <row r="648" spans="1:20" x14ac:dyDescent="0.25">
      <c r="A648" s="5">
        <v>43945</v>
      </c>
      <c r="B648">
        <v>4.3400000000000001E-3</v>
      </c>
      <c r="C648">
        <v>4.7600000000000003E-3</v>
      </c>
      <c r="D648">
        <v>4.3400000000000001E-3</v>
      </c>
      <c r="E648">
        <v>4.6499999999999996E-3</v>
      </c>
      <c r="F648">
        <v>143305143.59999999</v>
      </c>
      <c r="G648">
        <v>0</v>
      </c>
      <c r="L648" t="s">
        <v>8</v>
      </c>
      <c r="M648" t="s">
        <v>8</v>
      </c>
      <c r="N648" t="s">
        <v>8</v>
      </c>
      <c r="P648">
        <f t="shared" si="994"/>
        <v>0.47619047619047306</v>
      </c>
      <c r="Q648">
        <f t="shared" si="995"/>
        <v>68240544.57142812</v>
      </c>
      <c r="R648">
        <f t="shared" si="996"/>
        <v>-623676585.50115848</v>
      </c>
      <c r="S648">
        <f t="shared" si="997"/>
        <v>-6236.7658550115848</v>
      </c>
      <c r="T648">
        <f t="shared" si="998"/>
        <v>-6.2367658550115852</v>
      </c>
    </row>
    <row r="649" spans="1:20" x14ac:dyDescent="0.25">
      <c r="A649" s="5">
        <v>43944</v>
      </c>
      <c r="B649">
        <v>4.1999999999999997E-3</v>
      </c>
      <c r="C649">
        <v>4.4400000000000004E-3</v>
      </c>
      <c r="D649">
        <v>4.0899999999999999E-3</v>
      </c>
      <c r="E649">
        <v>4.3299999999999996E-3</v>
      </c>
      <c r="F649">
        <v>130868711</v>
      </c>
      <c r="G649">
        <v>0</v>
      </c>
      <c r="L649" t="s">
        <v>8</v>
      </c>
      <c r="M649" t="s">
        <v>7</v>
      </c>
      <c r="N649" t="s">
        <v>8</v>
      </c>
      <c r="P649">
        <f t="shared" si="994"/>
        <v>0.37142857142856817</v>
      </c>
      <c r="Q649">
        <f t="shared" si="995"/>
        <v>48608378.371428147</v>
      </c>
      <c r="R649">
        <f t="shared" si="996"/>
        <v>-691917130.07258666</v>
      </c>
      <c r="S649">
        <f t="shared" si="997"/>
        <v>-6919.1713007258668</v>
      </c>
      <c r="T649">
        <f t="shared" si="998"/>
        <v>-6.9191713007258668</v>
      </c>
    </row>
    <row r="650" spans="1:20" x14ac:dyDescent="0.25">
      <c r="A650" s="5">
        <v>43943</v>
      </c>
      <c r="B650">
        <v>4.1200000000000004E-3</v>
      </c>
      <c r="C650">
        <v>4.3E-3</v>
      </c>
      <c r="D650">
        <v>4.0400000000000002E-3</v>
      </c>
      <c r="E650">
        <v>4.2199999999999998E-3</v>
      </c>
      <c r="F650">
        <v>61260462.899999999</v>
      </c>
      <c r="G650">
        <v>0</v>
      </c>
      <c r="L650" t="s">
        <v>7</v>
      </c>
      <c r="M650" t="s">
        <v>7</v>
      </c>
      <c r="N650" t="s">
        <v>8</v>
      </c>
      <c r="P650">
        <f t="shared" si="994"/>
        <v>0.38461538461538258</v>
      </c>
      <c r="Q650">
        <f t="shared" si="995"/>
        <v>23561716.499999873</v>
      </c>
      <c r="R650">
        <f t="shared" si="996"/>
        <v>-740525508.44401479</v>
      </c>
      <c r="S650">
        <f t="shared" si="997"/>
        <v>-7405.2550844401476</v>
      </c>
      <c r="T650">
        <f t="shared" si="998"/>
        <v>-7.4052550844401477</v>
      </c>
    </row>
    <row r="651" spans="1:20" x14ac:dyDescent="0.25">
      <c r="A651" s="5">
        <v>43942</v>
      </c>
      <c r="B651">
        <v>4.0400000000000002E-3</v>
      </c>
      <c r="C651">
        <v>4.2199999999999998E-3</v>
      </c>
      <c r="D651">
        <v>4.0000000000000001E-3</v>
      </c>
      <c r="E651">
        <v>4.1200000000000004E-3</v>
      </c>
      <c r="F651">
        <v>51911361.899999999</v>
      </c>
      <c r="G651">
        <v>0</v>
      </c>
      <c r="L651" t="s">
        <v>7</v>
      </c>
      <c r="M651" t="s">
        <v>7</v>
      </c>
      <c r="N651" t="s">
        <v>8</v>
      </c>
      <c r="P651">
        <f t="shared" si="994"/>
        <v>9.0909090909095214E-2</v>
      </c>
      <c r="Q651">
        <f t="shared" si="995"/>
        <v>4719214.7181820413</v>
      </c>
      <c r="R651">
        <f t="shared" si="996"/>
        <v>-764087224.94401467</v>
      </c>
      <c r="S651">
        <f t="shared" si="997"/>
        <v>-7640.8722494401463</v>
      </c>
      <c r="T651">
        <f t="shared" si="998"/>
        <v>-7.6408722494401466</v>
      </c>
    </row>
    <row r="652" spans="1:20" x14ac:dyDescent="0.25">
      <c r="A652" s="5">
        <v>43941</v>
      </c>
      <c r="B652">
        <v>4.2300000000000003E-3</v>
      </c>
      <c r="C652">
        <v>4.4200000000000003E-3</v>
      </c>
      <c r="D652">
        <v>4.0299999999999997E-3</v>
      </c>
      <c r="E652">
        <v>4.0299999999999997E-3</v>
      </c>
      <c r="F652">
        <v>87880945.400000006</v>
      </c>
      <c r="G652">
        <v>0</v>
      </c>
      <c r="L652" t="s">
        <v>7</v>
      </c>
      <c r="M652" t="s">
        <v>7</v>
      </c>
      <c r="N652" t="s">
        <v>8</v>
      </c>
      <c r="P652">
        <f t="shared" si="994"/>
        <v>-1</v>
      </c>
      <c r="Q652">
        <f t="shared" si="995"/>
        <v>-87880945.400000006</v>
      </c>
      <c r="R652">
        <f t="shared" si="996"/>
        <v>-768806439.66219676</v>
      </c>
      <c r="S652">
        <f t="shared" si="997"/>
        <v>-7688.0643966219677</v>
      </c>
      <c r="T652">
        <f t="shared" si="998"/>
        <v>-7.6880643966219679</v>
      </c>
    </row>
    <row r="653" spans="1:20" x14ac:dyDescent="0.25">
      <c r="A653" s="5">
        <v>43940</v>
      </c>
      <c r="B653">
        <v>4.4200000000000003E-3</v>
      </c>
      <c r="C653">
        <v>4.4400000000000004E-3</v>
      </c>
      <c r="D653">
        <v>4.2100000000000002E-3</v>
      </c>
      <c r="E653">
        <v>4.2399999999999998E-3</v>
      </c>
      <c r="F653">
        <v>55153448.899999999</v>
      </c>
      <c r="G653">
        <v>0</v>
      </c>
      <c r="L653" t="s">
        <v>8</v>
      </c>
      <c r="M653" t="s">
        <v>7</v>
      </c>
      <c r="N653" t="s">
        <v>8</v>
      </c>
      <c r="P653">
        <f t="shared" si="994"/>
        <v>-0.73913043478261198</v>
      </c>
      <c r="Q653">
        <f t="shared" si="995"/>
        <v>-40765592.665217571</v>
      </c>
      <c r="R653">
        <f t="shared" si="996"/>
        <v>-680925494.26219678</v>
      </c>
      <c r="S653">
        <f t="shared" si="997"/>
        <v>-6809.2549426219675</v>
      </c>
      <c r="T653">
        <f t="shared" si="998"/>
        <v>-6.8092549426219673</v>
      </c>
    </row>
    <row r="654" spans="1:20" x14ac:dyDescent="0.25">
      <c r="A654" s="5">
        <v>43939</v>
      </c>
      <c r="B654">
        <v>4.1999999999999997E-3</v>
      </c>
      <c r="C654">
        <v>4.4200000000000003E-3</v>
      </c>
      <c r="D654">
        <v>4.1799999999999997E-3</v>
      </c>
      <c r="E654">
        <v>4.4099999999999999E-3</v>
      </c>
      <c r="F654">
        <v>66346414.5</v>
      </c>
      <c r="G654">
        <v>0</v>
      </c>
      <c r="L654" t="s">
        <v>8</v>
      </c>
      <c r="M654" t="s">
        <v>7</v>
      </c>
      <c r="N654" t="s">
        <v>8</v>
      </c>
      <c r="P654">
        <f t="shared" si="994"/>
        <v>0.91666666666666308</v>
      </c>
      <c r="Q654">
        <f t="shared" si="995"/>
        <v>60817546.624999762</v>
      </c>
      <c r="R654">
        <f t="shared" si="996"/>
        <v>-640159901.59697926</v>
      </c>
      <c r="S654">
        <f t="shared" si="997"/>
        <v>-6401.5990159697922</v>
      </c>
      <c r="T654">
        <f t="shared" si="998"/>
        <v>-6.4015990159697918</v>
      </c>
    </row>
    <row r="655" spans="1:20" x14ac:dyDescent="0.25">
      <c r="A655" s="5">
        <v>43938</v>
      </c>
      <c r="B655">
        <v>4.3E-3</v>
      </c>
      <c r="C655">
        <v>4.3200000000000001E-3</v>
      </c>
      <c r="D655">
        <v>4.1700000000000001E-3</v>
      </c>
      <c r="E655">
        <v>4.1999999999999997E-3</v>
      </c>
      <c r="F655">
        <v>59427495.299999997</v>
      </c>
      <c r="G655">
        <v>0</v>
      </c>
      <c r="L655" t="s">
        <v>8</v>
      </c>
      <c r="M655" t="s">
        <v>7</v>
      </c>
      <c r="N655" t="s">
        <v>8</v>
      </c>
      <c r="P655">
        <f t="shared" si="994"/>
        <v>-0.60000000000000464</v>
      </c>
      <c r="Q655">
        <f t="shared" si="995"/>
        <v>-35656497.180000275</v>
      </c>
      <c r="R655">
        <f t="shared" si="996"/>
        <v>-700977448.22197902</v>
      </c>
      <c r="S655">
        <f t="shared" si="997"/>
        <v>-7009.7744822197901</v>
      </c>
      <c r="T655">
        <f t="shared" si="998"/>
        <v>-7.0097744822197905</v>
      </c>
    </row>
    <row r="656" spans="1:20" x14ac:dyDescent="0.25">
      <c r="A656" s="5">
        <v>43937</v>
      </c>
      <c r="B656">
        <v>3.98E-3</v>
      </c>
      <c r="C656">
        <v>4.3499999999999997E-3</v>
      </c>
      <c r="D656">
        <v>3.8600000000000001E-3</v>
      </c>
      <c r="E656">
        <v>4.28E-3</v>
      </c>
      <c r="F656">
        <v>113071555.09999999</v>
      </c>
      <c r="G656">
        <v>0</v>
      </c>
      <c r="L656" t="s">
        <v>7</v>
      </c>
      <c r="M656" t="s">
        <v>7</v>
      </c>
      <c r="N656" t="s">
        <v>8</v>
      </c>
      <c r="P656">
        <f t="shared" si="994"/>
        <v>0.71428571428571508</v>
      </c>
      <c r="Q656">
        <f t="shared" si="995"/>
        <v>80765396.500000089</v>
      </c>
      <c r="R656">
        <f t="shared" si="996"/>
        <v>-665320951.04197872</v>
      </c>
      <c r="S656">
        <f t="shared" si="997"/>
        <v>-6653.209510419787</v>
      </c>
      <c r="T656">
        <f t="shared" si="998"/>
        <v>-6.6532095104197868</v>
      </c>
    </row>
    <row r="657" spans="1:20" x14ac:dyDescent="0.25">
      <c r="A657" s="5">
        <v>43936</v>
      </c>
      <c r="B657">
        <v>4.1399999999999996E-3</v>
      </c>
      <c r="C657">
        <v>4.2199999999999998E-3</v>
      </c>
      <c r="D657">
        <v>3.98E-3</v>
      </c>
      <c r="E657">
        <v>4.0000000000000001E-3</v>
      </c>
      <c r="F657">
        <v>57579892.700000003</v>
      </c>
      <c r="G657">
        <v>0</v>
      </c>
      <c r="L657" t="s">
        <v>7</v>
      </c>
      <c r="M657" t="s">
        <v>7</v>
      </c>
      <c r="N657" t="s">
        <v>8</v>
      </c>
      <c r="P657">
        <f t="shared" si="994"/>
        <v>-0.8333333333333327</v>
      </c>
      <c r="Q657">
        <f t="shared" si="995"/>
        <v>-47983243.916666634</v>
      </c>
      <c r="R657">
        <f t="shared" si="996"/>
        <v>-746086347.54197884</v>
      </c>
      <c r="S657">
        <f t="shared" si="997"/>
        <v>-7460.8634754197883</v>
      </c>
      <c r="T657">
        <f t="shared" si="998"/>
        <v>-7.4608634754197887</v>
      </c>
    </row>
    <row r="658" spans="1:20" x14ac:dyDescent="0.25">
      <c r="A658" s="5">
        <v>43935</v>
      </c>
      <c r="B658">
        <v>4.1200000000000004E-3</v>
      </c>
      <c r="C658">
        <v>4.2199999999999998E-3</v>
      </c>
      <c r="D658">
        <v>4.0000000000000001E-3</v>
      </c>
      <c r="E658">
        <v>4.1399999999999996E-3</v>
      </c>
      <c r="F658">
        <v>62142306.799999997</v>
      </c>
      <c r="G658">
        <v>0</v>
      </c>
      <c r="L658" t="s">
        <v>7</v>
      </c>
      <c r="M658" t="s">
        <v>7</v>
      </c>
      <c r="N658" t="s">
        <v>8</v>
      </c>
      <c r="P658">
        <f t="shared" si="994"/>
        <v>0.27272727272726988</v>
      </c>
      <c r="Q658">
        <f t="shared" si="995"/>
        <v>16947901.854545277</v>
      </c>
      <c r="R658">
        <f t="shared" si="996"/>
        <v>-698103103.62531221</v>
      </c>
      <c r="S658">
        <f t="shared" si="997"/>
        <v>-6981.0310362531218</v>
      </c>
      <c r="T658">
        <f t="shared" si="998"/>
        <v>-6.981031036253122</v>
      </c>
    </row>
    <row r="659" spans="1:20" x14ac:dyDescent="0.25">
      <c r="A659" s="5">
        <v>43934</v>
      </c>
      <c r="B659">
        <v>4.1999999999999997E-3</v>
      </c>
      <c r="C659">
        <v>4.2300000000000003E-3</v>
      </c>
      <c r="D659">
        <v>4.0099999999999997E-3</v>
      </c>
      <c r="E659">
        <v>4.1099999999999999E-3</v>
      </c>
      <c r="F659">
        <v>93894598.700000003</v>
      </c>
      <c r="G659">
        <v>0</v>
      </c>
      <c r="L659" t="s">
        <v>7</v>
      </c>
      <c r="M659" t="s">
        <v>7</v>
      </c>
      <c r="N659" t="s">
        <v>8</v>
      </c>
      <c r="P659">
        <f t="shared" si="994"/>
        <v>-9.0909090909090912E-2</v>
      </c>
      <c r="Q659">
        <f t="shared" si="995"/>
        <v>-8535872.6090909094</v>
      </c>
      <c r="R659">
        <f t="shared" si="996"/>
        <v>-715051005.47985744</v>
      </c>
      <c r="S659">
        <f t="shared" si="997"/>
        <v>-7150.5100547985749</v>
      </c>
      <c r="T659">
        <f t="shared" si="998"/>
        <v>-7.1505100547985752</v>
      </c>
    </row>
    <row r="660" spans="1:20" x14ac:dyDescent="0.25">
      <c r="A660" s="5">
        <v>43933</v>
      </c>
      <c r="B660">
        <v>4.2599999999999999E-3</v>
      </c>
      <c r="C660">
        <v>4.4400000000000004E-3</v>
      </c>
      <c r="D660">
        <v>4.1900000000000001E-3</v>
      </c>
      <c r="E660">
        <v>4.2300000000000003E-3</v>
      </c>
      <c r="F660">
        <v>78468985.200000003</v>
      </c>
      <c r="G660">
        <v>0</v>
      </c>
      <c r="L660" t="s">
        <v>8</v>
      </c>
      <c r="M660" t="s">
        <v>7</v>
      </c>
      <c r="N660" t="s">
        <v>8</v>
      </c>
      <c r="P660">
        <f t="shared" si="994"/>
        <v>-0.67999999999999949</v>
      </c>
      <c r="Q660">
        <f t="shared" si="995"/>
        <v>-53358909.93599996</v>
      </c>
      <c r="R660">
        <f t="shared" si="996"/>
        <v>-706515132.87076652</v>
      </c>
      <c r="S660">
        <f t="shared" si="997"/>
        <v>-7065.151328707665</v>
      </c>
      <c r="T660">
        <f t="shared" si="998"/>
        <v>-7.0651513287076648</v>
      </c>
    </row>
    <row r="661" spans="1:20" x14ac:dyDescent="0.25">
      <c r="A661" s="5">
        <v>43932</v>
      </c>
      <c r="B661">
        <v>4.1999999999999997E-3</v>
      </c>
      <c r="C661">
        <v>4.28E-3</v>
      </c>
      <c r="D661">
        <v>4.1099999999999999E-3</v>
      </c>
      <c r="E661">
        <v>4.2599999999999999E-3</v>
      </c>
      <c r="F661">
        <v>50038322.5</v>
      </c>
      <c r="G661">
        <v>0</v>
      </c>
      <c r="L661" t="s">
        <v>7</v>
      </c>
      <c r="M661" t="s">
        <v>7</v>
      </c>
      <c r="N661" t="s">
        <v>8</v>
      </c>
      <c r="P661">
        <f t="shared" si="994"/>
        <v>0.76470588235294057</v>
      </c>
      <c r="Q661">
        <f t="shared" si="995"/>
        <v>38264599.558823496</v>
      </c>
      <c r="R661">
        <f t="shared" si="996"/>
        <v>-653156222.93476653</v>
      </c>
      <c r="S661">
        <f t="shared" si="997"/>
        <v>-6531.5622293476654</v>
      </c>
      <c r="T661">
        <f t="shared" si="998"/>
        <v>-6.5315622293476654</v>
      </c>
    </row>
    <row r="662" spans="1:20" x14ac:dyDescent="0.25">
      <c r="A662" s="5">
        <v>43931</v>
      </c>
      <c r="B662">
        <v>4.6499999999999996E-3</v>
      </c>
      <c r="C662">
        <v>4.6699999999999997E-3</v>
      </c>
      <c r="D662">
        <v>4.0699999999999998E-3</v>
      </c>
      <c r="E662">
        <v>4.1700000000000001E-3</v>
      </c>
      <c r="F662">
        <v>155443902.40000001</v>
      </c>
      <c r="G662">
        <v>0</v>
      </c>
      <c r="L662" t="s">
        <v>7</v>
      </c>
      <c r="M662" t="s">
        <v>7</v>
      </c>
      <c r="N662" t="s">
        <v>8</v>
      </c>
      <c r="P662">
        <f t="shared" si="994"/>
        <v>-0.66666666666666574</v>
      </c>
      <c r="Q662">
        <f t="shared" si="995"/>
        <v>-103629268.26666653</v>
      </c>
      <c r="R662">
        <f t="shared" si="996"/>
        <v>-691420822.49359</v>
      </c>
      <c r="S662">
        <f t="shared" si="997"/>
        <v>-6914.2082249359</v>
      </c>
      <c r="T662">
        <f t="shared" si="998"/>
        <v>-6.9142082249358996</v>
      </c>
    </row>
    <row r="663" spans="1:20" x14ac:dyDescent="0.25">
      <c r="A663" s="5">
        <v>43930</v>
      </c>
      <c r="B663">
        <v>4.62E-3</v>
      </c>
      <c r="C663">
        <v>4.7499999999999999E-3</v>
      </c>
      <c r="D663">
        <v>4.4200000000000003E-3</v>
      </c>
      <c r="E663">
        <v>4.64E-3</v>
      </c>
      <c r="F663">
        <v>87799066.5</v>
      </c>
      <c r="G663">
        <v>0</v>
      </c>
      <c r="L663" t="s">
        <v>7</v>
      </c>
      <c r="M663" t="s">
        <v>8</v>
      </c>
      <c r="N663" t="s">
        <v>8</v>
      </c>
      <c r="P663">
        <f t="shared" si="994"/>
        <v>0.33333333333333331</v>
      </c>
      <c r="Q663">
        <f t="shared" si="995"/>
        <v>29266355.5</v>
      </c>
      <c r="R663">
        <f t="shared" si="996"/>
        <v>-587791554.22692347</v>
      </c>
      <c r="S663">
        <f t="shared" si="997"/>
        <v>-5877.9155422692347</v>
      </c>
      <c r="T663">
        <f t="shared" si="998"/>
        <v>-5.8779155422692346</v>
      </c>
    </row>
    <row r="664" spans="1:20" x14ac:dyDescent="0.25">
      <c r="A664" s="5">
        <v>43929</v>
      </c>
      <c r="B664">
        <v>4.5399999999999998E-3</v>
      </c>
      <c r="C664">
        <v>4.7299999999999998E-3</v>
      </c>
      <c r="D664">
        <v>4.4999999999999997E-3</v>
      </c>
      <c r="E664">
        <v>4.6299999999999996E-3</v>
      </c>
      <c r="F664">
        <v>90343768.900000006</v>
      </c>
      <c r="G664">
        <v>0</v>
      </c>
      <c r="L664" t="s">
        <v>7</v>
      </c>
      <c r="M664" t="s">
        <v>8</v>
      </c>
      <c r="N664" t="s">
        <v>8</v>
      </c>
      <c r="P664">
        <f t="shared" si="994"/>
        <v>0.13043478260869401</v>
      </c>
      <c r="Q664">
        <f t="shared" si="995"/>
        <v>11783969.856521592</v>
      </c>
      <c r="R664">
        <f t="shared" si="996"/>
        <v>-617057909.72692347</v>
      </c>
      <c r="S664">
        <f t="shared" si="997"/>
        <v>-6170.5790972692348</v>
      </c>
      <c r="T664">
        <f t="shared" si="998"/>
        <v>-6.1705790972692345</v>
      </c>
    </row>
    <row r="665" spans="1:20" x14ac:dyDescent="0.25">
      <c r="A665" s="5">
        <v>43928</v>
      </c>
      <c r="B665">
        <v>4.7299999999999998E-3</v>
      </c>
      <c r="C665">
        <v>4.7999999999999996E-3</v>
      </c>
      <c r="D665">
        <v>4.47E-3</v>
      </c>
      <c r="E665">
        <v>4.5399999999999998E-3</v>
      </c>
      <c r="F665">
        <v>190687421.59999999</v>
      </c>
      <c r="G665">
        <v>0</v>
      </c>
      <c r="L665" t="s">
        <v>7</v>
      </c>
      <c r="M665" t="s">
        <v>8</v>
      </c>
      <c r="N665" t="s">
        <v>8</v>
      </c>
      <c r="P665">
        <f t="shared" si="994"/>
        <v>-0.57575757575757669</v>
      </c>
      <c r="Q665">
        <f t="shared" si="995"/>
        <v>-109789727.58787896</v>
      </c>
      <c r="R665">
        <f t="shared" si="996"/>
        <v>-628841879.58344507</v>
      </c>
      <c r="S665">
        <f t="shared" si="997"/>
        <v>-6288.418795834451</v>
      </c>
      <c r="T665">
        <f t="shared" si="998"/>
        <v>-6.2884187958344508</v>
      </c>
    </row>
    <row r="666" spans="1:20" x14ac:dyDescent="0.25">
      <c r="A666" s="5">
        <v>43927</v>
      </c>
      <c r="B666">
        <v>4.3299999999999996E-3</v>
      </c>
      <c r="C666">
        <v>4.9399999999999999E-3</v>
      </c>
      <c r="D666">
        <v>4.3099999999999996E-3</v>
      </c>
      <c r="E666">
        <v>4.7099999999999998E-3</v>
      </c>
      <c r="F666">
        <v>400247410.80000001</v>
      </c>
      <c r="G666">
        <v>0</v>
      </c>
      <c r="L666" t="s">
        <v>8</v>
      </c>
      <c r="M666" t="s">
        <v>8</v>
      </c>
      <c r="N666" t="s">
        <v>8</v>
      </c>
      <c r="P666">
        <f t="shared" si="994"/>
        <v>0.26984126984126972</v>
      </c>
      <c r="Q666">
        <f t="shared" si="995"/>
        <v>108003269.58095233</v>
      </c>
      <c r="R666">
        <f t="shared" si="996"/>
        <v>-519052151.99556607</v>
      </c>
      <c r="S666">
        <f t="shared" si="997"/>
        <v>-5190.5215199556606</v>
      </c>
      <c r="T666">
        <f t="shared" si="998"/>
        <v>-5.1905215199556602</v>
      </c>
    </row>
    <row r="667" spans="1:20" x14ac:dyDescent="0.25">
      <c r="A667" s="5">
        <v>43926</v>
      </c>
      <c r="B667">
        <v>4.0800000000000003E-3</v>
      </c>
      <c r="C667">
        <v>4.3699999999999998E-3</v>
      </c>
      <c r="D667">
        <v>4.0099999999999997E-3</v>
      </c>
      <c r="E667">
        <v>4.3299999999999996E-3</v>
      </c>
      <c r="F667">
        <v>179725731.90000001</v>
      </c>
      <c r="G667">
        <v>0</v>
      </c>
      <c r="L667" t="s">
        <v>8</v>
      </c>
      <c r="M667" t="s">
        <v>8</v>
      </c>
      <c r="N667" t="s">
        <v>8</v>
      </c>
      <c r="P667">
        <f t="shared" si="994"/>
        <v>0.77777777777777724</v>
      </c>
      <c r="Q667">
        <f t="shared" si="995"/>
        <v>139786680.36666659</v>
      </c>
      <c r="R667">
        <f t="shared" si="996"/>
        <v>-627055421.57651842</v>
      </c>
      <c r="S667">
        <f t="shared" si="997"/>
        <v>-6270.5542157651844</v>
      </c>
      <c r="T667">
        <f t="shared" si="998"/>
        <v>-6.2705542157651841</v>
      </c>
    </row>
    <row r="668" spans="1:20" x14ac:dyDescent="0.25">
      <c r="A668" s="5">
        <v>43925</v>
      </c>
      <c r="B668">
        <v>3.9500000000000004E-3</v>
      </c>
      <c r="C668">
        <v>4.0800000000000003E-3</v>
      </c>
      <c r="D668">
        <v>3.8999999999999998E-3</v>
      </c>
      <c r="E668">
        <v>4.0800000000000003E-3</v>
      </c>
      <c r="F668">
        <v>53736147.5</v>
      </c>
      <c r="G668">
        <v>0</v>
      </c>
      <c r="L668" t="s">
        <v>7</v>
      </c>
      <c r="M668" t="s">
        <v>8</v>
      </c>
      <c r="N668" t="s">
        <v>8</v>
      </c>
      <c r="P668">
        <f t="shared" si="994"/>
        <v>1</v>
      </c>
      <c r="Q668">
        <f t="shared" si="995"/>
        <v>53736147.5</v>
      </c>
      <c r="R668">
        <f t="shared" si="996"/>
        <v>-766842101.94318497</v>
      </c>
      <c r="S668">
        <f t="shared" si="997"/>
        <v>-7668.4210194318493</v>
      </c>
      <c r="T668">
        <f t="shared" si="998"/>
        <v>-7.6684210194318494</v>
      </c>
    </row>
    <row r="669" spans="1:20" x14ac:dyDescent="0.25">
      <c r="A669" s="5">
        <v>43924</v>
      </c>
      <c r="B669">
        <v>3.9500000000000004E-3</v>
      </c>
      <c r="C669">
        <v>4.0699999999999998E-3</v>
      </c>
      <c r="D669">
        <v>3.8999999999999998E-3</v>
      </c>
      <c r="E669">
        <v>3.9500000000000004E-3</v>
      </c>
      <c r="F669">
        <v>66084047.799999997</v>
      </c>
      <c r="G669">
        <v>0</v>
      </c>
      <c r="L669" t="s">
        <v>7</v>
      </c>
      <c r="M669" t="s">
        <v>8</v>
      </c>
      <c r="N669" t="s">
        <v>8</v>
      </c>
      <c r="P669">
        <f t="shared" si="994"/>
        <v>-0.41176470588234632</v>
      </c>
      <c r="Q669">
        <f t="shared" si="995"/>
        <v>-27211078.505881913</v>
      </c>
      <c r="R669">
        <f t="shared" si="996"/>
        <v>-820578249.44318497</v>
      </c>
      <c r="S669">
        <f t="shared" si="997"/>
        <v>-8205.782494431849</v>
      </c>
      <c r="T669">
        <f t="shared" si="998"/>
        <v>-8.2057824944318494</v>
      </c>
    </row>
    <row r="670" spans="1:20" x14ac:dyDescent="0.25">
      <c r="A670" s="5">
        <v>43923</v>
      </c>
      <c r="B670">
        <v>3.8800000000000002E-3</v>
      </c>
      <c r="C670">
        <v>4.15E-3</v>
      </c>
      <c r="D670">
        <v>3.8800000000000002E-3</v>
      </c>
      <c r="E670">
        <v>3.96E-3</v>
      </c>
      <c r="F670">
        <v>94797568.700000003</v>
      </c>
      <c r="G670">
        <v>0</v>
      </c>
      <c r="L670" t="s">
        <v>8</v>
      </c>
      <c r="M670" t="s">
        <v>8</v>
      </c>
      <c r="N670" t="s">
        <v>8</v>
      </c>
      <c r="P670">
        <f t="shared" si="994"/>
        <v>-0.40740740740740872</v>
      </c>
      <c r="Q670">
        <f t="shared" si="995"/>
        <v>-38621231.692592718</v>
      </c>
      <c r="R670">
        <f t="shared" si="996"/>
        <v>-793367170.93730307</v>
      </c>
      <c r="S670">
        <f t="shared" si="997"/>
        <v>-7933.6717093730304</v>
      </c>
      <c r="T670">
        <f t="shared" si="998"/>
        <v>-7.93367170937303</v>
      </c>
    </row>
    <row r="671" spans="1:20" x14ac:dyDescent="0.25">
      <c r="A671" s="5">
        <v>43922</v>
      </c>
      <c r="B671">
        <v>3.8300000000000001E-3</v>
      </c>
      <c r="C671">
        <v>3.8899999999999998E-3</v>
      </c>
      <c r="D671">
        <v>3.6600000000000001E-3</v>
      </c>
      <c r="E671">
        <v>3.8700000000000002E-3</v>
      </c>
      <c r="F671">
        <v>71556832.099999994</v>
      </c>
      <c r="G671">
        <v>0</v>
      </c>
      <c r="L671" t="s">
        <v>8</v>
      </c>
      <c r="M671" t="s">
        <v>7</v>
      </c>
      <c r="N671" t="s">
        <v>8</v>
      </c>
      <c r="P671">
        <f t="shared" si="994"/>
        <v>0.82608695652174224</v>
      </c>
      <c r="Q671">
        <f t="shared" si="995"/>
        <v>59112165.647826307</v>
      </c>
      <c r="R671">
        <f t="shared" si="996"/>
        <v>-754745939.24471033</v>
      </c>
      <c r="S671">
        <f t="shared" si="997"/>
        <v>-7547.4593924471037</v>
      </c>
      <c r="T671">
        <f t="shared" si="998"/>
        <v>-7.5474593924471041</v>
      </c>
    </row>
    <row r="672" spans="1:20" x14ac:dyDescent="0.25">
      <c r="A672" s="5">
        <v>43921</v>
      </c>
      <c r="B672">
        <v>3.79E-3</v>
      </c>
      <c r="C672">
        <v>3.8700000000000002E-3</v>
      </c>
      <c r="D672">
        <v>3.7000000000000002E-3</v>
      </c>
      <c r="E672">
        <v>3.82E-3</v>
      </c>
      <c r="F672">
        <v>58391327.299999997</v>
      </c>
      <c r="G672">
        <v>0</v>
      </c>
      <c r="L672" t="s">
        <v>8</v>
      </c>
      <c r="M672" t="s">
        <v>7</v>
      </c>
      <c r="N672" t="s">
        <v>8</v>
      </c>
      <c r="P672">
        <f t="shared" si="994"/>
        <v>0.41176470588235142</v>
      </c>
      <c r="Q672">
        <f t="shared" si="995"/>
        <v>24043487.711764615</v>
      </c>
      <c r="R672">
        <f t="shared" si="996"/>
        <v>-813858104.89253664</v>
      </c>
      <c r="S672">
        <f t="shared" si="997"/>
        <v>-8138.5810489253663</v>
      </c>
      <c r="T672">
        <f t="shared" si="998"/>
        <v>-8.1385810489253672</v>
      </c>
    </row>
    <row r="673" spans="1:20" x14ac:dyDescent="0.25">
      <c r="A673" s="5">
        <v>43920</v>
      </c>
      <c r="B673">
        <v>3.5200000000000001E-3</v>
      </c>
      <c r="C673">
        <v>3.8800000000000002E-3</v>
      </c>
      <c r="D673">
        <v>3.5100000000000001E-3</v>
      </c>
      <c r="E673">
        <v>3.79E-3</v>
      </c>
      <c r="F673">
        <v>78782398.900000006</v>
      </c>
      <c r="G673">
        <v>0</v>
      </c>
      <c r="L673" t="s">
        <v>8</v>
      </c>
      <c r="M673" t="s">
        <v>7</v>
      </c>
      <c r="N673" t="s">
        <v>8</v>
      </c>
      <c r="P673">
        <f t="shared" si="994"/>
        <v>0.51351351351351238</v>
      </c>
      <c r="Q673">
        <f t="shared" si="995"/>
        <v>40455826.462162077</v>
      </c>
      <c r="R673">
        <f t="shared" si="996"/>
        <v>-837901592.60430121</v>
      </c>
      <c r="S673">
        <f t="shared" si="997"/>
        <v>-8379.0159260430119</v>
      </c>
      <c r="T673">
        <f t="shared" si="998"/>
        <v>-8.3790159260430119</v>
      </c>
    </row>
    <row r="674" spans="1:20" x14ac:dyDescent="0.25">
      <c r="A674" s="5">
        <v>43919</v>
      </c>
      <c r="B674">
        <v>3.7699999999999999E-3</v>
      </c>
      <c r="C674">
        <v>3.7799999999999999E-3</v>
      </c>
      <c r="D674">
        <v>3.49E-3</v>
      </c>
      <c r="E674">
        <v>3.5300000000000002E-3</v>
      </c>
      <c r="F674">
        <v>60960582</v>
      </c>
      <c r="G674">
        <v>0</v>
      </c>
      <c r="L674" t="s">
        <v>7</v>
      </c>
      <c r="M674" t="s">
        <v>7</v>
      </c>
      <c r="N674" t="s">
        <v>8</v>
      </c>
      <c r="P674">
        <f t="shared" si="994"/>
        <v>-0.72413793103448199</v>
      </c>
      <c r="Q674">
        <f t="shared" si="995"/>
        <v>-44143869.724137887</v>
      </c>
      <c r="R674">
        <f t="shared" si="996"/>
        <v>-878357419.06646335</v>
      </c>
      <c r="S674">
        <f t="shared" si="997"/>
        <v>-8783.5741906646326</v>
      </c>
      <c r="T674">
        <f t="shared" si="998"/>
        <v>-8.7835741906646323</v>
      </c>
    </row>
    <row r="675" spans="1:20" x14ac:dyDescent="0.25">
      <c r="A675" s="5">
        <v>43918</v>
      </c>
      <c r="B675">
        <v>3.6900000000000001E-3</v>
      </c>
      <c r="C675">
        <v>3.8500000000000001E-3</v>
      </c>
      <c r="D675">
        <v>3.5599999999999998E-3</v>
      </c>
      <c r="E675">
        <v>3.7799999999999999E-3</v>
      </c>
      <c r="F675">
        <v>96086736</v>
      </c>
      <c r="G675">
        <v>0</v>
      </c>
      <c r="L675" t="s">
        <v>7</v>
      </c>
      <c r="M675" t="s">
        <v>7</v>
      </c>
      <c r="N675" t="s">
        <v>8</v>
      </c>
      <c r="P675">
        <f t="shared" si="994"/>
        <v>0.51724137931034408</v>
      </c>
      <c r="Q675">
        <f t="shared" si="995"/>
        <v>49700035.862068892</v>
      </c>
      <c r="R675">
        <f t="shared" si="996"/>
        <v>-834213549.34232545</v>
      </c>
      <c r="S675">
        <f t="shared" si="997"/>
        <v>-8342.135493423255</v>
      </c>
      <c r="T675">
        <f t="shared" si="998"/>
        <v>-8.342135493423255</v>
      </c>
    </row>
    <row r="676" spans="1:20" x14ac:dyDescent="0.25">
      <c r="A676" s="5">
        <v>43917</v>
      </c>
      <c r="B676">
        <v>3.9199999999999999E-3</v>
      </c>
      <c r="C676">
        <v>3.98E-3</v>
      </c>
      <c r="D676">
        <v>3.65E-3</v>
      </c>
      <c r="E676">
        <v>3.7000000000000002E-3</v>
      </c>
      <c r="F676">
        <v>102748270.40000001</v>
      </c>
      <c r="G676">
        <v>0</v>
      </c>
      <c r="L676" t="s">
        <v>8</v>
      </c>
      <c r="M676" t="s">
        <v>7</v>
      </c>
      <c r="N676" t="s">
        <v>8</v>
      </c>
      <c r="P676">
        <f t="shared" si="994"/>
        <v>-0.69696969696969613</v>
      </c>
      <c r="Q676">
        <f t="shared" si="995"/>
        <v>-71612430.884848401</v>
      </c>
      <c r="R676">
        <f t="shared" si="996"/>
        <v>-883913585.20439434</v>
      </c>
      <c r="S676">
        <f t="shared" si="997"/>
        <v>-8839.1358520439426</v>
      </c>
      <c r="T676">
        <f t="shared" si="998"/>
        <v>-8.8391358520439418</v>
      </c>
    </row>
    <row r="677" spans="1:20" x14ac:dyDescent="0.25">
      <c r="A677" s="5">
        <v>43916</v>
      </c>
      <c r="B677">
        <v>3.9100000000000003E-3</v>
      </c>
      <c r="C677">
        <v>3.98E-3</v>
      </c>
      <c r="D677">
        <v>3.62E-3</v>
      </c>
      <c r="E677">
        <v>3.9399999999999999E-3</v>
      </c>
      <c r="F677">
        <v>115636755.8</v>
      </c>
      <c r="G677">
        <v>0</v>
      </c>
      <c r="L677" t="s">
        <v>7</v>
      </c>
      <c r="M677" t="s">
        <v>7</v>
      </c>
      <c r="N677" t="s">
        <v>8</v>
      </c>
      <c r="P677">
        <f t="shared" si="994"/>
        <v>0.77777777777777724</v>
      </c>
      <c r="Q677">
        <f t="shared" si="995"/>
        <v>89939698.955555484</v>
      </c>
      <c r="R677">
        <f t="shared" si="996"/>
        <v>-812301154.31954598</v>
      </c>
      <c r="S677">
        <f t="shared" si="997"/>
        <v>-8123.01154319546</v>
      </c>
      <c r="T677">
        <f t="shared" si="998"/>
        <v>-8.1230115431954601</v>
      </c>
    </row>
    <row r="678" spans="1:20" x14ac:dyDescent="0.25">
      <c r="A678" s="5">
        <v>43915</v>
      </c>
      <c r="B678">
        <v>3.8999999999999998E-3</v>
      </c>
      <c r="C678">
        <v>4.0000000000000001E-3</v>
      </c>
      <c r="D678">
        <v>3.7299999999999998E-3</v>
      </c>
      <c r="E678">
        <v>3.8800000000000002E-3</v>
      </c>
      <c r="F678">
        <v>73748009.700000003</v>
      </c>
      <c r="G678">
        <v>0</v>
      </c>
      <c r="L678" t="s">
        <v>7</v>
      </c>
      <c r="M678" t="s">
        <v>7</v>
      </c>
      <c r="N678" t="s">
        <v>8</v>
      </c>
      <c r="P678">
        <f t="shared" si="994"/>
        <v>0.1111111111111129</v>
      </c>
      <c r="Q678">
        <f t="shared" si="995"/>
        <v>8194223.3000001321</v>
      </c>
      <c r="R678">
        <f t="shared" si="996"/>
        <v>-902240853.27510142</v>
      </c>
      <c r="S678">
        <f t="shared" si="997"/>
        <v>-9022.4085327510147</v>
      </c>
      <c r="T678">
        <f t="shared" si="998"/>
        <v>-9.0224085327510153</v>
      </c>
    </row>
    <row r="679" spans="1:20" x14ac:dyDescent="0.25">
      <c r="A679" s="5">
        <v>43914</v>
      </c>
      <c r="B679">
        <v>3.8999999999999998E-3</v>
      </c>
      <c r="C679">
        <v>4.0099999999999997E-3</v>
      </c>
      <c r="D679">
        <v>3.7499999999999999E-3</v>
      </c>
      <c r="E679">
        <v>3.9300000000000003E-3</v>
      </c>
      <c r="F679">
        <v>89931014.599999994</v>
      </c>
      <c r="G679">
        <v>0</v>
      </c>
      <c r="L679" t="s">
        <v>8</v>
      </c>
      <c r="M679" t="s">
        <v>7</v>
      </c>
      <c r="N679" t="s">
        <v>8</v>
      </c>
      <c r="P679">
        <f t="shared" si="994"/>
        <v>0.38461538461538924</v>
      </c>
      <c r="Q679">
        <f t="shared" si="995"/>
        <v>34588851.769231185</v>
      </c>
      <c r="R679">
        <f t="shared" si="996"/>
        <v>-910435076.57510161</v>
      </c>
      <c r="S679">
        <f t="shared" si="997"/>
        <v>-9104.3507657510163</v>
      </c>
      <c r="T679">
        <f t="shared" si="998"/>
        <v>-9.1043507657510165</v>
      </c>
    </row>
    <row r="680" spans="1:20" x14ac:dyDescent="0.25">
      <c r="A680" s="5">
        <v>43913</v>
      </c>
      <c r="B680">
        <v>3.5799999999999998E-3</v>
      </c>
      <c r="C680">
        <v>3.9199999999999999E-3</v>
      </c>
      <c r="D680">
        <v>3.48E-3</v>
      </c>
      <c r="E680">
        <v>3.8800000000000002E-3</v>
      </c>
      <c r="F680">
        <v>96802325.099999994</v>
      </c>
      <c r="G680">
        <v>0</v>
      </c>
      <c r="L680" t="s">
        <v>7</v>
      </c>
      <c r="M680" t="s">
        <v>7</v>
      </c>
      <c r="N680" t="s">
        <v>8</v>
      </c>
      <c r="P680">
        <f t="shared" si="994"/>
        <v>0.81818181818181956</v>
      </c>
      <c r="Q680">
        <f t="shared" si="995"/>
        <v>79201902.354545578</v>
      </c>
      <c r="R680">
        <f t="shared" si="996"/>
        <v>-945023928.34433281</v>
      </c>
      <c r="S680">
        <f t="shared" si="997"/>
        <v>-9450.2392834433285</v>
      </c>
      <c r="T680">
        <f t="shared" si="998"/>
        <v>-9.4502392834433291</v>
      </c>
    </row>
    <row r="681" spans="1:20" x14ac:dyDescent="0.25">
      <c r="A681" s="5">
        <v>43912</v>
      </c>
      <c r="B681">
        <v>3.9199999999999999E-3</v>
      </c>
      <c r="C681">
        <v>4.1599999999999996E-3</v>
      </c>
      <c r="D681">
        <v>3.5599999999999998E-3</v>
      </c>
      <c r="E681">
        <v>3.5899999999999999E-3</v>
      </c>
      <c r="F681">
        <v>93552321.400000006</v>
      </c>
      <c r="G681">
        <v>0</v>
      </c>
      <c r="L681" t="s">
        <v>7</v>
      </c>
      <c r="M681" t="s">
        <v>7</v>
      </c>
      <c r="N681" t="s">
        <v>8</v>
      </c>
      <c r="P681">
        <f t="shared" si="994"/>
        <v>-0.89999999999999969</v>
      </c>
      <c r="Q681">
        <f t="shared" si="995"/>
        <v>-84197089.259999976</v>
      </c>
      <c r="R681">
        <f t="shared" si="996"/>
        <v>-1024225830.6988784</v>
      </c>
      <c r="S681">
        <f t="shared" si="997"/>
        <v>-10242.258306988784</v>
      </c>
      <c r="T681">
        <f t="shared" si="998"/>
        <v>-10.242258306988784</v>
      </c>
    </row>
    <row r="682" spans="1:20" x14ac:dyDescent="0.25">
      <c r="A682" s="5">
        <v>43911</v>
      </c>
      <c r="B682">
        <v>3.9100000000000003E-3</v>
      </c>
      <c r="C682">
        <v>4.1000000000000003E-3</v>
      </c>
      <c r="D682">
        <v>3.6600000000000001E-3</v>
      </c>
      <c r="E682">
        <v>3.9199999999999999E-3</v>
      </c>
      <c r="F682">
        <v>79791890.799999997</v>
      </c>
      <c r="G682">
        <v>0</v>
      </c>
      <c r="L682" t="s">
        <v>7</v>
      </c>
      <c r="M682" t="s">
        <v>7</v>
      </c>
      <c r="N682" t="s">
        <v>8</v>
      </c>
      <c r="P682">
        <f t="shared" si="994"/>
        <v>0.18181818181818021</v>
      </c>
      <c r="Q682">
        <f t="shared" si="995"/>
        <v>14507616.509090781</v>
      </c>
      <c r="R682">
        <f t="shared" si="996"/>
        <v>-940028741.43887842</v>
      </c>
      <c r="S682">
        <f t="shared" si="997"/>
        <v>-9400.2874143887839</v>
      </c>
      <c r="T682">
        <f t="shared" si="998"/>
        <v>-9.4002874143887833</v>
      </c>
    </row>
    <row r="683" spans="1:20" x14ac:dyDescent="0.25">
      <c r="A683" s="5">
        <v>43910</v>
      </c>
      <c r="B683">
        <v>4.0600000000000002E-3</v>
      </c>
      <c r="C683">
        <v>4.4900000000000001E-3</v>
      </c>
      <c r="D683">
        <v>3.5000000000000001E-3</v>
      </c>
      <c r="E683">
        <v>3.9199999999999999E-3</v>
      </c>
      <c r="F683">
        <v>196951664.69999999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-0.15151515151515191</v>
      </c>
      <c r="Q683">
        <f t="shared" si="995"/>
        <v>-29841161.318181895</v>
      </c>
      <c r="R683">
        <f t="shared" si="996"/>
        <v>-954536357.9479692</v>
      </c>
      <c r="S683">
        <f t="shared" si="997"/>
        <v>-9545.3635794796919</v>
      </c>
      <c r="T683">
        <f t="shared" si="998"/>
        <v>-9.5453635794796927</v>
      </c>
    </row>
    <row r="684" spans="1:20" x14ac:dyDescent="0.25">
      <c r="A684" s="5">
        <v>43909</v>
      </c>
      <c r="B684">
        <v>3.5300000000000002E-3</v>
      </c>
      <c r="C684">
        <v>4.1999999999999997E-3</v>
      </c>
      <c r="D684">
        <v>3.47E-3</v>
      </c>
      <c r="E684">
        <v>4.0600000000000002E-3</v>
      </c>
      <c r="F684">
        <v>148620523.30000001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0.6164383561643848</v>
      </c>
      <c r="Q684">
        <f t="shared" si="995"/>
        <v>91615391.075342655</v>
      </c>
      <c r="R684">
        <f t="shared" si="996"/>
        <v>-924695196.62978733</v>
      </c>
      <c r="S684">
        <f t="shared" si="997"/>
        <v>-9246.9519662978728</v>
      </c>
      <c r="T684">
        <f t="shared" si="998"/>
        <v>-9.246951966297873</v>
      </c>
    </row>
    <row r="685" spans="1:20" x14ac:dyDescent="0.25">
      <c r="A685" s="5">
        <v>43908</v>
      </c>
      <c r="B685">
        <v>3.5300000000000002E-3</v>
      </c>
      <c r="C685">
        <v>3.5899999999999999E-3</v>
      </c>
      <c r="D685">
        <v>3.2699999999999999E-3</v>
      </c>
      <c r="E685">
        <v>3.5200000000000001E-3</v>
      </c>
      <c r="F685">
        <v>58202171.899999999</v>
      </c>
      <c r="G685">
        <v>0</v>
      </c>
      <c r="L685" t="s">
        <v>7</v>
      </c>
      <c r="M685" t="s">
        <v>8</v>
      </c>
      <c r="N685" t="s">
        <v>7</v>
      </c>
      <c r="P685">
        <f t="shared" si="994"/>
        <v>0.56250000000000155</v>
      </c>
      <c r="Q685">
        <f t="shared" si="995"/>
        <v>32738721.693750091</v>
      </c>
      <c r="R685">
        <f t="shared" si="996"/>
        <v>-1016310587.70513</v>
      </c>
      <c r="S685">
        <f t="shared" si="997"/>
        <v>-10163.105877051299</v>
      </c>
      <c r="T685">
        <f t="shared" si="998"/>
        <v>-10.163105877051299</v>
      </c>
    </row>
    <row r="686" spans="1:20" x14ac:dyDescent="0.25">
      <c r="A686" s="5">
        <v>43907</v>
      </c>
      <c r="B686">
        <v>3.3700000000000002E-3</v>
      </c>
      <c r="C686">
        <v>3.7599999999999999E-3</v>
      </c>
      <c r="D686">
        <v>3.3500000000000001E-3</v>
      </c>
      <c r="E686">
        <v>3.5300000000000002E-3</v>
      </c>
      <c r="F686">
        <v>72773159.700000003</v>
      </c>
      <c r="G686">
        <v>0</v>
      </c>
      <c r="L686" t="s">
        <v>8</v>
      </c>
      <c r="M686" t="s">
        <v>8</v>
      </c>
      <c r="N686" t="s">
        <v>7</v>
      </c>
      <c r="P686">
        <f t="shared" si="994"/>
        <v>-0.12195121951219445</v>
      </c>
      <c r="Q686">
        <f t="shared" si="995"/>
        <v>-8874775.5731706843</v>
      </c>
      <c r="R686">
        <f t="shared" si="996"/>
        <v>-1049049309.3988801</v>
      </c>
      <c r="S686">
        <f t="shared" si="997"/>
        <v>-10490.493093988802</v>
      </c>
      <c r="T686">
        <f t="shared" si="998"/>
        <v>-10.490493093988801</v>
      </c>
    </row>
    <row r="687" spans="1:20" x14ac:dyDescent="0.25">
      <c r="A687" s="5">
        <v>43906</v>
      </c>
      <c r="B687">
        <v>3.6900000000000001E-3</v>
      </c>
      <c r="C687">
        <v>3.7000000000000002E-3</v>
      </c>
      <c r="D687">
        <v>2.8500000000000001E-3</v>
      </c>
      <c r="E687">
        <v>3.3400000000000001E-3</v>
      </c>
      <c r="F687">
        <v>217116812.80000001</v>
      </c>
      <c r="G687">
        <v>0</v>
      </c>
      <c r="L687" t="s">
        <v>7</v>
      </c>
      <c r="M687" t="s">
        <v>7</v>
      </c>
      <c r="N687" t="s">
        <v>7</v>
      </c>
      <c r="P687">
        <f t="shared" si="994"/>
        <v>0.15294117647058811</v>
      </c>
      <c r="Q687">
        <f t="shared" si="995"/>
        <v>33206100.781176444</v>
      </c>
      <c r="R687">
        <f t="shared" si="996"/>
        <v>-1040174533.8257095</v>
      </c>
      <c r="S687">
        <f t="shared" si="997"/>
        <v>-10401.745338257095</v>
      </c>
      <c r="T687">
        <f t="shared" si="998"/>
        <v>-10.401745338257095</v>
      </c>
    </row>
    <row r="688" spans="1:20" x14ac:dyDescent="0.25">
      <c r="A688" s="5">
        <v>43905</v>
      </c>
      <c r="B688">
        <v>3.4399999999999999E-3</v>
      </c>
      <c r="C688">
        <v>3.98E-3</v>
      </c>
      <c r="D688">
        <v>3.4199999999999999E-3</v>
      </c>
      <c r="E688">
        <v>3.6800000000000001E-3</v>
      </c>
      <c r="F688">
        <v>146656839.90000001</v>
      </c>
      <c r="G688">
        <v>0</v>
      </c>
      <c r="L688" t="s">
        <v>8</v>
      </c>
      <c r="M688" t="s">
        <v>8</v>
      </c>
      <c r="N688" t="s">
        <v>8</v>
      </c>
      <c r="P688">
        <f t="shared" si="994"/>
        <v>-7.1428571428570814E-2</v>
      </c>
      <c r="Q688">
        <f t="shared" si="995"/>
        <v>-10475488.564285625</v>
      </c>
      <c r="R688">
        <f t="shared" si="996"/>
        <v>-1073380634.6068859</v>
      </c>
      <c r="S688">
        <f t="shared" si="997"/>
        <v>-10733.806346068859</v>
      </c>
      <c r="T688">
        <f t="shared" si="998"/>
        <v>-10.733806346068858</v>
      </c>
    </row>
    <row r="689" spans="1:20" x14ac:dyDescent="0.25">
      <c r="A689" s="5">
        <v>43904</v>
      </c>
      <c r="B689">
        <v>3.5799999999999998E-3</v>
      </c>
      <c r="C689">
        <v>3.7599999999999999E-3</v>
      </c>
      <c r="D689">
        <v>3.3700000000000002E-3</v>
      </c>
      <c r="E689">
        <v>3.46E-3</v>
      </c>
      <c r="F689">
        <v>133142380.09999999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-0.5384615384615391</v>
      </c>
      <c r="Q689">
        <f t="shared" si="995"/>
        <v>-71692050.823077008</v>
      </c>
      <c r="R689">
        <f t="shared" si="996"/>
        <v>-1062905146.0426003</v>
      </c>
      <c r="S689">
        <f t="shared" si="997"/>
        <v>-10629.051460426002</v>
      </c>
      <c r="T689">
        <f t="shared" si="998"/>
        <v>-10.629051460426002</v>
      </c>
    </row>
    <row r="690" spans="1:20" x14ac:dyDescent="0.25">
      <c r="A690" s="5">
        <v>43903</v>
      </c>
      <c r="B690">
        <v>3.1099999999999999E-3</v>
      </c>
      <c r="C690">
        <v>3.8600000000000001E-3</v>
      </c>
      <c r="D690">
        <v>2.2399999999999998E-3</v>
      </c>
      <c r="E690">
        <v>3.5500000000000002E-3</v>
      </c>
      <c r="F690">
        <v>349725390.19999999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0.61728395061728414</v>
      </c>
      <c r="Q690">
        <f t="shared" si="995"/>
        <v>215879870.49382722</v>
      </c>
      <c r="R690">
        <f t="shared" si="996"/>
        <v>-991213095.21952331</v>
      </c>
      <c r="S690">
        <f t="shared" si="997"/>
        <v>-9912.1309521952335</v>
      </c>
      <c r="T690">
        <f t="shared" si="998"/>
        <v>-9.9121309521952341</v>
      </c>
    </row>
    <row r="691" spans="1:20" x14ac:dyDescent="0.25">
      <c r="A691" s="5">
        <v>43902</v>
      </c>
      <c r="B691">
        <v>5.7499999999999999E-3</v>
      </c>
      <c r="C691">
        <v>5.77E-3</v>
      </c>
      <c r="D691">
        <v>2.8300000000000001E-3</v>
      </c>
      <c r="E691">
        <v>3.14E-3</v>
      </c>
      <c r="F691">
        <v>316409800.69999999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-0.78911564625850339</v>
      </c>
      <c r="Q691">
        <f t="shared" si="995"/>
        <v>-249683924.36190474</v>
      </c>
      <c r="R691">
        <f t="shared" si="996"/>
        <v>-1207092965.7133505</v>
      </c>
      <c r="S691">
        <f t="shared" si="997"/>
        <v>-12070.929657133505</v>
      </c>
      <c r="T691">
        <f t="shared" si="998"/>
        <v>-12.070929657133505</v>
      </c>
    </row>
    <row r="692" spans="1:20" x14ac:dyDescent="0.25">
      <c r="A692" s="5">
        <v>43901</v>
      </c>
      <c r="B692">
        <v>5.94E-3</v>
      </c>
      <c r="C692">
        <v>6.0899999999999999E-3</v>
      </c>
      <c r="D692">
        <v>5.2599999999999999E-3</v>
      </c>
      <c r="E692">
        <v>5.7800000000000004E-3</v>
      </c>
      <c r="F692">
        <v>143110634.59999999</v>
      </c>
      <c r="G692">
        <v>0</v>
      </c>
      <c r="L692" t="s">
        <v>7</v>
      </c>
      <c r="M692" t="s">
        <v>7</v>
      </c>
      <c r="N692" t="s">
        <v>7</v>
      </c>
      <c r="P692">
        <f t="shared" si="994"/>
        <v>0.25301204819277229</v>
      </c>
      <c r="Q692">
        <f t="shared" si="995"/>
        <v>36208714.778313421</v>
      </c>
      <c r="R692">
        <f t="shared" si="996"/>
        <v>-957409041.35144579</v>
      </c>
      <c r="S692">
        <f t="shared" si="997"/>
        <v>-9574.0904135144574</v>
      </c>
      <c r="T692">
        <f t="shared" si="998"/>
        <v>-9.5740904135144582</v>
      </c>
    </row>
    <row r="693" spans="1:20" x14ac:dyDescent="0.25">
      <c r="A693" s="5">
        <v>43900</v>
      </c>
      <c r="B693">
        <v>5.9300000000000004E-3</v>
      </c>
      <c r="C693">
        <v>6.2399999999999999E-3</v>
      </c>
      <c r="D693">
        <v>5.7000000000000002E-3</v>
      </c>
      <c r="E693">
        <v>5.94E-3</v>
      </c>
      <c r="F693">
        <v>144513851.30000001</v>
      </c>
      <c r="G693">
        <v>0</v>
      </c>
      <c r="L693" t="s">
        <v>8</v>
      </c>
      <c r="M693" t="s">
        <v>7</v>
      </c>
      <c r="N693" t="s">
        <v>7</v>
      </c>
      <c r="P693">
        <f t="shared" si="994"/>
        <v>-0.11111111111111147</v>
      </c>
      <c r="Q693">
        <f t="shared" si="995"/>
        <v>-16057094.588888941</v>
      </c>
      <c r="R693">
        <f t="shared" si="996"/>
        <v>-993617756.12975919</v>
      </c>
      <c r="S693">
        <f t="shared" si="997"/>
        <v>-9936.1775612975925</v>
      </c>
      <c r="T693">
        <f t="shared" si="998"/>
        <v>-9.9361775612975922</v>
      </c>
    </row>
    <row r="694" spans="1:20" x14ac:dyDescent="0.25">
      <c r="A694" s="5">
        <v>43899</v>
      </c>
      <c r="B694">
        <v>5.7299999999999999E-3</v>
      </c>
      <c r="C694">
        <v>6.0400000000000002E-3</v>
      </c>
      <c r="D694">
        <v>5.4900000000000001E-3</v>
      </c>
      <c r="E694">
        <v>5.9100000000000003E-3</v>
      </c>
      <c r="F694">
        <v>237009047.19999999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0.52727272727272778</v>
      </c>
      <c r="Q694">
        <f t="shared" si="995"/>
        <v>124968406.70545466</v>
      </c>
      <c r="R694">
        <f t="shared" si="996"/>
        <v>-977560661.54087031</v>
      </c>
      <c r="S694">
        <f t="shared" si="997"/>
        <v>-9775.6066154087039</v>
      </c>
      <c r="T694">
        <f t="shared" si="998"/>
        <v>-9.7756066154087033</v>
      </c>
    </row>
    <row r="695" spans="1:20" x14ac:dyDescent="0.25">
      <c r="A695" s="5">
        <v>43898</v>
      </c>
      <c r="B695">
        <v>6.8799999999999998E-3</v>
      </c>
      <c r="C695">
        <v>6.8799999999999998E-3</v>
      </c>
      <c r="D695">
        <v>5.6600000000000001E-3</v>
      </c>
      <c r="E695">
        <v>5.7200000000000003E-3</v>
      </c>
      <c r="F695">
        <v>179399912.40000001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-0.90163934426229475</v>
      </c>
      <c r="Q695">
        <f t="shared" si="995"/>
        <v>-161754019.37704912</v>
      </c>
      <c r="R695">
        <f t="shared" si="996"/>
        <v>-1102529068.246325</v>
      </c>
      <c r="S695">
        <f t="shared" si="997"/>
        <v>-11025.29068246325</v>
      </c>
      <c r="T695">
        <f t="shared" si="998"/>
        <v>-11.02529068246325</v>
      </c>
    </row>
    <row r="696" spans="1:20" x14ac:dyDescent="0.25">
      <c r="A696" s="5">
        <v>43897</v>
      </c>
      <c r="B696">
        <v>7.0000000000000001E-3</v>
      </c>
      <c r="C696">
        <v>7.6899999999999998E-3</v>
      </c>
      <c r="D696">
        <v>6.6600000000000001E-3</v>
      </c>
      <c r="E696">
        <v>6.8900000000000003E-3</v>
      </c>
      <c r="F696">
        <v>287775530.60000002</v>
      </c>
      <c r="G696">
        <v>0</v>
      </c>
      <c r="L696" t="s">
        <v>8</v>
      </c>
      <c r="M696" t="s">
        <v>8</v>
      </c>
      <c r="N696" t="s">
        <v>7</v>
      </c>
      <c r="P696">
        <f t="shared" si="994"/>
        <v>-0.55339805825242672</v>
      </c>
      <c r="Q696">
        <f t="shared" si="995"/>
        <v>-159254419.84660181</v>
      </c>
      <c r="R696">
        <f t="shared" si="996"/>
        <v>-940775048.86927593</v>
      </c>
      <c r="S696">
        <f t="shared" si="997"/>
        <v>-9407.75048869276</v>
      </c>
      <c r="T696">
        <f t="shared" si="998"/>
        <v>-9.4077504886927592</v>
      </c>
    </row>
    <row r="697" spans="1:20" x14ac:dyDescent="0.25">
      <c r="A697" s="5">
        <v>43896</v>
      </c>
      <c r="B697">
        <v>6.2399999999999999E-3</v>
      </c>
      <c r="C697">
        <v>7.2100000000000003E-3</v>
      </c>
      <c r="D697">
        <v>6.1900000000000002E-3</v>
      </c>
      <c r="E697">
        <v>7.0099999999999997E-3</v>
      </c>
      <c r="F697">
        <v>266599805.69999999</v>
      </c>
      <c r="G697">
        <v>0</v>
      </c>
      <c r="L697" t="s">
        <v>8</v>
      </c>
      <c r="M697" t="s">
        <v>8</v>
      </c>
      <c r="N697" t="s">
        <v>7</v>
      </c>
      <c r="P697">
        <f t="shared" si="994"/>
        <v>0.60784313725490091</v>
      </c>
      <c r="Q697">
        <f t="shared" si="995"/>
        <v>162050862.28823501</v>
      </c>
      <c r="R697">
        <f t="shared" si="996"/>
        <v>-781520629.02267408</v>
      </c>
      <c r="S697">
        <f t="shared" si="997"/>
        <v>-7815.2062902267407</v>
      </c>
      <c r="T697">
        <f t="shared" si="998"/>
        <v>-7.8152062902267412</v>
      </c>
    </row>
    <row r="698" spans="1:20" x14ac:dyDescent="0.25">
      <c r="A698" s="5">
        <v>43895</v>
      </c>
      <c r="B698">
        <v>6.1000000000000004E-3</v>
      </c>
      <c r="C698">
        <v>6.3499999999999997E-3</v>
      </c>
      <c r="D698">
        <v>6.1000000000000004E-3</v>
      </c>
      <c r="E698">
        <v>6.2399999999999999E-3</v>
      </c>
      <c r="F698">
        <v>108796170.90000001</v>
      </c>
      <c r="G698">
        <v>0</v>
      </c>
      <c r="L698" t="s">
        <v>8</v>
      </c>
      <c r="M698" t="s">
        <v>8</v>
      </c>
      <c r="N698" t="s">
        <v>7</v>
      </c>
      <c r="P698">
        <f t="shared" si="994"/>
        <v>0.11999999999999889</v>
      </c>
      <c r="Q698">
        <f t="shared" si="995"/>
        <v>13055540.50799988</v>
      </c>
      <c r="R698">
        <f t="shared" si="996"/>
        <v>-943571491.31090903</v>
      </c>
      <c r="S698">
        <f t="shared" si="997"/>
        <v>-9435.71491310909</v>
      </c>
      <c r="T698">
        <f t="shared" si="998"/>
        <v>-9.4357149131090896</v>
      </c>
    </row>
    <row r="699" spans="1:20" x14ac:dyDescent="0.25">
      <c r="A699" s="5">
        <v>43894</v>
      </c>
      <c r="B699">
        <v>6.0400000000000002E-3</v>
      </c>
      <c r="C699">
        <v>6.2599999999999999E-3</v>
      </c>
      <c r="D699">
        <v>5.9199999999999999E-3</v>
      </c>
      <c r="E699">
        <v>6.1000000000000004E-3</v>
      </c>
      <c r="F699">
        <v>98222538.599999994</v>
      </c>
      <c r="G699">
        <v>0</v>
      </c>
      <c r="L699" t="s">
        <v>7</v>
      </c>
      <c r="M699" t="s">
        <v>8</v>
      </c>
      <c r="N699" t="s">
        <v>7</v>
      </c>
      <c r="P699">
        <f t="shared" si="994"/>
        <v>5.8823529411767404E-2</v>
      </c>
      <c r="Q699">
        <f t="shared" si="995"/>
        <v>5777796.3882355588</v>
      </c>
      <c r="R699">
        <f t="shared" si="996"/>
        <v>-956627031.81890893</v>
      </c>
      <c r="S699">
        <f t="shared" si="997"/>
        <v>-9566.2703181890902</v>
      </c>
      <c r="T699">
        <f t="shared" si="998"/>
        <v>-9.5662703181890905</v>
      </c>
    </row>
    <row r="700" spans="1:20" x14ac:dyDescent="0.25">
      <c r="A700" s="5">
        <v>43893</v>
      </c>
      <c r="B700">
        <v>6.2100000000000002E-3</v>
      </c>
      <c r="C700">
        <v>6.3499999999999997E-3</v>
      </c>
      <c r="D700">
        <v>6.0000000000000001E-3</v>
      </c>
      <c r="E700">
        <v>6.0299999999999998E-3</v>
      </c>
      <c r="F700">
        <v>89734438.099999994</v>
      </c>
      <c r="G700">
        <v>0</v>
      </c>
      <c r="L700" t="s">
        <v>7</v>
      </c>
      <c r="M700" t="s">
        <v>8</v>
      </c>
      <c r="N700" t="s">
        <v>7</v>
      </c>
      <c r="P700">
        <f t="shared" si="994"/>
        <v>-0.8285714285714304</v>
      </c>
      <c r="Q700">
        <f t="shared" si="995"/>
        <v>-74351391.568571582</v>
      </c>
      <c r="R700">
        <f t="shared" si="996"/>
        <v>-962404828.2071445</v>
      </c>
      <c r="S700">
        <f t="shared" si="997"/>
        <v>-9624.0482820714442</v>
      </c>
      <c r="T700">
        <f t="shared" si="998"/>
        <v>-9.6240482820714437</v>
      </c>
    </row>
    <row r="701" spans="1:20" x14ac:dyDescent="0.25">
      <c r="A701" s="5">
        <v>43892</v>
      </c>
      <c r="B701">
        <v>5.8500000000000002E-3</v>
      </c>
      <c r="C701">
        <v>6.4799999999999996E-3</v>
      </c>
      <c r="D701">
        <v>5.8199999999999997E-3</v>
      </c>
      <c r="E701">
        <v>6.2100000000000002E-3</v>
      </c>
      <c r="F701">
        <v>97326483.299999997</v>
      </c>
      <c r="G701">
        <v>0</v>
      </c>
      <c r="L701" t="s">
        <v>8</v>
      </c>
      <c r="M701" t="s">
        <v>8</v>
      </c>
      <c r="N701" t="s">
        <v>7</v>
      </c>
      <c r="P701">
        <f t="shared" si="994"/>
        <v>0.1818181818181836</v>
      </c>
      <c r="Q701">
        <f t="shared" si="995"/>
        <v>17695724.23636381</v>
      </c>
      <c r="R701">
        <f t="shared" si="996"/>
        <v>-888053436.63857293</v>
      </c>
      <c r="S701">
        <f t="shared" si="997"/>
        <v>-8880.5343663857293</v>
      </c>
      <c r="T701">
        <f t="shared" si="998"/>
        <v>-8.8805343663857297</v>
      </c>
    </row>
    <row r="702" spans="1:20" x14ac:dyDescent="0.25">
      <c r="A702" s="5">
        <v>43891</v>
      </c>
      <c r="B702">
        <v>5.9199999999999999E-3</v>
      </c>
      <c r="C702">
        <v>6.2899999999999996E-3</v>
      </c>
      <c r="D702">
        <v>5.6499999999999996E-3</v>
      </c>
      <c r="E702">
        <v>5.8500000000000002E-3</v>
      </c>
      <c r="F702">
        <v>110664917.3</v>
      </c>
      <c r="G702">
        <v>0</v>
      </c>
      <c r="L702" t="s">
        <v>8</v>
      </c>
      <c r="M702" t="s">
        <v>8</v>
      </c>
      <c r="N702" t="s">
        <v>7</v>
      </c>
      <c r="P702">
        <f t="shared" si="994"/>
        <v>-0.37499999999999828</v>
      </c>
      <c r="Q702">
        <f t="shared" si="995"/>
        <v>-41499343.987499811</v>
      </c>
      <c r="R702">
        <f t="shared" si="996"/>
        <v>-905749160.8749367</v>
      </c>
      <c r="S702">
        <f t="shared" si="997"/>
        <v>-9057.4916087493675</v>
      </c>
      <c r="T702">
        <f t="shared" si="998"/>
        <v>-9.057491608749368</v>
      </c>
    </row>
    <row r="703" spans="1:20" x14ac:dyDescent="0.25">
      <c r="A703" s="5">
        <v>43890</v>
      </c>
      <c r="B703">
        <v>5.9500000000000004E-3</v>
      </c>
      <c r="C703">
        <v>6.1599999999999997E-3</v>
      </c>
      <c r="D703">
        <v>5.7999999999999996E-3</v>
      </c>
      <c r="E703">
        <v>5.8900000000000003E-3</v>
      </c>
      <c r="F703">
        <v>56694475</v>
      </c>
      <c r="G703">
        <v>0</v>
      </c>
      <c r="L703" t="s">
        <v>8</v>
      </c>
      <c r="M703" t="s">
        <v>8</v>
      </c>
      <c r="N703" t="s">
        <v>7</v>
      </c>
      <c r="P703">
        <f t="shared" si="994"/>
        <v>-0.49999999999999639</v>
      </c>
      <c r="Q703">
        <f t="shared" si="995"/>
        <v>-28347237.499999795</v>
      </c>
      <c r="R703">
        <f t="shared" si="996"/>
        <v>-864249816.88743687</v>
      </c>
      <c r="S703">
        <f t="shared" si="997"/>
        <v>-8642.4981688743683</v>
      </c>
      <c r="T703">
        <f t="shared" si="998"/>
        <v>-8.6424981688743685</v>
      </c>
    </row>
    <row r="704" spans="1:20" x14ac:dyDescent="0.25">
      <c r="A704" s="5">
        <v>43889</v>
      </c>
      <c r="B704">
        <v>6.0000000000000001E-3</v>
      </c>
      <c r="C704">
        <v>6.2199999999999998E-3</v>
      </c>
      <c r="D704">
        <v>5.6299999999999996E-3</v>
      </c>
      <c r="E704">
        <v>5.9699999999999996E-3</v>
      </c>
      <c r="F704">
        <v>123771002</v>
      </c>
      <c r="G704">
        <v>0</v>
      </c>
      <c r="L704" t="s">
        <v>7</v>
      </c>
      <c r="M704" t="s">
        <v>8</v>
      </c>
      <c r="N704" t="s">
        <v>7</v>
      </c>
      <c r="P704">
        <f t="shared" si="994"/>
        <v>0.15254237288135553</v>
      </c>
      <c r="Q704">
        <f t="shared" si="995"/>
        <v>18880322.338982999</v>
      </c>
      <c r="R704">
        <f t="shared" si="996"/>
        <v>-835902579.38743711</v>
      </c>
      <c r="S704">
        <f t="shared" si="997"/>
        <v>-8359.0257938743707</v>
      </c>
      <c r="T704">
        <f t="shared" si="998"/>
        <v>-8.3590257938743715</v>
      </c>
    </row>
    <row r="705" spans="1:20" x14ac:dyDescent="0.25">
      <c r="A705" s="5">
        <v>43888</v>
      </c>
      <c r="B705">
        <v>5.7000000000000002E-3</v>
      </c>
      <c r="C705">
        <v>6.3099999999999996E-3</v>
      </c>
      <c r="D705">
        <v>5.4000000000000003E-3</v>
      </c>
      <c r="E705">
        <v>6.0000000000000001E-3</v>
      </c>
      <c r="F705">
        <v>169418430.69999999</v>
      </c>
      <c r="G705">
        <v>0</v>
      </c>
      <c r="L705" t="s">
        <v>8</v>
      </c>
      <c r="M705" t="s">
        <v>8</v>
      </c>
      <c r="N705" t="s">
        <v>7</v>
      </c>
      <c r="P705">
        <f t="shared" si="994"/>
        <v>0.31868131868131927</v>
      </c>
      <c r="Q705">
        <f t="shared" si="995"/>
        <v>53990488.9043957</v>
      </c>
      <c r="R705">
        <f t="shared" si="996"/>
        <v>-854782901.72642004</v>
      </c>
      <c r="S705">
        <f t="shared" si="997"/>
        <v>-8547.829017264201</v>
      </c>
      <c r="T705">
        <f t="shared" si="998"/>
        <v>-8.5478290172642009</v>
      </c>
    </row>
    <row r="706" spans="1:20" x14ac:dyDescent="0.25">
      <c r="A706" s="5">
        <v>43887</v>
      </c>
      <c r="B706">
        <v>6.43E-3</v>
      </c>
      <c r="C706">
        <v>6.5199999999999998E-3</v>
      </c>
      <c r="D706">
        <v>5.3200000000000001E-3</v>
      </c>
      <c r="E706">
        <v>5.7000000000000002E-3</v>
      </c>
      <c r="F706">
        <v>235010414.09999999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-0.36666666666666631</v>
      </c>
      <c r="Q706">
        <f t="shared" si="995"/>
        <v>-86170485.169999912</v>
      </c>
      <c r="R706">
        <f t="shared" si="996"/>
        <v>-908773390.63081574</v>
      </c>
      <c r="S706">
        <f t="shared" si="997"/>
        <v>-9087.7339063081581</v>
      </c>
      <c r="T706">
        <f t="shared" si="998"/>
        <v>-9.0877339063081575</v>
      </c>
    </row>
    <row r="707" spans="1:20" x14ac:dyDescent="0.25">
      <c r="A707" s="5">
        <v>43886</v>
      </c>
      <c r="B707">
        <v>7.1900000000000002E-3</v>
      </c>
      <c r="C707">
        <v>7.2199999999999999E-3</v>
      </c>
      <c r="D707">
        <v>6.4000000000000003E-3</v>
      </c>
      <c r="E707">
        <v>6.43E-3</v>
      </c>
      <c r="F707">
        <v>122505549.40000001</v>
      </c>
      <c r="G707">
        <v>0</v>
      </c>
      <c r="L707" t="s">
        <v>7</v>
      </c>
      <c r="M707" t="s">
        <v>7</v>
      </c>
      <c r="N707" t="s">
        <v>7</v>
      </c>
      <c r="P707">
        <f t="shared" si="994"/>
        <v>-0.92682926829268375</v>
      </c>
      <c r="Q707">
        <f t="shared" si="995"/>
        <v>-113541728.71219523</v>
      </c>
      <c r="R707">
        <f t="shared" si="996"/>
        <v>-822602905.46081579</v>
      </c>
      <c r="S707">
        <f t="shared" si="997"/>
        <v>-8226.0290546081578</v>
      </c>
      <c r="T707">
        <f t="shared" si="998"/>
        <v>-8.2260290546081585</v>
      </c>
    </row>
    <row r="708" spans="1:20" x14ac:dyDescent="0.25">
      <c r="A708" s="5">
        <v>43885</v>
      </c>
      <c r="B708">
        <v>7.79E-3</v>
      </c>
      <c r="C708">
        <v>7.8300000000000002E-3</v>
      </c>
      <c r="D708">
        <v>6.94E-3</v>
      </c>
      <c r="E708">
        <v>7.1999999999999998E-3</v>
      </c>
      <c r="F708">
        <v>106707536</v>
      </c>
      <c r="G708">
        <v>0</v>
      </c>
      <c r="L708" t="s">
        <v>8</v>
      </c>
      <c r="M708" t="s">
        <v>7</v>
      </c>
      <c r="N708" t="s">
        <v>7</v>
      </c>
      <c r="P708">
        <f t="shared" si="994"/>
        <v>-0.4157303370786522</v>
      </c>
      <c r="Q708">
        <f t="shared" si="995"/>
        <v>-44361559.910112418</v>
      </c>
      <c r="R708">
        <f t="shared" si="996"/>
        <v>-709061176.74862051</v>
      </c>
      <c r="S708">
        <f t="shared" si="997"/>
        <v>-7090.6117674862053</v>
      </c>
      <c r="T708">
        <f t="shared" si="998"/>
        <v>-7.0906117674862053</v>
      </c>
    </row>
    <row r="709" spans="1:20" x14ac:dyDescent="0.25">
      <c r="A709" s="5">
        <v>43884</v>
      </c>
      <c r="B709">
        <v>7.3800000000000003E-3</v>
      </c>
      <c r="C709">
        <v>7.7999999999999996E-3</v>
      </c>
      <c r="D709">
        <v>7.3000000000000001E-3</v>
      </c>
      <c r="E709">
        <v>7.7799999999999996E-3</v>
      </c>
      <c r="F709">
        <v>95797814.900000006</v>
      </c>
      <c r="G709">
        <v>0</v>
      </c>
      <c r="L709" t="s">
        <v>8</v>
      </c>
      <c r="M709" t="s">
        <v>7</v>
      </c>
      <c r="N709" t="s">
        <v>7</v>
      </c>
      <c r="P709">
        <f t="shared" si="994"/>
        <v>0.91999999999999971</v>
      </c>
      <c r="Q709">
        <f t="shared" si="995"/>
        <v>88133989.707999974</v>
      </c>
      <c r="R709">
        <f t="shared" si="996"/>
        <v>-664699616.83850813</v>
      </c>
      <c r="S709">
        <f t="shared" si="997"/>
        <v>-6646.9961683850815</v>
      </c>
      <c r="T709">
        <f t="shared" si="998"/>
        <v>-6.6469961683850816</v>
      </c>
    </row>
    <row r="710" spans="1:20" x14ac:dyDescent="0.25">
      <c r="A710" s="5">
        <v>43883</v>
      </c>
      <c r="B710">
        <v>7.3899999999999999E-3</v>
      </c>
      <c r="C710">
        <v>7.4799999999999997E-3</v>
      </c>
      <c r="D710">
        <v>7.0099999999999997E-3</v>
      </c>
      <c r="E710">
        <v>7.3800000000000003E-3</v>
      </c>
      <c r="F710">
        <v>49563469.799999997</v>
      </c>
      <c r="G710">
        <v>0</v>
      </c>
      <c r="L710" t="s">
        <v>7</v>
      </c>
      <c r="M710" t="s">
        <v>7</v>
      </c>
      <c r="N710" t="s">
        <v>7</v>
      </c>
      <c r="P710">
        <f t="shared" ref="P710:P766" si="999">IF(C710=D710,0,((E710-D710)-(C710-E710))/(C710-D710))</f>
        <v>0.57446808510638547</v>
      </c>
      <c r="Q710">
        <f t="shared" ref="Q710:Q766" si="1000">F710*P710</f>
        <v>28472631.587234166</v>
      </c>
      <c r="R710">
        <f t="shared" ref="R710:R766" si="1001">R711+Q710</f>
        <v>-752833606.54650807</v>
      </c>
      <c r="S710">
        <f t="shared" ref="S710:S766" si="1002">R710/100000</f>
        <v>-7528.3360654650805</v>
      </c>
      <c r="T710">
        <f t="shared" ref="T710:T766" si="1003">S710/1000</f>
        <v>-7.5283360654650808</v>
      </c>
    </row>
    <row r="711" spans="1:20" x14ac:dyDescent="0.25">
      <c r="A711" s="5">
        <v>43882</v>
      </c>
      <c r="B711">
        <v>7.28E-3</v>
      </c>
      <c r="C711">
        <v>7.8200000000000006E-3</v>
      </c>
      <c r="D711">
        <v>7.1000000000000004E-3</v>
      </c>
      <c r="E711">
        <v>7.3899999999999999E-3</v>
      </c>
      <c r="F711">
        <v>164278708.90000001</v>
      </c>
      <c r="G711">
        <v>0</v>
      </c>
      <c r="L711" t="s">
        <v>8</v>
      </c>
      <c r="M711" t="s">
        <v>7</v>
      </c>
      <c r="N711" t="s">
        <v>7</v>
      </c>
      <c r="P711">
        <f t="shared" si="999"/>
        <v>-0.19444444444444611</v>
      </c>
      <c r="Q711">
        <f t="shared" si="1000"/>
        <v>-31943082.286111385</v>
      </c>
      <c r="R711">
        <f t="shared" si="1001"/>
        <v>-781306238.13374221</v>
      </c>
      <c r="S711">
        <f t="shared" si="1002"/>
        <v>-7813.0623813374223</v>
      </c>
      <c r="T711">
        <f t="shared" si="1003"/>
        <v>-7.8130623813374225</v>
      </c>
    </row>
    <row r="712" spans="1:20" x14ac:dyDescent="0.25">
      <c r="A712" s="5">
        <v>43881</v>
      </c>
      <c r="B712">
        <v>6.8900000000000003E-3</v>
      </c>
      <c r="C712">
        <v>7.7400000000000004E-3</v>
      </c>
      <c r="D712">
        <v>6.8500000000000002E-3</v>
      </c>
      <c r="E712">
        <v>7.2500000000000004E-3</v>
      </c>
      <c r="F712">
        <v>123497568.90000001</v>
      </c>
      <c r="G712">
        <v>0</v>
      </c>
      <c r="L712" t="s">
        <v>8</v>
      </c>
      <c r="M712" t="s">
        <v>7</v>
      </c>
      <c r="N712" t="s">
        <v>7</v>
      </c>
      <c r="P712">
        <f t="shared" si="999"/>
        <v>-0.10112359550561774</v>
      </c>
      <c r="Q712">
        <f t="shared" si="1000"/>
        <v>-12488518.203370757</v>
      </c>
      <c r="R712">
        <f t="shared" si="1001"/>
        <v>-749363155.84763086</v>
      </c>
      <c r="S712">
        <f t="shared" si="1002"/>
        <v>-7493.6315584763088</v>
      </c>
      <c r="T712">
        <f t="shared" si="1003"/>
        <v>-7.4936315584763085</v>
      </c>
    </row>
    <row r="713" spans="1:20" x14ac:dyDescent="0.25">
      <c r="A713" s="5">
        <v>43880</v>
      </c>
      <c r="B713">
        <v>7.8499999999999993E-3</v>
      </c>
      <c r="C713">
        <v>8.0000000000000002E-3</v>
      </c>
      <c r="D713">
        <v>6.8199999999999997E-3</v>
      </c>
      <c r="E713">
        <v>6.9100000000000003E-3</v>
      </c>
      <c r="F713">
        <v>123758164.90000001</v>
      </c>
      <c r="G713">
        <v>0</v>
      </c>
      <c r="L713" t="s">
        <v>7</v>
      </c>
      <c r="M713" t="s">
        <v>7</v>
      </c>
      <c r="N713" t="s">
        <v>7</v>
      </c>
      <c r="P713">
        <f t="shared" si="999"/>
        <v>-0.84745762711864303</v>
      </c>
      <c r="Q713">
        <f t="shared" si="1000"/>
        <v>-104879800.76271175</v>
      </c>
      <c r="R713">
        <f t="shared" si="1001"/>
        <v>-736874637.64426005</v>
      </c>
      <c r="S713">
        <f t="shared" si="1002"/>
        <v>-7368.7463764426002</v>
      </c>
      <c r="T713">
        <f t="shared" si="1003"/>
        <v>-7.3687463764426004</v>
      </c>
    </row>
    <row r="714" spans="1:20" x14ac:dyDescent="0.25">
      <c r="A714" s="5">
        <v>43879</v>
      </c>
      <c r="B714">
        <v>7.4400000000000004E-3</v>
      </c>
      <c r="C714">
        <v>7.9900000000000006E-3</v>
      </c>
      <c r="D714">
        <v>7.1599999999999997E-3</v>
      </c>
      <c r="E714">
        <v>7.8200000000000006E-3</v>
      </c>
      <c r="F714">
        <v>117589199.40000001</v>
      </c>
      <c r="G714">
        <v>0</v>
      </c>
      <c r="L714" t="s">
        <v>8</v>
      </c>
      <c r="M714" t="s">
        <v>8</v>
      </c>
      <c r="N714" t="s">
        <v>7</v>
      </c>
      <c r="P714">
        <f t="shared" si="999"/>
        <v>0.59036144578313299</v>
      </c>
      <c r="Q714">
        <f t="shared" si="1000"/>
        <v>69420129.766265124</v>
      </c>
      <c r="R714">
        <f t="shared" si="1001"/>
        <v>-631994836.88154829</v>
      </c>
      <c r="S714">
        <f t="shared" si="1002"/>
        <v>-6319.9483688154833</v>
      </c>
      <c r="T714">
        <f t="shared" si="1003"/>
        <v>-6.3199483688154832</v>
      </c>
    </row>
    <row r="715" spans="1:20" x14ac:dyDescent="0.25">
      <c r="A715" s="5">
        <v>43878</v>
      </c>
      <c r="B715">
        <v>7.6899999999999998E-3</v>
      </c>
      <c r="C715">
        <v>7.8499999999999993E-3</v>
      </c>
      <c r="D715">
        <v>6.6800000000000002E-3</v>
      </c>
      <c r="E715">
        <v>7.4400000000000004E-3</v>
      </c>
      <c r="F715">
        <v>218264012.30000001</v>
      </c>
      <c r="G715">
        <v>0</v>
      </c>
      <c r="L715" t="s">
        <v>7</v>
      </c>
      <c r="M715" t="s">
        <v>7</v>
      </c>
      <c r="N715" t="s">
        <v>7</v>
      </c>
      <c r="P715">
        <f t="shared" si="999"/>
        <v>0.29914529914530053</v>
      </c>
      <c r="Q715">
        <f t="shared" si="1000"/>
        <v>65292653.252137057</v>
      </c>
      <c r="R715">
        <f t="shared" si="1001"/>
        <v>-701414966.64781344</v>
      </c>
      <c r="S715">
        <f t="shared" si="1002"/>
        <v>-7014.1496664781343</v>
      </c>
      <c r="T715">
        <f t="shared" si="1003"/>
        <v>-7.0141496664781346</v>
      </c>
    </row>
    <row r="716" spans="1:20" x14ac:dyDescent="0.25">
      <c r="A716" s="5">
        <v>43877</v>
      </c>
      <c r="B716">
        <v>8.0999999999999996E-3</v>
      </c>
      <c r="C716">
        <v>8.6400000000000001E-3</v>
      </c>
      <c r="D716">
        <v>7.0699999999999999E-3</v>
      </c>
      <c r="E716">
        <v>7.7400000000000004E-3</v>
      </c>
      <c r="F716">
        <v>220234736.19999999</v>
      </c>
      <c r="G716">
        <v>0</v>
      </c>
      <c r="L716" t="s">
        <v>7</v>
      </c>
      <c r="M716" t="s">
        <v>7</v>
      </c>
      <c r="N716" t="s">
        <v>8</v>
      </c>
      <c r="P716">
        <f t="shared" si="999"/>
        <v>-0.14649681528662373</v>
      </c>
      <c r="Q716">
        <f t="shared" si="1000"/>
        <v>-32263687.4687897</v>
      </c>
      <c r="R716">
        <f t="shared" si="1001"/>
        <v>-766707619.8999505</v>
      </c>
      <c r="S716">
        <f t="shared" si="1002"/>
        <v>-7667.0761989995053</v>
      </c>
      <c r="T716">
        <f t="shared" si="1003"/>
        <v>-7.6670761989995055</v>
      </c>
    </row>
    <row r="717" spans="1:20" x14ac:dyDescent="0.25">
      <c r="A717" s="5">
        <v>43876</v>
      </c>
      <c r="B717">
        <v>8.9700000000000005E-3</v>
      </c>
      <c r="C717">
        <v>9.7900000000000001E-3</v>
      </c>
      <c r="D717">
        <v>6.13E-3</v>
      </c>
      <c r="E717">
        <v>8.0999999999999996E-3</v>
      </c>
      <c r="F717">
        <v>329832291.89999998</v>
      </c>
      <c r="G717">
        <v>0</v>
      </c>
      <c r="L717" t="s">
        <v>8</v>
      </c>
      <c r="M717" t="s">
        <v>8</v>
      </c>
      <c r="N717" t="s">
        <v>8</v>
      </c>
      <c r="P717">
        <f t="shared" si="999"/>
        <v>7.6502732240436883E-2</v>
      </c>
      <c r="Q717">
        <f t="shared" si="1000"/>
        <v>25233071.511475317</v>
      </c>
      <c r="R717">
        <f t="shared" si="1001"/>
        <v>-734443932.43116081</v>
      </c>
      <c r="S717">
        <f t="shared" si="1002"/>
        <v>-7344.4393243116083</v>
      </c>
      <c r="T717">
        <f t="shared" si="1003"/>
        <v>-7.3444393243116082</v>
      </c>
    </row>
    <row r="718" spans="1:20" x14ac:dyDescent="0.25">
      <c r="A718" s="5">
        <v>43875</v>
      </c>
      <c r="B718">
        <v>8.1300000000000001E-3</v>
      </c>
      <c r="C718">
        <v>9.1999999999999998E-3</v>
      </c>
      <c r="D718">
        <v>8.0000000000000002E-3</v>
      </c>
      <c r="E718">
        <v>8.9800000000000001E-3</v>
      </c>
      <c r="F718">
        <v>167832585.40000001</v>
      </c>
      <c r="G718">
        <v>0</v>
      </c>
      <c r="L718" t="s">
        <v>8</v>
      </c>
      <c r="M718" t="s">
        <v>8</v>
      </c>
      <c r="N718" t="s">
        <v>8</v>
      </c>
      <c r="P718">
        <f t="shared" si="999"/>
        <v>0.63333333333333375</v>
      </c>
      <c r="Q718">
        <f t="shared" si="1000"/>
        <v>106293970.7533334</v>
      </c>
      <c r="R718">
        <f t="shared" si="1001"/>
        <v>-759677003.94263613</v>
      </c>
      <c r="S718">
        <f t="shared" si="1002"/>
        <v>-7596.7700394263611</v>
      </c>
      <c r="T718">
        <f t="shared" si="1003"/>
        <v>-7.5967700394263611</v>
      </c>
    </row>
    <row r="719" spans="1:20" x14ac:dyDescent="0.25">
      <c r="A719" s="5">
        <v>43874</v>
      </c>
      <c r="B719">
        <v>8.2900000000000005E-3</v>
      </c>
      <c r="C719">
        <v>8.6E-3</v>
      </c>
      <c r="D719">
        <v>7.8600000000000007E-3</v>
      </c>
      <c r="E719">
        <v>8.0999999999999996E-3</v>
      </c>
      <c r="F719">
        <v>162828151.19999999</v>
      </c>
      <c r="G719">
        <v>0</v>
      </c>
      <c r="L719" t="s">
        <v>7</v>
      </c>
      <c r="M719" t="s">
        <v>8</v>
      </c>
      <c r="N719" t="s">
        <v>8</v>
      </c>
      <c r="P719">
        <f t="shared" si="999"/>
        <v>-0.35135135135135376</v>
      </c>
      <c r="Q719">
        <f t="shared" si="1000"/>
        <v>-57209890.962162547</v>
      </c>
      <c r="R719">
        <f t="shared" si="1001"/>
        <v>-865970974.69596958</v>
      </c>
      <c r="S719">
        <f t="shared" si="1002"/>
        <v>-8659.7097469596956</v>
      </c>
      <c r="T719">
        <f t="shared" si="1003"/>
        <v>-8.6597097469596953</v>
      </c>
    </row>
    <row r="720" spans="1:20" x14ac:dyDescent="0.25">
      <c r="A720" s="5">
        <v>43873</v>
      </c>
      <c r="B720">
        <v>8.2000000000000007E-3</v>
      </c>
      <c r="C720">
        <v>8.5699999999999995E-3</v>
      </c>
      <c r="D720">
        <v>8.0000000000000002E-3</v>
      </c>
      <c r="E720">
        <v>8.2900000000000005E-3</v>
      </c>
      <c r="F720">
        <v>197122782.09999999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1.7543859649125155E-2</v>
      </c>
      <c r="Q720">
        <f t="shared" si="1000"/>
        <v>3458294.4228074802</v>
      </c>
      <c r="R720">
        <f t="shared" si="1001"/>
        <v>-808761083.73380709</v>
      </c>
      <c r="S720">
        <f t="shared" si="1002"/>
        <v>-8087.6108373380712</v>
      </c>
      <c r="T720">
        <f t="shared" si="1003"/>
        <v>-8.0876108373380706</v>
      </c>
    </row>
    <row r="721" spans="1:20" x14ac:dyDescent="0.25">
      <c r="A721" s="5">
        <v>43872</v>
      </c>
      <c r="B721">
        <v>7.5900000000000004E-3</v>
      </c>
      <c r="C721">
        <v>8.2299999999999995E-3</v>
      </c>
      <c r="D721">
        <v>7.2899999999999996E-3</v>
      </c>
      <c r="E721">
        <v>8.1899999999999994E-3</v>
      </c>
      <c r="F721">
        <v>128650001</v>
      </c>
      <c r="G721">
        <v>0</v>
      </c>
      <c r="L721" t="s">
        <v>7</v>
      </c>
      <c r="M721" t="s">
        <v>8</v>
      </c>
      <c r="N721" t="s">
        <v>8</v>
      </c>
      <c r="P721">
        <f t="shared" si="999"/>
        <v>0.91489361702127636</v>
      </c>
      <c r="Q721">
        <f t="shared" si="1000"/>
        <v>117701064.74468082</v>
      </c>
      <c r="R721">
        <f t="shared" si="1001"/>
        <v>-812219378.15661454</v>
      </c>
      <c r="S721">
        <f t="shared" si="1002"/>
        <v>-8122.1937815661458</v>
      </c>
      <c r="T721">
        <f t="shared" si="1003"/>
        <v>-8.1221937815661462</v>
      </c>
    </row>
    <row r="722" spans="1:20" x14ac:dyDescent="0.25">
      <c r="A722" s="5">
        <v>43871</v>
      </c>
      <c r="B722">
        <v>7.92E-3</v>
      </c>
      <c r="C722">
        <v>8.2199999999999999E-3</v>
      </c>
      <c r="D722">
        <v>7.28E-3</v>
      </c>
      <c r="E722">
        <v>7.5599999999999999E-3</v>
      </c>
      <c r="F722">
        <v>135229722.40000001</v>
      </c>
      <c r="G722">
        <v>0</v>
      </c>
      <c r="L722" t="s">
        <v>8</v>
      </c>
      <c r="M722" t="s">
        <v>8</v>
      </c>
      <c r="N722" t="s">
        <v>8</v>
      </c>
      <c r="P722">
        <f t="shared" si="999"/>
        <v>-0.40425531914893637</v>
      </c>
      <c r="Q722">
        <f t="shared" si="1000"/>
        <v>-54667334.587234072</v>
      </c>
      <c r="R722">
        <f t="shared" si="1001"/>
        <v>-929920442.90129542</v>
      </c>
      <c r="S722">
        <f t="shared" si="1002"/>
        <v>-9299.2044290129543</v>
      </c>
      <c r="T722">
        <f t="shared" si="1003"/>
        <v>-9.2992044290129545</v>
      </c>
    </row>
    <row r="723" spans="1:20" x14ac:dyDescent="0.25">
      <c r="A723" s="5">
        <v>43870</v>
      </c>
      <c r="B723">
        <v>7.5100000000000002E-3</v>
      </c>
      <c r="C723">
        <v>8.0199999999999994E-3</v>
      </c>
      <c r="D723">
        <v>7.3699999999999998E-3</v>
      </c>
      <c r="E723">
        <v>7.92E-3</v>
      </c>
      <c r="F723">
        <v>120940907.90000001</v>
      </c>
      <c r="G723">
        <v>0</v>
      </c>
      <c r="L723" t="s">
        <v>8</v>
      </c>
      <c r="M723" t="s">
        <v>8</v>
      </c>
      <c r="N723" t="s">
        <v>8</v>
      </c>
      <c r="P723">
        <f t="shared" si="999"/>
        <v>0.69230769230769396</v>
      </c>
      <c r="Q723">
        <f t="shared" si="1000"/>
        <v>83728320.853846356</v>
      </c>
      <c r="R723">
        <f t="shared" si="1001"/>
        <v>-875253108.3140614</v>
      </c>
      <c r="S723">
        <f t="shared" si="1002"/>
        <v>-8752.5310831406132</v>
      </c>
      <c r="T723">
        <f t="shared" si="1003"/>
        <v>-8.7525310831406138</v>
      </c>
    </row>
    <row r="724" spans="1:20" x14ac:dyDescent="0.25">
      <c r="A724" s="5">
        <v>43869</v>
      </c>
      <c r="B724">
        <v>8.2199999999999999E-3</v>
      </c>
      <c r="C724">
        <v>8.2500000000000004E-3</v>
      </c>
      <c r="D724">
        <v>7.2199999999999999E-3</v>
      </c>
      <c r="E724">
        <v>7.5100000000000002E-3</v>
      </c>
      <c r="F724">
        <v>151837862.5</v>
      </c>
      <c r="G724">
        <v>0</v>
      </c>
      <c r="L724" t="s">
        <v>7</v>
      </c>
      <c r="M724" t="s">
        <v>8</v>
      </c>
      <c r="N724" t="s">
        <v>8</v>
      </c>
      <c r="P724">
        <f t="shared" si="999"/>
        <v>-0.43689320388349479</v>
      </c>
      <c r="Q724">
        <f t="shared" si="1000"/>
        <v>-66336930.218446545</v>
      </c>
      <c r="R724">
        <f t="shared" si="1001"/>
        <v>-958981429.16790771</v>
      </c>
      <c r="S724">
        <f t="shared" si="1002"/>
        <v>-9589.8142916790766</v>
      </c>
      <c r="T724">
        <f t="shared" si="1003"/>
        <v>-9.5898142916790761</v>
      </c>
    </row>
    <row r="725" spans="1:20" x14ac:dyDescent="0.25">
      <c r="A725" s="5">
        <v>43868</v>
      </c>
      <c r="B725">
        <v>7.4599999999999996E-3</v>
      </c>
      <c r="C725">
        <v>8.3000000000000001E-3</v>
      </c>
      <c r="D725">
        <v>7.1999999999999998E-3</v>
      </c>
      <c r="E725">
        <v>8.2500000000000004E-3</v>
      </c>
      <c r="F725">
        <v>193858509</v>
      </c>
      <c r="G725">
        <v>0</v>
      </c>
      <c r="L725" t="s">
        <v>8</v>
      </c>
      <c r="M725" t="s">
        <v>8</v>
      </c>
      <c r="N725" t="s">
        <v>8</v>
      </c>
      <c r="P725">
        <f t="shared" si="999"/>
        <v>0.90909090909090962</v>
      </c>
      <c r="Q725">
        <f t="shared" si="1000"/>
        <v>176235008.18181828</v>
      </c>
      <c r="R725">
        <f t="shared" si="1001"/>
        <v>-892644498.94946122</v>
      </c>
      <c r="S725">
        <f t="shared" si="1002"/>
        <v>-8926.4449894946119</v>
      </c>
      <c r="T725">
        <f t="shared" si="1003"/>
        <v>-8.9264449894946125</v>
      </c>
    </row>
    <row r="726" spans="1:20" x14ac:dyDescent="0.25">
      <c r="A726" s="5">
        <v>43867</v>
      </c>
      <c r="B726">
        <v>6.8799999999999998E-3</v>
      </c>
      <c r="C726">
        <v>7.4999999999999997E-3</v>
      </c>
      <c r="D726">
        <v>6.7499999999999999E-3</v>
      </c>
      <c r="E726">
        <v>7.45E-3</v>
      </c>
      <c r="F726">
        <v>114293130.5</v>
      </c>
      <c r="G726">
        <v>0</v>
      </c>
      <c r="L726" t="s">
        <v>8</v>
      </c>
      <c r="M726" t="s">
        <v>8</v>
      </c>
      <c r="N726" t="s">
        <v>8</v>
      </c>
      <c r="P726">
        <f t="shared" si="999"/>
        <v>0.86666666666666747</v>
      </c>
      <c r="Q726">
        <f t="shared" si="1000"/>
        <v>99054046.433333427</v>
      </c>
      <c r="R726">
        <f t="shared" si="1001"/>
        <v>-1068879507.1312795</v>
      </c>
      <c r="S726">
        <f t="shared" si="1002"/>
        <v>-10688.795071312794</v>
      </c>
      <c r="T726">
        <f t="shared" si="1003"/>
        <v>-10.688795071312795</v>
      </c>
    </row>
    <row r="727" spans="1:20" x14ac:dyDescent="0.25">
      <c r="A727" s="5">
        <v>43866</v>
      </c>
      <c r="B727">
        <v>6.8799999999999998E-3</v>
      </c>
      <c r="C727">
        <v>7.0499999999999998E-3</v>
      </c>
      <c r="D727">
        <v>6.6E-3</v>
      </c>
      <c r="E727">
        <v>6.8799999999999998E-3</v>
      </c>
      <c r="F727">
        <v>132166073</v>
      </c>
      <c r="G727">
        <v>0</v>
      </c>
      <c r="L727" t="s">
        <v>7</v>
      </c>
      <c r="M727" t="s">
        <v>8</v>
      </c>
      <c r="N727" t="s">
        <v>8</v>
      </c>
      <c r="P727">
        <f t="shared" si="999"/>
        <v>0.24444444444444419</v>
      </c>
      <c r="Q727">
        <f t="shared" si="1000"/>
        <v>32307262.288888853</v>
      </c>
      <c r="R727">
        <f t="shared" si="1001"/>
        <v>-1167933553.5646129</v>
      </c>
      <c r="S727">
        <f t="shared" si="1002"/>
        <v>-11679.335535646129</v>
      </c>
      <c r="T727">
        <f t="shared" si="1003"/>
        <v>-11.679335535646128</v>
      </c>
    </row>
    <row r="728" spans="1:20" x14ac:dyDescent="0.25">
      <c r="A728" s="5">
        <v>43865</v>
      </c>
      <c r="B728">
        <v>6.2100000000000002E-3</v>
      </c>
      <c r="C728">
        <v>7.1999999999999998E-3</v>
      </c>
      <c r="D728">
        <v>6.1399999999999996E-3</v>
      </c>
      <c r="E728">
        <v>6.8300000000000001E-3</v>
      </c>
      <c r="F728">
        <v>166907114.19999999</v>
      </c>
      <c r="G728">
        <v>0</v>
      </c>
      <c r="L728" t="s">
        <v>8</v>
      </c>
      <c r="M728" t="s">
        <v>8</v>
      </c>
      <c r="N728" t="s">
        <v>8</v>
      </c>
      <c r="P728">
        <f t="shared" si="999"/>
        <v>0.30188679245283095</v>
      </c>
      <c r="Q728">
        <f t="shared" si="1000"/>
        <v>50387053.343396351</v>
      </c>
      <c r="R728">
        <f t="shared" si="1001"/>
        <v>-1200240815.8535018</v>
      </c>
      <c r="S728">
        <f t="shared" si="1002"/>
        <v>-12002.408158535018</v>
      </c>
      <c r="T728">
        <f t="shared" si="1003"/>
        <v>-12.002408158535017</v>
      </c>
    </row>
    <row r="729" spans="1:20" x14ac:dyDescent="0.25">
      <c r="A729" s="5">
        <v>43864</v>
      </c>
      <c r="B729">
        <v>6.1999999999999998E-3</v>
      </c>
      <c r="C729">
        <v>6.6E-3</v>
      </c>
      <c r="D729">
        <v>6.0299999999999998E-3</v>
      </c>
      <c r="E729">
        <v>6.2399999999999999E-3</v>
      </c>
      <c r="F729">
        <v>96607748.5</v>
      </c>
      <c r="G729">
        <v>0</v>
      </c>
      <c r="L729" t="s">
        <v>8</v>
      </c>
      <c r="M729" t="s">
        <v>8</v>
      </c>
      <c r="N729" t="s">
        <v>8</v>
      </c>
      <c r="P729">
        <f t="shared" si="999"/>
        <v>-0.26315789473684192</v>
      </c>
      <c r="Q729">
        <f t="shared" si="1000"/>
        <v>-25423091.710526299</v>
      </c>
      <c r="R729">
        <f t="shared" si="1001"/>
        <v>-1250627869.1968982</v>
      </c>
      <c r="S729">
        <f t="shared" si="1002"/>
        <v>-12506.278691968982</v>
      </c>
      <c r="T729">
        <f t="shared" si="1003"/>
        <v>-12.506278691968982</v>
      </c>
    </row>
    <row r="730" spans="1:20" x14ac:dyDescent="0.25">
      <c r="A730" s="5">
        <v>43863</v>
      </c>
      <c r="B730">
        <v>6.0000000000000001E-3</v>
      </c>
      <c r="C730">
        <v>6.3600000000000002E-3</v>
      </c>
      <c r="D730">
        <v>5.8300000000000001E-3</v>
      </c>
      <c r="E730">
        <v>6.1999999999999998E-3</v>
      </c>
      <c r="F730">
        <v>84876164.200000003</v>
      </c>
      <c r="G730">
        <v>0</v>
      </c>
      <c r="L730" t="s">
        <v>8</v>
      </c>
      <c r="M730" t="s">
        <v>8</v>
      </c>
      <c r="N730" t="s">
        <v>8</v>
      </c>
      <c r="P730">
        <f t="shared" si="999"/>
        <v>0.39622641509433815</v>
      </c>
      <c r="Q730">
        <f t="shared" si="1000"/>
        <v>33630178.267924406</v>
      </c>
      <c r="R730">
        <f t="shared" si="1001"/>
        <v>-1225204777.486372</v>
      </c>
      <c r="S730">
        <f t="shared" si="1002"/>
        <v>-12252.04777486372</v>
      </c>
      <c r="T730">
        <f t="shared" si="1003"/>
        <v>-12.252047774863721</v>
      </c>
    </row>
    <row r="731" spans="1:20" x14ac:dyDescent="0.25">
      <c r="A731" s="5">
        <v>43862</v>
      </c>
      <c r="B731">
        <v>5.94E-3</v>
      </c>
      <c r="C731">
        <v>6.13E-3</v>
      </c>
      <c r="D731">
        <v>5.8599999999999998E-3</v>
      </c>
      <c r="E731">
        <v>6.0099999999999997E-3</v>
      </c>
      <c r="F731">
        <v>70519076.200000003</v>
      </c>
      <c r="G731">
        <v>0</v>
      </c>
      <c r="L731" t="s">
        <v>8</v>
      </c>
      <c r="M731" t="s">
        <v>8</v>
      </c>
      <c r="N731" t="s">
        <v>8</v>
      </c>
      <c r="P731">
        <f t="shared" si="999"/>
        <v>0.11111111111110969</v>
      </c>
      <c r="Q731">
        <f t="shared" si="1000"/>
        <v>7835452.9111110112</v>
      </c>
      <c r="R731">
        <f t="shared" si="1001"/>
        <v>-1258834955.7542963</v>
      </c>
      <c r="S731">
        <f t="shared" si="1002"/>
        <v>-12588.349557542962</v>
      </c>
      <c r="T731">
        <f t="shared" si="1003"/>
        <v>-12.588349557542962</v>
      </c>
    </row>
    <row r="732" spans="1:20" x14ac:dyDescent="0.25">
      <c r="A732" s="5">
        <v>43861</v>
      </c>
      <c r="B732">
        <v>5.5399999999999998E-3</v>
      </c>
      <c r="C732">
        <v>6.0899999999999999E-3</v>
      </c>
      <c r="D732">
        <v>5.4900000000000001E-3</v>
      </c>
      <c r="E732">
        <v>5.9300000000000004E-3</v>
      </c>
      <c r="F732">
        <v>127286060.09999999</v>
      </c>
      <c r="G732">
        <v>0</v>
      </c>
      <c r="L732" t="s">
        <v>8</v>
      </c>
      <c r="M732" t="s">
        <v>8</v>
      </c>
      <c r="N732" t="s">
        <v>8</v>
      </c>
      <c r="P732">
        <f t="shared" si="999"/>
        <v>0.46666666666666801</v>
      </c>
      <c r="Q732">
        <f t="shared" si="1000"/>
        <v>59400161.380000167</v>
      </c>
      <c r="R732">
        <f t="shared" si="1001"/>
        <v>-1266670408.6654074</v>
      </c>
      <c r="S732">
        <f t="shared" si="1002"/>
        <v>-12666.704086654074</v>
      </c>
      <c r="T732">
        <f t="shared" si="1003"/>
        <v>-12.666704086654073</v>
      </c>
    </row>
    <row r="733" spans="1:20" x14ac:dyDescent="0.25">
      <c r="A733" s="5">
        <v>43860</v>
      </c>
      <c r="B733">
        <v>5.5199999999999997E-3</v>
      </c>
      <c r="C733">
        <v>5.6299999999999996E-3</v>
      </c>
      <c r="D733">
        <v>5.4099999999999999E-3</v>
      </c>
      <c r="E733">
        <v>5.5399999999999998E-3</v>
      </c>
      <c r="F733">
        <v>49948773.399999999</v>
      </c>
      <c r="G733">
        <v>0</v>
      </c>
      <c r="L733" t="s">
        <v>8</v>
      </c>
      <c r="M733" t="s">
        <v>8</v>
      </c>
      <c r="N733" t="s">
        <v>7</v>
      </c>
      <c r="P733">
        <f t="shared" si="999"/>
        <v>0.18181818181818254</v>
      </c>
      <c r="Q733">
        <f t="shared" si="1000"/>
        <v>9081595.1636363994</v>
      </c>
      <c r="R733">
        <f t="shared" si="1001"/>
        <v>-1326070570.0454075</v>
      </c>
      <c r="S733">
        <f t="shared" si="1002"/>
        <v>-13260.705700454075</v>
      </c>
      <c r="T733">
        <f t="shared" si="1003"/>
        <v>-13.260705700454075</v>
      </c>
    </row>
    <row r="734" spans="1:20" x14ac:dyDescent="0.25">
      <c r="A734" s="5">
        <v>43859</v>
      </c>
      <c r="B734">
        <v>5.3E-3</v>
      </c>
      <c r="C734">
        <v>5.6899999999999997E-3</v>
      </c>
      <c r="D734">
        <v>5.1900000000000002E-3</v>
      </c>
      <c r="E734">
        <v>5.5199999999999997E-3</v>
      </c>
      <c r="F734">
        <v>102847172.59999999</v>
      </c>
      <c r="G734">
        <v>0</v>
      </c>
      <c r="L734" t="s">
        <v>8</v>
      </c>
      <c r="M734" t="s">
        <v>8</v>
      </c>
      <c r="N734" t="s">
        <v>7</v>
      </c>
      <c r="P734">
        <f t="shared" si="999"/>
        <v>0.3199999999999994</v>
      </c>
      <c r="Q734">
        <f t="shared" si="1000"/>
        <v>32911095.231999937</v>
      </c>
      <c r="R734">
        <f t="shared" si="1001"/>
        <v>-1335152165.209044</v>
      </c>
      <c r="S734">
        <f t="shared" si="1002"/>
        <v>-13351.52165209044</v>
      </c>
      <c r="T734">
        <f t="shared" si="1003"/>
        <v>-13.35152165209044</v>
      </c>
    </row>
    <row r="735" spans="1:20" x14ac:dyDescent="0.25">
      <c r="A735" s="5">
        <v>43858</v>
      </c>
      <c r="B735">
        <v>5.1200000000000004E-3</v>
      </c>
      <c r="C735">
        <v>5.5399999999999998E-3</v>
      </c>
      <c r="D735">
        <v>5.0499999999999998E-3</v>
      </c>
      <c r="E735">
        <v>5.3099999999999996E-3</v>
      </c>
      <c r="F735">
        <v>49438270.700000003</v>
      </c>
      <c r="G735">
        <v>0</v>
      </c>
      <c r="L735" t="s">
        <v>8</v>
      </c>
      <c r="M735" t="s">
        <v>8</v>
      </c>
      <c r="N735" t="s">
        <v>7</v>
      </c>
      <c r="P735">
        <f t="shared" si="999"/>
        <v>6.1224489795917644E-2</v>
      </c>
      <c r="Q735">
        <f t="shared" si="1000"/>
        <v>3026832.8999999645</v>
      </c>
      <c r="R735">
        <f t="shared" si="1001"/>
        <v>-1368063260.4410439</v>
      </c>
      <c r="S735">
        <f t="shared" si="1002"/>
        <v>-13680.632604410439</v>
      </c>
      <c r="T735">
        <f t="shared" si="1003"/>
        <v>-13.680632604410439</v>
      </c>
    </row>
    <row r="736" spans="1:20" x14ac:dyDescent="0.25">
      <c r="A736" s="5">
        <v>43857</v>
      </c>
      <c r="B736">
        <v>5.13E-3</v>
      </c>
      <c r="C736">
        <v>5.1700000000000001E-3</v>
      </c>
      <c r="D736">
        <v>5.0299999999999997E-3</v>
      </c>
      <c r="E736">
        <v>5.11E-3</v>
      </c>
      <c r="F736">
        <v>22038156.199999999</v>
      </c>
      <c r="G736">
        <v>0</v>
      </c>
      <c r="L736" t="s">
        <v>8</v>
      </c>
      <c r="M736" t="s">
        <v>8</v>
      </c>
      <c r="N736" t="s">
        <v>7</v>
      </c>
      <c r="P736">
        <f t="shared" si="999"/>
        <v>0.14285714285714285</v>
      </c>
      <c r="Q736">
        <f t="shared" si="1000"/>
        <v>3148308.0285714283</v>
      </c>
      <c r="R736">
        <f t="shared" si="1001"/>
        <v>-1371090093.3410437</v>
      </c>
      <c r="S736">
        <f t="shared" si="1002"/>
        <v>-13710.900933410438</v>
      </c>
      <c r="T736">
        <f t="shared" si="1003"/>
        <v>-13.710900933410437</v>
      </c>
    </row>
    <row r="737" spans="1:20" x14ac:dyDescent="0.25">
      <c r="A737" s="5">
        <v>43856</v>
      </c>
      <c r="B737">
        <v>4.9100000000000003E-3</v>
      </c>
      <c r="C737">
        <v>5.1500000000000001E-3</v>
      </c>
      <c r="D737">
        <v>4.8700000000000002E-3</v>
      </c>
      <c r="E737">
        <v>5.1200000000000004E-3</v>
      </c>
      <c r="F737">
        <v>22712809.899999999</v>
      </c>
      <c r="G737">
        <v>0</v>
      </c>
      <c r="L737" t="s">
        <v>7</v>
      </c>
      <c r="M737" t="s">
        <v>8</v>
      </c>
      <c r="N737" t="s">
        <v>7</v>
      </c>
      <c r="P737">
        <f t="shared" si="999"/>
        <v>0.78571428571428814</v>
      </c>
      <c r="Q737">
        <f t="shared" si="1000"/>
        <v>17845779.207142912</v>
      </c>
      <c r="R737">
        <f t="shared" si="1001"/>
        <v>-1374238401.3696151</v>
      </c>
      <c r="S737">
        <f t="shared" si="1002"/>
        <v>-13742.384013696152</v>
      </c>
      <c r="T737">
        <f t="shared" si="1003"/>
        <v>-13.742384013696151</v>
      </c>
    </row>
    <row r="738" spans="1:20" x14ac:dyDescent="0.25">
      <c r="A738" s="5">
        <v>43855</v>
      </c>
      <c r="B738">
        <v>4.9199999999999999E-3</v>
      </c>
      <c r="C738">
        <v>4.9899999999999996E-3</v>
      </c>
      <c r="D738">
        <v>4.8500000000000001E-3</v>
      </c>
      <c r="E738">
        <v>4.9399999999999999E-3</v>
      </c>
      <c r="F738">
        <v>11471326.800000001</v>
      </c>
      <c r="G738">
        <v>0</v>
      </c>
      <c r="L738" t="s">
        <v>7</v>
      </c>
      <c r="M738" t="s">
        <v>8</v>
      </c>
      <c r="N738" t="s">
        <v>7</v>
      </c>
      <c r="P738">
        <f t="shared" si="999"/>
        <v>0.28571428571428747</v>
      </c>
      <c r="Q738">
        <f t="shared" si="1000"/>
        <v>3277521.9428571635</v>
      </c>
      <c r="R738">
        <f t="shared" si="1001"/>
        <v>-1392084180.5767579</v>
      </c>
      <c r="S738">
        <f t="shared" si="1002"/>
        <v>-13920.841805767579</v>
      </c>
      <c r="T738">
        <f t="shared" si="1003"/>
        <v>-13.920841805767578</v>
      </c>
    </row>
    <row r="739" spans="1:20" x14ac:dyDescent="0.25">
      <c r="A739" s="5">
        <v>43854</v>
      </c>
      <c r="B739">
        <v>4.9699999999999996E-3</v>
      </c>
      <c r="C739">
        <v>5.0000000000000001E-3</v>
      </c>
      <c r="D739">
        <v>4.79E-3</v>
      </c>
      <c r="E739">
        <v>4.9399999999999999E-3</v>
      </c>
      <c r="F739">
        <v>20688466.899999999</v>
      </c>
      <c r="G739">
        <v>0</v>
      </c>
      <c r="L739" t="s">
        <v>7</v>
      </c>
      <c r="M739" t="s">
        <v>8</v>
      </c>
      <c r="N739" t="s">
        <v>7</v>
      </c>
      <c r="P739">
        <f t="shared" si="999"/>
        <v>0.42857142857142738</v>
      </c>
      <c r="Q739">
        <f t="shared" si="1000"/>
        <v>8866485.81428569</v>
      </c>
      <c r="R739">
        <f t="shared" si="1001"/>
        <v>-1395361702.5196152</v>
      </c>
      <c r="S739">
        <f t="shared" si="1002"/>
        <v>-13953.617025196152</v>
      </c>
      <c r="T739">
        <f t="shared" si="1003"/>
        <v>-13.953617025196152</v>
      </c>
    </row>
    <row r="740" spans="1:20" x14ac:dyDescent="0.25">
      <c r="A740" s="5">
        <v>43853</v>
      </c>
      <c r="B740">
        <v>5.1799999999999997E-3</v>
      </c>
      <c r="C740">
        <v>5.1999999999999998E-3</v>
      </c>
      <c r="D740">
        <v>4.8700000000000002E-3</v>
      </c>
      <c r="E740">
        <v>4.96E-3</v>
      </c>
      <c r="F740">
        <v>25446908.100000001</v>
      </c>
      <c r="G740">
        <v>0</v>
      </c>
      <c r="L740" t="s">
        <v>7</v>
      </c>
      <c r="M740" t="s">
        <v>8</v>
      </c>
      <c r="N740" t="s">
        <v>7</v>
      </c>
      <c r="P740">
        <f t="shared" si="999"/>
        <v>-0.45454545454545503</v>
      </c>
      <c r="Q740">
        <f t="shared" si="1000"/>
        <v>-11566776.409090921</v>
      </c>
      <c r="R740">
        <f t="shared" si="1001"/>
        <v>-1404228188.3339009</v>
      </c>
      <c r="S740">
        <f t="shared" si="1002"/>
        <v>-14042.28188333901</v>
      </c>
      <c r="T740">
        <f t="shared" si="1003"/>
        <v>-14.04228188333901</v>
      </c>
    </row>
    <row r="741" spans="1:20" x14ac:dyDescent="0.25">
      <c r="A741" s="5">
        <v>43852</v>
      </c>
      <c r="B741">
        <v>5.1000000000000004E-3</v>
      </c>
      <c r="C741">
        <v>5.2199999999999998E-3</v>
      </c>
      <c r="D741">
        <v>5.0600000000000003E-3</v>
      </c>
      <c r="E741">
        <v>5.1900000000000002E-3</v>
      </c>
      <c r="F741">
        <v>22777318.5</v>
      </c>
      <c r="G741">
        <v>0</v>
      </c>
      <c r="L741" t="s">
        <v>7</v>
      </c>
      <c r="M741" t="s">
        <v>8</v>
      </c>
      <c r="N741" t="s">
        <v>7</v>
      </c>
      <c r="P741">
        <f t="shared" si="999"/>
        <v>0.62500000000000344</v>
      </c>
      <c r="Q741">
        <f t="shared" si="1000"/>
        <v>14235824.062500078</v>
      </c>
      <c r="R741">
        <f t="shared" si="1001"/>
        <v>-1392661411.9248099</v>
      </c>
      <c r="S741">
        <f t="shared" si="1002"/>
        <v>-13926.614119248099</v>
      </c>
      <c r="T741">
        <f t="shared" si="1003"/>
        <v>-13.926614119248098</v>
      </c>
    </row>
    <row r="742" spans="1:20" x14ac:dyDescent="0.25">
      <c r="A742" s="5">
        <v>43851</v>
      </c>
      <c r="B742">
        <v>5.0800000000000003E-3</v>
      </c>
      <c r="C742">
        <v>5.1799999999999997E-3</v>
      </c>
      <c r="D742">
        <v>4.9800000000000001E-3</v>
      </c>
      <c r="E742">
        <v>5.1200000000000004E-3</v>
      </c>
      <c r="F742">
        <v>30767089.399999999</v>
      </c>
      <c r="G742">
        <v>0</v>
      </c>
      <c r="L742" t="s">
        <v>7</v>
      </c>
      <c r="M742" t="s">
        <v>8</v>
      </c>
      <c r="N742" t="s">
        <v>7</v>
      </c>
      <c r="P742">
        <f t="shared" si="999"/>
        <v>0.40000000000000607</v>
      </c>
      <c r="Q742">
        <f t="shared" si="1000"/>
        <v>12306835.760000186</v>
      </c>
      <c r="R742">
        <f t="shared" si="1001"/>
        <v>-1406897235.9873099</v>
      </c>
      <c r="S742">
        <f t="shared" si="1002"/>
        <v>-14068.9723598731</v>
      </c>
      <c r="T742">
        <f t="shared" si="1003"/>
        <v>-14.068972359873099</v>
      </c>
    </row>
    <row r="743" spans="1:20" x14ac:dyDescent="0.25">
      <c r="A743" s="5">
        <v>43850</v>
      </c>
      <c r="B743">
        <v>5.11E-3</v>
      </c>
      <c r="C743">
        <v>5.1500000000000001E-3</v>
      </c>
      <c r="D743">
        <v>4.9800000000000001E-3</v>
      </c>
      <c r="E743">
        <v>5.1000000000000004E-3</v>
      </c>
      <c r="F743">
        <v>33331047.199999999</v>
      </c>
      <c r="G743">
        <v>0</v>
      </c>
      <c r="L743" t="s">
        <v>7</v>
      </c>
      <c r="M743" t="s">
        <v>8</v>
      </c>
      <c r="N743" t="s">
        <v>7</v>
      </c>
      <c r="P743">
        <f t="shared" si="999"/>
        <v>0.41176470588235653</v>
      </c>
      <c r="Q743">
        <f t="shared" si="1000"/>
        <v>13724548.847058943</v>
      </c>
      <c r="R743">
        <f t="shared" si="1001"/>
        <v>-1419204071.7473102</v>
      </c>
      <c r="S743">
        <f t="shared" si="1002"/>
        <v>-14192.040717473101</v>
      </c>
      <c r="T743">
        <f t="shared" si="1003"/>
        <v>-14.1920407174731</v>
      </c>
    </row>
    <row r="744" spans="1:20" x14ac:dyDescent="0.25">
      <c r="A744" s="5">
        <v>43849</v>
      </c>
      <c r="B744">
        <v>5.2900000000000004E-3</v>
      </c>
      <c r="C744">
        <v>5.3899999999999998E-3</v>
      </c>
      <c r="D744">
        <v>4.9100000000000003E-3</v>
      </c>
      <c r="E744">
        <v>5.11E-3</v>
      </c>
      <c r="F744">
        <v>62914298.899999999</v>
      </c>
      <c r="G744">
        <v>0</v>
      </c>
      <c r="L744" t="s">
        <v>7</v>
      </c>
      <c r="M744" t="s">
        <v>8</v>
      </c>
      <c r="N744" t="s">
        <v>7</v>
      </c>
      <c r="P744">
        <f t="shared" si="999"/>
        <v>-0.16666666666666727</v>
      </c>
      <c r="Q744">
        <f t="shared" si="1000"/>
        <v>-10485716.483333372</v>
      </c>
      <c r="R744">
        <f t="shared" si="1001"/>
        <v>-1432928620.5943692</v>
      </c>
      <c r="S744">
        <f t="shared" si="1002"/>
        <v>-14329.286205943692</v>
      </c>
      <c r="T744">
        <f t="shared" si="1003"/>
        <v>-14.329286205943692</v>
      </c>
    </row>
    <row r="745" spans="1:20" x14ac:dyDescent="0.25">
      <c r="A745" s="5">
        <v>43848</v>
      </c>
      <c r="B745">
        <v>5.4400000000000004E-3</v>
      </c>
      <c r="C745">
        <v>5.5500000000000002E-3</v>
      </c>
      <c r="D745">
        <v>5.2399999999999999E-3</v>
      </c>
      <c r="E745">
        <v>5.28E-3</v>
      </c>
      <c r="F745">
        <v>81890097.299999997</v>
      </c>
      <c r="G745">
        <v>0</v>
      </c>
      <c r="L745" t="s">
        <v>8</v>
      </c>
      <c r="M745" t="s">
        <v>8</v>
      </c>
      <c r="N745" t="s">
        <v>7</v>
      </c>
      <c r="P745">
        <f t="shared" si="999"/>
        <v>-0.74193548387096742</v>
      </c>
      <c r="Q745">
        <f t="shared" si="1000"/>
        <v>-60757168.964516103</v>
      </c>
      <c r="R745">
        <f t="shared" si="1001"/>
        <v>-1422442904.1110358</v>
      </c>
      <c r="S745">
        <f t="shared" si="1002"/>
        <v>-14224.429041110358</v>
      </c>
      <c r="T745">
        <f t="shared" si="1003"/>
        <v>-14.224429041110357</v>
      </c>
    </row>
    <row r="746" spans="1:20" x14ac:dyDescent="0.25">
      <c r="A746" s="5">
        <v>43847</v>
      </c>
      <c r="B746">
        <v>5.1399999999999996E-3</v>
      </c>
      <c r="C746">
        <v>5.5500000000000002E-3</v>
      </c>
      <c r="D746">
        <v>5.1000000000000004E-3</v>
      </c>
      <c r="E746">
        <v>5.4400000000000004E-3</v>
      </c>
      <c r="F746">
        <v>119081793.59999999</v>
      </c>
      <c r="G746">
        <v>0</v>
      </c>
      <c r="L746" t="s">
        <v>8</v>
      </c>
      <c r="M746" t="s">
        <v>8</v>
      </c>
      <c r="N746" t="s">
        <v>7</v>
      </c>
      <c r="P746">
        <f t="shared" si="999"/>
        <v>0.51111111111111163</v>
      </c>
      <c r="Q746">
        <f t="shared" si="1000"/>
        <v>60864027.840000056</v>
      </c>
      <c r="R746">
        <f t="shared" si="1001"/>
        <v>-1361685735.1465197</v>
      </c>
      <c r="S746">
        <f t="shared" si="1002"/>
        <v>-13616.857351465196</v>
      </c>
      <c r="T746">
        <f t="shared" si="1003"/>
        <v>-13.616857351465196</v>
      </c>
    </row>
    <row r="747" spans="1:20" x14ac:dyDescent="0.25">
      <c r="A747" s="5">
        <v>43846</v>
      </c>
      <c r="B747">
        <v>5.2199999999999998E-3</v>
      </c>
      <c r="C747">
        <v>5.2300000000000003E-3</v>
      </c>
      <c r="D747">
        <v>4.9699999999999996E-3</v>
      </c>
      <c r="E747">
        <v>5.1399999999999996E-3</v>
      </c>
      <c r="F747">
        <v>60951439.299999997</v>
      </c>
      <c r="G747">
        <v>0</v>
      </c>
      <c r="L747" t="s">
        <v>8</v>
      </c>
      <c r="M747" t="s">
        <v>8</v>
      </c>
      <c r="N747" t="s">
        <v>7</v>
      </c>
      <c r="P747">
        <f t="shared" si="999"/>
        <v>0.30769230769230438</v>
      </c>
      <c r="Q747">
        <f t="shared" si="1000"/>
        <v>18754289.015384413</v>
      </c>
      <c r="R747">
        <f t="shared" si="1001"/>
        <v>-1422549762.9865198</v>
      </c>
      <c r="S747">
        <f t="shared" si="1002"/>
        <v>-14225.497629865198</v>
      </c>
      <c r="T747">
        <f t="shared" si="1003"/>
        <v>-14.225497629865199</v>
      </c>
    </row>
    <row r="748" spans="1:20" x14ac:dyDescent="0.25">
      <c r="A748" s="5">
        <v>43845</v>
      </c>
      <c r="B748">
        <v>5.0499999999999998E-3</v>
      </c>
      <c r="C748">
        <v>5.3400000000000001E-3</v>
      </c>
      <c r="D748">
        <v>4.9899999999999996E-3</v>
      </c>
      <c r="E748">
        <v>5.2300000000000003E-3</v>
      </c>
      <c r="F748">
        <v>108968766.5</v>
      </c>
      <c r="G748">
        <v>0</v>
      </c>
      <c r="L748" t="s">
        <v>8</v>
      </c>
      <c r="M748" t="s">
        <v>8</v>
      </c>
      <c r="N748" t="s">
        <v>7</v>
      </c>
      <c r="P748">
        <f t="shared" si="999"/>
        <v>0.37142857142857311</v>
      </c>
      <c r="Q748">
        <f t="shared" si="1000"/>
        <v>40474113.271428756</v>
      </c>
      <c r="R748">
        <f t="shared" si="1001"/>
        <v>-1441304052.0019042</v>
      </c>
      <c r="S748">
        <f t="shared" si="1002"/>
        <v>-14413.040520019042</v>
      </c>
      <c r="T748">
        <f t="shared" si="1003"/>
        <v>-14.413040520019042</v>
      </c>
    </row>
    <row r="749" spans="1:20" x14ac:dyDescent="0.25">
      <c r="A749" s="5">
        <v>43844</v>
      </c>
      <c r="B749">
        <v>4.6699999999999997E-3</v>
      </c>
      <c r="C749">
        <v>5.1200000000000004E-3</v>
      </c>
      <c r="D749">
        <v>4.5999999999999999E-3</v>
      </c>
      <c r="E749">
        <v>5.0699999999999999E-3</v>
      </c>
      <c r="F749">
        <v>128174106.7</v>
      </c>
      <c r="G749">
        <v>0</v>
      </c>
      <c r="L749" t="s">
        <v>8</v>
      </c>
      <c r="M749" t="s">
        <v>7</v>
      </c>
      <c r="N749" t="s">
        <v>7</v>
      </c>
      <c r="P749">
        <f t="shared" si="999"/>
        <v>0.80769230769230571</v>
      </c>
      <c r="Q749">
        <f t="shared" si="1000"/>
        <v>103525240.02692282</v>
      </c>
      <c r="R749">
        <f t="shared" si="1001"/>
        <v>-1481778165.2733331</v>
      </c>
      <c r="S749">
        <f t="shared" si="1002"/>
        <v>-14817.781652733331</v>
      </c>
      <c r="T749">
        <f t="shared" si="1003"/>
        <v>-14.817781652733331</v>
      </c>
    </row>
    <row r="750" spans="1:20" x14ac:dyDescent="0.25">
      <c r="A750" s="5">
        <v>43843</v>
      </c>
      <c r="B750">
        <v>4.7800000000000004E-3</v>
      </c>
      <c r="C750">
        <v>4.79E-3</v>
      </c>
      <c r="D750">
        <v>4.6299999999999996E-3</v>
      </c>
      <c r="E750">
        <v>4.6699999999999997E-3</v>
      </c>
      <c r="F750">
        <v>24226849.5</v>
      </c>
      <c r="G750">
        <v>0</v>
      </c>
      <c r="L750" t="s">
        <v>7</v>
      </c>
      <c r="M750" t="s">
        <v>7</v>
      </c>
      <c r="N750" t="s">
        <v>7</v>
      </c>
      <c r="P750">
        <f t="shared" si="999"/>
        <v>-0.5</v>
      </c>
      <c r="Q750">
        <f t="shared" si="1000"/>
        <v>-12113424.75</v>
      </c>
      <c r="R750">
        <f t="shared" si="1001"/>
        <v>-1585303405.3002558</v>
      </c>
      <c r="S750">
        <f t="shared" si="1002"/>
        <v>-15853.034053002557</v>
      </c>
      <c r="T750">
        <f t="shared" si="1003"/>
        <v>-15.853034053002556</v>
      </c>
    </row>
    <row r="751" spans="1:20" x14ac:dyDescent="0.25">
      <c r="A751" s="5">
        <v>43842</v>
      </c>
      <c r="B751">
        <v>4.6499999999999996E-3</v>
      </c>
      <c r="C751">
        <v>4.7999999999999996E-3</v>
      </c>
      <c r="D751">
        <v>4.6299999999999996E-3</v>
      </c>
      <c r="E751">
        <v>4.7800000000000004E-3</v>
      </c>
      <c r="F751">
        <v>25102431.300000001</v>
      </c>
      <c r="G751">
        <v>0</v>
      </c>
      <c r="L751" t="s">
        <v>7</v>
      </c>
      <c r="M751" t="s">
        <v>7</v>
      </c>
      <c r="N751" t="s">
        <v>7</v>
      </c>
      <c r="P751">
        <f t="shared" si="999"/>
        <v>0.76470588235295078</v>
      </c>
      <c r="Q751">
        <f t="shared" si="1000"/>
        <v>19195976.87647083</v>
      </c>
      <c r="R751">
        <f t="shared" si="1001"/>
        <v>-1573189980.5502558</v>
      </c>
      <c r="S751">
        <f t="shared" si="1002"/>
        <v>-15731.899805502559</v>
      </c>
      <c r="T751">
        <f t="shared" si="1003"/>
        <v>-15.731899805502559</v>
      </c>
    </row>
    <row r="752" spans="1:20" x14ac:dyDescent="0.25">
      <c r="A752" s="5">
        <v>43841</v>
      </c>
      <c r="B752">
        <v>4.6899999999999997E-3</v>
      </c>
      <c r="C752">
        <v>4.7400000000000003E-3</v>
      </c>
      <c r="D752">
        <v>4.5900000000000003E-3</v>
      </c>
      <c r="E752">
        <v>4.6499999999999996E-3</v>
      </c>
      <c r="F752">
        <v>42797223.899999999</v>
      </c>
      <c r="G752">
        <v>0</v>
      </c>
      <c r="L752" t="s">
        <v>7</v>
      </c>
      <c r="M752" t="s">
        <v>7</v>
      </c>
      <c r="N752" t="s">
        <v>7</v>
      </c>
      <c r="P752">
        <f t="shared" si="999"/>
        <v>-0.20000000000000925</v>
      </c>
      <c r="Q752">
        <f t="shared" si="1000"/>
        <v>-8559444.7800003961</v>
      </c>
      <c r="R752">
        <f t="shared" si="1001"/>
        <v>-1592385957.4267266</v>
      </c>
      <c r="S752">
        <f t="shared" si="1002"/>
        <v>-15923.859574267266</v>
      </c>
      <c r="T752">
        <f t="shared" si="1003"/>
        <v>-15.923859574267267</v>
      </c>
    </row>
    <row r="753" spans="1:20" x14ac:dyDescent="0.25">
      <c r="A753" s="5">
        <v>43840</v>
      </c>
      <c r="B753">
        <v>4.5900000000000003E-3</v>
      </c>
      <c r="C753">
        <v>4.6899999999999997E-3</v>
      </c>
      <c r="D753">
        <v>4.5300000000000002E-3</v>
      </c>
      <c r="E753">
        <v>4.6899999999999997E-3</v>
      </c>
      <c r="F753">
        <v>45945526.700000003</v>
      </c>
      <c r="G753">
        <v>0</v>
      </c>
      <c r="L753" t="s">
        <v>7</v>
      </c>
      <c r="M753" t="s">
        <v>7</v>
      </c>
      <c r="N753" t="s">
        <v>7</v>
      </c>
      <c r="P753">
        <f t="shared" si="999"/>
        <v>1</v>
      </c>
      <c r="Q753">
        <f t="shared" si="1000"/>
        <v>45945526.700000003</v>
      </c>
      <c r="R753">
        <f t="shared" si="1001"/>
        <v>-1583826512.6467261</v>
      </c>
      <c r="S753">
        <f t="shared" si="1002"/>
        <v>-15838.26512646726</v>
      </c>
      <c r="T753">
        <f t="shared" si="1003"/>
        <v>-15.83826512646726</v>
      </c>
    </row>
    <row r="754" spans="1:20" x14ac:dyDescent="0.25">
      <c r="A754" s="5">
        <v>43839</v>
      </c>
      <c r="B754">
        <v>4.6899999999999997E-3</v>
      </c>
      <c r="C754">
        <v>4.7299999999999998E-3</v>
      </c>
      <c r="D754">
        <v>4.5199999999999997E-3</v>
      </c>
      <c r="E754">
        <v>4.5900000000000003E-3</v>
      </c>
      <c r="F754">
        <v>48883781.200000003</v>
      </c>
      <c r="G754">
        <v>0</v>
      </c>
      <c r="L754" t="s">
        <v>7</v>
      </c>
      <c r="M754" t="s">
        <v>7</v>
      </c>
      <c r="N754" t="s">
        <v>7</v>
      </c>
      <c r="P754">
        <f t="shared" si="999"/>
        <v>-0.33333333333332782</v>
      </c>
      <c r="Q754">
        <f t="shared" si="1000"/>
        <v>-16294593.733333064</v>
      </c>
      <c r="R754">
        <f t="shared" si="1001"/>
        <v>-1629772039.3467262</v>
      </c>
      <c r="S754">
        <f t="shared" si="1002"/>
        <v>-16297.720393467262</v>
      </c>
      <c r="T754">
        <f t="shared" si="1003"/>
        <v>-16.297720393467262</v>
      </c>
    </row>
    <row r="755" spans="1:20" x14ac:dyDescent="0.25">
      <c r="A755" s="5">
        <v>43838</v>
      </c>
      <c r="B755">
        <v>4.81E-3</v>
      </c>
      <c r="C755">
        <v>4.8799999999999998E-3</v>
      </c>
      <c r="D755">
        <v>4.5500000000000002E-3</v>
      </c>
      <c r="E755">
        <v>4.6899999999999997E-3</v>
      </c>
      <c r="F755">
        <v>69003470</v>
      </c>
      <c r="G755">
        <v>0</v>
      </c>
      <c r="L755" t="s">
        <v>7</v>
      </c>
      <c r="M755" t="s">
        <v>7</v>
      </c>
      <c r="N755" t="s">
        <v>7</v>
      </c>
      <c r="P755">
        <f t="shared" si="999"/>
        <v>-0.15151515151515343</v>
      </c>
      <c r="Q755">
        <f t="shared" si="1000"/>
        <v>-10455071.212121345</v>
      </c>
      <c r="R755">
        <f t="shared" si="1001"/>
        <v>-1613477445.6133931</v>
      </c>
      <c r="S755">
        <f t="shared" si="1002"/>
        <v>-16134.774456133931</v>
      </c>
      <c r="T755">
        <f t="shared" si="1003"/>
        <v>-16.134774456133933</v>
      </c>
    </row>
    <row r="756" spans="1:20" x14ac:dyDescent="0.25">
      <c r="A756" s="5">
        <v>43837</v>
      </c>
      <c r="B756">
        <v>4.8999999999999998E-3</v>
      </c>
      <c r="C756">
        <v>4.96E-3</v>
      </c>
      <c r="D756">
        <v>4.7299999999999998E-3</v>
      </c>
      <c r="E756">
        <v>4.81E-3</v>
      </c>
      <c r="F756">
        <v>68474027.5</v>
      </c>
      <c r="G756">
        <v>0</v>
      </c>
      <c r="L756" t="s">
        <v>8</v>
      </c>
      <c r="M756" t="s">
        <v>7</v>
      </c>
      <c r="N756" t="s">
        <v>7</v>
      </c>
      <c r="P756">
        <f t="shared" si="999"/>
        <v>-0.30434782608695521</v>
      </c>
      <c r="Q756">
        <f t="shared" si="1000"/>
        <v>-20839921.413043387</v>
      </c>
      <c r="R756">
        <f t="shared" si="1001"/>
        <v>-1603022374.4012718</v>
      </c>
      <c r="S756">
        <f t="shared" si="1002"/>
        <v>-16030.223744012717</v>
      </c>
      <c r="T756">
        <f t="shared" si="1003"/>
        <v>-16.030223744012716</v>
      </c>
    </row>
    <row r="757" spans="1:20" x14ac:dyDescent="0.25">
      <c r="A757" s="5">
        <v>43836</v>
      </c>
      <c r="B757">
        <v>4.6299999999999996E-3</v>
      </c>
      <c r="C757">
        <v>4.9300000000000004E-3</v>
      </c>
      <c r="D757">
        <v>4.6299999999999996E-3</v>
      </c>
      <c r="E757">
        <v>4.8900000000000002E-3</v>
      </c>
      <c r="F757">
        <v>79102920.599999994</v>
      </c>
      <c r="G757">
        <v>0</v>
      </c>
      <c r="L757" t="s">
        <v>8</v>
      </c>
      <c r="M757" t="s">
        <v>7</v>
      </c>
      <c r="N757" t="s">
        <v>7</v>
      </c>
      <c r="P757">
        <f t="shared" si="999"/>
        <v>0.73333333333333328</v>
      </c>
      <c r="Q757">
        <f t="shared" si="1000"/>
        <v>58008808.43999999</v>
      </c>
      <c r="R757">
        <f t="shared" si="1001"/>
        <v>-1582182452.9882283</v>
      </c>
      <c r="S757">
        <f t="shared" si="1002"/>
        <v>-15821.824529882284</v>
      </c>
      <c r="T757">
        <f t="shared" si="1003"/>
        <v>-15.821824529882283</v>
      </c>
    </row>
    <row r="758" spans="1:20" x14ac:dyDescent="0.25">
      <c r="A758" s="5">
        <v>43835</v>
      </c>
      <c r="B758">
        <v>4.5999999999999999E-3</v>
      </c>
      <c r="C758">
        <v>4.7099999999999998E-3</v>
      </c>
      <c r="D758">
        <v>4.5700000000000003E-3</v>
      </c>
      <c r="E758">
        <v>4.6299999999999996E-3</v>
      </c>
      <c r="F758">
        <v>28268826.5</v>
      </c>
      <c r="G758">
        <v>0</v>
      </c>
      <c r="L758" t="s">
        <v>8</v>
      </c>
      <c r="M758" t="s">
        <v>7</v>
      </c>
      <c r="N758" t="s">
        <v>7</v>
      </c>
      <c r="P758">
        <f t="shared" si="999"/>
        <v>-0.14285714285714993</v>
      </c>
      <c r="Q758">
        <f t="shared" si="1000"/>
        <v>-4038403.7857144857</v>
      </c>
      <c r="R758">
        <f t="shared" si="1001"/>
        <v>-1640191261.4282284</v>
      </c>
      <c r="S758">
        <f t="shared" si="1002"/>
        <v>-16401.912614282282</v>
      </c>
      <c r="T758">
        <f t="shared" si="1003"/>
        <v>-16.401912614282281</v>
      </c>
    </row>
    <row r="759" spans="1:20" x14ac:dyDescent="0.25">
      <c r="A759" s="5">
        <v>43834</v>
      </c>
      <c r="B759">
        <v>4.5500000000000002E-3</v>
      </c>
      <c r="C759">
        <v>4.62E-3</v>
      </c>
      <c r="D759">
        <v>4.4600000000000004E-3</v>
      </c>
      <c r="E759">
        <v>4.6100000000000004E-3</v>
      </c>
      <c r="F759">
        <v>33554065.100000001</v>
      </c>
      <c r="G759">
        <v>0</v>
      </c>
      <c r="L759" t="s">
        <v>8</v>
      </c>
      <c r="M759" t="s">
        <v>7</v>
      </c>
      <c r="N759" t="s">
        <v>7</v>
      </c>
      <c r="P759">
        <f t="shared" si="999"/>
        <v>0.87500000000000477</v>
      </c>
      <c r="Q759">
        <f t="shared" si="1000"/>
        <v>29359806.962500162</v>
      </c>
      <c r="R759">
        <f t="shared" si="1001"/>
        <v>-1636152857.642514</v>
      </c>
      <c r="S759">
        <f t="shared" si="1002"/>
        <v>-16361.52857642514</v>
      </c>
      <c r="T759">
        <f t="shared" si="1003"/>
        <v>-16.36152857642514</v>
      </c>
    </row>
    <row r="760" spans="1:20" x14ac:dyDescent="0.25">
      <c r="A760" s="5">
        <v>43833</v>
      </c>
      <c r="B760">
        <v>4.3899999999999998E-3</v>
      </c>
      <c r="C760">
        <v>4.5900000000000003E-3</v>
      </c>
      <c r="D760">
        <v>4.3E-3</v>
      </c>
      <c r="E760">
        <v>4.5399999999999998E-3</v>
      </c>
      <c r="F760">
        <v>43348167.299999997</v>
      </c>
      <c r="G760">
        <v>0</v>
      </c>
      <c r="L760" t="s">
        <v>8</v>
      </c>
      <c r="M760" t="s">
        <v>7</v>
      </c>
      <c r="N760" t="s">
        <v>7</v>
      </c>
      <c r="P760">
        <f t="shared" si="999"/>
        <v>0.65517241379309998</v>
      </c>
      <c r="Q760">
        <f t="shared" si="1000"/>
        <v>28400523.403448123</v>
      </c>
      <c r="R760">
        <f t="shared" si="1001"/>
        <v>-1665512664.6050141</v>
      </c>
      <c r="S760">
        <f t="shared" si="1002"/>
        <v>-16655.126646050139</v>
      </c>
      <c r="T760">
        <f t="shared" si="1003"/>
        <v>-16.655126646050139</v>
      </c>
    </row>
    <row r="761" spans="1:20" x14ac:dyDescent="0.25">
      <c r="A761" s="5">
        <v>43832</v>
      </c>
      <c r="B761">
        <v>4.5399999999999998E-3</v>
      </c>
      <c r="C761">
        <v>4.6499999999999996E-3</v>
      </c>
      <c r="D761">
        <v>4.3099999999999996E-3</v>
      </c>
      <c r="E761">
        <v>4.3800000000000002E-3</v>
      </c>
      <c r="F761">
        <v>30445004.300000001</v>
      </c>
      <c r="G761">
        <v>0</v>
      </c>
      <c r="L761" t="s">
        <v>7</v>
      </c>
      <c r="M761" t="s">
        <v>7</v>
      </c>
      <c r="N761" t="s">
        <v>7</v>
      </c>
      <c r="P761">
        <f t="shared" si="999"/>
        <v>-0.58823529411764341</v>
      </c>
      <c r="Q761">
        <f t="shared" si="1000"/>
        <v>-17908826.058823418</v>
      </c>
      <c r="R761">
        <f t="shared" si="1001"/>
        <v>-1693913188.0084622</v>
      </c>
      <c r="S761">
        <f t="shared" si="1002"/>
        <v>-16939.13188008462</v>
      </c>
      <c r="T761">
        <f t="shared" si="1003"/>
        <v>-16.93913188008462</v>
      </c>
    </row>
    <row r="762" spans="1:20" x14ac:dyDescent="0.25">
      <c r="A762" s="5">
        <v>43831</v>
      </c>
      <c r="B762">
        <v>4.4799999999999996E-3</v>
      </c>
      <c r="C762">
        <v>4.5799999999999999E-3</v>
      </c>
      <c r="D762">
        <v>4.4600000000000004E-3</v>
      </c>
      <c r="E762">
        <v>4.5399999999999998E-3</v>
      </c>
      <c r="F762">
        <v>25680636.399999999</v>
      </c>
      <c r="G762">
        <v>0</v>
      </c>
      <c r="L762" t="s">
        <v>7</v>
      </c>
      <c r="M762" t="s">
        <v>7</v>
      </c>
      <c r="N762" t="s">
        <v>7</v>
      </c>
      <c r="P762">
        <f t="shared" si="999"/>
        <v>0.33333333333332854</v>
      </c>
      <c r="Q762">
        <f t="shared" si="1000"/>
        <v>8560212.1333332099</v>
      </c>
      <c r="R762">
        <f t="shared" si="1001"/>
        <v>-1676004361.9496388</v>
      </c>
      <c r="S762">
        <f t="shared" si="1002"/>
        <v>-16760.043619496388</v>
      </c>
      <c r="T762">
        <f t="shared" si="1003"/>
        <v>-16.760043619496386</v>
      </c>
    </row>
    <row r="763" spans="1:20" x14ac:dyDescent="0.25">
      <c r="A763" s="5">
        <v>43830</v>
      </c>
      <c r="B763">
        <v>4.5500000000000002E-3</v>
      </c>
      <c r="C763">
        <v>4.5900000000000003E-3</v>
      </c>
      <c r="D763">
        <v>4.4200000000000003E-3</v>
      </c>
      <c r="E763">
        <v>4.47E-3</v>
      </c>
      <c r="F763">
        <v>43483851.899999999</v>
      </c>
      <c r="G763">
        <v>0</v>
      </c>
      <c r="L763" t="s">
        <v>7</v>
      </c>
      <c r="M763" t="s">
        <v>7</v>
      </c>
      <c r="N763" t="s">
        <v>7</v>
      </c>
      <c r="P763">
        <f t="shared" si="999"/>
        <v>-0.41176470588235653</v>
      </c>
      <c r="Q763">
        <f t="shared" si="1000"/>
        <v>-17905115.488235451</v>
      </c>
      <c r="R763">
        <f t="shared" si="1001"/>
        <v>-1684564574.082972</v>
      </c>
      <c r="S763">
        <f t="shared" si="1002"/>
        <v>-16845.645740829721</v>
      </c>
      <c r="T763">
        <f t="shared" si="1003"/>
        <v>-16.84564574082972</v>
      </c>
    </row>
    <row r="764" spans="1:20" x14ac:dyDescent="0.25">
      <c r="A764" s="5">
        <v>43829</v>
      </c>
      <c r="B764">
        <v>4.7099999999999998E-3</v>
      </c>
      <c r="C764">
        <v>4.7400000000000003E-3</v>
      </c>
      <c r="D764">
        <v>4.5199999999999997E-3</v>
      </c>
      <c r="E764">
        <v>4.5599999999999998E-3</v>
      </c>
      <c r="F764">
        <v>34010677.600000001</v>
      </c>
      <c r="G764">
        <v>0</v>
      </c>
      <c r="L764" t="s">
        <v>7</v>
      </c>
      <c r="M764" t="s">
        <v>8</v>
      </c>
      <c r="N764" t="s">
        <v>7</v>
      </c>
      <c r="P764">
        <f t="shared" si="999"/>
        <v>-0.63636363636363635</v>
      </c>
      <c r="Q764">
        <f t="shared" si="1000"/>
        <v>-21643158.472727273</v>
      </c>
      <c r="R764">
        <f t="shared" si="1001"/>
        <v>-1666659458.5947366</v>
      </c>
      <c r="S764">
        <f t="shared" si="1002"/>
        <v>-16666.594585947365</v>
      </c>
      <c r="T764">
        <f t="shared" si="1003"/>
        <v>-16.666594585947365</v>
      </c>
    </row>
    <row r="765" spans="1:20" x14ac:dyDescent="0.25">
      <c r="A765" s="5">
        <v>43828</v>
      </c>
      <c r="B765">
        <v>4.6899999999999997E-3</v>
      </c>
      <c r="C765">
        <v>4.79E-3</v>
      </c>
      <c r="D765">
        <v>4.6699999999999997E-3</v>
      </c>
      <c r="E765">
        <v>4.7099999999999998E-3</v>
      </c>
      <c r="F765">
        <v>27296599.399999999</v>
      </c>
      <c r="G765">
        <v>0</v>
      </c>
      <c r="L765" t="s">
        <v>7</v>
      </c>
      <c r="M765" t="s">
        <v>8</v>
      </c>
      <c r="N765" t="s">
        <v>7</v>
      </c>
      <c r="P765">
        <f t="shared" si="999"/>
        <v>-0.33333333333333331</v>
      </c>
      <c r="Q765">
        <f t="shared" si="1000"/>
        <v>-9098866.4666666649</v>
      </c>
      <c r="R765">
        <f t="shared" si="1001"/>
        <v>-1645016300.1220093</v>
      </c>
      <c r="S765">
        <f t="shared" si="1002"/>
        <v>-16450.163001220091</v>
      </c>
      <c r="T765">
        <f t="shared" si="1003"/>
        <v>-16.450163001220091</v>
      </c>
    </row>
    <row r="766" spans="1:20" x14ac:dyDescent="0.25">
      <c r="A766" s="5">
        <v>43827</v>
      </c>
      <c r="B766">
        <v>4.7299999999999998E-3</v>
      </c>
      <c r="C766">
        <v>4.81E-3</v>
      </c>
      <c r="D766">
        <v>4.6800000000000001E-3</v>
      </c>
      <c r="E766">
        <v>4.6899999999999997E-3</v>
      </c>
      <c r="F766">
        <v>28886719.300000001</v>
      </c>
      <c r="G766">
        <v>0</v>
      </c>
      <c r="L766" t="s">
        <v>7</v>
      </c>
      <c r="M766" t="s">
        <v>8</v>
      </c>
      <c r="N766" t="s">
        <v>7</v>
      </c>
      <c r="P766">
        <f t="shared" si="999"/>
        <v>-0.84615384615385236</v>
      </c>
      <c r="Q766">
        <f t="shared" si="1000"/>
        <v>-24442608.63846172</v>
      </c>
      <c r="R766">
        <f t="shared" si="1001"/>
        <v>-1635917433.6553426</v>
      </c>
      <c r="S766">
        <f t="shared" si="1002"/>
        <v>-16359.174336553426</v>
      </c>
      <c r="T766">
        <f t="shared" si="1003"/>
        <v>-16.359174336553426</v>
      </c>
    </row>
    <row r="767" spans="1:20" x14ac:dyDescent="0.25">
      <c r="A767" s="5">
        <v>43826</v>
      </c>
      <c r="B767">
        <v>4.5999999999999999E-3</v>
      </c>
      <c r="C767">
        <v>4.7699999999999999E-3</v>
      </c>
      <c r="D767">
        <v>4.5799999999999999E-3</v>
      </c>
      <c r="E767">
        <v>4.7099999999999998E-3</v>
      </c>
      <c r="F767">
        <v>30280614.300000001</v>
      </c>
      <c r="G767">
        <v>0</v>
      </c>
      <c r="L767" t="s">
        <v>7</v>
      </c>
      <c r="M767" t="s">
        <v>8</v>
      </c>
      <c r="N767" t="s">
        <v>7</v>
      </c>
      <c r="P767">
        <f t="shared" ref="P767:P830" si="1004">IF(C767=D767,0,((E767-D767)-(C767-E767))/(C767-D767))</f>
        <v>0.36842105263157748</v>
      </c>
      <c r="Q767">
        <f t="shared" ref="Q767:Q830" si="1005">F767*P767</f>
        <v>11156015.794736799</v>
      </c>
      <c r="R767">
        <f t="shared" ref="R767:R830" si="1006">R768+Q767</f>
        <v>-1611474825.0168808</v>
      </c>
      <c r="S767">
        <f t="shared" ref="S767:S830" si="1007">R767/100000</f>
        <v>-16114.748250168808</v>
      </c>
      <c r="T767">
        <f t="shared" ref="T767:T830" si="1008">S767/1000</f>
        <v>-16.114748250168809</v>
      </c>
    </row>
    <row r="768" spans="1:20" x14ac:dyDescent="0.25">
      <c r="A768" s="5">
        <v>43825</v>
      </c>
      <c r="B768">
        <v>4.64E-3</v>
      </c>
      <c r="C768">
        <v>4.7600000000000003E-3</v>
      </c>
      <c r="D768">
        <v>4.5399999999999998E-3</v>
      </c>
      <c r="E768">
        <v>4.5900000000000003E-3</v>
      </c>
      <c r="F768">
        <v>34286419</v>
      </c>
      <c r="G768">
        <v>0</v>
      </c>
      <c r="L768" t="s">
        <v>7</v>
      </c>
      <c r="M768" t="s">
        <v>8</v>
      </c>
      <c r="N768" t="s">
        <v>7</v>
      </c>
      <c r="P768">
        <f t="shared" si="1004"/>
        <v>-0.54545454545454153</v>
      </c>
      <c r="Q768">
        <f t="shared" si="1005"/>
        <v>-18701683.090908956</v>
      </c>
      <c r="R768">
        <f t="shared" si="1006"/>
        <v>-1622630840.8116176</v>
      </c>
      <c r="S768">
        <f t="shared" si="1007"/>
        <v>-16226.308408116176</v>
      </c>
      <c r="T768">
        <f t="shared" si="1008"/>
        <v>-16.226308408116175</v>
      </c>
    </row>
    <row r="769" spans="1:20" x14ac:dyDescent="0.25">
      <c r="A769" s="5">
        <v>43824</v>
      </c>
      <c r="B769">
        <v>4.7000000000000002E-3</v>
      </c>
      <c r="C769">
        <v>4.7499999999999999E-3</v>
      </c>
      <c r="D769">
        <v>4.5399999999999998E-3</v>
      </c>
      <c r="E769">
        <v>4.62E-3</v>
      </c>
      <c r="F769">
        <v>38643736.799999997</v>
      </c>
      <c r="G769">
        <v>0</v>
      </c>
      <c r="L769" t="s">
        <v>7</v>
      </c>
      <c r="M769" t="s">
        <v>8</v>
      </c>
      <c r="N769" t="s">
        <v>7</v>
      </c>
      <c r="P769">
        <f t="shared" si="1004"/>
        <v>-0.23809523809523653</v>
      </c>
      <c r="Q769">
        <f t="shared" si="1005"/>
        <v>-9200889.7142856531</v>
      </c>
      <c r="R769">
        <f t="shared" si="1006"/>
        <v>-1603929157.7207086</v>
      </c>
      <c r="S769">
        <f t="shared" si="1007"/>
        <v>-16039.291577207086</v>
      </c>
      <c r="T769">
        <f t="shared" si="1008"/>
        <v>-16.039291577207088</v>
      </c>
    </row>
    <row r="770" spans="1:20" x14ac:dyDescent="0.25">
      <c r="A770" s="5">
        <v>43823</v>
      </c>
      <c r="B770">
        <v>4.7099999999999998E-3</v>
      </c>
      <c r="C770">
        <v>4.9399999999999999E-3</v>
      </c>
      <c r="D770">
        <v>4.6100000000000004E-3</v>
      </c>
      <c r="E770">
        <v>4.7099999999999998E-3</v>
      </c>
      <c r="F770">
        <v>59926748.899999999</v>
      </c>
      <c r="G770">
        <v>0</v>
      </c>
      <c r="L770" t="s">
        <v>7</v>
      </c>
      <c r="M770" t="s">
        <v>8</v>
      </c>
      <c r="N770" t="s">
        <v>7</v>
      </c>
      <c r="P770">
        <f t="shared" si="1004"/>
        <v>-0.39393939393939681</v>
      </c>
      <c r="Q770">
        <f t="shared" si="1005"/>
        <v>-23607507.142424412</v>
      </c>
      <c r="R770">
        <f t="shared" si="1006"/>
        <v>-1594728268.006423</v>
      </c>
      <c r="S770">
        <f t="shared" si="1007"/>
        <v>-15947.282680064231</v>
      </c>
      <c r="T770">
        <f t="shared" si="1008"/>
        <v>-15.94728268006423</v>
      </c>
    </row>
    <row r="771" spans="1:20" x14ac:dyDescent="0.25">
      <c r="A771" s="5">
        <v>43822</v>
      </c>
      <c r="B771">
        <v>4.9500000000000004E-3</v>
      </c>
      <c r="C771">
        <v>4.9800000000000001E-3</v>
      </c>
      <c r="D771">
        <v>4.6499999999999996E-3</v>
      </c>
      <c r="E771">
        <v>4.7099999999999998E-3</v>
      </c>
      <c r="F771">
        <v>75529664.799999997</v>
      </c>
      <c r="G771">
        <v>0</v>
      </c>
      <c r="L771" t="s">
        <v>7</v>
      </c>
      <c r="M771" t="s">
        <v>8</v>
      </c>
      <c r="N771" t="s">
        <v>7</v>
      </c>
      <c r="P771">
        <f t="shared" si="1004"/>
        <v>-0.63636363636363591</v>
      </c>
      <c r="Q771">
        <f t="shared" si="1005"/>
        <v>-48064332.145454511</v>
      </c>
      <c r="R771">
        <f t="shared" si="1006"/>
        <v>-1571120760.8639987</v>
      </c>
      <c r="S771">
        <f t="shared" si="1007"/>
        <v>-15711.207608639987</v>
      </c>
      <c r="T771">
        <f t="shared" si="1008"/>
        <v>-15.711207608639986</v>
      </c>
    </row>
    <row r="772" spans="1:20" x14ac:dyDescent="0.25">
      <c r="A772" s="5">
        <v>43821</v>
      </c>
      <c r="B772">
        <v>4.8300000000000001E-3</v>
      </c>
      <c r="C772">
        <v>4.96E-3</v>
      </c>
      <c r="D772">
        <v>4.79E-3</v>
      </c>
      <c r="E772">
        <v>4.9399999999999999E-3</v>
      </c>
      <c r="F772">
        <v>63689300.700000003</v>
      </c>
      <c r="G772">
        <v>0</v>
      </c>
      <c r="L772" t="s">
        <v>7</v>
      </c>
      <c r="M772" t="s">
        <v>8</v>
      </c>
      <c r="N772" t="s">
        <v>7</v>
      </c>
      <c r="P772">
        <f t="shared" si="1004"/>
        <v>0.76470588235294057</v>
      </c>
      <c r="Q772">
        <f t="shared" si="1005"/>
        <v>48703582.888235256</v>
      </c>
      <c r="R772">
        <f t="shared" si="1006"/>
        <v>-1523056428.7185442</v>
      </c>
      <c r="S772">
        <f t="shared" si="1007"/>
        <v>-15230.564287185442</v>
      </c>
      <c r="T772">
        <f t="shared" si="1008"/>
        <v>-15.230564287185441</v>
      </c>
    </row>
    <row r="773" spans="1:20" x14ac:dyDescent="0.25">
      <c r="A773" s="5">
        <v>43820</v>
      </c>
      <c r="B773">
        <v>5.0699999999999999E-3</v>
      </c>
      <c r="C773">
        <v>5.1200000000000004E-3</v>
      </c>
      <c r="D773">
        <v>4.7800000000000004E-3</v>
      </c>
      <c r="E773">
        <v>4.8300000000000001E-3</v>
      </c>
      <c r="F773">
        <v>69037056</v>
      </c>
      <c r="G773">
        <v>0</v>
      </c>
      <c r="L773" t="s">
        <v>7</v>
      </c>
      <c r="M773" t="s">
        <v>8</v>
      </c>
      <c r="N773" t="s">
        <v>7</v>
      </c>
      <c r="P773">
        <f t="shared" si="1004"/>
        <v>-0.70588235294117829</v>
      </c>
      <c r="Q773">
        <f t="shared" si="1005"/>
        <v>-48732039.52941189</v>
      </c>
      <c r="R773">
        <f t="shared" si="1006"/>
        <v>-1571760011.6067796</v>
      </c>
      <c r="S773">
        <f t="shared" si="1007"/>
        <v>-15717.600116067795</v>
      </c>
      <c r="T773">
        <f t="shared" si="1008"/>
        <v>-15.717600116067795</v>
      </c>
    </row>
    <row r="774" spans="1:20" x14ac:dyDescent="0.25">
      <c r="A774" s="5">
        <v>43819</v>
      </c>
      <c r="B774">
        <v>4.9300000000000004E-3</v>
      </c>
      <c r="C774">
        <v>5.1500000000000001E-3</v>
      </c>
      <c r="D774">
        <v>4.8700000000000002E-3</v>
      </c>
      <c r="E774">
        <v>5.0499999999999998E-3</v>
      </c>
      <c r="F774">
        <v>45920107.700000003</v>
      </c>
      <c r="G774">
        <v>0</v>
      </c>
      <c r="L774" t="s">
        <v>7</v>
      </c>
      <c r="M774" t="s">
        <v>8</v>
      </c>
      <c r="N774" t="s">
        <v>7</v>
      </c>
      <c r="P774">
        <f t="shared" si="1004"/>
        <v>0.28571428571428348</v>
      </c>
      <c r="Q774">
        <f t="shared" si="1005"/>
        <v>13120030.77142847</v>
      </c>
      <c r="R774">
        <f t="shared" si="1006"/>
        <v>-1523027972.0773678</v>
      </c>
      <c r="S774">
        <f t="shared" si="1007"/>
        <v>-15230.279720773678</v>
      </c>
      <c r="T774">
        <f t="shared" si="1008"/>
        <v>-15.230279720773678</v>
      </c>
    </row>
    <row r="775" spans="1:20" x14ac:dyDescent="0.25">
      <c r="A775" s="5">
        <v>43818</v>
      </c>
      <c r="B775">
        <v>5.1399999999999996E-3</v>
      </c>
      <c r="C775">
        <v>5.1999999999999998E-3</v>
      </c>
      <c r="D775">
        <v>4.8399999999999997E-3</v>
      </c>
      <c r="E775">
        <v>4.9199999999999999E-3</v>
      </c>
      <c r="F775">
        <v>73480606.200000003</v>
      </c>
      <c r="G775">
        <v>0</v>
      </c>
      <c r="L775" t="s">
        <v>7</v>
      </c>
      <c r="M775" t="s">
        <v>8</v>
      </c>
      <c r="N775" t="s">
        <v>7</v>
      </c>
      <c r="P775">
        <f t="shared" si="1004"/>
        <v>-0.55555555555555447</v>
      </c>
      <c r="Q775">
        <f t="shared" si="1005"/>
        <v>-40822558.999999925</v>
      </c>
      <c r="R775">
        <f t="shared" si="1006"/>
        <v>-1536148002.8487964</v>
      </c>
      <c r="S775">
        <f t="shared" si="1007"/>
        <v>-15361.480028487964</v>
      </c>
      <c r="T775">
        <f t="shared" si="1008"/>
        <v>-15.361480028487964</v>
      </c>
    </row>
    <row r="776" spans="1:20" x14ac:dyDescent="0.25">
      <c r="A776" s="5">
        <v>43817</v>
      </c>
      <c r="B776">
        <v>4.4200000000000003E-3</v>
      </c>
      <c r="C776">
        <v>5.2599999999999999E-3</v>
      </c>
      <c r="D776">
        <v>4.2500000000000003E-3</v>
      </c>
      <c r="E776">
        <v>5.13E-3</v>
      </c>
      <c r="F776">
        <v>115069971.40000001</v>
      </c>
      <c r="G776">
        <v>0</v>
      </c>
      <c r="L776" t="s">
        <v>8</v>
      </c>
      <c r="M776" t="s">
        <v>8</v>
      </c>
      <c r="N776" t="s">
        <v>7</v>
      </c>
      <c r="P776">
        <f t="shared" si="1004"/>
        <v>0.74257425742574268</v>
      </c>
      <c r="Q776">
        <f t="shared" si="1005"/>
        <v>85447998.564356446</v>
      </c>
      <c r="R776">
        <f t="shared" si="1006"/>
        <v>-1495325443.8487964</v>
      </c>
      <c r="S776">
        <f t="shared" si="1007"/>
        <v>-14953.254438487964</v>
      </c>
      <c r="T776">
        <f t="shared" si="1008"/>
        <v>-14.953254438487964</v>
      </c>
    </row>
    <row r="777" spans="1:20" x14ac:dyDescent="0.25">
      <c r="A777" s="5">
        <v>43816</v>
      </c>
      <c r="B777">
        <v>4.7999999999999996E-3</v>
      </c>
      <c r="C777">
        <v>4.8300000000000001E-3</v>
      </c>
      <c r="D777">
        <v>4.3099999999999996E-3</v>
      </c>
      <c r="E777">
        <v>4.4099999999999999E-3</v>
      </c>
      <c r="F777">
        <v>67717061.5</v>
      </c>
      <c r="G777">
        <v>0</v>
      </c>
      <c r="L777" t="s">
        <v>7</v>
      </c>
      <c r="M777" t="s">
        <v>7</v>
      </c>
      <c r="N777" t="s">
        <v>7</v>
      </c>
      <c r="P777">
        <f t="shared" si="1004"/>
        <v>-0.61538461538461475</v>
      </c>
      <c r="Q777">
        <f t="shared" si="1005"/>
        <v>-41672037.846153803</v>
      </c>
      <c r="R777">
        <f t="shared" si="1006"/>
        <v>-1580773442.4131529</v>
      </c>
      <c r="S777">
        <f t="shared" si="1007"/>
        <v>-15807.73442413153</v>
      </c>
      <c r="T777">
        <f t="shared" si="1008"/>
        <v>-15.80773442413153</v>
      </c>
    </row>
    <row r="778" spans="1:20" x14ac:dyDescent="0.25">
      <c r="A778" s="5">
        <v>43815</v>
      </c>
      <c r="B778">
        <v>5.1200000000000004E-3</v>
      </c>
      <c r="C778">
        <v>5.1900000000000002E-3</v>
      </c>
      <c r="D778">
        <v>4.79E-3</v>
      </c>
      <c r="E778">
        <v>4.7999999999999996E-3</v>
      </c>
      <c r="F778">
        <v>54950045.700000003</v>
      </c>
      <c r="G778">
        <v>0</v>
      </c>
      <c r="L778" t="s">
        <v>7</v>
      </c>
      <c r="M778" t="s">
        <v>7</v>
      </c>
      <c r="N778" t="s">
        <v>7</v>
      </c>
      <c r="P778">
        <f t="shared" si="1004"/>
        <v>-0.95000000000000207</v>
      </c>
      <c r="Q778">
        <f t="shared" si="1005"/>
        <v>-52202543.415000118</v>
      </c>
      <c r="R778">
        <f t="shared" si="1006"/>
        <v>-1539101404.5669992</v>
      </c>
      <c r="S778">
        <f t="shared" si="1007"/>
        <v>-15391.014045669992</v>
      </c>
      <c r="T778">
        <f t="shared" si="1008"/>
        <v>-15.391014045669992</v>
      </c>
    </row>
    <row r="779" spans="1:20" x14ac:dyDescent="0.25">
      <c r="A779" s="5">
        <v>43814</v>
      </c>
      <c r="B779">
        <v>5.13E-3</v>
      </c>
      <c r="C779">
        <v>5.1999999999999998E-3</v>
      </c>
      <c r="D779">
        <v>4.96E-3</v>
      </c>
      <c r="E779">
        <v>5.1399999999999996E-3</v>
      </c>
      <c r="F779">
        <v>37306883.600000001</v>
      </c>
      <c r="G779">
        <v>0</v>
      </c>
      <c r="L779" t="s">
        <v>7</v>
      </c>
      <c r="M779" t="s">
        <v>7</v>
      </c>
      <c r="N779" t="s">
        <v>8</v>
      </c>
      <c r="P779">
        <f t="shared" si="1004"/>
        <v>0.49999999999999817</v>
      </c>
      <c r="Q779">
        <f t="shared" si="1005"/>
        <v>18653441.799999934</v>
      </c>
      <c r="R779">
        <f t="shared" si="1006"/>
        <v>-1486898861.151999</v>
      </c>
      <c r="S779">
        <f t="shared" si="1007"/>
        <v>-14868.98861151999</v>
      </c>
      <c r="T779">
        <f t="shared" si="1008"/>
        <v>-14.86898861151999</v>
      </c>
    </row>
    <row r="780" spans="1:20" x14ac:dyDescent="0.25">
      <c r="A780" s="5">
        <v>43813</v>
      </c>
      <c r="B780">
        <v>5.5700000000000003E-3</v>
      </c>
      <c r="C780">
        <v>5.6100000000000004E-3</v>
      </c>
      <c r="D780">
        <v>4.9199999999999999E-3</v>
      </c>
      <c r="E780">
        <v>5.13E-3</v>
      </c>
      <c r="F780">
        <v>85510748.299999997</v>
      </c>
      <c r="G780">
        <v>0</v>
      </c>
      <c r="L780" t="s">
        <v>7</v>
      </c>
      <c r="M780" t="s">
        <v>7</v>
      </c>
      <c r="N780" t="s">
        <v>8</v>
      </c>
      <c r="P780">
        <f t="shared" si="1004"/>
        <v>-0.39130434782608708</v>
      </c>
      <c r="Q780">
        <f t="shared" si="1005"/>
        <v>-33460727.595652185</v>
      </c>
      <c r="R780">
        <f t="shared" si="1006"/>
        <v>-1505552302.9519989</v>
      </c>
      <c r="S780">
        <f t="shared" si="1007"/>
        <v>-15055.523029519989</v>
      </c>
      <c r="T780">
        <f t="shared" si="1008"/>
        <v>-15.055523029519989</v>
      </c>
    </row>
    <row r="781" spans="1:20" x14ac:dyDescent="0.25">
      <c r="A781" s="5">
        <v>43812</v>
      </c>
      <c r="B781">
        <v>5.2700000000000004E-3</v>
      </c>
      <c r="C781">
        <v>5.5900000000000004E-3</v>
      </c>
      <c r="D781">
        <v>5.2500000000000003E-3</v>
      </c>
      <c r="E781">
        <v>5.5599999999999998E-3</v>
      </c>
      <c r="F781">
        <v>61930127.399999999</v>
      </c>
      <c r="G781">
        <v>0</v>
      </c>
      <c r="L781" t="s">
        <v>8</v>
      </c>
      <c r="M781" t="s">
        <v>7</v>
      </c>
      <c r="N781" t="s">
        <v>8</v>
      </c>
      <c r="P781">
        <f t="shared" si="1004"/>
        <v>0.82352941176470285</v>
      </c>
      <c r="Q781">
        <f t="shared" si="1005"/>
        <v>51001281.388235107</v>
      </c>
      <c r="R781">
        <f t="shared" si="1006"/>
        <v>-1472091575.3563468</v>
      </c>
      <c r="S781">
        <f t="shared" si="1007"/>
        <v>-14720.915753563468</v>
      </c>
      <c r="T781">
        <f t="shared" si="1008"/>
        <v>-14.720915753563467</v>
      </c>
    </row>
    <row r="782" spans="1:20" x14ac:dyDescent="0.25">
      <c r="A782" s="5">
        <v>43811</v>
      </c>
      <c r="B782">
        <v>5.6699999999999997E-3</v>
      </c>
      <c r="C782">
        <v>5.7299999999999999E-3</v>
      </c>
      <c r="D782">
        <v>5.1999999999999998E-3</v>
      </c>
      <c r="E782">
        <v>5.2599999999999999E-3</v>
      </c>
      <c r="F782">
        <v>87811706.299999997</v>
      </c>
      <c r="G782">
        <v>0</v>
      </c>
      <c r="L782" t="s">
        <v>7</v>
      </c>
      <c r="M782" t="s">
        <v>7</v>
      </c>
      <c r="N782" t="s">
        <v>8</v>
      </c>
      <c r="P782">
        <f t="shared" si="1004"/>
        <v>-0.77358490566037685</v>
      </c>
      <c r="Q782">
        <f t="shared" si="1005"/>
        <v>-67929810.53396222</v>
      </c>
      <c r="R782">
        <f t="shared" si="1006"/>
        <v>-1523092856.7445819</v>
      </c>
      <c r="S782">
        <f t="shared" si="1007"/>
        <v>-15230.928567445819</v>
      </c>
      <c r="T782">
        <f t="shared" si="1008"/>
        <v>-15.230928567445819</v>
      </c>
    </row>
    <row r="783" spans="1:20" x14ac:dyDescent="0.25">
      <c r="A783" s="5">
        <v>43810</v>
      </c>
      <c r="B783">
        <v>5.5599999999999998E-3</v>
      </c>
      <c r="C783">
        <v>5.79E-3</v>
      </c>
      <c r="D783">
        <v>5.4200000000000003E-3</v>
      </c>
      <c r="E783">
        <v>5.64E-3</v>
      </c>
      <c r="F783">
        <v>76744265.5</v>
      </c>
      <c r="G783">
        <v>0</v>
      </c>
      <c r="L783" t="s">
        <v>8</v>
      </c>
      <c r="M783" t="s">
        <v>7</v>
      </c>
      <c r="N783" t="s">
        <v>8</v>
      </c>
      <c r="P783">
        <f t="shared" si="1004"/>
        <v>0.18918918918918867</v>
      </c>
      <c r="Q783">
        <f t="shared" si="1005"/>
        <v>14519185.364864824</v>
      </c>
      <c r="R783">
        <f t="shared" si="1006"/>
        <v>-1455163046.2106197</v>
      </c>
      <c r="S783">
        <f t="shared" si="1007"/>
        <v>-14551.630462106197</v>
      </c>
      <c r="T783">
        <f t="shared" si="1008"/>
        <v>-14.551630462106198</v>
      </c>
    </row>
    <row r="784" spans="1:20" x14ac:dyDescent="0.25">
      <c r="A784" s="5">
        <v>43809</v>
      </c>
      <c r="B784">
        <v>6.0699999999999999E-3</v>
      </c>
      <c r="C784">
        <v>6.1799999999999997E-3</v>
      </c>
      <c r="D784">
        <v>5.3600000000000002E-3</v>
      </c>
      <c r="E784">
        <v>5.5799999999999999E-3</v>
      </c>
      <c r="F784">
        <v>161826552.30000001</v>
      </c>
      <c r="G784">
        <v>0</v>
      </c>
      <c r="L784" t="s">
        <v>7</v>
      </c>
      <c r="M784" t="s">
        <v>7</v>
      </c>
      <c r="N784" t="s">
        <v>8</v>
      </c>
      <c r="P784">
        <f t="shared" si="1004"/>
        <v>-0.46341463414634188</v>
      </c>
      <c r="Q784">
        <f t="shared" si="1005"/>
        <v>-74992792.529268369</v>
      </c>
      <c r="R784">
        <f t="shared" si="1006"/>
        <v>-1469682231.5754845</v>
      </c>
      <c r="S784">
        <f t="shared" si="1007"/>
        <v>-14696.822315754845</v>
      </c>
      <c r="T784">
        <f t="shared" si="1008"/>
        <v>-14.696822315754845</v>
      </c>
    </row>
    <row r="785" spans="1:20" x14ac:dyDescent="0.25">
      <c r="A785" s="5">
        <v>43808</v>
      </c>
      <c r="B785">
        <v>6.4599999999999996E-3</v>
      </c>
      <c r="C785">
        <v>6.7999999999999996E-3</v>
      </c>
      <c r="D785">
        <v>6.0099999999999997E-3</v>
      </c>
      <c r="E785">
        <v>6.0499999999999998E-3</v>
      </c>
      <c r="F785">
        <v>131232422.90000001</v>
      </c>
      <c r="G785">
        <v>0</v>
      </c>
      <c r="L785" t="s">
        <v>7</v>
      </c>
      <c r="M785" t="s">
        <v>8</v>
      </c>
      <c r="N785" t="s">
        <v>8</v>
      </c>
      <c r="P785">
        <f t="shared" si="1004"/>
        <v>-0.89873417721518956</v>
      </c>
      <c r="Q785">
        <f t="shared" si="1005"/>
        <v>-117943063.61898731</v>
      </c>
      <c r="R785">
        <f t="shared" si="1006"/>
        <v>-1394689439.0462162</v>
      </c>
      <c r="S785">
        <f t="shared" si="1007"/>
        <v>-13946.894390462163</v>
      </c>
      <c r="T785">
        <f t="shared" si="1008"/>
        <v>-13.946894390462163</v>
      </c>
    </row>
    <row r="786" spans="1:20" x14ac:dyDescent="0.25">
      <c r="A786" s="5">
        <v>43807</v>
      </c>
      <c r="B786">
        <v>6.4200000000000004E-3</v>
      </c>
      <c r="C786">
        <v>7.0000000000000001E-3</v>
      </c>
      <c r="D786">
        <v>6.28E-3</v>
      </c>
      <c r="E786">
        <v>6.4599999999999996E-3</v>
      </c>
      <c r="F786">
        <v>137504370.59999999</v>
      </c>
      <c r="G786">
        <v>0</v>
      </c>
      <c r="L786" t="s">
        <v>8</v>
      </c>
      <c r="M786" t="s">
        <v>8</v>
      </c>
      <c r="N786" t="s">
        <v>8</v>
      </c>
      <c r="P786">
        <f t="shared" si="1004"/>
        <v>-0.50000000000000122</v>
      </c>
      <c r="Q786">
        <f t="shared" si="1005"/>
        <v>-68752185.300000161</v>
      </c>
      <c r="R786">
        <f t="shared" si="1006"/>
        <v>-1276746375.4272289</v>
      </c>
      <c r="S786">
        <f t="shared" si="1007"/>
        <v>-12767.463754272288</v>
      </c>
      <c r="T786">
        <f t="shared" si="1008"/>
        <v>-12.767463754272288</v>
      </c>
    </row>
    <row r="787" spans="1:20" x14ac:dyDescent="0.25">
      <c r="A787" s="5">
        <v>43806</v>
      </c>
      <c r="B787">
        <v>6.1500000000000001E-3</v>
      </c>
      <c r="C787">
        <v>6.7299999999999999E-3</v>
      </c>
      <c r="D787">
        <v>6.1500000000000001E-3</v>
      </c>
      <c r="E787">
        <v>6.43E-3</v>
      </c>
      <c r="F787">
        <v>174360659.59999999</v>
      </c>
      <c r="G787">
        <v>0</v>
      </c>
      <c r="L787" t="s">
        <v>8</v>
      </c>
      <c r="M787" t="s">
        <v>8</v>
      </c>
      <c r="N787" t="s">
        <v>8</v>
      </c>
      <c r="P787">
        <f t="shared" si="1004"/>
        <v>-3.4482758620689759E-2</v>
      </c>
      <c r="Q787">
        <f t="shared" si="1005"/>
        <v>-6012436.537931052</v>
      </c>
      <c r="R787">
        <f t="shared" si="1006"/>
        <v>-1207994190.1272287</v>
      </c>
      <c r="S787">
        <f t="shared" si="1007"/>
        <v>-12079.941901272286</v>
      </c>
      <c r="T787">
        <f t="shared" si="1008"/>
        <v>-12.079941901272287</v>
      </c>
    </row>
    <row r="788" spans="1:20" x14ac:dyDescent="0.25">
      <c r="A788" s="5">
        <v>43805</v>
      </c>
      <c r="B788">
        <v>5.7299999999999999E-3</v>
      </c>
      <c r="C788">
        <v>6.4000000000000003E-3</v>
      </c>
      <c r="D788">
        <v>5.5900000000000004E-3</v>
      </c>
      <c r="E788">
        <v>6.1700000000000001E-3</v>
      </c>
      <c r="F788">
        <v>175933695.40000001</v>
      </c>
      <c r="G788">
        <v>0</v>
      </c>
      <c r="L788" t="s">
        <v>8</v>
      </c>
      <c r="M788" t="s">
        <v>8</v>
      </c>
      <c r="N788" t="s">
        <v>8</v>
      </c>
      <c r="P788">
        <f t="shared" si="1004"/>
        <v>0.4320987654320983</v>
      </c>
      <c r="Q788">
        <f t="shared" si="1005"/>
        <v>76020732.580246836</v>
      </c>
      <c r="R788">
        <f t="shared" si="1006"/>
        <v>-1201981753.5892978</v>
      </c>
      <c r="S788">
        <f t="shared" si="1007"/>
        <v>-12019.817535892978</v>
      </c>
      <c r="T788">
        <f t="shared" si="1008"/>
        <v>-12.019817535892978</v>
      </c>
    </row>
    <row r="789" spans="1:20" x14ac:dyDescent="0.25">
      <c r="A789" s="5">
        <v>43804</v>
      </c>
      <c r="B789">
        <v>5.4099999999999999E-3</v>
      </c>
      <c r="C789">
        <v>5.7400000000000003E-3</v>
      </c>
      <c r="D789">
        <v>5.2500000000000003E-3</v>
      </c>
      <c r="E789">
        <v>5.7299999999999999E-3</v>
      </c>
      <c r="F789">
        <v>90582099.700000003</v>
      </c>
      <c r="G789">
        <v>0</v>
      </c>
      <c r="L789" t="s">
        <v>7</v>
      </c>
      <c r="M789" t="s">
        <v>8</v>
      </c>
      <c r="N789" t="s">
        <v>8</v>
      </c>
      <c r="P789">
        <f t="shared" si="1004"/>
        <v>0.95918367346938582</v>
      </c>
      <c r="Q789">
        <f t="shared" si="1005"/>
        <v>86884871.140816152</v>
      </c>
      <c r="R789">
        <f t="shared" si="1006"/>
        <v>-1278002486.1695447</v>
      </c>
      <c r="S789">
        <f t="shared" si="1007"/>
        <v>-12780.024861695447</v>
      </c>
      <c r="T789">
        <f t="shared" si="1008"/>
        <v>-12.780024861695447</v>
      </c>
    </row>
    <row r="790" spans="1:20" x14ac:dyDescent="0.25">
      <c r="A790" s="5">
        <v>43803</v>
      </c>
      <c r="B790">
        <v>5.6899999999999997E-3</v>
      </c>
      <c r="C790">
        <v>5.8999999999999999E-3</v>
      </c>
      <c r="D790">
        <v>5.3499999999999997E-3</v>
      </c>
      <c r="E790">
        <v>5.4000000000000003E-3</v>
      </c>
      <c r="F790">
        <v>140335568.19999999</v>
      </c>
      <c r="G790">
        <v>0</v>
      </c>
      <c r="L790" t="s">
        <v>8</v>
      </c>
      <c r="M790" t="s">
        <v>8</v>
      </c>
      <c r="N790" t="s">
        <v>8</v>
      </c>
      <c r="P790">
        <f t="shared" si="1004"/>
        <v>-0.81818181818181612</v>
      </c>
      <c r="Q790">
        <f t="shared" si="1005"/>
        <v>-114820010.34545425</v>
      </c>
      <c r="R790">
        <f t="shared" si="1006"/>
        <v>-1364887357.3103609</v>
      </c>
      <c r="S790">
        <f t="shared" si="1007"/>
        <v>-13648.873573103609</v>
      </c>
      <c r="T790">
        <f t="shared" si="1008"/>
        <v>-13.648873573103609</v>
      </c>
    </row>
    <row r="791" spans="1:20" x14ac:dyDescent="0.25">
      <c r="A791" s="5">
        <v>43802</v>
      </c>
      <c r="B791">
        <v>5.1200000000000004E-3</v>
      </c>
      <c r="C791">
        <v>5.7499999999999999E-3</v>
      </c>
      <c r="D791">
        <v>5.0499999999999998E-3</v>
      </c>
      <c r="E791">
        <v>5.6899999999999997E-3</v>
      </c>
      <c r="F791">
        <v>130204783.90000001</v>
      </c>
      <c r="G791">
        <v>0</v>
      </c>
      <c r="L791" t="s">
        <v>8</v>
      </c>
      <c r="M791" t="s">
        <v>8</v>
      </c>
      <c r="N791" t="s">
        <v>7</v>
      </c>
      <c r="P791">
        <f t="shared" si="1004"/>
        <v>0.82857142857142818</v>
      </c>
      <c r="Q791">
        <f t="shared" si="1005"/>
        <v>107883963.8028571</v>
      </c>
      <c r="R791">
        <f t="shared" si="1006"/>
        <v>-1250067346.9649067</v>
      </c>
      <c r="S791">
        <f t="shared" si="1007"/>
        <v>-12500.673469649068</v>
      </c>
      <c r="T791">
        <f t="shared" si="1008"/>
        <v>-12.500673469649067</v>
      </c>
    </row>
    <row r="792" spans="1:20" x14ac:dyDescent="0.25">
      <c r="A792" s="5">
        <v>43801</v>
      </c>
      <c r="B792">
        <v>5.1799999999999997E-3</v>
      </c>
      <c r="C792">
        <v>5.3600000000000002E-3</v>
      </c>
      <c r="D792">
        <v>4.9300000000000004E-3</v>
      </c>
      <c r="E792">
        <v>5.1000000000000004E-3</v>
      </c>
      <c r="F792">
        <v>40773973.200000003</v>
      </c>
      <c r="G792">
        <v>0</v>
      </c>
      <c r="L792" t="s">
        <v>8</v>
      </c>
      <c r="M792" t="s">
        <v>8</v>
      </c>
      <c r="N792" t="s">
        <v>7</v>
      </c>
      <c r="P792">
        <f t="shared" si="1004"/>
        <v>-0.20930232558139497</v>
      </c>
      <c r="Q792">
        <f t="shared" si="1005"/>
        <v>-8534087.4139534738</v>
      </c>
      <c r="R792">
        <f t="shared" si="1006"/>
        <v>-1357951310.7677639</v>
      </c>
      <c r="S792">
        <f t="shared" si="1007"/>
        <v>-13579.513107677638</v>
      </c>
      <c r="T792">
        <f t="shared" si="1008"/>
        <v>-13.579513107677638</v>
      </c>
    </row>
    <row r="793" spans="1:20" x14ac:dyDescent="0.25">
      <c r="A793" s="5">
        <v>43800</v>
      </c>
      <c r="B793">
        <v>5.2700000000000004E-3</v>
      </c>
      <c r="C793">
        <v>5.28E-3</v>
      </c>
      <c r="D793">
        <v>4.9500000000000004E-3</v>
      </c>
      <c r="E793">
        <v>5.1599999999999997E-3</v>
      </c>
      <c r="F793">
        <v>36125775</v>
      </c>
      <c r="G793">
        <v>0</v>
      </c>
      <c r="L793" t="s">
        <v>7</v>
      </c>
      <c r="M793" t="s">
        <v>8</v>
      </c>
      <c r="N793" t="s">
        <v>7</v>
      </c>
      <c r="P793">
        <f t="shared" si="1004"/>
        <v>0.27272727272726988</v>
      </c>
      <c r="Q793">
        <f t="shared" si="1005"/>
        <v>9852484.0909089874</v>
      </c>
      <c r="R793">
        <f t="shared" si="1006"/>
        <v>-1349417223.3538103</v>
      </c>
      <c r="S793">
        <f t="shared" si="1007"/>
        <v>-13494.172233538104</v>
      </c>
      <c r="T793">
        <f t="shared" si="1008"/>
        <v>-13.494172233538103</v>
      </c>
    </row>
    <row r="794" spans="1:20" x14ac:dyDescent="0.25">
      <c r="A794" s="5">
        <v>43799</v>
      </c>
      <c r="B794">
        <v>5.4099999999999999E-3</v>
      </c>
      <c r="C794">
        <v>5.4999999999999997E-3</v>
      </c>
      <c r="D794">
        <v>5.11E-3</v>
      </c>
      <c r="E794">
        <v>5.3E-3</v>
      </c>
      <c r="F794">
        <v>45877662.799999997</v>
      </c>
      <c r="G794">
        <v>0</v>
      </c>
      <c r="L794" t="s">
        <v>7</v>
      </c>
      <c r="M794" t="s">
        <v>8</v>
      </c>
      <c r="N794" t="s">
        <v>7</v>
      </c>
      <c r="P794">
        <f t="shared" si="1004"/>
        <v>-2.5641025641024613E-2</v>
      </c>
      <c r="Q794">
        <f t="shared" si="1005"/>
        <v>-1176350.3282050809</v>
      </c>
      <c r="R794">
        <f t="shared" si="1006"/>
        <v>-1359269707.4447193</v>
      </c>
      <c r="S794">
        <f t="shared" si="1007"/>
        <v>-13592.697074447193</v>
      </c>
      <c r="T794">
        <f t="shared" si="1008"/>
        <v>-13.592697074447193</v>
      </c>
    </row>
    <row r="795" spans="1:20" x14ac:dyDescent="0.25">
      <c r="A795" s="5">
        <v>43798</v>
      </c>
      <c r="B795">
        <v>5.2300000000000003E-3</v>
      </c>
      <c r="C795">
        <v>5.4900000000000001E-3</v>
      </c>
      <c r="D795">
        <v>5.1900000000000002E-3</v>
      </c>
      <c r="E795">
        <v>5.4200000000000003E-3</v>
      </c>
      <c r="F795">
        <v>48047597.399999999</v>
      </c>
      <c r="G795">
        <v>0</v>
      </c>
      <c r="L795" t="s">
        <v>8</v>
      </c>
      <c r="M795" t="s">
        <v>8</v>
      </c>
      <c r="N795" t="s">
        <v>7</v>
      </c>
      <c r="P795">
        <f t="shared" si="1004"/>
        <v>0.53333333333333488</v>
      </c>
      <c r="Q795">
        <f t="shared" si="1005"/>
        <v>25625385.280000072</v>
      </c>
      <c r="R795">
        <f t="shared" si="1006"/>
        <v>-1358093357.1165142</v>
      </c>
      <c r="S795">
        <f t="shared" si="1007"/>
        <v>-13580.933571165142</v>
      </c>
      <c r="T795">
        <f t="shared" si="1008"/>
        <v>-13.580933571165142</v>
      </c>
    </row>
    <row r="796" spans="1:20" x14ac:dyDescent="0.25">
      <c r="A796" s="5">
        <v>43797</v>
      </c>
      <c r="B796">
        <v>5.1200000000000004E-3</v>
      </c>
      <c r="C796">
        <v>5.4599999999999996E-3</v>
      </c>
      <c r="D796">
        <v>5.0800000000000003E-3</v>
      </c>
      <c r="E796">
        <v>5.2399999999999999E-3</v>
      </c>
      <c r="F796">
        <v>62233696.5</v>
      </c>
      <c r="G796">
        <v>0</v>
      </c>
      <c r="L796" t="s">
        <v>8</v>
      </c>
      <c r="M796" t="s">
        <v>8</v>
      </c>
      <c r="N796" t="s">
        <v>7</v>
      </c>
      <c r="P796">
        <f t="shared" si="1004"/>
        <v>-0.15789473684210598</v>
      </c>
      <c r="Q796">
        <f t="shared" si="1005"/>
        <v>-9826373.1315789912</v>
      </c>
      <c r="R796">
        <f t="shared" si="1006"/>
        <v>-1383718742.3965142</v>
      </c>
      <c r="S796">
        <f t="shared" si="1007"/>
        <v>-13837.187423965142</v>
      </c>
      <c r="T796">
        <f t="shared" si="1008"/>
        <v>-13.837187423965142</v>
      </c>
    </row>
    <row r="797" spans="1:20" x14ac:dyDescent="0.25">
      <c r="A797" s="5">
        <v>43796</v>
      </c>
      <c r="B797">
        <v>5.0800000000000003E-3</v>
      </c>
      <c r="C797">
        <v>5.28E-3</v>
      </c>
      <c r="D797">
        <v>4.7499999999999999E-3</v>
      </c>
      <c r="E797">
        <v>5.1200000000000004E-3</v>
      </c>
      <c r="F797">
        <v>91549904.099999994</v>
      </c>
      <c r="G797">
        <v>0</v>
      </c>
      <c r="L797" t="s">
        <v>7</v>
      </c>
      <c r="M797" t="s">
        <v>8</v>
      </c>
      <c r="N797" t="s">
        <v>7</v>
      </c>
      <c r="P797">
        <f t="shared" si="1004"/>
        <v>0.39622641509434142</v>
      </c>
      <c r="Q797">
        <f t="shared" si="1005"/>
        <v>36274490.303773746</v>
      </c>
      <c r="R797">
        <f t="shared" si="1006"/>
        <v>-1373892369.2649353</v>
      </c>
      <c r="S797">
        <f t="shared" si="1007"/>
        <v>-13738.923692649352</v>
      </c>
      <c r="T797">
        <f t="shared" si="1008"/>
        <v>-13.738923692649353</v>
      </c>
    </row>
    <row r="798" spans="1:20" x14ac:dyDescent="0.25">
      <c r="A798" s="5">
        <v>43795</v>
      </c>
      <c r="B798">
        <v>4.7999999999999996E-3</v>
      </c>
      <c r="C798">
        <v>5.28E-3</v>
      </c>
      <c r="D798">
        <v>4.7299999999999998E-3</v>
      </c>
      <c r="E798">
        <v>5.1000000000000004E-3</v>
      </c>
      <c r="F798">
        <v>90609080.5</v>
      </c>
      <c r="G798">
        <v>0</v>
      </c>
      <c r="L798" t="s">
        <v>8</v>
      </c>
      <c r="M798" t="s">
        <v>8</v>
      </c>
      <c r="N798" t="s">
        <v>7</v>
      </c>
      <c r="P798">
        <f t="shared" si="1004"/>
        <v>0.34545454545454707</v>
      </c>
      <c r="Q798">
        <f t="shared" si="1005"/>
        <v>31301318.718181964</v>
      </c>
      <c r="R798">
        <f t="shared" si="1006"/>
        <v>-1410166859.5687089</v>
      </c>
      <c r="S798">
        <f t="shared" si="1007"/>
        <v>-14101.66859568709</v>
      </c>
      <c r="T798">
        <f t="shared" si="1008"/>
        <v>-14.101668595687089</v>
      </c>
    </row>
    <row r="799" spans="1:20" x14ac:dyDescent="0.25">
      <c r="A799" s="5">
        <v>43794</v>
      </c>
      <c r="B799">
        <v>4.5399999999999998E-3</v>
      </c>
      <c r="C799">
        <v>5.0600000000000003E-3</v>
      </c>
      <c r="D799">
        <v>4.2199999999999998E-3</v>
      </c>
      <c r="E799">
        <v>4.7999999999999996E-3</v>
      </c>
      <c r="F799">
        <v>100692892.2</v>
      </c>
      <c r="G799">
        <v>0</v>
      </c>
      <c r="L799" t="s">
        <v>7</v>
      </c>
      <c r="M799" t="s">
        <v>7</v>
      </c>
      <c r="N799" t="s">
        <v>7</v>
      </c>
      <c r="P799">
        <f t="shared" si="1004"/>
        <v>0.38095238095237965</v>
      </c>
      <c r="Q799">
        <f t="shared" si="1005"/>
        <v>38359197.0285713</v>
      </c>
      <c r="R799">
        <f t="shared" si="1006"/>
        <v>-1441468178.2868907</v>
      </c>
      <c r="S799">
        <f t="shared" si="1007"/>
        <v>-14414.681782868907</v>
      </c>
      <c r="T799">
        <f t="shared" si="1008"/>
        <v>-14.414681782868907</v>
      </c>
    </row>
    <row r="800" spans="1:20" x14ac:dyDescent="0.25">
      <c r="A800" s="5">
        <v>43793</v>
      </c>
      <c r="B800">
        <v>4.9100000000000003E-3</v>
      </c>
      <c r="C800">
        <v>5.0200000000000002E-3</v>
      </c>
      <c r="D800">
        <v>4.4999999999999997E-3</v>
      </c>
      <c r="E800">
        <v>4.5599999999999998E-3</v>
      </c>
      <c r="F800">
        <v>68841632.799999997</v>
      </c>
      <c r="G800">
        <v>0</v>
      </c>
      <c r="L800" t="s">
        <v>7</v>
      </c>
      <c r="M800" t="s">
        <v>7</v>
      </c>
      <c r="N800" t="s">
        <v>7</v>
      </c>
      <c r="P800">
        <f t="shared" si="1004"/>
        <v>-0.76923076923076883</v>
      </c>
      <c r="Q800">
        <f t="shared" si="1005"/>
        <v>-52955102.153846122</v>
      </c>
      <c r="R800">
        <f t="shared" si="1006"/>
        <v>-1479827375.3154621</v>
      </c>
      <c r="S800">
        <f t="shared" si="1007"/>
        <v>-14798.273753154621</v>
      </c>
      <c r="T800">
        <f t="shared" si="1008"/>
        <v>-14.798273753154621</v>
      </c>
    </row>
    <row r="801" spans="1:20" x14ac:dyDescent="0.25">
      <c r="A801" s="5">
        <v>43792</v>
      </c>
      <c r="B801">
        <v>4.7600000000000003E-3</v>
      </c>
      <c r="C801">
        <v>4.9800000000000001E-3</v>
      </c>
      <c r="D801">
        <v>4.5399999999999998E-3</v>
      </c>
      <c r="E801">
        <v>4.9199999999999999E-3</v>
      </c>
      <c r="F801">
        <v>52094134.600000001</v>
      </c>
      <c r="G801">
        <v>0</v>
      </c>
      <c r="L801" t="s">
        <v>8</v>
      </c>
      <c r="M801" t="s">
        <v>7</v>
      </c>
      <c r="N801" t="s">
        <v>7</v>
      </c>
      <c r="P801">
        <f t="shared" si="1004"/>
        <v>0.72727272727272674</v>
      </c>
      <c r="Q801">
        <f t="shared" si="1005"/>
        <v>37886643.345454521</v>
      </c>
      <c r="R801">
        <f t="shared" si="1006"/>
        <v>-1426872273.1616161</v>
      </c>
      <c r="S801">
        <f t="shared" si="1007"/>
        <v>-14268.722731616161</v>
      </c>
      <c r="T801">
        <f t="shared" si="1008"/>
        <v>-14.26872273161616</v>
      </c>
    </row>
    <row r="802" spans="1:20" x14ac:dyDescent="0.25">
      <c r="A802" s="5">
        <v>43791</v>
      </c>
      <c r="B802">
        <v>5.2700000000000004E-3</v>
      </c>
      <c r="C802">
        <v>5.4000000000000003E-3</v>
      </c>
      <c r="D802">
        <v>4.28E-3</v>
      </c>
      <c r="E802">
        <v>4.7800000000000004E-3</v>
      </c>
      <c r="F802">
        <v>108802927.3</v>
      </c>
      <c r="G802">
        <v>0</v>
      </c>
      <c r="L802" t="s">
        <v>7</v>
      </c>
      <c r="M802" t="s">
        <v>7</v>
      </c>
      <c r="N802" t="s">
        <v>7</v>
      </c>
      <c r="P802">
        <f t="shared" si="1004"/>
        <v>-0.10714285714285662</v>
      </c>
      <c r="Q802">
        <f t="shared" si="1005"/>
        <v>-11657456.496428514</v>
      </c>
      <c r="R802">
        <f t="shared" si="1006"/>
        <v>-1464758916.5070705</v>
      </c>
      <c r="S802">
        <f t="shared" si="1007"/>
        <v>-14647.589165070705</v>
      </c>
      <c r="T802">
        <f t="shared" si="1008"/>
        <v>-14.647589165070706</v>
      </c>
    </row>
    <row r="803" spans="1:20" x14ac:dyDescent="0.25">
      <c r="A803" s="5">
        <v>43790</v>
      </c>
      <c r="B803">
        <v>5.77E-3</v>
      </c>
      <c r="C803">
        <v>5.8399999999999997E-3</v>
      </c>
      <c r="D803">
        <v>5.0699999999999999E-3</v>
      </c>
      <c r="E803">
        <v>5.2700000000000004E-3</v>
      </c>
      <c r="F803">
        <v>71382913.200000003</v>
      </c>
      <c r="G803">
        <v>0</v>
      </c>
      <c r="L803" t="s">
        <v>7</v>
      </c>
      <c r="M803" t="s">
        <v>7</v>
      </c>
      <c r="N803" t="s">
        <v>8</v>
      </c>
      <c r="P803">
        <f t="shared" si="1004"/>
        <v>-0.48051948051947907</v>
      </c>
      <c r="Q803">
        <f t="shared" si="1005"/>
        <v>-34300880.368831068</v>
      </c>
      <c r="R803">
        <f t="shared" si="1006"/>
        <v>-1453101460.0106421</v>
      </c>
      <c r="S803">
        <f t="shared" si="1007"/>
        <v>-14531.01460010642</v>
      </c>
      <c r="T803">
        <f t="shared" si="1008"/>
        <v>-14.53101460010642</v>
      </c>
    </row>
    <row r="804" spans="1:20" x14ac:dyDescent="0.25">
      <c r="A804" s="5">
        <v>43789</v>
      </c>
      <c r="B804">
        <v>5.9100000000000003E-3</v>
      </c>
      <c r="C804">
        <v>6.0699999999999999E-3</v>
      </c>
      <c r="D804">
        <v>5.7299999999999999E-3</v>
      </c>
      <c r="E804">
        <v>5.7600000000000004E-3</v>
      </c>
      <c r="F804">
        <v>53794242</v>
      </c>
      <c r="G804">
        <v>0</v>
      </c>
      <c r="L804" t="s">
        <v>8</v>
      </c>
      <c r="M804" t="s">
        <v>7</v>
      </c>
      <c r="N804" t="s">
        <v>8</v>
      </c>
      <c r="P804">
        <f t="shared" si="1004"/>
        <v>-0.82352941176470285</v>
      </c>
      <c r="Q804">
        <f t="shared" si="1005"/>
        <v>-44301140.470588073</v>
      </c>
      <c r="R804">
        <f t="shared" si="1006"/>
        <v>-1418800579.6418109</v>
      </c>
      <c r="S804">
        <f t="shared" si="1007"/>
        <v>-14188.005796418109</v>
      </c>
      <c r="T804">
        <f t="shared" si="1008"/>
        <v>-14.188005796418109</v>
      </c>
    </row>
    <row r="805" spans="1:20" x14ac:dyDescent="0.25">
      <c r="A805" s="5">
        <v>43788</v>
      </c>
      <c r="B805">
        <v>6.1000000000000004E-3</v>
      </c>
      <c r="C805">
        <v>6.1199999999999996E-3</v>
      </c>
      <c r="D805">
        <v>5.5500000000000002E-3</v>
      </c>
      <c r="E805">
        <v>5.9100000000000003E-3</v>
      </c>
      <c r="F805">
        <v>87926489.299999997</v>
      </c>
      <c r="G805">
        <v>0</v>
      </c>
      <c r="L805" t="s">
        <v>7</v>
      </c>
      <c r="M805" t="s">
        <v>7</v>
      </c>
      <c r="N805" t="s">
        <v>8</v>
      </c>
      <c r="P805">
        <f t="shared" si="1004"/>
        <v>0.26315789473684387</v>
      </c>
      <c r="Q805">
        <f t="shared" si="1005"/>
        <v>23138549.815789629</v>
      </c>
      <c r="R805">
        <f t="shared" si="1006"/>
        <v>-1374499439.1712229</v>
      </c>
      <c r="S805">
        <f t="shared" si="1007"/>
        <v>-13744.994391712229</v>
      </c>
      <c r="T805">
        <f t="shared" si="1008"/>
        <v>-13.744994391712229</v>
      </c>
    </row>
    <row r="806" spans="1:20" x14ac:dyDescent="0.25">
      <c r="A806" s="5">
        <v>43787</v>
      </c>
      <c r="B806">
        <v>6.5900000000000004E-3</v>
      </c>
      <c r="C806">
        <v>6.5900000000000004E-3</v>
      </c>
      <c r="D806">
        <v>5.8500000000000002E-3</v>
      </c>
      <c r="E806">
        <v>6.1000000000000004E-3</v>
      </c>
      <c r="F806">
        <v>129965494.5</v>
      </c>
      <c r="G806">
        <v>0</v>
      </c>
      <c r="L806" t="s">
        <v>7</v>
      </c>
      <c r="M806" t="s">
        <v>7</v>
      </c>
      <c r="N806" t="s">
        <v>8</v>
      </c>
      <c r="P806">
        <f t="shared" si="1004"/>
        <v>-0.3243243243243239</v>
      </c>
      <c r="Q806">
        <f t="shared" si="1005"/>
        <v>-42150971.189189136</v>
      </c>
      <c r="R806">
        <f t="shared" si="1006"/>
        <v>-1397637988.9870126</v>
      </c>
      <c r="S806">
        <f t="shared" si="1007"/>
        <v>-13976.379889870126</v>
      </c>
      <c r="T806">
        <f t="shared" si="1008"/>
        <v>-13.976379889870126</v>
      </c>
    </row>
    <row r="807" spans="1:20" x14ac:dyDescent="0.25">
      <c r="A807" s="5">
        <v>43786</v>
      </c>
      <c r="B807">
        <v>6.6499999999999997E-3</v>
      </c>
      <c r="C807">
        <v>6.9300000000000004E-3</v>
      </c>
      <c r="D807">
        <v>6.4700000000000001E-3</v>
      </c>
      <c r="E807">
        <v>6.5900000000000004E-3</v>
      </c>
      <c r="F807">
        <v>99206053.400000006</v>
      </c>
      <c r="G807">
        <v>0</v>
      </c>
      <c r="L807" t="s">
        <v>7</v>
      </c>
      <c r="M807" t="s">
        <v>8</v>
      </c>
      <c r="N807" t="s">
        <v>8</v>
      </c>
      <c r="P807">
        <f t="shared" si="1004"/>
        <v>-0.47826086956521641</v>
      </c>
      <c r="Q807">
        <f t="shared" si="1005"/>
        <v>-47446373.365217298</v>
      </c>
      <c r="R807">
        <f t="shared" si="1006"/>
        <v>-1355487017.7978234</v>
      </c>
      <c r="S807">
        <f t="shared" si="1007"/>
        <v>-13554.870177978235</v>
      </c>
      <c r="T807">
        <f t="shared" si="1008"/>
        <v>-13.554870177978234</v>
      </c>
    </row>
    <row r="808" spans="1:20" x14ac:dyDescent="0.25">
      <c r="A808" s="5">
        <v>43785</v>
      </c>
      <c r="B808">
        <v>6.7000000000000002E-3</v>
      </c>
      <c r="C808">
        <v>7.0000000000000001E-3</v>
      </c>
      <c r="D808">
        <v>6.3299999999999997E-3</v>
      </c>
      <c r="E808">
        <v>6.6499999999999997E-3</v>
      </c>
      <c r="F808">
        <v>242320193.90000001</v>
      </c>
      <c r="G808">
        <v>0</v>
      </c>
      <c r="L808" t="s">
        <v>8</v>
      </c>
      <c r="M808" t="s">
        <v>8</v>
      </c>
      <c r="N808" t="s">
        <v>8</v>
      </c>
      <c r="P808">
        <f t="shared" si="1004"/>
        <v>-4.4776119402985808E-2</v>
      </c>
      <c r="Q808">
        <f t="shared" si="1005"/>
        <v>-10850157.935821073</v>
      </c>
      <c r="R808">
        <f t="shared" si="1006"/>
        <v>-1308040644.4326062</v>
      </c>
      <c r="S808">
        <f t="shared" si="1007"/>
        <v>-13080.406444326061</v>
      </c>
      <c r="T808">
        <f t="shared" si="1008"/>
        <v>-13.080406444326062</v>
      </c>
    </row>
    <row r="809" spans="1:20" x14ac:dyDescent="0.25">
      <c r="A809" s="5">
        <v>43784</v>
      </c>
      <c r="B809">
        <v>6.11E-3</v>
      </c>
      <c r="C809">
        <v>6.7499999999999999E-3</v>
      </c>
      <c r="D809">
        <v>5.9699999999999996E-3</v>
      </c>
      <c r="E809">
        <v>6.7000000000000002E-3</v>
      </c>
      <c r="F809">
        <v>245272902.80000001</v>
      </c>
      <c r="G809">
        <v>0</v>
      </c>
      <c r="L809" t="s">
        <v>8</v>
      </c>
      <c r="M809" t="s">
        <v>8</v>
      </c>
      <c r="N809" t="s">
        <v>8</v>
      </c>
      <c r="P809">
        <f t="shared" si="1004"/>
        <v>0.87179487179487258</v>
      </c>
      <c r="Q809">
        <f t="shared" si="1005"/>
        <v>213827658.85128227</v>
      </c>
      <c r="R809">
        <f t="shared" si="1006"/>
        <v>-1297190486.4967852</v>
      </c>
      <c r="S809">
        <f t="shared" si="1007"/>
        <v>-12971.904864967852</v>
      </c>
      <c r="T809">
        <f t="shared" si="1008"/>
        <v>-12.971904864967852</v>
      </c>
    </row>
    <row r="810" spans="1:20" x14ac:dyDescent="0.25">
      <c r="A810" s="5">
        <v>43783</v>
      </c>
      <c r="B810">
        <v>5.8399999999999997E-3</v>
      </c>
      <c r="C810">
        <v>6.2700000000000004E-3</v>
      </c>
      <c r="D810">
        <v>5.6299999999999996E-3</v>
      </c>
      <c r="E810">
        <v>6.0699999999999999E-3</v>
      </c>
      <c r="F810">
        <v>76052515.700000003</v>
      </c>
      <c r="G810">
        <v>0</v>
      </c>
      <c r="L810" t="s">
        <v>8</v>
      </c>
      <c r="M810" t="s">
        <v>7</v>
      </c>
      <c r="N810" t="s">
        <v>8</v>
      </c>
      <c r="P810">
        <f t="shared" si="1004"/>
        <v>0.37499999999999917</v>
      </c>
      <c r="Q810">
        <f t="shared" si="1005"/>
        <v>28519693.38749994</v>
      </c>
      <c r="R810">
        <f t="shared" si="1006"/>
        <v>-1511018145.3480675</v>
      </c>
      <c r="S810">
        <f t="shared" si="1007"/>
        <v>-15110.181453480674</v>
      </c>
      <c r="T810">
        <f t="shared" si="1008"/>
        <v>-15.110181453480674</v>
      </c>
    </row>
    <row r="811" spans="1:20" x14ac:dyDescent="0.25">
      <c r="A811" s="5">
        <v>43782</v>
      </c>
      <c r="B811">
        <v>5.8599999999999998E-3</v>
      </c>
      <c r="C811">
        <v>5.9800000000000001E-3</v>
      </c>
      <c r="D811">
        <v>5.7600000000000004E-3</v>
      </c>
      <c r="E811">
        <v>5.8399999999999997E-3</v>
      </c>
      <c r="F811">
        <v>26406255.699999999</v>
      </c>
      <c r="G811">
        <v>0</v>
      </c>
      <c r="L811" t="s">
        <v>7</v>
      </c>
      <c r="M811" t="s">
        <v>7</v>
      </c>
      <c r="N811" t="s">
        <v>8</v>
      </c>
      <c r="P811">
        <f t="shared" si="1004"/>
        <v>-0.27272727272727776</v>
      </c>
      <c r="Q811">
        <f t="shared" si="1005"/>
        <v>-7201706.1000001328</v>
      </c>
      <c r="R811">
        <f t="shared" si="1006"/>
        <v>-1539537838.7355676</v>
      </c>
      <c r="S811">
        <f t="shared" si="1007"/>
        <v>-15395.378387355675</v>
      </c>
      <c r="T811">
        <f t="shared" si="1008"/>
        <v>-15.395378387355676</v>
      </c>
    </row>
    <row r="812" spans="1:20" x14ac:dyDescent="0.25">
      <c r="A812" s="5">
        <v>43781</v>
      </c>
      <c r="B812">
        <v>5.7400000000000003E-3</v>
      </c>
      <c r="C812">
        <v>5.8700000000000002E-3</v>
      </c>
      <c r="D812">
        <v>5.6600000000000001E-3</v>
      </c>
      <c r="E812">
        <v>5.8399999999999997E-3</v>
      </c>
      <c r="F812">
        <v>48027796.700000003</v>
      </c>
      <c r="G812">
        <v>0</v>
      </c>
      <c r="L812" t="s">
        <v>7</v>
      </c>
      <c r="M812" t="s">
        <v>7</v>
      </c>
      <c r="N812" t="s">
        <v>8</v>
      </c>
      <c r="P812">
        <f t="shared" si="1004"/>
        <v>0.71428571428570953</v>
      </c>
      <c r="Q812">
        <f t="shared" si="1005"/>
        <v>34305569.071428344</v>
      </c>
      <c r="R812">
        <f t="shared" si="1006"/>
        <v>-1532336132.6355674</v>
      </c>
      <c r="S812">
        <f t="shared" si="1007"/>
        <v>-15323.361326355674</v>
      </c>
      <c r="T812">
        <f t="shared" si="1008"/>
        <v>-15.323361326355675</v>
      </c>
    </row>
    <row r="813" spans="1:20" x14ac:dyDescent="0.25">
      <c r="A813" s="5">
        <v>43780</v>
      </c>
      <c r="B813">
        <v>6.0400000000000002E-3</v>
      </c>
      <c r="C813">
        <v>6.0400000000000002E-3</v>
      </c>
      <c r="D813">
        <v>5.6499999999999996E-3</v>
      </c>
      <c r="E813">
        <v>5.7400000000000003E-3</v>
      </c>
      <c r="F813">
        <v>38000297.200000003</v>
      </c>
      <c r="G813">
        <v>0</v>
      </c>
      <c r="L813" t="s">
        <v>7</v>
      </c>
      <c r="M813" t="s">
        <v>7</v>
      </c>
      <c r="N813" t="s">
        <v>8</v>
      </c>
      <c r="P813">
        <f t="shared" si="1004"/>
        <v>-0.53846153846153577</v>
      </c>
      <c r="Q813">
        <f t="shared" si="1005"/>
        <v>-20461698.492307592</v>
      </c>
      <c r="R813">
        <f t="shared" si="1006"/>
        <v>-1566641701.7069957</v>
      </c>
      <c r="S813">
        <f t="shared" si="1007"/>
        <v>-15666.417017069958</v>
      </c>
      <c r="T813">
        <f t="shared" si="1008"/>
        <v>-15.666417017069959</v>
      </c>
    </row>
    <row r="814" spans="1:20" x14ac:dyDescent="0.25">
      <c r="A814" s="5">
        <v>43779</v>
      </c>
      <c r="B814">
        <v>6.0299999999999998E-3</v>
      </c>
      <c r="C814">
        <v>6.1000000000000004E-3</v>
      </c>
      <c r="D814">
        <v>5.8300000000000001E-3</v>
      </c>
      <c r="E814">
        <v>6.0499999999999998E-3</v>
      </c>
      <c r="F814">
        <v>33969137</v>
      </c>
      <c r="G814">
        <v>0</v>
      </c>
      <c r="L814" t="s">
        <v>7</v>
      </c>
      <c r="M814" t="s">
        <v>8</v>
      </c>
      <c r="N814" t="s">
        <v>8</v>
      </c>
      <c r="P814">
        <f t="shared" si="1004"/>
        <v>0.62962962962962588</v>
      </c>
      <c r="Q814">
        <f t="shared" si="1005"/>
        <v>21387975.148148019</v>
      </c>
      <c r="R814">
        <f t="shared" si="1006"/>
        <v>-1546180003.2146881</v>
      </c>
      <c r="S814">
        <f t="shared" si="1007"/>
        <v>-15461.800032146881</v>
      </c>
      <c r="T814">
        <f t="shared" si="1008"/>
        <v>-15.461800032146881</v>
      </c>
    </row>
    <row r="815" spans="1:20" x14ac:dyDescent="0.25">
      <c r="A815" s="5">
        <v>43778</v>
      </c>
      <c r="B815">
        <v>5.9899999999999997E-3</v>
      </c>
      <c r="C815">
        <v>6.0299999999999998E-3</v>
      </c>
      <c r="D815">
        <v>5.8799999999999998E-3</v>
      </c>
      <c r="E815">
        <v>6.0200000000000002E-3</v>
      </c>
      <c r="F815">
        <v>27111974.399999999</v>
      </c>
      <c r="G815">
        <v>0</v>
      </c>
      <c r="L815" t="s">
        <v>7</v>
      </c>
      <c r="M815" t="s">
        <v>8</v>
      </c>
      <c r="N815" t="s">
        <v>8</v>
      </c>
      <c r="P815">
        <f t="shared" si="1004"/>
        <v>0.86666666666667203</v>
      </c>
      <c r="Q815">
        <f t="shared" si="1005"/>
        <v>23497044.480000146</v>
      </c>
      <c r="R815">
        <f t="shared" si="1006"/>
        <v>-1567567978.3628361</v>
      </c>
      <c r="S815">
        <f t="shared" si="1007"/>
        <v>-15675.67978362836</v>
      </c>
      <c r="T815">
        <f t="shared" si="1008"/>
        <v>-15.675679783628361</v>
      </c>
    </row>
    <row r="816" spans="1:20" x14ac:dyDescent="0.25">
      <c r="A816" s="5">
        <v>43777</v>
      </c>
      <c r="B816">
        <v>6.5700000000000003E-3</v>
      </c>
      <c r="C816">
        <v>6.5700000000000003E-3</v>
      </c>
      <c r="D816">
        <v>5.7499999999999999E-3</v>
      </c>
      <c r="E816">
        <v>6.0000000000000001E-3</v>
      </c>
      <c r="F816">
        <v>93582951.599999994</v>
      </c>
      <c r="G816">
        <v>0</v>
      </c>
      <c r="L816" t="s">
        <v>7</v>
      </c>
      <c r="M816" t="s">
        <v>8</v>
      </c>
      <c r="N816" t="s">
        <v>8</v>
      </c>
      <c r="P816">
        <f t="shared" si="1004"/>
        <v>-0.39024390243902418</v>
      </c>
      <c r="Q816">
        <f t="shared" si="1005"/>
        <v>-36520176.234146319</v>
      </c>
      <c r="R816">
        <f t="shared" si="1006"/>
        <v>-1591065022.8428364</v>
      </c>
      <c r="S816">
        <f t="shared" si="1007"/>
        <v>-15910.650228428363</v>
      </c>
      <c r="T816">
        <f t="shared" si="1008"/>
        <v>-15.910650228428363</v>
      </c>
    </row>
    <row r="817" spans="1:20" x14ac:dyDescent="0.25">
      <c r="A817" s="5">
        <v>43776</v>
      </c>
      <c r="B817">
        <v>6.4099999999999999E-3</v>
      </c>
      <c r="C817">
        <v>6.6100000000000004E-3</v>
      </c>
      <c r="D817">
        <v>6.2399999999999999E-3</v>
      </c>
      <c r="E817">
        <v>6.5700000000000003E-3</v>
      </c>
      <c r="F817">
        <v>94176378.799999997</v>
      </c>
      <c r="G817">
        <v>0</v>
      </c>
      <c r="L817" t="s">
        <v>8</v>
      </c>
      <c r="M817" t="s">
        <v>8</v>
      </c>
      <c r="N817" t="s">
        <v>8</v>
      </c>
      <c r="P817">
        <f t="shared" si="1004"/>
        <v>0.78378378378378355</v>
      </c>
      <c r="Q817">
        <f t="shared" si="1005"/>
        <v>73813918.518918902</v>
      </c>
      <c r="R817">
        <f t="shared" si="1006"/>
        <v>-1554544846.60869</v>
      </c>
      <c r="S817">
        <f t="shared" si="1007"/>
        <v>-15545.4484660869</v>
      </c>
      <c r="T817">
        <f t="shared" si="1008"/>
        <v>-15.545448466086901</v>
      </c>
    </row>
    <row r="818" spans="1:20" x14ac:dyDescent="0.25">
      <c r="A818" s="5">
        <v>43775</v>
      </c>
      <c r="B818">
        <v>6.2399999999999999E-3</v>
      </c>
      <c r="C818">
        <v>6.5900000000000004E-3</v>
      </c>
      <c r="D818">
        <v>6.1999999999999998E-3</v>
      </c>
      <c r="E818">
        <v>6.4200000000000004E-3</v>
      </c>
      <c r="F818">
        <v>77724259.900000006</v>
      </c>
      <c r="G818">
        <v>0</v>
      </c>
      <c r="L818" t="s">
        <v>8</v>
      </c>
      <c r="M818" t="s">
        <v>8</v>
      </c>
      <c r="N818" t="s">
        <v>8</v>
      </c>
      <c r="P818">
        <f t="shared" si="1004"/>
        <v>0.12820512820512947</v>
      </c>
      <c r="Q818">
        <f t="shared" si="1005"/>
        <v>9964648.7051283047</v>
      </c>
      <c r="R818">
        <f t="shared" si="1006"/>
        <v>-1628358765.127609</v>
      </c>
      <c r="S818">
        <f t="shared" si="1007"/>
        <v>-16283.58765127609</v>
      </c>
      <c r="T818">
        <f t="shared" si="1008"/>
        <v>-16.28358765127609</v>
      </c>
    </row>
    <row r="819" spans="1:20" x14ac:dyDescent="0.25">
      <c r="A819" s="5">
        <v>43774</v>
      </c>
      <c r="B819">
        <v>6.0699999999999999E-3</v>
      </c>
      <c r="C819">
        <v>6.45E-3</v>
      </c>
      <c r="D819">
        <v>5.9699999999999996E-3</v>
      </c>
      <c r="E819">
        <v>6.2300000000000003E-3</v>
      </c>
      <c r="F819">
        <v>92715142.900000006</v>
      </c>
      <c r="G819">
        <v>0</v>
      </c>
      <c r="L819" t="s">
        <v>8</v>
      </c>
      <c r="M819" t="s">
        <v>8</v>
      </c>
      <c r="N819" t="s">
        <v>8</v>
      </c>
      <c r="P819">
        <f t="shared" si="1004"/>
        <v>8.3333333333335285E-2</v>
      </c>
      <c r="Q819">
        <f t="shared" si="1005"/>
        <v>7726261.9083335148</v>
      </c>
      <c r="R819">
        <f t="shared" si="1006"/>
        <v>-1638323413.8327372</v>
      </c>
      <c r="S819">
        <f t="shared" si="1007"/>
        <v>-16383.234138327372</v>
      </c>
      <c r="T819">
        <f t="shared" si="1008"/>
        <v>-16.383234138327371</v>
      </c>
    </row>
    <row r="820" spans="1:20" x14ac:dyDescent="0.25">
      <c r="A820" s="5">
        <v>43773</v>
      </c>
      <c r="B820">
        <v>5.9899999999999997E-3</v>
      </c>
      <c r="C820">
        <v>6.1500000000000001E-3</v>
      </c>
      <c r="D820">
        <v>5.9300000000000004E-3</v>
      </c>
      <c r="E820">
        <v>6.0699999999999999E-3</v>
      </c>
      <c r="F820">
        <v>56987430.799999997</v>
      </c>
      <c r="G820">
        <v>0</v>
      </c>
      <c r="L820" t="s">
        <v>7</v>
      </c>
      <c r="M820" t="s">
        <v>8</v>
      </c>
      <c r="N820" t="s">
        <v>8</v>
      </c>
      <c r="P820">
        <f t="shared" si="1004"/>
        <v>0.27272727272726988</v>
      </c>
      <c r="Q820">
        <f t="shared" si="1005"/>
        <v>15542026.581818018</v>
      </c>
      <c r="R820">
        <f t="shared" si="1006"/>
        <v>-1646049675.7410707</v>
      </c>
      <c r="S820">
        <f t="shared" si="1007"/>
        <v>-16460.496757410707</v>
      </c>
      <c r="T820">
        <f t="shared" si="1008"/>
        <v>-16.460496757410706</v>
      </c>
    </row>
    <row r="821" spans="1:20" x14ac:dyDescent="0.25">
      <c r="A821" s="5">
        <v>43772</v>
      </c>
      <c r="B821">
        <v>6.0899999999999999E-3</v>
      </c>
      <c r="C821">
        <v>6.1199999999999996E-3</v>
      </c>
      <c r="D821">
        <v>5.8999999999999999E-3</v>
      </c>
      <c r="E821">
        <v>5.9699999999999996E-3</v>
      </c>
      <c r="F821">
        <v>36528366.399999999</v>
      </c>
      <c r="G821">
        <v>0</v>
      </c>
      <c r="L821" t="s">
        <v>7</v>
      </c>
      <c r="M821" t="s">
        <v>8</v>
      </c>
      <c r="N821" t="s">
        <v>8</v>
      </c>
      <c r="P821">
        <f t="shared" si="1004"/>
        <v>-0.36363636363636509</v>
      </c>
      <c r="Q821">
        <f t="shared" si="1005"/>
        <v>-13283042.32727278</v>
      </c>
      <c r="R821">
        <f t="shared" si="1006"/>
        <v>-1661591702.3228889</v>
      </c>
      <c r="S821">
        <f t="shared" si="1007"/>
        <v>-16615.917023228889</v>
      </c>
      <c r="T821">
        <f t="shared" si="1008"/>
        <v>-16.615917023228889</v>
      </c>
    </row>
    <row r="822" spans="1:20" x14ac:dyDescent="0.25">
      <c r="A822" s="5">
        <v>43771</v>
      </c>
      <c r="B822">
        <v>6.3200000000000001E-3</v>
      </c>
      <c r="C822">
        <v>6.3600000000000002E-3</v>
      </c>
      <c r="D822">
        <v>6.0099999999999997E-3</v>
      </c>
      <c r="E822">
        <v>6.0699999999999999E-3</v>
      </c>
      <c r="F822">
        <v>61276712.299999997</v>
      </c>
      <c r="G822">
        <v>0</v>
      </c>
      <c r="L822" t="s">
        <v>7</v>
      </c>
      <c r="M822" t="s">
        <v>8</v>
      </c>
      <c r="N822" t="s">
        <v>8</v>
      </c>
      <c r="P822">
        <f t="shared" si="1004"/>
        <v>-0.6571428571428567</v>
      </c>
      <c r="Q822">
        <f t="shared" si="1005"/>
        <v>-40267553.797142826</v>
      </c>
      <c r="R822">
        <f t="shared" si="1006"/>
        <v>-1648308659.995616</v>
      </c>
      <c r="S822">
        <f t="shared" si="1007"/>
        <v>-16483.086599956161</v>
      </c>
      <c r="T822">
        <f t="shared" si="1008"/>
        <v>-16.48308659995616</v>
      </c>
    </row>
    <row r="823" spans="1:20" x14ac:dyDescent="0.25">
      <c r="A823" s="5">
        <v>43770</v>
      </c>
      <c r="B823">
        <v>5.62E-3</v>
      </c>
      <c r="C823">
        <v>6.6600000000000001E-3</v>
      </c>
      <c r="D823">
        <v>5.6100000000000004E-3</v>
      </c>
      <c r="E823">
        <v>6.3200000000000001E-3</v>
      </c>
      <c r="F823">
        <v>228560171.80000001</v>
      </c>
      <c r="G823">
        <v>0</v>
      </c>
      <c r="L823" t="s">
        <v>8</v>
      </c>
      <c r="M823" t="s">
        <v>8</v>
      </c>
      <c r="N823" t="s">
        <v>8</v>
      </c>
      <c r="P823">
        <f t="shared" si="1004"/>
        <v>0.35238095238095218</v>
      </c>
      <c r="Q823">
        <f t="shared" si="1005"/>
        <v>80540251.015238062</v>
      </c>
      <c r="R823">
        <f t="shared" si="1006"/>
        <v>-1608041106.1984732</v>
      </c>
      <c r="S823">
        <f t="shared" si="1007"/>
        <v>-16080.411061984732</v>
      </c>
      <c r="T823">
        <f t="shared" si="1008"/>
        <v>-16.080411061984734</v>
      </c>
    </row>
    <row r="824" spans="1:20" x14ac:dyDescent="0.25">
      <c r="A824" s="5">
        <v>43769</v>
      </c>
      <c r="B824">
        <v>5.5900000000000004E-3</v>
      </c>
      <c r="C824">
        <v>5.6899999999999997E-3</v>
      </c>
      <c r="D824">
        <v>5.28E-3</v>
      </c>
      <c r="E824">
        <v>5.6100000000000004E-3</v>
      </c>
      <c r="F824">
        <v>41439146.399999999</v>
      </c>
      <c r="G824">
        <v>0</v>
      </c>
      <c r="L824" t="s">
        <v>7</v>
      </c>
      <c r="M824" t="s">
        <v>8</v>
      </c>
      <c r="N824" t="s">
        <v>7</v>
      </c>
      <c r="P824">
        <f t="shared" si="1004"/>
        <v>0.60975609756097859</v>
      </c>
      <c r="Q824">
        <f t="shared" si="1005"/>
        <v>25267772.195122074</v>
      </c>
      <c r="R824">
        <f t="shared" si="1006"/>
        <v>-1688581357.2137113</v>
      </c>
      <c r="S824">
        <f t="shared" si="1007"/>
        <v>-16885.813572137111</v>
      </c>
      <c r="T824">
        <f t="shared" si="1008"/>
        <v>-16.88581357213711</v>
      </c>
    </row>
    <row r="825" spans="1:20" x14ac:dyDescent="0.25">
      <c r="A825" s="5">
        <v>43768</v>
      </c>
      <c r="B825">
        <v>5.6499999999999996E-3</v>
      </c>
      <c r="C825">
        <v>5.8199999999999997E-3</v>
      </c>
      <c r="D825">
        <v>5.4200000000000003E-3</v>
      </c>
      <c r="E825">
        <v>5.5599999999999998E-3</v>
      </c>
      <c r="F825">
        <v>61373964.600000001</v>
      </c>
      <c r="G825">
        <v>0</v>
      </c>
      <c r="L825" t="s">
        <v>8</v>
      </c>
      <c r="M825" t="s">
        <v>8</v>
      </c>
      <c r="N825" t="s">
        <v>7</v>
      </c>
      <c r="P825">
        <f t="shared" si="1004"/>
        <v>-0.30000000000000132</v>
      </c>
      <c r="Q825">
        <f t="shared" si="1005"/>
        <v>-18412189.380000081</v>
      </c>
      <c r="R825">
        <f t="shared" si="1006"/>
        <v>-1713849129.4088333</v>
      </c>
      <c r="S825">
        <f t="shared" si="1007"/>
        <v>-17138.491294088333</v>
      </c>
      <c r="T825">
        <f t="shared" si="1008"/>
        <v>-17.138491294088332</v>
      </c>
    </row>
    <row r="826" spans="1:20" x14ac:dyDescent="0.25">
      <c r="A826" s="5">
        <v>43767</v>
      </c>
      <c r="B826">
        <v>5.5999999999999999E-3</v>
      </c>
      <c r="C826">
        <v>5.8100000000000001E-3</v>
      </c>
      <c r="D826">
        <v>5.4200000000000003E-3</v>
      </c>
      <c r="E826">
        <v>5.6299999999999996E-3</v>
      </c>
      <c r="F826">
        <v>64549379.200000003</v>
      </c>
      <c r="G826">
        <v>0</v>
      </c>
      <c r="L826" t="s">
        <v>7</v>
      </c>
      <c r="M826" t="s">
        <v>8</v>
      </c>
      <c r="N826" t="s">
        <v>7</v>
      </c>
      <c r="P826">
        <f t="shared" si="1004"/>
        <v>7.6923076923073846E-2</v>
      </c>
      <c r="Q826">
        <f t="shared" si="1005"/>
        <v>4965336.861538263</v>
      </c>
      <c r="R826">
        <f t="shared" si="1006"/>
        <v>-1695436940.0288332</v>
      </c>
      <c r="S826">
        <f t="shared" si="1007"/>
        <v>-16954.369400288331</v>
      </c>
      <c r="T826">
        <f t="shared" si="1008"/>
        <v>-16.954369400288332</v>
      </c>
    </row>
    <row r="827" spans="1:20" x14ac:dyDescent="0.25">
      <c r="A827" s="5">
        <v>43766</v>
      </c>
      <c r="B827">
        <v>5.7000000000000002E-3</v>
      </c>
      <c r="C827">
        <v>6.2100000000000002E-3</v>
      </c>
      <c r="D827">
        <v>5.5799999999999999E-3</v>
      </c>
      <c r="E827">
        <v>5.62E-3</v>
      </c>
      <c r="F827">
        <v>125290443.90000001</v>
      </c>
      <c r="G827">
        <v>0</v>
      </c>
      <c r="L827" t="s">
        <v>7</v>
      </c>
      <c r="M827" t="s">
        <v>8</v>
      </c>
      <c r="N827" t="s">
        <v>7</v>
      </c>
      <c r="P827">
        <f t="shared" si="1004"/>
        <v>-0.8730158730158728</v>
      </c>
      <c r="Q827">
        <f t="shared" si="1005"/>
        <v>-109380546.26190475</v>
      </c>
      <c r="R827">
        <f t="shared" si="1006"/>
        <v>-1700402276.8903713</v>
      </c>
      <c r="S827">
        <f t="shared" si="1007"/>
        <v>-17004.022768903713</v>
      </c>
      <c r="T827">
        <f t="shared" si="1008"/>
        <v>-17.004022768903713</v>
      </c>
    </row>
    <row r="828" spans="1:20" x14ac:dyDescent="0.25">
      <c r="A828" s="5">
        <v>43765</v>
      </c>
      <c r="B828">
        <v>5.1599999999999997E-3</v>
      </c>
      <c r="C828">
        <v>6.1999999999999998E-3</v>
      </c>
      <c r="D828">
        <v>5.1000000000000004E-3</v>
      </c>
      <c r="E828">
        <v>5.6800000000000002E-3</v>
      </c>
      <c r="F828">
        <v>179748975.80000001</v>
      </c>
      <c r="G828">
        <v>0</v>
      </c>
      <c r="L828" t="s">
        <v>8</v>
      </c>
      <c r="M828" t="s">
        <v>8</v>
      </c>
      <c r="N828" t="s">
        <v>7</v>
      </c>
      <c r="P828">
        <f t="shared" si="1004"/>
        <v>5.4545454545454716E-2</v>
      </c>
      <c r="Q828">
        <f t="shared" si="1005"/>
        <v>9804489.5890909396</v>
      </c>
      <c r="R828">
        <f t="shared" si="1006"/>
        <v>-1591021730.6284666</v>
      </c>
      <c r="S828">
        <f t="shared" si="1007"/>
        <v>-15910.217306284667</v>
      </c>
      <c r="T828">
        <f t="shared" si="1008"/>
        <v>-15.910217306284666</v>
      </c>
    </row>
    <row r="829" spans="1:20" x14ac:dyDescent="0.25">
      <c r="A829" s="5">
        <v>43764</v>
      </c>
      <c r="B829">
        <v>5.2399999999999999E-3</v>
      </c>
      <c r="C829">
        <v>5.4900000000000001E-3</v>
      </c>
      <c r="D829">
        <v>5.0000000000000001E-3</v>
      </c>
      <c r="E829">
        <v>5.1599999999999997E-3</v>
      </c>
      <c r="F829">
        <v>90059343.099999994</v>
      </c>
      <c r="G829">
        <v>0</v>
      </c>
      <c r="L829" t="s">
        <v>8</v>
      </c>
      <c r="M829" t="s">
        <v>8</v>
      </c>
      <c r="N829" t="s">
        <v>7</v>
      </c>
      <c r="P829">
        <f t="shared" si="1004"/>
        <v>-0.34693877551020591</v>
      </c>
      <c r="Q829">
        <f t="shared" si="1005"/>
        <v>-31245078.21836751</v>
      </c>
      <c r="R829">
        <f t="shared" si="1006"/>
        <v>-1600826220.2175574</v>
      </c>
      <c r="S829">
        <f t="shared" si="1007"/>
        <v>-16008.262202175574</v>
      </c>
      <c r="T829">
        <f t="shared" si="1008"/>
        <v>-16.008262202175572</v>
      </c>
    </row>
    <row r="830" spans="1:20" x14ac:dyDescent="0.25">
      <c r="A830" s="5">
        <v>43763</v>
      </c>
      <c r="B830">
        <v>4.8399999999999997E-3</v>
      </c>
      <c r="C830">
        <v>5.3800000000000002E-3</v>
      </c>
      <c r="D830">
        <v>4.8199999999999996E-3</v>
      </c>
      <c r="E830">
        <v>5.2399999999999999E-3</v>
      </c>
      <c r="F830">
        <v>54814561.799999997</v>
      </c>
      <c r="G830">
        <v>0</v>
      </c>
      <c r="L830" t="s">
        <v>8</v>
      </c>
      <c r="M830" t="s">
        <v>7</v>
      </c>
      <c r="N830" t="s">
        <v>7</v>
      </c>
      <c r="P830">
        <f t="shared" si="1004"/>
        <v>0.49999999999999922</v>
      </c>
      <c r="Q830">
        <f t="shared" si="1005"/>
        <v>27407280.899999958</v>
      </c>
      <c r="R830">
        <f t="shared" si="1006"/>
        <v>-1569581141.9991899</v>
      </c>
      <c r="S830">
        <f t="shared" si="1007"/>
        <v>-15695.811419991898</v>
      </c>
      <c r="T830">
        <f t="shared" si="1008"/>
        <v>-15.695811419991898</v>
      </c>
    </row>
    <row r="831" spans="1:20" x14ac:dyDescent="0.25">
      <c r="A831" s="5">
        <v>43762</v>
      </c>
      <c r="B831">
        <v>4.7699999999999999E-3</v>
      </c>
      <c r="C831">
        <v>4.9899999999999996E-3</v>
      </c>
      <c r="D831">
        <v>4.6600000000000001E-3</v>
      </c>
      <c r="E831">
        <v>4.8399999999999997E-3</v>
      </c>
      <c r="F831">
        <v>34710090.799999997</v>
      </c>
      <c r="G831">
        <v>0</v>
      </c>
      <c r="L831" t="s">
        <v>8</v>
      </c>
      <c r="M831" t="s">
        <v>7</v>
      </c>
      <c r="N831" t="s">
        <v>7</v>
      </c>
      <c r="P831">
        <f t="shared" ref="P831:P894" si="1009">IF(C831=D831,0,((E831-D831)-(C831-E831))/(C831-D831))</f>
        <v>9.0909090909089954E-2</v>
      </c>
      <c r="Q831">
        <f t="shared" ref="Q831:Q894" si="1010">F831*P831</f>
        <v>3155462.7999999668</v>
      </c>
      <c r="R831">
        <f t="shared" ref="R831:R894" si="1011">R832+Q831</f>
        <v>-1596988422.8991897</v>
      </c>
      <c r="S831">
        <f t="shared" ref="S831:S894" si="1012">R831/100000</f>
        <v>-15969.884228991898</v>
      </c>
      <c r="T831">
        <f t="shared" ref="T831:T894" si="1013">S831/1000</f>
        <v>-15.969884228991898</v>
      </c>
    </row>
    <row r="832" spans="1:20" x14ac:dyDescent="0.25">
      <c r="A832" s="5">
        <v>43761</v>
      </c>
      <c r="B832">
        <v>5.1799999999999997E-3</v>
      </c>
      <c r="C832">
        <v>5.2300000000000003E-3</v>
      </c>
      <c r="D832">
        <v>4.5900000000000003E-3</v>
      </c>
      <c r="E832">
        <v>4.7600000000000003E-3</v>
      </c>
      <c r="F832">
        <v>39855568.700000003</v>
      </c>
      <c r="G832">
        <v>0</v>
      </c>
      <c r="L832" t="s">
        <v>7</v>
      </c>
      <c r="M832" t="s">
        <v>7</v>
      </c>
      <c r="N832" t="s">
        <v>7</v>
      </c>
      <c r="P832">
        <f t="shared" si="1009"/>
        <v>-0.46874999999999989</v>
      </c>
      <c r="Q832">
        <f t="shared" si="1010"/>
        <v>-18682297.828124996</v>
      </c>
      <c r="R832">
        <f t="shared" si="1011"/>
        <v>-1600143885.6991897</v>
      </c>
      <c r="S832">
        <f t="shared" si="1012"/>
        <v>-16001.438856991897</v>
      </c>
      <c r="T832">
        <f t="shared" si="1013"/>
        <v>-16.001438856991896</v>
      </c>
    </row>
    <row r="833" spans="1:20" x14ac:dyDescent="0.25">
      <c r="A833" s="5">
        <v>43760</v>
      </c>
      <c r="B833">
        <v>5.3499999999999997E-3</v>
      </c>
      <c r="C833">
        <v>5.4000000000000003E-3</v>
      </c>
      <c r="D833">
        <v>5.1500000000000001E-3</v>
      </c>
      <c r="E833">
        <v>5.2100000000000002E-3</v>
      </c>
      <c r="F833">
        <v>30041331.5</v>
      </c>
      <c r="G833">
        <v>0</v>
      </c>
      <c r="L833" t="s">
        <v>8</v>
      </c>
      <c r="M833" t="s">
        <v>7</v>
      </c>
      <c r="N833" t="s">
        <v>8</v>
      </c>
      <c r="P833">
        <f t="shared" si="1009"/>
        <v>-0.51999999999999913</v>
      </c>
      <c r="Q833">
        <f t="shared" si="1010"/>
        <v>-15621492.379999975</v>
      </c>
      <c r="R833">
        <f t="shared" si="1011"/>
        <v>-1581461587.8710647</v>
      </c>
      <c r="S833">
        <f t="shared" si="1012"/>
        <v>-15814.615878710647</v>
      </c>
      <c r="T833">
        <f t="shared" si="1013"/>
        <v>-15.814615878710647</v>
      </c>
    </row>
    <row r="834" spans="1:20" x14ac:dyDescent="0.25">
      <c r="A834" s="5">
        <v>43759</v>
      </c>
      <c r="B834">
        <v>5.1999999999999998E-3</v>
      </c>
      <c r="C834">
        <v>5.3699999999999998E-3</v>
      </c>
      <c r="D834">
        <v>5.1599999999999997E-3</v>
      </c>
      <c r="E834">
        <v>5.3699999999999998E-3</v>
      </c>
      <c r="F834">
        <v>23988082.399999999</v>
      </c>
      <c r="G834">
        <v>0</v>
      </c>
      <c r="L834" t="s">
        <v>8</v>
      </c>
      <c r="M834" t="s">
        <v>7</v>
      </c>
      <c r="N834" t="s">
        <v>8</v>
      </c>
      <c r="P834">
        <f t="shared" si="1009"/>
        <v>1</v>
      </c>
      <c r="Q834">
        <f t="shared" si="1010"/>
        <v>23988082.399999999</v>
      </c>
      <c r="R834">
        <f t="shared" si="1011"/>
        <v>-1565840095.4910648</v>
      </c>
      <c r="S834">
        <f t="shared" si="1012"/>
        <v>-15658.400954910649</v>
      </c>
      <c r="T834">
        <f t="shared" si="1013"/>
        <v>-15.658400954910649</v>
      </c>
    </row>
    <row r="835" spans="1:20" x14ac:dyDescent="0.25">
      <c r="A835" s="5">
        <v>43758</v>
      </c>
      <c r="B835">
        <v>5.13E-3</v>
      </c>
      <c r="C835">
        <v>5.2500000000000003E-3</v>
      </c>
      <c r="D835">
        <v>5.0800000000000003E-3</v>
      </c>
      <c r="E835">
        <v>5.1999999999999998E-3</v>
      </c>
      <c r="F835">
        <v>16658622.9</v>
      </c>
      <c r="G835">
        <v>0</v>
      </c>
      <c r="L835" t="s">
        <v>7</v>
      </c>
      <c r="M835" t="s">
        <v>7</v>
      </c>
      <c r="N835" t="s">
        <v>8</v>
      </c>
      <c r="P835">
        <f t="shared" si="1009"/>
        <v>0.41176470588234632</v>
      </c>
      <c r="Q835">
        <f t="shared" si="1010"/>
        <v>6859432.9588234192</v>
      </c>
      <c r="R835">
        <f t="shared" si="1011"/>
        <v>-1589828177.8910649</v>
      </c>
      <c r="S835">
        <f t="shared" si="1012"/>
        <v>-15898.281778910648</v>
      </c>
      <c r="T835">
        <f t="shared" si="1013"/>
        <v>-15.898281778910649</v>
      </c>
    </row>
    <row r="836" spans="1:20" x14ac:dyDescent="0.25">
      <c r="A836" s="5">
        <v>43757</v>
      </c>
      <c r="B836">
        <v>5.1999999999999998E-3</v>
      </c>
      <c r="C836">
        <v>5.2700000000000004E-3</v>
      </c>
      <c r="D836">
        <v>5.11E-3</v>
      </c>
      <c r="E836">
        <v>5.1399999999999996E-3</v>
      </c>
      <c r="F836">
        <v>20046484.300000001</v>
      </c>
      <c r="G836">
        <v>0</v>
      </c>
      <c r="L836" t="s">
        <v>7</v>
      </c>
      <c r="M836" t="s">
        <v>7</v>
      </c>
      <c r="N836" t="s">
        <v>8</v>
      </c>
      <c r="P836">
        <f t="shared" si="1009"/>
        <v>-0.62500000000000544</v>
      </c>
      <c r="Q836">
        <f t="shared" si="1010"/>
        <v>-12529052.68750011</v>
      </c>
      <c r="R836">
        <f t="shared" si="1011"/>
        <v>-1596687610.8498883</v>
      </c>
      <c r="S836">
        <f t="shared" si="1012"/>
        <v>-15966.876108498884</v>
      </c>
      <c r="T836">
        <f t="shared" si="1013"/>
        <v>-15.966876108498884</v>
      </c>
    </row>
    <row r="837" spans="1:20" x14ac:dyDescent="0.25">
      <c r="A837" s="5">
        <v>43756</v>
      </c>
      <c r="B837">
        <v>5.3499999999999997E-3</v>
      </c>
      <c r="C837">
        <v>5.4099999999999999E-3</v>
      </c>
      <c r="D837">
        <v>5.0299999999999997E-3</v>
      </c>
      <c r="E837">
        <v>5.1700000000000001E-3</v>
      </c>
      <c r="F837">
        <v>42074248.399999999</v>
      </c>
      <c r="G837">
        <v>0</v>
      </c>
      <c r="L837" t="s">
        <v>7</v>
      </c>
      <c r="M837" t="s">
        <v>7</v>
      </c>
      <c r="N837" t="s">
        <v>8</v>
      </c>
      <c r="P837">
        <f t="shared" si="1009"/>
        <v>-0.26315789473684043</v>
      </c>
      <c r="Q837">
        <f t="shared" si="1010"/>
        <v>-11072170.631578876</v>
      </c>
      <c r="R837">
        <f t="shared" si="1011"/>
        <v>-1584158558.1623883</v>
      </c>
      <c r="S837">
        <f t="shared" si="1012"/>
        <v>-15841.585581623884</v>
      </c>
      <c r="T837">
        <f t="shared" si="1013"/>
        <v>-15.841585581623884</v>
      </c>
    </row>
    <row r="838" spans="1:20" x14ac:dyDescent="0.25">
      <c r="A838" s="5">
        <v>43755</v>
      </c>
      <c r="B838">
        <v>5.1599999999999997E-3</v>
      </c>
      <c r="C838">
        <v>5.47E-3</v>
      </c>
      <c r="D838">
        <v>5.0899999999999999E-3</v>
      </c>
      <c r="E838">
        <v>5.3600000000000002E-3</v>
      </c>
      <c r="F838">
        <v>33317201.199999999</v>
      </c>
      <c r="G838">
        <v>0</v>
      </c>
      <c r="L838" t="s">
        <v>8</v>
      </c>
      <c r="M838" t="s">
        <v>7</v>
      </c>
      <c r="N838" t="s">
        <v>8</v>
      </c>
      <c r="P838">
        <f t="shared" si="1009"/>
        <v>0.42105263157894834</v>
      </c>
      <c r="Q838">
        <f t="shared" si="1010"/>
        <v>14028295.242105296</v>
      </c>
      <c r="R838">
        <f t="shared" si="1011"/>
        <v>-1573086387.5308094</v>
      </c>
      <c r="S838">
        <f t="shared" si="1012"/>
        <v>-15730.863875308094</v>
      </c>
      <c r="T838">
        <f t="shared" si="1013"/>
        <v>-15.730863875308094</v>
      </c>
    </row>
    <row r="839" spans="1:20" x14ac:dyDescent="0.25">
      <c r="A839" s="5">
        <v>43754</v>
      </c>
      <c r="B839">
        <v>5.5599999999999998E-3</v>
      </c>
      <c r="C839">
        <v>5.5700000000000003E-3</v>
      </c>
      <c r="D839">
        <v>5.0099999999999997E-3</v>
      </c>
      <c r="E839">
        <v>5.1599999999999997E-3</v>
      </c>
      <c r="F839">
        <v>41885115.799999997</v>
      </c>
      <c r="G839">
        <v>0</v>
      </c>
      <c r="L839" t="s">
        <v>7</v>
      </c>
      <c r="M839" t="s">
        <v>7</v>
      </c>
      <c r="N839" t="s">
        <v>8</v>
      </c>
      <c r="P839">
        <f t="shared" si="1009"/>
        <v>-0.46428571428571502</v>
      </c>
      <c r="Q839">
        <f t="shared" si="1010"/>
        <v>-19446660.907142885</v>
      </c>
      <c r="R839">
        <f t="shared" si="1011"/>
        <v>-1587114682.7729146</v>
      </c>
      <c r="S839">
        <f t="shared" si="1012"/>
        <v>-15871.146827729146</v>
      </c>
      <c r="T839">
        <f t="shared" si="1013"/>
        <v>-15.871146827729145</v>
      </c>
    </row>
    <row r="840" spans="1:20" x14ac:dyDescent="0.25">
      <c r="A840" s="5">
        <v>43753</v>
      </c>
      <c r="B840">
        <v>5.7299999999999999E-3</v>
      </c>
      <c r="C840">
        <v>5.7800000000000004E-3</v>
      </c>
      <c r="D840">
        <v>5.5300000000000002E-3</v>
      </c>
      <c r="E840">
        <v>5.5599999999999998E-3</v>
      </c>
      <c r="F840">
        <v>26693537.899999999</v>
      </c>
      <c r="G840">
        <v>0</v>
      </c>
      <c r="L840" t="s">
        <v>7</v>
      </c>
      <c r="M840" t="s">
        <v>8</v>
      </c>
      <c r="N840" t="s">
        <v>8</v>
      </c>
      <c r="P840">
        <f t="shared" si="1009"/>
        <v>-0.76000000000000301</v>
      </c>
      <c r="Q840">
        <f t="shared" si="1010"/>
        <v>-20287088.80400008</v>
      </c>
      <c r="R840">
        <f t="shared" si="1011"/>
        <v>-1567668021.8657718</v>
      </c>
      <c r="S840">
        <f t="shared" si="1012"/>
        <v>-15676.680218657717</v>
      </c>
      <c r="T840">
        <f t="shared" si="1013"/>
        <v>-15.676680218657717</v>
      </c>
    </row>
    <row r="841" spans="1:20" x14ac:dyDescent="0.25">
      <c r="A841" s="5">
        <v>43752</v>
      </c>
      <c r="B841">
        <v>5.6800000000000002E-3</v>
      </c>
      <c r="C841">
        <v>5.79E-3</v>
      </c>
      <c r="D841">
        <v>5.62E-3</v>
      </c>
      <c r="E841">
        <v>5.7299999999999999E-3</v>
      </c>
      <c r="F841">
        <v>30679018.100000001</v>
      </c>
      <c r="G841">
        <v>0</v>
      </c>
      <c r="L841" t="s">
        <v>7</v>
      </c>
      <c r="M841" t="s">
        <v>8</v>
      </c>
      <c r="N841" t="s">
        <v>8</v>
      </c>
      <c r="P841">
        <f t="shared" si="1009"/>
        <v>0.29411764705882171</v>
      </c>
      <c r="Q841">
        <f t="shared" si="1010"/>
        <v>9023240.6176470034</v>
      </c>
      <c r="R841">
        <f t="shared" si="1011"/>
        <v>-1547380933.0617716</v>
      </c>
      <c r="S841">
        <f t="shared" si="1012"/>
        <v>-15473.809330617716</v>
      </c>
      <c r="T841">
        <f t="shared" si="1013"/>
        <v>-15.473809330617716</v>
      </c>
    </row>
    <row r="842" spans="1:20" x14ac:dyDescent="0.25">
      <c r="A842" s="5">
        <v>43751</v>
      </c>
      <c r="B842">
        <v>5.7499999999999999E-3</v>
      </c>
      <c r="C842">
        <v>5.8500000000000002E-3</v>
      </c>
      <c r="D842">
        <v>5.5500000000000002E-3</v>
      </c>
      <c r="E842">
        <v>5.7099999999999998E-3</v>
      </c>
      <c r="F842">
        <v>18150636.300000001</v>
      </c>
      <c r="G842">
        <v>0</v>
      </c>
      <c r="L842" t="s">
        <v>7</v>
      </c>
      <c r="M842" t="s">
        <v>8</v>
      </c>
      <c r="N842" t="s">
        <v>8</v>
      </c>
      <c r="P842">
        <f t="shared" si="1009"/>
        <v>6.6666666666663973E-2</v>
      </c>
      <c r="Q842">
        <f t="shared" si="1010"/>
        <v>1210042.4199999513</v>
      </c>
      <c r="R842">
        <f t="shared" si="1011"/>
        <v>-1556404173.6794186</v>
      </c>
      <c r="S842">
        <f t="shared" si="1012"/>
        <v>-15564.041736794186</v>
      </c>
      <c r="T842">
        <f t="shared" si="1013"/>
        <v>-15.564041736794186</v>
      </c>
    </row>
    <row r="843" spans="1:20" x14ac:dyDescent="0.25">
      <c r="A843" s="5">
        <v>43750</v>
      </c>
      <c r="B843">
        <v>5.96E-3</v>
      </c>
      <c r="C843">
        <v>6.0000000000000001E-3</v>
      </c>
      <c r="D843">
        <v>5.6699999999999997E-3</v>
      </c>
      <c r="E843">
        <v>5.7800000000000004E-3</v>
      </c>
      <c r="F843">
        <v>33977908.399999999</v>
      </c>
      <c r="G843">
        <v>0</v>
      </c>
      <c r="L843" t="s">
        <v>8</v>
      </c>
      <c r="M843" t="s">
        <v>8</v>
      </c>
      <c r="N843" t="s">
        <v>8</v>
      </c>
      <c r="P843">
        <f t="shared" si="1009"/>
        <v>-0.33333333333332982</v>
      </c>
      <c r="Q843">
        <f t="shared" si="1010"/>
        <v>-11325969.466666548</v>
      </c>
      <c r="R843">
        <f t="shared" si="1011"/>
        <v>-1557614216.0994184</v>
      </c>
      <c r="S843">
        <f t="shared" si="1012"/>
        <v>-15576.142160994184</v>
      </c>
      <c r="T843">
        <f t="shared" si="1013"/>
        <v>-15.576142160994184</v>
      </c>
    </row>
    <row r="844" spans="1:20" x14ac:dyDescent="0.25">
      <c r="A844" s="5">
        <v>43749</v>
      </c>
      <c r="B844">
        <v>5.8100000000000001E-3</v>
      </c>
      <c r="C844">
        <v>6.1000000000000004E-3</v>
      </c>
      <c r="D844">
        <v>5.4999999999999997E-3</v>
      </c>
      <c r="E844">
        <v>5.96E-3</v>
      </c>
      <c r="F844">
        <v>83650651.599999994</v>
      </c>
      <c r="G844">
        <v>0</v>
      </c>
      <c r="L844" t="s">
        <v>7</v>
      </c>
      <c r="M844" t="s">
        <v>8</v>
      </c>
      <c r="N844" t="s">
        <v>8</v>
      </c>
      <c r="P844">
        <f t="shared" si="1009"/>
        <v>0.53333333333333266</v>
      </c>
      <c r="Q844">
        <f t="shared" si="1010"/>
        <v>44613680.853333272</v>
      </c>
      <c r="R844">
        <f t="shared" si="1011"/>
        <v>-1546288246.6327519</v>
      </c>
      <c r="S844">
        <f t="shared" si="1012"/>
        <v>-15462.882466327519</v>
      </c>
      <c r="T844">
        <f t="shared" si="1013"/>
        <v>-15.462882466327519</v>
      </c>
    </row>
    <row r="845" spans="1:20" x14ac:dyDescent="0.25">
      <c r="A845" s="5">
        <v>43748</v>
      </c>
      <c r="B845">
        <v>6.1399999999999996E-3</v>
      </c>
      <c r="C845">
        <v>6.2199999999999998E-3</v>
      </c>
      <c r="D845">
        <v>5.6600000000000001E-3</v>
      </c>
      <c r="E845">
        <v>5.8100000000000001E-3</v>
      </c>
      <c r="F845">
        <v>46497375.600000001</v>
      </c>
      <c r="G845">
        <v>0</v>
      </c>
      <c r="L845" t="s">
        <v>7</v>
      </c>
      <c r="M845" t="s">
        <v>8</v>
      </c>
      <c r="N845" t="s">
        <v>8</v>
      </c>
      <c r="P845">
        <f t="shared" si="1009"/>
        <v>-0.46428571428571419</v>
      </c>
      <c r="Q845">
        <f t="shared" si="1010"/>
        <v>-21588067.24285714</v>
      </c>
      <c r="R845">
        <f t="shared" si="1011"/>
        <v>-1590901927.4860852</v>
      </c>
      <c r="S845">
        <f t="shared" si="1012"/>
        <v>-15909.019274860852</v>
      </c>
      <c r="T845">
        <f t="shared" si="1013"/>
        <v>-15.909019274860851</v>
      </c>
    </row>
    <row r="846" spans="1:20" x14ac:dyDescent="0.25">
      <c r="A846" s="5">
        <v>43747</v>
      </c>
      <c r="B846">
        <v>6.13E-3</v>
      </c>
      <c r="C846">
        <v>6.43E-3</v>
      </c>
      <c r="D846">
        <v>5.9500000000000004E-3</v>
      </c>
      <c r="E846">
        <v>6.1199999999999996E-3</v>
      </c>
      <c r="F846">
        <v>67438148.900000006</v>
      </c>
      <c r="G846">
        <v>0</v>
      </c>
      <c r="L846" t="s">
        <v>8</v>
      </c>
      <c r="M846" t="s">
        <v>8</v>
      </c>
      <c r="N846" t="s">
        <v>8</v>
      </c>
      <c r="P846">
        <f t="shared" si="1009"/>
        <v>-0.29166666666666952</v>
      </c>
      <c r="Q846">
        <f t="shared" si="1010"/>
        <v>-19669460.095833529</v>
      </c>
      <c r="R846">
        <f t="shared" si="1011"/>
        <v>-1569313860.243228</v>
      </c>
      <c r="S846">
        <f t="shared" si="1012"/>
        <v>-15693.13860243228</v>
      </c>
      <c r="T846">
        <f t="shared" si="1013"/>
        <v>-15.693138602432279</v>
      </c>
    </row>
    <row r="847" spans="1:20" x14ac:dyDescent="0.25">
      <c r="A847" s="5">
        <v>43746</v>
      </c>
      <c r="B847">
        <v>5.7999999999999996E-3</v>
      </c>
      <c r="C847">
        <v>6.3099999999999996E-3</v>
      </c>
      <c r="D847">
        <v>5.7000000000000002E-3</v>
      </c>
      <c r="E847">
        <v>6.13E-3</v>
      </c>
      <c r="F847">
        <v>99098179</v>
      </c>
      <c r="G847">
        <v>0</v>
      </c>
      <c r="L847" t="s">
        <v>8</v>
      </c>
      <c r="M847" t="s">
        <v>8</v>
      </c>
      <c r="N847" t="s">
        <v>7</v>
      </c>
      <c r="P847">
        <f t="shared" si="1009"/>
        <v>0.40983606557377122</v>
      </c>
      <c r="Q847">
        <f t="shared" si="1010"/>
        <v>40614007.786885321</v>
      </c>
      <c r="R847">
        <f t="shared" si="1011"/>
        <v>-1549644400.1473944</v>
      </c>
      <c r="S847">
        <f t="shared" si="1012"/>
        <v>-15496.444001473945</v>
      </c>
      <c r="T847">
        <f t="shared" si="1013"/>
        <v>-15.496444001473945</v>
      </c>
    </row>
    <row r="848" spans="1:20" x14ac:dyDescent="0.25">
      <c r="A848" s="5">
        <v>43745</v>
      </c>
      <c r="B848">
        <v>5.7499999999999999E-3</v>
      </c>
      <c r="C848">
        <v>6.0000000000000001E-3</v>
      </c>
      <c r="D848">
        <v>5.5799999999999999E-3</v>
      </c>
      <c r="E848">
        <v>5.7999999999999996E-3</v>
      </c>
      <c r="F848">
        <v>147398851.30000001</v>
      </c>
      <c r="G848">
        <v>0</v>
      </c>
      <c r="L848" t="s">
        <v>7</v>
      </c>
      <c r="M848" t="s">
        <v>8</v>
      </c>
      <c r="N848" t="s">
        <v>7</v>
      </c>
      <c r="P848">
        <f t="shared" si="1009"/>
        <v>4.7619047619045653E-2</v>
      </c>
      <c r="Q848">
        <f t="shared" si="1010"/>
        <v>7018992.9190473296</v>
      </c>
      <c r="R848">
        <f t="shared" si="1011"/>
        <v>-1590258407.9342797</v>
      </c>
      <c r="S848">
        <f t="shared" si="1012"/>
        <v>-15902.584079342796</v>
      </c>
      <c r="T848">
        <f t="shared" si="1013"/>
        <v>-15.902584079342796</v>
      </c>
    </row>
    <row r="849" spans="1:20" x14ac:dyDescent="0.25">
      <c r="A849" s="5">
        <v>43744</v>
      </c>
      <c r="B849">
        <v>5.3699999999999998E-3</v>
      </c>
      <c r="C849">
        <v>6.1500000000000001E-3</v>
      </c>
      <c r="D849">
        <v>5.3499999999999997E-3</v>
      </c>
      <c r="E849">
        <v>5.77E-3</v>
      </c>
      <c r="F849">
        <v>141743978.19999999</v>
      </c>
      <c r="G849">
        <v>0</v>
      </c>
      <c r="L849" t="s">
        <v>8</v>
      </c>
      <c r="M849" t="s">
        <v>8</v>
      </c>
      <c r="N849" t="s">
        <v>7</v>
      </c>
      <c r="P849">
        <f t="shared" si="1009"/>
        <v>5.0000000000000107E-2</v>
      </c>
      <c r="Q849">
        <f t="shared" si="1010"/>
        <v>7087198.9100000141</v>
      </c>
      <c r="R849">
        <f t="shared" si="1011"/>
        <v>-1597277400.853327</v>
      </c>
      <c r="S849">
        <f t="shared" si="1012"/>
        <v>-15972.77400853327</v>
      </c>
      <c r="T849">
        <f t="shared" si="1013"/>
        <v>-15.972774008533269</v>
      </c>
    </row>
    <row r="850" spans="1:20" x14ac:dyDescent="0.25">
      <c r="A850" s="5">
        <v>43743</v>
      </c>
      <c r="B850">
        <v>5.3E-3</v>
      </c>
      <c r="C850">
        <v>5.47E-3</v>
      </c>
      <c r="D850">
        <v>5.1799999999999997E-3</v>
      </c>
      <c r="E850">
        <v>5.3499999999999997E-3</v>
      </c>
      <c r="F850">
        <v>40167487.799999997</v>
      </c>
      <c r="G850">
        <v>0</v>
      </c>
      <c r="L850" t="s">
        <v>8</v>
      </c>
      <c r="M850" t="s">
        <v>8</v>
      </c>
      <c r="N850" t="s">
        <v>7</v>
      </c>
      <c r="P850">
        <f t="shared" si="1009"/>
        <v>0.17241379310344704</v>
      </c>
      <c r="Q850">
        <f t="shared" si="1010"/>
        <v>6925428.9310344327</v>
      </c>
      <c r="R850">
        <f t="shared" si="1011"/>
        <v>-1604364599.7633271</v>
      </c>
      <c r="S850">
        <f t="shared" si="1012"/>
        <v>-16043.645997633272</v>
      </c>
      <c r="T850">
        <f t="shared" si="1013"/>
        <v>-16.04364599763327</v>
      </c>
    </row>
    <row r="851" spans="1:20" x14ac:dyDescent="0.25">
      <c r="A851" s="5">
        <v>43742</v>
      </c>
      <c r="B851">
        <v>5.2599999999999999E-3</v>
      </c>
      <c r="C851">
        <v>5.4799999999999996E-3</v>
      </c>
      <c r="D851">
        <v>5.1000000000000004E-3</v>
      </c>
      <c r="E851">
        <v>5.3099999999999996E-3</v>
      </c>
      <c r="F851">
        <v>48465246.100000001</v>
      </c>
      <c r="G851">
        <v>0</v>
      </c>
      <c r="L851" t="s">
        <v>8</v>
      </c>
      <c r="M851" t="s">
        <v>8</v>
      </c>
      <c r="N851" t="s">
        <v>7</v>
      </c>
      <c r="P851">
        <f t="shared" si="1009"/>
        <v>0.10526315789473505</v>
      </c>
      <c r="Q851">
        <f t="shared" si="1010"/>
        <v>5101604.8526314916</v>
      </c>
      <c r="R851">
        <f t="shared" si="1011"/>
        <v>-1611290028.6943614</v>
      </c>
      <c r="S851">
        <f t="shared" si="1012"/>
        <v>-16112.900286943615</v>
      </c>
      <c r="T851">
        <f t="shared" si="1013"/>
        <v>-16.112900286943617</v>
      </c>
    </row>
    <row r="852" spans="1:20" x14ac:dyDescent="0.25">
      <c r="A852" s="5">
        <v>43741</v>
      </c>
      <c r="B852">
        <v>5.0800000000000003E-3</v>
      </c>
      <c r="C852">
        <v>5.3E-3</v>
      </c>
      <c r="D852">
        <v>4.8799999999999998E-3</v>
      </c>
      <c r="E852">
        <v>5.2599999999999999E-3</v>
      </c>
      <c r="F852">
        <v>46110613.200000003</v>
      </c>
      <c r="G852">
        <v>0</v>
      </c>
      <c r="L852" t="s">
        <v>8</v>
      </c>
      <c r="M852" t="s">
        <v>7</v>
      </c>
      <c r="N852" t="s">
        <v>7</v>
      </c>
      <c r="P852">
        <f t="shared" si="1009"/>
        <v>0.80952380952380909</v>
      </c>
      <c r="Q852">
        <f t="shared" si="1010"/>
        <v>37327639.257142842</v>
      </c>
      <c r="R852">
        <f t="shared" si="1011"/>
        <v>-1616391633.546993</v>
      </c>
      <c r="S852">
        <f t="shared" si="1012"/>
        <v>-16163.91633546993</v>
      </c>
      <c r="T852">
        <f t="shared" si="1013"/>
        <v>-16.163916335469931</v>
      </c>
    </row>
    <row r="853" spans="1:20" x14ac:dyDescent="0.25">
      <c r="A853" s="5">
        <v>43740</v>
      </c>
      <c r="B853">
        <v>5.11E-3</v>
      </c>
      <c r="C853">
        <v>5.13E-3</v>
      </c>
      <c r="D853">
        <v>4.9500000000000004E-3</v>
      </c>
      <c r="E853">
        <v>5.0800000000000003E-3</v>
      </c>
      <c r="F853">
        <v>20903565.100000001</v>
      </c>
      <c r="G853">
        <v>0</v>
      </c>
      <c r="L853" t="s">
        <v>8</v>
      </c>
      <c r="M853" t="s">
        <v>7</v>
      </c>
      <c r="N853" t="s">
        <v>7</v>
      </c>
      <c r="P853">
        <f t="shared" si="1009"/>
        <v>0.44444444444444658</v>
      </c>
      <c r="Q853">
        <f t="shared" si="1010"/>
        <v>9290473.3777778223</v>
      </c>
      <c r="R853">
        <f t="shared" si="1011"/>
        <v>-1653719272.8041358</v>
      </c>
      <c r="S853">
        <f t="shared" si="1012"/>
        <v>-16537.192728041358</v>
      </c>
      <c r="T853">
        <f t="shared" si="1013"/>
        <v>-16.537192728041358</v>
      </c>
    </row>
    <row r="854" spans="1:20" x14ac:dyDescent="0.25">
      <c r="A854" s="5">
        <v>43739</v>
      </c>
      <c r="B854">
        <v>5.11E-3</v>
      </c>
      <c r="C854">
        <v>5.2199999999999998E-3</v>
      </c>
      <c r="D854">
        <v>5.0299999999999997E-3</v>
      </c>
      <c r="E854">
        <v>5.1000000000000004E-3</v>
      </c>
      <c r="F854">
        <v>27059695</v>
      </c>
      <c r="G854">
        <v>0</v>
      </c>
      <c r="L854" t="s">
        <v>8</v>
      </c>
      <c r="M854" t="s">
        <v>7</v>
      </c>
      <c r="N854" t="s">
        <v>7</v>
      </c>
      <c r="P854">
        <f t="shared" si="1009"/>
        <v>-0.26315789473683587</v>
      </c>
      <c r="Q854">
        <f t="shared" si="1010"/>
        <v>-7120972.368420884</v>
      </c>
      <c r="R854">
        <f t="shared" si="1011"/>
        <v>-1663009746.1819136</v>
      </c>
      <c r="S854">
        <f t="shared" si="1012"/>
        <v>-16630.097461819136</v>
      </c>
      <c r="T854">
        <f t="shared" si="1013"/>
        <v>-16.630097461819137</v>
      </c>
    </row>
    <row r="855" spans="1:20" x14ac:dyDescent="0.25">
      <c r="A855" s="5">
        <v>43738</v>
      </c>
      <c r="B855">
        <v>5.0099999999999997E-3</v>
      </c>
      <c r="C855">
        <v>5.1799999999999997E-3</v>
      </c>
      <c r="D855">
        <v>4.7600000000000003E-3</v>
      </c>
      <c r="E855">
        <v>5.1000000000000004E-3</v>
      </c>
      <c r="F855">
        <v>53398636.899999999</v>
      </c>
      <c r="G855">
        <v>0</v>
      </c>
      <c r="L855" t="s">
        <v>7</v>
      </c>
      <c r="M855" t="s">
        <v>7</v>
      </c>
      <c r="N855" t="s">
        <v>7</v>
      </c>
      <c r="P855">
        <f t="shared" si="1009"/>
        <v>0.61904761904762162</v>
      </c>
      <c r="Q855">
        <f t="shared" si="1010"/>
        <v>33056299.033333469</v>
      </c>
      <c r="R855">
        <f t="shared" si="1011"/>
        <v>-1655888773.8134928</v>
      </c>
      <c r="S855">
        <f t="shared" si="1012"/>
        <v>-16558.887738134927</v>
      </c>
      <c r="T855">
        <f t="shared" si="1013"/>
        <v>-16.558887738134928</v>
      </c>
    </row>
    <row r="856" spans="1:20" x14ac:dyDescent="0.25">
      <c r="A856" s="5">
        <v>43737</v>
      </c>
      <c r="B856">
        <v>5.1500000000000001E-3</v>
      </c>
      <c r="C856">
        <v>5.2599999999999999E-3</v>
      </c>
      <c r="D856">
        <v>4.7200000000000002E-3</v>
      </c>
      <c r="E856">
        <v>5.0000000000000001E-3</v>
      </c>
      <c r="F856">
        <v>53298132.700000003</v>
      </c>
      <c r="G856">
        <v>0</v>
      </c>
      <c r="L856" t="s">
        <v>8</v>
      </c>
      <c r="M856" t="s">
        <v>7</v>
      </c>
      <c r="N856" t="s">
        <v>7</v>
      </c>
      <c r="P856">
        <f t="shared" si="1009"/>
        <v>3.7037037037037153E-2</v>
      </c>
      <c r="Q856">
        <f t="shared" si="1010"/>
        <v>1974004.9148148212</v>
      </c>
      <c r="R856">
        <f t="shared" si="1011"/>
        <v>-1688945072.8468263</v>
      </c>
      <c r="S856">
        <f t="shared" si="1012"/>
        <v>-16889.450728468262</v>
      </c>
      <c r="T856">
        <f t="shared" si="1013"/>
        <v>-16.889450728468262</v>
      </c>
    </row>
    <row r="857" spans="1:20" x14ac:dyDescent="0.25">
      <c r="A857" s="5">
        <v>43736</v>
      </c>
      <c r="B857">
        <v>4.9800000000000001E-3</v>
      </c>
      <c r="C857">
        <v>5.1999999999999998E-3</v>
      </c>
      <c r="D857">
        <v>4.8999999999999998E-3</v>
      </c>
      <c r="E857">
        <v>5.1500000000000001E-3</v>
      </c>
      <c r="F857">
        <v>40246811.100000001</v>
      </c>
      <c r="G857">
        <v>0</v>
      </c>
      <c r="L857" t="s">
        <v>8</v>
      </c>
      <c r="M857" t="s">
        <v>7</v>
      </c>
      <c r="N857" t="s">
        <v>7</v>
      </c>
      <c r="P857">
        <f t="shared" si="1009"/>
        <v>0.66666666666666863</v>
      </c>
      <c r="Q857">
        <f t="shared" si="1010"/>
        <v>26831207.40000008</v>
      </c>
      <c r="R857">
        <f t="shared" si="1011"/>
        <v>-1690919077.761641</v>
      </c>
      <c r="S857">
        <f t="shared" si="1012"/>
        <v>-16909.190777616412</v>
      </c>
      <c r="T857">
        <f t="shared" si="1013"/>
        <v>-16.909190777616413</v>
      </c>
    </row>
    <row r="858" spans="1:20" x14ac:dyDescent="0.25">
      <c r="A858" s="5">
        <v>43735</v>
      </c>
      <c r="B858">
        <v>4.81E-3</v>
      </c>
      <c r="C858">
        <v>5.0000000000000001E-3</v>
      </c>
      <c r="D858">
        <v>4.7200000000000002E-3</v>
      </c>
      <c r="E858">
        <v>4.9800000000000001E-3</v>
      </c>
      <c r="F858">
        <v>34230305.200000003</v>
      </c>
      <c r="G858">
        <v>0</v>
      </c>
      <c r="L858" t="s">
        <v>8</v>
      </c>
      <c r="M858" t="s">
        <v>7</v>
      </c>
      <c r="N858" t="s">
        <v>7</v>
      </c>
      <c r="P858">
        <f t="shared" si="1009"/>
        <v>0.85714285714285665</v>
      </c>
      <c r="Q858">
        <f t="shared" si="1010"/>
        <v>29340261.599999987</v>
      </c>
      <c r="R858">
        <f t="shared" si="1011"/>
        <v>-1717750285.1616411</v>
      </c>
      <c r="S858">
        <f t="shared" si="1012"/>
        <v>-17177.502851616413</v>
      </c>
      <c r="T858">
        <f t="shared" si="1013"/>
        <v>-17.177502851616413</v>
      </c>
    </row>
    <row r="859" spans="1:20" x14ac:dyDescent="0.25">
      <c r="A859" s="5">
        <v>43734</v>
      </c>
      <c r="B859">
        <v>4.9899999999999996E-3</v>
      </c>
      <c r="C859">
        <v>5.11E-3</v>
      </c>
      <c r="D859">
        <v>4.4799999999999996E-3</v>
      </c>
      <c r="E859">
        <v>4.81E-3</v>
      </c>
      <c r="F859">
        <v>62701481</v>
      </c>
      <c r="G859">
        <v>0</v>
      </c>
      <c r="L859" t="s">
        <v>7</v>
      </c>
      <c r="M859" t="s">
        <v>7</v>
      </c>
      <c r="N859" t="s">
        <v>7</v>
      </c>
      <c r="P859">
        <f t="shared" si="1009"/>
        <v>4.7619047619048407E-2</v>
      </c>
      <c r="Q859">
        <f t="shared" si="1010"/>
        <v>2985784.8095238591</v>
      </c>
      <c r="R859">
        <f t="shared" si="1011"/>
        <v>-1747090546.761641</v>
      </c>
      <c r="S859">
        <f t="shared" si="1012"/>
        <v>-17470.905467616409</v>
      </c>
      <c r="T859">
        <f t="shared" si="1013"/>
        <v>-17.470905467616408</v>
      </c>
    </row>
    <row r="860" spans="1:20" x14ac:dyDescent="0.25">
      <c r="A860" s="5">
        <v>43733</v>
      </c>
      <c r="B860">
        <v>4.9500000000000004E-3</v>
      </c>
      <c r="C860">
        <v>5.2199999999999998E-3</v>
      </c>
      <c r="D860">
        <v>4.7299999999999998E-3</v>
      </c>
      <c r="E860">
        <v>5.0000000000000001E-3</v>
      </c>
      <c r="F860">
        <v>76258102.299999997</v>
      </c>
      <c r="G860">
        <v>0</v>
      </c>
      <c r="L860" t="s">
        <v>7</v>
      </c>
      <c r="M860" t="s">
        <v>7</v>
      </c>
      <c r="N860" t="s">
        <v>7</v>
      </c>
      <c r="P860">
        <f t="shared" si="1009"/>
        <v>0.10204081632653177</v>
      </c>
      <c r="Q860">
        <f t="shared" si="1010"/>
        <v>7781439.010204169</v>
      </c>
      <c r="R860">
        <f t="shared" si="1011"/>
        <v>-1750076331.5711648</v>
      </c>
      <c r="S860">
        <f t="shared" si="1012"/>
        <v>-17500.763315711647</v>
      </c>
      <c r="T860">
        <f t="shared" si="1013"/>
        <v>-17.500763315711648</v>
      </c>
    </row>
    <row r="861" spans="1:20" x14ac:dyDescent="0.25">
      <c r="A861" s="5">
        <v>43732</v>
      </c>
      <c r="B861">
        <v>6.3499999999999997E-3</v>
      </c>
      <c r="C861">
        <v>6.4099999999999999E-3</v>
      </c>
      <c r="D861">
        <v>4.7999999999999996E-3</v>
      </c>
      <c r="E861">
        <v>4.9500000000000004E-3</v>
      </c>
      <c r="F861">
        <v>95541381.5</v>
      </c>
      <c r="G861">
        <v>0</v>
      </c>
      <c r="L861" t="s">
        <v>7</v>
      </c>
      <c r="M861" t="s">
        <v>7</v>
      </c>
      <c r="N861" t="s">
        <v>7</v>
      </c>
      <c r="P861">
        <f t="shared" si="1009"/>
        <v>-0.81366459627329091</v>
      </c>
      <c r="Q861">
        <f t="shared" si="1010"/>
        <v>-77738639.605589971</v>
      </c>
      <c r="R861">
        <f t="shared" si="1011"/>
        <v>-1757857770.5813689</v>
      </c>
      <c r="S861">
        <f t="shared" si="1012"/>
        <v>-17578.577705813688</v>
      </c>
      <c r="T861">
        <f t="shared" si="1013"/>
        <v>-17.578577705813689</v>
      </c>
    </row>
    <row r="862" spans="1:20" x14ac:dyDescent="0.25">
      <c r="A862" s="5">
        <v>43731</v>
      </c>
      <c r="B862">
        <v>6.6299999999999996E-3</v>
      </c>
      <c r="C862">
        <v>6.7299999999999999E-3</v>
      </c>
      <c r="D862">
        <v>6.3E-3</v>
      </c>
      <c r="E862">
        <v>6.3400000000000001E-3</v>
      </c>
      <c r="F862">
        <v>58145445.799999997</v>
      </c>
      <c r="G862">
        <v>0</v>
      </c>
      <c r="L862" t="s">
        <v>7</v>
      </c>
      <c r="M862" t="s">
        <v>7</v>
      </c>
      <c r="N862" t="s">
        <v>7</v>
      </c>
      <c r="P862">
        <f t="shared" si="1009"/>
        <v>-0.81395348837209247</v>
      </c>
      <c r="Q862">
        <f t="shared" si="1010"/>
        <v>-47327688.44186043</v>
      </c>
      <c r="R862">
        <f t="shared" si="1011"/>
        <v>-1680119130.9757791</v>
      </c>
      <c r="S862">
        <f t="shared" si="1012"/>
        <v>-16801.191309757789</v>
      </c>
      <c r="T862">
        <f t="shared" si="1013"/>
        <v>-16.80119130975779</v>
      </c>
    </row>
    <row r="863" spans="1:20" x14ac:dyDescent="0.25">
      <c r="A863" s="5">
        <v>43730</v>
      </c>
      <c r="B863">
        <v>6.9100000000000003E-3</v>
      </c>
      <c r="C863">
        <v>7.0099999999999997E-3</v>
      </c>
      <c r="D863">
        <v>6.5799999999999999E-3</v>
      </c>
      <c r="E863">
        <v>6.6299999999999996E-3</v>
      </c>
      <c r="F863">
        <v>35738923.600000001</v>
      </c>
      <c r="G863">
        <v>0</v>
      </c>
      <c r="L863" t="s">
        <v>7</v>
      </c>
      <c r="M863" t="s">
        <v>8</v>
      </c>
      <c r="N863" t="s">
        <v>7</v>
      </c>
      <c r="P863">
        <f t="shared" si="1009"/>
        <v>-0.76744186046511764</v>
      </c>
      <c r="Q863">
        <f t="shared" si="1010"/>
        <v>-27427546.0186047</v>
      </c>
      <c r="R863">
        <f t="shared" si="1011"/>
        <v>-1632791442.5339186</v>
      </c>
      <c r="S863">
        <f t="shared" si="1012"/>
        <v>-16327.914425339186</v>
      </c>
      <c r="T863">
        <f t="shared" si="1013"/>
        <v>-16.327914425339188</v>
      </c>
    </row>
    <row r="864" spans="1:20" x14ac:dyDescent="0.25">
      <c r="A864" s="5">
        <v>43729</v>
      </c>
      <c r="B864">
        <v>7.1000000000000004E-3</v>
      </c>
      <c r="C864">
        <v>7.1399999999999996E-3</v>
      </c>
      <c r="D864">
        <v>6.8399999999999997E-3</v>
      </c>
      <c r="E864">
        <v>6.8900000000000003E-3</v>
      </c>
      <c r="F864">
        <v>25060026</v>
      </c>
      <c r="G864">
        <v>0</v>
      </c>
      <c r="L864" t="s">
        <v>7</v>
      </c>
      <c r="M864" t="s">
        <v>8</v>
      </c>
      <c r="N864" t="s">
        <v>7</v>
      </c>
      <c r="P864">
        <f t="shared" si="1009"/>
        <v>-0.66666666666666285</v>
      </c>
      <c r="Q864">
        <f t="shared" si="1010"/>
        <v>-16706683.999999905</v>
      </c>
      <c r="R864">
        <f t="shared" si="1011"/>
        <v>-1605363896.5153139</v>
      </c>
      <c r="S864">
        <f t="shared" si="1012"/>
        <v>-16053.638965153139</v>
      </c>
      <c r="T864">
        <f t="shared" si="1013"/>
        <v>-16.053638965153137</v>
      </c>
    </row>
    <row r="865" spans="1:20" x14ac:dyDescent="0.25">
      <c r="A865" s="5">
        <v>43728</v>
      </c>
      <c r="B865">
        <v>7.2500000000000004E-3</v>
      </c>
      <c r="C865">
        <v>7.26E-3</v>
      </c>
      <c r="D865">
        <v>7.0000000000000001E-3</v>
      </c>
      <c r="E865">
        <v>7.1000000000000004E-3</v>
      </c>
      <c r="F865">
        <v>46434939.700000003</v>
      </c>
      <c r="G865">
        <v>0</v>
      </c>
      <c r="L865" t="s">
        <v>7</v>
      </c>
      <c r="M865" t="s">
        <v>8</v>
      </c>
      <c r="N865" t="s">
        <v>7</v>
      </c>
      <c r="P865">
        <f t="shared" si="1009"/>
        <v>-0.2307692307692282</v>
      </c>
      <c r="Q865">
        <f t="shared" si="1010"/>
        <v>-10715755.315384496</v>
      </c>
      <c r="R865">
        <f t="shared" si="1011"/>
        <v>-1588657212.5153139</v>
      </c>
      <c r="S865">
        <f t="shared" si="1012"/>
        <v>-15886.572125153139</v>
      </c>
      <c r="T865">
        <f t="shared" si="1013"/>
        <v>-15.886572125153139</v>
      </c>
    </row>
    <row r="866" spans="1:20" x14ac:dyDescent="0.25">
      <c r="A866" s="5">
        <v>43727</v>
      </c>
      <c r="B866">
        <v>7.5300000000000002E-3</v>
      </c>
      <c r="C866">
        <v>7.5599999999999999E-3</v>
      </c>
      <c r="D866">
        <v>6.9199999999999999E-3</v>
      </c>
      <c r="E866">
        <v>7.2399999999999999E-3</v>
      </c>
      <c r="F866">
        <v>58253625.799999997</v>
      </c>
      <c r="G866">
        <v>0</v>
      </c>
      <c r="L866" t="s">
        <v>7</v>
      </c>
      <c r="M866" t="s">
        <v>8</v>
      </c>
      <c r="N866" t="s">
        <v>7</v>
      </c>
      <c r="P866">
        <f t="shared" si="1009"/>
        <v>0</v>
      </c>
      <c r="Q866">
        <f t="shared" si="1010"/>
        <v>0</v>
      </c>
      <c r="R866">
        <f t="shared" si="1011"/>
        <v>-1577941457.1999295</v>
      </c>
      <c r="S866">
        <f t="shared" si="1012"/>
        <v>-15779.414571999294</v>
      </c>
      <c r="T866">
        <f t="shared" si="1013"/>
        <v>-15.779414571999293</v>
      </c>
    </row>
    <row r="867" spans="1:20" x14ac:dyDescent="0.25">
      <c r="A867" s="5">
        <v>43726</v>
      </c>
      <c r="B867">
        <v>7.1399999999999996E-3</v>
      </c>
      <c r="C867">
        <v>7.6699999999999997E-3</v>
      </c>
      <c r="D867">
        <v>7.11E-3</v>
      </c>
      <c r="E867">
        <v>7.5300000000000002E-3</v>
      </c>
      <c r="F867">
        <v>72794532.099999994</v>
      </c>
      <c r="G867">
        <v>0</v>
      </c>
      <c r="L867" t="s">
        <v>8</v>
      </c>
      <c r="M867" t="s">
        <v>8</v>
      </c>
      <c r="N867" t="s">
        <v>7</v>
      </c>
      <c r="P867">
        <f t="shared" si="1009"/>
        <v>0.50000000000000155</v>
      </c>
      <c r="Q867">
        <f t="shared" si="1010"/>
        <v>36397266.050000109</v>
      </c>
      <c r="R867">
        <f t="shared" si="1011"/>
        <v>-1577941457.1999295</v>
      </c>
      <c r="S867">
        <f t="shared" si="1012"/>
        <v>-15779.414571999294</v>
      </c>
      <c r="T867">
        <f t="shared" si="1013"/>
        <v>-15.779414571999293</v>
      </c>
    </row>
    <row r="868" spans="1:20" x14ac:dyDescent="0.25">
      <c r="A868" s="5">
        <v>43725</v>
      </c>
      <c r="B868">
        <v>6.9199999999999999E-3</v>
      </c>
      <c r="C868">
        <v>7.3899999999999999E-3</v>
      </c>
      <c r="D868">
        <v>6.7999999999999996E-3</v>
      </c>
      <c r="E868">
        <v>7.1399999999999996E-3</v>
      </c>
      <c r="F868">
        <v>56201730.399999999</v>
      </c>
      <c r="G868">
        <v>0</v>
      </c>
      <c r="L868" t="s">
        <v>8</v>
      </c>
      <c r="M868" t="s">
        <v>7</v>
      </c>
      <c r="N868" t="s">
        <v>7</v>
      </c>
      <c r="P868">
        <f t="shared" si="1009"/>
        <v>0.15254237288135553</v>
      </c>
      <c r="Q868">
        <f t="shared" si="1010"/>
        <v>8573145.3152542133</v>
      </c>
      <c r="R868">
        <f t="shared" si="1011"/>
        <v>-1614338723.2499297</v>
      </c>
      <c r="S868">
        <f t="shared" si="1012"/>
        <v>-16143.387232499297</v>
      </c>
      <c r="T868">
        <f t="shared" si="1013"/>
        <v>-16.143387232499297</v>
      </c>
    </row>
    <row r="869" spans="1:20" x14ac:dyDescent="0.25">
      <c r="A869" s="5">
        <v>43724</v>
      </c>
      <c r="B869">
        <v>6.9199999999999999E-3</v>
      </c>
      <c r="C869">
        <v>7.2300000000000003E-3</v>
      </c>
      <c r="D869">
        <v>6.8399999999999997E-3</v>
      </c>
      <c r="E869">
        <v>6.9100000000000003E-3</v>
      </c>
      <c r="F869">
        <v>53113363.600000001</v>
      </c>
      <c r="G869">
        <v>0</v>
      </c>
      <c r="L869" t="s">
        <v>8</v>
      </c>
      <c r="M869" t="s">
        <v>7</v>
      </c>
      <c r="N869" t="s">
        <v>7</v>
      </c>
      <c r="P869">
        <f t="shared" si="1009"/>
        <v>-0.64102564102563842</v>
      </c>
      <c r="Q869">
        <f t="shared" si="1010"/>
        <v>-34047027.94871781</v>
      </c>
      <c r="R869">
        <f t="shared" si="1011"/>
        <v>-1622911868.5651839</v>
      </c>
      <c r="S869">
        <f t="shared" si="1012"/>
        <v>-16229.118685651838</v>
      </c>
      <c r="T869">
        <f t="shared" si="1013"/>
        <v>-16.229118685651837</v>
      </c>
    </row>
    <row r="870" spans="1:20" x14ac:dyDescent="0.25">
      <c r="A870" s="5">
        <v>43723</v>
      </c>
      <c r="B870">
        <v>6.8599999999999998E-3</v>
      </c>
      <c r="C870">
        <v>6.9100000000000003E-3</v>
      </c>
      <c r="D870">
        <v>6.7600000000000004E-3</v>
      </c>
      <c r="E870">
        <v>6.8900000000000003E-3</v>
      </c>
      <c r="F870">
        <v>15941958</v>
      </c>
      <c r="G870">
        <v>0</v>
      </c>
      <c r="L870" t="s">
        <v>7</v>
      </c>
      <c r="M870" t="s">
        <v>7</v>
      </c>
      <c r="N870" t="s">
        <v>7</v>
      </c>
      <c r="P870">
        <f t="shared" si="1009"/>
        <v>0.73333333333333262</v>
      </c>
      <c r="Q870">
        <f t="shared" si="1010"/>
        <v>11690769.199999988</v>
      </c>
      <c r="R870">
        <f t="shared" si="1011"/>
        <v>-1588864840.616466</v>
      </c>
      <c r="S870">
        <f t="shared" si="1012"/>
        <v>-15888.648406164661</v>
      </c>
      <c r="T870">
        <f t="shared" si="1013"/>
        <v>-15.888648406164661</v>
      </c>
    </row>
    <row r="871" spans="1:20" x14ac:dyDescent="0.25">
      <c r="A871" s="5">
        <v>43722</v>
      </c>
      <c r="B871">
        <v>6.77E-3</v>
      </c>
      <c r="C871">
        <v>6.8900000000000003E-3</v>
      </c>
      <c r="D871">
        <v>6.6800000000000002E-3</v>
      </c>
      <c r="E871">
        <v>6.8700000000000002E-3</v>
      </c>
      <c r="F871">
        <v>12896321.6</v>
      </c>
      <c r="G871">
        <v>0</v>
      </c>
      <c r="L871" t="s">
        <v>7</v>
      </c>
      <c r="M871" t="s">
        <v>7</v>
      </c>
      <c r="N871" t="s">
        <v>7</v>
      </c>
      <c r="P871">
        <f t="shared" si="1009"/>
        <v>0.80952380952380909</v>
      </c>
      <c r="Q871">
        <f t="shared" si="1010"/>
        <v>10439879.390476184</v>
      </c>
      <c r="R871">
        <f t="shared" si="1011"/>
        <v>-1600555609.8164661</v>
      </c>
      <c r="S871">
        <f t="shared" si="1012"/>
        <v>-16005.556098164661</v>
      </c>
      <c r="T871">
        <f t="shared" si="1013"/>
        <v>-16.005556098164661</v>
      </c>
    </row>
    <row r="872" spans="1:20" x14ac:dyDescent="0.25">
      <c r="A872" s="5">
        <v>43721</v>
      </c>
      <c r="B872">
        <v>6.7499999999999999E-3</v>
      </c>
      <c r="C872">
        <v>6.7999999999999996E-3</v>
      </c>
      <c r="D872">
        <v>6.6400000000000001E-3</v>
      </c>
      <c r="E872">
        <v>6.7400000000000003E-3</v>
      </c>
      <c r="F872">
        <v>8888468.1999999993</v>
      </c>
      <c r="G872">
        <v>0</v>
      </c>
      <c r="L872" t="s">
        <v>7</v>
      </c>
      <c r="M872" t="s">
        <v>7</v>
      </c>
      <c r="N872" t="s">
        <v>7</v>
      </c>
      <c r="P872">
        <f t="shared" si="1009"/>
        <v>0.25000000000000677</v>
      </c>
      <c r="Q872">
        <f t="shared" si="1010"/>
        <v>2222117.0500000599</v>
      </c>
      <c r="R872">
        <f t="shared" si="1011"/>
        <v>-1610995489.2069423</v>
      </c>
      <c r="S872">
        <f t="shared" si="1012"/>
        <v>-16109.954892069423</v>
      </c>
      <c r="T872">
        <f t="shared" si="1013"/>
        <v>-16.109954892069425</v>
      </c>
    </row>
    <row r="873" spans="1:20" x14ac:dyDescent="0.25">
      <c r="A873" s="5">
        <v>43720</v>
      </c>
      <c r="B873">
        <v>6.77E-3</v>
      </c>
      <c r="C873">
        <v>6.8900000000000003E-3</v>
      </c>
      <c r="D873">
        <v>6.5399999999999998E-3</v>
      </c>
      <c r="E873">
        <v>6.7499999999999999E-3</v>
      </c>
      <c r="F873">
        <v>24818010.699999999</v>
      </c>
      <c r="G873">
        <v>0</v>
      </c>
      <c r="L873" t="s">
        <v>7</v>
      </c>
      <c r="M873" t="s">
        <v>7</v>
      </c>
      <c r="N873" t="s">
        <v>7</v>
      </c>
      <c r="P873">
        <f t="shared" si="1009"/>
        <v>0.19999999999999901</v>
      </c>
      <c r="Q873">
        <f t="shared" si="1010"/>
        <v>4963602.1399999755</v>
      </c>
      <c r="R873">
        <f t="shared" si="1011"/>
        <v>-1613217606.2569423</v>
      </c>
      <c r="S873">
        <f t="shared" si="1012"/>
        <v>-16132.176062569422</v>
      </c>
      <c r="T873">
        <f t="shared" si="1013"/>
        <v>-16.132176062569421</v>
      </c>
    </row>
    <row r="874" spans="1:20" x14ac:dyDescent="0.25">
      <c r="A874" s="5">
        <v>43719</v>
      </c>
      <c r="B874">
        <v>6.8199999999999997E-3</v>
      </c>
      <c r="C874">
        <v>7.4900000000000001E-3</v>
      </c>
      <c r="D874">
        <v>6.5100000000000002E-3</v>
      </c>
      <c r="E874">
        <v>6.79E-3</v>
      </c>
      <c r="F874">
        <v>68959207.599999994</v>
      </c>
      <c r="G874">
        <v>0</v>
      </c>
      <c r="L874" t="s">
        <v>7</v>
      </c>
      <c r="M874" t="s">
        <v>7</v>
      </c>
      <c r="N874" t="s">
        <v>7</v>
      </c>
      <c r="P874">
        <f t="shared" si="1009"/>
        <v>-0.42857142857142883</v>
      </c>
      <c r="Q874">
        <f t="shared" si="1010"/>
        <v>-29553946.11428573</v>
      </c>
      <c r="R874">
        <f t="shared" si="1011"/>
        <v>-1618181208.3969421</v>
      </c>
      <c r="S874">
        <f t="shared" si="1012"/>
        <v>-16181.812083969422</v>
      </c>
      <c r="T874">
        <f t="shared" si="1013"/>
        <v>-16.181812083969422</v>
      </c>
    </row>
    <row r="875" spans="1:20" x14ac:dyDescent="0.25">
      <c r="A875" s="5">
        <v>43718</v>
      </c>
      <c r="B875">
        <v>7.0299999999999998E-3</v>
      </c>
      <c r="C875">
        <v>7.0800000000000004E-3</v>
      </c>
      <c r="D875">
        <v>6.7099999999999998E-3</v>
      </c>
      <c r="E875">
        <v>6.7999999999999996E-3</v>
      </c>
      <c r="F875">
        <v>38353009.100000001</v>
      </c>
      <c r="G875">
        <v>0</v>
      </c>
      <c r="L875" t="s">
        <v>7</v>
      </c>
      <c r="M875" t="s">
        <v>7</v>
      </c>
      <c r="N875" t="s">
        <v>7</v>
      </c>
      <c r="P875">
        <f t="shared" si="1009"/>
        <v>-0.51351351351351526</v>
      </c>
      <c r="Q875">
        <f t="shared" si="1010"/>
        <v>-19694788.456756823</v>
      </c>
      <c r="R875">
        <f t="shared" si="1011"/>
        <v>-1588627262.2826564</v>
      </c>
      <c r="S875">
        <f t="shared" si="1012"/>
        <v>-15886.272622826564</v>
      </c>
      <c r="T875">
        <f t="shared" si="1013"/>
        <v>-15.886272622826564</v>
      </c>
    </row>
    <row r="876" spans="1:20" x14ac:dyDescent="0.25">
      <c r="A876" s="5">
        <v>43717</v>
      </c>
      <c r="B876">
        <v>6.8599999999999998E-3</v>
      </c>
      <c r="C876">
        <v>7.3000000000000001E-3</v>
      </c>
      <c r="D876">
        <v>6.6400000000000001E-3</v>
      </c>
      <c r="E876">
        <v>7.0299999999999998E-3</v>
      </c>
      <c r="F876">
        <v>32267467.5</v>
      </c>
      <c r="G876">
        <v>0</v>
      </c>
      <c r="L876" t="s">
        <v>8</v>
      </c>
      <c r="M876" t="s">
        <v>7</v>
      </c>
      <c r="N876" t="s">
        <v>7</v>
      </c>
      <c r="P876">
        <f t="shared" si="1009"/>
        <v>0.18181818181818099</v>
      </c>
      <c r="Q876">
        <f t="shared" si="1010"/>
        <v>5866812.2727272464</v>
      </c>
      <c r="R876">
        <f t="shared" si="1011"/>
        <v>-1568932473.8258996</v>
      </c>
      <c r="S876">
        <f t="shared" si="1012"/>
        <v>-15689.324738258996</v>
      </c>
      <c r="T876">
        <f t="shared" si="1013"/>
        <v>-15.689324738258996</v>
      </c>
    </row>
    <row r="877" spans="1:20" x14ac:dyDescent="0.25">
      <c r="A877" s="5">
        <v>43716</v>
      </c>
      <c r="B877">
        <v>6.8100000000000001E-3</v>
      </c>
      <c r="C877">
        <v>6.9699999999999996E-3</v>
      </c>
      <c r="D877">
        <v>6.6E-3</v>
      </c>
      <c r="E877">
        <v>6.8599999999999998E-3</v>
      </c>
      <c r="F877">
        <v>20043317.399999999</v>
      </c>
      <c r="G877">
        <v>0</v>
      </c>
      <c r="L877" t="s">
        <v>8</v>
      </c>
      <c r="M877" t="s">
        <v>7</v>
      </c>
      <c r="N877" t="s">
        <v>7</v>
      </c>
      <c r="P877">
        <f t="shared" si="1009"/>
        <v>0.40540540540540565</v>
      </c>
      <c r="Q877">
        <f t="shared" si="1010"/>
        <v>8125669.2162162205</v>
      </c>
      <c r="R877">
        <f t="shared" si="1011"/>
        <v>-1574799286.0986269</v>
      </c>
      <c r="S877">
        <f t="shared" si="1012"/>
        <v>-15747.992860986269</v>
      </c>
      <c r="T877">
        <f t="shared" si="1013"/>
        <v>-15.747992860986269</v>
      </c>
    </row>
    <row r="878" spans="1:20" x14ac:dyDescent="0.25">
      <c r="A878" s="5">
        <v>43715</v>
      </c>
      <c r="B878">
        <v>6.5700000000000003E-3</v>
      </c>
      <c r="C878">
        <v>6.8999999999999999E-3</v>
      </c>
      <c r="D878">
        <v>6.4999999999999997E-3</v>
      </c>
      <c r="E878">
        <v>6.8100000000000001E-3</v>
      </c>
      <c r="F878">
        <v>28881311.5</v>
      </c>
      <c r="G878">
        <v>0</v>
      </c>
      <c r="L878" t="s">
        <v>7</v>
      </c>
      <c r="M878" t="s">
        <v>7</v>
      </c>
      <c r="N878" t="s">
        <v>7</v>
      </c>
      <c r="P878">
        <f t="shared" si="1009"/>
        <v>0.55000000000000115</v>
      </c>
      <c r="Q878">
        <f t="shared" si="1010"/>
        <v>15884721.325000033</v>
      </c>
      <c r="R878">
        <f t="shared" si="1011"/>
        <v>-1582924955.3148432</v>
      </c>
      <c r="S878">
        <f t="shared" si="1012"/>
        <v>-15829.249553148431</v>
      </c>
      <c r="T878">
        <f t="shared" si="1013"/>
        <v>-15.829249553148431</v>
      </c>
    </row>
    <row r="879" spans="1:20" x14ac:dyDescent="0.25">
      <c r="A879" s="5">
        <v>43714</v>
      </c>
      <c r="B879">
        <v>6.79E-3</v>
      </c>
      <c r="C879">
        <v>6.9100000000000003E-3</v>
      </c>
      <c r="D879">
        <v>6.4799999999999996E-3</v>
      </c>
      <c r="E879">
        <v>6.5199999999999998E-3</v>
      </c>
      <c r="F879">
        <v>31310608.899999999</v>
      </c>
      <c r="G879">
        <v>0</v>
      </c>
      <c r="L879" t="s">
        <v>7</v>
      </c>
      <c r="M879" t="s">
        <v>7</v>
      </c>
      <c r="N879" t="s">
        <v>7</v>
      </c>
      <c r="P879">
        <f t="shared" si="1009"/>
        <v>-0.8139534883720928</v>
      </c>
      <c r="Q879">
        <f t="shared" si="1010"/>
        <v>-25485379.337209295</v>
      </c>
      <c r="R879">
        <f t="shared" si="1011"/>
        <v>-1598809676.6398432</v>
      </c>
      <c r="S879">
        <f t="shared" si="1012"/>
        <v>-15988.096766398432</v>
      </c>
      <c r="T879">
        <f t="shared" si="1013"/>
        <v>-15.988096766398431</v>
      </c>
    </row>
    <row r="880" spans="1:20" x14ac:dyDescent="0.25">
      <c r="A880" s="5">
        <v>43713</v>
      </c>
      <c r="B880">
        <v>7.0200000000000002E-3</v>
      </c>
      <c r="C880">
        <v>7.0800000000000004E-3</v>
      </c>
      <c r="D880">
        <v>6.6600000000000001E-3</v>
      </c>
      <c r="E880">
        <v>6.77E-3</v>
      </c>
      <c r="F880">
        <v>25877025.600000001</v>
      </c>
      <c r="G880">
        <v>0</v>
      </c>
      <c r="L880" t="s">
        <v>7</v>
      </c>
      <c r="M880" t="s">
        <v>7</v>
      </c>
      <c r="N880" t="s">
        <v>7</v>
      </c>
      <c r="P880">
        <f t="shared" si="1009"/>
        <v>-0.47619047619047716</v>
      </c>
      <c r="Q880">
        <f t="shared" si="1010"/>
        <v>-12322393.142857168</v>
      </c>
      <c r="R880">
        <f t="shared" si="1011"/>
        <v>-1573324297.302634</v>
      </c>
      <c r="S880">
        <f t="shared" si="1012"/>
        <v>-15733.242973026339</v>
      </c>
      <c r="T880">
        <f t="shared" si="1013"/>
        <v>-15.733242973026339</v>
      </c>
    </row>
    <row r="881" spans="1:20" x14ac:dyDescent="0.25">
      <c r="A881" s="5">
        <v>43712</v>
      </c>
      <c r="B881">
        <v>7.1399999999999996E-3</v>
      </c>
      <c r="C881">
        <v>7.2100000000000003E-3</v>
      </c>
      <c r="D881">
        <v>6.8999999999999999E-3</v>
      </c>
      <c r="E881">
        <v>7.0099999999999997E-3</v>
      </c>
      <c r="F881">
        <v>29274752.399999999</v>
      </c>
      <c r="G881">
        <v>0</v>
      </c>
      <c r="L881" t="s">
        <v>8</v>
      </c>
      <c r="M881" t="s">
        <v>7</v>
      </c>
      <c r="N881" t="s">
        <v>7</v>
      </c>
      <c r="P881">
        <f t="shared" si="1009"/>
        <v>-0.29032258064516309</v>
      </c>
      <c r="Q881">
        <f t="shared" si="1010"/>
        <v>-8499121.6645161808</v>
      </c>
      <c r="R881">
        <f t="shared" si="1011"/>
        <v>-1561001904.1597769</v>
      </c>
      <c r="S881">
        <f t="shared" si="1012"/>
        <v>-15610.019041597769</v>
      </c>
      <c r="T881">
        <f t="shared" si="1013"/>
        <v>-15.610019041597768</v>
      </c>
    </row>
    <row r="882" spans="1:20" x14ac:dyDescent="0.25">
      <c r="A882" s="5">
        <v>43711</v>
      </c>
      <c r="B882">
        <v>7.1399999999999996E-3</v>
      </c>
      <c r="C882">
        <v>7.3499999999999998E-3</v>
      </c>
      <c r="D882">
        <v>6.94E-3</v>
      </c>
      <c r="E882">
        <v>7.1399999999999996E-3</v>
      </c>
      <c r="F882">
        <v>44994672.700000003</v>
      </c>
      <c r="G882">
        <v>0</v>
      </c>
      <c r="L882" t="s">
        <v>8</v>
      </c>
      <c r="M882" t="s">
        <v>7</v>
      </c>
      <c r="N882" t="s">
        <v>7</v>
      </c>
      <c r="P882">
        <f t="shared" si="1009"/>
        <v>-2.439024390244016E-2</v>
      </c>
      <c r="Q882">
        <f t="shared" si="1010"/>
        <v>-1097431.0414634659</v>
      </c>
      <c r="R882">
        <f t="shared" si="1011"/>
        <v>-1552502782.4952607</v>
      </c>
      <c r="S882">
        <f t="shared" si="1012"/>
        <v>-15525.027824952607</v>
      </c>
      <c r="T882">
        <f t="shared" si="1013"/>
        <v>-15.525027824952607</v>
      </c>
    </row>
    <row r="883" spans="1:20" x14ac:dyDescent="0.25">
      <c r="A883" s="5">
        <v>43710</v>
      </c>
      <c r="B883">
        <v>7.0299999999999998E-3</v>
      </c>
      <c r="C883">
        <v>7.1799999999999998E-3</v>
      </c>
      <c r="D883">
        <v>6.8500000000000002E-3</v>
      </c>
      <c r="E883">
        <v>7.1500000000000001E-3</v>
      </c>
      <c r="F883">
        <v>30011543.300000001</v>
      </c>
      <c r="G883">
        <v>0</v>
      </c>
      <c r="L883" t="s">
        <v>7</v>
      </c>
      <c r="M883" t="s">
        <v>7</v>
      </c>
      <c r="N883" t="s">
        <v>7</v>
      </c>
      <c r="P883">
        <f t="shared" si="1009"/>
        <v>0.81818181818182012</v>
      </c>
      <c r="Q883">
        <f t="shared" si="1010"/>
        <v>24554899.063636422</v>
      </c>
      <c r="R883">
        <f t="shared" si="1011"/>
        <v>-1551405351.4537973</v>
      </c>
      <c r="S883">
        <f t="shared" si="1012"/>
        <v>-15514.053514537973</v>
      </c>
      <c r="T883">
        <f t="shared" si="1013"/>
        <v>-15.514053514537972</v>
      </c>
    </row>
    <row r="884" spans="1:20" x14ac:dyDescent="0.25">
      <c r="A884" s="5">
        <v>43709</v>
      </c>
      <c r="B884">
        <v>6.9300000000000004E-3</v>
      </c>
      <c r="C884">
        <v>7.11E-3</v>
      </c>
      <c r="D884">
        <v>6.8399999999999997E-3</v>
      </c>
      <c r="E884">
        <v>7.0400000000000003E-3</v>
      </c>
      <c r="F884">
        <v>19754784.100000001</v>
      </c>
      <c r="G884">
        <v>0</v>
      </c>
      <c r="L884" t="s">
        <v>7</v>
      </c>
      <c r="M884" t="s">
        <v>7</v>
      </c>
      <c r="N884" t="s">
        <v>7</v>
      </c>
      <c r="P884">
        <f t="shared" si="1009"/>
        <v>0.48148148148148384</v>
      </c>
      <c r="Q884">
        <f t="shared" si="1010"/>
        <v>9511562.7148148622</v>
      </c>
      <c r="R884">
        <f t="shared" si="1011"/>
        <v>-1575960250.5174336</v>
      </c>
      <c r="S884">
        <f t="shared" si="1012"/>
        <v>-15759.602505174336</v>
      </c>
      <c r="T884">
        <f t="shared" si="1013"/>
        <v>-15.759602505174337</v>
      </c>
    </row>
    <row r="885" spans="1:20" x14ac:dyDescent="0.25">
      <c r="A885" s="5">
        <v>43708</v>
      </c>
      <c r="B885">
        <v>7.0200000000000002E-3</v>
      </c>
      <c r="C885">
        <v>7.1399999999999996E-3</v>
      </c>
      <c r="D885">
        <v>6.7999999999999996E-3</v>
      </c>
      <c r="E885">
        <v>6.9300000000000004E-3</v>
      </c>
      <c r="F885">
        <v>18513567.100000001</v>
      </c>
      <c r="G885">
        <v>0</v>
      </c>
      <c r="L885" t="s">
        <v>7</v>
      </c>
      <c r="M885" t="s">
        <v>7</v>
      </c>
      <c r="N885" t="s">
        <v>7</v>
      </c>
      <c r="P885">
        <f t="shared" si="1009"/>
        <v>-0.23529411764705432</v>
      </c>
      <c r="Q885">
        <f t="shared" si="1010"/>
        <v>-4356133.4352940349</v>
      </c>
      <c r="R885">
        <f t="shared" si="1011"/>
        <v>-1585471813.2322485</v>
      </c>
      <c r="S885">
        <f t="shared" si="1012"/>
        <v>-15854.718132322485</v>
      </c>
      <c r="T885">
        <f t="shared" si="1013"/>
        <v>-15.854718132322486</v>
      </c>
    </row>
    <row r="886" spans="1:20" x14ac:dyDescent="0.25">
      <c r="A886" s="5">
        <v>43707</v>
      </c>
      <c r="B886">
        <v>7.0099999999999997E-3</v>
      </c>
      <c r="C886">
        <v>7.1300000000000001E-3</v>
      </c>
      <c r="D886">
        <v>6.8799999999999998E-3</v>
      </c>
      <c r="E886">
        <v>7.0099999999999997E-3</v>
      </c>
      <c r="F886">
        <v>27386966.100000001</v>
      </c>
      <c r="G886">
        <v>0</v>
      </c>
      <c r="L886" t="s">
        <v>7</v>
      </c>
      <c r="M886" t="s">
        <v>7</v>
      </c>
      <c r="N886" t="s">
        <v>7</v>
      </c>
      <c r="P886">
        <f t="shared" si="1009"/>
        <v>3.9999999999998335E-2</v>
      </c>
      <c r="Q886">
        <f t="shared" si="1010"/>
        <v>1095478.6439999545</v>
      </c>
      <c r="R886">
        <f t="shared" si="1011"/>
        <v>-1581115679.7969544</v>
      </c>
      <c r="S886">
        <f t="shared" si="1012"/>
        <v>-15811.156797969545</v>
      </c>
      <c r="T886">
        <f t="shared" si="1013"/>
        <v>-15.811156797969545</v>
      </c>
    </row>
    <row r="887" spans="1:20" x14ac:dyDescent="0.25">
      <c r="A887" s="5">
        <v>43706</v>
      </c>
      <c r="B887">
        <v>7.1599999999999997E-3</v>
      </c>
      <c r="C887">
        <v>7.26E-3</v>
      </c>
      <c r="D887">
        <v>6.7400000000000003E-3</v>
      </c>
      <c r="E887">
        <v>7.0200000000000002E-3</v>
      </c>
      <c r="F887">
        <v>42211109</v>
      </c>
      <c r="G887">
        <v>0</v>
      </c>
      <c r="L887" t="s">
        <v>7</v>
      </c>
      <c r="M887" t="s">
        <v>7</v>
      </c>
      <c r="N887" t="s">
        <v>7</v>
      </c>
      <c r="P887">
        <f t="shared" si="1009"/>
        <v>7.6923076923077177E-2</v>
      </c>
      <c r="Q887">
        <f t="shared" si="1010"/>
        <v>3247008.3846153952</v>
      </c>
      <c r="R887">
        <f t="shared" si="1011"/>
        <v>-1582211158.4409544</v>
      </c>
      <c r="S887">
        <f t="shared" si="1012"/>
        <v>-15822.111584409544</v>
      </c>
      <c r="T887">
        <f t="shared" si="1013"/>
        <v>-15.822111584409544</v>
      </c>
    </row>
    <row r="888" spans="1:20" x14ac:dyDescent="0.25">
      <c r="A888" s="5">
        <v>43705</v>
      </c>
      <c r="B888">
        <v>8.0000000000000002E-3</v>
      </c>
      <c r="C888">
        <v>8.0999999999999996E-3</v>
      </c>
      <c r="D888">
        <v>7.0200000000000002E-3</v>
      </c>
      <c r="E888">
        <v>7.1999999999999998E-3</v>
      </c>
      <c r="F888">
        <v>61277476.200000003</v>
      </c>
      <c r="G888">
        <v>0</v>
      </c>
      <c r="L888" t="s">
        <v>7</v>
      </c>
      <c r="M888" t="s">
        <v>7</v>
      </c>
      <c r="N888" t="s">
        <v>7</v>
      </c>
      <c r="P888">
        <f t="shared" si="1009"/>
        <v>-0.66666666666666718</v>
      </c>
      <c r="Q888">
        <f t="shared" si="1010"/>
        <v>-40851650.800000034</v>
      </c>
      <c r="R888">
        <f t="shared" si="1011"/>
        <v>-1585458166.8255699</v>
      </c>
      <c r="S888">
        <f t="shared" si="1012"/>
        <v>-15854.581668255698</v>
      </c>
      <c r="T888">
        <f t="shared" si="1013"/>
        <v>-15.854581668255697</v>
      </c>
    </row>
    <row r="889" spans="1:20" x14ac:dyDescent="0.25">
      <c r="A889" s="5">
        <v>43704</v>
      </c>
      <c r="B889">
        <v>8.4100000000000008E-3</v>
      </c>
      <c r="C889">
        <v>8.4100000000000008E-3</v>
      </c>
      <c r="D889">
        <v>7.7400000000000004E-3</v>
      </c>
      <c r="E889">
        <v>7.9900000000000006E-3</v>
      </c>
      <c r="F889">
        <v>71702506</v>
      </c>
      <c r="G889">
        <v>0</v>
      </c>
      <c r="L889" t="s">
        <v>7</v>
      </c>
      <c r="M889" t="s">
        <v>7</v>
      </c>
      <c r="N889" t="s">
        <v>8</v>
      </c>
      <c r="P889">
        <f t="shared" si="1009"/>
        <v>-0.25373134328358193</v>
      </c>
      <c r="Q889">
        <f t="shared" si="1010"/>
        <v>-18193173.164179094</v>
      </c>
      <c r="R889">
        <f t="shared" si="1011"/>
        <v>-1544606516.0255699</v>
      </c>
      <c r="S889">
        <f t="shared" si="1012"/>
        <v>-15446.065160255699</v>
      </c>
      <c r="T889">
        <f t="shared" si="1013"/>
        <v>-15.446065160255699</v>
      </c>
    </row>
    <row r="890" spans="1:20" x14ac:dyDescent="0.25">
      <c r="A890" s="5">
        <v>43703</v>
      </c>
      <c r="B890">
        <v>7.9100000000000004E-3</v>
      </c>
      <c r="C890">
        <v>8.6800000000000002E-3</v>
      </c>
      <c r="D890">
        <v>7.8600000000000007E-3</v>
      </c>
      <c r="E890">
        <v>8.3800000000000003E-3</v>
      </c>
      <c r="F890">
        <v>79768620.5</v>
      </c>
      <c r="G890">
        <v>0</v>
      </c>
      <c r="L890" t="s">
        <v>8</v>
      </c>
      <c r="M890" t="s">
        <v>7</v>
      </c>
      <c r="N890" t="s">
        <v>8</v>
      </c>
      <c r="P890">
        <f t="shared" si="1009"/>
        <v>0.26829268292682906</v>
      </c>
      <c r="Q890">
        <f t="shared" si="1010"/>
        <v>21401337.207317058</v>
      </c>
      <c r="R890">
        <f t="shared" si="1011"/>
        <v>-1526413342.8613908</v>
      </c>
      <c r="S890">
        <f t="shared" si="1012"/>
        <v>-15264.133428613908</v>
      </c>
      <c r="T890">
        <f t="shared" si="1013"/>
        <v>-15.264133428613908</v>
      </c>
    </row>
    <row r="891" spans="1:20" x14ac:dyDescent="0.25">
      <c r="A891" s="5">
        <v>43702</v>
      </c>
      <c r="B891">
        <v>8.5900000000000004E-3</v>
      </c>
      <c r="C891">
        <v>8.9700000000000005E-3</v>
      </c>
      <c r="D891">
        <v>7.79E-3</v>
      </c>
      <c r="E891">
        <v>7.8600000000000007E-3</v>
      </c>
      <c r="F891">
        <v>156581138.80000001</v>
      </c>
      <c r="G891">
        <v>0</v>
      </c>
      <c r="L891" t="s">
        <v>7</v>
      </c>
      <c r="M891" t="s">
        <v>7</v>
      </c>
      <c r="N891" t="s">
        <v>8</v>
      </c>
      <c r="P891">
        <f t="shared" si="1009"/>
        <v>-0.88135593220338881</v>
      </c>
      <c r="Q891">
        <f t="shared" si="1010"/>
        <v>-138003715.55254221</v>
      </c>
      <c r="R891">
        <f t="shared" si="1011"/>
        <v>-1547814680.0687079</v>
      </c>
      <c r="S891">
        <f t="shared" si="1012"/>
        <v>-15478.14680068708</v>
      </c>
      <c r="T891">
        <f t="shared" si="1013"/>
        <v>-15.47814680068708</v>
      </c>
    </row>
    <row r="892" spans="1:20" x14ac:dyDescent="0.25">
      <c r="A892" s="5">
        <v>43701</v>
      </c>
      <c r="B892">
        <v>7.5599999999999999E-3</v>
      </c>
      <c r="C892">
        <v>9.4500000000000001E-3</v>
      </c>
      <c r="D892">
        <v>7.5599999999999999E-3</v>
      </c>
      <c r="E892">
        <v>8.5900000000000004E-3</v>
      </c>
      <c r="F892">
        <v>217907085.69999999</v>
      </c>
      <c r="G892">
        <v>0</v>
      </c>
      <c r="L892" t="s">
        <v>8</v>
      </c>
      <c r="M892" t="s">
        <v>8</v>
      </c>
      <c r="N892" t="s">
        <v>8</v>
      </c>
      <c r="P892">
        <f t="shared" si="1009"/>
        <v>8.99470899470904E-2</v>
      </c>
      <c r="Q892">
        <f t="shared" si="1010"/>
        <v>19600108.237566236</v>
      </c>
      <c r="R892">
        <f t="shared" si="1011"/>
        <v>-1409810964.5161657</v>
      </c>
      <c r="S892">
        <f t="shared" si="1012"/>
        <v>-14098.109645161658</v>
      </c>
      <c r="T892">
        <f t="shared" si="1013"/>
        <v>-14.098109645161658</v>
      </c>
    </row>
    <row r="893" spans="1:20" x14ac:dyDescent="0.25">
      <c r="A893" s="5">
        <v>43700</v>
      </c>
      <c r="B893">
        <v>7.4799999999999997E-3</v>
      </c>
      <c r="C893">
        <v>7.6499999999999997E-3</v>
      </c>
      <c r="D893">
        <v>7.3800000000000003E-3</v>
      </c>
      <c r="E893">
        <v>7.5399999999999998E-3</v>
      </c>
      <c r="F893">
        <v>33583056.299999997</v>
      </c>
      <c r="G893">
        <v>0</v>
      </c>
      <c r="L893" t="s">
        <v>8</v>
      </c>
      <c r="M893" t="s">
        <v>7</v>
      </c>
      <c r="N893" t="s">
        <v>7</v>
      </c>
      <c r="P893">
        <f t="shared" si="1009"/>
        <v>0.18518518518518448</v>
      </c>
      <c r="Q893">
        <f t="shared" si="1010"/>
        <v>6219084.4999999758</v>
      </c>
      <c r="R893">
        <f t="shared" si="1011"/>
        <v>-1429411072.753732</v>
      </c>
      <c r="S893">
        <f t="shared" si="1012"/>
        <v>-14294.11072753732</v>
      </c>
      <c r="T893">
        <f t="shared" si="1013"/>
        <v>-14.294110727537319</v>
      </c>
    </row>
    <row r="894" spans="1:20" x14ac:dyDescent="0.25">
      <c r="A894" s="5">
        <v>43699</v>
      </c>
      <c r="B894">
        <v>7.1300000000000001E-3</v>
      </c>
      <c r="C894">
        <v>7.6699999999999997E-3</v>
      </c>
      <c r="D894">
        <v>6.9100000000000003E-3</v>
      </c>
      <c r="E894">
        <v>7.4799999999999997E-3</v>
      </c>
      <c r="F894">
        <v>39254327</v>
      </c>
      <c r="G894">
        <v>0</v>
      </c>
      <c r="L894" t="s">
        <v>8</v>
      </c>
      <c r="M894" t="s">
        <v>7</v>
      </c>
      <c r="N894" t="s">
        <v>7</v>
      </c>
      <c r="P894">
        <f t="shared" si="1009"/>
        <v>0.49999999999999944</v>
      </c>
      <c r="Q894">
        <f t="shared" si="1010"/>
        <v>19627163.499999978</v>
      </c>
      <c r="R894">
        <f t="shared" si="1011"/>
        <v>-1435630157.253732</v>
      </c>
      <c r="S894">
        <f t="shared" si="1012"/>
        <v>-14356.301572537319</v>
      </c>
      <c r="T894">
        <f t="shared" si="1013"/>
        <v>-14.356301572537319</v>
      </c>
    </row>
    <row r="895" spans="1:20" x14ac:dyDescent="0.25">
      <c r="A895" s="5">
        <v>43698</v>
      </c>
      <c r="B895">
        <v>7.4999999999999997E-3</v>
      </c>
      <c r="C895">
        <v>7.5399999999999998E-3</v>
      </c>
      <c r="D895">
        <v>6.8500000000000002E-3</v>
      </c>
      <c r="E895">
        <v>7.1300000000000001E-3</v>
      </c>
      <c r="F895">
        <v>33082088</v>
      </c>
      <c r="G895">
        <v>0</v>
      </c>
      <c r="L895" t="s">
        <v>7</v>
      </c>
      <c r="M895" t="s">
        <v>7</v>
      </c>
      <c r="N895" t="s">
        <v>7</v>
      </c>
      <c r="P895">
        <f t="shared" ref="P895:P958" si="1014">IF(C895=D895,0,((E895-D895)-(C895-E895))/(C895-D895))</f>
        <v>-0.18840579710144925</v>
      </c>
      <c r="Q895">
        <f t="shared" ref="Q895:Q958" si="1015">F895*P895</f>
        <v>-6232857.1594202891</v>
      </c>
      <c r="R895">
        <f t="shared" ref="R895:R958" si="1016">R896+Q895</f>
        <v>-1455257320.753732</v>
      </c>
      <c r="S895">
        <f t="shared" ref="S895:S958" si="1017">R895/100000</f>
        <v>-14552.57320753732</v>
      </c>
      <c r="T895">
        <f t="shared" ref="T895:T958" si="1018">S895/1000</f>
        <v>-14.55257320753732</v>
      </c>
    </row>
    <row r="896" spans="1:20" x14ac:dyDescent="0.25">
      <c r="A896" s="5">
        <v>43697</v>
      </c>
      <c r="B896">
        <v>7.7499999999999999E-3</v>
      </c>
      <c r="C896">
        <v>7.77E-3</v>
      </c>
      <c r="D896">
        <v>7.3499999999999998E-3</v>
      </c>
      <c r="E896">
        <v>7.4900000000000001E-3</v>
      </c>
      <c r="F896">
        <v>42145177.799999997</v>
      </c>
      <c r="G896">
        <v>0</v>
      </c>
      <c r="L896" t="s">
        <v>7</v>
      </c>
      <c r="M896" t="s">
        <v>7</v>
      </c>
      <c r="N896" t="s">
        <v>7</v>
      </c>
      <c r="P896">
        <f t="shared" si="1014"/>
        <v>-0.33333333333333198</v>
      </c>
      <c r="Q896">
        <f t="shared" si="1015"/>
        <v>-14048392.599999942</v>
      </c>
      <c r="R896">
        <f t="shared" si="1016"/>
        <v>-1449024463.5943117</v>
      </c>
      <c r="S896">
        <f t="shared" si="1017"/>
        <v>-14490.244635943118</v>
      </c>
      <c r="T896">
        <f t="shared" si="1018"/>
        <v>-14.490244635943117</v>
      </c>
    </row>
    <row r="897" spans="1:20" x14ac:dyDescent="0.25">
      <c r="A897" s="5">
        <v>43696</v>
      </c>
      <c r="B897">
        <v>7.8600000000000007E-3</v>
      </c>
      <c r="C897">
        <v>8.1099999999999992E-3</v>
      </c>
      <c r="D897">
        <v>7.6299999999999996E-3</v>
      </c>
      <c r="E897">
        <v>7.7200000000000003E-3</v>
      </c>
      <c r="F897">
        <v>51532963.399999999</v>
      </c>
      <c r="G897">
        <v>0</v>
      </c>
      <c r="L897" t="s">
        <v>8</v>
      </c>
      <c r="M897" t="s">
        <v>7</v>
      </c>
      <c r="N897" t="s">
        <v>7</v>
      </c>
      <c r="P897">
        <f t="shared" si="1014"/>
        <v>-0.62499999999999689</v>
      </c>
      <c r="Q897">
        <f t="shared" si="1015"/>
        <v>-32208102.12499984</v>
      </c>
      <c r="R897">
        <f t="shared" si="1016"/>
        <v>-1434976070.9943118</v>
      </c>
      <c r="S897">
        <f t="shared" si="1017"/>
        <v>-14349.760709943119</v>
      </c>
      <c r="T897">
        <f t="shared" si="1018"/>
        <v>-14.349760709943119</v>
      </c>
    </row>
    <row r="898" spans="1:20" x14ac:dyDescent="0.25">
      <c r="A898" s="5">
        <v>43695</v>
      </c>
      <c r="B898">
        <v>7.7499999999999999E-3</v>
      </c>
      <c r="C898">
        <v>7.9299999999999995E-3</v>
      </c>
      <c r="D898">
        <v>7.4799999999999997E-3</v>
      </c>
      <c r="E898">
        <v>7.8600000000000007E-3</v>
      </c>
      <c r="F898">
        <v>27167083.199999999</v>
      </c>
      <c r="G898">
        <v>0</v>
      </c>
      <c r="L898" t="s">
        <v>8</v>
      </c>
      <c r="M898" t="s">
        <v>7</v>
      </c>
      <c r="N898" t="s">
        <v>7</v>
      </c>
      <c r="P898">
        <f t="shared" si="1014"/>
        <v>0.68888888888889377</v>
      </c>
      <c r="Q898">
        <f t="shared" si="1015"/>
        <v>18715101.760000132</v>
      </c>
      <c r="R898">
        <f t="shared" si="1016"/>
        <v>-1402767968.869312</v>
      </c>
      <c r="S898">
        <f t="shared" si="1017"/>
        <v>-14027.679688693121</v>
      </c>
      <c r="T898">
        <f t="shared" si="1018"/>
        <v>-14.027679688693121</v>
      </c>
    </row>
    <row r="899" spans="1:20" x14ac:dyDescent="0.25">
      <c r="A899" s="5">
        <v>43694</v>
      </c>
      <c r="B899">
        <v>7.3099999999999997E-3</v>
      </c>
      <c r="C899">
        <v>7.8499999999999993E-3</v>
      </c>
      <c r="D899">
        <v>7.1999999999999998E-3</v>
      </c>
      <c r="E899">
        <v>7.7299999999999999E-3</v>
      </c>
      <c r="F899">
        <v>30313822.5</v>
      </c>
      <c r="G899">
        <v>0</v>
      </c>
      <c r="L899" t="s">
        <v>8</v>
      </c>
      <c r="M899" t="s">
        <v>7</v>
      </c>
      <c r="N899" t="s">
        <v>7</v>
      </c>
      <c r="P899">
        <f t="shared" si="1014"/>
        <v>0.63076923076923219</v>
      </c>
      <c r="Q899">
        <f t="shared" si="1015"/>
        <v>19121026.500000045</v>
      </c>
      <c r="R899">
        <f t="shared" si="1016"/>
        <v>-1421483070.6293123</v>
      </c>
      <c r="S899">
        <f t="shared" si="1017"/>
        <v>-14214.830706293124</v>
      </c>
      <c r="T899">
        <f t="shared" si="1018"/>
        <v>-14.214830706293123</v>
      </c>
    </row>
    <row r="900" spans="1:20" x14ac:dyDescent="0.25">
      <c r="A900" s="5">
        <v>43693</v>
      </c>
      <c r="B900">
        <v>7.4900000000000001E-3</v>
      </c>
      <c r="C900">
        <v>7.5599999999999999E-3</v>
      </c>
      <c r="D900">
        <v>7.11E-3</v>
      </c>
      <c r="E900">
        <v>7.3299999999999997E-3</v>
      </c>
      <c r="F900">
        <v>67309161.599999994</v>
      </c>
      <c r="G900">
        <v>0</v>
      </c>
      <c r="L900" t="s">
        <v>7</v>
      </c>
      <c r="M900" t="s">
        <v>7</v>
      </c>
      <c r="N900" t="s">
        <v>7</v>
      </c>
      <c r="P900">
        <f t="shared" si="1014"/>
        <v>-2.222222222222325E-2</v>
      </c>
      <c r="Q900">
        <f t="shared" si="1015"/>
        <v>-1495759.1466667356</v>
      </c>
      <c r="R900">
        <f t="shared" si="1016"/>
        <v>-1440604097.1293123</v>
      </c>
      <c r="S900">
        <f t="shared" si="1017"/>
        <v>-14406.040971293123</v>
      </c>
      <c r="T900">
        <f t="shared" si="1018"/>
        <v>-14.406040971293123</v>
      </c>
    </row>
    <row r="901" spans="1:20" x14ac:dyDescent="0.25">
      <c r="A901" s="5">
        <v>43692</v>
      </c>
      <c r="B901">
        <v>7.62E-3</v>
      </c>
      <c r="C901">
        <v>7.9000000000000008E-3</v>
      </c>
      <c r="D901">
        <v>7.2899999999999996E-3</v>
      </c>
      <c r="E901">
        <v>7.4900000000000001E-3</v>
      </c>
      <c r="F901">
        <v>72196915.900000006</v>
      </c>
      <c r="G901">
        <v>0</v>
      </c>
      <c r="L901" t="s">
        <v>7</v>
      </c>
      <c r="M901" t="s">
        <v>7</v>
      </c>
      <c r="N901" t="s">
        <v>7</v>
      </c>
      <c r="P901">
        <f t="shared" si="1014"/>
        <v>-0.34426229508196676</v>
      </c>
      <c r="Q901">
        <f t="shared" si="1015"/>
        <v>-24854675.965573739</v>
      </c>
      <c r="R901">
        <f t="shared" si="1016"/>
        <v>-1439108337.9826455</v>
      </c>
      <c r="S901">
        <f t="shared" si="1017"/>
        <v>-14391.083379826456</v>
      </c>
      <c r="T901">
        <f t="shared" si="1018"/>
        <v>-14.391083379826457</v>
      </c>
    </row>
    <row r="902" spans="1:20" x14ac:dyDescent="0.25">
      <c r="A902" s="5">
        <v>43691</v>
      </c>
      <c r="B902">
        <v>8.7899999999999992E-3</v>
      </c>
      <c r="C902">
        <v>8.8500000000000002E-3</v>
      </c>
      <c r="D902">
        <v>7.6099999999999996E-3</v>
      </c>
      <c r="E902">
        <v>7.62E-3</v>
      </c>
      <c r="F902">
        <v>71560944.200000003</v>
      </c>
      <c r="G902">
        <v>0</v>
      </c>
      <c r="L902" t="s">
        <v>7</v>
      </c>
      <c r="M902" t="s">
        <v>7</v>
      </c>
      <c r="N902" t="s">
        <v>7</v>
      </c>
      <c r="P902">
        <f t="shared" si="1014"/>
        <v>-0.98387096774193472</v>
      </c>
      <c r="Q902">
        <f t="shared" si="1015"/>
        <v>-70406735.4225806</v>
      </c>
      <c r="R902">
        <f t="shared" si="1016"/>
        <v>-1414253662.0170717</v>
      </c>
      <c r="S902">
        <f t="shared" si="1017"/>
        <v>-14142.536620170717</v>
      </c>
      <c r="T902">
        <f t="shared" si="1018"/>
        <v>-14.142536620170716</v>
      </c>
    </row>
    <row r="903" spans="1:20" x14ac:dyDescent="0.25">
      <c r="A903" s="5">
        <v>43690</v>
      </c>
      <c r="B903">
        <v>8.8400000000000006E-3</v>
      </c>
      <c r="C903">
        <v>9.4599999999999997E-3</v>
      </c>
      <c r="D903">
        <v>8.6300000000000005E-3</v>
      </c>
      <c r="E903">
        <v>8.7899999999999992E-3</v>
      </c>
      <c r="F903">
        <v>86960303.599999994</v>
      </c>
      <c r="G903">
        <v>0</v>
      </c>
      <c r="L903" t="s">
        <v>8</v>
      </c>
      <c r="M903" t="s">
        <v>8</v>
      </c>
      <c r="N903" t="s">
        <v>7</v>
      </c>
      <c r="P903">
        <f t="shared" si="1014"/>
        <v>-0.61445783132530396</v>
      </c>
      <c r="Q903">
        <f t="shared" si="1015"/>
        <v>-53433439.561446019</v>
      </c>
      <c r="R903">
        <f t="shared" si="1016"/>
        <v>-1343846926.5944912</v>
      </c>
      <c r="S903">
        <f t="shared" si="1017"/>
        <v>-13438.469265944912</v>
      </c>
      <c r="T903">
        <f t="shared" si="1018"/>
        <v>-13.438469265944912</v>
      </c>
    </row>
    <row r="904" spans="1:20" x14ac:dyDescent="0.25">
      <c r="A904" s="5">
        <v>43689</v>
      </c>
      <c r="B904">
        <v>8.9200000000000008E-3</v>
      </c>
      <c r="C904">
        <v>9.2599999999999991E-3</v>
      </c>
      <c r="D904">
        <v>8.7500000000000008E-3</v>
      </c>
      <c r="E904">
        <v>8.8100000000000001E-3</v>
      </c>
      <c r="F904">
        <v>50570289.200000003</v>
      </c>
      <c r="G904">
        <v>0</v>
      </c>
      <c r="L904" t="s">
        <v>7</v>
      </c>
      <c r="M904" t="s">
        <v>8</v>
      </c>
      <c r="N904" t="s">
        <v>7</v>
      </c>
      <c r="P904">
        <f t="shared" si="1014"/>
        <v>-0.76470588235294312</v>
      </c>
      <c r="Q904">
        <f t="shared" si="1015"/>
        <v>-38671397.623529516</v>
      </c>
      <c r="R904">
        <f t="shared" si="1016"/>
        <v>-1290413487.0330453</v>
      </c>
      <c r="S904">
        <f t="shared" si="1017"/>
        <v>-12904.134870330452</v>
      </c>
      <c r="T904">
        <f t="shared" si="1018"/>
        <v>-12.904134870330452</v>
      </c>
    </row>
    <row r="905" spans="1:20" x14ac:dyDescent="0.25">
      <c r="A905" s="5">
        <v>43688</v>
      </c>
      <c r="B905">
        <v>8.3199999999999993E-3</v>
      </c>
      <c r="C905">
        <v>9.6500000000000006E-3</v>
      </c>
      <c r="D905">
        <v>8.3199999999999993E-3</v>
      </c>
      <c r="E905">
        <v>8.9800000000000001E-3</v>
      </c>
      <c r="F905">
        <v>238091974.40000001</v>
      </c>
      <c r="G905">
        <v>0</v>
      </c>
      <c r="L905" t="s">
        <v>8</v>
      </c>
      <c r="M905" t="s">
        <v>8</v>
      </c>
      <c r="N905" t="s">
        <v>7</v>
      </c>
      <c r="P905">
        <f t="shared" si="1014"/>
        <v>-7.5187969924808895E-3</v>
      </c>
      <c r="Q905">
        <f t="shared" si="1015"/>
        <v>-1790165.221052557</v>
      </c>
      <c r="R905">
        <f t="shared" si="1016"/>
        <v>-1251742089.4095159</v>
      </c>
      <c r="S905">
        <f t="shared" si="1017"/>
        <v>-12517.420894095159</v>
      </c>
      <c r="T905">
        <f t="shared" si="1018"/>
        <v>-12.51742089409516</v>
      </c>
    </row>
    <row r="906" spans="1:20" x14ac:dyDescent="0.25">
      <c r="A906" s="5">
        <v>43687</v>
      </c>
      <c r="B906">
        <v>7.9600000000000001E-3</v>
      </c>
      <c r="C906">
        <v>8.4700000000000001E-3</v>
      </c>
      <c r="D906">
        <v>7.92E-3</v>
      </c>
      <c r="E906">
        <v>8.3499999999999998E-3</v>
      </c>
      <c r="F906">
        <v>55265271.200000003</v>
      </c>
      <c r="G906">
        <v>0</v>
      </c>
      <c r="L906" t="s">
        <v>8</v>
      </c>
      <c r="M906" t="s">
        <v>7</v>
      </c>
      <c r="N906" t="s">
        <v>7</v>
      </c>
      <c r="P906">
        <f t="shared" si="1014"/>
        <v>0.5636363636363626</v>
      </c>
      <c r="Q906">
        <f t="shared" si="1015"/>
        <v>31149516.4945454</v>
      </c>
      <c r="R906">
        <f t="shared" si="1016"/>
        <v>-1249951924.1884632</v>
      </c>
      <c r="S906">
        <f t="shared" si="1017"/>
        <v>-12499.519241884633</v>
      </c>
      <c r="T906">
        <f t="shared" si="1018"/>
        <v>-12.499519241884633</v>
      </c>
    </row>
    <row r="907" spans="1:20" x14ac:dyDescent="0.25">
      <c r="A907" s="5">
        <v>43686</v>
      </c>
      <c r="B907">
        <v>8.5100000000000002E-3</v>
      </c>
      <c r="C907">
        <v>8.5800000000000008E-3</v>
      </c>
      <c r="D907">
        <v>7.8600000000000007E-3</v>
      </c>
      <c r="E907">
        <v>7.9600000000000001E-3</v>
      </c>
      <c r="F907">
        <v>72570686.099999994</v>
      </c>
      <c r="G907">
        <v>0</v>
      </c>
      <c r="L907" t="s">
        <v>7</v>
      </c>
      <c r="M907" t="s">
        <v>7</v>
      </c>
      <c r="N907" t="s">
        <v>7</v>
      </c>
      <c r="P907">
        <f t="shared" si="1014"/>
        <v>-0.72222222222222399</v>
      </c>
      <c r="Q907">
        <f t="shared" si="1015"/>
        <v>-52412162.183333457</v>
      </c>
      <c r="R907">
        <f t="shared" si="1016"/>
        <v>-1281101440.6830087</v>
      </c>
      <c r="S907">
        <f t="shared" si="1017"/>
        <v>-12811.014406830087</v>
      </c>
      <c r="T907">
        <f t="shared" si="1018"/>
        <v>-12.811014406830086</v>
      </c>
    </row>
    <row r="908" spans="1:20" x14ac:dyDescent="0.25">
      <c r="A908" s="5">
        <v>43685</v>
      </c>
      <c r="B908">
        <v>8.8500000000000002E-3</v>
      </c>
      <c r="C908">
        <v>8.8999999999999999E-3</v>
      </c>
      <c r="D908">
        <v>8.3300000000000006E-3</v>
      </c>
      <c r="E908">
        <v>8.5000000000000006E-3</v>
      </c>
      <c r="F908">
        <v>90788197.400000006</v>
      </c>
      <c r="G908">
        <v>0</v>
      </c>
      <c r="L908" t="s">
        <v>7</v>
      </c>
      <c r="M908" t="s">
        <v>7</v>
      </c>
      <c r="N908" t="s">
        <v>7</v>
      </c>
      <c r="P908">
        <f t="shared" si="1014"/>
        <v>-0.40350877192982382</v>
      </c>
      <c r="Q908">
        <f t="shared" si="1015"/>
        <v>-36633834.038596429</v>
      </c>
      <c r="R908">
        <f t="shared" si="1016"/>
        <v>-1228689278.4996753</v>
      </c>
      <c r="S908">
        <f t="shared" si="1017"/>
        <v>-12286.892784996753</v>
      </c>
      <c r="T908">
        <f t="shared" si="1018"/>
        <v>-12.286892784996754</v>
      </c>
    </row>
    <row r="909" spans="1:20" x14ac:dyDescent="0.25">
      <c r="A909" s="5">
        <v>43684</v>
      </c>
      <c r="B909">
        <v>9.2399999999999999E-3</v>
      </c>
      <c r="C909">
        <v>9.4999999999999998E-3</v>
      </c>
      <c r="D909">
        <v>8.7399999999999995E-3</v>
      </c>
      <c r="E909">
        <v>8.8500000000000002E-3</v>
      </c>
      <c r="F909">
        <v>94479204.099999994</v>
      </c>
      <c r="G909">
        <v>0</v>
      </c>
      <c r="L909" t="s">
        <v>7</v>
      </c>
      <c r="M909" t="s">
        <v>7</v>
      </c>
      <c r="N909" t="s">
        <v>7</v>
      </c>
      <c r="P909">
        <f t="shared" si="1014"/>
        <v>-0.7105263157894719</v>
      </c>
      <c r="Q909">
        <f t="shared" si="1015"/>
        <v>-67129960.807894558</v>
      </c>
      <c r="R909">
        <f t="shared" si="1016"/>
        <v>-1192055444.4610789</v>
      </c>
      <c r="S909">
        <f t="shared" si="1017"/>
        <v>-11920.554444610789</v>
      </c>
      <c r="T909">
        <f t="shared" si="1018"/>
        <v>-11.920554444610788</v>
      </c>
    </row>
    <row r="910" spans="1:20" x14ac:dyDescent="0.25">
      <c r="A910" s="5">
        <v>43683</v>
      </c>
      <c r="B910">
        <v>9.8799999999999999E-3</v>
      </c>
      <c r="C910">
        <v>9.9100000000000004E-3</v>
      </c>
      <c r="D910">
        <v>9.0799999999999995E-3</v>
      </c>
      <c r="E910">
        <v>9.2399999999999999E-3</v>
      </c>
      <c r="F910">
        <v>113500392.59999999</v>
      </c>
      <c r="G910">
        <v>0</v>
      </c>
      <c r="L910" t="s">
        <v>7</v>
      </c>
      <c r="M910" t="s">
        <v>7</v>
      </c>
      <c r="N910" t="s">
        <v>7</v>
      </c>
      <c r="P910">
        <f t="shared" si="1014"/>
        <v>-0.61445783132530063</v>
      </c>
      <c r="Q910">
        <f t="shared" si="1015"/>
        <v>-69741205.09156619</v>
      </c>
      <c r="R910">
        <f t="shared" si="1016"/>
        <v>-1124925483.6531844</v>
      </c>
      <c r="S910">
        <f t="shared" si="1017"/>
        <v>-11249.254836531843</v>
      </c>
      <c r="T910">
        <f t="shared" si="1018"/>
        <v>-11.249254836531843</v>
      </c>
    </row>
    <row r="911" spans="1:20" x14ac:dyDescent="0.25">
      <c r="A911" s="5">
        <v>43682</v>
      </c>
      <c r="B911">
        <v>1.0030000000000001E-2</v>
      </c>
      <c r="C911">
        <v>1.013E-2</v>
      </c>
      <c r="D911">
        <v>9.7999999999999997E-3</v>
      </c>
      <c r="E911">
        <v>9.8799999999999999E-3</v>
      </c>
      <c r="F911">
        <v>72957713.5</v>
      </c>
      <c r="G911">
        <v>0</v>
      </c>
      <c r="L911" t="s">
        <v>7</v>
      </c>
      <c r="M911" t="s">
        <v>7</v>
      </c>
      <c r="N911" t="s">
        <v>7</v>
      </c>
      <c r="P911">
        <f t="shared" si="1014"/>
        <v>-0.51515151515151447</v>
      </c>
      <c r="Q911">
        <f t="shared" si="1015"/>
        <v>-37584276.651515104</v>
      </c>
      <c r="R911">
        <f t="shared" si="1016"/>
        <v>-1055184278.5616182</v>
      </c>
      <c r="S911">
        <f t="shared" si="1017"/>
        <v>-10551.842785616182</v>
      </c>
      <c r="T911">
        <f t="shared" si="1018"/>
        <v>-10.551842785616181</v>
      </c>
    </row>
    <row r="912" spans="1:20" x14ac:dyDescent="0.25">
      <c r="A912" s="5">
        <v>43681</v>
      </c>
      <c r="B912">
        <v>1.0149999999999999E-2</v>
      </c>
      <c r="C912">
        <v>1.031E-2</v>
      </c>
      <c r="D912">
        <v>9.9299999999999996E-3</v>
      </c>
      <c r="E912">
        <v>1.005E-2</v>
      </c>
      <c r="F912">
        <v>39653836.299999997</v>
      </c>
      <c r="G912">
        <v>0</v>
      </c>
      <c r="L912" t="s">
        <v>7</v>
      </c>
      <c r="M912" t="s">
        <v>7</v>
      </c>
      <c r="N912" t="s">
        <v>7</v>
      </c>
      <c r="P912">
        <f t="shared" si="1014"/>
        <v>-0.36842105263157748</v>
      </c>
      <c r="Q912">
        <f t="shared" si="1015"/>
        <v>-14609308.110526256</v>
      </c>
      <c r="R912">
        <f t="shared" si="1016"/>
        <v>-1017600001.9101031</v>
      </c>
      <c r="S912">
        <f t="shared" si="1017"/>
        <v>-10176.000019101031</v>
      </c>
      <c r="T912">
        <f t="shared" si="1018"/>
        <v>-10.176000019101032</v>
      </c>
    </row>
    <row r="913" spans="1:20" x14ac:dyDescent="0.25">
      <c r="A913" s="5">
        <v>43680</v>
      </c>
      <c r="B913">
        <v>1.027E-2</v>
      </c>
      <c r="C913">
        <v>1.047E-2</v>
      </c>
      <c r="D913">
        <v>1.01E-2</v>
      </c>
      <c r="E913">
        <v>1.018E-2</v>
      </c>
      <c r="F913">
        <v>48417022.299999997</v>
      </c>
      <c r="G913">
        <v>0</v>
      </c>
      <c r="L913" t="s">
        <v>7</v>
      </c>
      <c r="M913" t="s">
        <v>7</v>
      </c>
      <c r="N913" t="s">
        <v>7</v>
      </c>
      <c r="P913">
        <f t="shared" si="1014"/>
        <v>-0.5675675675675671</v>
      </c>
      <c r="Q913">
        <f t="shared" si="1015"/>
        <v>-27479931.575675651</v>
      </c>
      <c r="R913">
        <f t="shared" si="1016"/>
        <v>-1002990693.7995769</v>
      </c>
      <c r="S913">
        <f t="shared" si="1017"/>
        <v>-10029.906937995769</v>
      </c>
      <c r="T913">
        <f t="shared" si="1018"/>
        <v>-10.029906937995769</v>
      </c>
    </row>
    <row r="914" spans="1:20" x14ac:dyDescent="0.25">
      <c r="A914" s="5">
        <v>43679</v>
      </c>
      <c r="B914">
        <v>1.031E-2</v>
      </c>
      <c r="C914">
        <v>1.0749999999999999E-2</v>
      </c>
      <c r="D914">
        <v>1.0019999999999999E-2</v>
      </c>
      <c r="E914">
        <v>1.025E-2</v>
      </c>
      <c r="F914">
        <v>60762090.299999997</v>
      </c>
      <c r="G914">
        <v>0</v>
      </c>
      <c r="L914" t="s">
        <v>8</v>
      </c>
      <c r="M914" t="s">
        <v>7</v>
      </c>
      <c r="N914" t="s">
        <v>7</v>
      </c>
      <c r="P914">
        <f t="shared" si="1014"/>
        <v>-0.36986301369862706</v>
      </c>
      <c r="Q914">
        <f t="shared" si="1015"/>
        <v>-22473649.836986113</v>
      </c>
      <c r="R914">
        <f t="shared" si="1016"/>
        <v>-975510762.22390127</v>
      </c>
      <c r="S914">
        <f t="shared" si="1017"/>
        <v>-9755.1076222390129</v>
      </c>
      <c r="T914">
        <f t="shared" si="1018"/>
        <v>-9.755107622239013</v>
      </c>
    </row>
    <row r="915" spans="1:20" x14ac:dyDescent="0.25">
      <c r="A915" s="5">
        <v>43678</v>
      </c>
      <c r="B915">
        <v>1.091E-2</v>
      </c>
      <c r="C915">
        <v>1.095E-2</v>
      </c>
      <c r="D915">
        <v>1.005E-2</v>
      </c>
      <c r="E915">
        <v>1.031E-2</v>
      </c>
      <c r="F915">
        <v>62746834.600000001</v>
      </c>
      <c r="G915">
        <v>0</v>
      </c>
      <c r="L915" t="s">
        <v>7</v>
      </c>
      <c r="M915" t="s">
        <v>7</v>
      </c>
      <c r="N915" t="s">
        <v>7</v>
      </c>
      <c r="P915">
        <f t="shared" si="1014"/>
        <v>-0.4222222222222225</v>
      </c>
      <c r="Q915">
        <f t="shared" si="1015"/>
        <v>-26493107.942222241</v>
      </c>
      <c r="R915">
        <f t="shared" si="1016"/>
        <v>-953037112.38691521</v>
      </c>
      <c r="S915">
        <f t="shared" si="1017"/>
        <v>-9530.3711238691521</v>
      </c>
      <c r="T915">
        <f t="shared" si="1018"/>
        <v>-9.530371123869152</v>
      </c>
    </row>
    <row r="916" spans="1:20" x14ac:dyDescent="0.25">
      <c r="A916" s="5">
        <v>43677</v>
      </c>
      <c r="B916">
        <v>1.076E-2</v>
      </c>
      <c r="C916">
        <v>1.15E-2</v>
      </c>
      <c r="D916">
        <v>1.074E-2</v>
      </c>
      <c r="E916">
        <v>1.091E-2</v>
      </c>
      <c r="F916">
        <v>87908399.400000006</v>
      </c>
      <c r="G916">
        <v>0</v>
      </c>
      <c r="L916" t="s">
        <v>8</v>
      </c>
      <c r="M916" t="s">
        <v>7</v>
      </c>
      <c r="N916" t="s">
        <v>7</v>
      </c>
      <c r="P916">
        <f t="shared" si="1014"/>
        <v>-0.55263157894736858</v>
      </c>
      <c r="Q916">
        <f t="shared" si="1015"/>
        <v>-48580957.563157916</v>
      </c>
      <c r="R916">
        <f t="shared" si="1016"/>
        <v>-926544004.44469297</v>
      </c>
      <c r="S916">
        <f t="shared" si="1017"/>
        <v>-9265.4400444469302</v>
      </c>
      <c r="T916">
        <f t="shared" si="1018"/>
        <v>-9.2654400444469296</v>
      </c>
    </row>
    <row r="917" spans="1:20" x14ac:dyDescent="0.25">
      <c r="A917" s="5">
        <v>43676</v>
      </c>
      <c r="B917">
        <v>1.0279999999999999E-2</v>
      </c>
      <c r="C917">
        <v>1.0829999999999999E-2</v>
      </c>
      <c r="D917">
        <v>1.01E-2</v>
      </c>
      <c r="E917">
        <v>1.0800000000000001E-2</v>
      </c>
      <c r="F917">
        <v>30949866.699999999</v>
      </c>
      <c r="G917">
        <v>0</v>
      </c>
      <c r="L917" t="s">
        <v>8</v>
      </c>
      <c r="M917" t="s">
        <v>7</v>
      </c>
      <c r="N917" t="s">
        <v>7</v>
      </c>
      <c r="P917">
        <f t="shared" si="1014"/>
        <v>0.91780821917808553</v>
      </c>
      <c r="Q917">
        <f t="shared" si="1015"/>
        <v>28406042.039726131</v>
      </c>
      <c r="R917">
        <f t="shared" si="1016"/>
        <v>-877963046.88153505</v>
      </c>
      <c r="S917">
        <f t="shared" si="1017"/>
        <v>-8779.6304688153505</v>
      </c>
      <c r="T917">
        <f t="shared" si="1018"/>
        <v>-8.7796304688153501</v>
      </c>
    </row>
    <row r="918" spans="1:20" x14ac:dyDescent="0.25">
      <c r="A918" s="5">
        <v>43675</v>
      </c>
      <c r="B918">
        <v>1.026E-2</v>
      </c>
      <c r="C918">
        <v>1.052E-2</v>
      </c>
      <c r="D918">
        <v>1.0019999999999999E-2</v>
      </c>
      <c r="E918">
        <v>1.0279999999999999E-2</v>
      </c>
      <c r="F918">
        <v>29962344.899999999</v>
      </c>
      <c r="G918">
        <v>0</v>
      </c>
      <c r="L918" t="s">
        <v>8</v>
      </c>
      <c r="M918" t="s">
        <v>7</v>
      </c>
      <c r="N918" t="s">
        <v>7</v>
      </c>
      <c r="P918">
        <f t="shared" si="1014"/>
        <v>3.9999999999998335E-2</v>
      </c>
      <c r="Q918">
        <f t="shared" si="1015"/>
        <v>1198493.79599995</v>
      </c>
      <c r="R918">
        <f t="shared" si="1016"/>
        <v>-906369088.92126119</v>
      </c>
      <c r="S918">
        <f t="shared" si="1017"/>
        <v>-9063.6908892126121</v>
      </c>
      <c r="T918">
        <f t="shared" si="1018"/>
        <v>-9.0636908892126122</v>
      </c>
    </row>
    <row r="919" spans="1:20" x14ac:dyDescent="0.25">
      <c r="A919" s="5">
        <v>43674</v>
      </c>
      <c r="B919">
        <v>1.022E-2</v>
      </c>
      <c r="C919">
        <v>1.055E-2</v>
      </c>
      <c r="D919">
        <v>9.8200000000000006E-3</v>
      </c>
      <c r="E919">
        <v>1.026E-2</v>
      </c>
      <c r="F919">
        <v>29516708.5</v>
      </c>
      <c r="G919">
        <v>0</v>
      </c>
      <c r="L919" t="s">
        <v>7</v>
      </c>
      <c r="M919" t="s">
        <v>7</v>
      </c>
      <c r="N919" t="s">
        <v>7</v>
      </c>
      <c r="P919">
        <f t="shared" si="1014"/>
        <v>0.20547945205479334</v>
      </c>
      <c r="Q919">
        <f t="shared" si="1015"/>
        <v>6065077.0890410608</v>
      </c>
      <c r="R919">
        <f t="shared" si="1016"/>
        <v>-907567582.7172612</v>
      </c>
      <c r="S919">
        <f t="shared" si="1017"/>
        <v>-9075.6758271726121</v>
      </c>
      <c r="T919">
        <f t="shared" si="1018"/>
        <v>-9.0756758271726117</v>
      </c>
    </row>
    <row r="920" spans="1:20" x14ac:dyDescent="0.25">
      <c r="A920" s="5">
        <v>43673</v>
      </c>
      <c r="B920">
        <v>1.0919999999999999E-2</v>
      </c>
      <c r="C920">
        <v>1.116E-2</v>
      </c>
      <c r="D920">
        <v>1.013E-2</v>
      </c>
      <c r="E920">
        <v>1.025E-2</v>
      </c>
      <c r="F920">
        <v>44001927.700000003</v>
      </c>
      <c r="G920">
        <v>0</v>
      </c>
      <c r="L920" t="s">
        <v>7</v>
      </c>
      <c r="M920" t="s">
        <v>7</v>
      </c>
      <c r="N920" t="s">
        <v>7</v>
      </c>
      <c r="P920">
        <f t="shared" si="1014"/>
        <v>-0.76699029126213525</v>
      </c>
      <c r="Q920">
        <f t="shared" si="1015"/>
        <v>-33749051.342718422</v>
      </c>
      <c r="R920">
        <f t="shared" si="1016"/>
        <v>-913632659.80630231</v>
      </c>
      <c r="S920">
        <f t="shared" si="1017"/>
        <v>-9136.326598063024</v>
      </c>
      <c r="T920">
        <f t="shared" si="1018"/>
        <v>-9.1363265980630235</v>
      </c>
    </row>
    <row r="921" spans="1:20" x14ac:dyDescent="0.25">
      <c r="A921" s="5">
        <v>43672</v>
      </c>
      <c r="B921">
        <v>1.107E-2</v>
      </c>
      <c r="C921">
        <v>1.1129999999999999E-2</v>
      </c>
      <c r="D921">
        <v>1.04E-2</v>
      </c>
      <c r="E921">
        <v>1.0919999999999999E-2</v>
      </c>
      <c r="F921">
        <v>43612677.799999997</v>
      </c>
      <c r="G921">
        <v>0</v>
      </c>
      <c r="L921" t="s">
        <v>7</v>
      </c>
      <c r="M921" t="s">
        <v>7</v>
      </c>
      <c r="N921" t="s">
        <v>7</v>
      </c>
      <c r="P921">
        <f t="shared" si="1014"/>
        <v>0.42465753424657482</v>
      </c>
      <c r="Q921">
        <f t="shared" si="1015"/>
        <v>18520452.216438331</v>
      </c>
      <c r="R921">
        <f t="shared" si="1016"/>
        <v>-879883608.46358395</v>
      </c>
      <c r="S921">
        <f t="shared" si="1017"/>
        <v>-8798.8360846358391</v>
      </c>
      <c r="T921">
        <f t="shared" si="1018"/>
        <v>-8.7988360846358393</v>
      </c>
    </row>
    <row r="922" spans="1:20" x14ac:dyDescent="0.25">
      <c r="A922" s="5">
        <v>43671</v>
      </c>
      <c r="B922">
        <v>1.034E-2</v>
      </c>
      <c r="C922">
        <v>1.123E-2</v>
      </c>
      <c r="D922">
        <v>1.0240000000000001E-2</v>
      </c>
      <c r="E922">
        <v>1.1129999999999999E-2</v>
      </c>
      <c r="F922">
        <v>43723010.700000003</v>
      </c>
      <c r="G922">
        <v>0</v>
      </c>
      <c r="L922" t="s">
        <v>8</v>
      </c>
      <c r="M922" t="s">
        <v>7</v>
      </c>
      <c r="N922" t="s">
        <v>7</v>
      </c>
      <c r="P922">
        <f t="shared" si="1014"/>
        <v>0.79797979797979557</v>
      </c>
      <c r="Q922">
        <f t="shared" si="1015"/>
        <v>34890079.245454445</v>
      </c>
      <c r="R922">
        <f t="shared" si="1016"/>
        <v>-898404060.68002224</v>
      </c>
      <c r="S922">
        <f t="shared" si="1017"/>
        <v>-8984.040606800223</v>
      </c>
      <c r="T922">
        <f t="shared" si="1018"/>
        <v>-8.9840406068002228</v>
      </c>
    </row>
    <row r="923" spans="1:20" x14ac:dyDescent="0.25">
      <c r="A923" s="5">
        <v>43670</v>
      </c>
      <c r="B923">
        <v>1.031E-2</v>
      </c>
      <c r="C923">
        <v>1.0489999999999999E-2</v>
      </c>
      <c r="D923">
        <v>9.8799999999999999E-3</v>
      </c>
      <c r="E923">
        <v>1.0370000000000001E-2</v>
      </c>
      <c r="F923">
        <v>39367773.5</v>
      </c>
      <c r="G923">
        <v>0</v>
      </c>
      <c r="L923" t="s">
        <v>7</v>
      </c>
      <c r="M923" t="s">
        <v>7</v>
      </c>
      <c r="N923" t="s">
        <v>7</v>
      </c>
      <c r="P923">
        <f t="shared" si="1014"/>
        <v>0.60655737704918467</v>
      </c>
      <c r="Q923">
        <f t="shared" si="1015"/>
        <v>23878813.434426401</v>
      </c>
      <c r="R923">
        <f t="shared" si="1016"/>
        <v>-933294139.92547667</v>
      </c>
      <c r="S923">
        <f t="shared" si="1017"/>
        <v>-9332.941399254767</v>
      </c>
      <c r="T923">
        <f t="shared" si="1018"/>
        <v>-9.3329413992547678</v>
      </c>
    </row>
    <row r="924" spans="1:20" x14ac:dyDescent="0.25">
      <c r="A924" s="5">
        <v>43669</v>
      </c>
      <c r="B924">
        <v>1.095E-2</v>
      </c>
      <c r="C924">
        <v>1.119E-2</v>
      </c>
      <c r="D924">
        <v>1.014E-2</v>
      </c>
      <c r="E924">
        <v>1.03E-2</v>
      </c>
      <c r="F924">
        <v>57466572.399999999</v>
      </c>
      <c r="G924">
        <v>0</v>
      </c>
      <c r="L924" t="s">
        <v>7</v>
      </c>
      <c r="M924" t="s">
        <v>7</v>
      </c>
      <c r="N924" t="s">
        <v>7</v>
      </c>
      <c r="P924">
        <f t="shared" si="1014"/>
        <v>-0.69523809523809466</v>
      </c>
      <c r="Q924">
        <f t="shared" si="1015"/>
        <v>-39952950.335238062</v>
      </c>
      <c r="R924">
        <f t="shared" si="1016"/>
        <v>-957172953.3599031</v>
      </c>
      <c r="S924">
        <f t="shared" si="1017"/>
        <v>-9571.7295335990311</v>
      </c>
      <c r="T924">
        <f t="shared" si="1018"/>
        <v>-9.5717295335990311</v>
      </c>
    </row>
    <row r="925" spans="1:20" x14ac:dyDescent="0.25">
      <c r="A925" s="5">
        <v>43668</v>
      </c>
      <c r="B925">
        <v>1.1299999999999999E-2</v>
      </c>
      <c r="C925">
        <v>1.1560000000000001E-2</v>
      </c>
      <c r="D925">
        <v>1.0800000000000001E-2</v>
      </c>
      <c r="E925">
        <v>1.099E-2</v>
      </c>
      <c r="F925">
        <v>40146691.5</v>
      </c>
      <c r="G925">
        <v>0</v>
      </c>
      <c r="L925" t="s">
        <v>7</v>
      </c>
      <c r="M925" t="s">
        <v>8</v>
      </c>
      <c r="N925" t="s">
        <v>7</v>
      </c>
      <c r="P925">
        <f t="shared" si="1014"/>
        <v>-0.50000000000000233</v>
      </c>
      <c r="Q925">
        <f t="shared" si="1015"/>
        <v>-20073345.750000093</v>
      </c>
      <c r="R925">
        <f t="shared" si="1016"/>
        <v>-917220003.024665</v>
      </c>
      <c r="S925">
        <f t="shared" si="1017"/>
        <v>-9172.2000302466495</v>
      </c>
      <c r="T925">
        <f t="shared" si="1018"/>
        <v>-9.1722000302466498</v>
      </c>
    </row>
    <row r="926" spans="1:20" x14ac:dyDescent="0.25">
      <c r="A926" s="5">
        <v>43667</v>
      </c>
      <c r="B926">
        <v>1.166E-2</v>
      </c>
      <c r="C926">
        <v>1.1820000000000001E-2</v>
      </c>
      <c r="D926">
        <v>1.1050000000000001E-2</v>
      </c>
      <c r="E926">
        <v>1.1299999999999999E-2</v>
      </c>
      <c r="F926">
        <v>56521719.399999999</v>
      </c>
      <c r="G926">
        <v>0</v>
      </c>
      <c r="L926" t="s">
        <v>7</v>
      </c>
      <c r="M926" t="s">
        <v>8</v>
      </c>
      <c r="N926" t="s">
        <v>7</v>
      </c>
      <c r="P926">
        <f t="shared" si="1014"/>
        <v>-0.35064935064935443</v>
      </c>
      <c r="Q926">
        <f t="shared" si="1015"/>
        <v>-19819304.205195017</v>
      </c>
      <c r="R926">
        <f t="shared" si="1016"/>
        <v>-897146657.27466488</v>
      </c>
      <c r="S926">
        <f t="shared" si="1017"/>
        <v>-8971.466572746649</v>
      </c>
      <c r="T926">
        <f t="shared" si="1018"/>
        <v>-8.9714665727466496</v>
      </c>
    </row>
    <row r="927" spans="1:20" x14ac:dyDescent="0.25">
      <c r="A927" s="5">
        <v>43666</v>
      </c>
      <c r="B927">
        <v>1.119E-2</v>
      </c>
      <c r="C927">
        <v>1.192E-2</v>
      </c>
      <c r="D927">
        <v>1.091E-2</v>
      </c>
      <c r="E927">
        <v>1.166E-2</v>
      </c>
      <c r="F927">
        <v>62777155.200000003</v>
      </c>
      <c r="G927">
        <v>0</v>
      </c>
      <c r="L927" t="s">
        <v>8</v>
      </c>
      <c r="M927" t="s">
        <v>8</v>
      </c>
      <c r="N927" t="s">
        <v>7</v>
      </c>
      <c r="P927">
        <f t="shared" si="1014"/>
        <v>0.48514851485148575</v>
      </c>
      <c r="Q927">
        <f t="shared" si="1015"/>
        <v>30456243.611881226</v>
      </c>
      <c r="R927">
        <f t="shared" si="1016"/>
        <v>-877327353.06946981</v>
      </c>
      <c r="S927">
        <f t="shared" si="1017"/>
        <v>-8773.2735306946979</v>
      </c>
      <c r="T927">
        <f t="shared" si="1018"/>
        <v>-8.7732735306946985</v>
      </c>
    </row>
    <row r="928" spans="1:20" x14ac:dyDescent="0.25">
      <c r="A928" s="5">
        <v>43665</v>
      </c>
      <c r="B928">
        <v>1.098E-2</v>
      </c>
      <c r="C928">
        <v>1.132E-2</v>
      </c>
      <c r="D928">
        <v>1.0619999999999999E-2</v>
      </c>
      <c r="E928">
        <v>1.119E-2</v>
      </c>
      <c r="F928">
        <v>56950188.899999999</v>
      </c>
      <c r="G928">
        <v>0</v>
      </c>
      <c r="L928" t="s">
        <v>8</v>
      </c>
      <c r="M928" t="s">
        <v>8</v>
      </c>
      <c r="N928" t="s">
        <v>7</v>
      </c>
      <c r="P928">
        <f t="shared" si="1014"/>
        <v>0.62857142857142934</v>
      </c>
      <c r="Q928">
        <f t="shared" si="1015"/>
        <v>35797261.594285756</v>
      </c>
      <c r="R928">
        <f t="shared" si="1016"/>
        <v>-907783596.68135107</v>
      </c>
      <c r="S928">
        <f t="shared" si="1017"/>
        <v>-9077.8359668135108</v>
      </c>
      <c r="T928">
        <f t="shared" si="1018"/>
        <v>-9.0778359668135113</v>
      </c>
    </row>
    <row r="929" spans="1:20" x14ac:dyDescent="0.25">
      <c r="A929" s="5">
        <v>43664</v>
      </c>
      <c r="B929">
        <v>1.0410000000000001E-2</v>
      </c>
      <c r="C929">
        <v>1.112E-2</v>
      </c>
      <c r="D929">
        <v>1.0070000000000001E-2</v>
      </c>
      <c r="E929">
        <v>1.0970000000000001E-2</v>
      </c>
      <c r="F929">
        <v>73833313.299999997</v>
      </c>
      <c r="G929">
        <v>0</v>
      </c>
      <c r="L929" t="s">
        <v>8</v>
      </c>
      <c r="M929" t="s">
        <v>8</v>
      </c>
      <c r="N929" t="s">
        <v>7</v>
      </c>
      <c r="P929">
        <f t="shared" si="1014"/>
        <v>0.71428571428571574</v>
      </c>
      <c r="Q929">
        <f t="shared" si="1015"/>
        <v>52738080.928571537</v>
      </c>
      <c r="R929">
        <f t="shared" si="1016"/>
        <v>-943580858.27563679</v>
      </c>
      <c r="S929">
        <f t="shared" si="1017"/>
        <v>-9435.8085827563682</v>
      </c>
      <c r="T929">
        <f t="shared" si="1018"/>
        <v>-9.4358085827563674</v>
      </c>
    </row>
    <row r="930" spans="1:20" x14ac:dyDescent="0.25">
      <c r="A930" s="5">
        <v>43663</v>
      </c>
      <c r="B930">
        <v>9.9000000000000008E-3</v>
      </c>
      <c r="C930">
        <v>1.081E-2</v>
      </c>
      <c r="D930">
        <v>9.1299999999999992E-3</v>
      </c>
      <c r="E930">
        <v>1.0410000000000001E-2</v>
      </c>
      <c r="F930">
        <v>108775154.59999999</v>
      </c>
      <c r="G930">
        <v>0</v>
      </c>
      <c r="L930" t="s">
        <v>7</v>
      </c>
      <c r="M930" t="s">
        <v>7</v>
      </c>
      <c r="N930" t="s">
        <v>7</v>
      </c>
      <c r="P930">
        <f t="shared" si="1014"/>
        <v>0.52380952380952495</v>
      </c>
      <c r="Q930">
        <f t="shared" si="1015"/>
        <v>56977461.933333457</v>
      </c>
      <c r="R930">
        <f t="shared" si="1016"/>
        <v>-996318939.20420837</v>
      </c>
      <c r="S930">
        <f t="shared" si="1017"/>
        <v>-9963.1893920420844</v>
      </c>
      <c r="T930">
        <f t="shared" si="1018"/>
        <v>-9.963189392042084</v>
      </c>
    </row>
    <row r="931" spans="1:20" x14ac:dyDescent="0.25">
      <c r="A931" s="5">
        <v>43662</v>
      </c>
      <c r="B931">
        <v>1.2E-2</v>
      </c>
      <c r="C931">
        <v>1.2149999999999999E-2</v>
      </c>
      <c r="D931">
        <v>9.6799999999999994E-3</v>
      </c>
      <c r="E931">
        <v>9.8300000000000002E-3</v>
      </c>
      <c r="F931">
        <v>97341668.5</v>
      </c>
      <c r="G931">
        <v>0</v>
      </c>
      <c r="L931" t="s">
        <v>7</v>
      </c>
      <c r="M931" t="s">
        <v>7</v>
      </c>
      <c r="N931" t="s">
        <v>7</v>
      </c>
      <c r="P931">
        <f t="shared" si="1014"/>
        <v>-0.87854251012145679</v>
      </c>
      <c r="Q931">
        <f t="shared" si="1015"/>
        <v>-85518793.783400744</v>
      </c>
      <c r="R931">
        <f t="shared" si="1016"/>
        <v>-1053296401.1375419</v>
      </c>
      <c r="S931">
        <f t="shared" si="1017"/>
        <v>-10532.964011375419</v>
      </c>
      <c r="T931">
        <f t="shared" si="1018"/>
        <v>-10.532964011375419</v>
      </c>
    </row>
    <row r="932" spans="1:20" x14ac:dyDescent="0.25">
      <c r="A932" s="5">
        <v>43661</v>
      </c>
      <c r="B932">
        <v>1.223E-2</v>
      </c>
      <c r="C932">
        <v>1.238E-2</v>
      </c>
      <c r="D932">
        <v>1.1129999999999999E-2</v>
      </c>
      <c r="E932">
        <v>1.192E-2</v>
      </c>
      <c r="F932">
        <v>76187201.799999997</v>
      </c>
      <c r="G932">
        <v>0</v>
      </c>
      <c r="L932" t="s">
        <v>7</v>
      </c>
      <c r="M932" t="s">
        <v>7</v>
      </c>
      <c r="N932" t="s">
        <v>7</v>
      </c>
      <c r="P932">
        <f t="shared" si="1014"/>
        <v>0.26400000000000012</v>
      </c>
      <c r="Q932">
        <f t="shared" si="1015"/>
        <v>20113421.275200009</v>
      </c>
      <c r="R932">
        <f t="shared" si="1016"/>
        <v>-967777607.35414112</v>
      </c>
      <c r="S932">
        <f t="shared" si="1017"/>
        <v>-9677.7760735414104</v>
      </c>
      <c r="T932">
        <f t="shared" si="1018"/>
        <v>-9.6777760735414109</v>
      </c>
    </row>
    <row r="933" spans="1:20" x14ac:dyDescent="0.25">
      <c r="A933" s="5">
        <v>43660</v>
      </c>
      <c r="B933">
        <v>1.4030000000000001E-2</v>
      </c>
      <c r="C933">
        <v>1.418E-2</v>
      </c>
      <c r="D933">
        <v>1.2239999999999999E-2</v>
      </c>
      <c r="E933">
        <v>1.2239999999999999E-2</v>
      </c>
      <c r="F933">
        <v>56997247.799999997</v>
      </c>
      <c r="G933">
        <v>0</v>
      </c>
      <c r="L933" t="s">
        <v>7</v>
      </c>
      <c r="M933" t="s">
        <v>7</v>
      </c>
      <c r="N933" t="s">
        <v>7</v>
      </c>
      <c r="P933">
        <f t="shared" si="1014"/>
        <v>-1</v>
      </c>
      <c r="Q933">
        <f t="shared" si="1015"/>
        <v>-56997247.799999997</v>
      </c>
      <c r="R933">
        <f t="shared" si="1016"/>
        <v>-987891028.62934113</v>
      </c>
      <c r="S933">
        <f t="shared" si="1017"/>
        <v>-9878.9102862934105</v>
      </c>
      <c r="T933">
        <f t="shared" si="1018"/>
        <v>-9.8789102862934097</v>
      </c>
    </row>
    <row r="934" spans="1:20" x14ac:dyDescent="0.25">
      <c r="A934" s="5">
        <v>43659</v>
      </c>
      <c r="B934">
        <v>1.455E-2</v>
      </c>
      <c r="C934">
        <v>1.46E-2</v>
      </c>
      <c r="D934">
        <v>1.358E-2</v>
      </c>
      <c r="E934">
        <v>1.4030000000000001E-2</v>
      </c>
      <c r="F934">
        <v>39682920.100000001</v>
      </c>
      <c r="G934">
        <v>0</v>
      </c>
      <c r="L934" t="s">
        <v>7</v>
      </c>
      <c r="M934" t="s">
        <v>7</v>
      </c>
      <c r="N934" t="s">
        <v>7</v>
      </c>
      <c r="P934">
        <f t="shared" si="1014"/>
        <v>-0.11764705882352801</v>
      </c>
      <c r="Q934">
        <f t="shared" si="1015"/>
        <v>-4668578.8352940623</v>
      </c>
      <c r="R934">
        <f t="shared" si="1016"/>
        <v>-930893780.82934117</v>
      </c>
      <c r="S934">
        <f t="shared" si="1017"/>
        <v>-9308.9378082934109</v>
      </c>
      <c r="T934">
        <f t="shared" si="1018"/>
        <v>-9.3089378082934111</v>
      </c>
    </row>
    <row r="935" spans="1:20" x14ac:dyDescent="0.25">
      <c r="A935" s="5">
        <v>43658</v>
      </c>
      <c r="B935">
        <v>1.388E-2</v>
      </c>
      <c r="C935">
        <v>1.4800000000000001E-2</v>
      </c>
      <c r="D935">
        <v>1.37E-2</v>
      </c>
      <c r="E935">
        <v>1.455E-2</v>
      </c>
      <c r="F935">
        <v>45578048.5</v>
      </c>
      <c r="G935">
        <v>0</v>
      </c>
      <c r="L935" t="s">
        <v>8</v>
      </c>
      <c r="M935" t="s">
        <v>7</v>
      </c>
      <c r="N935" t="s">
        <v>7</v>
      </c>
      <c r="P935">
        <f t="shared" si="1014"/>
        <v>0.54545454545454519</v>
      </c>
      <c r="Q935">
        <f t="shared" si="1015"/>
        <v>24860753.727272715</v>
      </c>
      <c r="R935">
        <f t="shared" si="1016"/>
        <v>-926225201.99404716</v>
      </c>
      <c r="S935">
        <f t="shared" si="1017"/>
        <v>-9262.2520199404717</v>
      </c>
      <c r="T935">
        <f t="shared" si="1018"/>
        <v>-9.2622520199404725</v>
      </c>
    </row>
    <row r="936" spans="1:20" x14ac:dyDescent="0.25">
      <c r="A936" s="5">
        <v>43657</v>
      </c>
      <c r="B936">
        <v>1.5800000000000002E-2</v>
      </c>
      <c r="C936">
        <v>1.593E-2</v>
      </c>
      <c r="D936">
        <v>1.353E-2</v>
      </c>
      <c r="E936">
        <v>1.3950000000000001E-2</v>
      </c>
      <c r="F936">
        <v>105490412.40000001</v>
      </c>
      <c r="G936">
        <v>0</v>
      </c>
      <c r="L936" t="s">
        <v>7</v>
      </c>
      <c r="M936" t="s">
        <v>7</v>
      </c>
      <c r="N936" t="s">
        <v>7</v>
      </c>
      <c r="P936">
        <f t="shared" si="1014"/>
        <v>-0.64999999999999969</v>
      </c>
      <c r="Q936">
        <f t="shared" si="1015"/>
        <v>-68568768.059999973</v>
      </c>
      <c r="R936">
        <f t="shared" si="1016"/>
        <v>-951085955.72131991</v>
      </c>
      <c r="S936">
        <f t="shared" si="1017"/>
        <v>-9510.8595572131999</v>
      </c>
      <c r="T936">
        <f t="shared" si="1018"/>
        <v>-9.5108595572132</v>
      </c>
    </row>
    <row r="937" spans="1:20" x14ac:dyDescent="0.25">
      <c r="A937" s="5">
        <v>43656</v>
      </c>
      <c r="B937">
        <v>1.686E-2</v>
      </c>
      <c r="C937">
        <v>1.753E-2</v>
      </c>
      <c r="D937">
        <v>1.5259999999999999E-2</v>
      </c>
      <c r="E937">
        <v>1.5800000000000002E-2</v>
      </c>
      <c r="F937">
        <v>138712847.80000001</v>
      </c>
      <c r="G937">
        <v>0</v>
      </c>
      <c r="L937" t="s">
        <v>7</v>
      </c>
      <c r="M937" t="s">
        <v>7</v>
      </c>
      <c r="N937" t="s">
        <v>7</v>
      </c>
      <c r="P937">
        <f t="shared" si="1014"/>
        <v>-0.52422907488986603</v>
      </c>
      <c r="Q937">
        <f t="shared" si="1015"/>
        <v>-72717307.877532795</v>
      </c>
      <c r="R937">
        <f t="shared" si="1016"/>
        <v>-882517187.66131997</v>
      </c>
      <c r="S937">
        <f t="shared" si="1017"/>
        <v>-8825.1718766131999</v>
      </c>
      <c r="T937">
        <f t="shared" si="1018"/>
        <v>-8.825171876613199</v>
      </c>
    </row>
    <row r="938" spans="1:20" x14ac:dyDescent="0.25">
      <c r="A938" s="5">
        <v>43655</v>
      </c>
      <c r="B938">
        <v>1.6830000000000001E-2</v>
      </c>
      <c r="C938">
        <v>1.704E-2</v>
      </c>
      <c r="D938">
        <v>1.643E-2</v>
      </c>
      <c r="E938">
        <v>1.6840000000000001E-2</v>
      </c>
      <c r="F938">
        <v>48783525.299999997</v>
      </c>
      <c r="G938">
        <v>0</v>
      </c>
      <c r="L938" t="s">
        <v>7</v>
      </c>
      <c r="M938" t="s">
        <v>7</v>
      </c>
      <c r="N938" t="s">
        <v>7</v>
      </c>
      <c r="P938">
        <f t="shared" si="1014"/>
        <v>0.34426229508197059</v>
      </c>
      <c r="Q938">
        <f t="shared" si="1015"/>
        <v>16794328.381967377</v>
      </c>
      <c r="R938">
        <f t="shared" si="1016"/>
        <v>-809799879.78378713</v>
      </c>
      <c r="S938">
        <f t="shared" si="1017"/>
        <v>-8097.9987978378713</v>
      </c>
      <c r="T938">
        <f t="shared" si="1018"/>
        <v>-8.0979987978378709</v>
      </c>
    </row>
    <row r="939" spans="1:20" x14ac:dyDescent="0.25">
      <c r="A939" s="5">
        <v>43654</v>
      </c>
      <c r="B939">
        <v>1.7239999999999998E-2</v>
      </c>
      <c r="C939">
        <v>1.7999999999999999E-2</v>
      </c>
      <c r="D939">
        <v>1.6410000000000001E-2</v>
      </c>
      <c r="E939">
        <v>1.678E-2</v>
      </c>
      <c r="F939">
        <v>95192673.799999997</v>
      </c>
      <c r="G939">
        <v>0</v>
      </c>
      <c r="L939" t="s">
        <v>8</v>
      </c>
      <c r="M939" t="s">
        <v>7</v>
      </c>
      <c r="N939" t="s">
        <v>7</v>
      </c>
      <c r="P939">
        <f t="shared" si="1014"/>
        <v>-0.53459119496855423</v>
      </c>
      <c r="Q939">
        <f t="shared" si="1015"/>
        <v>-50889165.238993779</v>
      </c>
      <c r="R939">
        <f t="shared" si="1016"/>
        <v>-826594208.16575456</v>
      </c>
      <c r="S939">
        <f t="shared" si="1017"/>
        <v>-8265.9420816575457</v>
      </c>
      <c r="T939">
        <f t="shared" si="1018"/>
        <v>-8.2659420816575455</v>
      </c>
    </row>
    <row r="940" spans="1:20" x14ac:dyDescent="0.25">
      <c r="A940" s="5">
        <v>43653</v>
      </c>
      <c r="B940">
        <v>1.6719999999999999E-2</v>
      </c>
      <c r="C940">
        <v>1.7340000000000001E-2</v>
      </c>
      <c r="D940">
        <v>1.644E-2</v>
      </c>
      <c r="E940">
        <v>1.7219999999999999E-2</v>
      </c>
      <c r="F940">
        <v>65476442.399999999</v>
      </c>
      <c r="G940">
        <v>0</v>
      </c>
      <c r="L940" t="s">
        <v>7</v>
      </c>
      <c r="M940" t="s">
        <v>7</v>
      </c>
      <c r="N940" t="s">
        <v>7</v>
      </c>
      <c r="P940">
        <f t="shared" si="1014"/>
        <v>0.73333333333332917</v>
      </c>
      <c r="Q940">
        <f t="shared" si="1015"/>
        <v>48016057.75999973</v>
      </c>
      <c r="R940">
        <f t="shared" si="1016"/>
        <v>-775705042.92676079</v>
      </c>
      <c r="S940">
        <f t="shared" si="1017"/>
        <v>-7757.0504292676078</v>
      </c>
      <c r="T940">
        <f t="shared" si="1018"/>
        <v>-7.7570504292676077</v>
      </c>
    </row>
    <row r="941" spans="1:20" x14ac:dyDescent="0.25">
      <c r="A941" s="5">
        <v>43652</v>
      </c>
      <c r="B941">
        <v>1.5610000000000001E-2</v>
      </c>
      <c r="C941">
        <v>1.78E-2</v>
      </c>
      <c r="D941">
        <v>1.5610000000000001E-2</v>
      </c>
      <c r="E941">
        <v>1.678E-2</v>
      </c>
      <c r="F941">
        <v>101205138.59999999</v>
      </c>
      <c r="G941">
        <v>0</v>
      </c>
      <c r="L941" t="s">
        <v>8</v>
      </c>
      <c r="M941" t="s">
        <v>7</v>
      </c>
      <c r="N941" t="s">
        <v>7</v>
      </c>
      <c r="P941">
        <f t="shared" si="1014"/>
        <v>6.8493150684931114E-2</v>
      </c>
      <c r="Q941">
        <f t="shared" si="1015"/>
        <v>6931858.8082191376</v>
      </c>
      <c r="R941">
        <f t="shared" si="1016"/>
        <v>-823721100.68676054</v>
      </c>
      <c r="S941">
        <f t="shared" si="1017"/>
        <v>-8237.2110068676047</v>
      </c>
      <c r="T941">
        <f t="shared" si="1018"/>
        <v>-8.2372110068676054</v>
      </c>
    </row>
    <row r="942" spans="1:20" x14ac:dyDescent="0.25">
      <c r="A942" s="5">
        <v>43651</v>
      </c>
      <c r="B942">
        <v>1.5520000000000001E-2</v>
      </c>
      <c r="C942">
        <v>1.6080000000000001E-2</v>
      </c>
      <c r="D942">
        <v>1.545E-2</v>
      </c>
      <c r="E942">
        <v>1.5640000000000001E-2</v>
      </c>
      <c r="F942">
        <v>38923811.100000001</v>
      </c>
      <c r="G942">
        <v>0</v>
      </c>
      <c r="L942" t="s">
        <v>7</v>
      </c>
      <c r="M942" t="s">
        <v>7</v>
      </c>
      <c r="N942" t="s">
        <v>7</v>
      </c>
      <c r="P942">
        <f t="shared" si="1014"/>
        <v>-0.39682539682539419</v>
      </c>
      <c r="Q942">
        <f t="shared" si="1015"/>
        <v>-15445956.785714183</v>
      </c>
      <c r="R942">
        <f t="shared" si="1016"/>
        <v>-830652959.49497974</v>
      </c>
      <c r="S942">
        <f t="shared" si="1017"/>
        <v>-8306.5295949497977</v>
      </c>
      <c r="T942">
        <f t="shared" si="1018"/>
        <v>-8.3065295949497973</v>
      </c>
    </row>
    <row r="943" spans="1:20" x14ac:dyDescent="0.25">
      <c r="A943" s="5">
        <v>43650</v>
      </c>
      <c r="B943">
        <v>1.6299999999999999E-2</v>
      </c>
      <c r="C943">
        <v>1.6379999999999999E-2</v>
      </c>
      <c r="D943">
        <v>1.5350000000000001E-2</v>
      </c>
      <c r="E943">
        <v>1.555E-2</v>
      </c>
      <c r="F943">
        <v>92935497.200000003</v>
      </c>
      <c r="G943">
        <v>0</v>
      </c>
      <c r="L943" t="s">
        <v>7</v>
      </c>
      <c r="M943" t="s">
        <v>7</v>
      </c>
      <c r="N943" t="s">
        <v>7</v>
      </c>
      <c r="P943">
        <f t="shared" si="1014"/>
        <v>-0.61165048543689482</v>
      </c>
      <c r="Q943">
        <f t="shared" si="1015"/>
        <v>-56844041.976699181</v>
      </c>
      <c r="R943">
        <f t="shared" si="1016"/>
        <v>-815207002.70926559</v>
      </c>
      <c r="S943">
        <f t="shared" si="1017"/>
        <v>-8152.0700270926563</v>
      </c>
      <c r="T943">
        <f t="shared" si="1018"/>
        <v>-8.1520700270926572</v>
      </c>
    </row>
    <row r="944" spans="1:20" x14ac:dyDescent="0.25">
      <c r="A944" s="5">
        <v>43649</v>
      </c>
      <c r="B944">
        <v>1.6459999999999999E-2</v>
      </c>
      <c r="C944">
        <v>1.661E-2</v>
      </c>
      <c r="D944">
        <v>1.5959999999999998E-2</v>
      </c>
      <c r="E944">
        <v>1.6299999999999999E-2</v>
      </c>
      <c r="F944">
        <v>85986476.799999997</v>
      </c>
      <c r="G944">
        <v>0</v>
      </c>
      <c r="L944" t="s">
        <v>7</v>
      </c>
      <c r="M944" t="s">
        <v>7</v>
      </c>
      <c r="N944" t="s">
        <v>7</v>
      </c>
      <c r="P944">
        <f t="shared" si="1014"/>
        <v>4.6153846153844186E-2</v>
      </c>
      <c r="Q944">
        <f t="shared" si="1015"/>
        <v>3968606.6215382922</v>
      </c>
      <c r="R944">
        <f t="shared" si="1016"/>
        <v>-758362960.73256636</v>
      </c>
      <c r="S944">
        <f t="shared" si="1017"/>
        <v>-7583.6296073256635</v>
      </c>
      <c r="T944">
        <f t="shared" si="1018"/>
        <v>-7.5836296073256637</v>
      </c>
    </row>
    <row r="945" spans="1:20" x14ac:dyDescent="0.25">
      <c r="A945" s="5">
        <v>43648</v>
      </c>
      <c r="B945">
        <v>1.736E-2</v>
      </c>
      <c r="C945">
        <v>1.7440000000000001E-2</v>
      </c>
      <c r="D945">
        <v>1.5959999999999998E-2</v>
      </c>
      <c r="E945">
        <v>1.644E-2</v>
      </c>
      <c r="F945">
        <v>89233346.900000006</v>
      </c>
      <c r="G945">
        <v>0</v>
      </c>
      <c r="L945" t="s">
        <v>7</v>
      </c>
      <c r="M945" t="s">
        <v>7</v>
      </c>
      <c r="N945" t="s">
        <v>7</v>
      </c>
      <c r="P945">
        <f t="shared" si="1014"/>
        <v>-0.35135135135135059</v>
      </c>
      <c r="Q945">
        <f t="shared" si="1015"/>
        <v>-31352257.018918853</v>
      </c>
      <c r="R945">
        <f t="shared" si="1016"/>
        <v>-762331567.35410464</v>
      </c>
      <c r="S945">
        <f t="shared" si="1017"/>
        <v>-7623.3156735410466</v>
      </c>
      <c r="T945">
        <f t="shared" si="1018"/>
        <v>-7.6233156735410468</v>
      </c>
    </row>
    <row r="946" spans="1:20" x14ac:dyDescent="0.25">
      <c r="A946" s="5">
        <v>43647</v>
      </c>
      <c r="B946">
        <v>1.6629999999999999E-2</v>
      </c>
      <c r="C946">
        <v>1.8069999999999999E-2</v>
      </c>
      <c r="D946">
        <v>1.6330000000000001E-2</v>
      </c>
      <c r="E946">
        <v>1.7389999999999999E-2</v>
      </c>
      <c r="F946">
        <v>115628876</v>
      </c>
      <c r="G946">
        <v>0</v>
      </c>
      <c r="L946" t="s">
        <v>8</v>
      </c>
      <c r="M946" t="s">
        <v>7</v>
      </c>
      <c r="N946" t="s">
        <v>7</v>
      </c>
      <c r="P946">
        <f t="shared" si="1014"/>
        <v>0.21839080459770041</v>
      </c>
      <c r="Q946">
        <f t="shared" si="1015"/>
        <v>25252283.264367729</v>
      </c>
      <c r="R946">
        <f t="shared" si="1016"/>
        <v>-730979310.33518577</v>
      </c>
      <c r="S946">
        <f t="shared" si="1017"/>
        <v>-7309.793103351858</v>
      </c>
      <c r="T946">
        <f t="shared" si="1018"/>
        <v>-7.3097931033518577</v>
      </c>
    </row>
    <row r="947" spans="1:20" x14ac:dyDescent="0.25">
      <c r="A947" s="5">
        <v>43646</v>
      </c>
      <c r="B947">
        <v>1.771E-2</v>
      </c>
      <c r="C947">
        <v>1.8429999999999998E-2</v>
      </c>
      <c r="D947">
        <v>1.6490000000000001E-2</v>
      </c>
      <c r="E947">
        <v>1.66E-2</v>
      </c>
      <c r="F947">
        <v>152276114.19999999</v>
      </c>
      <c r="G947">
        <v>0</v>
      </c>
      <c r="L947" t="s">
        <v>7</v>
      </c>
      <c r="M947" t="s">
        <v>7</v>
      </c>
      <c r="N947" t="s">
        <v>7</v>
      </c>
      <c r="P947">
        <f t="shared" si="1014"/>
        <v>-0.88659793814433074</v>
      </c>
      <c r="Q947">
        <f t="shared" si="1015"/>
        <v>-135007688.87835065</v>
      </c>
      <c r="R947">
        <f t="shared" si="1016"/>
        <v>-756231593.59955347</v>
      </c>
      <c r="S947">
        <f t="shared" si="1017"/>
        <v>-7562.3159359955343</v>
      </c>
      <c r="T947">
        <f t="shared" si="1018"/>
        <v>-7.5623159359955343</v>
      </c>
    </row>
    <row r="948" spans="1:20" x14ac:dyDescent="0.25">
      <c r="A948" s="5">
        <v>43645</v>
      </c>
      <c r="B948">
        <v>1.687E-2</v>
      </c>
      <c r="C948">
        <v>1.848E-2</v>
      </c>
      <c r="D948">
        <v>1.626E-2</v>
      </c>
      <c r="E948">
        <v>1.7649999999999999E-2</v>
      </c>
      <c r="F948">
        <v>163462136.40000001</v>
      </c>
      <c r="G948">
        <v>0</v>
      </c>
      <c r="L948" t="s">
        <v>8</v>
      </c>
      <c r="M948" t="s">
        <v>7</v>
      </c>
      <c r="N948" t="s">
        <v>7</v>
      </c>
      <c r="P948">
        <f t="shared" si="1014"/>
        <v>0.2522522522522514</v>
      </c>
      <c r="Q948">
        <f t="shared" si="1015"/>
        <v>41233692.064864725</v>
      </c>
      <c r="R948">
        <f t="shared" si="1016"/>
        <v>-621223904.72120285</v>
      </c>
      <c r="S948">
        <f t="shared" si="1017"/>
        <v>-6212.2390472120287</v>
      </c>
      <c r="T948">
        <f t="shared" si="1018"/>
        <v>-6.2122390472120284</v>
      </c>
    </row>
    <row r="949" spans="1:20" x14ac:dyDescent="0.25">
      <c r="A949" s="5">
        <v>43644</v>
      </c>
      <c r="B949">
        <v>1.6410000000000001E-2</v>
      </c>
      <c r="C949">
        <v>1.712E-2</v>
      </c>
      <c r="D949">
        <v>1.6299999999999999E-2</v>
      </c>
      <c r="E949">
        <v>1.694E-2</v>
      </c>
      <c r="F949">
        <v>94499132.900000006</v>
      </c>
      <c r="G949">
        <v>0</v>
      </c>
      <c r="L949" t="s">
        <v>7</v>
      </c>
      <c r="M949" t="s">
        <v>7</v>
      </c>
      <c r="N949" t="s">
        <v>7</v>
      </c>
      <c r="P949">
        <f t="shared" si="1014"/>
        <v>0.56097560975609917</v>
      </c>
      <c r="Q949">
        <f t="shared" si="1015"/>
        <v>53011708.700000152</v>
      </c>
      <c r="R949">
        <f t="shared" si="1016"/>
        <v>-662457596.78606761</v>
      </c>
      <c r="S949">
        <f t="shared" si="1017"/>
        <v>-6624.5759678606764</v>
      </c>
      <c r="T949">
        <f t="shared" si="1018"/>
        <v>-6.6245759678606762</v>
      </c>
    </row>
    <row r="950" spans="1:20" x14ac:dyDescent="0.25">
      <c r="A950" s="5">
        <v>43643</v>
      </c>
      <c r="B950">
        <v>1.8689999999999998E-2</v>
      </c>
      <c r="C950">
        <v>1.8720000000000001E-2</v>
      </c>
      <c r="D950">
        <v>1.6060000000000001E-2</v>
      </c>
      <c r="E950">
        <v>1.652E-2</v>
      </c>
      <c r="F950">
        <v>190646325.59999999</v>
      </c>
      <c r="G950">
        <v>0</v>
      </c>
      <c r="L950" t="s">
        <v>7</v>
      </c>
      <c r="M950" t="s">
        <v>7</v>
      </c>
      <c r="N950" t="s">
        <v>7</v>
      </c>
      <c r="P950">
        <f t="shared" si="1014"/>
        <v>-0.65413533834586557</v>
      </c>
      <c r="Q950">
        <f t="shared" si="1015"/>
        <v>-124708498.70075205</v>
      </c>
      <c r="R950">
        <f t="shared" si="1016"/>
        <v>-715469305.48606777</v>
      </c>
      <c r="S950">
        <f t="shared" si="1017"/>
        <v>-7154.6930548606779</v>
      </c>
      <c r="T950">
        <f t="shared" si="1018"/>
        <v>-7.1546930548606777</v>
      </c>
    </row>
    <row r="951" spans="1:20" x14ac:dyDescent="0.25">
      <c r="A951" s="5">
        <v>43642</v>
      </c>
      <c r="B951">
        <v>2.0219999999999998E-2</v>
      </c>
      <c r="C951">
        <v>2.095E-2</v>
      </c>
      <c r="D951">
        <v>1.7930000000000001E-2</v>
      </c>
      <c r="E951">
        <v>1.8689999999999998E-2</v>
      </c>
      <c r="F951">
        <v>228627784.69999999</v>
      </c>
      <c r="G951">
        <v>0</v>
      </c>
      <c r="L951" t="s">
        <v>7</v>
      </c>
      <c r="M951" t="s">
        <v>7</v>
      </c>
      <c r="N951" t="s">
        <v>7</v>
      </c>
      <c r="P951">
        <f t="shared" si="1014"/>
        <v>-0.49668874172185618</v>
      </c>
      <c r="Q951">
        <f t="shared" si="1015"/>
        <v>-113556846.70529844</v>
      </c>
      <c r="R951">
        <f t="shared" si="1016"/>
        <v>-590760806.78531575</v>
      </c>
      <c r="S951">
        <f t="shared" si="1017"/>
        <v>-5907.6080678531571</v>
      </c>
      <c r="T951">
        <f t="shared" si="1018"/>
        <v>-5.9076080678531575</v>
      </c>
    </row>
    <row r="952" spans="1:20" x14ac:dyDescent="0.25">
      <c r="A952" s="5">
        <v>43641</v>
      </c>
      <c r="B952">
        <v>2.026E-2</v>
      </c>
      <c r="C952">
        <v>2.1100000000000001E-2</v>
      </c>
      <c r="D952">
        <v>0.02</v>
      </c>
      <c r="E952">
        <v>2.0219999999999998E-2</v>
      </c>
      <c r="F952">
        <v>99115381.299999997</v>
      </c>
      <c r="G952">
        <v>0</v>
      </c>
      <c r="L952" t="s">
        <v>8</v>
      </c>
      <c r="M952" t="s">
        <v>7</v>
      </c>
      <c r="N952" t="s">
        <v>7</v>
      </c>
      <c r="P952">
        <f t="shared" si="1014"/>
        <v>-0.60000000000000375</v>
      </c>
      <c r="Q952">
        <f t="shared" si="1015"/>
        <v>-59469228.780000374</v>
      </c>
      <c r="R952">
        <f t="shared" si="1016"/>
        <v>-477203960.08001727</v>
      </c>
      <c r="S952">
        <f t="shared" si="1017"/>
        <v>-4772.0396008001726</v>
      </c>
      <c r="T952">
        <f t="shared" si="1018"/>
        <v>-4.7720396008001726</v>
      </c>
    </row>
    <row r="953" spans="1:20" x14ac:dyDescent="0.25">
      <c r="A953" s="5">
        <v>43640</v>
      </c>
      <c r="B953">
        <v>2.0219999999999998E-2</v>
      </c>
      <c r="C953">
        <v>2.0639999999999999E-2</v>
      </c>
      <c r="D953">
        <v>1.9810000000000001E-2</v>
      </c>
      <c r="E953">
        <v>2.0230000000000001E-2</v>
      </c>
      <c r="F953">
        <v>66248547.299999997</v>
      </c>
      <c r="G953">
        <v>0</v>
      </c>
      <c r="L953" t="s">
        <v>7</v>
      </c>
      <c r="M953" t="s">
        <v>7</v>
      </c>
      <c r="N953" t="s">
        <v>7</v>
      </c>
      <c r="P953">
        <f t="shared" si="1014"/>
        <v>1.2048192771088064E-2</v>
      </c>
      <c r="Q953">
        <f t="shared" si="1015"/>
        <v>798175.26867494569</v>
      </c>
      <c r="R953">
        <f t="shared" si="1016"/>
        <v>-417734731.30001688</v>
      </c>
      <c r="S953">
        <f t="shared" si="1017"/>
        <v>-4177.3473130001685</v>
      </c>
      <c r="T953">
        <f t="shared" si="1018"/>
        <v>-4.1773473130001681</v>
      </c>
    </row>
    <row r="954" spans="1:20" x14ac:dyDescent="0.25">
      <c r="A954" s="5">
        <v>43639</v>
      </c>
      <c r="B954">
        <v>2.0500000000000001E-2</v>
      </c>
      <c r="C954">
        <v>2.147E-2</v>
      </c>
      <c r="D954">
        <v>1.9890000000000001E-2</v>
      </c>
      <c r="E954">
        <v>2.0199999999999999E-2</v>
      </c>
      <c r="F954">
        <v>104688744.90000001</v>
      </c>
      <c r="G954">
        <v>0</v>
      </c>
      <c r="L954" t="s">
        <v>8</v>
      </c>
      <c r="M954" t="s">
        <v>7</v>
      </c>
      <c r="N954" t="s">
        <v>7</v>
      </c>
      <c r="P954">
        <f t="shared" si="1014"/>
        <v>-0.60759493670886311</v>
      </c>
      <c r="Q954">
        <f t="shared" si="1015"/>
        <v>-63608351.331645817</v>
      </c>
      <c r="R954">
        <f t="shared" si="1016"/>
        <v>-418532906.56869185</v>
      </c>
      <c r="S954">
        <f t="shared" si="1017"/>
        <v>-4185.3290656869185</v>
      </c>
      <c r="T954">
        <f t="shared" si="1018"/>
        <v>-4.1853290656869184</v>
      </c>
    </row>
    <row r="955" spans="1:20" x14ac:dyDescent="0.25">
      <c r="A955" s="5">
        <v>43638</v>
      </c>
      <c r="B955">
        <v>1.9779999999999999E-2</v>
      </c>
      <c r="C955">
        <v>2.12E-2</v>
      </c>
      <c r="D955">
        <v>1.9300000000000001E-2</v>
      </c>
      <c r="E955">
        <v>2.051E-2</v>
      </c>
      <c r="F955">
        <v>210050301.09999999</v>
      </c>
      <c r="G955">
        <v>0</v>
      </c>
      <c r="L955" t="s">
        <v>7</v>
      </c>
      <c r="M955" t="s">
        <v>7</v>
      </c>
      <c r="N955" t="s">
        <v>7</v>
      </c>
      <c r="P955">
        <f t="shared" si="1014"/>
        <v>0.27368421052631575</v>
      </c>
      <c r="Q955">
        <f t="shared" si="1015"/>
        <v>57487450.827368408</v>
      </c>
      <c r="R955">
        <f t="shared" si="1016"/>
        <v>-354924555.237046</v>
      </c>
      <c r="S955">
        <f t="shared" si="1017"/>
        <v>-3549.2455523704602</v>
      </c>
      <c r="T955">
        <f t="shared" si="1018"/>
        <v>-3.5492455523704605</v>
      </c>
    </row>
    <row r="956" spans="1:20" x14ac:dyDescent="0.25">
      <c r="A956" s="5">
        <v>43637</v>
      </c>
      <c r="B956">
        <v>2.104E-2</v>
      </c>
      <c r="C956">
        <v>2.1270000000000001E-2</v>
      </c>
      <c r="D956">
        <v>1.9599999999999999E-2</v>
      </c>
      <c r="E956">
        <v>1.9699999999999999E-2</v>
      </c>
      <c r="F956">
        <v>133868615.59999999</v>
      </c>
      <c r="G956">
        <v>0</v>
      </c>
      <c r="L956" t="s">
        <v>7</v>
      </c>
      <c r="M956" t="s">
        <v>7</v>
      </c>
      <c r="N956" t="s">
        <v>7</v>
      </c>
      <c r="P956">
        <f t="shared" si="1014"/>
        <v>-0.88023952095808466</v>
      </c>
      <c r="Q956">
        <f t="shared" si="1015"/>
        <v>-117836446.06706597</v>
      </c>
      <c r="R956">
        <f t="shared" si="1016"/>
        <v>-412412006.06441438</v>
      </c>
      <c r="S956">
        <f t="shared" si="1017"/>
        <v>-4124.1200606441435</v>
      </c>
      <c r="T956">
        <f t="shared" si="1018"/>
        <v>-4.1241200606441435</v>
      </c>
    </row>
    <row r="957" spans="1:20" x14ac:dyDescent="0.25">
      <c r="A957" s="5">
        <v>43636</v>
      </c>
      <c r="B957">
        <v>2.1999999999999999E-2</v>
      </c>
      <c r="C957">
        <v>2.2200000000000001E-2</v>
      </c>
      <c r="D957">
        <v>2.0320000000000001E-2</v>
      </c>
      <c r="E957">
        <v>2.103E-2</v>
      </c>
      <c r="F957">
        <v>196834821</v>
      </c>
      <c r="G957">
        <v>0</v>
      </c>
      <c r="L957" t="s">
        <v>7</v>
      </c>
      <c r="M957" t="s">
        <v>7</v>
      </c>
      <c r="N957" t="s">
        <v>8</v>
      </c>
      <c r="P957">
        <f t="shared" si="1014"/>
        <v>-0.24468085106383092</v>
      </c>
      <c r="Q957">
        <f t="shared" si="1015"/>
        <v>-48161711.521276817</v>
      </c>
      <c r="R957">
        <f t="shared" si="1016"/>
        <v>-294575559.99734843</v>
      </c>
      <c r="S957">
        <f t="shared" si="1017"/>
        <v>-2945.7555999734841</v>
      </c>
      <c r="T957">
        <f t="shared" si="1018"/>
        <v>-2.9457555999734839</v>
      </c>
    </row>
    <row r="958" spans="1:20" x14ac:dyDescent="0.25">
      <c r="A958" s="5">
        <v>43635</v>
      </c>
      <c r="B958">
        <v>2.2669999999999999E-2</v>
      </c>
      <c r="C958">
        <v>2.3230000000000001E-2</v>
      </c>
      <c r="D958">
        <v>2.162E-2</v>
      </c>
      <c r="E958">
        <v>2.1989999999999999E-2</v>
      </c>
      <c r="F958">
        <v>270072094.5</v>
      </c>
      <c r="G958">
        <v>0</v>
      </c>
      <c r="L958" t="s">
        <v>7</v>
      </c>
      <c r="M958" t="s">
        <v>7</v>
      </c>
      <c r="N958" t="s">
        <v>8</v>
      </c>
      <c r="P958">
        <f t="shared" si="1014"/>
        <v>-0.54037267080745499</v>
      </c>
      <c r="Q958">
        <f t="shared" si="1015"/>
        <v>-145939579.01552838</v>
      </c>
      <c r="R958">
        <f t="shared" si="1016"/>
        <v>-246413848.47607163</v>
      </c>
      <c r="S958">
        <f t="shared" si="1017"/>
        <v>-2464.1384847607164</v>
      </c>
      <c r="T958">
        <f t="shared" si="1018"/>
        <v>-2.4641384847607166</v>
      </c>
    </row>
    <row r="959" spans="1:20" x14ac:dyDescent="0.25">
      <c r="A959" s="5">
        <v>43634</v>
      </c>
      <c r="B959">
        <v>2.5080000000000002E-2</v>
      </c>
      <c r="C959">
        <v>2.5350000000000001E-2</v>
      </c>
      <c r="D959">
        <v>2.2270000000000002E-2</v>
      </c>
      <c r="E959">
        <v>2.273E-2</v>
      </c>
      <c r="F959">
        <v>339846763.60000002</v>
      </c>
      <c r="G959">
        <v>0</v>
      </c>
      <c r="L959" t="s">
        <v>7</v>
      </c>
      <c r="M959" t="s">
        <v>8</v>
      </c>
      <c r="N959" t="s">
        <v>8</v>
      </c>
      <c r="P959">
        <f t="shared" ref="P959:P1022" si="1019">IF(C959=D959,0,((E959-D959)-(C959-E959))/(C959-D959))</f>
        <v>-0.7012987012987022</v>
      </c>
      <c r="Q959">
        <f t="shared" ref="Q959:Q1022" si="1020">F959*P959</f>
        <v>-238334093.95324707</v>
      </c>
      <c r="R959">
        <f t="shared" ref="R959:R1022" si="1021">R960+Q959</f>
        <v>-100474269.46054325</v>
      </c>
      <c r="S959">
        <f t="shared" ref="S959:S1022" si="1022">R959/100000</f>
        <v>-1004.7426946054325</v>
      </c>
      <c r="T959">
        <f t="shared" ref="T959:T1022" si="1023">S959/1000</f>
        <v>-1.0047426946054325</v>
      </c>
    </row>
    <row r="960" spans="1:20" x14ac:dyDescent="0.25">
      <c r="A960" s="5">
        <v>43633</v>
      </c>
      <c r="B960">
        <v>2.512E-2</v>
      </c>
      <c r="C960">
        <v>2.691E-2</v>
      </c>
      <c r="D960">
        <v>2.4740000000000002E-2</v>
      </c>
      <c r="E960">
        <v>2.5080000000000002E-2</v>
      </c>
      <c r="F960">
        <v>280223093.60000002</v>
      </c>
      <c r="G960">
        <v>0</v>
      </c>
      <c r="L960" t="s">
        <v>8</v>
      </c>
      <c r="M960" t="s">
        <v>8</v>
      </c>
      <c r="N960" t="s">
        <v>8</v>
      </c>
      <c r="P960">
        <f t="shared" si="1019"/>
        <v>-0.68663594470046052</v>
      </c>
      <c r="Q960">
        <f t="shared" si="1020"/>
        <v>-192411248.6009216</v>
      </c>
      <c r="R960">
        <f t="shared" si="1021"/>
        <v>137859824.49270383</v>
      </c>
      <c r="S960">
        <f t="shared" si="1022"/>
        <v>1378.5982449270382</v>
      </c>
      <c r="T960">
        <f t="shared" si="1023"/>
        <v>1.3785982449270382</v>
      </c>
    </row>
    <row r="961" spans="1:20" x14ac:dyDescent="0.25">
      <c r="A961" s="5">
        <v>43632</v>
      </c>
      <c r="B961">
        <v>2.281E-2</v>
      </c>
      <c r="C961">
        <v>2.5950000000000001E-2</v>
      </c>
      <c r="D961">
        <v>2.2179999999999998E-2</v>
      </c>
      <c r="E961">
        <v>2.512E-2</v>
      </c>
      <c r="F961">
        <v>150705175.19999999</v>
      </c>
      <c r="G961">
        <v>0</v>
      </c>
      <c r="L961" t="s">
        <v>8</v>
      </c>
      <c r="M961" t="s">
        <v>8</v>
      </c>
      <c r="N961" t="s">
        <v>8</v>
      </c>
      <c r="P961">
        <f t="shared" si="1019"/>
        <v>0.5596816976127319</v>
      </c>
      <c r="Q961">
        <f t="shared" si="1020"/>
        <v>84346928.294960171</v>
      </c>
      <c r="R961">
        <f t="shared" si="1021"/>
        <v>330271073.09362543</v>
      </c>
      <c r="S961">
        <f t="shared" si="1022"/>
        <v>3302.7107309362541</v>
      </c>
      <c r="T961">
        <f t="shared" si="1023"/>
        <v>3.302710730936254</v>
      </c>
    </row>
    <row r="962" spans="1:20" x14ac:dyDescent="0.25">
      <c r="A962" s="5">
        <v>43631</v>
      </c>
      <c r="B962">
        <v>2.2720000000000001E-2</v>
      </c>
      <c r="C962">
        <v>2.316E-2</v>
      </c>
      <c r="D962">
        <v>2.23E-2</v>
      </c>
      <c r="E962">
        <v>2.2849999999999999E-2</v>
      </c>
      <c r="F962">
        <v>60727724.399999999</v>
      </c>
      <c r="G962">
        <v>0</v>
      </c>
      <c r="L962" t="s">
        <v>8</v>
      </c>
      <c r="M962" t="s">
        <v>8</v>
      </c>
      <c r="N962" t="s">
        <v>8</v>
      </c>
      <c r="P962">
        <f t="shared" si="1019"/>
        <v>0.2790697674418573</v>
      </c>
      <c r="Q962">
        <f t="shared" si="1020"/>
        <v>16947271.925581202</v>
      </c>
      <c r="R962">
        <f t="shared" si="1021"/>
        <v>245924144.79866523</v>
      </c>
      <c r="S962">
        <f t="shared" si="1022"/>
        <v>2459.2414479866525</v>
      </c>
      <c r="T962">
        <f t="shared" si="1023"/>
        <v>2.4592414479866527</v>
      </c>
    </row>
    <row r="963" spans="1:20" x14ac:dyDescent="0.25">
      <c r="A963" s="5">
        <v>43630</v>
      </c>
      <c r="B963">
        <v>2.266E-2</v>
      </c>
      <c r="C963">
        <v>2.418E-2</v>
      </c>
      <c r="D963">
        <v>2.1430000000000001E-2</v>
      </c>
      <c r="E963">
        <v>2.274E-2</v>
      </c>
      <c r="F963">
        <v>189061175.59999999</v>
      </c>
      <c r="G963">
        <v>0</v>
      </c>
      <c r="L963" t="s">
        <v>7</v>
      </c>
      <c r="M963" t="s">
        <v>8</v>
      </c>
      <c r="N963" t="s">
        <v>8</v>
      </c>
      <c r="P963">
        <f t="shared" si="1019"/>
        <v>-4.7272727272727889E-2</v>
      </c>
      <c r="Q963">
        <f t="shared" si="1020"/>
        <v>-8937437.3920001164</v>
      </c>
      <c r="R963">
        <f t="shared" si="1021"/>
        <v>228976872.87308401</v>
      </c>
      <c r="S963">
        <f t="shared" si="1022"/>
        <v>2289.7687287308399</v>
      </c>
      <c r="T963">
        <f t="shared" si="1023"/>
        <v>2.2897687287308401</v>
      </c>
    </row>
    <row r="964" spans="1:20" x14ac:dyDescent="0.25">
      <c r="A964" s="5">
        <v>43629</v>
      </c>
      <c r="B964">
        <v>2.3189999999999999E-2</v>
      </c>
      <c r="C964">
        <v>2.3539999999999998E-2</v>
      </c>
      <c r="D964">
        <v>2.2499999999999999E-2</v>
      </c>
      <c r="E964">
        <v>2.265E-2</v>
      </c>
      <c r="F964">
        <v>81070999.599999994</v>
      </c>
      <c r="G964">
        <v>0</v>
      </c>
      <c r="L964" t="s">
        <v>7</v>
      </c>
      <c r="M964" t="s">
        <v>8</v>
      </c>
      <c r="N964" t="s">
        <v>8</v>
      </c>
      <c r="P964">
        <f t="shared" si="1019"/>
        <v>-0.71153846153845979</v>
      </c>
      <c r="Q964">
        <f t="shared" si="1020"/>
        <v>-57685134.330769084</v>
      </c>
      <c r="R964">
        <f t="shared" si="1021"/>
        <v>237914310.26508412</v>
      </c>
      <c r="S964">
        <f t="shared" si="1022"/>
        <v>2379.1431026508412</v>
      </c>
      <c r="T964">
        <f t="shared" si="1023"/>
        <v>2.3791431026508412</v>
      </c>
    </row>
    <row r="965" spans="1:20" x14ac:dyDescent="0.25">
      <c r="A965" s="5">
        <v>43628</v>
      </c>
      <c r="B965">
        <v>2.3199999999999998E-2</v>
      </c>
      <c r="C965">
        <v>2.3259999999999999E-2</v>
      </c>
      <c r="D965">
        <v>2.2009999999999998E-2</v>
      </c>
      <c r="E965">
        <v>2.3179999999999999E-2</v>
      </c>
      <c r="F965">
        <v>133085750.2</v>
      </c>
      <c r="G965">
        <v>0</v>
      </c>
      <c r="L965" t="s">
        <v>7</v>
      </c>
      <c r="M965" t="s">
        <v>8</v>
      </c>
      <c r="N965" t="s">
        <v>8</v>
      </c>
      <c r="P965">
        <f t="shared" si="1019"/>
        <v>0.87199999999999978</v>
      </c>
      <c r="Q965">
        <f t="shared" si="1020"/>
        <v>116050774.17439997</v>
      </c>
      <c r="R965">
        <f t="shared" si="1021"/>
        <v>295599444.59585321</v>
      </c>
      <c r="S965">
        <f t="shared" si="1022"/>
        <v>2955.9944459585322</v>
      </c>
      <c r="T965">
        <f t="shared" si="1023"/>
        <v>2.9559944459585323</v>
      </c>
    </row>
    <row r="966" spans="1:20" x14ac:dyDescent="0.25">
      <c r="A966" s="5">
        <v>43627</v>
      </c>
      <c r="B966">
        <v>2.368E-2</v>
      </c>
      <c r="C966">
        <v>2.4639999999999999E-2</v>
      </c>
      <c r="D966">
        <v>2.2700000000000001E-2</v>
      </c>
      <c r="E966">
        <v>2.3199999999999998E-2</v>
      </c>
      <c r="F966">
        <v>160808455.5</v>
      </c>
      <c r="G966">
        <v>0</v>
      </c>
      <c r="L966" t="s">
        <v>8</v>
      </c>
      <c r="M966" t="s">
        <v>8</v>
      </c>
      <c r="N966" t="s">
        <v>8</v>
      </c>
      <c r="P966">
        <f t="shared" si="1019"/>
        <v>-0.48453608247422919</v>
      </c>
      <c r="Q966">
        <f t="shared" si="1020"/>
        <v>-77917499.056701422</v>
      </c>
      <c r="R966">
        <f t="shared" si="1021"/>
        <v>179548670.42145324</v>
      </c>
      <c r="S966">
        <f t="shared" si="1022"/>
        <v>1795.4867042145324</v>
      </c>
      <c r="T966">
        <f t="shared" si="1023"/>
        <v>1.7954867042145324</v>
      </c>
    </row>
    <row r="967" spans="1:20" x14ac:dyDescent="0.25">
      <c r="A967" s="5">
        <v>43626</v>
      </c>
      <c r="B967">
        <v>2.1930000000000002E-2</v>
      </c>
      <c r="C967">
        <v>2.3689999999999999E-2</v>
      </c>
      <c r="D967">
        <v>2.138E-2</v>
      </c>
      <c r="E967">
        <v>2.367E-2</v>
      </c>
      <c r="F967">
        <v>173986344.30000001</v>
      </c>
      <c r="G967">
        <v>0</v>
      </c>
      <c r="L967" t="s">
        <v>8</v>
      </c>
      <c r="M967" t="s">
        <v>7</v>
      </c>
      <c r="N967" t="s">
        <v>8</v>
      </c>
      <c r="P967">
        <f t="shared" si="1019"/>
        <v>0.98268398268398338</v>
      </c>
      <c r="Q967">
        <f t="shared" si="1020"/>
        <v>170973593.74935079</v>
      </c>
      <c r="R967">
        <f t="shared" si="1021"/>
        <v>257466169.47815466</v>
      </c>
      <c r="S967">
        <f t="shared" si="1022"/>
        <v>2574.6616947815464</v>
      </c>
      <c r="T967">
        <f t="shared" si="1023"/>
        <v>2.5746616947815464</v>
      </c>
    </row>
    <row r="968" spans="1:20" x14ac:dyDescent="0.25">
      <c r="A968" s="5">
        <v>43625</v>
      </c>
      <c r="B968">
        <v>2.4029999999999999E-2</v>
      </c>
      <c r="C968">
        <v>2.4500000000000001E-2</v>
      </c>
      <c r="D968">
        <v>2.1100000000000001E-2</v>
      </c>
      <c r="E968">
        <v>2.1930000000000002E-2</v>
      </c>
      <c r="F968">
        <v>226603027.40000001</v>
      </c>
      <c r="G968">
        <v>0</v>
      </c>
      <c r="L968" t="s">
        <v>7</v>
      </c>
      <c r="M968" t="s">
        <v>7</v>
      </c>
      <c r="N968" t="s">
        <v>8</v>
      </c>
      <c r="P968">
        <f t="shared" si="1019"/>
        <v>-0.51176470588235246</v>
      </c>
      <c r="Q968">
        <f t="shared" si="1020"/>
        <v>-115967431.66941166</v>
      </c>
      <c r="R968">
        <f t="shared" si="1021"/>
        <v>86492575.728803873</v>
      </c>
      <c r="S968">
        <f t="shared" si="1022"/>
        <v>864.92575728803877</v>
      </c>
      <c r="T968">
        <f t="shared" si="1023"/>
        <v>0.86492575728803878</v>
      </c>
    </row>
    <row r="969" spans="1:20" x14ac:dyDescent="0.25">
      <c r="A969" s="5">
        <v>43624</v>
      </c>
      <c r="B969">
        <v>2.5350000000000001E-2</v>
      </c>
      <c r="C969">
        <v>2.6280000000000001E-2</v>
      </c>
      <c r="D969">
        <v>2.332E-2</v>
      </c>
      <c r="E969">
        <v>2.3990000000000001E-2</v>
      </c>
      <c r="F969">
        <v>190001753.40000001</v>
      </c>
      <c r="G969">
        <v>0</v>
      </c>
      <c r="L969" t="s">
        <v>7</v>
      </c>
      <c r="M969" t="s">
        <v>8</v>
      </c>
      <c r="N969" t="s">
        <v>8</v>
      </c>
      <c r="P969">
        <f t="shared" si="1019"/>
        <v>-0.54729729729729715</v>
      </c>
      <c r="Q969">
        <f t="shared" si="1020"/>
        <v>-103987446.11756754</v>
      </c>
      <c r="R969">
        <f t="shared" si="1021"/>
        <v>202460007.39821553</v>
      </c>
      <c r="S969">
        <f t="shared" si="1022"/>
        <v>2024.6000739821554</v>
      </c>
      <c r="T969">
        <f t="shared" si="1023"/>
        <v>2.0246000739821555</v>
      </c>
    </row>
    <row r="970" spans="1:20" x14ac:dyDescent="0.25">
      <c r="A970" s="5">
        <v>43623</v>
      </c>
      <c r="B970">
        <v>2.3259999999999999E-2</v>
      </c>
      <c r="C970">
        <v>2.622E-2</v>
      </c>
      <c r="D970">
        <v>2.2780000000000002E-2</v>
      </c>
      <c r="E970">
        <v>2.537E-2</v>
      </c>
      <c r="F970">
        <v>387000119.19999999</v>
      </c>
      <c r="G970">
        <v>0</v>
      </c>
      <c r="L970" t="s">
        <v>8</v>
      </c>
      <c r="M970" t="s">
        <v>8</v>
      </c>
      <c r="N970" t="s">
        <v>8</v>
      </c>
      <c r="P970">
        <f t="shared" si="1019"/>
        <v>0.50581395348837188</v>
      </c>
      <c r="Q970">
        <f t="shared" si="1020"/>
        <v>195750060.29302317</v>
      </c>
      <c r="R970">
        <f t="shared" si="1021"/>
        <v>306447453.51578307</v>
      </c>
      <c r="S970">
        <f t="shared" si="1022"/>
        <v>3064.4745351578308</v>
      </c>
      <c r="T970">
        <f t="shared" si="1023"/>
        <v>3.0644745351578306</v>
      </c>
    </row>
    <row r="971" spans="1:20" x14ac:dyDescent="0.25">
      <c r="A971" s="5">
        <v>43622</v>
      </c>
      <c r="B971">
        <v>2.1420000000000002E-2</v>
      </c>
      <c r="C971">
        <v>2.418E-2</v>
      </c>
      <c r="D971">
        <v>2.0899999999999998E-2</v>
      </c>
      <c r="E971">
        <v>2.3220000000000001E-2</v>
      </c>
      <c r="F971">
        <v>381393471.80000001</v>
      </c>
      <c r="G971">
        <v>0</v>
      </c>
      <c r="L971" t="s">
        <v>8</v>
      </c>
      <c r="M971" t="s">
        <v>7</v>
      </c>
      <c r="N971" t="s">
        <v>8</v>
      </c>
      <c r="P971">
        <f t="shared" si="1019"/>
        <v>0.41463414634146428</v>
      </c>
      <c r="Q971">
        <f t="shared" si="1020"/>
        <v>158138756.60000032</v>
      </c>
      <c r="R971">
        <f t="shared" si="1021"/>
        <v>110697393.2227599</v>
      </c>
      <c r="S971">
        <f t="shared" si="1022"/>
        <v>1106.9739322275991</v>
      </c>
      <c r="T971">
        <f t="shared" si="1023"/>
        <v>1.1069739322275991</v>
      </c>
    </row>
    <row r="972" spans="1:20" x14ac:dyDescent="0.25">
      <c r="A972" s="5">
        <v>43621</v>
      </c>
      <c r="B972">
        <v>2.1940000000000001E-2</v>
      </c>
      <c r="C972">
        <v>2.264E-2</v>
      </c>
      <c r="D972">
        <v>2.0389999999999998E-2</v>
      </c>
      <c r="E972">
        <v>2.137E-2</v>
      </c>
      <c r="F972">
        <v>239557144.09999999</v>
      </c>
      <c r="G972">
        <v>0</v>
      </c>
      <c r="L972" t="s">
        <v>7</v>
      </c>
      <c r="M972" t="s">
        <v>7</v>
      </c>
      <c r="N972" t="s">
        <v>8</v>
      </c>
      <c r="P972">
        <f t="shared" si="1019"/>
        <v>-0.12888888888888814</v>
      </c>
      <c r="Q972">
        <f t="shared" si="1020"/>
        <v>-30876254.128444262</v>
      </c>
      <c r="R972">
        <f t="shared" si="1021"/>
        <v>-47441363.377240412</v>
      </c>
      <c r="S972">
        <f t="shared" si="1022"/>
        <v>-474.41363377240413</v>
      </c>
      <c r="T972">
        <f t="shared" si="1023"/>
        <v>-0.47441363377240414</v>
      </c>
    </row>
    <row r="973" spans="1:20" x14ac:dyDescent="0.25">
      <c r="A973" s="5">
        <v>43620</v>
      </c>
      <c r="B973">
        <v>2.0760000000000001E-2</v>
      </c>
      <c r="C973">
        <v>2.47E-2</v>
      </c>
      <c r="D973">
        <v>1.9800000000000002E-2</v>
      </c>
      <c r="E973">
        <v>2.1919999999999999E-2</v>
      </c>
      <c r="F973">
        <v>697178003</v>
      </c>
      <c r="G973">
        <v>0</v>
      </c>
      <c r="L973" t="s">
        <v>8</v>
      </c>
      <c r="M973" t="s">
        <v>8</v>
      </c>
      <c r="N973" t="s">
        <v>8</v>
      </c>
      <c r="P973">
        <f t="shared" si="1019"/>
        <v>-0.13469387755102136</v>
      </c>
      <c r="Q973">
        <f t="shared" si="1020"/>
        <v>-93905608.567347601</v>
      </c>
      <c r="R973">
        <f t="shared" si="1021"/>
        <v>-16565109.24879615</v>
      </c>
      <c r="S973">
        <f t="shared" si="1022"/>
        <v>-165.65109248796151</v>
      </c>
      <c r="T973">
        <f t="shared" si="1023"/>
        <v>-0.1656510924879615</v>
      </c>
    </row>
    <row r="974" spans="1:20" x14ac:dyDescent="0.25">
      <c r="A974" s="5">
        <v>43619</v>
      </c>
      <c r="B974">
        <v>2.1649999999999999E-2</v>
      </c>
      <c r="C974">
        <v>2.3449999999999999E-2</v>
      </c>
      <c r="D974">
        <v>1.9640000000000001E-2</v>
      </c>
      <c r="E974">
        <v>2.0760000000000001E-2</v>
      </c>
      <c r="F974">
        <v>283182598.60000002</v>
      </c>
      <c r="G974">
        <v>0</v>
      </c>
      <c r="L974" t="s">
        <v>8</v>
      </c>
      <c r="M974" t="s">
        <v>8</v>
      </c>
      <c r="N974" t="s">
        <v>8</v>
      </c>
      <c r="P974">
        <f t="shared" si="1019"/>
        <v>-0.41207349081364819</v>
      </c>
      <c r="Q974">
        <f t="shared" si="1020"/>
        <v>-116692041.94278213</v>
      </c>
      <c r="R974">
        <f t="shared" si="1021"/>
        <v>77340499.318551451</v>
      </c>
      <c r="S974">
        <f t="shared" si="1022"/>
        <v>773.40499318551451</v>
      </c>
      <c r="T974">
        <f t="shared" si="1023"/>
        <v>0.77340499318551448</v>
      </c>
    </row>
    <row r="975" spans="1:20" x14ac:dyDescent="0.25">
      <c r="A975" s="5">
        <v>43618</v>
      </c>
      <c r="B975">
        <v>1.9630000000000002E-2</v>
      </c>
      <c r="C975">
        <v>2.1950000000000001E-2</v>
      </c>
      <c r="D975">
        <v>1.9519999999999999E-2</v>
      </c>
      <c r="E975">
        <v>2.1760000000000002E-2</v>
      </c>
      <c r="F975">
        <v>151848014.80000001</v>
      </c>
      <c r="G975">
        <v>0</v>
      </c>
      <c r="L975" t="s">
        <v>8</v>
      </c>
      <c r="M975" t="s">
        <v>7</v>
      </c>
      <c r="N975" t="s">
        <v>8</v>
      </c>
      <c r="P975">
        <f t="shared" si="1019"/>
        <v>0.84362139917695544</v>
      </c>
      <c r="Q975">
        <f t="shared" si="1020"/>
        <v>128102234.70781904</v>
      </c>
      <c r="R975">
        <f t="shared" si="1021"/>
        <v>194032541.26133358</v>
      </c>
      <c r="S975">
        <f t="shared" si="1022"/>
        <v>1940.3254126133359</v>
      </c>
      <c r="T975">
        <f t="shared" si="1023"/>
        <v>1.9403254126133358</v>
      </c>
    </row>
    <row r="976" spans="1:20" x14ac:dyDescent="0.25">
      <c r="A976" s="5">
        <v>43617</v>
      </c>
      <c r="B976">
        <v>2.0379999999999999E-2</v>
      </c>
      <c r="C976">
        <v>2.0500000000000001E-2</v>
      </c>
      <c r="D976">
        <v>1.8919999999999999E-2</v>
      </c>
      <c r="E976">
        <v>1.967E-2</v>
      </c>
      <c r="F976">
        <v>98563719.299999997</v>
      </c>
      <c r="G976">
        <v>0</v>
      </c>
      <c r="L976" t="s">
        <v>7</v>
      </c>
      <c r="M976" t="s">
        <v>7</v>
      </c>
      <c r="N976" t="s">
        <v>8</v>
      </c>
      <c r="P976">
        <f t="shared" si="1019"/>
        <v>-5.0632911392405146E-2</v>
      </c>
      <c r="Q976">
        <f t="shared" si="1020"/>
        <v>-4990568.0658227932</v>
      </c>
      <c r="R976">
        <f t="shared" si="1021"/>
        <v>65930306.553514525</v>
      </c>
      <c r="S976">
        <f t="shared" si="1022"/>
        <v>659.30306553514527</v>
      </c>
      <c r="T976">
        <f t="shared" si="1023"/>
        <v>0.65930306553514528</v>
      </c>
    </row>
    <row r="977" spans="1:20" x14ac:dyDescent="0.25">
      <c r="A977" s="5">
        <v>43616</v>
      </c>
      <c r="B977">
        <v>1.9390000000000001E-2</v>
      </c>
      <c r="C977">
        <v>2.0389999999999998E-2</v>
      </c>
      <c r="D977">
        <v>1.8550000000000001E-2</v>
      </c>
      <c r="E977">
        <v>2.0379999999999999E-2</v>
      </c>
      <c r="F977">
        <v>79893852.400000006</v>
      </c>
      <c r="G977">
        <v>0</v>
      </c>
      <c r="L977" t="s">
        <v>8</v>
      </c>
      <c r="M977" t="s">
        <v>7</v>
      </c>
      <c r="N977" t="s">
        <v>8</v>
      </c>
      <c r="P977">
        <f t="shared" si="1019"/>
        <v>0.98913043478260909</v>
      </c>
      <c r="Q977">
        <f t="shared" si="1020"/>
        <v>79025440.960869595</v>
      </c>
      <c r="R977">
        <f t="shared" si="1021"/>
        <v>70920874.61933732</v>
      </c>
      <c r="S977">
        <f t="shared" si="1022"/>
        <v>709.20874619337326</v>
      </c>
      <c r="T977">
        <f t="shared" si="1023"/>
        <v>0.70920874619337326</v>
      </c>
    </row>
    <row r="978" spans="1:20" x14ac:dyDescent="0.25">
      <c r="A978" s="5">
        <v>43615</v>
      </c>
      <c r="B978">
        <v>2.0750000000000001E-2</v>
      </c>
      <c r="C978">
        <v>2.2880000000000001E-2</v>
      </c>
      <c r="D978">
        <v>1.8550000000000001E-2</v>
      </c>
      <c r="E978">
        <v>1.9390000000000001E-2</v>
      </c>
      <c r="F978">
        <v>208491107.09999999</v>
      </c>
      <c r="G978">
        <v>0</v>
      </c>
      <c r="L978" t="s">
        <v>7</v>
      </c>
      <c r="M978" t="s">
        <v>8</v>
      </c>
      <c r="N978" t="s">
        <v>8</v>
      </c>
      <c r="P978">
        <f t="shared" si="1019"/>
        <v>-0.61200923787528849</v>
      </c>
      <c r="Q978">
        <f t="shared" si="1020"/>
        <v>-127598483.56004615</v>
      </c>
      <c r="R978">
        <f t="shared" si="1021"/>
        <v>-8104566.3415322751</v>
      </c>
      <c r="S978">
        <f t="shared" si="1022"/>
        <v>-81.04566341532275</v>
      </c>
      <c r="T978">
        <f t="shared" si="1023"/>
        <v>-8.1045663415322752E-2</v>
      </c>
    </row>
    <row r="979" spans="1:20" x14ac:dyDescent="0.25">
      <c r="A979" s="5">
        <v>43614</v>
      </c>
      <c r="B979">
        <v>2.1610000000000001E-2</v>
      </c>
      <c r="C979">
        <v>2.181E-2</v>
      </c>
      <c r="D979">
        <v>1.9439999999999999E-2</v>
      </c>
      <c r="E979">
        <v>2.0750000000000001E-2</v>
      </c>
      <c r="F979">
        <v>123594940</v>
      </c>
      <c r="G979">
        <v>0</v>
      </c>
      <c r="L979" t="s">
        <v>7</v>
      </c>
      <c r="M979" t="s">
        <v>8</v>
      </c>
      <c r="N979" t="s">
        <v>8</v>
      </c>
      <c r="P979">
        <f t="shared" si="1019"/>
        <v>0.10548523206751208</v>
      </c>
      <c r="Q979">
        <f t="shared" si="1020"/>
        <v>13037440.928270232</v>
      </c>
      <c r="R979">
        <f t="shared" si="1021"/>
        <v>119493917.21851388</v>
      </c>
      <c r="S979">
        <f t="shared" si="1022"/>
        <v>1194.9391721851387</v>
      </c>
      <c r="T979">
        <f t="shared" si="1023"/>
        <v>1.1949391721851386</v>
      </c>
    </row>
    <row r="980" spans="1:20" x14ac:dyDescent="0.25">
      <c r="A980" s="5">
        <v>43613</v>
      </c>
      <c r="B980">
        <v>2.0230000000000001E-2</v>
      </c>
      <c r="C980">
        <v>2.1700000000000001E-2</v>
      </c>
      <c r="D980">
        <v>2.0070000000000001E-2</v>
      </c>
      <c r="E980">
        <v>2.1600000000000001E-2</v>
      </c>
      <c r="F980">
        <v>167053155.69999999</v>
      </c>
      <c r="G980">
        <v>0</v>
      </c>
      <c r="L980" t="s">
        <v>8</v>
      </c>
      <c r="M980" t="s">
        <v>8</v>
      </c>
      <c r="N980" t="s">
        <v>8</v>
      </c>
      <c r="P980">
        <f t="shared" si="1019"/>
        <v>0.87730061349693322</v>
      </c>
      <c r="Q980">
        <f t="shared" si="1020"/>
        <v>146555835.9822087</v>
      </c>
      <c r="R980">
        <f t="shared" si="1021"/>
        <v>106456476.29024364</v>
      </c>
      <c r="S980">
        <f t="shared" si="1022"/>
        <v>1064.5647629024363</v>
      </c>
      <c r="T980">
        <f t="shared" si="1023"/>
        <v>1.0645647629024364</v>
      </c>
    </row>
    <row r="981" spans="1:20" x14ac:dyDescent="0.25">
      <c r="A981" s="5">
        <v>43612</v>
      </c>
      <c r="B981">
        <v>1.9519999999999999E-2</v>
      </c>
      <c r="C981">
        <v>2.1000000000000001E-2</v>
      </c>
      <c r="D981">
        <v>1.9460000000000002E-2</v>
      </c>
      <c r="E981">
        <v>2.0199999999999999E-2</v>
      </c>
      <c r="F981">
        <v>138520597.5</v>
      </c>
      <c r="G981">
        <v>0</v>
      </c>
      <c r="L981" t="s">
        <v>8</v>
      </c>
      <c r="M981" t="s">
        <v>7</v>
      </c>
      <c r="N981" t="s">
        <v>8</v>
      </c>
      <c r="P981">
        <f t="shared" si="1019"/>
        <v>-3.8961038961041888E-2</v>
      </c>
      <c r="Q981">
        <f t="shared" si="1020"/>
        <v>-5396906.3961043013</v>
      </c>
      <c r="R981">
        <f t="shared" si="1021"/>
        <v>-40099359.691965058</v>
      </c>
      <c r="S981">
        <f t="shared" si="1022"/>
        <v>-400.9935969196506</v>
      </c>
      <c r="T981">
        <f t="shared" si="1023"/>
        <v>-0.40099359691965059</v>
      </c>
    </row>
    <row r="982" spans="1:20" x14ac:dyDescent="0.25">
      <c r="A982" s="5">
        <v>43611</v>
      </c>
      <c r="B982">
        <v>2.0150000000000001E-2</v>
      </c>
      <c r="C982">
        <v>2.0379999999999999E-2</v>
      </c>
      <c r="D982">
        <v>1.8290000000000001E-2</v>
      </c>
      <c r="E982">
        <v>1.9529999999999999E-2</v>
      </c>
      <c r="F982">
        <v>110128008</v>
      </c>
      <c r="G982">
        <v>0</v>
      </c>
      <c r="L982" t="s">
        <v>7</v>
      </c>
      <c r="M982" t="s">
        <v>7</v>
      </c>
      <c r="N982" t="s">
        <v>8</v>
      </c>
      <c r="P982">
        <f t="shared" si="1019"/>
        <v>0.18660287081339633</v>
      </c>
      <c r="Q982">
        <f t="shared" si="1020"/>
        <v>20550202.449760675</v>
      </c>
      <c r="R982">
        <f t="shared" si="1021"/>
        <v>-34702453.29586076</v>
      </c>
      <c r="S982">
        <f t="shared" si="1022"/>
        <v>-347.02453295860761</v>
      </c>
      <c r="T982">
        <f t="shared" si="1023"/>
        <v>-0.34702453295860763</v>
      </c>
    </row>
    <row r="983" spans="1:20" x14ac:dyDescent="0.25">
      <c r="A983" s="5">
        <v>43610</v>
      </c>
      <c r="B983">
        <v>1.924E-2</v>
      </c>
      <c r="C983">
        <v>2.0549999999999999E-2</v>
      </c>
      <c r="D983">
        <v>1.8710000000000001E-2</v>
      </c>
      <c r="E983">
        <v>2.01E-2</v>
      </c>
      <c r="F983">
        <v>100797774.09999999</v>
      </c>
      <c r="G983">
        <v>0</v>
      </c>
      <c r="L983" t="s">
        <v>8</v>
      </c>
      <c r="M983" t="s">
        <v>7</v>
      </c>
      <c r="N983" t="s">
        <v>8</v>
      </c>
      <c r="P983">
        <f t="shared" si="1019"/>
        <v>0.5108695652173918</v>
      </c>
      <c r="Q983">
        <f t="shared" si="1020"/>
        <v>51494515.029347874</v>
      </c>
      <c r="R983">
        <f t="shared" si="1021"/>
        <v>-55252655.745621435</v>
      </c>
      <c r="S983">
        <f t="shared" si="1022"/>
        <v>-552.52655745621439</v>
      </c>
      <c r="T983">
        <f t="shared" si="1023"/>
        <v>-0.55252655745621437</v>
      </c>
    </row>
    <row r="984" spans="1:20" x14ac:dyDescent="0.25">
      <c r="A984" s="5">
        <v>43609</v>
      </c>
      <c r="B984">
        <v>2.026E-2</v>
      </c>
      <c r="C984">
        <v>2.12E-2</v>
      </c>
      <c r="D984">
        <v>1.8890000000000001E-2</v>
      </c>
      <c r="E984">
        <v>1.924E-2</v>
      </c>
      <c r="F984">
        <v>158405601.40000001</v>
      </c>
      <c r="G984">
        <v>0</v>
      </c>
      <c r="L984" t="s">
        <v>7</v>
      </c>
      <c r="M984" t="s">
        <v>7</v>
      </c>
      <c r="N984" t="s">
        <v>8</v>
      </c>
      <c r="P984">
        <f t="shared" si="1019"/>
        <v>-0.69696969696969724</v>
      </c>
      <c r="Q984">
        <f t="shared" si="1020"/>
        <v>-110403904.00606066</v>
      </c>
      <c r="R984">
        <f t="shared" si="1021"/>
        <v>-106747170.77496931</v>
      </c>
      <c r="S984">
        <f t="shared" si="1022"/>
        <v>-1067.471707749693</v>
      </c>
      <c r="T984">
        <f t="shared" si="1023"/>
        <v>-1.0674717077496929</v>
      </c>
    </row>
    <row r="985" spans="1:20" x14ac:dyDescent="0.25">
      <c r="A985" s="5">
        <v>43608</v>
      </c>
      <c r="B985">
        <v>2.1729999999999999E-2</v>
      </c>
      <c r="C985">
        <v>2.2249999999999999E-2</v>
      </c>
      <c r="D985">
        <v>1.9439999999999999E-2</v>
      </c>
      <c r="E985">
        <v>2.0299999999999999E-2</v>
      </c>
      <c r="F985">
        <v>277794478.89999998</v>
      </c>
      <c r="G985">
        <v>0</v>
      </c>
      <c r="L985" t="s">
        <v>7</v>
      </c>
      <c r="M985" t="s">
        <v>7</v>
      </c>
      <c r="N985" t="s">
        <v>8</v>
      </c>
      <c r="P985">
        <f t="shared" si="1019"/>
        <v>-0.38790035587188637</v>
      </c>
      <c r="Q985">
        <f t="shared" si="1020"/>
        <v>-107756577.22455522</v>
      </c>
      <c r="R985">
        <f t="shared" si="1021"/>
        <v>3656733.2310913503</v>
      </c>
      <c r="S985">
        <f t="shared" si="1022"/>
        <v>36.5673323109135</v>
      </c>
      <c r="T985">
        <f t="shared" si="1023"/>
        <v>3.6567332310913497E-2</v>
      </c>
    </row>
    <row r="986" spans="1:20" x14ac:dyDescent="0.25">
      <c r="A986" s="5">
        <v>43607</v>
      </c>
      <c r="B986">
        <v>2.0830000000000001E-2</v>
      </c>
      <c r="C986">
        <v>2.4680000000000001E-2</v>
      </c>
      <c r="D986">
        <v>2.0480000000000002E-2</v>
      </c>
      <c r="E986">
        <v>2.163E-2</v>
      </c>
      <c r="F986">
        <v>510852396.60000002</v>
      </c>
      <c r="G986">
        <v>0</v>
      </c>
      <c r="L986" t="s">
        <v>8</v>
      </c>
      <c r="M986" t="s">
        <v>8</v>
      </c>
      <c r="N986" t="s">
        <v>8</v>
      </c>
      <c r="P986">
        <f t="shared" si="1019"/>
        <v>-0.45238095238095305</v>
      </c>
      <c r="Q986">
        <f t="shared" si="1020"/>
        <v>-231099893.70000035</v>
      </c>
      <c r="R986">
        <f t="shared" si="1021"/>
        <v>111413310.45564657</v>
      </c>
      <c r="S986">
        <f t="shared" si="1022"/>
        <v>1114.1331045564657</v>
      </c>
      <c r="T986">
        <f t="shared" si="1023"/>
        <v>1.1141331045564657</v>
      </c>
    </row>
    <row r="987" spans="1:20" x14ac:dyDescent="0.25">
      <c r="A987" s="5">
        <v>43606</v>
      </c>
      <c r="B987">
        <v>1.7239999999999998E-2</v>
      </c>
      <c r="C987">
        <v>2.419E-2</v>
      </c>
      <c r="D987">
        <v>1.721E-2</v>
      </c>
      <c r="E987">
        <v>2.085E-2</v>
      </c>
      <c r="F987">
        <v>618092357.10000002</v>
      </c>
      <c r="G987">
        <v>0</v>
      </c>
      <c r="L987" t="s">
        <v>8</v>
      </c>
      <c r="M987" t="s">
        <v>8</v>
      </c>
      <c r="N987" t="s">
        <v>8</v>
      </c>
      <c r="P987">
        <f t="shared" si="1019"/>
        <v>4.2979942693409975E-2</v>
      </c>
      <c r="Q987">
        <f t="shared" si="1020"/>
        <v>26565574.087392695</v>
      </c>
      <c r="R987">
        <f t="shared" si="1021"/>
        <v>342513204.15564692</v>
      </c>
      <c r="S987">
        <f t="shared" si="1022"/>
        <v>3425.1320415564692</v>
      </c>
      <c r="T987">
        <f t="shared" si="1023"/>
        <v>3.425132041556469</v>
      </c>
    </row>
    <row r="988" spans="1:20" x14ac:dyDescent="0.25">
      <c r="A988" s="5">
        <v>43605</v>
      </c>
      <c r="B988">
        <v>1.746E-2</v>
      </c>
      <c r="C988">
        <v>1.7610000000000001E-2</v>
      </c>
      <c r="D988">
        <v>1.6230000000000001E-2</v>
      </c>
      <c r="E988">
        <v>1.7309999999999999E-2</v>
      </c>
      <c r="F988">
        <v>97246798.099999994</v>
      </c>
      <c r="G988">
        <v>0</v>
      </c>
      <c r="L988" t="s">
        <v>7</v>
      </c>
      <c r="M988" t="s">
        <v>7</v>
      </c>
      <c r="N988" t="s">
        <v>8</v>
      </c>
      <c r="P988">
        <f t="shared" si="1019"/>
        <v>0.56521739130434523</v>
      </c>
      <c r="Q988">
        <f t="shared" si="1020"/>
        <v>54965581.53478235</v>
      </c>
      <c r="R988">
        <f t="shared" si="1021"/>
        <v>315947630.06825423</v>
      </c>
      <c r="S988">
        <f t="shared" si="1022"/>
        <v>3159.4763006825424</v>
      </c>
      <c r="T988">
        <f t="shared" si="1023"/>
        <v>3.1594763006825426</v>
      </c>
    </row>
    <row r="989" spans="1:20" x14ac:dyDescent="0.25">
      <c r="A989" s="5">
        <v>43604</v>
      </c>
      <c r="B989">
        <v>1.685E-2</v>
      </c>
      <c r="C989">
        <v>1.8110000000000001E-2</v>
      </c>
      <c r="D989">
        <v>1.6740000000000001E-2</v>
      </c>
      <c r="E989">
        <v>1.753E-2</v>
      </c>
      <c r="F989">
        <v>127540510.7</v>
      </c>
      <c r="G989">
        <v>0</v>
      </c>
      <c r="L989" t="s">
        <v>8</v>
      </c>
      <c r="M989" t="s">
        <v>7</v>
      </c>
      <c r="N989" t="s">
        <v>8</v>
      </c>
      <c r="P989">
        <f t="shared" si="1019"/>
        <v>0.15328467153284556</v>
      </c>
      <c r="Q989">
        <f t="shared" si="1020"/>
        <v>19550005.289780874</v>
      </c>
      <c r="R989">
        <f t="shared" si="1021"/>
        <v>260982048.53347185</v>
      </c>
      <c r="S989">
        <f t="shared" si="1022"/>
        <v>2609.8204853347183</v>
      </c>
      <c r="T989">
        <f t="shared" si="1023"/>
        <v>2.6098204853347182</v>
      </c>
    </row>
    <row r="990" spans="1:20" x14ac:dyDescent="0.25">
      <c r="A990" s="5">
        <v>43603</v>
      </c>
      <c r="B990">
        <v>1.7659999999999999E-2</v>
      </c>
      <c r="C990">
        <v>1.7829999999999999E-2</v>
      </c>
      <c r="D990">
        <v>1.669E-2</v>
      </c>
      <c r="E990">
        <v>1.694E-2</v>
      </c>
      <c r="F990">
        <v>75382145.799999997</v>
      </c>
      <c r="G990">
        <v>0</v>
      </c>
      <c r="L990" t="s">
        <v>8</v>
      </c>
      <c r="M990" t="s">
        <v>7</v>
      </c>
      <c r="N990" t="s">
        <v>8</v>
      </c>
      <c r="P990">
        <f t="shared" si="1019"/>
        <v>-0.56140350877192891</v>
      </c>
      <c r="Q990">
        <f t="shared" si="1020"/>
        <v>-42319801.150877126</v>
      </c>
      <c r="R990">
        <f t="shared" si="1021"/>
        <v>241432043.24369097</v>
      </c>
      <c r="S990">
        <f t="shared" si="1022"/>
        <v>2414.3204324369099</v>
      </c>
      <c r="T990">
        <f t="shared" si="1023"/>
        <v>2.4143204324369099</v>
      </c>
    </row>
    <row r="991" spans="1:20" x14ac:dyDescent="0.25">
      <c r="A991" s="5">
        <v>43602</v>
      </c>
      <c r="B991">
        <v>1.8720000000000001E-2</v>
      </c>
      <c r="C991">
        <v>1.9099999999999999E-2</v>
      </c>
      <c r="D991">
        <v>1.5699999999999999E-2</v>
      </c>
      <c r="E991">
        <v>1.7659999999999999E-2</v>
      </c>
      <c r="F991">
        <v>119791776.59999999</v>
      </c>
      <c r="G991">
        <v>0</v>
      </c>
      <c r="L991" t="s">
        <v>7</v>
      </c>
      <c r="M991" t="s">
        <v>7</v>
      </c>
      <c r="N991" t="s">
        <v>8</v>
      </c>
      <c r="P991">
        <f t="shared" si="1019"/>
        <v>0.15294117647058811</v>
      </c>
      <c r="Q991">
        <f t="shared" si="1020"/>
        <v>18321095.244705867</v>
      </c>
      <c r="R991">
        <f t="shared" si="1021"/>
        <v>283751844.39456809</v>
      </c>
      <c r="S991">
        <f t="shared" si="1022"/>
        <v>2837.5184439456807</v>
      </c>
      <c r="T991">
        <f t="shared" si="1023"/>
        <v>2.8375184439456809</v>
      </c>
    </row>
    <row r="992" spans="1:20" x14ac:dyDescent="0.25">
      <c r="A992" s="5">
        <v>43601</v>
      </c>
      <c r="B992">
        <v>2.0299999999999999E-2</v>
      </c>
      <c r="C992">
        <v>2.1579999999999998E-2</v>
      </c>
      <c r="D992">
        <v>1.7610000000000001E-2</v>
      </c>
      <c r="E992">
        <v>1.8700000000000001E-2</v>
      </c>
      <c r="F992">
        <v>207702496.80000001</v>
      </c>
      <c r="G992">
        <v>0</v>
      </c>
      <c r="L992" t="s">
        <v>8</v>
      </c>
      <c r="M992" t="s">
        <v>8</v>
      </c>
      <c r="N992" t="s">
        <v>8</v>
      </c>
      <c r="P992">
        <f t="shared" si="1019"/>
        <v>-0.45088161209067945</v>
      </c>
      <c r="Q992">
        <f t="shared" si="1020"/>
        <v>-93649236.592443198</v>
      </c>
      <c r="R992">
        <f t="shared" si="1021"/>
        <v>265430749.1498622</v>
      </c>
      <c r="S992">
        <f t="shared" si="1022"/>
        <v>2654.3074914986219</v>
      </c>
      <c r="T992">
        <f t="shared" si="1023"/>
        <v>2.654307491498622</v>
      </c>
    </row>
    <row r="993" spans="1:20" x14ac:dyDescent="0.25">
      <c r="A993" s="5">
        <v>43600</v>
      </c>
      <c r="B993">
        <v>1.7639999999999999E-2</v>
      </c>
      <c r="C993">
        <v>2.0389999999999998E-2</v>
      </c>
      <c r="D993">
        <v>1.719E-2</v>
      </c>
      <c r="E993">
        <v>2.0310000000000002E-2</v>
      </c>
      <c r="F993">
        <v>134297272.90000001</v>
      </c>
      <c r="G993">
        <v>0</v>
      </c>
      <c r="L993" t="s">
        <v>8</v>
      </c>
      <c r="M993" t="s">
        <v>8</v>
      </c>
      <c r="N993" t="s">
        <v>8</v>
      </c>
      <c r="P993">
        <f t="shared" si="1019"/>
        <v>0.95000000000000195</v>
      </c>
      <c r="Q993">
        <f t="shared" si="1020"/>
        <v>127582409.25500026</v>
      </c>
      <c r="R993">
        <f t="shared" si="1021"/>
        <v>359079985.7423054</v>
      </c>
      <c r="S993">
        <f t="shared" si="1022"/>
        <v>3590.7998574230542</v>
      </c>
      <c r="T993">
        <f t="shared" si="1023"/>
        <v>3.590799857423054</v>
      </c>
    </row>
    <row r="994" spans="1:20" x14ac:dyDescent="0.25">
      <c r="A994" s="5">
        <v>43599</v>
      </c>
      <c r="B994">
        <v>1.6279999999999999E-2</v>
      </c>
      <c r="C994">
        <v>1.796E-2</v>
      </c>
      <c r="D994">
        <v>1.626E-2</v>
      </c>
      <c r="E994">
        <v>1.7639999999999999E-2</v>
      </c>
      <c r="F994">
        <v>143269783</v>
      </c>
      <c r="G994">
        <v>0</v>
      </c>
      <c r="L994" t="s">
        <v>8</v>
      </c>
      <c r="M994" t="s">
        <v>8</v>
      </c>
      <c r="N994" t="s">
        <v>7</v>
      </c>
      <c r="P994">
        <f t="shared" si="1019"/>
        <v>0.62352941176470489</v>
      </c>
      <c r="Q994">
        <f t="shared" si="1020"/>
        <v>89332923.517646924</v>
      </c>
      <c r="R994">
        <f t="shared" si="1021"/>
        <v>231497576.4873051</v>
      </c>
      <c r="S994">
        <f t="shared" si="1022"/>
        <v>2314.975764873051</v>
      </c>
      <c r="T994">
        <f t="shared" si="1023"/>
        <v>2.3149757648730511</v>
      </c>
    </row>
    <row r="995" spans="1:20" x14ac:dyDescent="0.25">
      <c r="A995" s="5">
        <v>43598</v>
      </c>
      <c r="B995">
        <v>1.585E-2</v>
      </c>
      <c r="C995">
        <v>1.712E-2</v>
      </c>
      <c r="D995">
        <v>1.5699999999999999E-2</v>
      </c>
      <c r="E995">
        <v>1.6279999999999999E-2</v>
      </c>
      <c r="F995">
        <v>93054045.299999997</v>
      </c>
      <c r="G995">
        <v>0</v>
      </c>
      <c r="L995" t="s">
        <v>8</v>
      </c>
      <c r="M995" t="s">
        <v>8</v>
      </c>
      <c r="N995" t="s">
        <v>7</v>
      </c>
      <c r="P995">
        <f t="shared" si="1019"/>
        <v>-0.1830985915492955</v>
      </c>
      <c r="Q995">
        <f t="shared" si="1020"/>
        <v>-17038064.63239434</v>
      </c>
      <c r="R995">
        <f t="shared" si="1021"/>
        <v>142164652.96965817</v>
      </c>
      <c r="S995">
        <f t="shared" si="1022"/>
        <v>1421.6465296965816</v>
      </c>
      <c r="T995">
        <f t="shared" si="1023"/>
        <v>1.4216465296965817</v>
      </c>
    </row>
    <row r="996" spans="1:20" x14ac:dyDescent="0.25">
      <c r="A996" s="5">
        <v>43597</v>
      </c>
      <c r="B996">
        <v>1.6240000000000001E-2</v>
      </c>
      <c r="C996">
        <v>1.6820000000000002E-2</v>
      </c>
      <c r="D996">
        <v>1.5180000000000001E-2</v>
      </c>
      <c r="E996">
        <v>1.584E-2</v>
      </c>
      <c r="F996">
        <v>84021300.599999994</v>
      </c>
      <c r="G996">
        <v>0</v>
      </c>
      <c r="L996" t="s">
        <v>7</v>
      </c>
      <c r="M996" t="s">
        <v>8</v>
      </c>
      <c r="N996" t="s">
        <v>7</v>
      </c>
      <c r="P996">
        <f t="shared" si="1019"/>
        <v>-0.19512195121951367</v>
      </c>
      <c r="Q996">
        <f t="shared" si="1020"/>
        <v>-16394400.117073294</v>
      </c>
      <c r="R996">
        <f t="shared" si="1021"/>
        <v>159202717.60205251</v>
      </c>
      <c r="S996">
        <f t="shared" si="1022"/>
        <v>1592.0271760205251</v>
      </c>
      <c r="T996">
        <f t="shared" si="1023"/>
        <v>1.5920271760205251</v>
      </c>
    </row>
    <row r="997" spans="1:20" x14ac:dyDescent="0.25">
      <c r="A997" s="5">
        <v>43596</v>
      </c>
      <c r="B997">
        <v>1.5389999999999999E-2</v>
      </c>
      <c r="C997">
        <v>1.6879999999999999E-2</v>
      </c>
      <c r="D997">
        <v>1.506E-2</v>
      </c>
      <c r="E997">
        <v>1.6389999999999998E-2</v>
      </c>
      <c r="F997">
        <v>95748122.299999997</v>
      </c>
      <c r="G997">
        <v>0</v>
      </c>
      <c r="L997" t="s">
        <v>8</v>
      </c>
      <c r="M997" t="s">
        <v>8</v>
      </c>
      <c r="N997" t="s">
        <v>7</v>
      </c>
      <c r="P997">
        <f t="shared" si="1019"/>
        <v>0.46153846153846023</v>
      </c>
      <c r="Q997">
        <f t="shared" si="1020"/>
        <v>44191441.061538339</v>
      </c>
      <c r="R997">
        <f t="shared" si="1021"/>
        <v>175597117.71912581</v>
      </c>
      <c r="S997">
        <f t="shared" si="1022"/>
        <v>1755.971177191258</v>
      </c>
      <c r="T997">
        <f t="shared" si="1023"/>
        <v>1.7559711771912581</v>
      </c>
    </row>
    <row r="998" spans="1:20" x14ac:dyDescent="0.25">
      <c r="A998" s="5">
        <v>43595</v>
      </c>
      <c r="B998">
        <v>1.495E-2</v>
      </c>
      <c r="C998">
        <v>1.555E-2</v>
      </c>
      <c r="D998">
        <v>1.464E-2</v>
      </c>
      <c r="E998">
        <v>1.5310000000000001E-2</v>
      </c>
      <c r="F998">
        <v>40955663.399999999</v>
      </c>
      <c r="G998">
        <v>0</v>
      </c>
      <c r="L998" t="s">
        <v>8</v>
      </c>
      <c r="M998" t="s">
        <v>7</v>
      </c>
      <c r="N998" t="s">
        <v>7</v>
      </c>
      <c r="P998">
        <f t="shared" si="1019"/>
        <v>0.47252747252747457</v>
      </c>
      <c r="Q998">
        <f t="shared" si="1020"/>
        <v>19352676.112087995</v>
      </c>
      <c r="R998">
        <f t="shared" si="1021"/>
        <v>131405676.65758747</v>
      </c>
      <c r="S998">
        <f t="shared" si="1022"/>
        <v>1314.0567665758747</v>
      </c>
      <c r="T998">
        <f t="shared" si="1023"/>
        <v>1.3140567665758747</v>
      </c>
    </row>
    <row r="999" spans="1:20" x14ac:dyDescent="0.25">
      <c r="A999" s="5">
        <v>43594</v>
      </c>
      <c r="B999">
        <v>1.6070000000000001E-2</v>
      </c>
      <c r="C999">
        <v>1.6240000000000001E-2</v>
      </c>
      <c r="D999">
        <v>1.413E-2</v>
      </c>
      <c r="E999">
        <v>1.49E-2</v>
      </c>
      <c r="F999">
        <v>58012219.100000001</v>
      </c>
      <c r="G999">
        <v>0</v>
      </c>
      <c r="L999" t="s">
        <v>7</v>
      </c>
      <c r="M999" t="s">
        <v>7</v>
      </c>
      <c r="N999" t="s">
        <v>7</v>
      </c>
      <c r="P999">
        <f t="shared" si="1019"/>
        <v>-0.27014218009478713</v>
      </c>
      <c r="Q999">
        <f t="shared" si="1020"/>
        <v>-15671547.33981045</v>
      </c>
      <c r="R999">
        <f t="shared" si="1021"/>
        <v>112053000.54549947</v>
      </c>
      <c r="S999">
        <f t="shared" si="1022"/>
        <v>1120.5300054549948</v>
      </c>
      <c r="T999">
        <f t="shared" si="1023"/>
        <v>1.1205300054549947</v>
      </c>
    </row>
    <row r="1000" spans="1:20" x14ac:dyDescent="0.25">
      <c r="A1000" s="5">
        <v>43593</v>
      </c>
      <c r="B1000">
        <v>1.566E-2</v>
      </c>
      <c r="C1000">
        <v>1.644E-2</v>
      </c>
      <c r="D1000">
        <v>1.52E-2</v>
      </c>
      <c r="E1000">
        <v>1.6070000000000001E-2</v>
      </c>
      <c r="F1000">
        <v>27817740.800000001</v>
      </c>
      <c r="G1000">
        <v>0</v>
      </c>
      <c r="L1000" t="s">
        <v>7</v>
      </c>
      <c r="M1000" t="s">
        <v>7</v>
      </c>
      <c r="N1000" t="s">
        <v>7</v>
      </c>
      <c r="P1000">
        <f t="shared" si="1019"/>
        <v>0.40322580645161471</v>
      </c>
      <c r="Q1000">
        <f t="shared" si="1020"/>
        <v>11216830.967741987</v>
      </c>
      <c r="R1000">
        <f t="shared" si="1021"/>
        <v>127724547.88530992</v>
      </c>
      <c r="S1000">
        <f t="shared" si="1022"/>
        <v>1277.2454788530993</v>
      </c>
      <c r="T1000">
        <f t="shared" si="1023"/>
        <v>1.2772454788530994</v>
      </c>
    </row>
    <row r="1001" spans="1:20" x14ac:dyDescent="0.25">
      <c r="A1001" s="5">
        <v>43592</v>
      </c>
      <c r="B1001">
        <v>1.643E-2</v>
      </c>
      <c r="C1001">
        <v>1.7160000000000002E-2</v>
      </c>
      <c r="D1001">
        <v>1.5599999999999999E-2</v>
      </c>
      <c r="E1001">
        <v>1.5730000000000001E-2</v>
      </c>
      <c r="F1001">
        <v>47437479.899999999</v>
      </c>
      <c r="G1001">
        <v>0</v>
      </c>
      <c r="L1001" t="s">
        <v>8</v>
      </c>
      <c r="M1001" t="s">
        <v>7</v>
      </c>
      <c r="N1001" t="s">
        <v>7</v>
      </c>
      <c r="P1001">
        <f t="shared" si="1019"/>
        <v>-0.83333333333333148</v>
      </c>
      <c r="Q1001">
        <f t="shared" si="1020"/>
        <v>-39531233.249999911</v>
      </c>
      <c r="R1001">
        <f t="shared" si="1021"/>
        <v>116507716.91756794</v>
      </c>
      <c r="S1001">
        <f t="shared" si="1022"/>
        <v>1165.0771691756793</v>
      </c>
      <c r="T1001">
        <f t="shared" si="1023"/>
        <v>1.1650771691756794</v>
      </c>
    </row>
    <row r="1002" spans="1:20" x14ac:dyDescent="0.25">
      <c r="A1002" s="5">
        <v>43591</v>
      </c>
      <c r="B1002">
        <v>1.585E-2</v>
      </c>
      <c r="C1002">
        <v>1.6990000000000002E-2</v>
      </c>
      <c r="D1002">
        <v>1.486E-2</v>
      </c>
      <c r="E1002">
        <v>1.644E-2</v>
      </c>
      <c r="F1002">
        <v>68729350.700000003</v>
      </c>
      <c r="G1002">
        <v>0</v>
      </c>
      <c r="L1002" t="s">
        <v>7</v>
      </c>
      <c r="M1002" t="s">
        <v>7</v>
      </c>
      <c r="N1002" t="s">
        <v>7</v>
      </c>
      <c r="P1002">
        <f t="shared" si="1019"/>
        <v>0.48356807511736954</v>
      </c>
      <c r="Q1002">
        <f t="shared" si="1020"/>
        <v>33235319.822065637</v>
      </c>
      <c r="R1002">
        <f t="shared" si="1021"/>
        <v>156038950.16756785</v>
      </c>
      <c r="S1002">
        <f t="shared" si="1022"/>
        <v>1560.3895016756785</v>
      </c>
      <c r="T1002">
        <f t="shared" si="1023"/>
        <v>1.5603895016756786</v>
      </c>
    </row>
    <row r="1003" spans="1:20" x14ac:dyDescent="0.25">
      <c r="A1003" s="5">
        <v>43590</v>
      </c>
      <c r="B1003">
        <v>1.5859999999999999E-2</v>
      </c>
      <c r="C1003">
        <v>1.6219999999999998E-2</v>
      </c>
      <c r="D1003">
        <v>1.5310000000000001E-2</v>
      </c>
      <c r="E1003">
        <v>1.5789999999999998E-2</v>
      </c>
      <c r="F1003">
        <v>31635776.800000001</v>
      </c>
      <c r="G1003">
        <v>0</v>
      </c>
      <c r="L1003" t="s">
        <v>7</v>
      </c>
      <c r="M1003" t="s">
        <v>7</v>
      </c>
      <c r="N1003" t="s">
        <v>7</v>
      </c>
      <c r="P1003">
        <f t="shared" si="1019"/>
        <v>5.4945054945052849E-2</v>
      </c>
      <c r="Q1003">
        <f t="shared" si="1020"/>
        <v>1738229.4945054282</v>
      </c>
      <c r="R1003">
        <f t="shared" si="1021"/>
        <v>122803630.34550221</v>
      </c>
      <c r="S1003">
        <f t="shared" si="1022"/>
        <v>1228.0363034550221</v>
      </c>
      <c r="T1003">
        <f t="shared" si="1023"/>
        <v>1.2280363034550221</v>
      </c>
    </row>
    <row r="1004" spans="1:20" x14ac:dyDescent="0.25">
      <c r="A1004" s="5">
        <v>43589</v>
      </c>
      <c r="B1004">
        <v>1.704E-2</v>
      </c>
      <c r="C1004">
        <v>1.7149999999999999E-2</v>
      </c>
      <c r="D1004">
        <v>1.553E-2</v>
      </c>
      <c r="E1004">
        <v>1.592E-2</v>
      </c>
      <c r="F1004">
        <v>62758193.200000003</v>
      </c>
      <c r="G1004">
        <v>0</v>
      </c>
      <c r="L1004" t="s">
        <v>7</v>
      </c>
      <c r="M1004" t="s">
        <v>7</v>
      </c>
      <c r="N1004" t="s">
        <v>7</v>
      </c>
      <c r="P1004">
        <f t="shared" si="1019"/>
        <v>-0.51851851851851827</v>
      </c>
      <c r="Q1004">
        <f t="shared" si="1020"/>
        <v>-32541285.36296295</v>
      </c>
      <c r="R1004">
        <f t="shared" si="1021"/>
        <v>121065400.85099678</v>
      </c>
      <c r="S1004">
        <f t="shared" si="1022"/>
        <v>1210.6540085099678</v>
      </c>
      <c r="T1004">
        <f t="shared" si="1023"/>
        <v>1.2106540085099677</v>
      </c>
    </row>
    <row r="1005" spans="1:20" x14ac:dyDescent="0.25">
      <c r="A1005" s="5">
        <v>43588</v>
      </c>
      <c r="B1005">
        <v>1.7229999999999999E-2</v>
      </c>
      <c r="C1005">
        <v>1.754E-2</v>
      </c>
      <c r="D1005">
        <v>1.6639999999999999E-2</v>
      </c>
      <c r="E1005">
        <v>1.7049999999999999E-2</v>
      </c>
      <c r="F1005">
        <v>46461483.299999997</v>
      </c>
      <c r="G1005">
        <v>0</v>
      </c>
      <c r="L1005" t="s">
        <v>8</v>
      </c>
      <c r="M1005" t="s">
        <v>7</v>
      </c>
      <c r="N1005" t="s">
        <v>7</v>
      </c>
      <c r="P1005">
        <f t="shared" si="1019"/>
        <v>-8.8888888888888976E-2</v>
      </c>
      <c r="Q1005">
        <f t="shared" si="1020"/>
        <v>-4129909.6266666702</v>
      </c>
      <c r="R1005">
        <f t="shared" si="1021"/>
        <v>153606686.21395972</v>
      </c>
      <c r="S1005">
        <f t="shared" si="1022"/>
        <v>1536.0668621395973</v>
      </c>
      <c r="T1005">
        <f t="shared" si="1023"/>
        <v>1.5360668621395974</v>
      </c>
    </row>
    <row r="1006" spans="1:20" x14ac:dyDescent="0.25">
      <c r="A1006" s="5">
        <v>43587</v>
      </c>
      <c r="B1006">
        <v>1.7520000000000001E-2</v>
      </c>
      <c r="C1006">
        <v>1.754E-2</v>
      </c>
      <c r="D1006">
        <v>1.7049999999999999E-2</v>
      </c>
      <c r="E1006">
        <v>1.7250000000000001E-2</v>
      </c>
      <c r="F1006">
        <v>18544855</v>
      </c>
      <c r="G1006">
        <v>0</v>
      </c>
      <c r="L1006" t="s">
        <v>8</v>
      </c>
      <c r="M1006" t="s">
        <v>7</v>
      </c>
      <c r="N1006" t="s">
        <v>7</v>
      </c>
      <c r="P1006">
        <f t="shared" si="1019"/>
        <v>-0.18367346938774731</v>
      </c>
      <c r="Q1006">
        <f t="shared" si="1020"/>
        <v>-3406197.8571427125</v>
      </c>
      <c r="R1006">
        <f t="shared" si="1021"/>
        <v>157736595.84062639</v>
      </c>
      <c r="S1006">
        <f t="shared" si="1022"/>
        <v>1577.3659584062639</v>
      </c>
      <c r="T1006">
        <f t="shared" si="1023"/>
        <v>1.5773659584062638</v>
      </c>
    </row>
    <row r="1007" spans="1:20" x14ac:dyDescent="0.25">
      <c r="A1007" s="5">
        <v>43586</v>
      </c>
      <c r="B1007">
        <v>1.728E-2</v>
      </c>
      <c r="C1007">
        <v>1.7690000000000001E-2</v>
      </c>
      <c r="D1007">
        <v>1.7010000000000001E-2</v>
      </c>
      <c r="E1007">
        <v>1.7520000000000001E-2</v>
      </c>
      <c r="F1007">
        <v>30929769.699999999</v>
      </c>
      <c r="G1007">
        <v>0</v>
      </c>
      <c r="L1007" t="s">
        <v>8</v>
      </c>
      <c r="M1007" t="s">
        <v>7</v>
      </c>
      <c r="N1007" t="s">
        <v>7</v>
      </c>
      <c r="P1007">
        <f t="shared" si="1019"/>
        <v>0.5</v>
      </c>
      <c r="Q1007">
        <f t="shared" si="1020"/>
        <v>15464884.85</v>
      </c>
      <c r="R1007">
        <f t="shared" si="1021"/>
        <v>161142793.69776911</v>
      </c>
      <c r="S1007">
        <f t="shared" si="1022"/>
        <v>1611.4279369776912</v>
      </c>
      <c r="T1007">
        <f t="shared" si="1023"/>
        <v>1.6114279369776912</v>
      </c>
    </row>
    <row r="1008" spans="1:20" x14ac:dyDescent="0.25">
      <c r="A1008" s="5">
        <v>43585</v>
      </c>
      <c r="B1008">
        <v>1.6580000000000001E-2</v>
      </c>
      <c r="C1008">
        <v>1.7319999999999999E-2</v>
      </c>
      <c r="D1008">
        <v>1.6330000000000001E-2</v>
      </c>
      <c r="E1008">
        <v>1.729E-2</v>
      </c>
      <c r="F1008">
        <v>29926474.600000001</v>
      </c>
      <c r="G1008">
        <v>0</v>
      </c>
      <c r="L1008" t="s">
        <v>8</v>
      </c>
      <c r="M1008" t="s">
        <v>7</v>
      </c>
      <c r="N1008" t="s">
        <v>7</v>
      </c>
      <c r="P1008">
        <f t="shared" si="1019"/>
        <v>0.93939393939394178</v>
      </c>
      <c r="Q1008">
        <f t="shared" si="1020"/>
        <v>28112748.866666738</v>
      </c>
      <c r="R1008">
        <f t="shared" si="1021"/>
        <v>145677908.84776911</v>
      </c>
      <c r="S1008">
        <f t="shared" si="1022"/>
        <v>1456.7790884776912</v>
      </c>
      <c r="T1008">
        <f t="shared" si="1023"/>
        <v>1.4567790884776912</v>
      </c>
    </row>
    <row r="1009" spans="1:20" x14ac:dyDescent="0.25">
      <c r="A1009" s="5">
        <v>43584</v>
      </c>
      <c r="B1009">
        <v>1.7430000000000001E-2</v>
      </c>
      <c r="C1009">
        <v>1.78E-2</v>
      </c>
      <c r="D1009">
        <v>1.6129999999999999E-2</v>
      </c>
      <c r="E1009">
        <v>1.66E-2</v>
      </c>
      <c r="F1009">
        <v>34098216.200000003</v>
      </c>
      <c r="G1009">
        <v>0</v>
      </c>
      <c r="L1009" t="s">
        <v>7</v>
      </c>
      <c r="M1009" t="s">
        <v>7</v>
      </c>
      <c r="N1009" t="s">
        <v>7</v>
      </c>
      <c r="P1009">
        <f t="shared" si="1019"/>
        <v>-0.43712574850299246</v>
      </c>
      <c r="Q1009">
        <f t="shared" si="1020"/>
        <v>-14905208.279041864</v>
      </c>
      <c r="R1009">
        <f t="shared" si="1021"/>
        <v>117565159.98110238</v>
      </c>
      <c r="S1009">
        <f t="shared" si="1022"/>
        <v>1175.6515998110237</v>
      </c>
      <c r="T1009">
        <f t="shared" si="1023"/>
        <v>1.1756515998110237</v>
      </c>
    </row>
    <row r="1010" spans="1:20" x14ac:dyDescent="0.25">
      <c r="A1010" s="5">
        <v>43583</v>
      </c>
      <c r="B1010">
        <v>1.8020000000000001E-2</v>
      </c>
      <c r="C1010">
        <v>1.823E-2</v>
      </c>
      <c r="D1010">
        <v>1.7270000000000001E-2</v>
      </c>
      <c r="E1010">
        <v>1.7479999999999999E-2</v>
      </c>
      <c r="F1010">
        <v>20036371.600000001</v>
      </c>
      <c r="G1010">
        <v>0</v>
      </c>
      <c r="L1010" t="s">
        <v>7</v>
      </c>
      <c r="M1010" t="s">
        <v>7</v>
      </c>
      <c r="N1010" t="s">
        <v>7</v>
      </c>
      <c r="P1010">
        <f t="shared" si="1019"/>
        <v>-0.56250000000000289</v>
      </c>
      <c r="Q1010">
        <f t="shared" si="1020"/>
        <v>-11270459.025000058</v>
      </c>
      <c r="R1010">
        <f t="shared" si="1021"/>
        <v>132470368.26014423</v>
      </c>
      <c r="S1010">
        <f t="shared" si="1022"/>
        <v>1324.7036826014423</v>
      </c>
      <c r="T1010">
        <f t="shared" si="1023"/>
        <v>1.3247036826014422</v>
      </c>
    </row>
    <row r="1011" spans="1:20" x14ac:dyDescent="0.25">
      <c r="A1011" s="5">
        <v>43582</v>
      </c>
      <c r="B1011">
        <v>1.7260000000000001E-2</v>
      </c>
      <c r="C1011">
        <v>1.9099999999999999E-2</v>
      </c>
      <c r="D1011">
        <v>1.6959999999999999E-2</v>
      </c>
      <c r="E1011">
        <v>1.8110000000000001E-2</v>
      </c>
      <c r="F1011">
        <v>43882141.600000001</v>
      </c>
      <c r="G1011">
        <v>0</v>
      </c>
      <c r="L1011" t="s">
        <v>8</v>
      </c>
      <c r="M1011" t="s">
        <v>7</v>
      </c>
      <c r="N1011" t="s">
        <v>7</v>
      </c>
      <c r="P1011">
        <f t="shared" si="1019"/>
        <v>7.4766355140188756E-2</v>
      </c>
      <c r="Q1011">
        <f t="shared" si="1020"/>
        <v>3280907.783177651</v>
      </c>
      <c r="R1011">
        <f t="shared" si="1021"/>
        <v>143740827.2851443</v>
      </c>
      <c r="S1011">
        <f t="shared" si="1022"/>
        <v>1437.4082728514429</v>
      </c>
      <c r="T1011">
        <f t="shared" si="1023"/>
        <v>1.437408272851443</v>
      </c>
    </row>
    <row r="1012" spans="1:20" x14ac:dyDescent="0.25">
      <c r="A1012" s="5">
        <v>43581</v>
      </c>
      <c r="B1012">
        <v>1.7500000000000002E-2</v>
      </c>
      <c r="C1012">
        <v>1.8270000000000002E-2</v>
      </c>
      <c r="D1012">
        <v>1.6660000000000001E-2</v>
      </c>
      <c r="E1012">
        <v>1.7250000000000001E-2</v>
      </c>
      <c r="F1012">
        <v>49236138.899999999</v>
      </c>
      <c r="G1012">
        <v>0</v>
      </c>
      <c r="L1012" t="s">
        <v>7</v>
      </c>
      <c r="M1012" t="s">
        <v>7</v>
      </c>
      <c r="N1012" t="s">
        <v>7</v>
      </c>
      <c r="P1012">
        <f t="shared" si="1019"/>
        <v>-0.26708074534161474</v>
      </c>
      <c r="Q1012">
        <f t="shared" si="1020"/>
        <v>-13150024.675155271</v>
      </c>
      <c r="R1012">
        <f t="shared" si="1021"/>
        <v>140459919.50196666</v>
      </c>
      <c r="S1012">
        <f t="shared" si="1022"/>
        <v>1404.5991950196665</v>
      </c>
      <c r="T1012">
        <f t="shared" si="1023"/>
        <v>1.4045991950196666</v>
      </c>
    </row>
    <row r="1013" spans="1:20" x14ac:dyDescent="0.25">
      <c r="A1013" s="5">
        <v>43580</v>
      </c>
      <c r="B1013">
        <v>1.9300000000000001E-2</v>
      </c>
      <c r="C1013">
        <v>1.9689999999999999E-2</v>
      </c>
      <c r="D1013">
        <v>1.6920000000000001E-2</v>
      </c>
      <c r="E1013">
        <v>1.7500000000000002E-2</v>
      </c>
      <c r="F1013">
        <v>63851625.100000001</v>
      </c>
      <c r="G1013">
        <v>0</v>
      </c>
      <c r="L1013" t="s">
        <v>7</v>
      </c>
      <c r="M1013" t="s">
        <v>7</v>
      </c>
      <c r="N1013" t="s">
        <v>7</v>
      </c>
      <c r="P1013">
        <f t="shared" si="1019"/>
        <v>-0.58122743682310396</v>
      </c>
      <c r="Q1013">
        <f t="shared" si="1020"/>
        <v>-37112316.393862769</v>
      </c>
      <c r="R1013">
        <f t="shared" si="1021"/>
        <v>153609944.17712194</v>
      </c>
      <c r="S1013">
        <f t="shared" si="1022"/>
        <v>1536.0994417712193</v>
      </c>
      <c r="T1013">
        <f t="shared" si="1023"/>
        <v>1.5360994417712193</v>
      </c>
    </row>
    <row r="1014" spans="1:20" x14ac:dyDescent="0.25">
      <c r="A1014" s="5">
        <v>43579</v>
      </c>
      <c r="B1014">
        <v>1.9949999999999999E-2</v>
      </c>
      <c r="C1014">
        <v>2.036E-2</v>
      </c>
      <c r="D1014">
        <v>1.762E-2</v>
      </c>
      <c r="E1014">
        <v>1.9429999999999999E-2</v>
      </c>
      <c r="F1014">
        <v>110865851.90000001</v>
      </c>
      <c r="G1014">
        <v>0</v>
      </c>
      <c r="L1014" t="s">
        <v>7</v>
      </c>
      <c r="M1014" t="s">
        <v>7</v>
      </c>
      <c r="N1014" t="s">
        <v>7</v>
      </c>
      <c r="P1014">
        <f t="shared" si="1019"/>
        <v>0.3211678832116785</v>
      </c>
      <c r="Q1014">
        <f t="shared" si="1020"/>
        <v>35606550.975182444</v>
      </c>
      <c r="R1014">
        <f t="shared" si="1021"/>
        <v>190722260.57098469</v>
      </c>
      <c r="S1014">
        <f t="shared" si="1022"/>
        <v>1907.2226057098469</v>
      </c>
      <c r="T1014">
        <f t="shared" si="1023"/>
        <v>1.9072226057098469</v>
      </c>
    </row>
    <row r="1015" spans="1:20" x14ac:dyDescent="0.25">
      <c r="A1015" s="5">
        <v>43578</v>
      </c>
      <c r="B1015">
        <v>2.085E-2</v>
      </c>
      <c r="C1015">
        <v>2.1510000000000001E-2</v>
      </c>
      <c r="D1015">
        <v>1.985E-2</v>
      </c>
      <c r="E1015">
        <v>1.9949999999999999E-2</v>
      </c>
      <c r="F1015">
        <v>51960172.100000001</v>
      </c>
      <c r="G1015">
        <v>0</v>
      </c>
      <c r="L1015" t="s">
        <v>7</v>
      </c>
      <c r="M1015" t="s">
        <v>8</v>
      </c>
      <c r="N1015" t="s">
        <v>7</v>
      </c>
      <c r="P1015">
        <f t="shared" si="1019"/>
        <v>-0.87951807228915746</v>
      </c>
      <c r="Q1015">
        <f t="shared" si="1020"/>
        <v>-45699910.401204862</v>
      </c>
      <c r="R1015">
        <f t="shared" si="1021"/>
        <v>155115709.59580225</v>
      </c>
      <c r="S1015">
        <f t="shared" si="1022"/>
        <v>1551.1570959580224</v>
      </c>
      <c r="T1015">
        <f t="shared" si="1023"/>
        <v>1.5511570959580223</v>
      </c>
    </row>
    <row r="1016" spans="1:20" x14ac:dyDescent="0.25">
      <c r="A1016" s="5">
        <v>43577</v>
      </c>
      <c r="B1016">
        <v>2.0820000000000002E-2</v>
      </c>
      <c r="C1016">
        <v>2.1700000000000001E-2</v>
      </c>
      <c r="D1016">
        <v>2.027E-2</v>
      </c>
      <c r="E1016">
        <v>2.085E-2</v>
      </c>
      <c r="F1016">
        <v>41794466.5</v>
      </c>
      <c r="G1016">
        <v>0</v>
      </c>
      <c r="L1016" t="s">
        <v>8</v>
      </c>
      <c r="M1016" t="s">
        <v>8</v>
      </c>
      <c r="N1016" t="s">
        <v>7</v>
      </c>
      <c r="P1016">
        <f t="shared" si="1019"/>
        <v>-0.1888111888111883</v>
      </c>
      <c r="Q1016">
        <f t="shared" si="1020"/>
        <v>-7891262.9055943843</v>
      </c>
      <c r="R1016">
        <f t="shared" si="1021"/>
        <v>200815619.9970071</v>
      </c>
      <c r="S1016">
        <f t="shared" si="1022"/>
        <v>2008.1561999700709</v>
      </c>
      <c r="T1016">
        <f t="shared" si="1023"/>
        <v>2.0081561999700708</v>
      </c>
    </row>
    <row r="1017" spans="1:20" x14ac:dyDescent="0.25">
      <c r="A1017" s="5">
        <v>43576</v>
      </c>
      <c r="B1017">
        <v>2.171E-2</v>
      </c>
      <c r="C1017">
        <v>2.181E-2</v>
      </c>
      <c r="D1017">
        <v>1.9699999999999999E-2</v>
      </c>
      <c r="E1017">
        <v>2.0910000000000002E-2</v>
      </c>
      <c r="F1017">
        <v>52574894.299999997</v>
      </c>
      <c r="G1017">
        <v>0</v>
      </c>
      <c r="L1017" t="s">
        <v>7</v>
      </c>
      <c r="M1017" t="s">
        <v>8</v>
      </c>
      <c r="N1017" t="s">
        <v>7</v>
      </c>
      <c r="P1017">
        <f t="shared" si="1019"/>
        <v>0.14691943127962304</v>
      </c>
      <c r="Q1017">
        <f t="shared" si="1020"/>
        <v>7724273.5701422943</v>
      </c>
      <c r="R1017">
        <f t="shared" si="1021"/>
        <v>208706882.90260148</v>
      </c>
      <c r="S1017">
        <f t="shared" si="1022"/>
        <v>2087.068829026015</v>
      </c>
      <c r="T1017">
        <f t="shared" si="1023"/>
        <v>2.0870688290260149</v>
      </c>
    </row>
    <row r="1018" spans="1:20" x14ac:dyDescent="0.25">
      <c r="A1018" s="5">
        <v>43575</v>
      </c>
      <c r="B1018">
        <v>2.213E-2</v>
      </c>
      <c r="C1018">
        <v>2.2249999999999999E-2</v>
      </c>
      <c r="D1018">
        <v>2.095E-2</v>
      </c>
      <c r="E1018">
        <v>2.1729999999999999E-2</v>
      </c>
      <c r="F1018">
        <v>29510761.800000001</v>
      </c>
      <c r="G1018">
        <v>0</v>
      </c>
      <c r="L1018" t="s">
        <v>7</v>
      </c>
      <c r="M1018" t="s">
        <v>8</v>
      </c>
      <c r="N1018" t="s">
        <v>7</v>
      </c>
      <c r="P1018">
        <f t="shared" si="1019"/>
        <v>0.2</v>
      </c>
      <c r="Q1018">
        <f t="shared" si="1020"/>
        <v>5902152.3600000003</v>
      </c>
      <c r="R1018">
        <f t="shared" si="1021"/>
        <v>200982609.33245918</v>
      </c>
      <c r="S1018">
        <f t="shared" si="1022"/>
        <v>2009.8260933245917</v>
      </c>
      <c r="T1018">
        <f t="shared" si="1023"/>
        <v>2.0098260933245919</v>
      </c>
    </row>
    <row r="1019" spans="1:20" x14ac:dyDescent="0.25">
      <c r="A1019" s="5">
        <v>43574</v>
      </c>
      <c r="B1019">
        <v>2.2100000000000002E-2</v>
      </c>
      <c r="C1019">
        <v>2.2380000000000001E-2</v>
      </c>
      <c r="D1019">
        <v>2.1510000000000001E-2</v>
      </c>
      <c r="E1019">
        <v>2.213E-2</v>
      </c>
      <c r="F1019">
        <v>56721231.600000001</v>
      </c>
      <c r="G1019">
        <v>0</v>
      </c>
      <c r="L1019" t="s">
        <v>8</v>
      </c>
      <c r="M1019" t="s">
        <v>8</v>
      </c>
      <c r="N1019" t="s">
        <v>7</v>
      </c>
      <c r="P1019">
        <f t="shared" si="1019"/>
        <v>0.42528735632183806</v>
      </c>
      <c r="Q1019">
        <f t="shared" si="1020"/>
        <v>24122822.6344827</v>
      </c>
      <c r="R1019">
        <f t="shared" si="1021"/>
        <v>195080456.97245917</v>
      </c>
      <c r="S1019">
        <f t="shared" si="1022"/>
        <v>1950.8045697245916</v>
      </c>
      <c r="T1019">
        <f t="shared" si="1023"/>
        <v>1.9508045697245917</v>
      </c>
    </row>
    <row r="1020" spans="1:20" x14ac:dyDescent="0.25">
      <c r="A1020" s="5">
        <v>43573</v>
      </c>
      <c r="B1020">
        <v>2.1329999999999998E-2</v>
      </c>
      <c r="C1020">
        <v>2.265E-2</v>
      </c>
      <c r="D1020">
        <v>2.1309999999999999E-2</v>
      </c>
      <c r="E1020">
        <v>2.196E-2</v>
      </c>
      <c r="F1020">
        <v>83998358</v>
      </c>
      <c r="G1020">
        <v>0</v>
      </c>
      <c r="L1020" t="s">
        <v>8</v>
      </c>
      <c r="M1020" t="s">
        <v>8</v>
      </c>
      <c r="N1020" t="s">
        <v>7</v>
      </c>
      <c r="P1020">
        <f t="shared" si="1019"/>
        <v>-2.9850746268655481E-2</v>
      </c>
      <c r="Q1020">
        <f t="shared" si="1020"/>
        <v>-2507413.6716416874</v>
      </c>
      <c r="R1020">
        <f t="shared" si="1021"/>
        <v>170957634.33797646</v>
      </c>
      <c r="S1020">
        <f t="shared" si="1022"/>
        <v>1709.5763433797645</v>
      </c>
      <c r="T1020">
        <f t="shared" si="1023"/>
        <v>1.7095763433797644</v>
      </c>
    </row>
    <row r="1021" spans="1:20" x14ac:dyDescent="0.25">
      <c r="A1021" s="5">
        <v>43572</v>
      </c>
      <c r="B1021">
        <v>2.1100000000000001E-2</v>
      </c>
      <c r="C1021">
        <v>2.172E-2</v>
      </c>
      <c r="D1021">
        <v>2.0820000000000002E-2</v>
      </c>
      <c r="E1021">
        <v>2.1329999999999998E-2</v>
      </c>
      <c r="F1021">
        <v>43931547.299999997</v>
      </c>
      <c r="G1021">
        <v>0</v>
      </c>
      <c r="L1021" t="s">
        <v>8</v>
      </c>
      <c r="M1021" t="s">
        <v>8</v>
      </c>
      <c r="N1021" t="s">
        <v>7</v>
      </c>
      <c r="P1021">
        <f t="shared" si="1019"/>
        <v>0.1333333333333282</v>
      </c>
      <c r="Q1021">
        <f t="shared" si="1020"/>
        <v>5857539.6399997743</v>
      </c>
      <c r="R1021">
        <f t="shared" si="1021"/>
        <v>173465048.00961813</v>
      </c>
      <c r="S1021">
        <f t="shared" si="1022"/>
        <v>1734.6504800961814</v>
      </c>
      <c r="T1021">
        <f t="shared" si="1023"/>
        <v>1.7346504800961813</v>
      </c>
    </row>
    <row r="1022" spans="1:20" x14ac:dyDescent="0.25">
      <c r="A1022" s="5">
        <v>43571</v>
      </c>
      <c r="B1022">
        <v>2.0570000000000001E-2</v>
      </c>
      <c r="C1022">
        <v>2.1229999999999999E-2</v>
      </c>
      <c r="D1022">
        <v>2.0129999999999999E-2</v>
      </c>
      <c r="E1022">
        <v>2.1100000000000001E-2</v>
      </c>
      <c r="F1022">
        <v>43218068.399999999</v>
      </c>
      <c r="G1022">
        <v>0</v>
      </c>
      <c r="L1022" t="s">
        <v>7</v>
      </c>
      <c r="M1022" t="s">
        <v>8</v>
      </c>
      <c r="N1022" t="s">
        <v>7</v>
      </c>
      <c r="P1022">
        <f t="shared" si="1019"/>
        <v>0.763636363636367</v>
      </c>
      <c r="Q1022">
        <f t="shared" si="1020"/>
        <v>33002888.596363779</v>
      </c>
      <c r="R1022">
        <f t="shared" si="1021"/>
        <v>167607508.36961836</v>
      </c>
      <c r="S1022">
        <f t="shared" si="1022"/>
        <v>1676.0750836961836</v>
      </c>
      <c r="T1022">
        <f t="shared" si="1023"/>
        <v>1.6760750836961835</v>
      </c>
    </row>
    <row r="1023" spans="1:20" x14ac:dyDescent="0.25">
      <c r="A1023" s="5">
        <v>43570</v>
      </c>
      <c r="B1023">
        <v>2.0959999999999999E-2</v>
      </c>
      <c r="C1023">
        <v>2.23E-2</v>
      </c>
      <c r="D1023">
        <v>2.0109999999999999E-2</v>
      </c>
      <c r="E1023">
        <v>2.0590000000000001E-2</v>
      </c>
      <c r="F1023">
        <v>105916785.90000001</v>
      </c>
      <c r="G1023">
        <v>0</v>
      </c>
      <c r="L1023" t="s">
        <v>8</v>
      </c>
      <c r="M1023" t="s">
        <v>8</v>
      </c>
      <c r="N1023" t="s">
        <v>7</v>
      </c>
      <c r="P1023">
        <f t="shared" ref="P1023:P1078" si="1024">IF(C1023=D1023,0,((E1023-D1023)-(C1023-E1023))/(C1023-D1023))</f>
        <v>-0.56164383561643738</v>
      </c>
      <c r="Q1023">
        <f t="shared" ref="Q1023:Q1078" si="1025">F1023*P1023</f>
        <v>-59487509.889040999</v>
      </c>
      <c r="R1023">
        <f t="shared" ref="R1023:R1078" si="1026">R1024+Q1023</f>
        <v>134604619.77325457</v>
      </c>
      <c r="S1023">
        <f t="shared" ref="S1023:S1078" si="1027">R1023/100000</f>
        <v>1346.0461977325458</v>
      </c>
      <c r="T1023">
        <f t="shared" ref="T1023:T1078" si="1028">S1023/1000</f>
        <v>1.3460461977325457</v>
      </c>
    </row>
    <row r="1024" spans="1:20" x14ac:dyDescent="0.25">
      <c r="A1024" s="5">
        <v>43569</v>
      </c>
      <c r="B1024">
        <v>2.034E-2</v>
      </c>
      <c r="C1024">
        <v>2.1149999999999999E-2</v>
      </c>
      <c r="D1024">
        <v>1.985E-2</v>
      </c>
      <c r="E1024">
        <v>2.0959999999999999E-2</v>
      </c>
      <c r="F1024">
        <v>44014489.399999999</v>
      </c>
      <c r="G1024">
        <v>0</v>
      </c>
      <c r="L1024" t="s">
        <v>8</v>
      </c>
      <c r="M1024" t="s">
        <v>7</v>
      </c>
      <c r="N1024" t="s">
        <v>7</v>
      </c>
      <c r="P1024">
        <f t="shared" si="1024"/>
        <v>0.70769230769230873</v>
      </c>
      <c r="Q1024">
        <f t="shared" si="1025"/>
        <v>31148715.575384662</v>
      </c>
      <c r="R1024">
        <f t="shared" si="1026"/>
        <v>194092129.66229558</v>
      </c>
      <c r="S1024">
        <f t="shared" si="1027"/>
        <v>1940.9212966229559</v>
      </c>
      <c r="T1024">
        <f t="shared" si="1028"/>
        <v>1.9409212966229559</v>
      </c>
    </row>
    <row r="1025" spans="1:20" x14ac:dyDescent="0.25">
      <c r="A1025" s="5">
        <v>43568</v>
      </c>
      <c r="B1025">
        <v>2.06E-2</v>
      </c>
      <c r="C1025">
        <v>2.0799999999999999E-2</v>
      </c>
      <c r="D1025">
        <v>1.983E-2</v>
      </c>
      <c r="E1025">
        <v>2.0279999999999999E-2</v>
      </c>
      <c r="F1025">
        <v>36837271</v>
      </c>
      <c r="G1025">
        <v>0</v>
      </c>
      <c r="L1025" t="s">
        <v>8</v>
      </c>
      <c r="M1025" t="s">
        <v>7</v>
      </c>
      <c r="N1025" t="s">
        <v>7</v>
      </c>
      <c r="P1025">
        <f t="shared" si="1024"/>
        <v>-7.216494845360899E-2</v>
      </c>
      <c r="Q1025">
        <f t="shared" si="1025"/>
        <v>-2658359.7628866252</v>
      </c>
      <c r="R1025">
        <f t="shared" si="1026"/>
        <v>162943414.0869109</v>
      </c>
      <c r="S1025">
        <f t="shared" si="1027"/>
        <v>1629.4341408691091</v>
      </c>
      <c r="T1025">
        <f t="shared" si="1028"/>
        <v>1.6294341408691091</v>
      </c>
    </row>
    <row r="1026" spans="1:20" x14ac:dyDescent="0.25">
      <c r="A1026" s="5">
        <v>43567</v>
      </c>
      <c r="B1026">
        <v>2.0250000000000001E-2</v>
      </c>
      <c r="C1026">
        <v>2.112E-2</v>
      </c>
      <c r="D1026">
        <v>1.907E-2</v>
      </c>
      <c r="E1026">
        <v>2.0670000000000001E-2</v>
      </c>
      <c r="F1026">
        <v>69967488.099999994</v>
      </c>
      <c r="G1026">
        <v>0</v>
      </c>
      <c r="L1026" t="s">
        <v>8</v>
      </c>
      <c r="M1026" t="s">
        <v>7</v>
      </c>
      <c r="N1026" t="s">
        <v>7</v>
      </c>
      <c r="P1026">
        <f t="shared" si="1024"/>
        <v>0.5609756097560985</v>
      </c>
      <c r="Q1026">
        <f t="shared" si="1025"/>
        <v>39250054.300000064</v>
      </c>
      <c r="R1026">
        <f t="shared" si="1026"/>
        <v>165601773.84979752</v>
      </c>
      <c r="S1026">
        <f t="shared" si="1027"/>
        <v>1656.0177384979752</v>
      </c>
      <c r="T1026">
        <f t="shared" si="1028"/>
        <v>1.6560177384979753</v>
      </c>
    </row>
    <row r="1027" spans="1:20" x14ac:dyDescent="0.25">
      <c r="A1027" s="5">
        <v>43566</v>
      </c>
      <c r="B1027">
        <v>2.2769999999999999E-2</v>
      </c>
      <c r="C1027">
        <v>2.2780000000000002E-2</v>
      </c>
      <c r="D1027">
        <v>1.874E-2</v>
      </c>
      <c r="E1027">
        <v>2.0250000000000001E-2</v>
      </c>
      <c r="F1027">
        <v>114702223.7</v>
      </c>
      <c r="G1027">
        <v>0</v>
      </c>
      <c r="L1027" t="s">
        <v>7</v>
      </c>
      <c r="M1027" t="s">
        <v>7</v>
      </c>
      <c r="N1027" t="s">
        <v>7</v>
      </c>
      <c r="P1027">
        <f t="shared" si="1024"/>
        <v>-0.25247524752475237</v>
      </c>
      <c r="Q1027">
        <f t="shared" si="1025"/>
        <v>-28959472.320297018</v>
      </c>
      <c r="R1027">
        <f t="shared" si="1026"/>
        <v>126351719.54979746</v>
      </c>
      <c r="S1027">
        <f t="shared" si="1027"/>
        <v>1263.5171954979746</v>
      </c>
      <c r="T1027">
        <f t="shared" si="1028"/>
        <v>1.2635171954979747</v>
      </c>
    </row>
    <row r="1028" spans="1:20" x14ac:dyDescent="0.25">
      <c r="A1028" s="5">
        <v>43565</v>
      </c>
      <c r="B1028">
        <v>2.2409999999999999E-2</v>
      </c>
      <c r="C1028">
        <v>2.3550000000000001E-2</v>
      </c>
      <c r="D1028">
        <v>2.222E-2</v>
      </c>
      <c r="E1028">
        <v>2.2749999999999999E-2</v>
      </c>
      <c r="F1028">
        <v>66900794.700000003</v>
      </c>
      <c r="G1028">
        <v>0</v>
      </c>
      <c r="L1028" t="s">
        <v>8</v>
      </c>
      <c r="M1028" t="s">
        <v>7</v>
      </c>
      <c r="N1028" t="s">
        <v>8</v>
      </c>
      <c r="P1028">
        <f t="shared" si="1024"/>
        <v>-0.20300751879699444</v>
      </c>
      <c r="Q1028">
        <f t="shared" si="1025"/>
        <v>-13581364.337594116</v>
      </c>
      <c r="R1028">
        <f t="shared" si="1026"/>
        <v>155311191.87009448</v>
      </c>
      <c r="S1028">
        <f t="shared" si="1027"/>
        <v>1553.1119187009447</v>
      </c>
      <c r="T1028">
        <f t="shared" si="1028"/>
        <v>1.5531119187009446</v>
      </c>
    </row>
    <row r="1029" spans="1:20" x14ac:dyDescent="0.25">
      <c r="A1029" s="5">
        <v>43564</v>
      </c>
      <c r="B1029">
        <v>2.3779999999999999E-2</v>
      </c>
      <c r="C1029">
        <v>2.3800000000000002E-2</v>
      </c>
      <c r="D1029">
        <v>2.1579999999999998E-2</v>
      </c>
      <c r="E1029">
        <v>2.2499999999999999E-2</v>
      </c>
      <c r="F1029">
        <v>72686134.700000003</v>
      </c>
      <c r="G1029">
        <v>0</v>
      </c>
      <c r="L1029" t="s">
        <v>7</v>
      </c>
      <c r="M1029" t="s">
        <v>7</v>
      </c>
      <c r="N1029" t="s">
        <v>8</v>
      </c>
      <c r="P1029">
        <f t="shared" si="1024"/>
        <v>-0.17117117117117175</v>
      </c>
      <c r="Q1029">
        <f t="shared" si="1025"/>
        <v>-12441770.804504547</v>
      </c>
      <c r="R1029">
        <f t="shared" si="1026"/>
        <v>168892556.2076886</v>
      </c>
      <c r="S1029">
        <f t="shared" si="1027"/>
        <v>1688.9255620768861</v>
      </c>
      <c r="T1029">
        <f t="shared" si="1028"/>
        <v>1.6889255620768862</v>
      </c>
    </row>
    <row r="1030" spans="1:20" x14ac:dyDescent="0.25">
      <c r="A1030" s="5">
        <v>43563</v>
      </c>
      <c r="B1030">
        <v>2.47E-2</v>
      </c>
      <c r="C1030">
        <v>2.5409999999999999E-2</v>
      </c>
      <c r="D1030">
        <v>2.2360000000000001E-2</v>
      </c>
      <c r="E1030">
        <v>2.384E-2</v>
      </c>
      <c r="F1030">
        <v>107034805.3</v>
      </c>
      <c r="G1030">
        <v>0</v>
      </c>
      <c r="L1030" t="s">
        <v>7</v>
      </c>
      <c r="M1030" t="s">
        <v>8</v>
      </c>
      <c r="N1030" t="s">
        <v>8</v>
      </c>
      <c r="P1030">
        <f t="shared" si="1024"/>
        <v>-2.9508196721311438E-2</v>
      </c>
      <c r="Q1030">
        <f t="shared" si="1025"/>
        <v>-3158404.090819668</v>
      </c>
      <c r="R1030">
        <f t="shared" si="1026"/>
        <v>181334327.01219314</v>
      </c>
      <c r="S1030">
        <f t="shared" si="1027"/>
        <v>1813.3432701219315</v>
      </c>
      <c r="T1030">
        <f t="shared" si="1028"/>
        <v>1.8133432701219314</v>
      </c>
    </row>
    <row r="1031" spans="1:20" x14ac:dyDescent="0.25">
      <c r="A1031" s="5">
        <v>43562</v>
      </c>
      <c r="B1031">
        <v>2.5170000000000001E-2</v>
      </c>
      <c r="C1031">
        <v>2.547E-2</v>
      </c>
      <c r="D1031">
        <v>2.4330000000000001E-2</v>
      </c>
      <c r="E1031">
        <v>2.47E-2</v>
      </c>
      <c r="F1031">
        <v>50753150.5</v>
      </c>
      <c r="G1031">
        <v>0</v>
      </c>
      <c r="L1031" t="s">
        <v>7</v>
      </c>
      <c r="M1031" t="s">
        <v>8</v>
      </c>
      <c r="N1031" t="s">
        <v>8</v>
      </c>
      <c r="P1031">
        <f t="shared" si="1024"/>
        <v>-0.35087719298245745</v>
      </c>
      <c r="Q1031">
        <f t="shared" si="1025"/>
        <v>-17808122.982456207</v>
      </c>
      <c r="R1031">
        <f t="shared" si="1026"/>
        <v>184492731.1030128</v>
      </c>
      <c r="S1031">
        <f t="shared" si="1027"/>
        <v>1844.9273110301281</v>
      </c>
      <c r="T1031">
        <f t="shared" si="1028"/>
        <v>1.8449273110301281</v>
      </c>
    </row>
    <row r="1032" spans="1:20" x14ac:dyDescent="0.25">
      <c r="A1032" s="5">
        <v>43561</v>
      </c>
      <c r="B1032">
        <v>2.495E-2</v>
      </c>
      <c r="C1032">
        <v>2.6800000000000001E-2</v>
      </c>
      <c r="D1032">
        <v>2.4289999999999999E-2</v>
      </c>
      <c r="E1032">
        <v>2.5100000000000001E-2</v>
      </c>
      <c r="F1032">
        <v>155842284.59999999</v>
      </c>
      <c r="G1032">
        <v>0</v>
      </c>
      <c r="L1032" t="s">
        <v>8</v>
      </c>
      <c r="M1032" t="s">
        <v>8</v>
      </c>
      <c r="N1032" t="s">
        <v>8</v>
      </c>
      <c r="P1032">
        <f t="shared" si="1024"/>
        <v>-0.35458167330677204</v>
      </c>
      <c r="Q1032">
        <f t="shared" si="1025"/>
        <v>-55258818.045418188</v>
      </c>
      <c r="R1032">
        <f t="shared" si="1026"/>
        <v>202300854.08546901</v>
      </c>
      <c r="S1032">
        <f t="shared" si="1027"/>
        <v>2023.0085408546902</v>
      </c>
      <c r="T1032">
        <f t="shared" si="1028"/>
        <v>2.0230085408546903</v>
      </c>
    </row>
    <row r="1033" spans="1:20" x14ac:dyDescent="0.25">
      <c r="A1033" s="5">
        <v>43560</v>
      </c>
      <c r="B1033">
        <v>2.2599999999999999E-2</v>
      </c>
      <c r="C1033">
        <v>2.495E-2</v>
      </c>
      <c r="D1033">
        <v>2.2599999999999999E-2</v>
      </c>
      <c r="E1033">
        <v>2.494E-2</v>
      </c>
      <c r="F1033">
        <v>62819457.299999997</v>
      </c>
      <c r="G1033">
        <v>0</v>
      </c>
      <c r="L1033" t="s">
        <v>8</v>
      </c>
      <c r="M1033" t="s">
        <v>8</v>
      </c>
      <c r="N1033" t="s">
        <v>8</v>
      </c>
      <c r="P1033">
        <f t="shared" si="1024"/>
        <v>0.99148936170212798</v>
      </c>
      <c r="Q1033">
        <f t="shared" si="1025"/>
        <v>62284823.620851085</v>
      </c>
      <c r="R1033">
        <f t="shared" si="1026"/>
        <v>257559672.13088721</v>
      </c>
      <c r="S1033">
        <f t="shared" si="1027"/>
        <v>2575.596721308872</v>
      </c>
      <c r="T1033">
        <f t="shared" si="1028"/>
        <v>2.5755967213088722</v>
      </c>
    </row>
    <row r="1034" spans="1:20" x14ac:dyDescent="0.25">
      <c r="A1034" s="5">
        <v>43559</v>
      </c>
      <c r="B1034">
        <v>2.1950000000000001E-2</v>
      </c>
      <c r="C1034">
        <v>2.384E-2</v>
      </c>
      <c r="D1034">
        <v>2.155E-2</v>
      </c>
      <c r="E1034">
        <v>2.2599999999999999E-2</v>
      </c>
      <c r="F1034">
        <v>92826936.099999994</v>
      </c>
      <c r="G1034">
        <v>0</v>
      </c>
      <c r="L1034" t="s">
        <v>7</v>
      </c>
      <c r="M1034" t="s">
        <v>8</v>
      </c>
      <c r="N1034" t="s">
        <v>8</v>
      </c>
      <c r="P1034">
        <f t="shared" si="1024"/>
        <v>-8.2969432314411631E-2</v>
      </c>
      <c r="Q1034">
        <f t="shared" si="1025"/>
        <v>-7701798.1917031631</v>
      </c>
      <c r="R1034">
        <f t="shared" si="1026"/>
        <v>195274848.51003614</v>
      </c>
      <c r="S1034">
        <f t="shared" si="1027"/>
        <v>1952.7484851003614</v>
      </c>
      <c r="T1034">
        <f t="shared" si="1028"/>
        <v>1.9527484851003614</v>
      </c>
    </row>
    <row r="1035" spans="1:20" x14ac:dyDescent="0.25">
      <c r="A1035" s="5">
        <v>43558</v>
      </c>
      <c r="B1035">
        <v>2.2429999999999999E-2</v>
      </c>
      <c r="C1035">
        <v>2.4500000000000001E-2</v>
      </c>
      <c r="D1035">
        <v>2.121E-2</v>
      </c>
      <c r="E1035">
        <v>2.1950000000000001E-2</v>
      </c>
      <c r="F1035">
        <v>171551511.90000001</v>
      </c>
      <c r="G1035">
        <v>0</v>
      </c>
      <c r="L1035" t="s">
        <v>8</v>
      </c>
      <c r="M1035" t="s">
        <v>8</v>
      </c>
      <c r="N1035" t="s">
        <v>8</v>
      </c>
      <c r="P1035">
        <f t="shared" si="1024"/>
        <v>-0.55015197568389007</v>
      </c>
      <c r="Q1035">
        <f t="shared" si="1025"/>
        <v>-94379403.203343377</v>
      </c>
      <c r="R1035">
        <f t="shared" si="1026"/>
        <v>202976646.70173931</v>
      </c>
      <c r="S1035">
        <f t="shared" si="1027"/>
        <v>2029.7664670173931</v>
      </c>
      <c r="T1035">
        <f t="shared" si="1028"/>
        <v>2.0297664670173932</v>
      </c>
    </row>
    <row r="1036" spans="1:20" x14ac:dyDescent="0.25">
      <c r="A1036" s="5">
        <v>43557</v>
      </c>
      <c r="B1036">
        <v>2.0580000000000001E-2</v>
      </c>
      <c r="C1036">
        <v>2.2710000000000001E-2</v>
      </c>
      <c r="D1036">
        <v>2.0449999999999999E-2</v>
      </c>
      <c r="E1036">
        <v>2.2429999999999999E-2</v>
      </c>
      <c r="F1036">
        <v>148544290.09999999</v>
      </c>
      <c r="G1036">
        <v>0</v>
      </c>
      <c r="L1036" t="s">
        <v>8</v>
      </c>
      <c r="M1036" t="s">
        <v>8</v>
      </c>
      <c r="N1036" t="s">
        <v>8</v>
      </c>
      <c r="P1036">
        <f t="shared" si="1024"/>
        <v>0.75221238938052892</v>
      </c>
      <c r="Q1036">
        <f t="shared" si="1025"/>
        <v>111736855.38495544</v>
      </c>
      <c r="R1036">
        <f t="shared" si="1026"/>
        <v>297356049.9050827</v>
      </c>
      <c r="S1036">
        <f t="shared" si="1027"/>
        <v>2973.5604990508268</v>
      </c>
      <c r="T1036">
        <f t="shared" si="1028"/>
        <v>2.9735604990508269</v>
      </c>
    </row>
    <row r="1037" spans="1:20" x14ac:dyDescent="0.25">
      <c r="A1037" s="5">
        <v>43556</v>
      </c>
      <c r="B1037">
        <v>2.0299999999999999E-2</v>
      </c>
      <c r="C1037">
        <v>2.094E-2</v>
      </c>
      <c r="D1037">
        <v>1.9959999999999999E-2</v>
      </c>
      <c r="E1037">
        <v>2.0619999999999999E-2</v>
      </c>
      <c r="F1037">
        <v>58166544.899999999</v>
      </c>
      <c r="G1037">
        <v>0</v>
      </c>
      <c r="L1037" t="s">
        <v>8</v>
      </c>
      <c r="M1037" t="s">
        <v>8</v>
      </c>
      <c r="N1037" t="s">
        <v>7</v>
      </c>
      <c r="P1037">
        <f t="shared" si="1024"/>
        <v>0.34693877551020352</v>
      </c>
      <c r="Q1037">
        <f t="shared" si="1025"/>
        <v>20180229.863265272</v>
      </c>
      <c r="R1037">
        <f t="shared" si="1026"/>
        <v>185619194.52012727</v>
      </c>
      <c r="S1037">
        <f t="shared" si="1027"/>
        <v>1856.1919452012726</v>
      </c>
      <c r="T1037">
        <f t="shared" si="1028"/>
        <v>1.8561919452012725</v>
      </c>
    </row>
    <row r="1038" spans="1:20" x14ac:dyDescent="0.25">
      <c r="A1038" s="5">
        <v>43555</v>
      </c>
      <c r="B1038">
        <v>1.9609999999999999E-2</v>
      </c>
      <c r="C1038">
        <v>2.1149999999999999E-2</v>
      </c>
      <c r="D1038">
        <v>1.933E-2</v>
      </c>
      <c r="E1038">
        <v>2.034E-2</v>
      </c>
      <c r="F1038">
        <v>83302879</v>
      </c>
      <c r="G1038">
        <v>0</v>
      </c>
      <c r="L1038" t="s">
        <v>8</v>
      </c>
      <c r="M1038" t="s">
        <v>8</v>
      </c>
      <c r="N1038" t="s">
        <v>7</v>
      </c>
      <c r="P1038">
        <f t="shared" si="1024"/>
        <v>0.10989010989011121</v>
      </c>
      <c r="Q1038">
        <f t="shared" si="1025"/>
        <v>9154162.5274726376</v>
      </c>
      <c r="R1038">
        <f t="shared" si="1026"/>
        <v>165438964.65686199</v>
      </c>
      <c r="S1038">
        <f t="shared" si="1027"/>
        <v>1654.3896465686198</v>
      </c>
      <c r="T1038">
        <f t="shared" si="1028"/>
        <v>1.6543896465686199</v>
      </c>
    </row>
    <row r="1039" spans="1:20" x14ac:dyDescent="0.25">
      <c r="A1039" s="5">
        <v>43554</v>
      </c>
      <c r="B1039">
        <v>1.9230000000000001E-2</v>
      </c>
      <c r="C1039">
        <v>1.9800000000000002E-2</v>
      </c>
      <c r="D1039">
        <v>1.839E-2</v>
      </c>
      <c r="E1039">
        <v>1.9529999999999999E-2</v>
      </c>
      <c r="F1039">
        <v>43603728.899999999</v>
      </c>
      <c r="G1039">
        <v>0</v>
      </c>
      <c r="L1039" t="s">
        <v>8</v>
      </c>
      <c r="M1039" t="s">
        <v>8</v>
      </c>
      <c r="N1039" t="s">
        <v>7</v>
      </c>
      <c r="P1039">
        <f t="shared" si="1024"/>
        <v>0.61702127659574102</v>
      </c>
      <c r="Q1039">
        <f t="shared" si="1025"/>
        <v>26904428.470212605</v>
      </c>
      <c r="R1039">
        <f t="shared" si="1026"/>
        <v>156284802.12938935</v>
      </c>
      <c r="S1039">
        <f t="shared" si="1027"/>
        <v>1562.8480212938935</v>
      </c>
      <c r="T1039">
        <f t="shared" si="1028"/>
        <v>1.5628480212938936</v>
      </c>
    </row>
    <row r="1040" spans="1:20" x14ac:dyDescent="0.25">
      <c r="A1040" s="5">
        <v>43553</v>
      </c>
      <c r="B1040">
        <v>1.941E-2</v>
      </c>
      <c r="C1040">
        <v>1.959E-2</v>
      </c>
      <c r="D1040">
        <v>1.9050000000000001E-2</v>
      </c>
      <c r="E1040">
        <v>1.9120000000000002E-2</v>
      </c>
      <c r="F1040">
        <v>30130310.5</v>
      </c>
      <c r="G1040">
        <v>0</v>
      </c>
      <c r="L1040" t="s">
        <v>8</v>
      </c>
      <c r="M1040" t="s">
        <v>8</v>
      </c>
      <c r="N1040" t="s">
        <v>7</v>
      </c>
      <c r="P1040">
        <f t="shared" si="1024"/>
        <v>-0.74074074074073792</v>
      </c>
      <c r="Q1040">
        <f t="shared" si="1025"/>
        <v>-22318748.518518433</v>
      </c>
      <c r="R1040">
        <f t="shared" si="1026"/>
        <v>129380373.65917675</v>
      </c>
      <c r="S1040">
        <f t="shared" si="1027"/>
        <v>1293.8037365917676</v>
      </c>
      <c r="T1040">
        <f t="shared" si="1028"/>
        <v>1.2938037365917676</v>
      </c>
    </row>
    <row r="1041" spans="1:20" x14ac:dyDescent="0.25">
      <c r="A1041" s="5">
        <v>43552</v>
      </c>
      <c r="B1041">
        <v>1.9120000000000002E-2</v>
      </c>
      <c r="C1041">
        <v>1.9470000000000001E-2</v>
      </c>
      <c r="D1041">
        <v>1.8950000000000002E-2</v>
      </c>
      <c r="E1041">
        <v>1.941E-2</v>
      </c>
      <c r="F1041">
        <v>26503580.300000001</v>
      </c>
      <c r="G1041">
        <v>0</v>
      </c>
      <c r="L1041" t="s">
        <v>8</v>
      </c>
      <c r="M1041" t="s">
        <v>8</v>
      </c>
      <c r="N1041" t="s">
        <v>7</v>
      </c>
      <c r="P1041">
        <f t="shared" si="1024"/>
        <v>0.76923076923076517</v>
      </c>
      <c r="Q1041">
        <f t="shared" si="1025"/>
        <v>20387369.461538356</v>
      </c>
      <c r="R1041">
        <f t="shared" si="1026"/>
        <v>151699122.17769518</v>
      </c>
      <c r="S1041">
        <f t="shared" si="1027"/>
        <v>1516.9912217769518</v>
      </c>
      <c r="T1041">
        <f t="shared" si="1028"/>
        <v>1.5169912217769517</v>
      </c>
    </row>
    <row r="1042" spans="1:20" x14ac:dyDescent="0.25">
      <c r="A1042" s="5">
        <v>43551</v>
      </c>
      <c r="B1042">
        <v>1.8579999999999999E-2</v>
      </c>
      <c r="C1042">
        <v>1.9390000000000001E-2</v>
      </c>
      <c r="D1042">
        <v>1.8489999999999999E-2</v>
      </c>
      <c r="E1042">
        <v>1.9179999999999999E-2</v>
      </c>
      <c r="F1042">
        <v>38172554</v>
      </c>
      <c r="G1042">
        <v>0</v>
      </c>
      <c r="L1042" t="s">
        <v>8</v>
      </c>
      <c r="M1042" t="s">
        <v>8</v>
      </c>
      <c r="N1042" t="s">
        <v>7</v>
      </c>
      <c r="P1042">
        <f t="shared" si="1024"/>
        <v>0.53333333333333</v>
      </c>
      <c r="Q1042">
        <f t="shared" si="1025"/>
        <v>20358695.466666538</v>
      </c>
      <c r="R1042">
        <f t="shared" si="1026"/>
        <v>131311752.71615684</v>
      </c>
      <c r="S1042">
        <f t="shared" si="1027"/>
        <v>1313.1175271615684</v>
      </c>
      <c r="T1042">
        <f t="shared" si="1028"/>
        <v>1.3131175271615685</v>
      </c>
    </row>
    <row r="1043" spans="1:20" x14ac:dyDescent="0.25">
      <c r="A1043" s="5">
        <v>43550</v>
      </c>
      <c r="B1043">
        <v>1.8790000000000001E-2</v>
      </c>
      <c r="C1043">
        <v>1.898E-2</v>
      </c>
      <c r="D1043">
        <v>1.7909999999999999E-2</v>
      </c>
      <c r="E1043">
        <v>1.8579999999999999E-2</v>
      </c>
      <c r="F1043">
        <v>44058032</v>
      </c>
      <c r="G1043">
        <v>0</v>
      </c>
      <c r="L1043" t="s">
        <v>7</v>
      </c>
      <c r="M1043" t="s">
        <v>8</v>
      </c>
      <c r="N1043" t="s">
        <v>7</v>
      </c>
      <c r="P1043">
        <f t="shared" si="1024"/>
        <v>0.25233644859812993</v>
      </c>
      <c r="Q1043">
        <f t="shared" si="1025"/>
        <v>11117447.327102764</v>
      </c>
      <c r="R1043">
        <f t="shared" si="1026"/>
        <v>110953057.24949031</v>
      </c>
      <c r="S1043">
        <f t="shared" si="1027"/>
        <v>1109.530572494903</v>
      </c>
      <c r="T1043">
        <f t="shared" si="1028"/>
        <v>1.1095305724949029</v>
      </c>
    </row>
    <row r="1044" spans="1:20" x14ac:dyDescent="0.25">
      <c r="A1044" s="5">
        <v>43549</v>
      </c>
      <c r="B1044">
        <v>2.01E-2</v>
      </c>
      <c r="C1044">
        <v>2.0209999999999999E-2</v>
      </c>
      <c r="D1044">
        <v>1.8089999999999998E-2</v>
      </c>
      <c r="E1044">
        <v>1.8849999999999999E-2</v>
      </c>
      <c r="F1044">
        <v>63958368.5</v>
      </c>
      <c r="G1044">
        <v>0</v>
      </c>
      <c r="L1044" t="s">
        <v>7</v>
      </c>
      <c r="M1044" t="s">
        <v>8</v>
      </c>
      <c r="N1044" t="s">
        <v>7</v>
      </c>
      <c r="P1044">
        <f t="shared" si="1024"/>
        <v>-0.28301886792452818</v>
      </c>
      <c r="Q1044">
        <f t="shared" si="1025"/>
        <v>-18101425.047169805</v>
      </c>
      <c r="R1044">
        <f t="shared" si="1026"/>
        <v>99835609.92238754</v>
      </c>
      <c r="S1044">
        <f t="shared" si="1027"/>
        <v>998.35609922387539</v>
      </c>
      <c r="T1044">
        <f t="shared" si="1028"/>
        <v>0.99835609922387536</v>
      </c>
    </row>
    <row r="1045" spans="1:20" x14ac:dyDescent="0.25">
      <c r="A1045" s="5">
        <v>43548</v>
      </c>
      <c r="B1045">
        <v>1.9519999999999999E-2</v>
      </c>
      <c r="C1045">
        <v>2.044E-2</v>
      </c>
      <c r="D1045">
        <v>1.9369999999999998E-2</v>
      </c>
      <c r="E1045">
        <v>2.0070000000000001E-2</v>
      </c>
      <c r="F1045">
        <v>69849047.700000003</v>
      </c>
      <c r="G1045">
        <v>0</v>
      </c>
      <c r="L1045" t="s">
        <v>8</v>
      </c>
      <c r="M1045" t="s">
        <v>8</v>
      </c>
      <c r="N1045" t="s">
        <v>7</v>
      </c>
      <c r="P1045">
        <f t="shared" si="1024"/>
        <v>0.30841121495327423</v>
      </c>
      <c r="Q1045">
        <f t="shared" si="1025"/>
        <v>21542229.664486207</v>
      </c>
      <c r="R1045">
        <f t="shared" si="1026"/>
        <v>117937034.96955734</v>
      </c>
      <c r="S1045">
        <f t="shared" si="1027"/>
        <v>1179.3703496955734</v>
      </c>
      <c r="T1045">
        <f t="shared" si="1028"/>
        <v>1.1793703496955734</v>
      </c>
    </row>
    <row r="1046" spans="1:20" x14ac:dyDescent="0.25">
      <c r="A1046" s="5">
        <v>43547</v>
      </c>
      <c r="B1046">
        <v>1.9259999999999999E-2</v>
      </c>
      <c r="C1046">
        <v>2.0199999999999999E-2</v>
      </c>
      <c r="D1046">
        <v>1.8919999999999999E-2</v>
      </c>
      <c r="E1046">
        <v>1.9529999999999999E-2</v>
      </c>
      <c r="F1046">
        <v>73198752.400000006</v>
      </c>
      <c r="G1046">
        <v>0</v>
      </c>
      <c r="L1046" t="s">
        <v>8</v>
      </c>
      <c r="M1046" t="s">
        <v>8</v>
      </c>
      <c r="N1046" t="s">
        <v>7</v>
      </c>
      <c r="P1046">
        <f t="shared" si="1024"/>
        <v>-4.6875000000000805E-2</v>
      </c>
      <c r="Q1046">
        <f t="shared" si="1025"/>
        <v>-3431191.5187500594</v>
      </c>
      <c r="R1046">
        <f t="shared" si="1026"/>
        <v>96394805.305071145</v>
      </c>
      <c r="S1046">
        <f t="shared" si="1027"/>
        <v>963.94805305071145</v>
      </c>
      <c r="T1046">
        <f t="shared" si="1028"/>
        <v>0.96394805305071141</v>
      </c>
    </row>
    <row r="1047" spans="1:20" x14ac:dyDescent="0.25">
      <c r="A1047" s="5">
        <v>43546</v>
      </c>
      <c r="B1047">
        <v>1.8450000000000001E-2</v>
      </c>
      <c r="C1047">
        <v>1.9609999999999999E-2</v>
      </c>
      <c r="D1047">
        <v>1.8249999999999999E-2</v>
      </c>
      <c r="E1047">
        <v>1.9259999999999999E-2</v>
      </c>
      <c r="F1047">
        <v>63319624.899999999</v>
      </c>
      <c r="G1047">
        <v>0</v>
      </c>
      <c r="L1047" t="s">
        <v>8</v>
      </c>
      <c r="M1047" t="s">
        <v>8</v>
      </c>
      <c r="N1047" t="s">
        <v>7</v>
      </c>
      <c r="P1047">
        <f t="shared" si="1024"/>
        <v>0.48529411764705943</v>
      </c>
      <c r="Q1047">
        <f t="shared" si="1025"/>
        <v>30728641.495588273</v>
      </c>
      <c r="R1047">
        <f t="shared" si="1026"/>
        <v>99825996.823821202</v>
      </c>
      <c r="S1047">
        <f t="shared" si="1027"/>
        <v>998.25996823821197</v>
      </c>
      <c r="T1047">
        <f t="shared" si="1028"/>
        <v>0.99825996823821195</v>
      </c>
    </row>
    <row r="1048" spans="1:20" x14ac:dyDescent="0.25">
      <c r="A1048" s="5">
        <v>43545</v>
      </c>
      <c r="B1048">
        <v>1.9230000000000001E-2</v>
      </c>
      <c r="C1048">
        <v>1.9279999999999999E-2</v>
      </c>
      <c r="D1048">
        <v>1.711E-2</v>
      </c>
      <c r="E1048">
        <v>1.8550000000000001E-2</v>
      </c>
      <c r="F1048">
        <v>56244428</v>
      </c>
      <c r="G1048">
        <v>0</v>
      </c>
      <c r="L1048" t="s">
        <v>7</v>
      </c>
      <c r="M1048" t="s">
        <v>8</v>
      </c>
      <c r="N1048" t="s">
        <v>7</v>
      </c>
      <c r="P1048">
        <f t="shared" si="1024"/>
        <v>0.3271889400921672</v>
      </c>
      <c r="Q1048">
        <f t="shared" si="1025"/>
        <v>18402554.78341021</v>
      </c>
      <c r="R1048">
        <f t="shared" si="1026"/>
        <v>69097355.328232929</v>
      </c>
      <c r="S1048">
        <f t="shared" si="1027"/>
        <v>690.97355328232925</v>
      </c>
      <c r="T1048">
        <f t="shared" si="1028"/>
        <v>0.69097355328232923</v>
      </c>
    </row>
    <row r="1049" spans="1:20" x14ac:dyDescent="0.25">
      <c r="A1049" s="5">
        <v>43544</v>
      </c>
      <c r="B1049">
        <v>1.8270000000000002E-2</v>
      </c>
      <c r="C1049">
        <v>1.9349999999999999E-2</v>
      </c>
      <c r="D1049">
        <v>1.8149999999999999E-2</v>
      </c>
      <c r="E1049">
        <v>1.9279999999999999E-2</v>
      </c>
      <c r="F1049">
        <v>67892575.900000006</v>
      </c>
      <c r="G1049">
        <v>0</v>
      </c>
      <c r="L1049" t="s">
        <v>8</v>
      </c>
      <c r="M1049" t="s">
        <v>8</v>
      </c>
      <c r="N1049" t="s">
        <v>7</v>
      </c>
      <c r="P1049">
        <f t="shared" si="1024"/>
        <v>0.8833333333333323</v>
      </c>
      <c r="Q1049">
        <f t="shared" si="1025"/>
        <v>59971775.378333271</v>
      </c>
      <c r="R1049">
        <f t="shared" si="1026"/>
        <v>50694800.544822715</v>
      </c>
      <c r="S1049">
        <f t="shared" si="1027"/>
        <v>506.94800544822715</v>
      </c>
      <c r="T1049">
        <f t="shared" si="1028"/>
        <v>0.50694800544822716</v>
      </c>
    </row>
    <row r="1050" spans="1:20" x14ac:dyDescent="0.25">
      <c r="A1050" s="5">
        <v>43543</v>
      </c>
      <c r="B1050">
        <v>1.8020000000000001E-2</v>
      </c>
      <c r="C1050">
        <v>1.831E-2</v>
      </c>
      <c r="D1050">
        <v>1.7860000000000001E-2</v>
      </c>
      <c r="E1050">
        <v>1.83E-2</v>
      </c>
      <c r="F1050">
        <v>19739156</v>
      </c>
      <c r="G1050">
        <v>0</v>
      </c>
      <c r="L1050" t="s">
        <v>8</v>
      </c>
      <c r="M1050" t="s">
        <v>8</v>
      </c>
      <c r="N1050" t="s">
        <v>7</v>
      </c>
      <c r="P1050">
        <f t="shared" si="1024"/>
        <v>0.95555555555555727</v>
      </c>
      <c r="Q1050">
        <f t="shared" si="1025"/>
        <v>18861860.177777812</v>
      </c>
      <c r="R1050">
        <f t="shared" si="1026"/>
        <v>-9276974.8335105553</v>
      </c>
      <c r="S1050">
        <f t="shared" si="1027"/>
        <v>-92.769748335105547</v>
      </c>
      <c r="T1050">
        <f t="shared" si="1028"/>
        <v>-9.2769748335105554E-2</v>
      </c>
    </row>
    <row r="1051" spans="1:20" x14ac:dyDescent="0.25">
      <c r="A1051" s="5">
        <v>43542</v>
      </c>
      <c r="B1051">
        <v>1.804E-2</v>
      </c>
      <c r="C1051">
        <v>1.847E-2</v>
      </c>
      <c r="D1051">
        <v>1.7780000000000001E-2</v>
      </c>
      <c r="E1051">
        <v>1.8020000000000001E-2</v>
      </c>
      <c r="F1051">
        <v>16583577.4</v>
      </c>
      <c r="G1051">
        <v>0</v>
      </c>
      <c r="L1051" t="s">
        <v>8</v>
      </c>
      <c r="M1051" t="s">
        <v>8</v>
      </c>
      <c r="N1051" t="s">
        <v>7</v>
      </c>
      <c r="P1051">
        <f t="shared" si="1024"/>
        <v>-0.30434782608695432</v>
      </c>
      <c r="Q1051">
        <f t="shared" si="1025"/>
        <v>-5047175.7304347465</v>
      </c>
      <c r="R1051">
        <f t="shared" si="1026"/>
        <v>-28138835.011288367</v>
      </c>
      <c r="S1051">
        <f t="shared" si="1027"/>
        <v>-281.3883501128837</v>
      </c>
      <c r="T1051">
        <f t="shared" si="1028"/>
        <v>-0.28138835011288371</v>
      </c>
    </row>
    <row r="1052" spans="1:20" x14ac:dyDescent="0.25">
      <c r="A1052" s="5">
        <v>43541</v>
      </c>
      <c r="B1052">
        <v>1.8249999999999999E-2</v>
      </c>
      <c r="C1052">
        <v>1.881E-2</v>
      </c>
      <c r="D1052">
        <v>1.7780000000000001E-2</v>
      </c>
      <c r="E1052">
        <v>1.8020000000000001E-2</v>
      </c>
      <c r="F1052">
        <v>18762320.199999999</v>
      </c>
      <c r="G1052">
        <v>0</v>
      </c>
      <c r="L1052" t="s">
        <v>8</v>
      </c>
      <c r="M1052" t="s">
        <v>8</v>
      </c>
      <c r="N1052" t="s">
        <v>7</v>
      </c>
      <c r="P1052">
        <f t="shared" si="1024"/>
        <v>-0.5339805825242705</v>
      </c>
      <c r="Q1052">
        <f t="shared" si="1025"/>
        <v>-10018714.669902887</v>
      </c>
      <c r="R1052">
        <f t="shared" si="1026"/>
        <v>-23091659.280853622</v>
      </c>
      <c r="S1052">
        <f t="shared" si="1027"/>
        <v>-230.91659280853622</v>
      </c>
      <c r="T1052">
        <f t="shared" si="1028"/>
        <v>-0.23091659280853621</v>
      </c>
    </row>
    <row r="1053" spans="1:20" x14ac:dyDescent="0.25">
      <c r="A1053" s="5">
        <v>43540</v>
      </c>
      <c r="B1053">
        <v>1.8249999999999999E-2</v>
      </c>
      <c r="C1053">
        <v>1.865E-2</v>
      </c>
      <c r="D1053">
        <v>1.7999999999999999E-2</v>
      </c>
      <c r="E1053">
        <v>1.8249999999999999E-2</v>
      </c>
      <c r="F1053">
        <v>34162957.5</v>
      </c>
      <c r="G1053">
        <v>0</v>
      </c>
      <c r="L1053" t="s">
        <v>7</v>
      </c>
      <c r="M1053" t="s">
        <v>8</v>
      </c>
      <c r="N1053" t="s">
        <v>7</v>
      </c>
      <c r="P1053">
        <f t="shared" si="1024"/>
        <v>-0.23076923076923159</v>
      </c>
      <c r="Q1053">
        <f t="shared" si="1025"/>
        <v>-7883759.4230769509</v>
      </c>
      <c r="R1053">
        <f t="shared" si="1026"/>
        <v>-13072944.610950736</v>
      </c>
      <c r="S1053">
        <f t="shared" si="1027"/>
        <v>-130.72944610950736</v>
      </c>
      <c r="T1053">
        <f t="shared" si="1028"/>
        <v>-0.13072944610950737</v>
      </c>
    </row>
    <row r="1054" spans="1:20" x14ac:dyDescent="0.25">
      <c r="A1054" s="5">
        <v>43539</v>
      </c>
      <c r="B1054">
        <v>1.8149999999999999E-2</v>
      </c>
      <c r="C1054">
        <v>1.8499999999999999E-2</v>
      </c>
      <c r="D1054">
        <v>1.8079999999999999E-2</v>
      </c>
      <c r="E1054">
        <v>1.8290000000000001E-2</v>
      </c>
      <c r="F1054">
        <v>14267106.199999999</v>
      </c>
      <c r="G1054">
        <v>0</v>
      </c>
      <c r="L1054" t="s">
        <v>7</v>
      </c>
      <c r="M1054" t="s">
        <v>8</v>
      </c>
      <c r="N1054" t="s">
        <v>7</v>
      </c>
      <c r="P1054">
        <f t="shared" si="1024"/>
        <v>8.2605879808419346E-15</v>
      </c>
      <c r="Q1054">
        <f t="shared" si="1025"/>
        <v>1.1785468599711545E-7</v>
      </c>
      <c r="R1054">
        <f t="shared" si="1026"/>
        <v>-5189185.1878737854</v>
      </c>
      <c r="S1054">
        <f t="shared" si="1027"/>
        <v>-51.891851878737853</v>
      </c>
      <c r="T1054">
        <f t="shared" si="1028"/>
        <v>-5.1891851878737856E-2</v>
      </c>
    </row>
    <row r="1055" spans="1:20" x14ac:dyDescent="0.25">
      <c r="A1055" s="5">
        <v>43538</v>
      </c>
      <c r="B1055">
        <v>1.8370000000000001E-2</v>
      </c>
      <c r="C1055">
        <v>1.8530000000000001E-2</v>
      </c>
      <c r="D1055">
        <v>1.738E-2</v>
      </c>
      <c r="E1055">
        <v>1.8149999999999999E-2</v>
      </c>
      <c r="F1055">
        <v>29265555</v>
      </c>
      <c r="G1055">
        <v>0</v>
      </c>
      <c r="L1055" t="s">
        <v>7</v>
      </c>
      <c r="M1055" t="s">
        <v>8</v>
      </c>
      <c r="N1055" t="s">
        <v>7</v>
      </c>
      <c r="P1055">
        <f t="shared" si="1024"/>
        <v>0.33913043478260646</v>
      </c>
      <c r="Q1055">
        <f t="shared" si="1025"/>
        <v>9924840.3913042825</v>
      </c>
      <c r="R1055">
        <f t="shared" si="1026"/>
        <v>-5189185.1878739037</v>
      </c>
      <c r="S1055">
        <f t="shared" si="1027"/>
        <v>-51.89185187873904</v>
      </c>
      <c r="T1055">
        <f t="shared" si="1028"/>
        <v>-5.1891851878739043E-2</v>
      </c>
    </row>
    <row r="1056" spans="1:20" x14ac:dyDescent="0.25">
      <c r="A1056" s="5">
        <v>43537</v>
      </c>
      <c r="B1056">
        <v>1.789E-2</v>
      </c>
      <c r="C1056">
        <v>1.8929999999999999E-2</v>
      </c>
      <c r="D1056">
        <v>1.7729999999999999E-2</v>
      </c>
      <c r="E1056">
        <v>1.8419999999999999E-2</v>
      </c>
      <c r="F1056">
        <v>55651246.399999999</v>
      </c>
      <c r="G1056">
        <v>0</v>
      </c>
      <c r="L1056" t="s">
        <v>8</v>
      </c>
      <c r="M1056" t="s">
        <v>8</v>
      </c>
      <c r="N1056" t="s">
        <v>7</v>
      </c>
      <c r="P1056">
        <f t="shared" si="1024"/>
        <v>0.14999999999999972</v>
      </c>
      <c r="Q1056">
        <f t="shared" si="1025"/>
        <v>8347686.9599999841</v>
      </c>
      <c r="R1056">
        <f t="shared" si="1026"/>
        <v>-15114025.579178186</v>
      </c>
      <c r="S1056">
        <f t="shared" si="1027"/>
        <v>-151.14025579178187</v>
      </c>
      <c r="T1056">
        <f t="shared" si="1028"/>
        <v>-0.15114025579178186</v>
      </c>
    </row>
    <row r="1057" spans="1:20" x14ac:dyDescent="0.25">
      <c r="A1057" s="5">
        <v>43536</v>
      </c>
      <c r="B1057">
        <v>1.736E-2</v>
      </c>
      <c r="C1057">
        <v>1.84E-2</v>
      </c>
      <c r="D1057">
        <v>1.6959999999999999E-2</v>
      </c>
      <c r="E1057">
        <v>1.788E-2</v>
      </c>
      <c r="F1057">
        <v>30964078.300000001</v>
      </c>
      <c r="G1057">
        <v>0</v>
      </c>
      <c r="L1057" t="s">
        <v>8</v>
      </c>
      <c r="M1057" t="s">
        <v>8</v>
      </c>
      <c r="N1057" t="s">
        <v>7</v>
      </c>
      <c r="P1057">
        <f t="shared" si="1024"/>
        <v>0.27777777777777846</v>
      </c>
      <c r="Q1057">
        <f t="shared" si="1025"/>
        <v>8601132.8611111324</v>
      </c>
      <c r="R1057">
        <f t="shared" si="1026"/>
        <v>-23461712.53917817</v>
      </c>
      <c r="S1057">
        <f t="shared" si="1027"/>
        <v>-234.61712539178171</v>
      </c>
      <c r="T1057">
        <f t="shared" si="1028"/>
        <v>-0.2346171253917817</v>
      </c>
    </row>
    <row r="1058" spans="1:20" x14ac:dyDescent="0.25">
      <c r="A1058" s="5">
        <v>43535</v>
      </c>
      <c r="B1058">
        <v>1.78E-2</v>
      </c>
      <c r="C1058">
        <v>1.8159999999999999E-2</v>
      </c>
      <c r="D1058">
        <v>1.685E-2</v>
      </c>
      <c r="E1058">
        <v>1.7350000000000001E-2</v>
      </c>
      <c r="F1058">
        <v>25900574.399999999</v>
      </c>
      <c r="G1058">
        <v>0</v>
      </c>
      <c r="L1058" t="s">
        <v>7</v>
      </c>
      <c r="M1058" t="s">
        <v>8</v>
      </c>
      <c r="N1058" t="s">
        <v>7</v>
      </c>
      <c r="P1058">
        <f t="shared" si="1024"/>
        <v>-0.23664122137404434</v>
      </c>
      <c r="Q1058">
        <f t="shared" si="1025"/>
        <v>-6129143.5603053048</v>
      </c>
      <c r="R1058">
        <f t="shared" si="1026"/>
        <v>-32062845.400289305</v>
      </c>
      <c r="S1058">
        <f t="shared" si="1027"/>
        <v>-320.62845400289302</v>
      </c>
      <c r="T1058">
        <f t="shared" si="1028"/>
        <v>-0.32062845400289303</v>
      </c>
    </row>
    <row r="1059" spans="1:20" x14ac:dyDescent="0.25">
      <c r="A1059" s="5">
        <v>43534</v>
      </c>
      <c r="B1059">
        <v>1.8149999999999999E-2</v>
      </c>
      <c r="C1059">
        <v>1.8700000000000001E-2</v>
      </c>
      <c r="D1059">
        <v>1.7350000000000001E-2</v>
      </c>
      <c r="E1059">
        <v>1.7850000000000001E-2</v>
      </c>
      <c r="F1059">
        <v>18691503.100000001</v>
      </c>
      <c r="G1059">
        <v>0</v>
      </c>
      <c r="L1059" t="s">
        <v>8</v>
      </c>
      <c r="M1059" t="s">
        <v>8</v>
      </c>
      <c r="N1059" t="s">
        <v>7</v>
      </c>
      <c r="P1059">
        <f t="shared" si="1024"/>
        <v>-0.25925925925925886</v>
      </c>
      <c r="Q1059">
        <f t="shared" si="1025"/>
        <v>-4845945.2481481414</v>
      </c>
      <c r="R1059">
        <f t="shared" si="1026"/>
        <v>-25933701.839984</v>
      </c>
      <c r="S1059">
        <f t="shared" si="1027"/>
        <v>-259.33701839984002</v>
      </c>
      <c r="T1059">
        <f t="shared" si="1028"/>
        <v>-0.25933701839984002</v>
      </c>
    </row>
    <row r="1060" spans="1:20" x14ac:dyDescent="0.25">
      <c r="A1060" s="5">
        <v>43533</v>
      </c>
      <c r="B1060">
        <v>1.729E-2</v>
      </c>
      <c r="C1060">
        <v>1.8499999999999999E-2</v>
      </c>
      <c r="D1060">
        <v>1.712E-2</v>
      </c>
      <c r="E1060">
        <v>1.8149999999999999E-2</v>
      </c>
      <c r="F1060">
        <v>42458617</v>
      </c>
      <c r="G1060">
        <v>0</v>
      </c>
      <c r="L1060" t="s">
        <v>8</v>
      </c>
      <c r="M1060" t="s">
        <v>8</v>
      </c>
      <c r="N1060" t="s">
        <v>7</v>
      </c>
      <c r="P1060">
        <f t="shared" si="1024"/>
        <v>0.4927536231884061</v>
      </c>
      <c r="Q1060">
        <f t="shared" si="1025"/>
        <v>20921637.362318855</v>
      </c>
      <c r="R1060">
        <f t="shared" si="1026"/>
        <v>-21087756.59183586</v>
      </c>
      <c r="S1060">
        <f t="shared" si="1027"/>
        <v>-210.87756591835861</v>
      </c>
      <c r="T1060">
        <f t="shared" si="1028"/>
        <v>-0.2108775659183586</v>
      </c>
    </row>
    <row r="1061" spans="1:20" x14ac:dyDescent="0.25">
      <c r="A1061" s="5">
        <v>43532</v>
      </c>
      <c r="B1061">
        <v>1.6979999999999999E-2</v>
      </c>
      <c r="C1061">
        <v>1.7989999999999999E-2</v>
      </c>
      <c r="D1061">
        <v>1.6619999999999999E-2</v>
      </c>
      <c r="E1061">
        <v>1.7180000000000001E-2</v>
      </c>
      <c r="F1061">
        <v>44056129.299999997</v>
      </c>
      <c r="G1061">
        <v>0</v>
      </c>
      <c r="L1061" t="s">
        <v>8</v>
      </c>
      <c r="M1061" t="s">
        <v>7</v>
      </c>
      <c r="N1061" t="s">
        <v>7</v>
      </c>
      <c r="P1061">
        <f t="shared" si="1024"/>
        <v>-0.18248175182481519</v>
      </c>
      <c r="Q1061">
        <f t="shared" si="1025"/>
        <v>-8039439.6532845683</v>
      </c>
      <c r="R1061">
        <f t="shared" si="1026"/>
        <v>-42009393.954154715</v>
      </c>
      <c r="S1061">
        <f t="shared" si="1027"/>
        <v>-420.09393954154717</v>
      </c>
      <c r="T1061">
        <f t="shared" si="1028"/>
        <v>-0.42009393954154717</v>
      </c>
    </row>
    <row r="1062" spans="1:20" x14ac:dyDescent="0.25">
      <c r="A1062" s="5">
        <v>43531</v>
      </c>
      <c r="B1062">
        <v>1.6719999999999999E-2</v>
      </c>
      <c r="C1062">
        <v>1.7000000000000001E-2</v>
      </c>
      <c r="D1062">
        <v>1.651E-2</v>
      </c>
      <c r="E1062">
        <v>1.6979999999999999E-2</v>
      </c>
      <c r="F1062">
        <v>12772261.6</v>
      </c>
      <c r="G1062">
        <v>0</v>
      </c>
      <c r="L1062" t="s">
        <v>8</v>
      </c>
      <c r="M1062" t="s">
        <v>7</v>
      </c>
      <c r="N1062" t="s">
        <v>7</v>
      </c>
      <c r="P1062">
        <f t="shared" si="1024"/>
        <v>0.91836734693876487</v>
      </c>
      <c r="Q1062">
        <f t="shared" si="1025"/>
        <v>11729627.999999864</v>
      </c>
      <c r="R1062">
        <f t="shared" si="1026"/>
        <v>-33969954.30087015</v>
      </c>
      <c r="S1062">
        <f t="shared" si="1027"/>
        <v>-339.69954300870148</v>
      </c>
      <c r="T1062">
        <f t="shared" si="1028"/>
        <v>-0.33969954300870148</v>
      </c>
    </row>
    <row r="1063" spans="1:20" x14ac:dyDescent="0.25">
      <c r="A1063" s="5">
        <v>43530</v>
      </c>
      <c r="B1063">
        <v>1.6899999999999998E-2</v>
      </c>
      <c r="C1063">
        <v>1.7100000000000001E-2</v>
      </c>
      <c r="D1063">
        <v>1.6539999999999999E-2</v>
      </c>
      <c r="E1063">
        <v>1.6719999999999999E-2</v>
      </c>
      <c r="F1063">
        <v>10889313.800000001</v>
      </c>
      <c r="G1063">
        <v>0</v>
      </c>
      <c r="L1063" t="s">
        <v>8</v>
      </c>
      <c r="M1063" t="s">
        <v>7</v>
      </c>
      <c r="N1063" t="s">
        <v>7</v>
      </c>
      <c r="P1063">
        <f t="shared" si="1024"/>
        <v>-0.35714285714286026</v>
      </c>
      <c r="Q1063">
        <f t="shared" si="1025"/>
        <v>-3889040.6428571772</v>
      </c>
      <c r="R1063">
        <f t="shared" si="1026"/>
        <v>-45699582.300870016</v>
      </c>
      <c r="S1063">
        <f t="shared" si="1027"/>
        <v>-456.99582300870014</v>
      </c>
      <c r="T1063">
        <f t="shared" si="1028"/>
        <v>-0.45699582300870012</v>
      </c>
    </row>
    <row r="1064" spans="1:20" x14ac:dyDescent="0.25">
      <c r="A1064" s="5">
        <v>43529</v>
      </c>
      <c r="B1064">
        <v>1.6150000000000001E-2</v>
      </c>
      <c r="C1064">
        <v>1.72E-2</v>
      </c>
      <c r="D1064">
        <v>1.5939999999999999E-2</v>
      </c>
      <c r="E1064">
        <v>1.6899999999999998E-2</v>
      </c>
      <c r="F1064">
        <v>17069812</v>
      </c>
      <c r="G1064">
        <v>0</v>
      </c>
      <c r="L1064" t="s">
        <v>8</v>
      </c>
      <c r="M1064" t="s">
        <v>7</v>
      </c>
      <c r="N1064" t="s">
        <v>7</v>
      </c>
      <c r="P1064">
        <f t="shared" si="1024"/>
        <v>0.5238095238095215</v>
      </c>
      <c r="Q1064">
        <f t="shared" si="1025"/>
        <v>8941330.095238056</v>
      </c>
      <c r="R1064">
        <f t="shared" si="1026"/>
        <v>-41810541.658012837</v>
      </c>
      <c r="S1064">
        <f t="shared" si="1027"/>
        <v>-418.10541658012835</v>
      </c>
      <c r="T1064">
        <f t="shared" si="1028"/>
        <v>-0.41810541658012834</v>
      </c>
    </row>
    <row r="1065" spans="1:20" x14ac:dyDescent="0.25">
      <c r="A1065" s="5">
        <v>43528</v>
      </c>
      <c r="B1065">
        <v>1.6830000000000001E-2</v>
      </c>
      <c r="C1065">
        <v>1.6930000000000001E-2</v>
      </c>
      <c r="D1065">
        <v>1.555E-2</v>
      </c>
      <c r="E1065">
        <v>1.618E-2</v>
      </c>
      <c r="F1065">
        <v>18962911.899999999</v>
      </c>
      <c r="G1065">
        <v>0</v>
      </c>
      <c r="L1065" t="s">
        <v>7</v>
      </c>
      <c r="M1065" t="s">
        <v>7</v>
      </c>
      <c r="N1065" t="s">
        <v>7</v>
      </c>
      <c r="P1065">
        <f t="shared" si="1024"/>
        <v>-8.6956521739130599E-2</v>
      </c>
      <c r="Q1065">
        <f t="shared" si="1025"/>
        <v>-1648948.8608695683</v>
      </c>
      <c r="R1065">
        <f t="shared" si="1026"/>
        <v>-50751871.753250889</v>
      </c>
      <c r="S1065">
        <f t="shared" si="1027"/>
        <v>-507.5187175325089</v>
      </c>
      <c r="T1065">
        <f t="shared" si="1028"/>
        <v>-0.50751871753250888</v>
      </c>
    </row>
    <row r="1066" spans="1:20" x14ac:dyDescent="0.25">
      <c r="A1066" s="5">
        <v>43527</v>
      </c>
      <c r="B1066">
        <v>1.7090000000000001E-2</v>
      </c>
      <c r="C1066">
        <v>1.7149999999999999E-2</v>
      </c>
      <c r="D1066">
        <v>1.678E-2</v>
      </c>
      <c r="E1066">
        <v>1.6799999999999999E-2</v>
      </c>
      <c r="F1066">
        <v>9466887.5999999996</v>
      </c>
      <c r="G1066">
        <v>0</v>
      </c>
      <c r="L1066" t="s">
        <v>7</v>
      </c>
      <c r="M1066" t="s">
        <v>7</v>
      </c>
      <c r="N1066" t="s">
        <v>7</v>
      </c>
      <c r="P1066">
        <f t="shared" si="1024"/>
        <v>-0.89189189189189599</v>
      </c>
      <c r="Q1066">
        <f t="shared" si="1025"/>
        <v>-8443440.2918919306</v>
      </c>
      <c r="R1066">
        <f t="shared" si="1026"/>
        <v>-49102922.892381318</v>
      </c>
      <c r="S1066">
        <f t="shared" si="1027"/>
        <v>-491.02922892381321</v>
      </c>
      <c r="T1066">
        <f t="shared" si="1028"/>
        <v>-0.49102922892381323</v>
      </c>
    </row>
    <row r="1067" spans="1:20" x14ac:dyDescent="0.25">
      <c r="A1067" s="5">
        <v>43526</v>
      </c>
      <c r="B1067">
        <v>1.7160000000000002E-2</v>
      </c>
      <c r="C1067">
        <v>1.7340000000000001E-2</v>
      </c>
      <c r="D1067">
        <v>1.67E-2</v>
      </c>
      <c r="E1067">
        <v>1.7010000000000001E-2</v>
      </c>
      <c r="F1067">
        <v>15087395.800000001</v>
      </c>
      <c r="G1067">
        <v>0</v>
      </c>
      <c r="L1067" t="s">
        <v>7</v>
      </c>
      <c r="M1067" t="s">
        <v>7</v>
      </c>
      <c r="N1067" t="s">
        <v>7</v>
      </c>
      <c r="P1067">
        <f t="shared" si="1024"/>
        <v>-3.1249999999998643E-2</v>
      </c>
      <c r="Q1067">
        <f t="shared" si="1025"/>
        <v>-471481.11874997953</v>
      </c>
      <c r="R1067">
        <f t="shared" si="1026"/>
        <v>-40659482.600489385</v>
      </c>
      <c r="S1067">
        <f t="shared" si="1027"/>
        <v>-406.59482600489383</v>
      </c>
      <c r="T1067">
        <f t="shared" si="1028"/>
        <v>-0.40659482600489383</v>
      </c>
    </row>
    <row r="1068" spans="1:20" x14ac:dyDescent="0.25">
      <c r="A1068" s="5">
        <v>43525</v>
      </c>
      <c r="B1068">
        <v>1.7069999999999998E-2</v>
      </c>
      <c r="C1068">
        <v>1.7350000000000001E-2</v>
      </c>
      <c r="D1068">
        <v>1.6920000000000001E-2</v>
      </c>
      <c r="E1068">
        <v>1.7139999999999999E-2</v>
      </c>
      <c r="F1068">
        <v>15715011.699999999</v>
      </c>
      <c r="G1068">
        <v>0</v>
      </c>
      <c r="L1068" t="s">
        <v>7</v>
      </c>
      <c r="M1068" t="s">
        <v>7</v>
      </c>
      <c r="N1068" t="s">
        <v>7</v>
      </c>
      <c r="P1068">
        <f t="shared" si="1024"/>
        <v>2.3255813953479365E-2</v>
      </c>
      <c r="Q1068">
        <f t="shared" si="1025"/>
        <v>365465.38837195147</v>
      </c>
      <c r="R1068">
        <f t="shared" si="1026"/>
        <v>-40188001.481739409</v>
      </c>
      <c r="S1068">
        <f t="shared" si="1027"/>
        <v>-401.88001481739411</v>
      </c>
      <c r="T1068">
        <f t="shared" si="1028"/>
        <v>-0.4018800148173941</v>
      </c>
    </row>
    <row r="1069" spans="1:20" x14ac:dyDescent="0.25">
      <c r="A1069" s="5">
        <v>43524</v>
      </c>
      <c r="B1069">
        <v>1.7430000000000001E-2</v>
      </c>
      <c r="C1069">
        <v>1.7489999999999999E-2</v>
      </c>
      <c r="D1069">
        <v>1.6809999999999999E-2</v>
      </c>
      <c r="E1069">
        <v>1.7010000000000001E-2</v>
      </c>
      <c r="F1069">
        <v>14428652.4</v>
      </c>
      <c r="G1069">
        <v>0</v>
      </c>
      <c r="L1069" t="s">
        <v>7</v>
      </c>
      <c r="M1069" t="s">
        <v>7</v>
      </c>
      <c r="N1069" t="s">
        <v>7</v>
      </c>
      <c r="P1069">
        <f t="shared" si="1024"/>
        <v>-0.41176470588234632</v>
      </c>
      <c r="Q1069">
        <f t="shared" si="1025"/>
        <v>-5941209.81176461</v>
      </c>
      <c r="R1069">
        <f t="shared" si="1026"/>
        <v>-40553466.870111361</v>
      </c>
      <c r="S1069">
        <f t="shared" si="1027"/>
        <v>-405.53466870111362</v>
      </c>
      <c r="T1069">
        <f t="shared" si="1028"/>
        <v>-0.4055346687011136</v>
      </c>
    </row>
    <row r="1070" spans="1:20" x14ac:dyDescent="0.25">
      <c r="A1070" s="5">
        <v>43523</v>
      </c>
      <c r="B1070">
        <v>1.7760000000000001E-2</v>
      </c>
      <c r="C1070">
        <v>1.7809999999999999E-2</v>
      </c>
      <c r="D1070">
        <v>1.6639999999999999E-2</v>
      </c>
      <c r="E1070">
        <v>1.7430000000000001E-2</v>
      </c>
      <c r="F1070">
        <v>16156742.4</v>
      </c>
      <c r="G1070">
        <v>0</v>
      </c>
      <c r="L1070" t="s">
        <v>7</v>
      </c>
      <c r="M1070" t="s">
        <v>7</v>
      </c>
      <c r="N1070" t="s">
        <v>7</v>
      </c>
      <c r="P1070">
        <f t="shared" si="1024"/>
        <v>0.35042735042735368</v>
      </c>
      <c r="Q1070">
        <f t="shared" si="1025"/>
        <v>5661764.4307692833</v>
      </c>
      <c r="R1070">
        <f t="shared" si="1026"/>
        <v>-34612257.058346748</v>
      </c>
      <c r="S1070">
        <f t="shared" si="1027"/>
        <v>-346.12257058346751</v>
      </c>
      <c r="T1070">
        <f t="shared" si="1028"/>
        <v>-0.34612257058346751</v>
      </c>
    </row>
    <row r="1071" spans="1:20" x14ac:dyDescent="0.25">
      <c r="A1071" s="5">
        <v>43522</v>
      </c>
      <c r="B1071">
        <v>1.737E-2</v>
      </c>
      <c r="C1071">
        <v>1.797E-2</v>
      </c>
      <c r="D1071">
        <v>1.6709999999999999E-2</v>
      </c>
      <c r="E1071">
        <v>1.7760000000000001E-2</v>
      </c>
      <c r="F1071">
        <v>34641381.299999997</v>
      </c>
      <c r="G1071">
        <v>0</v>
      </c>
      <c r="L1071" t="s">
        <v>8</v>
      </c>
      <c r="M1071" t="s">
        <v>7</v>
      </c>
      <c r="N1071" t="s">
        <v>7</v>
      </c>
      <c r="P1071">
        <f t="shared" si="1024"/>
        <v>0.66666666666666941</v>
      </c>
      <c r="Q1071">
        <f t="shared" si="1025"/>
        <v>23094254.200000092</v>
      </c>
      <c r="R1071">
        <f t="shared" si="1026"/>
        <v>-40274021.489116028</v>
      </c>
      <c r="S1071">
        <f t="shared" si="1027"/>
        <v>-402.74021489116029</v>
      </c>
      <c r="T1071">
        <f t="shared" si="1028"/>
        <v>-0.4027402148911603</v>
      </c>
    </row>
    <row r="1072" spans="1:20" x14ac:dyDescent="0.25">
      <c r="A1072" s="5">
        <v>43521</v>
      </c>
      <c r="B1072">
        <v>1.6670000000000001E-2</v>
      </c>
      <c r="C1072">
        <v>1.789E-2</v>
      </c>
      <c r="D1072">
        <v>1.6629999999999999E-2</v>
      </c>
      <c r="E1072">
        <v>1.728E-2</v>
      </c>
      <c r="F1072">
        <v>34332411.100000001</v>
      </c>
      <c r="G1072">
        <v>0</v>
      </c>
      <c r="L1072" t="s">
        <v>7</v>
      </c>
      <c r="M1072" t="s">
        <v>7</v>
      </c>
      <c r="N1072" t="s">
        <v>7</v>
      </c>
      <c r="P1072">
        <f t="shared" si="1024"/>
        <v>3.1746031746033188E-2</v>
      </c>
      <c r="Q1072">
        <f t="shared" si="1025"/>
        <v>1089917.8126984623</v>
      </c>
      <c r="R1072">
        <f t="shared" si="1026"/>
        <v>-63368275.68911612</v>
      </c>
      <c r="S1072">
        <f t="shared" si="1027"/>
        <v>-633.68275689116115</v>
      </c>
      <c r="T1072">
        <f t="shared" si="1028"/>
        <v>-0.63368275689116116</v>
      </c>
    </row>
    <row r="1073" spans="1:20" x14ac:dyDescent="0.25">
      <c r="A1073" s="5">
        <v>43520</v>
      </c>
      <c r="B1073">
        <v>1.9089999999999999E-2</v>
      </c>
      <c r="C1073">
        <v>2.001E-2</v>
      </c>
      <c r="D1073">
        <v>1.5800000000000002E-2</v>
      </c>
      <c r="E1073">
        <v>1.6740000000000001E-2</v>
      </c>
      <c r="F1073">
        <v>100489107.09999999</v>
      </c>
      <c r="G1073">
        <v>0</v>
      </c>
      <c r="L1073" t="s">
        <v>8</v>
      </c>
      <c r="M1073" t="s">
        <v>7</v>
      </c>
      <c r="N1073" t="s">
        <v>7</v>
      </c>
      <c r="P1073">
        <f t="shared" si="1024"/>
        <v>-0.55344418052256528</v>
      </c>
      <c r="Q1073">
        <f t="shared" si="1025"/>
        <v>-55615111.530403793</v>
      </c>
      <c r="R1073">
        <f t="shared" si="1026"/>
        <v>-64458193.501814581</v>
      </c>
      <c r="S1073">
        <f t="shared" si="1027"/>
        <v>-644.58193501814583</v>
      </c>
      <c r="T1073">
        <f t="shared" si="1028"/>
        <v>-0.64458193501814587</v>
      </c>
    </row>
    <row r="1074" spans="1:20" x14ac:dyDescent="0.25">
      <c r="A1074" s="5">
        <v>43519</v>
      </c>
      <c r="B1074">
        <v>1.821E-2</v>
      </c>
      <c r="C1074">
        <v>1.959E-2</v>
      </c>
      <c r="D1074">
        <v>1.8120000000000001E-2</v>
      </c>
      <c r="E1074">
        <v>1.9089999999999999E-2</v>
      </c>
      <c r="F1074">
        <v>45878387.799999997</v>
      </c>
      <c r="G1074">
        <v>0</v>
      </c>
      <c r="L1074" t="s">
        <v>8</v>
      </c>
      <c r="M1074" t="s">
        <v>7</v>
      </c>
      <c r="N1074" t="s">
        <v>7</v>
      </c>
      <c r="P1074">
        <f t="shared" si="1024"/>
        <v>0.31972789115646155</v>
      </c>
      <c r="Q1074">
        <f t="shared" si="1025"/>
        <v>14668600.180952333</v>
      </c>
      <c r="R1074">
        <f t="shared" si="1026"/>
        <v>-8843081.9714107886</v>
      </c>
      <c r="S1074">
        <f t="shared" si="1027"/>
        <v>-88.430819714107884</v>
      </c>
      <c r="T1074">
        <f t="shared" si="1028"/>
        <v>-8.8430819714107878E-2</v>
      </c>
    </row>
    <row r="1075" spans="1:20" x14ac:dyDescent="0.25">
      <c r="A1075" s="5">
        <v>43518</v>
      </c>
      <c r="B1075">
        <v>1.8249999999999999E-2</v>
      </c>
      <c r="C1075">
        <v>1.848E-2</v>
      </c>
      <c r="D1075">
        <v>1.788E-2</v>
      </c>
      <c r="E1075">
        <v>1.822E-2</v>
      </c>
      <c r="F1075">
        <v>15814370.6</v>
      </c>
      <c r="G1075">
        <v>0</v>
      </c>
      <c r="L1075" t="s">
        <v>7</v>
      </c>
      <c r="M1075" t="s">
        <v>7</v>
      </c>
      <c r="N1075" t="s">
        <v>7</v>
      </c>
      <c r="P1075">
        <f t="shared" si="1024"/>
        <v>0.13333333333333372</v>
      </c>
      <c r="Q1075">
        <f t="shared" si="1025"/>
        <v>2108582.7466666726</v>
      </c>
      <c r="R1075">
        <f t="shared" si="1026"/>
        <v>-23511682.152363122</v>
      </c>
      <c r="S1075">
        <f t="shared" si="1027"/>
        <v>-235.11682152363122</v>
      </c>
      <c r="T1075">
        <f t="shared" si="1028"/>
        <v>-0.23511682152363123</v>
      </c>
    </row>
    <row r="1076" spans="1:20" x14ac:dyDescent="0.25">
      <c r="A1076" s="5">
        <v>43517</v>
      </c>
      <c r="B1076">
        <v>1.8880000000000001E-2</v>
      </c>
      <c r="C1076">
        <v>1.8939999999999999E-2</v>
      </c>
      <c r="D1076">
        <v>1.7989999999999999E-2</v>
      </c>
      <c r="E1076">
        <v>1.8249999999999999E-2</v>
      </c>
      <c r="F1076">
        <v>21538841.399999999</v>
      </c>
      <c r="G1076">
        <v>0</v>
      </c>
      <c r="L1076" t="s">
        <v>7</v>
      </c>
      <c r="M1076" t="s">
        <v>7</v>
      </c>
      <c r="N1076" t="s">
        <v>7</v>
      </c>
      <c r="P1076">
        <f t="shared" si="1024"/>
        <v>-0.4526315789473685</v>
      </c>
      <c r="Q1076">
        <f t="shared" si="1025"/>
        <v>-9749159.7915789485</v>
      </c>
      <c r="R1076">
        <f t="shared" si="1026"/>
        <v>-25620264.899029795</v>
      </c>
      <c r="S1076">
        <f t="shared" si="1027"/>
        <v>-256.20264899029797</v>
      </c>
      <c r="T1076">
        <f t="shared" si="1028"/>
        <v>-0.25620264899029799</v>
      </c>
    </row>
    <row r="1077" spans="1:20" x14ac:dyDescent="0.25">
      <c r="A1077" s="5">
        <v>43516</v>
      </c>
      <c r="B1077">
        <v>1.8679999999999999E-2</v>
      </c>
      <c r="C1077">
        <v>1.9539999999999998E-2</v>
      </c>
      <c r="D1077">
        <v>1.796E-2</v>
      </c>
      <c r="E1077">
        <v>1.8880000000000001E-2</v>
      </c>
      <c r="F1077">
        <v>39748493.600000001</v>
      </c>
      <c r="G1077">
        <v>0</v>
      </c>
      <c r="L1077" t="s">
        <v>7</v>
      </c>
      <c r="M1077" t="s">
        <v>7</v>
      </c>
      <c r="N1077" t="s">
        <v>7</v>
      </c>
      <c r="P1077">
        <f t="shared" si="1024"/>
        <v>0.16455696202531875</v>
      </c>
      <c r="Q1077">
        <f t="shared" si="1025"/>
        <v>6540891.3518988257</v>
      </c>
      <c r="R1077">
        <f t="shared" si="1026"/>
        <v>-15871105.107450847</v>
      </c>
      <c r="S1077">
        <f t="shared" si="1027"/>
        <v>-158.71105107450848</v>
      </c>
      <c r="T1077">
        <f t="shared" si="1028"/>
        <v>-0.15871105107450847</v>
      </c>
    </row>
    <row r="1078" spans="1:20" x14ac:dyDescent="0.25">
      <c r="A1078" s="5">
        <v>43515</v>
      </c>
      <c r="B1078">
        <v>1.95E-2</v>
      </c>
      <c r="C1078">
        <v>1.9560000000000001E-2</v>
      </c>
      <c r="D1078">
        <v>1.8329999999999999E-2</v>
      </c>
      <c r="E1078">
        <v>1.8679999999999999E-2</v>
      </c>
      <c r="F1078">
        <v>52012746.5</v>
      </c>
      <c r="G1078">
        <v>0</v>
      </c>
      <c r="P1078">
        <f t="shared" si="1024"/>
        <v>-0.43089430894309094</v>
      </c>
      <c r="Q1078">
        <f t="shared" si="1025"/>
        <v>-22411996.459349673</v>
      </c>
      <c r="R1078">
        <f t="shared" si="1026"/>
        <v>-22411996.459349673</v>
      </c>
      <c r="S1078">
        <f t="shared" si="1027"/>
        <v>-224.11996459349675</v>
      </c>
      <c r="T1078">
        <f t="shared" si="1028"/>
        <v>-0.22411996459349676</v>
      </c>
    </row>
    <row r="1079" spans="1:20" x14ac:dyDescent="0.25">
      <c r="A1079" s="5"/>
      <c r="C1079"/>
      <c r="D1079"/>
    </row>
    <row r="1080" spans="1:20" x14ac:dyDescent="0.25">
      <c r="A1080" s="5"/>
      <c r="C1080"/>
      <c r="D1080"/>
    </row>
    <row r="1081" spans="1:20" x14ac:dyDescent="0.25">
      <c r="A1081" s="5"/>
      <c r="C1081"/>
      <c r="D1081"/>
    </row>
    <row r="1082" spans="1:20" x14ac:dyDescent="0.25">
      <c r="A1082" s="5"/>
      <c r="C1082"/>
      <c r="D1082"/>
    </row>
    <row r="1083" spans="1:20" x14ac:dyDescent="0.25">
      <c r="A1083" s="5"/>
      <c r="C1083"/>
      <c r="D1083"/>
    </row>
    <row r="1084" spans="1:20" x14ac:dyDescent="0.25">
      <c r="A1084" s="5"/>
      <c r="C1084"/>
      <c r="D1084"/>
    </row>
    <row r="1085" spans="1:20" x14ac:dyDescent="0.25">
      <c r="A1085" s="5"/>
      <c r="C1085"/>
      <c r="D1085"/>
    </row>
    <row r="1086" spans="1:20" x14ac:dyDescent="0.25">
      <c r="A1086" s="5"/>
      <c r="C1086"/>
      <c r="D1086"/>
    </row>
    <row r="1087" spans="1:20" x14ac:dyDescent="0.25">
      <c r="A1087" s="5"/>
      <c r="C1087"/>
      <c r="D1087"/>
    </row>
    <row r="1088" spans="1:20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RX745" sqref="RX745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$A$744</v>
      </c>
      <c r="D111" s="1" t="str">
        <f>ADDRESS(C121-1,D121,1,1)</f>
        <v>$RX$744</v>
      </c>
      <c r="E111"/>
    </row>
    <row r="112" spans="1:5" x14ac:dyDescent="0.25">
      <c r="A112" s="7">
        <v>12164.144957890772</v>
      </c>
      <c r="C112" s="1" t="str">
        <f>ADDRESS(C121,1,1,1)</f>
        <v>$A$745</v>
      </c>
      <c r="D112" s="1" t="str">
        <f>ADDRESS(C121,D121-1,1,1)</f>
        <v>$RW$745</v>
      </c>
      <c r="E112"/>
    </row>
    <row r="113" spans="1:5" x14ac:dyDescent="0.25">
      <c r="A113" s="7">
        <v>11925.63231165762</v>
      </c>
      <c r="C113" s="1" t="str">
        <f>ADDRESS(C121+1,1,1,1)</f>
        <v>$A$746</v>
      </c>
      <c r="D113" s="1" t="str">
        <f>ADDRESS(C121-1,D121+1,1,1)</f>
        <v>$RY$744</v>
      </c>
    </row>
    <row r="114" spans="1:5" x14ac:dyDescent="0.25">
      <c r="A114" s="7">
        <v>11691.796383978059</v>
      </c>
      <c r="C114" s="1" t="str">
        <f>ADDRESS(C121,D121,1,1)</f>
        <v>$RX$745</v>
      </c>
      <c r="D114" s="1" t="str">
        <f>ADDRESS(C121+1,D121+1,1,1)</f>
        <v>$RY$746</v>
      </c>
    </row>
    <row r="115" spans="1:5" x14ac:dyDescent="0.25">
      <c r="A115" s="7">
        <v>11462.545474488292</v>
      </c>
      <c r="C115" s="1" t="str">
        <f>ADDRESS(C121+1,D121,1,1)</f>
        <v>$RX$746</v>
      </c>
    </row>
    <row r="116" spans="1:5" x14ac:dyDescent="0.25">
      <c r="A116" s="7">
        <v>11237.789680870874</v>
      </c>
      <c r="C116" s="1">
        <f>C117-1</f>
        <v>744</v>
      </c>
    </row>
    <row r="117" spans="1:5" x14ac:dyDescent="0.25">
      <c r="A117" s="7">
        <v>11017.440863598895</v>
      </c>
      <c r="C117" s="1">
        <f>C121</f>
        <v>745</v>
      </c>
      <c r="D117" s="1">
        <f>D121</f>
        <v>492</v>
      </c>
    </row>
    <row r="118" spans="1:5" x14ac:dyDescent="0.25">
      <c r="A118" s="7">
        <v>10801.412611371465</v>
      </c>
      <c r="C118" s="1">
        <f>C117+1</f>
        <v>746</v>
      </c>
      <c r="D118" s="1">
        <f>D117+1</f>
        <v>493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745</v>
      </c>
      <c r="D121" s="19">
        <v>492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R745</v>
      </c>
      <c r="D123" s="1" t="str">
        <f>"C"&amp;D121</f>
        <v>C492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4.3769628612378868E-2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6" x14ac:dyDescent="0.25">
      <c r="A593" s="7">
        <v>0.8879713821861922</v>
      </c>
      <c r="B593"/>
      <c r="C593"/>
      <c r="D593"/>
      <c r="E593"/>
      <c r="F593" s="27" t="s">
        <v>7</v>
      </c>
    </row>
    <row r="594" spans="1:6" x14ac:dyDescent="0.25">
      <c r="A594" s="7">
        <v>0.87056017861391399</v>
      </c>
      <c r="B594"/>
      <c r="C594"/>
      <c r="D594"/>
      <c r="E594"/>
      <c r="F594" s="27" t="s">
        <v>7</v>
      </c>
    </row>
    <row r="595" spans="1:6" x14ac:dyDescent="0.25">
      <c r="A595" s="7">
        <v>0.85349037119011173</v>
      </c>
      <c r="B595"/>
      <c r="C595"/>
      <c r="D595"/>
      <c r="E595"/>
      <c r="F595" s="27" t="s">
        <v>7</v>
      </c>
    </row>
    <row r="596" spans="1:6" x14ac:dyDescent="0.25">
      <c r="A596" s="7">
        <v>0.83675526587265858</v>
      </c>
      <c r="B596"/>
      <c r="C596"/>
      <c r="D596"/>
      <c r="E596"/>
      <c r="F596" s="27" t="s">
        <v>7</v>
      </c>
    </row>
    <row r="597" spans="1:6" x14ac:dyDescent="0.25">
      <c r="A597" s="7">
        <v>0.82034829987515545</v>
      </c>
      <c r="B597"/>
      <c r="C597"/>
      <c r="D597"/>
      <c r="E597"/>
      <c r="F597" s="27" t="s">
        <v>7</v>
      </c>
    </row>
    <row r="598" spans="1:6" x14ac:dyDescent="0.25">
      <c r="A598" s="7">
        <v>0.80426303909328967</v>
      </c>
      <c r="B598"/>
      <c r="C598"/>
      <c r="D598"/>
      <c r="E598"/>
      <c r="F598" s="27" t="s">
        <v>7</v>
      </c>
    </row>
    <row r="599" spans="1:6" x14ac:dyDescent="0.25">
      <c r="A599" s="7">
        <v>0.78849317558165644</v>
      </c>
      <c r="B599"/>
      <c r="C599"/>
      <c r="D599"/>
      <c r="E599"/>
      <c r="F599" s="27" t="s">
        <v>7</v>
      </c>
    </row>
    <row r="600" spans="1:6" x14ac:dyDescent="0.25">
      <c r="A600" s="7">
        <v>0.77303252508005538</v>
      </c>
      <c r="B600"/>
      <c r="C600"/>
      <c r="D600"/>
      <c r="E600"/>
      <c r="F600" s="27" t="s">
        <v>7</v>
      </c>
    </row>
    <row r="601" spans="1:6" x14ac:dyDescent="0.25">
      <c r="A601" s="7">
        <v>0.75787502458828959</v>
      </c>
      <c r="B601"/>
      <c r="C601"/>
      <c r="D601"/>
      <c r="E601"/>
      <c r="F601" s="27" t="s">
        <v>7</v>
      </c>
    </row>
    <row r="602" spans="1:6" x14ac:dyDescent="0.25">
      <c r="A602" s="7">
        <v>0.74301472998851925</v>
      </c>
      <c r="B602"/>
      <c r="C602"/>
      <c r="D602"/>
      <c r="E602"/>
      <c r="F602" s="27" t="s">
        <v>7</v>
      </c>
    </row>
    <row r="603" spans="1:6" x14ac:dyDescent="0.25">
      <c r="A603" s="7">
        <v>0.72844581371423456</v>
      </c>
      <c r="B603"/>
      <c r="C603"/>
      <c r="D603"/>
      <c r="E603"/>
      <c r="F603" s="27" t="s">
        <v>7</v>
      </c>
    </row>
    <row r="604" spans="1:6" x14ac:dyDescent="0.25">
      <c r="A604" s="7">
        <v>0.71416256246493581</v>
      </c>
      <c r="B604"/>
      <c r="C604"/>
      <c r="D604"/>
      <c r="E604"/>
      <c r="F604" s="27" t="s">
        <v>7</v>
      </c>
    </row>
    <row r="605" spans="1:6" x14ac:dyDescent="0.25">
      <c r="A605" s="7">
        <v>0.7001593749656233</v>
      </c>
      <c r="B605"/>
      <c r="C605"/>
      <c r="D605"/>
      <c r="E605"/>
      <c r="F605" s="27" t="s">
        <v>7</v>
      </c>
    </row>
    <row r="606" spans="1:6" x14ac:dyDescent="0.25">
      <c r="A606" s="7">
        <v>0.68643075977021883</v>
      </c>
      <c r="B606"/>
      <c r="C606"/>
      <c r="D606"/>
      <c r="E606"/>
      <c r="F606" s="27" t="s">
        <v>7</v>
      </c>
    </row>
    <row r="607" spans="1:6" x14ac:dyDescent="0.25">
      <c r="A607" s="7">
        <v>0.67297133310805768</v>
      </c>
      <c r="B607"/>
      <c r="C607"/>
      <c r="D607"/>
      <c r="E607"/>
      <c r="F607" s="27" t="s">
        <v>7</v>
      </c>
    </row>
    <row r="608" spans="1:6" x14ac:dyDescent="0.25">
      <c r="A608" s="7">
        <v>0.65977581677260566</v>
      </c>
      <c r="B608"/>
      <c r="C608"/>
      <c r="D608"/>
      <c r="E608"/>
      <c r="F608" s="27" t="s">
        <v>7</v>
      </c>
    </row>
    <row r="609" spans="1:6" x14ac:dyDescent="0.25">
      <c r="A609" s="7">
        <v>0.64683903605157422</v>
      </c>
      <c r="B609"/>
      <c r="C609"/>
      <c r="D609"/>
      <c r="E609"/>
      <c r="F609" s="27" t="s">
        <v>7</v>
      </c>
    </row>
    <row r="610" spans="1:6" x14ac:dyDescent="0.25">
      <c r="A610" s="7">
        <v>0.63415591769762181</v>
      </c>
      <c r="B610"/>
      <c r="C610"/>
      <c r="D610"/>
      <c r="E610"/>
      <c r="F610" s="27" t="s">
        <v>7</v>
      </c>
    </row>
    <row r="611" spans="1:6" x14ac:dyDescent="0.25">
      <c r="A611" s="7">
        <v>0.62172148793884496</v>
      </c>
      <c r="B611"/>
      <c r="C611"/>
      <c r="D611"/>
      <c r="E611"/>
      <c r="F611" s="27" t="s">
        <v>7</v>
      </c>
    </row>
    <row r="612" spans="1:6" x14ac:dyDescent="0.25">
      <c r="A612" s="7">
        <v>0.60953087052827937</v>
      </c>
      <c r="B612"/>
      <c r="C612"/>
      <c r="D612"/>
      <c r="E612"/>
      <c r="F612" s="27" t="s">
        <v>7</v>
      </c>
    </row>
    <row r="613" spans="1:6" x14ac:dyDescent="0.25">
      <c r="A613" s="7">
        <v>0.59757928483164646</v>
      </c>
      <c r="B613"/>
      <c r="C613"/>
      <c r="D613"/>
      <c r="E613"/>
      <c r="F613" s="27" t="s">
        <v>7</v>
      </c>
    </row>
    <row r="614" spans="1:6" x14ac:dyDescent="0.25">
      <c r="A614" s="7">
        <v>0.58586204395259456</v>
      </c>
      <c r="B614"/>
      <c r="C614"/>
      <c r="D614"/>
      <c r="E614"/>
      <c r="F614" s="27" t="s">
        <v>7</v>
      </c>
    </row>
    <row r="615" spans="1:6" x14ac:dyDescent="0.25">
      <c r="A615" s="7">
        <v>0.57437455289470052</v>
      </c>
      <c r="B615"/>
      <c r="C615"/>
      <c r="D615"/>
      <c r="E615"/>
      <c r="F615" s="27" t="s">
        <v>7</v>
      </c>
    </row>
    <row r="616" spans="1:6" x14ac:dyDescent="0.25">
      <c r="A616" s="7">
        <v>0.56311230675951029</v>
      </c>
      <c r="B616"/>
      <c r="C616"/>
      <c r="D616"/>
      <c r="E616"/>
      <c r="F616" s="27" t="s">
        <v>7</v>
      </c>
    </row>
    <row r="617" spans="1:6" x14ac:dyDescent="0.25">
      <c r="A617" s="7">
        <v>0.55207088897991208</v>
      </c>
      <c r="B617"/>
      <c r="C617"/>
      <c r="D617"/>
      <c r="E617"/>
      <c r="F617" s="27" t="s">
        <v>7</v>
      </c>
    </row>
    <row r="618" spans="1:6" x14ac:dyDescent="0.25">
      <c r="A618" s="7">
        <v>0.54124596958814908</v>
      </c>
      <c r="B618"/>
      <c r="C618"/>
      <c r="D618"/>
      <c r="E618"/>
      <c r="F618" s="27" t="s">
        <v>7</v>
      </c>
    </row>
    <row r="619" spans="1:6" x14ac:dyDescent="0.25">
      <c r="A619" s="7">
        <v>0.53063330351779314</v>
      </c>
      <c r="B619"/>
      <c r="C619"/>
      <c r="D619"/>
      <c r="E619"/>
      <c r="F619" s="27" t="s">
        <v>7</v>
      </c>
    </row>
    <row r="620" spans="1:6" x14ac:dyDescent="0.25">
      <c r="A620" s="7">
        <v>0.52022872893901284</v>
      </c>
      <c r="B620"/>
      <c r="C620"/>
      <c r="D620"/>
      <c r="E620"/>
      <c r="F620" s="27" t="s">
        <v>7</v>
      </c>
    </row>
    <row r="621" spans="1:6" x14ac:dyDescent="0.25">
      <c r="A621" s="7">
        <v>0.51002816562648323</v>
      </c>
      <c r="B621"/>
      <c r="C621"/>
      <c r="D621"/>
      <c r="E621"/>
      <c r="F621" s="27" t="s">
        <v>7</v>
      </c>
    </row>
    <row r="622" spans="1:6" x14ac:dyDescent="0.25">
      <c r="A622" s="7">
        <v>0.50002761335929735</v>
      </c>
      <c r="B622"/>
      <c r="C622"/>
      <c r="D622"/>
      <c r="E622"/>
      <c r="F622" s="27" t="s">
        <v>7</v>
      </c>
    </row>
    <row r="623" spans="1:6" x14ac:dyDescent="0.25">
      <c r="A623" s="7">
        <v>0.49022315035225228</v>
      </c>
      <c r="B623"/>
      <c r="C623"/>
      <c r="D623"/>
      <c r="E623"/>
      <c r="F623" s="27" t="s">
        <v>7</v>
      </c>
    </row>
    <row r="624" spans="1:6" x14ac:dyDescent="0.25">
      <c r="A624" s="7">
        <v>0.48061093171789437</v>
      </c>
      <c r="B624"/>
      <c r="C624"/>
      <c r="D624"/>
      <c r="E624"/>
      <c r="F624" s="27" t="s">
        <v>7</v>
      </c>
    </row>
    <row r="625" spans="1:6" x14ac:dyDescent="0.25">
      <c r="A625" s="7">
        <v>0.47118718795871994</v>
      </c>
      <c r="B625"/>
      <c r="C625"/>
      <c r="D625"/>
      <c r="E625"/>
      <c r="F625" s="27" t="s">
        <v>7</v>
      </c>
    </row>
    <row r="626" spans="1:6" x14ac:dyDescent="0.25">
      <c r="A626" s="7">
        <v>0.46194822348894116</v>
      </c>
      <c r="B626"/>
      <c r="C626"/>
      <c r="D626"/>
      <c r="E626"/>
      <c r="F626" s="27" t="s">
        <v>7</v>
      </c>
    </row>
    <row r="627" spans="1:6" x14ac:dyDescent="0.25">
      <c r="A627" s="7">
        <v>0.45289041518523643</v>
      </c>
      <c r="B627"/>
      <c r="C627"/>
      <c r="D627"/>
      <c r="E627"/>
      <c r="F627" s="27" t="s">
        <v>7</v>
      </c>
    </row>
    <row r="628" spans="1:6" x14ac:dyDescent="0.25">
      <c r="A628" s="7">
        <v>0.44401021096591808</v>
      </c>
      <c r="B628"/>
      <c r="C628"/>
      <c r="D628"/>
      <c r="E628"/>
      <c r="F628" s="27" t="s">
        <v>7</v>
      </c>
    </row>
    <row r="629" spans="1:6" x14ac:dyDescent="0.25">
      <c r="A629" s="7">
        <v>0.4353041283979589</v>
      </c>
      <c r="B629"/>
      <c r="C629"/>
      <c r="D629"/>
      <c r="E629"/>
      <c r="F629" s="27" t="s">
        <v>7</v>
      </c>
    </row>
    <row r="630" spans="1:6" x14ac:dyDescent="0.25">
      <c r="A630" s="7">
        <v>0.4267687533313323</v>
      </c>
      <c r="B630"/>
      <c r="C630"/>
      <c r="D630"/>
      <c r="E630"/>
      <c r="F630" s="27" t="s">
        <v>7</v>
      </c>
    </row>
    <row r="631" spans="1:6" x14ac:dyDescent="0.25">
      <c r="A631" s="7">
        <v>0.41840073856012971</v>
      </c>
      <c r="B631"/>
      <c r="C631"/>
      <c r="D631"/>
      <c r="E631"/>
      <c r="F631" s="27" t="s">
        <v>7</v>
      </c>
    </row>
    <row r="632" spans="1:6" x14ac:dyDescent="0.25">
      <c r="A632" s="7">
        <v>0.41019680250993112</v>
      </c>
      <c r="B632"/>
      <c r="C632"/>
      <c r="D632"/>
      <c r="E632"/>
      <c r="F632" s="27" t="s">
        <v>7</v>
      </c>
    </row>
    <row r="633" spans="1:6" x14ac:dyDescent="0.25">
      <c r="A633" s="7">
        <v>0.40215372795091286</v>
      </c>
      <c r="B633"/>
      <c r="C633"/>
      <c r="D633"/>
      <c r="E633"/>
      <c r="F633" s="27" t="s">
        <v>7</v>
      </c>
    </row>
    <row r="634" spans="1:6" x14ac:dyDescent="0.25">
      <c r="A634" s="7">
        <v>0.39426836073618904</v>
      </c>
      <c r="B634"/>
      <c r="C634"/>
      <c r="D634"/>
      <c r="E634"/>
      <c r="F634" s="27" t="s">
        <v>7</v>
      </c>
    </row>
    <row r="635" spans="1:6" x14ac:dyDescent="0.25">
      <c r="A635" s="7">
        <v>0.38653760856489122</v>
      </c>
      <c r="B635"/>
      <c r="C635"/>
      <c r="D635"/>
      <c r="E635"/>
      <c r="F635" s="27" t="s">
        <v>7</v>
      </c>
    </row>
    <row r="636" spans="1:6" x14ac:dyDescent="0.25">
      <c r="A636" s="7">
        <v>0.37895843976950117</v>
      </c>
      <c r="B636"/>
      <c r="C636"/>
      <c r="D636"/>
      <c r="E636"/>
      <c r="F636" s="27" t="s">
        <v>7</v>
      </c>
    </row>
    <row r="637" spans="1:6" x14ac:dyDescent="0.25">
      <c r="A637" s="7">
        <v>0.37152788212696197</v>
      </c>
      <c r="B637"/>
      <c r="C637"/>
      <c r="D637"/>
      <c r="E637"/>
      <c r="F637" s="27" t="s">
        <v>7</v>
      </c>
    </row>
    <row r="638" spans="1:6" x14ac:dyDescent="0.25">
      <c r="A638" s="7">
        <v>0.36424302169310002</v>
      </c>
      <c r="B638"/>
      <c r="C638"/>
      <c r="D638"/>
      <c r="E638"/>
      <c r="F638" s="27" t="s">
        <v>7</v>
      </c>
    </row>
    <row r="639" spans="1:6" x14ac:dyDescent="0.25">
      <c r="A639" s="7">
        <v>0.35710100165990194</v>
      </c>
      <c r="B639"/>
      <c r="C639"/>
      <c r="D639"/>
      <c r="E639"/>
      <c r="F639" s="27" t="s">
        <v>7</v>
      </c>
    </row>
    <row r="640" spans="1:6" x14ac:dyDescent="0.25">
      <c r="A640" s="7">
        <v>0.35009902123519804</v>
      </c>
      <c r="B640"/>
      <c r="C640"/>
      <c r="D640"/>
      <c r="E640"/>
      <c r="F640" s="27" t="s">
        <v>7</v>
      </c>
    </row>
    <row r="641" spans="1:369" x14ac:dyDescent="0.25">
      <c r="A641" s="7">
        <v>0.34323433454431179</v>
      </c>
      <c r="B641"/>
      <c r="C641"/>
      <c r="D641"/>
      <c r="E641"/>
      <c r="F641" s="27" t="s">
        <v>7</v>
      </c>
    </row>
    <row r="642" spans="1:369" x14ac:dyDescent="0.25">
      <c r="A642" s="7">
        <v>0.33650424955324681</v>
      </c>
      <c r="B642"/>
      <c r="C642"/>
      <c r="D642"/>
      <c r="E642"/>
      <c r="F642" s="27" t="s">
        <v>7</v>
      </c>
    </row>
    <row r="643" spans="1:369" x14ac:dyDescent="0.25">
      <c r="A643" s="7">
        <v>0.3299061270129871</v>
      </c>
      <c r="B643"/>
      <c r="C643"/>
      <c r="D643"/>
      <c r="E643"/>
      <c r="F643" s="27" t="s">
        <v>7</v>
      </c>
    </row>
    <row r="644" spans="1:369" x14ac:dyDescent="0.25">
      <c r="A644" s="7">
        <v>0.32343737942449713</v>
      </c>
      <c r="B644"/>
      <c r="C644"/>
      <c r="D644"/>
      <c r="E644"/>
      <c r="F644" s="27" t="s">
        <v>7</v>
      </c>
    </row>
    <row r="645" spans="1:369" x14ac:dyDescent="0.25">
      <c r="A645" s="7">
        <v>0.31709547002401678</v>
      </c>
      <c r="B645"/>
      <c r="C645"/>
      <c r="D645"/>
      <c r="E645"/>
      <c r="F645" s="27" t="s">
        <v>7</v>
      </c>
    </row>
    <row r="646" spans="1:369" x14ac:dyDescent="0.25">
      <c r="A646" s="7">
        <v>0.31087791178825175</v>
      </c>
      <c r="B646"/>
      <c r="C646"/>
      <c r="D646"/>
      <c r="E646"/>
      <c r="F646" s="27" t="s">
        <v>7</v>
      </c>
    </row>
    <row r="647" spans="1:369" x14ac:dyDescent="0.25">
      <c r="A647" s="7">
        <v>0.30478226645907036</v>
      </c>
      <c r="B647"/>
      <c r="C647"/>
      <c r="D647"/>
      <c r="E647"/>
      <c r="F647" s="27" t="s">
        <v>7</v>
      </c>
    </row>
    <row r="648" spans="1:369" x14ac:dyDescent="0.25">
      <c r="A648" s="7">
        <v>0.29880614358732388</v>
      </c>
      <c r="B648"/>
      <c r="C648"/>
      <c r="D648"/>
      <c r="E648"/>
      <c r="F648" s="27" t="s">
        <v>7</v>
      </c>
    </row>
    <row r="649" spans="1:369" x14ac:dyDescent="0.25">
      <c r="A649" s="7">
        <v>0.2929471995954156</v>
      </c>
      <c r="B649"/>
      <c r="C649"/>
      <c r="D649"/>
      <c r="E649"/>
      <c r="F649" s="27" t="s">
        <v>7</v>
      </c>
    </row>
    <row r="650" spans="1:369" x14ac:dyDescent="0.25">
      <c r="A650" s="7">
        <v>0.28720313685825055</v>
      </c>
      <c r="B650"/>
      <c r="C650"/>
      <c r="D650"/>
      <c r="E650"/>
      <c r="F650" s="27" t="s">
        <v>7</v>
      </c>
    </row>
    <row r="651" spans="1:369" x14ac:dyDescent="0.25">
      <c r="A651" s="7">
        <v>0.28157170280220645</v>
      </c>
      <c r="B651"/>
      <c r="C651"/>
      <c r="D651"/>
      <c r="E651"/>
      <c r="F651" s="27" t="s">
        <v>7</v>
      </c>
    </row>
    <row r="652" spans="1:369" x14ac:dyDescent="0.25">
      <c r="A652" s="7">
        <v>0.27605068902177105</v>
      </c>
      <c r="B652"/>
      <c r="C652"/>
      <c r="D652"/>
      <c r="E652"/>
      <c r="F652" s="27" t="s">
        <v>7</v>
      </c>
    </row>
    <row r="653" spans="1:369" x14ac:dyDescent="0.25">
      <c r="A653" s="7">
        <v>0.27063793041350104</v>
      </c>
      <c r="B653"/>
      <c r="C653"/>
      <c r="D653"/>
      <c r="E653"/>
      <c r="F653" s="27" t="s">
        <v>7</v>
      </c>
    </row>
    <row r="654" spans="1:369" x14ac:dyDescent="0.25">
      <c r="A654" s="7">
        <v>0.26533130432696184</v>
      </c>
      <c r="B654"/>
      <c r="C654"/>
      <c r="D654"/>
      <c r="E654"/>
      <c r="F654" s="27" t="s">
        <v>7</v>
      </c>
    </row>
    <row r="655" spans="1:369" x14ac:dyDescent="0.25">
      <c r="A655" s="7">
        <v>0.26012872973231554</v>
      </c>
      <c r="B655"/>
      <c r="C655"/>
      <c r="D655"/>
      <c r="E655"/>
      <c r="F655" s="27" t="s">
        <v>7</v>
      </c>
    </row>
    <row r="656" spans="1:369" x14ac:dyDescent="0.25">
      <c r="A656" s="7">
        <v>0.25502816640423093</v>
      </c>
      <c r="B656"/>
      <c r="C656"/>
      <c r="D656"/>
      <c r="E656"/>
      <c r="F656" s="27" t="s">
        <v>7</v>
      </c>
      <c r="NE656" s="27" t="s">
        <v>8</v>
      </c>
    </row>
    <row r="657" spans="1:377" x14ac:dyDescent="0.25">
      <c r="A657" s="7">
        <v>0.25002761412179503</v>
      </c>
      <c r="B657"/>
      <c r="C657"/>
      <c r="D657"/>
      <c r="E657"/>
      <c r="F657" s="27" t="s">
        <v>7</v>
      </c>
      <c r="MQ657" s="27" t="s">
        <v>8</v>
      </c>
      <c r="NE657" s="27" t="s">
        <v>8</v>
      </c>
      <c r="NF657" s="27" t="s">
        <v>7</v>
      </c>
    </row>
    <row r="658" spans="1:377" x14ac:dyDescent="0.25">
      <c r="A658" s="7">
        <v>0.24512511188411276</v>
      </c>
      <c r="B658"/>
      <c r="C658"/>
      <c r="D658"/>
      <c r="E658"/>
      <c r="F658" s="27" t="s">
        <v>7</v>
      </c>
      <c r="MQ658" s="27" t="s">
        <v>8</v>
      </c>
      <c r="MR658" s="27" t="s">
        <v>7</v>
      </c>
      <c r="NE658" s="27" t="s">
        <v>8</v>
      </c>
      <c r="NF658" s="27" t="s">
        <v>7</v>
      </c>
    </row>
    <row r="659" spans="1:377" x14ac:dyDescent="0.25">
      <c r="A659" s="7">
        <v>0.24031873714128701</v>
      </c>
      <c r="B659"/>
      <c r="C659"/>
      <c r="D659"/>
      <c r="E659"/>
      <c r="F659" s="27" t="s">
        <v>7</v>
      </c>
      <c r="MQ659" s="27" t="s">
        <v>8</v>
      </c>
      <c r="MR659" s="27" t="s">
        <v>7</v>
      </c>
      <c r="NE659" s="27" t="s">
        <v>8</v>
      </c>
      <c r="NF659" s="27" t="s">
        <v>7</v>
      </c>
      <c r="NG659" s="27" t="s">
        <v>8</v>
      </c>
    </row>
    <row r="660" spans="1:377" x14ac:dyDescent="0.25">
      <c r="A660" s="7">
        <v>0.23560660504047748</v>
      </c>
      <c r="B660"/>
      <c r="C660"/>
      <c r="D660"/>
      <c r="E660"/>
      <c r="F660" s="27" t="s">
        <v>7</v>
      </c>
      <c r="MQ660" s="27" t="s">
        <v>8</v>
      </c>
      <c r="MR660" s="27" t="s">
        <v>7</v>
      </c>
      <c r="NE660" s="27" t="s">
        <v>8</v>
      </c>
      <c r="NF660" s="27" t="s">
        <v>7</v>
      </c>
      <c r="NG660" s="27" t="s">
        <v>8</v>
      </c>
      <c r="NH660" s="27" t="s">
        <v>7</v>
      </c>
    </row>
    <row r="661" spans="1:377" x14ac:dyDescent="0.25">
      <c r="A661" s="7">
        <v>0.23098686768674265</v>
      </c>
      <c r="B661"/>
      <c r="C661"/>
      <c r="D661"/>
      <c r="E661"/>
      <c r="F661" s="27" t="s">
        <v>7</v>
      </c>
      <c r="MQ661" s="27" t="s">
        <v>8</v>
      </c>
      <c r="MR661" s="27" t="s">
        <v>7</v>
      </c>
      <c r="NE661" s="27" t="s">
        <v>8</v>
      </c>
      <c r="NF661" s="27" t="s">
        <v>7</v>
      </c>
      <c r="NG661" s="27" t="s">
        <v>8</v>
      </c>
      <c r="NH661" s="27" t="s">
        <v>7</v>
      </c>
    </row>
    <row r="662" spans="1:377" x14ac:dyDescent="0.25">
      <c r="A662" s="7">
        <v>0.22645771341837515</v>
      </c>
      <c r="B662"/>
      <c r="C662"/>
      <c r="D662"/>
      <c r="E662"/>
      <c r="F662" s="27" t="s">
        <v>7</v>
      </c>
      <c r="MK662" s="27" t="s">
        <v>8</v>
      </c>
      <c r="MQ662" s="27" t="s">
        <v>8</v>
      </c>
      <c r="MR662" s="27" t="s">
        <v>7</v>
      </c>
      <c r="NE662" s="27" t="s">
        <v>8</v>
      </c>
      <c r="NF662" s="27" t="s">
        <v>7</v>
      </c>
      <c r="NG662" s="27" t="s">
        <v>8</v>
      </c>
      <c r="NH662" s="27" t="s">
        <v>7</v>
      </c>
    </row>
    <row r="663" spans="1:377" x14ac:dyDescent="0.25">
      <c r="A663" s="7">
        <v>0.22201736609644623</v>
      </c>
      <c r="B663"/>
      <c r="C663"/>
      <c r="D663"/>
      <c r="E663"/>
      <c r="F663" s="27" t="s">
        <v>7</v>
      </c>
      <c r="MK663" s="27" t="s">
        <v>8</v>
      </c>
      <c r="ML663" s="27" t="s">
        <v>7</v>
      </c>
      <c r="MQ663" s="27" t="s">
        <v>8</v>
      </c>
      <c r="MR663" s="27" t="s">
        <v>7</v>
      </c>
      <c r="MY663" s="27" t="s">
        <v>8</v>
      </c>
      <c r="NC663" s="27" t="s">
        <v>8</v>
      </c>
      <c r="NE663" s="27" t="s">
        <v>8</v>
      </c>
      <c r="NF663" s="27" t="s">
        <v>7</v>
      </c>
      <c r="NH663" s="27" t="s">
        <v>7</v>
      </c>
      <c r="NI663" s="27" t="s">
        <v>8</v>
      </c>
    </row>
    <row r="664" spans="1:377" x14ac:dyDescent="0.25">
      <c r="A664" s="7">
        <v>0.21766408440828061</v>
      </c>
      <c r="B664"/>
      <c r="C664"/>
      <c r="D664"/>
      <c r="E664"/>
      <c r="F664" s="27" t="s">
        <v>7</v>
      </c>
      <c r="MK664" s="27" t="s">
        <v>8</v>
      </c>
      <c r="ML664" s="27" t="s">
        <v>7</v>
      </c>
      <c r="MM664" s="27" t="s">
        <v>8</v>
      </c>
      <c r="MQ664" s="27" t="s">
        <v>8</v>
      </c>
      <c r="MR664" s="27" t="s">
        <v>7</v>
      </c>
      <c r="MY664" s="27" t="s">
        <v>8</v>
      </c>
      <c r="MZ664" s="27" t="s">
        <v>7</v>
      </c>
      <c r="NC664" s="27" t="s">
        <v>8</v>
      </c>
      <c r="ND664" s="27" t="s">
        <v>7</v>
      </c>
      <c r="NE664" s="27" t="s">
        <v>8</v>
      </c>
      <c r="NH664" s="27" t="s">
        <v>7</v>
      </c>
      <c r="NI664" s="27" t="s">
        <v>8</v>
      </c>
      <c r="NJ664" s="27" t="s">
        <v>7</v>
      </c>
    </row>
    <row r="665" spans="1:377" x14ac:dyDescent="0.25">
      <c r="A665" s="7">
        <v>0.21339616118458882</v>
      </c>
      <c r="B665"/>
      <c r="C665"/>
      <c r="D665"/>
      <c r="E665"/>
      <c r="F665" s="27" t="s">
        <v>7</v>
      </c>
      <c r="MI665" s="27" t="s">
        <v>8</v>
      </c>
      <c r="MK665" s="27" t="s">
        <v>8</v>
      </c>
      <c r="ML665" s="27" t="s">
        <v>7</v>
      </c>
      <c r="MM665" s="27" t="s">
        <v>8</v>
      </c>
      <c r="MN665" s="27" t="s">
        <v>7</v>
      </c>
      <c r="MQ665" s="27" t="s">
        <v>8</v>
      </c>
      <c r="MR665" s="27" t="s">
        <v>7</v>
      </c>
      <c r="MY665" s="27" t="s">
        <v>8</v>
      </c>
      <c r="MZ665" s="27" t="s">
        <v>7</v>
      </c>
      <c r="NA665" s="27" t="s">
        <v>8</v>
      </c>
      <c r="NC665" s="27" t="s">
        <v>8</v>
      </c>
      <c r="ND665" s="27" t="s">
        <v>7</v>
      </c>
      <c r="NE665" s="27" t="s">
        <v>8</v>
      </c>
      <c r="NH665" s="27" t="s">
        <v>7</v>
      </c>
      <c r="NI665" s="27" t="s">
        <v>8</v>
      </c>
      <c r="NJ665" s="27" t="s">
        <v>7</v>
      </c>
    </row>
    <row r="666" spans="1:377" x14ac:dyDescent="0.25">
      <c r="A666" s="7">
        <v>0.20921192272998904</v>
      </c>
      <c r="B666"/>
      <c r="C666"/>
      <c r="D666"/>
      <c r="E666"/>
      <c r="F666" s="27" t="s">
        <v>7</v>
      </c>
      <c r="MI666" s="27" t="s">
        <v>8</v>
      </c>
      <c r="MJ666" s="27" t="s">
        <v>7</v>
      </c>
      <c r="MK666" s="27" t="s">
        <v>8</v>
      </c>
      <c r="ML666" s="27" t="s">
        <v>7</v>
      </c>
      <c r="MM666" s="27" t="s">
        <v>8</v>
      </c>
      <c r="MN666" s="27" t="s">
        <v>7</v>
      </c>
      <c r="MQ666" s="27" t="s">
        <v>8</v>
      </c>
      <c r="MR666" s="27" t="s">
        <v>7</v>
      </c>
      <c r="MY666" s="27" t="s">
        <v>8</v>
      </c>
      <c r="MZ666" s="27" t="s">
        <v>7</v>
      </c>
      <c r="NA666" s="27" t="s">
        <v>8</v>
      </c>
      <c r="NB666" s="27" t="s">
        <v>7</v>
      </c>
      <c r="NC666" s="27" t="s">
        <v>8</v>
      </c>
      <c r="ND666" s="27" t="s">
        <v>7</v>
      </c>
      <c r="NE666" s="27" t="s">
        <v>8</v>
      </c>
      <c r="NH666" s="27" t="s">
        <v>7</v>
      </c>
      <c r="NI666" s="27" t="s">
        <v>8</v>
      </c>
      <c r="NJ666" s="27" t="s">
        <v>7</v>
      </c>
    </row>
    <row r="667" spans="1:377" x14ac:dyDescent="0.25">
      <c r="A667" s="7">
        <v>0.20510972816665593</v>
      </c>
      <c r="B667"/>
      <c r="C667"/>
      <c r="D667"/>
      <c r="E667"/>
      <c r="F667" s="27" t="s">
        <v>7</v>
      </c>
      <c r="MI667" s="27" t="s">
        <v>8</v>
      </c>
      <c r="MJ667" s="27" t="s">
        <v>7</v>
      </c>
      <c r="MK667" s="27" t="s">
        <v>8</v>
      </c>
      <c r="ML667" s="27" t="s">
        <v>7</v>
      </c>
      <c r="MM667" s="27" t="s">
        <v>8</v>
      </c>
      <c r="MN667" s="27" t="s">
        <v>7</v>
      </c>
      <c r="MO667" s="27" t="s">
        <v>8</v>
      </c>
      <c r="MQ667" s="27" t="s">
        <v>8</v>
      </c>
      <c r="MR667" s="27" t="s">
        <v>7</v>
      </c>
      <c r="MS667" s="27" t="s">
        <v>8</v>
      </c>
      <c r="MY667" s="27" t="s">
        <v>8</v>
      </c>
      <c r="MZ667" s="27" t="s">
        <v>7</v>
      </c>
      <c r="NA667" s="27" t="s">
        <v>8</v>
      </c>
      <c r="NB667" s="27" t="s">
        <v>7</v>
      </c>
      <c r="NC667" s="27" t="s">
        <v>8</v>
      </c>
      <c r="ND667" s="27" t="s">
        <v>7</v>
      </c>
      <c r="NE667" s="27" t="s">
        <v>8</v>
      </c>
      <c r="NH667" s="27" t="s">
        <v>7</v>
      </c>
      <c r="NI667" s="27" t="s">
        <v>8</v>
      </c>
      <c r="NJ667" s="27" t="s">
        <v>7</v>
      </c>
      <c r="NK667" s="27" t="s">
        <v>8</v>
      </c>
    </row>
    <row r="668" spans="1:377" x14ac:dyDescent="0.25">
      <c r="A668" s="7">
        <v>0.20108796879083912</v>
      </c>
      <c r="B668"/>
      <c r="C668"/>
      <c r="D668"/>
      <c r="E668"/>
      <c r="F668" s="27" t="s">
        <v>7</v>
      </c>
      <c r="MC668" s="27" t="s">
        <v>8</v>
      </c>
      <c r="MI668" s="27" t="s">
        <v>8</v>
      </c>
      <c r="MJ668" s="27" t="s">
        <v>7</v>
      </c>
      <c r="MK668" s="27" t="s">
        <v>8</v>
      </c>
      <c r="ML668" s="27" t="s">
        <v>7</v>
      </c>
      <c r="MM668" s="27" t="s">
        <v>8</v>
      </c>
      <c r="MN668" s="27" t="s">
        <v>7</v>
      </c>
      <c r="MO668" s="27" t="s">
        <v>8</v>
      </c>
      <c r="MP668" s="27" t="s">
        <v>7</v>
      </c>
      <c r="MQ668" s="27" t="s">
        <v>8</v>
      </c>
      <c r="MR668" s="27" t="s">
        <v>7</v>
      </c>
      <c r="MS668" s="27" t="s">
        <v>8</v>
      </c>
      <c r="MT668" s="27" t="s">
        <v>7</v>
      </c>
      <c r="MY668" s="27" t="s">
        <v>8</v>
      </c>
      <c r="MZ668" s="27" t="s">
        <v>7</v>
      </c>
      <c r="NA668" s="27" t="s">
        <v>8</v>
      </c>
      <c r="NB668" s="27" t="s">
        <v>7</v>
      </c>
      <c r="ND668" s="27" t="s">
        <v>7</v>
      </c>
      <c r="NE668" s="27" t="s">
        <v>8</v>
      </c>
      <c r="NH668" s="27" t="s">
        <v>7</v>
      </c>
      <c r="NI668" s="27" t="s">
        <v>8</v>
      </c>
      <c r="NJ668" s="27" t="s">
        <v>7</v>
      </c>
      <c r="NK668" s="27" t="s">
        <v>8</v>
      </c>
      <c r="NL668" s="27" t="s">
        <v>7</v>
      </c>
    </row>
    <row r="669" spans="1:377" x14ac:dyDescent="0.25">
      <c r="A669" s="7">
        <v>0.19714506744199917</v>
      </c>
      <c r="B669"/>
      <c r="C669"/>
      <c r="D669"/>
      <c r="E669"/>
      <c r="F669" s="27" t="s">
        <v>7</v>
      </c>
      <c r="LY669" s="27" t="s">
        <v>8</v>
      </c>
      <c r="MC669" s="27" t="s">
        <v>8</v>
      </c>
      <c r="MD669" s="27" t="s">
        <v>7</v>
      </c>
      <c r="MI669" s="27" t="s">
        <v>8</v>
      </c>
      <c r="MJ669" s="27" t="s">
        <v>7</v>
      </c>
      <c r="MK669" s="27" t="s">
        <v>8</v>
      </c>
      <c r="ML669" s="27" t="s">
        <v>7</v>
      </c>
      <c r="MM669" s="27" t="s">
        <v>8</v>
      </c>
      <c r="MN669" s="27" t="s">
        <v>7</v>
      </c>
      <c r="MO669" s="27" t="s">
        <v>8</v>
      </c>
      <c r="MP669" s="27" t="s">
        <v>7</v>
      </c>
      <c r="MQ669" s="27" t="s">
        <v>8</v>
      </c>
      <c r="MR669" s="27" t="s">
        <v>7</v>
      </c>
      <c r="MS669" s="27" t="s">
        <v>8</v>
      </c>
      <c r="MT669" s="27" t="s">
        <v>7</v>
      </c>
      <c r="MY669" s="27" t="s">
        <v>8</v>
      </c>
      <c r="MZ669" s="27" t="s">
        <v>7</v>
      </c>
      <c r="NA669" s="27" t="s">
        <v>8</v>
      </c>
      <c r="ND669" s="27" t="s">
        <v>7</v>
      </c>
      <c r="NE669" s="27" t="s">
        <v>8</v>
      </c>
      <c r="NH669" s="27" t="s">
        <v>7</v>
      </c>
      <c r="NJ669" s="27" t="s">
        <v>7</v>
      </c>
      <c r="NK669" s="27" t="s">
        <v>8</v>
      </c>
      <c r="NL669" s="27" t="s">
        <v>7</v>
      </c>
    </row>
    <row r="670" spans="1:377" x14ac:dyDescent="0.25">
      <c r="A670" s="7">
        <v>0.19327947788431293</v>
      </c>
      <c r="B670"/>
      <c r="C670"/>
      <c r="D670"/>
      <c r="E670"/>
      <c r="F670" s="27" t="s">
        <v>7</v>
      </c>
      <c r="LY670" s="27" t="s">
        <v>8</v>
      </c>
      <c r="LZ670" s="27" t="s">
        <v>7</v>
      </c>
      <c r="MC670" s="27" t="s">
        <v>8</v>
      </c>
      <c r="MD670" s="27" t="s">
        <v>7</v>
      </c>
      <c r="MI670" s="27" t="s">
        <v>8</v>
      </c>
      <c r="MJ670" s="27" t="s">
        <v>7</v>
      </c>
      <c r="MK670" s="27" t="s">
        <v>8</v>
      </c>
      <c r="ML670" s="27" t="s">
        <v>7</v>
      </c>
      <c r="MM670" s="27" t="s">
        <v>8</v>
      </c>
      <c r="MN670" s="27" t="s">
        <v>7</v>
      </c>
      <c r="MP670" s="27" t="s">
        <v>7</v>
      </c>
      <c r="MR670" s="27" t="s">
        <v>7</v>
      </c>
      <c r="MS670" s="27" t="s">
        <v>8</v>
      </c>
      <c r="MT670" s="27" t="s">
        <v>7</v>
      </c>
      <c r="MU670" s="27" t="s">
        <v>8</v>
      </c>
      <c r="MY670" s="27" t="s">
        <v>8</v>
      </c>
      <c r="MZ670" s="27" t="s">
        <v>7</v>
      </c>
      <c r="NA670" s="27" t="s">
        <v>8</v>
      </c>
      <c r="ND670" s="27" t="s">
        <v>7</v>
      </c>
      <c r="NJ670" s="27" t="s">
        <v>7</v>
      </c>
      <c r="NK670" s="27" t="s">
        <v>8</v>
      </c>
      <c r="NL670" s="27" t="s">
        <v>7</v>
      </c>
    </row>
    <row r="671" spans="1:377" x14ac:dyDescent="0.25">
      <c r="A671" s="7">
        <v>0.18948968420030682</v>
      </c>
      <c r="B671"/>
      <c r="C671"/>
      <c r="D671"/>
      <c r="E671"/>
      <c r="F671" s="27" t="s">
        <v>7</v>
      </c>
      <c r="LY671" s="27" t="s">
        <v>8</v>
      </c>
      <c r="LZ671" s="27" t="s">
        <v>7</v>
      </c>
      <c r="MC671" s="27" t="s">
        <v>8</v>
      </c>
      <c r="MD671" s="27" t="s">
        <v>7</v>
      </c>
      <c r="MI671" s="27" t="s">
        <v>8</v>
      </c>
      <c r="MJ671" s="27" t="s">
        <v>7</v>
      </c>
      <c r="MK671" s="27" t="s">
        <v>8</v>
      </c>
      <c r="ML671" s="27" t="s">
        <v>7</v>
      </c>
      <c r="MM671" s="27" t="s">
        <v>8</v>
      </c>
      <c r="MR671" s="27" t="s">
        <v>7</v>
      </c>
      <c r="MS671" s="27" t="s">
        <v>8</v>
      </c>
      <c r="MT671" s="27" t="s">
        <v>7</v>
      </c>
      <c r="MU671" s="27" t="s">
        <v>8</v>
      </c>
      <c r="MV671" s="27" t="s">
        <v>7</v>
      </c>
      <c r="MY671" s="27" t="s">
        <v>8</v>
      </c>
      <c r="MZ671" s="27" t="s">
        <v>7</v>
      </c>
      <c r="NA671" s="27" t="s">
        <v>8</v>
      </c>
      <c r="NJ671" s="27" t="s">
        <v>7</v>
      </c>
      <c r="NK671" s="27" t="s">
        <v>8</v>
      </c>
      <c r="NL671" s="27" t="s">
        <v>7</v>
      </c>
    </row>
    <row r="672" spans="1:377" x14ac:dyDescent="0.25">
      <c r="A672" s="7">
        <v>0.18577420019637925</v>
      </c>
      <c r="B672"/>
      <c r="C672"/>
      <c r="D672"/>
      <c r="E672"/>
      <c r="F672" s="27" t="s">
        <v>7</v>
      </c>
      <c r="LY672" s="27" t="s">
        <v>8</v>
      </c>
      <c r="LZ672" s="27" t="s">
        <v>7</v>
      </c>
      <c r="MA672" s="27" t="s">
        <v>8</v>
      </c>
      <c r="MC672" s="27" t="s">
        <v>8</v>
      </c>
      <c r="MD672" s="27" t="s">
        <v>7</v>
      </c>
      <c r="MG672" s="27" t="s">
        <v>8</v>
      </c>
      <c r="MI672" s="27" t="s">
        <v>8</v>
      </c>
      <c r="MJ672" s="27" t="s">
        <v>7</v>
      </c>
      <c r="MK672" s="27" t="s">
        <v>8</v>
      </c>
      <c r="ML672" s="27" t="s">
        <v>7</v>
      </c>
      <c r="MM672" s="27" t="s">
        <v>8</v>
      </c>
      <c r="MR672" s="27" t="s">
        <v>7</v>
      </c>
      <c r="MS672" s="27" t="s">
        <v>8</v>
      </c>
      <c r="MT672" s="27" t="s">
        <v>7</v>
      </c>
      <c r="MU672" s="27" t="s">
        <v>8</v>
      </c>
      <c r="MV672" s="27" t="s">
        <v>7</v>
      </c>
      <c r="MY672" s="27" t="s">
        <v>8</v>
      </c>
      <c r="MZ672" s="27" t="s">
        <v>7</v>
      </c>
      <c r="NJ672" s="27" t="s">
        <v>7</v>
      </c>
      <c r="NK672" s="27" t="s">
        <v>8</v>
      </c>
      <c r="NL672" s="27" t="s">
        <v>7</v>
      </c>
      <c r="NM672" s="27" t="s">
        <v>8</v>
      </c>
    </row>
    <row r="673" spans="1:427" x14ac:dyDescent="0.25">
      <c r="A673" s="7">
        <v>0.18213156881997963</v>
      </c>
      <c r="B673"/>
      <c r="C673"/>
      <c r="D673"/>
      <c r="E673"/>
      <c r="F673" s="27" t="s">
        <v>7</v>
      </c>
      <c r="LY673" s="27" t="s">
        <v>8</v>
      </c>
      <c r="LZ673" s="27" t="s">
        <v>7</v>
      </c>
      <c r="MA673" s="27" t="s">
        <v>8</v>
      </c>
      <c r="MB673" s="27" t="s">
        <v>7</v>
      </c>
      <c r="MC673" s="27" t="s">
        <v>8</v>
      </c>
      <c r="MD673" s="27" t="s">
        <v>7</v>
      </c>
      <c r="ME673" s="27" t="s">
        <v>8</v>
      </c>
      <c r="MG673" s="27" t="s">
        <v>8</v>
      </c>
      <c r="MH673" s="27" t="s">
        <v>7</v>
      </c>
      <c r="MI673" s="27" t="s">
        <v>8</v>
      </c>
      <c r="MJ673" s="27" t="s">
        <v>7</v>
      </c>
      <c r="MK673" s="27" t="s">
        <v>8</v>
      </c>
      <c r="ML673" s="27" t="s">
        <v>7</v>
      </c>
      <c r="MR673" s="27" t="s">
        <v>7</v>
      </c>
      <c r="MS673" s="27" t="s">
        <v>8</v>
      </c>
      <c r="MT673" s="27" t="s">
        <v>7</v>
      </c>
      <c r="MU673" s="27" t="s">
        <v>8</v>
      </c>
      <c r="MV673" s="27" t="s">
        <v>7</v>
      </c>
      <c r="MY673" s="27" t="s">
        <v>8</v>
      </c>
      <c r="NJ673" s="27" t="s">
        <v>7</v>
      </c>
      <c r="NK673" s="27" t="s">
        <v>8</v>
      </c>
      <c r="NL673" s="27" t="s">
        <v>7</v>
      </c>
      <c r="NM673" s="27" t="s">
        <v>8</v>
      </c>
      <c r="NN673" s="27" t="s">
        <v>7</v>
      </c>
    </row>
    <row r="674" spans="1:427" x14ac:dyDescent="0.25">
      <c r="A674" s="7">
        <v>0.17856036158821534</v>
      </c>
      <c r="B674"/>
      <c r="C674"/>
      <c r="D674"/>
      <c r="E674"/>
      <c r="F674" s="27" t="s">
        <v>7</v>
      </c>
      <c r="LY674" s="27" t="s">
        <v>8</v>
      </c>
      <c r="LZ674" s="27" t="s">
        <v>7</v>
      </c>
      <c r="MA674" s="27" t="s">
        <v>8</v>
      </c>
      <c r="MB674" s="27" t="s">
        <v>7</v>
      </c>
      <c r="MC674" s="27" t="s">
        <v>8</v>
      </c>
      <c r="MD674" s="27" t="s">
        <v>7</v>
      </c>
      <c r="ME674" s="27" t="s">
        <v>8</v>
      </c>
      <c r="MF674" s="27" t="s">
        <v>7</v>
      </c>
      <c r="MG674" s="27" t="s">
        <v>8</v>
      </c>
      <c r="MH674" s="27" t="s">
        <v>7</v>
      </c>
      <c r="MI674" s="27" t="s">
        <v>8</v>
      </c>
      <c r="MJ674" s="27" t="s">
        <v>7</v>
      </c>
      <c r="MR674" s="27" t="s">
        <v>7</v>
      </c>
      <c r="MS674" s="27" t="s">
        <v>8</v>
      </c>
      <c r="MT674" s="27" t="s">
        <v>7</v>
      </c>
      <c r="MU674" s="27" t="s">
        <v>8</v>
      </c>
      <c r="MV674" s="27" t="s">
        <v>7</v>
      </c>
      <c r="MY674" s="27" t="s">
        <v>8</v>
      </c>
      <c r="NJ674" s="27" t="s">
        <v>7</v>
      </c>
      <c r="NK674" s="27" t="s">
        <v>8</v>
      </c>
      <c r="NL674" s="27" t="s">
        <v>7</v>
      </c>
      <c r="NM674" s="27" t="s">
        <v>8</v>
      </c>
      <c r="NN674" s="27" t="s">
        <v>7</v>
      </c>
    </row>
    <row r="675" spans="1:427" x14ac:dyDescent="0.25">
      <c r="A675" s="7">
        <v>0.17505917802766208</v>
      </c>
      <c r="B675"/>
      <c r="C675"/>
      <c r="D675"/>
      <c r="E675"/>
      <c r="F675" s="27" t="s">
        <v>7</v>
      </c>
      <c r="LY675" s="27" t="s">
        <v>8</v>
      </c>
      <c r="LZ675" s="27" t="s">
        <v>7</v>
      </c>
      <c r="MA675" s="27" t="s">
        <v>8</v>
      </c>
      <c r="MB675" s="27" t="s">
        <v>7</v>
      </c>
      <c r="MC675" s="27" t="s">
        <v>8</v>
      </c>
      <c r="MD675" s="27" t="s">
        <v>7</v>
      </c>
      <c r="ME675" s="27" t="s">
        <v>8</v>
      </c>
      <c r="MF675" s="27" t="s">
        <v>7</v>
      </c>
      <c r="MG675" s="27" t="s">
        <v>8</v>
      </c>
      <c r="MH675" s="27" t="s">
        <v>7</v>
      </c>
      <c r="MI675" s="27" t="s">
        <v>8</v>
      </c>
      <c r="MR675" s="27" t="s">
        <v>7</v>
      </c>
      <c r="MT675" s="27" t="s">
        <v>7</v>
      </c>
      <c r="MU675" s="27" t="s">
        <v>8</v>
      </c>
      <c r="MV675" s="27" t="s">
        <v>7</v>
      </c>
      <c r="MY675" s="27" t="s">
        <v>8</v>
      </c>
      <c r="NJ675" s="27" t="s">
        <v>7</v>
      </c>
      <c r="NK675" s="27" t="s">
        <v>8</v>
      </c>
      <c r="NL675" s="27" t="s">
        <v>7</v>
      </c>
      <c r="NM675" s="27" t="s">
        <v>8</v>
      </c>
      <c r="NN675" s="27" t="s">
        <v>7</v>
      </c>
    </row>
    <row r="676" spans="1:427" x14ac:dyDescent="0.25">
      <c r="A676" s="7">
        <v>0.17162664512515888</v>
      </c>
      <c r="B676"/>
      <c r="C676"/>
      <c r="D676"/>
      <c r="E676"/>
      <c r="F676" s="27" t="s">
        <v>7</v>
      </c>
      <c r="LY676" s="27" t="s">
        <v>8</v>
      </c>
      <c r="LZ676" s="27" t="s">
        <v>7</v>
      </c>
      <c r="MA676" s="27" t="s">
        <v>8</v>
      </c>
      <c r="MB676" s="27" t="s">
        <v>7</v>
      </c>
      <c r="MC676" s="27" t="s">
        <v>8</v>
      </c>
      <c r="MD676" s="27" t="s">
        <v>7</v>
      </c>
      <c r="ME676" s="27" t="s">
        <v>8</v>
      </c>
      <c r="MF676" s="27" t="s">
        <v>7</v>
      </c>
      <c r="MG676" s="27" t="s">
        <v>8</v>
      </c>
      <c r="MH676" s="27" t="s">
        <v>7</v>
      </c>
      <c r="MI676" s="27" t="s">
        <v>8</v>
      </c>
      <c r="MT676" s="27" t="s">
        <v>7</v>
      </c>
      <c r="MU676" s="27" t="s">
        <v>8</v>
      </c>
      <c r="MV676" s="27" t="s">
        <v>7</v>
      </c>
      <c r="MY676" s="27" t="s">
        <v>8</v>
      </c>
      <c r="NJ676" s="27" t="s">
        <v>7</v>
      </c>
      <c r="NL676" s="27" t="s">
        <v>7</v>
      </c>
      <c r="NM676" s="27" t="s">
        <v>8</v>
      </c>
      <c r="NN676" s="27" t="s">
        <v>7</v>
      </c>
    </row>
    <row r="677" spans="1:427" x14ac:dyDescent="0.25">
      <c r="A677" s="7">
        <v>0.16826141678937145</v>
      </c>
      <c r="B677"/>
      <c r="C677"/>
      <c r="D677"/>
      <c r="E677"/>
      <c r="F677" s="27" t="s">
        <v>7</v>
      </c>
      <c r="LY677" s="27" t="s">
        <v>8</v>
      </c>
      <c r="LZ677" s="27" t="s">
        <v>7</v>
      </c>
      <c r="MA677" s="27" t="s">
        <v>8</v>
      </c>
      <c r="MB677" s="27" t="s">
        <v>7</v>
      </c>
      <c r="MC677" s="27" t="s">
        <v>8</v>
      </c>
      <c r="MD677" s="27" t="s">
        <v>7</v>
      </c>
      <c r="ME677" s="27" t="s">
        <v>8</v>
      </c>
      <c r="MF677" s="27" t="s">
        <v>7</v>
      </c>
      <c r="MG677" s="27" t="s">
        <v>8</v>
      </c>
      <c r="MH677" s="27" t="s">
        <v>7</v>
      </c>
      <c r="MT677" s="27" t="s">
        <v>7</v>
      </c>
      <c r="MU677" s="27" t="s">
        <v>8</v>
      </c>
      <c r="MV677" s="27" t="s">
        <v>7</v>
      </c>
      <c r="MY677" s="27" t="s">
        <v>8</v>
      </c>
      <c r="NL677" s="27" t="s">
        <v>7</v>
      </c>
      <c r="NM677" s="27" t="s">
        <v>8</v>
      </c>
      <c r="NN677" s="27" t="s">
        <v>7</v>
      </c>
    </row>
    <row r="678" spans="1:427" x14ac:dyDescent="0.25">
      <c r="A678" s="7">
        <v>0.16496217332291319</v>
      </c>
      <c r="B678"/>
      <c r="C678"/>
      <c r="D678"/>
      <c r="E678"/>
      <c r="F678" s="27" t="s">
        <v>7</v>
      </c>
      <c r="LY678" s="27" t="s">
        <v>8</v>
      </c>
      <c r="LZ678" s="27" t="s">
        <v>7</v>
      </c>
      <c r="MA678" s="27" t="s">
        <v>8</v>
      </c>
      <c r="MB678" s="27" t="s">
        <v>7</v>
      </c>
      <c r="MC678" s="27" t="s">
        <v>8</v>
      </c>
      <c r="MD678" s="27" t="s">
        <v>7</v>
      </c>
      <c r="ME678" s="27" t="s">
        <v>8</v>
      </c>
      <c r="MF678" s="27" t="s">
        <v>7</v>
      </c>
      <c r="MG678" s="27" t="s">
        <v>8</v>
      </c>
      <c r="MT678" s="27" t="s">
        <v>7</v>
      </c>
      <c r="MV678" s="27" t="s">
        <v>7</v>
      </c>
      <c r="MY678" s="27" t="s">
        <v>8</v>
      </c>
      <c r="NL678" s="27" t="s">
        <v>7</v>
      </c>
      <c r="NM678" s="27" t="s">
        <v>8</v>
      </c>
      <c r="NN678" s="27" t="s">
        <v>7</v>
      </c>
    </row>
    <row r="679" spans="1:427" x14ac:dyDescent="0.25">
      <c r="A679" s="7">
        <v>0.16172762090481685</v>
      </c>
      <c r="B679"/>
      <c r="C679"/>
      <c r="D679"/>
      <c r="E679"/>
      <c r="F679" s="27" t="s">
        <v>7</v>
      </c>
      <c r="LY679" s="27" t="s">
        <v>8</v>
      </c>
      <c r="LZ679" s="27" t="s">
        <v>7</v>
      </c>
      <c r="MA679" s="27" t="s">
        <v>8</v>
      </c>
      <c r="MB679" s="27" t="s">
        <v>7</v>
      </c>
      <c r="MC679" s="27" t="s">
        <v>8</v>
      </c>
      <c r="MD679" s="27" t="s">
        <v>7</v>
      </c>
      <c r="ME679" s="27" t="s">
        <v>8</v>
      </c>
      <c r="MF679" s="27" t="s">
        <v>7</v>
      </c>
      <c r="MG679" s="27" t="s">
        <v>8</v>
      </c>
      <c r="MV679" s="27" t="s">
        <v>7</v>
      </c>
      <c r="MY679" s="27" t="s">
        <v>8</v>
      </c>
      <c r="NL679" s="27" t="s">
        <v>7</v>
      </c>
      <c r="NN679" s="27" t="s">
        <v>7</v>
      </c>
    </row>
    <row r="680" spans="1:427" x14ac:dyDescent="0.25">
      <c r="A680" s="7">
        <v>0.15855649108315376</v>
      </c>
      <c r="B680"/>
      <c r="C680"/>
      <c r="D680"/>
      <c r="E680"/>
      <c r="F680" s="27" t="s">
        <v>7</v>
      </c>
      <c r="LI680" s="27" t="s">
        <v>8</v>
      </c>
      <c r="LY680" s="27" t="s">
        <v>8</v>
      </c>
      <c r="LZ680" s="27" t="s">
        <v>7</v>
      </c>
      <c r="MA680" s="27" t="s">
        <v>8</v>
      </c>
      <c r="MB680" s="27" t="s">
        <v>7</v>
      </c>
      <c r="MC680" s="27" t="s">
        <v>8</v>
      </c>
      <c r="MD680" s="27" t="s">
        <v>7</v>
      </c>
      <c r="ME680" s="27" t="s">
        <v>8</v>
      </c>
      <c r="MF680" s="27" t="s">
        <v>7</v>
      </c>
      <c r="MG680" s="27" t="s">
        <v>8</v>
      </c>
      <c r="MV680" s="27" t="s">
        <v>7</v>
      </c>
      <c r="MW680" s="27" t="s">
        <v>8</v>
      </c>
      <c r="MY680" s="27" t="s">
        <v>8</v>
      </c>
      <c r="NN680" s="27" t="s">
        <v>7</v>
      </c>
    </row>
    <row r="681" spans="1:427" x14ac:dyDescent="0.25">
      <c r="A681" s="7">
        <v>0.15544754027760171</v>
      </c>
      <c r="B681"/>
      <c r="C681"/>
      <c r="D681"/>
      <c r="E681"/>
      <c r="F681" s="27" t="s">
        <v>7</v>
      </c>
      <c r="LI681" s="27" t="s">
        <v>8</v>
      </c>
      <c r="LJ681" s="27" t="s">
        <v>7</v>
      </c>
      <c r="LM681" s="27" t="s">
        <v>8</v>
      </c>
      <c r="LY681" s="27" t="s">
        <v>8</v>
      </c>
      <c r="LZ681" s="27" t="s">
        <v>7</v>
      </c>
      <c r="MB681" s="27" t="s">
        <v>7</v>
      </c>
      <c r="MC681" s="27" t="s">
        <v>8</v>
      </c>
      <c r="MD681" s="27" t="s">
        <v>7</v>
      </c>
      <c r="ME681" s="27" t="s">
        <v>8</v>
      </c>
      <c r="MF681" s="27" t="s">
        <v>7</v>
      </c>
      <c r="MG681" s="27" t="s">
        <v>8</v>
      </c>
      <c r="MV681" s="27" t="s">
        <v>7</v>
      </c>
      <c r="MW681" s="27" t="s">
        <v>8</v>
      </c>
      <c r="MX681" s="27" t="s">
        <v>7</v>
      </c>
      <c r="MY681" s="27" t="s">
        <v>8</v>
      </c>
      <c r="NN681" s="27" t="s">
        <v>7</v>
      </c>
    </row>
    <row r="682" spans="1:427" x14ac:dyDescent="0.25">
      <c r="A682" s="7">
        <v>0.15239954929176638</v>
      </c>
      <c r="B682"/>
      <c r="C682"/>
      <c r="D682"/>
      <c r="E682"/>
      <c r="F682" s="27" t="s">
        <v>7</v>
      </c>
      <c r="LI682" s="27" t="s">
        <v>8</v>
      </c>
      <c r="LJ682" s="27" t="s">
        <v>7</v>
      </c>
      <c r="LM682" s="27" t="s">
        <v>8</v>
      </c>
      <c r="LN682" s="27" t="s">
        <v>7</v>
      </c>
      <c r="LY682" s="27" t="s">
        <v>8</v>
      </c>
      <c r="MB682" s="27" t="s">
        <v>7</v>
      </c>
      <c r="MC682" s="27" t="s">
        <v>8</v>
      </c>
      <c r="MD682" s="27" t="s">
        <v>7</v>
      </c>
      <c r="MF682" s="27" t="s">
        <v>7</v>
      </c>
      <c r="MG682" s="27" t="s">
        <v>8</v>
      </c>
      <c r="MV682" s="27" t="s">
        <v>7</v>
      </c>
      <c r="MW682" s="27" t="s">
        <v>8</v>
      </c>
      <c r="MX682" s="27" t="s">
        <v>7</v>
      </c>
      <c r="MY682" s="27" t="s">
        <v>8</v>
      </c>
      <c r="NN682" s="27" t="s">
        <v>7</v>
      </c>
      <c r="NU682" s="27" t="s">
        <v>8</v>
      </c>
    </row>
    <row r="683" spans="1:427" x14ac:dyDescent="0.25">
      <c r="A683" s="7">
        <v>0.14941132283506509</v>
      </c>
      <c r="B683"/>
      <c r="C683"/>
      <c r="D683"/>
      <c r="E683"/>
      <c r="F683" s="27" t="s">
        <v>7</v>
      </c>
      <c r="LI683" s="27" t="s">
        <v>8</v>
      </c>
      <c r="LJ683" s="27" t="s">
        <v>7</v>
      </c>
      <c r="LM683" s="27" t="s">
        <v>8</v>
      </c>
      <c r="LN683" s="27" t="s">
        <v>7</v>
      </c>
      <c r="LY683" s="27" t="s">
        <v>8</v>
      </c>
      <c r="MB683" s="27" t="s">
        <v>7</v>
      </c>
      <c r="MC683" s="27" t="s">
        <v>8</v>
      </c>
      <c r="MF683" s="27" t="s">
        <v>7</v>
      </c>
      <c r="MG683" s="27" t="s">
        <v>8</v>
      </c>
      <c r="MV683" s="27" t="s">
        <v>7</v>
      </c>
      <c r="MW683" s="27" t="s">
        <v>8</v>
      </c>
      <c r="MX683" s="27" t="s">
        <v>7</v>
      </c>
      <c r="MY683" s="27" t="s">
        <v>8</v>
      </c>
      <c r="NN683" s="27" t="s">
        <v>7</v>
      </c>
      <c r="NU683" s="27" t="s">
        <v>8</v>
      </c>
      <c r="NV683" s="27" t="s">
        <v>7</v>
      </c>
    </row>
    <row r="684" spans="1:427" x14ac:dyDescent="0.25">
      <c r="A684" s="7">
        <v>0.14648168905398537</v>
      </c>
      <c r="B684"/>
      <c r="C684"/>
      <c r="D684"/>
      <c r="E684"/>
      <c r="F684" s="27" t="s">
        <v>7</v>
      </c>
      <c r="LI684" s="27" t="s">
        <v>8</v>
      </c>
      <c r="LJ684" s="27" t="s">
        <v>7</v>
      </c>
      <c r="LM684" s="27" t="s">
        <v>8</v>
      </c>
      <c r="LN684" s="27" t="s">
        <v>7</v>
      </c>
      <c r="LY684" s="27" t="s">
        <v>8</v>
      </c>
      <c r="MB684" s="27" t="s">
        <v>7</v>
      </c>
      <c r="MF684" s="27" t="s">
        <v>7</v>
      </c>
      <c r="MV684" s="27" t="s">
        <v>7</v>
      </c>
      <c r="MW684" s="27" t="s">
        <v>8</v>
      </c>
      <c r="MX684" s="27" t="s">
        <v>7</v>
      </c>
      <c r="MY684" s="27" t="s">
        <v>8</v>
      </c>
      <c r="NN684" s="27" t="s">
        <v>7</v>
      </c>
      <c r="NO684" s="27" t="s">
        <v>8</v>
      </c>
      <c r="NU684" s="27" t="s">
        <v>8</v>
      </c>
      <c r="NV684" s="27" t="s">
        <v>7</v>
      </c>
    </row>
    <row r="685" spans="1:427" x14ac:dyDescent="0.25">
      <c r="A685" s="7">
        <v>0.14360949907253467</v>
      </c>
      <c r="B685"/>
      <c r="C685"/>
      <c r="D685"/>
      <c r="E685"/>
      <c r="F685" s="27" t="s">
        <v>7</v>
      </c>
      <c r="LI685" s="27" t="s">
        <v>8</v>
      </c>
      <c r="LJ685" s="27" t="s">
        <v>7</v>
      </c>
      <c r="LM685" s="27" t="s">
        <v>8</v>
      </c>
      <c r="LN685" s="27" t="s">
        <v>7</v>
      </c>
      <c r="LY685" s="27" t="s">
        <v>8</v>
      </c>
      <c r="MV685" s="27" t="s">
        <v>7</v>
      </c>
      <c r="MW685" s="27" t="s">
        <v>8</v>
      </c>
      <c r="MX685" s="27" t="s">
        <v>7</v>
      </c>
      <c r="MY685" s="27" t="s">
        <v>8</v>
      </c>
      <c r="NN685" s="27" t="s">
        <v>7</v>
      </c>
      <c r="NO685" s="27" t="s">
        <v>8</v>
      </c>
      <c r="NP685" s="27" t="s">
        <v>7</v>
      </c>
      <c r="NU685" s="27" t="s">
        <v>8</v>
      </c>
      <c r="NV685" s="27" t="s">
        <v>7</v>
      </c>
    </row>
    <row r="686" spans="1:427" x14ac:dyDescent="0.25">
      <c r="A686" s="7">
        <v>0.14079362654170066</v>
      </c>
      <c r="B686"/>
      <c r="C686"/>
      <c r="D686"/>
      <c r="E686"/>
      <c r="F686" s="27" t="s">
        <v>7</v>
      </c>
      <c r="LI686" s="27" t="s">
        <v>8</v>
      </c>
      <c r="LJ686" s="27" t="s">
        <v>7</v>
      </c>
      <c r="LM686" s="27" t="s">
        <v>8</v>
      </c>
      <c r="LN686" s="27" t="s">
        <v>7</v>
      </c>
      <c r="LY686" s="27" t="s">
        <v>8</v>
      </c>
      <c r="MV686" s="27" t="s">
        <v>7</v>
      </c>
      <c r="MW686" s="27" t="s">
        <v>8</v>
      </c>
      <c r="MX686" s="27" t="s">
        <v>7</v>
      </c>
      <c r="MY686" s="27" t="s">
        <v>8</v>
      </c>
      <c r="NN686" s="27" t="s">
        <v>7</v>
      </c>
      <c r="NO686" s="27" t="s">
        <v>8</v>
      </c>
      <c r="NP686" s="27" t="s">
        <v>7</v>
      </c>
      <c r="NU686" s="27" t="s">
        <v>8</v>
      </c>
      <c r="NV686" s="27" t="s">
        <v>7</v>
      </c>
    </row>
    <row r="687" spans="1:427" x14ac:dyDescent="0.25">
      <c r="A687" s="7">
        <v>0.13803296719774574</v>
      </c>
      <c r="B687"/>
      <c r="C687"/>
      <c r="D687"/>
      <c r="E687"/>
      <c r="F687" s="27" t="s">
        <v>7</v>
      </c>
      <c r="LI687" s="27" t="s">
        <v>8</v>
      </c>
      <c r="LJ687" s="27" t="s">
        <v>7</v>
      </c>
      <c r="LK687" s="27" t="s">
        <v>8</v>
      </c>
      <c r="LM687" s="27" t="s">
        <v>8</v>
      </c>
      <c r="LN687" s="27" t="s">
        <v>7</v>
      </c>
      <c r="LY687" s="27" t="s">
        <v>8</v>
      </c>
      <c r="MV687" s="27" t="s">
        <v>7</v>
      </c>
      <c r="MW687" s="27" t="s">
        <v>8</v>
      </c>
      <c r="MX687" s="27" t="s">
        <v>7</v>
      </c>
      <c r="MY687" s="27" t="s">
        <v>8</v>
      </c>
      <c r="NN687" s="27" t="s">
        <v>7</v>
      </c>
      <c r="NO687" s="27" t="s">
        <v>8</v>
      </c>
      <c r="NP687" s="27" t="s">
        <v>7</v>
      </c>
      <c r="NU687" s="27" t="s">
        <v>8</v>
      </c>
      <c r="NV687" s="27" t="s">
        <v>7</v>
      </c>
    </row>
    <row r="688" spans="1:427" x14ac:dyDescent="0.25">
      <c r="A688" s="7">
        <v>0.1353264384291625</v>
      </c>
      <c r="B688"/>
      <c r="C688"/>
      <c r="D688"/>
      <c r="E688"/>
      <c r="F688" s="27" t="s">
        <v>7</v>
      </c>
      <c r="LI688" s="27" t="s">
        <v>8</v>
      </c>
      <c r="LJ688" s="27" t="s">
        <v>7</v>
      </c>
      <c r="LK688" s="27" t="s">
        <v>8</v>
      </c>
      <c r="LL688" s="27" t="s">
        <v>7</v>
      </c>
      <c r="LM688" s="27" t="s">
        <v>8</v>
      </c>
      <c r="LN688" s="27" t="s">
        <v>7</v>
      </c>
      <c r="LW688" s="27" t="s">
        <v>8</v>
      </c>
      <c r="LY688" s="27" t="s">
        <v>8</v>
      </c>
      <c r="MV688" s="27" t="s">
        <v>7</v>
      </c>
      <c r="MW688" s="27" t="s">
        <v>8</v>
      </c>
      <c r="MX688" s="27" t="s">
        <v>7</v>
      </c>
      <c r="MY688" s="27" t="s">
        <v>8</v>
      </c>
      <c r="NN688" s="27" t="s">
        <v>7</v>
      </c>
      <c r="NO688" s="27" t="s">
        <v>8</v>
      </c>
      <c r="NP688" s="27" t="s">
        <v>7</v>
      </c>
      <c r="NS688" s="27" t="s">
        <v>8</v>
      </c>
      <c r="NU688" s="27" t="s">
        <v>8</v>
      </c>
      <c r="NV688" s="27" t="s">
        <v>7</v>
      </c>
      <c r="PK688" s="27" t="s">
        <v>8</v>
      </c>
    </row>
    <row r="689" spans="1:462" x14ac:dyDescent="0.25">
      <c r="A689" s="7">
        <v>0.13267297885212009</v>
      </c>
      <c r="B689"/>
      <c r="C689"/>
      <c r="D689"/>
      <c r="E689"/>
      <c r="F689" s="27" t="s">
        <v>7</v>
      </c>
      <c r="LI689" s="27" t="s">
        <v>8</v>
      </c>
      <c r="LJ689" s="27" t="s">
        <v>7</v>
      </c>
      <c r="LK689" s="27" t="s">
        <v>8</v>
      </c>
      <c r="LL689" s="27" t="s">
        <v>7</v>
      </c>
      <c r="LM689" s="27" t="s">
        <v>8</v>
      </c>
      <c r="LN689" s="27" t="s">
        <v>7</v>
      </c>
      <c r="LW689" s="27" t="s">
        <v>8</v>
      </c>
      <c r="LX689" s="27" t="s">
        <v>7</v>
      </c>
      <c r="LY689" s="27" t="s">
        <v>8</v>
      </c>
      <c r="MV689" s="27" t="s">
        <v>7</v>
      </c>
      <c r="MW689" s="27" t="s">
        <v>8</v>
      </c>
      <c r="MX689" s="27" t="s">
        <v>7</v>
      </c>
      <c r="NN689" s="27" t="s">
        <v>7</v>
      </c>
      <c r="NO689" s="27" t="s">
        <v>8</v>
      </c>
      <c r="NP689" s="27" t="s">
        <v>7</v>
      </c>
      <c r="NS689" s="27" t="s">
        <v>8</v>
      </c>
      <c r="NT689" s="27" t="s">
        <v>7</v>
      </c>
      <c r="NU689" s="27" t="s">
        <v>8</v>
      </c>
      <c r="NV689" s="27" t="s">
        <v>7</v>
      </c>
      <c r="PK689" s="27" t="s">
        <v>8</v>
      </c>
      <c r="PL689" s="27" t="s">
        <v>7</v>
      </c>
    </row>
    <row r="690" spans="1:462" x14ac:dyDescent="0.25">
      <c r="A690" s="7">
        <v>0.13007154789423539</v>
      </c>
      <c r="B690"/>
      <c r="C690"/>
      <c r="D690"/>
      <c r="E690"/>
      <c r="F690" s="27" t="s">
        <v>7</v>
      </c>
      <c r="LI690" s="27" t="s">
        <v>8</v>
      </c>
      <c r="LJ690" s="27" t="s">
        <v>7</v>
      </c>
      <c r="LK690" s="27" t="s">
        <v>8</v>
      </c>
      <c r="LL690" s="27" t="s">
        <v>7</v>
      </c>
      <c r="LM690" s="27" t="s">
        <v>8</v>
      </c>
      <c r="LN690" s="27" t="s">
        <v>7</v>
      </c>
      <c r="LU690" s="27" t="s">
        <v>8</v>
      </c>
      <c r="LW690" s="27" t="s">
        <v>8</v>
      </c>
      <c r="LX690" s="27" t="s">
        <v>7</v>
      </c>
      <c r="LY690" s="27" t="s">
        <v>8</v>
      </c>
      <c r="MV690" s="27" t="s">
        <v>7</v>
      </c>
      <c r="MW690" s="27" t="s">
        <v>8</v>
      </c>
      <c r="NN690" s="27" t="s">
        <v>7</v>
      </c>
      <c r="NO690" s="27" t="s">
        <v>8</v>
      </c>
      <c r="NP690" s="27" t="s">
        <v>7</v>
      </c>
      <c r="NS690" s="27" t="s">
        <v>8</v>
      </c>
      <c r="NT690" s="27" t="s">
        <v>7</v>
      </c>
      <c r="NU690" s="27" t="s">
        <v>8</v>
      </c>
      <c r="NV690" s="27" t="s">
        <v>7</v>
      </c>
      <c r="NW690" s="27" t="s">
        <v>8</v>
      </c>
      <c r="PK690" s="27" t="s">
        <v>8</v>
      </c>
      <c r="PL690" s="27" t="s">
        <v>7</v>
      </c>
    </row>
    <row r="691" spans="1:462" x14ac:dyDescent="0.25">
      <c r="A691" s="7">
        <v>0.12752112538650529</v>
      </c>
      <c r="B691"/>
      <c r="C691"/>
      <c r="D691"/>
      <c r="E691"/>
      <c r="F691" s="27" t="s">
        <v>7</v>
      </c>
      <c r="LI691" s="27" t="s">
        <v>8</v>
      </c>
      <c r="LJ691" s="27" t="s">
        <v>7</v>
      </c>
      <c r="LK691" s="27" t="s">
        <v>8</v>
      </c>
      <c r="LL691" s="27" t="s">
        <v>7</v>
      </c>
      <c r="LM691" s="27" t="s">
        <v>8</v>
      </c>
      <c r="LN691" s="27" t="s">
        <v>7</v>
      </c>
      <c r="LU691" s="27" t="s">
        <v>8</v>
      </c>
      <c r="LV691" s="27" t="s">
        <v>7</v>
      </c>
      <c r="LW691" s="27" t="s">
        <v>8</v>
      </c>
      <c r="LX691" s="27" t="s">
        <v>7</v>
      </c>
      <c r="LY691" s="27" t="s">
        <v>8</v>
      </c>
      <c r="MV691" s="27" t="s">
        <v>7</v>
      </c>
      <c r="MW691" s="27" t="s">
        <v>8</v>
      </c>
      <c r="NN691" s="27" t="s">
        <v>7</v>
      </c>
      <c r="NO691" s="27" t="s">
        <v>8</v>
      </c>
      <c r="NP691" s="27" t="s">
        <v>7</v>
      </c>
      <c r="NS691" s="27" t="s">
        <v>8</v>
      </c>
      <c r="NT691" s="27" t="s">
        <v>7</v>
      </c>
      <c r="NU691" s="27" t="s">
        <v>8</v>
      </c>
      <c r="NV691" s="27" t="s">
        <v>7</v>
      </c>
      <c r="NW691" s="27" t="s">
        <v>8</v>
      </c>
      <c r="NX691" s="27" t="s">
        <v>7</v>
      </c>
      <c r="PK691" s="27" t="s">
        <v>8</v>
      </c>
      <c r="PL691" s="27" t="s">
        <v>7</v>
      </c>
    </row>
    <row r="692" spans="1:462" x14ac:dyDescent="0.25">
      <c r="A692" s="7">
        <v>0.12502071116324048</v>
      </c>
      <c r="B692"/>
      <c r="C692"/>
      <c r="D692"/>
      <c r="E692"/>
      <c r="F692" s="27" t="s">
        <v>7</v>
      </c>
      <c r="LI692" s="27" t="s">
        <v>8</v>
      </c>
      <c r="LJ692" s="27" t="s">
        <v>7</v>
      </c>
      <c r="LK692" s="27" t="s">
        <v>8</v>
      </c>
      <c r="LL692" s="27" t="s">
        <v>7</v>
      </c>
      <c r="LM692" s="27" t="s">
        <v>8</v>
      </c>
      <c r="LN692" s="27" t="s">
        <v>7</v>
      </c>
      <c r="LU692" s="27" t="s">
        <v>8</v>
      </c>
      <c r="LV692" s="27" t="s">
        <v>7</v>
      </c>
      <c r="LW692" s="27" t="s">
        <v>8</v>
      </c>
      <c r="LX692" s="27" t="s">
        <v>7</v>
      </c>
      <c r="LY692" s="27" t="s">
        <v>8</v>
      </c>
      <c r="MV692" s="27" t="s">
        <v>7</v>
      </c>
      <c r="MW692" s="27" t="s">
        <v>8</v>
      </c>
      <c r="NN692" s="27" t="s">
        <v>7</v>
      </c>
      <c r="NO692" s="27" t="s">
        <v>8</v>
      </c>
      <c r="NP692" s="27" t="s">
        <v>7</v>
      </c>
      <c r="NS692" s="27" t="s">
        <v>8</v>
      </c>
      <c r="NT692" s="27" t="s">
        <v>7</v>
      </c>
      <c r="NU692" s="27" t="s">
        <v>8</v>
      </c>
      <c r="NV692" s="27" t="s">
        <v>7</v>
      </c>
      <c r="NW692" s="27" t="s">
        <v>8</v>
      </c>
      <c r="NX692" s="27" t="s">
        <v>7</v>
      </c>
      <c r="PK692" s="27" t="s">
        <v>8</v>
      </c>
      <c r="PL692" s="27" t="s">
        <v>7</v>
      </c>
    </row>
    <row r="693" spans="1:462" x14ac:dyDescent="0.25">
      <c r="A693" s="7">
        <v>0.1225693246698436</v>
      </c>
      <c r="B693"/>
      <c r="C693"/>
      <c r="D693"/>
      <c r="E693"/>
      <c r="F693" s="27" t="s">
        <v>7</v>
      </c>
      <c r="LI693" s="27" t="s">
        <v>8</v>
      </c>
      <c r="LJ693" s="27" t="s">
        <v>7</v>
      </c>
      <c r="LK693" s="27" t="s">
        <v>8</v>
      </c>
      <c r="LL693" s="27" t="s">
        <v>7</v>
      </c>
      <c r="LN693" s="27" t="s">
        <v>7</v>
      </c>
      <c r="LO693" s="27" t="s">
        <v>8</v>
      </c>
      <c r="LU693" s="27" t="s">
        <v>8</v>
      </c>
      <c r="LV693" s="27" t="s">
        <v>7</v>
      </c>
      <c r="LW693" s="27" t="s">
        <v>8</v>
      </c>
      <c r="LX693" s="27" t="s">
        <v>7</v>
      </c>
      <c r="MV693" s="27" t="s">
        <v>7</v>
      </c>
      <c r="MW693" s="27" t="s">
        <v>8</v>
      </c>
      <c r="NN693" s="27" t="s">
        <v>7</v>
      </c>
      <c r="NO693" s="27" t="s">
        <v>8</v>
      </c>
      <c r="NP693" s="27" t="s">
        <v>7</v>
      </c>
      <c r="NS693" s="27" t="s">
        <v>8</v>
      </c>
      <c r="NT693" s="27" t="s">
        <v>7</v>
      </c>
      <c r="NU693" s="27" t="s">
        <v>8</v>
      </c>
      <c r="NV693" s="27" t="s">
        <v>7</v>
      </c>
      <c r="NW693" s="27" t="s">
        <v>8</v>
      </c>
      <c r="NX693" s="27" t="s">
        <v>7</v>
      </c>
      <c r="PE693" s="27" t="s">
        <v>8</v>
      </c>
      <c r="PK693" s="27" t="s">
        <v>8</v>
      </c>
      <c r="PL693" s="27" t="s">
        <v>7</v>
      </c>
      <c r="QK693" s="27" t="s">
        <v>8</v>
      </c>
    </row>
    <row r="694" spans="1:462" x14ac:dyDescent="0.25">
      <c r="A694" s="7">
        <v>0.12016600457827803</v>
      </c>
      <c r="B694"/>
      <c r="C694"/>
      <c r="D694"/>
      <c r="E694"/>
      <c r="F694" s="27" t="s">
        <v>7</v>
      </c>
      <c r="LI694" s="27" t="s">
        <v>8</v>
      </c>
      <c r="LJ694" s="27" t="s">
        <v>7</v>
      </c>
      <c r="LK694" s="27" t="s">
        <v>8</v>
      </c>
      <c r="LN694" s="27" t="s">
        <v>7</v>
      </c>
      <c r="LO694" s="27" t="s">
        <v>8</v>
      </c>
      <c r="LP694" s="27" t="s">
        <v>7</v>
      </c>
      <c r="LQ694" s="27" t="s">
        <v>8</v>
      </c>
      <c r="LU694" s="27" t="s">
        <v>8</v>
      </c>
      <c r="LV694" s="27" t="s">
        <v>7</v>
      </c>
      <c r="LW694" s="27" t="s">
        <v>8</v>
      </c>
      <c r="MV694" s="27" t="s">
        <v>7</v>
      </c>
      <c r="MW694" s="27" t="s">
        <v>8</v>
      </c>
      <c r="NN694" s="27" t="s">
        <v>7</v>
      </c>
      <c r="NO694" s="27" t="s">
        <v>8</v>
      </c>
      <c r="NP694" s="27" t="s">
        <v>7</v>
      </c>
      <c r="NQ694" s="27" t="s">
        <v>8</v>
      </c>
      <c r="NS694" s="27" t="s">
        <v>8</v>
      </c>
      <c r="NT694" s="27" t="s">
        <v>7</v>
      </c>
      <c r="NU694" s="27" t="s">
        <v>8</v>
      </c>
      <c r="NV694" s="27" t="s">
        <v>7</v>
      </c>
      <c r="NW694" s="27" t="s">
        <v>8</v>
      </c>
      <c r="NX694" s="27" t="s">
        <v>7</v>
      </c>
      <c r="PE694" s="27" t="s">
        <v>8</v>
      </c>
      <c r="PF694" s="27" t="s">
        <v>7</v>
      </c>
      <c r="PK694" s="27" t="s">
        <v>8</v>
      </c>
      <c r="PL694" s="27" t="s">
        <v>7</v>
      </c>
      <c r="PM694" s="27" t="s">
        <v>8</v>
      </c>
      <c r="QK694" s="27" t="s">
        <v>8</v>
      </c>
      <c r="QL694" s="27" t="s">
        <v>7</v>
      </c>
    </row>
    <row r="695" spans="1:462" x14ac:dyDescent="0.25">
      <c r="A695" s="7">
        <v>0.1178098084100765</v>
      </c>
      <c r="B695"/>
      <c r="C695"/>
      <c r="D695"/>
      <c r="E695"/>
      <c r="F695" s="27" t="s">
        <v>7</v>
      </c>
      <c r="LG695" s="27" t="s">
        <v>8</v>
      </c>
      <c r="LI695" s="27" t="s">
        <v>8</v>
      </c>
      <c r="LJ695" s="27" t="s">
        <v>7</v>
      </c>
      <c r="LK695" s="27" t="s">
        <v>8</v>
      </c>
      <c r="LN695" s="27" t="s">
        <v>7</v>
      </c>
      <c r="LO695" s="27" t="s">
        <v>8</v>
      </c>
      <c r="LP695" s="27" t="s">
        <v>7</v>
      </c>
      <c r="LQ695" s="27" t="s">
        <v>8</v>
      </c>
      <c r="LR695" s="27" t="s">
        <v>7</v>
      </c>
      <c r="LS695" s="27" t="s">
        <v>8</v>
      </c>
      <c r="LU695" s="27" t="s">
        <v>8</v>
      </c>
      <c r="LV695" s="27" t="s">
        <v>7</v>
      </c>
      <c r="LW695" s="27" t="s">
        <v>8</v>
      </c>
      <c r="MV695" s="27" t="s">
        <v>7</v>
      </c>
      <c r="NN695" s="27" t="s">
        <v>7</v>
      </c>
      <c r="NO695" s="27" t="s">
        <v>8</v>
      </c>
      <c r="NP695" s="27" t="s">
        <v>7</v>
      </c>
      <c r="NQ695" s="27" t="s">
        <v>8</v>
      </c>
      <c r="NR695" s="27" t="s">
        <v>7</v>
      </c>
      <c r="NS695" s="27" t="s">
        <v>8</v>
      </c>
      <c r="NT695" s="27" t="s">
        <v>7</v>
      </c>
      <c r="NU695" s="27" t="s">
        <v>8</v>
      </c>
      <c r="NV695" s="27" t="s">
        <v>7</v>
      </c>
      <c r="NW695" s="27" t="s">
        <v>8</v>
      </c>
      <c r="NX695" s="27" t="s">
        <v>7</v>
      </c>
      <c r="PE695" s="27" t="s">
        <v>8</v>
      </c>
      <c r="PF695" s="27" t="s">
        <v>7</v>
      </c>
      <c r="PG695" s="27" t="s">
        <v>8</v>
      </c>
      <c r="PK695" s="27" t="s">
        <v>8</v>
      </c>
      <c r="PL695" s="27" t="s">
        <v>7</v>
      </c>
      <c r="PM695" s="27" t="s">
        <v>8</v>
      </c>
      <c r="PN695" s="27" t="s">
        <v>7</v>
      </c>
      <c r="QK695" s="27" t="s">
        <v>8</v>
      </c>
      <c r="QL695" s="27" t="s">
        <v>7</v>
      </c>
    </row>
    <row r="696" spans="1:462" x14ac:dyDescent="0.25">
      <c r="A696" s="7">
        <v>0.11549981216674166</v>
      </c>
      <c r="B696"/>
      <c r="C696"/>
      <c r="D696"/>
      <c r="E696"/>
      <c r="F696" s="27" t="s">
        <v>7</v>
      </c>
      <c r="LG696" s="27" t="s">
        <v>8</v>
      </c>
      <c r="LH696" s="27" t="s">
        <v>7</v>
      </c>
      <c r="LI696" s="27" t="s">
        <v>8</v>
      </c>
      <c r="LJ696" s="27" t="s">
        <v>7</v>
      </c>
      <c r="LK696" s="27" t="s">
        <v>8</v>
      </c>
      <c r="LN696" s="27" t="s">
        <v>7</v>
      </c>
      <c r="LO696" s="27" t="s">
        <v>8</v>
      </c>
      <c r="LP696" s="27" t="s">
        <v>7</v>
      </c>
      <c r="LQ696" s="27" t="s">
        <v>8</v>
      </c>
      <c r="LR696" s="27" t="s">
        <v>7</v>
      </c>
      <c r="LS696" s="27" t="s">
        <v>8</v>
      </c>
      <c r="LT696" s="27" t="s">
        <v>7</v>
      </c>
      <c r="LU696" s="27" t="s">
        <v>8</v>
      </c>
      <c r="LV696" s="27" t="s">
        <v>7</v>
      </c>
      <c r="LW696" s="27" t="s">
        <v>8</v>
      </c>
      <c r="NN696" s="27" t="s">
        <v>7</v>
      </c>
      <c r="NO696" s="27" t="s">
        <v>8</v>
      </c>
      <c r="NP696" s="27" t="s">
        <v>7</v>
      </c>
      <c r="NQ696" s="27" t="s">
        <v>8</v>
      </c>
      <c r="NR696" s="27" t="s">
        <v>7</v>
      </c>
      <c r="NS696" s="27" t="s">
        <v>8</v>
      </c>
      <c r="NT696" s="27" t="s">
        <v>7</v>
      </c>
      <c r="NU696" s="27" t="s">
        <v>8</v>
      </c>
      <c r="NV696" s="27" t="s">
        <v>7</v>
      </c>
      <c r="NX696" s="27" t="s">
        <v>7</v>
      </c>
      <c r="NY696" s="27" t="s">
        <v>8</v>
      </c>
      <c r="PA696" s="27" t="s">
        <v>8</v>
      </c>
      <c r="PC696" s="27" t="s">
        <v>8</v>
      </c>
      <c r="PE696" s="27" t="s">
        <v>8</v>
      </c>
      <c r="PF696" s="27" t="s">
        <v>7</v>
      </c>
      <c r="PG696" s="27" t="s">
        <v>8</v>
      </c>
      <c r="PH696" s="27" t="s">
        <v>7</v>
      </c>
      <c r="PK696" s="27" t="s">
        <v>8</v>
      </c>
      <c r="PL696" s="27" t="s">
        <v>7</v>
      </c>
      <c r="PM696" s="27" t="s">
        <v>8</v>
      </c>
      <c r="PN696" s="27" t="s">
        <v>7</v>
      </c>
      <c r="PQ696" s="27" t="s">
        <v>8</v>
      </c>
      <c r="QK696" s="27" t="s">
        <v>8</v>
      </c>
      <c r="QL696" s="27" t="s">
        <v>7</v>
      </c>
      <c r="QM696" s="27" t="s">
        <v>8</v>
      </c>
      <c r="QO696" s="27" t="s">
        <v>8</v>
      </c>
    </row>
    <row r="697" spans="1:462" x14ac:dyDescent="0.25">
      <c r="A697" s="7">
        <v>0.11323510996739378</v>
      </c>
      <c r="B697"/>
      <c r="C697"/>
      <c r="D697"/>
      <c r="E697"/>
      <c r="F697" s="27" t="s">
        <v>7</v>
      </c>
      <c r="LG697" s="27" t="s">
        <v>8</v>
      </c>
      <c r="LH697" s="27" t="s">
        <v>7</v>
      </c>
      <c r="LI697" s="27" t="s">
        <v>8</v>
      </c>
      <c r="LJ697" s="27" t="s">
        <v>7</v>
      </c>
      <c r="LK697" s="27" t="s">
        <v>8</v>
      </c>
      <c r="LN697" s="27" t="s">
        <v>7</v>
      </c>
      <c r="LO697" s="27" t="s">
        <v>8</v>
      </c>
      <c r="LP697" s="27" t="s">
        <v>7</v>
      </c>
      <c r="LQ697" s="27" t="s">
        <v>8</v>
      </c>
      <c r="LR697" s="27" t="s">
        <v>7</v>
      </c>
      <c r="LS697" s="27" t="s">
        <v>8</v>
      </c>
      <c r="LT697" s="27" t="s">
        <v>7</v>
      </c>
      <c r="LU697" s="27" t="s">
        <v>8</v>
      </c>
      <c r="LV697" s="27" t="s">
        <v>7</v>
      </c>
      <c r="LW697" s="27" t="s">
        <v>8</v>
      </c>
      <c r="NN697" s="27" t="s">
        <v>7</v>
      </c>
      <c r="NO697" s="27" t="s">
        <v>8</v>
      </c>
      <c r="NP697" s="27" t="s">
        <v>7</v>
      </c>
      <c r="NQ697" s="27" t="s">
        <v>8</v>
      </c>
      <c r="NR697" s="27" t="s">
        <v>7</v>
      </c>
      <c r="NS697" s="27" t="s">
        <v>8</v>
      </c>
      <c r="NT697" s="27" t="s">
        <v>7</v>
      </c>
      <c r="NU697" s="27" t="s">
        <v>8</v>
      </c>
      <c r="NX697" s="27" t="s">
        <v>7</v>
      </c>
      <c r="NY697" s="27" t="s">
        <v>8</v>
      </c>
      <c r="NZ697" s="27" t="s">
        <v>7</v>
      </c>
      <c r="OA697" s="27" t="s">
        <v>8</v>
      </c>
      <c r="PA697" s="27" t="s">
        <v>8</v>
      </c>
      <c r="PB697" s="27" t="s">
        <v>7</v>
      </c>
      <c r="PC697" s="27" t="s">
        <v>8</v>
      </c>
      <c r="PD697" s="27" t="s">
        <v>7</v>
      </c>
      <c r="PE697" s="27" t="s">
        <v>8</v>
      </c>
      <c r="PF697" s="27" t="s">
        <v>7</v>
      </c>
      <c r="PG697" s="27" t="s">
        <v>8</v>
      </c>
      <c r="PH697" s="27" t="s">
        <v>7</v>
      </c>
      <c r="PI697" s="27" t="s">
        <v>8</v>
      </c>
      <c r="PK697" s="27" t="s">
        <v>8</v>
      </c>
      <c r="PL697" s="27" t="s">
        <v>7</v>
      </c>
      <c r="PM697" s="27" t="s">
        <v>8</v>
      </c>
      <c r="PN697" s="27" t="s">
        <v>7</v>
      </c>
      <c r="PO697" s="27" t="s">
        <v>8</v>
      </c>
      <c r="PQ697" s="27" t="s">
        <v>8</v>
      </c>
      <c r="PR697" s="27" t="s">
        <v>7</v>
      </c>
      <c r="QI697" s="27" t="s">
        <v>8</v>
      </c>
      <c r="QK697" s="27" t="s">
        <v>8</v>
      </c>
      <c r="QL697" s="27" t="s">
        <v>7</v>
      </c>
      <c r="QM697" s="27" t="s">
        <v>8</v>
      </c>
      <c r="QN697" s="27" t="s">
        <v>7</v>
      </c>
      <c r="QO697" s="27" t="s">
        <v>8</v>
      </c>
      <c r="QP697" s="27" t="s">
        <v>7</v>
      </c>
    </row>
    <row r="698" spans="1:462" x14ac:dyDescent="0.25">
      <c r="A698" s="7">
        <v>0.11101481369352331</v>
      </c>
      <c r="B698"/>
      <c r="C698"/>
      <c r="D698"/>
      <c r="E698"/>
      <c r="F698" s="27" t="s">
        <v>7</v>
      </c>
      <c r="LG698" s="27" t="s">
        <v>8</v>
      </c>
      <c r="LH698" s="27" t="s">
        <v>7</v>
      </c>
      <c r="LI698" s="27" t="s">
        <v>8</v>
      </c>
      <c r="LJ698" s="27" t="s">
        <v>7</v>
      </c>
      <c r="LN698" s="27" t="s">
        <v>7</v>
      </c>
      <c r="LO698" s="27" t="s">
        <v>8</v>
      </c>
      <c r="LP698" s="27" t="s">
        <v>7</v>
      </c>
      <c r="LQ698" s="27" t="s">
        <v>8</v>
      </c>
      <c r="LR698" s="27" t="s">
        <v>7</v>
      </c>
      <c r="LS698" s="27" t="s">
        <v>8</v>
      </c>
      <c r="LT698" s="27" t="s">
        <v>7</v>
      </c>
      <c r="LV698" s="27" t="s">
        <v>7</v>
      </c>
      <c r="NN698" s="27" t="s">
        <v>7</v>
      </c>
      <c r="NO698" s="27" t="s">
        <v>8</v>
      </c>
      <c r="NP698" s="27" t="s">
        <v>7</v>
      </c>
      <c r="NQ698" s="27" t="s">
        <v>8</v>
      </c>
      <c r="NR698" s="27" t="s">
        <v>7</v>
      </c>
      <c r="NS698" s="27" t="s">
        <v>8</v>
      </c>
      <c r="NT698" s="27" t="s">
        <v>7</v>
      </c>
      <c r="NU698" s="27" t="s">
        <v>8</v>
      </c>
      <c r="NX698" s="27" t="s">
        <v>7</v>
      </c>
      <c r="NY698" s="27" t="s">
        <v>8</v>
      </c>
      <c r="NZ698" s="27" t="s">
        <v>7</v>
      </c>
      <c r="OA698" s="27" t="s">
        <v>8</v>
      </c>
      <c r="OB698" s="27" t="s">
        <v>7</v>
      </c>
      <c r="PA698" s="27" t="s">
        <v>8</v>
      </c>
      <c r="PB698" s="27" t="s">
        <v>7</v>
      </c>
      <c r="PC698" s="27" t="s">
        <v>8</v>
      </c>
      <c r="PD698" s="27" t="s">
        <v>7</v>
      </c>
      <c r="PE698" s="27" t="s">
        <v>8</v>
      </c>
      <c r="PF698" s="27" t="s">
        <v>7</v>
      </c>
      <c r="PG698" s="27" t="s">
        <v>8</v>
      </c>
      <c r="PH698" s="27" t="s">
        <v>7</v>
      </c>
      <c r="PI698" s="27" t="s">
        <v>8</v>
      </c>
      <c r="PJ698" s="27" t="s">
        <v>7</v>
      </c>
      <c r="PK698" s="27" t="s">
        <v>8</v>
      </c>
      <c r="PL698" s="27" t="s">
        <v>7</v>
      </c>
      <c r="PM698" s="27" t="s">
        <v>8</v>
      </c>
      <c r="PN698" s="27" t="s">
        <v>7</v>
      </c>
      <c r="PO698" s="27" t="s">
        <v>8</v>
      </c>
      <c r="PP698" s="27" t="s">
        <v>7</v>
      </c>
      <c r="PQ698" s="27" t="s">
        <v>8</v>
      </c>
      <c r="PR698" s="27" t="s">
        <v>7</v>
      </c>
      <c r="QI698" s="27" t="s">
        <v>8</v>
      </c>
      <c r="QJ698" s="27" t="s">
        <v>7</v>
      </c>
      <c r="QK698" s="27" t="s">
        <v>8</v>
      </c>
      <c r="QL698" s="27" t="s">
        <v>7</v>
      </c>
      <c r="QM698" s="27" t="s">
        <v>8</v>
      </c>
      <c r="QN698" s="27" t="s">
        <v>7</v>
      </c>
      <c r="QO698" s="27" t="s">
        <v>8</v>
      </c>
      <c r="QP698" s="27" t="s">
        <v>7</v>
      </c>
    </row>
    <row r="699" spans="1:462" x14ac:dyDescent="0.25">
      <c r="A699" s="7">
        <v>0.10883805264070913</v>
      </c>
      <c r="B699"/>
      <c r="C699"/>
      <c r="D699"/>
      <c r="E699"/>
      <c r="F699" s="27" t="s">
        <v>7</v>
      </c>
      <c r="LG699" s="27" t="s">
        <v>8</v>
      </c>
      <c r="LH699" s="27" t="s">
        <v>7</v>
      </c>
      <c r="LI699" s="27" t="s">
        <v>8</v>
      </c>
      <c r="LN699" s="27" t="s">
        <v>7</v>
      </c>
      <c r="LO699" s="27" t="s">
        <v>8</v>
      </c>
      <c r="LP699" s="27" t="s">
        <v>7</v>
      </c>
      <c r="LQ699" s="27" t="s">
        <v>8</v>
      </c>
      <c r="LR699" s="27" t="s">
        <v>7</v>
      </c>
      <c r="LS699" s="27" t="s">
        <v>8</v>
      </c>
      <c r="NN699" s="27" t="s">
        <v>7</v>
      </c>
      <c r="NO699" s="27" t="s">
        <v>8</v>
      </c>
      <c r="NP699" s="27" t="s">
        <v>7</v>
      </c>
      <c r="NQ699" s="27" t="s">
        <v>8</v>
      </c>
      <c r="NR699" s="27" t="s">
        <v>7</v>
      </c>
      <c r="NS699" s="27" t="s">
        <v>8</v>
      </c>
      <c r="NT699" s="27" t="s">
        <v>7</v>
      </c>
      <c r="NU699" s="27" t="s">
        <v>8</v>
      </c>
      <c r="NX699" s="27" t="s">
        <v>7</v>
      </c>
      <c r="NY699" s="27" t="s">
        <v>8</v>
      </c>
      <c r="NZ699" s="27" t="s">
        <v>7</v>
      </c>
      <c r="OA699" s="27" t="s">
        <v>8</v>
      </c>
      <c r="OB699" s="27" t="s">
        <v>7</v>
      </c>
      <c r="PA699" s="27" t="s">
        <v>8</v>
      </c>
      <c r="PB699" s="27" t="s">
        <v>7</v>
      </c>
      <c r="PC699" s="27" t="s">
        <v>8</v>
      </c>
      <c r="PD699" s="27" t="s">
        <v>7</v>
      </c>
      <c r="PE699" s="27" t="s">
        <v>8</v>
      </c>
      <c r="PF699" s="27" t="s">
        <v>7</v>
      </c>
      <c r="PG699" s="27" t="s">
        <v>8</v>
      </c>
      <c r="PH699" s="27" t="s">
        <v>7</v>
      </c>
      <c r="PI699" s="27" t="s">
        <v>8</v>
      </c>
      <c r="PJ699" s="27" t="s">
        <v>7</v>
      </c>
      <c r="PK699" s="27" t="s">
        <v>8</v>
      </c>
      <c r="PL699" s="27" t="s">
        <v>7</v>
      </c>
      <c r="PM699" s="27" t="s">
        <v>8</v>
      </c>
      <c r="PN699" s="27" t="s">
        <v>7</v>
      </c>
      <c r="PO699" s="27" t="s">
        <v>8</v>
      </c>
      <c r="PP699" s="27" t="s">
        <v>7</v>
      </c>
      <c r="PQ699" s="27" t="s">
        <v>8</v>
      </c>
      <c r="PR699" s="27" t="s">
        <v>7</v>
      </c>
      <c r="QI699" s="27" t="s">
        <v>8</v>
      </c>
      <c r="QJ699" s="27" t="s">
        <v>7</v>
      </c>
      <c r="QK699" s="27" t="s">
        <v>8</v>
      </c>
      <c r="QL699" s="27" t="s">
        <v>7</v>
      </c>
      <c r="QM699" s="27" t="s">
        <v>8</v>
      </c>
      <c r="QN699" s="27" t="s">
        <v>7</v>
      </c>
      <c r="QO699" s="27" t="s">
        <v>8</v>
      </c>
      <c r="QP699" s="27" t="s">
        <v>7</v>
      </c>
    </row>
    <row r="700" spans="1:462" x14ac:dyDescent="0.25">
      <c r="A700" s="7">
        <v>0.10670397317716582</v>
      </c>
      <c r="B700"/>
      <c r="C700"/>
      <c r="D700"/>
      <c r="E700"/>
      <c r="F700" s="27" t="s">
        <v>7</v>
      </c>
      <c r="LG700" s="27" t="s">
        <v>8</v>
      </c>
      <c r="LH700" s="27" t="s">
        <v>7</v>
      </c>
      <c r="LN700" s="27" t="s">
        <v>7</v>
      </c>
      <c r="LO700" s="27" t="s">
        <v>8</v>
      </c>
      <c r="LP700" s="27" t="s">
        <v>7</v>
      </c>
      <c r="LQ700" s="27" t="s">
        <v>8</v>
      </c>
      <c r="LR700" s="27" t="s">
        <v>7</v>
      </c>
      <c r="LS700" s="27" t="s">
        <v>8</v>
      </c>
      <c r="NN700" s="27" t="s">
        <v>7</v>
      </c>
      <c r="NO700" s="27" t="s">
        <v>8</v>
      </c>
      <c r="NP700" s="27" t="s">
        <v>7</v>
      </c>
      <c r="NQ700" s="27" t="s">
        <v>8</v>
      </c>
      <c r="NR700" s="27" t="s">
        <v>7</v>
      </c>
      <c r="NS700" s="27" t="s">
        <v>8</v>
      </c>
      <c r="NT700" s="27" t="s">
        <v>7</v>
      </c>
      <c r="NU700" s="27" t="s">
        <v>8</v>
      </c>
      <c r="NX700" s="27" t="s">
        <v>7</v>
      </c>
      <c r="NY700" s="27" t="s">
        <v>8</v>
      </c>
      <c r="NZ700" s="27" t="s">
        <v>7</v>
      </c>
      <c r="OA700" s="27" t="s">
        <v>8</v>
      </c>
      <c r="OB700" s="27" t="s">
        <v>7</v>
      </c>
      <c r="OY700" s="27" t="s">
        <v>8</v>
      </c>
      <c r="PA700" s="27" t="s">
        <v>8</v>
      </c>
      <c r="PB700" s="27" t="s">
        <v>7</v>
      </c>
      <c r="PD700" s="27" t="s">
        <v>7</v>
      </c>
      <c r="PE700" s="27" t="s">
        <v>8</v>
      </c>
      <c r="PF700" s="27" t="s">
        <v>7</v>
      </c>
      <c r="PG700" s="27" t="s">
        <v>8</v>
      </c>
      <c r="PH700" s="27" t="s">
        <v>7</v>
      </c>
      <c r="PI700" s="27" t="s">
        <v>8</v>
      </c>
      <c r="PJ700" s="27" t="s">
        <v>7</v>
      </c>
      <c r="PK700" s="27" t="s">
        <v>8</v>
      </c>
      <c r="PL700" s="27" t="s">
        <v>7</v>
      </c>
      <c r="PM700" s="27" t="s">
        <v>8</v>
      </c>
      <c r="PN700" s="27" t="s">
        <v>7</v>
      </c>
      <c r="PO700" s="27" t="s">
        <v>8</v>
      </c>
      <c r="PP700" s="27" t="s">
        <v>7</v>
      </c>
      <c r="PQ700" s="27" t="s">
        <v>8</v>
      </c>
      <c r="PR700" s="27" t="s">
        <v>7</v>
      </c>
      <c r="QA700" s="27" t="s">
        <v>8</v>
      </c>
      <c r="QC700" s="27" t="s">
        <v>8</v>
      </c>
      <c r="QI700" s="27" t="s">
        <v>8</v>
      </c>
      <c r="QJ700" s="27" t="s">
        <v>7</v>
      </c>
      <c r="QK700" s="27" t="s">
        <v>8</v>
      </c>
      <c r="QL700" s="27" t="s">
        <v>7</v>
      </c>
      <c r="QM700" s="27" t="s">
        <v>8</v>
      </c>
      <c r="QN700" s="27" t="s">
        <v>7</v>
      </c>
      <c r="QO700" s="27" t="s">
        <v>8</v>
      </c>
      <c r="QP700" s="27" t="s">
        <v>7</v>
      </c>
      <c r="QS700" s="27" t="s">
        <v>8</v>
      </c>
    </row>
    <row r="701" spans="1:462" x14ac:dyDescent="0.25">
      <c r="A701" s="7">
        <v>0.1046117384089861</v>
      </c>
      <c r="B701"/>
      <c r="C701"/>
      <c r="D701"/>
      <c r="E701"/>
      <c r="F701" s="27" t="s">
        <v>7</v>
      </c>
      <c r="LG701" s="27" t="s">
        <v>8</v>
      </c>
      <c r="LN701" s="27" t="s">
        <v>7</v>
      </c>
      <c r="LO701" s="27" t="s">
        <v>8</v>
      </c>
      <c r="LP701" s="27" t="s">
        <v>7</v>
      </c>
      <c r="LQ701" s="27" t="s">
        <v>8</v>
      </c>
      <c r="LR701" s="27" t="s">
        <v>7</v>
      </c>
      <c r="LS701" s="27" t="s">
        <v>8</v>
      </c>
      <c r="NN701" s="27" t="s">
        <v>7</v>
      </c>
      <c r="NO701" s="27" t="s">
        <v>8</v>
      </c>
      <c r="NP701" s="27" t="s">
        <v>7</v>
      </c>
      <c r="NQ701" s="27" t="s">
        <v>8</v>
      </c>
      <c r="NR701" s="27" t="s">
        <v>7</v>
      </c>
      <c r="NS701" s="27" t="s">
        <v>8</v>
      </c>
      <c r="NT701" s="27" t="s">
        <v>7</v>
      </c>
      <c r="NU701" s="27" t="s">
        <v>8</v>
      </c>
      <c r="NX701" s="27" t="s">
        <v>7</v>
      </c>
      <c r="NY701" s="27" t="s">
        <v>8</v>
      </c>
      <c r="NZ701" s="27" t="s">
        <v>7</v>
      </c>
      <c r="OA701" s="27" t="s">
        <v>8</v>
      </c>
      <c r="OB701" s="27" t="s">
        <v>7</v>
      </c>
      <c r="OY701" s="27" t="s">
        <v>8</v>
      </c>
      <c r="OZ701" s="27" t="s">
        <v>7</v>
      </c>
      <c r="PA701" s="27" t="s">
        <v>8</v>
      </c>
      <c r="PD701" s="27" t="s">
        <v>7</v>
      </c>
      <c r="PE701" s="27" t="s">
        <v>8</v>
      </c>
      <c r="PF701" s="27" t="s">
        <v>7</v>
      </c>
      <c r="PH701" s="27" t="s">
        <v>7</v>
      </c>
      <c r="PI701" s="27" t="s">
        <v>8</v>
      </c>
      <c r="PJ701" s="27" t="s">
        <v>7</v>
      </c>
      <c r="PL701" s="27" t="s">
        <v>7</v>
      </c>
      <c r="PM701" s="27" t="s">
        <v>8</v>
      </c>
      <c r="PN701" s="27" t="s">
        <v>7</v>
      </c>
      <c r="PP701" s="27" t="s">
        <v>7</v>
      </c>
      <c r="PQ701" s="27" t="s">
        <v>8</v>
      </c>
      <c r="PR701" s="27" t="s">
        <v>7</v>
      </c>
      <c r="QA701" s="27" t="s">
        <v>8</v>
      </c>
      <c r="QB701" s="27" t="s">
        <v>7</v>
      </c>
      <c r="QC701" s="27" t="s">
        <v>8</v>
      </c>
      <c r="QD701" s="27" t="s">
        <v>7</v>
      </c>
      <c r="QI701" s="27" t="s">
        <v>8</v>
      </c>
      <c r="QJ701" s="27" t="s">
        <v>7</v>
      </c>
      <c r="QK701" s="27" t="s">
        <v>8</v>
      </c>
      <c r="QL701" s="27" t="s">
        <v>7</v>
      </c>
      <c r="QN701" s="27" t="s">
        <v>7</v>
      </c>
      <c r="QP701" s="27" t="s">
        <v>7</v>
      </c>
      <c r="QQ701" s="27" t="s">
        <v>8</v>
      </c>
      <c r="QS701" s="27" t="s">
        <v>8</v>
      </c>
      <c r="QT701" s="27" t="s">
        <v>7</v>
      </c>
    </row>
    <row r="702" spans="1:462" x14ac:dyDescent="0.25">
      <c r="A702" s="7">
        <v>0.10256052785194716</v>
      </c>
      <c r="B702"/>
      <c r="C702"/>
      <c r="D702"/>
      <c r="E702"/>
      <c r="F702" s="27" t="s">
        <v>7</v>
      </c>
      <c r="LG702" s="27" t="s">
        <v>8</v>
      </c>
      <c r="LN702" s="27" t="s">
        <v>7</v>
      </c>
      <c r="LO702" s="27" t="s">
        <v>8</v>
      </c>
      <c r="LP702" s="27" t="s">
        <v>7</v>
      </c>
      <c r="LR702" s="27" t="s">
        <v>7</v>
      </c>
      <c r="LS702" s="27" t="s">
        <v>8</v>
      </c>
      <c r="NN702" s="27" t="s">
        <v>7</v>
      </c>
      <c r="NO702" s="27" t="s">
        <v>8</v>
      </c>
      <c r="NP702" s="27" t="s">
        <v>7</v>
      </c>
      <c r="NQ702" s="27" t="s">
        <v>8</v>
      </c>
      <c r="NR702" s="27" t="s">
        <v>7</v>
      </c>
      <c r="NS702" s="27" t="s">
        <v>8</v>
      </c>
      <c r="NT702" s="27" t="s">
        <v>7</v>
      </c>
      <c r="NU702" s="27" t="s">
        <v>8</v>
      </c>
      <c r="NX702" s="27" t="s">
        <v>7</v>
      </c>
      <c r="NY702" s="27" t="s">
        <v>8</v>
      </c>
      <c r="NZ702" s="27" t="s">
        <v>7</v>
      </c>
      <c r="OA702" s="27" t="s">
        <v>8</v>
      </c>
      <c r="OB702" s="27" t="s">
        <v>7</v>
      </c>
      <c r="OY702" s="27" t="s">
        <v>8</v>
      </c>
      <c r="OZ702" s="27" t="s">
        <v>7</v>
      </c>
      <c r="PA702" s="27" t="s">
        <v>8</v>
      </c>
      <c r="PD702" s="27" t="s">
        <v>7</v>
      </c>
      <c r="PE702" s="27" t="s">
        <v>8</v>
      </c>
      <c r="PH702" s="27" t="s">
        <v>7</v>
      </c>
      <c r="PL702" s="27" t="s">
        <v>7</v>
      </c>
      <c r="PM702" s="27" t="s">
        <v>8</v>
      </c>
      <c r="PP702" s="27" t="s">
        <v>7</v>
      </c>
      <c r="PR702" s="27" t="s">
        <v>7</v>
      </c>
      <c r="PY702" s="27" t="s">
        <v>8</v>
      </c>
      <c r="QA702" s="27" t="s">
        <v>8</v>
      </c>
      <c r="QB702" s="27" t="s">
        <v>7</v>
      </c>
      <c r="QC702" s="27" t="s">
        <v>8</v>
      </c>
      <c r="QD702" s="27" t="s">
        <v>7</v>
      </c>
      <c r="QI702" s="27" t="s">
        <v>8</v>
      </c>
      <c r="QJ702" s="27" t="s">
        <v>7</v>
      </c>
      <c r="QK702" s="27" t="s">
        <v>8</v>
      </c>
      <c r="QP702" s="27" t="s">
        <v>7</v>
      </c>
      <c r="QQ702" s="27" t="s">
        <v>8</v>
      </c>
      <c r="QR702" s="27" t="s">
        <v>7</v>
      </c>
      <c r="QS702" s="27" t="s">
        <v>8</v>
      </c>
      <c r="QT702" s="27" t="s">
        <v>7</v>
      </c>
    </row>
    <row r="703" spans="1:462" x14ac:dyDescent="0.25">
      <c r="A703" s="7">
        <v>0.10054953710975212</v>
      </c>
      <c r="B703"/>
      <c r="C703"/>
      <c r="D703"/>
      <c r="E703"/>
      <c r="F703" s="27" t="s">
        <v>7</v>
      </c>
      <c r="LG703" s="27" t="s">
        <v>8</v>
      </c>
      <c r="LN703" s="27" t="s">
        <v>7</v>
      </c>
      <c r="LO703" s="27" t="s">
        <v>8</v>
      </c>
      <c r="LR703" s="27" t="s">
        <v>7</v>
      </c>
      <c r="LS703" s="27" t="s">
        <v>8</v>
      </c>
      <c r="NN703" s="27" t="s">
        <v>7</v>
      </c>
      <c r="NO703" s="27" t="s">
        <v>8</v>
      </c>
      <c r="NP703" s="27" t="s">
        <v>7</v>
      </c>
      <c r="NQ703" s="27" t="s">
        <v>8</v>
      </c>
      <c r="NR703" s="27" t="s">
        <v>7</v>
      </c>
      <c r="NS703" s="27" t="s">
        <v>8</v>
      </c>
      <c r="NT703" s="27" t="s">
        <v>7</v>
      </c>
      <c r="NU703" s="27" t="s">
        <v>8</v>
      </c>
      <c r="NX703" s="27" t="s">
        <v>7</v>
      </c>
      <c r="NY703" s="27" t="s">
        <v>8</v>
      </c>
      <c r="NZ703" s="27" t="s">
        <v>7</v>
      </c>
      <c r="OA703" s="27" t="s">
        <v>8</v>
      </c>
      <c r="OB703" s="27" t="s">
        <v>7</v>
      </c>
      <c r="OY703" s="27" t="s">
        <v>8</v>
      </c>
      <c r="OZ703" s="27" t="s">
        <v>7</v>
      </c>
      <c r="PA703" s="27" t="s">
        <v>8</v>
      </c>
      <c r="PD703" s="27" t="s">
        <v>7</v>
      </c>
      <c r="PE703" s="27" t="s">
        <v>8</v>
      </c>
      <c r="PL703" s="27" t="s">
        <v>7</v>
      </c>
      <c r="PM703" s="27" t="s">
        <v>8</v>
      </c>
      <c r="PR703" s="27" t="s">
        <v>7</v>
      </c>
      <c r="PY703" s="27" t="s">
        <v>8</v>
      </c>
      <c r="PZ703" s="27" t="s">
        <v>7</v>
      </c>
      <c r="QA703" s="27" t="s">
        <v>8</v>
      </c>
      <c r="QB703" s="27" t="s">
        <v>7</v>
      </c>
      <c r="QC703" s="27" t="s">
        <v>8</v>
      </c>
      <c r="QD703" s="27" t="s">
        <v>7</v>
      </c>
      <c r="QI703" s="27" t="s">
        <v>8</v>
      </c>
      <c r="QJ703" s="27" t="s">
        <v>7</v>
      </c>
      <c r="QK703" s="27" t="s">
        <v>8</v>
      </c>
      <c r="QP703" s="27" t="s">
        <v>7</v>
      </c>
      <c r="QQ703" s="27" t="s">
        <v>8</v>
      </c>
      <c r="QR703" s="27" t="s">
        <v>7</v>
      </c>
      <c r="QS703" s="27" t="s">
        <v>8</v>
      </c>
      <c r="QT703" s="27" t="s">
        <v>7</v>
      </c>
    </row>
    <row r="704" spans="1:462" x14ac:dyDescent="0.25">
      <c r="A704" s="7">
        <v>9.8577977558580512E-2</v>
      </c>
      <c r="B704"/>
      <c r="C704"/>
      <c r="D704"/>
      <c r="E704"/>
      <c r="F704" s="27" t="s">
        <v>7</v>
      </c>
      <c r="KI704" s="27" t="s">
        <v>8</v>
      </c>
      <c r="LG704" s="27" t="s">
        <v>8</v>
      </c>
      <c r="LN704" s="27" t="s">
        <v>7</v>
      </c>
      <c r="LO704" s="27" t="s">
        <v>8</v>
      </c>
      <c r="LR704" s="27" t="s">
        <v>7</v>
      </c>
      <c r="NN704" s="27" t="s">
        <v>7</v>
      </c>
      <c r="NO704" s="27" t="s">
        <v>8</v>
      </c>
      <c r="NP704" s="27" t="s">
        <v>7</v>
      </c>
      <c r="NR704" s="27" t="s">
        <v>7</v>
      </c>
      <c r="NS704" s="27" t="s">
        <v>8</v>
      </c>
      <c r="NT704" s="27" t="s">
        <v>7</v>
      </c>
      <c r="NU704" s="27" t="s">
        <v>8</v>
      </c>
      <c r="NX704" s="27" t="s">
        <v>7</v>
      </c>
      <c r="NZ704" s="27" t="s">
        <v>7</v>
      </c>
      <c r="OA704" s="27" t="s">
        <v>8</v>
      </c>
      <c r="OB704" s="27" t="s">
        <v>7</v>
      </c>
      <c r="OC704" s="27" t="s">
        <v>8</v>
      </c>
      <c r="OY704" s="27" t="s">
        <v>8</v>
      </c>
      <c r="OZ704" s="27" t="s">
        <v>7</v>
      </c>
      <c r="PA704" s="27" t="s">
        <v>8</v>
      </c>
      <c r="PD704" s="27" t="s">
        <v>7</v>
      </c>
      <c r="PE704" s="27" t="s">
        <v>8</v>
      </c>
      <c r="PL704" s="27" t="s">
        <v>7</v>
      </c>
      <c r="PM704" s="27" t="s">
        <v>8</v>
      </c>
      <c r="PR704" s="27" t="s">
        <v>7</v>
      </c>
      <c r="PY704" s="27" t="s">
        <v>8</v>
      </c>
      <c r="PZ704" s="27" t="s">
        <v>7</v>
      </c>
      <c r="QA704" s="27" t="s">
        <v>8</v>
      </c>
      <c r="QB704" s="27" t="s">
        <v>7</v>
      </c>
      <c r="QC704" s="27" t="s">
        <v>8</v>
      </c>
      <c r="QD704" s="27" t="s">
        <v>7</v>
      </c>
      <c r="QE704" s="27" t="s">
        <v>8</v>
      </c>
      <c r="QG704" s="27" t="s">
        <v>8</v>
      </c>
      <c r="QI704" s="27" t="s">
        <v>8</v>
      </c>
      <c r="QJ704" s="27" t="s">
        <v>7</v>
      </c>
      <c r="QK704" s="27" t="s">
        <v>8</v>
      </c>
      <c r="QP704" s="27" t="s">
        <v>7</v>
      </c>
      <c r="QQ704" s="27" t="s">
        <v>8</v>
      </c>
      <c r="QR704" s="27" t="s">
        <v>7</v>
      </c>
      <c r="QT704" s="27" t="s">
        <v>7</v>
      </c>
    </row>
    <row r="705" spans="1:482" x14ac:dyDescent="0.25">
      <c r="A705" s="7">
        <v>9.6645076037824032E-2</v>
      </c>
      <c r="B705"/>
      <c r="C705"/>
      <c r="D705"/>
      <c r="E705"/>
      <c r="F705" s="27" t="s">
        <v>7</v>
      </c>
      <c r="KI705" s="27" t="s">
        <v>8</v>
      </c>
      <c r="KJ705" s="27" t="s">
        <v>7</v>
      </c>
      <c r="LG705" s="27" t="s">
        <v>8</v>
      </c>
      <c r="LN705" s="27" t="s">
        <v>7</v>
      </c>
      <c r="LO705" s="27" t="s">
        <v>8</v>
      </c>
      <c r="NN705" s="27" t="s">
        <v>7</v>
      </c>
      <c r="NO705" s="27" t="s">
        <v>8</v>
      </c>
      <c r="NR705" s="27" t="s">
        <v>7</v>
      </c>
      <c r="NS705" s="27" t="s">
        <v>8</v>
      </c>
      <c r="NT705" s="27" t="s">
        <v>7</v>
      </c>
      <c r="NU705" s="27" t="s">
        <v>8</v>
      </c>
      <c r="NZ705" s="27" t="s">
        <v>7</v>
      </c>
      <c r="OA705" s="27" t="s">
        <v>8</v>
      </c>
      <c r="OB705" s="27" t="s">
        <v>7</v>
      </c>
      <c r="OC705" s="27" t="s">
        <v>8</v>
      </c>
      <c r="OD705" s="27" t="s">
        <v>7</v>
      </c>
      <c r="OY705" s="27" t="s">
        <v>8</v>
      </c>
      <c r="OZ705" s="27" t="s">
        <v>7</v>
      </c>
      <c r="PA705" s="27" t="s">
        <v>8</v>
      </c>
      <c r="PD705" s="27" t="s">
        <v>7</v>
      </c>
      <c r="PE705" s="27" t="s">
        <v>8</v>
      </c>
      <c r="PL705" s="27" t="s">
        <v>7</v>
      </c>
      <c r="PM705" s="27" t="s">
        <v>8</v>
      </c>
      <c r="PR705" s="27" t="s">
        <v>7</v>
      </c>
      <c r="PS705" s="27" t="s">
        <v>8</v>
      </c>
      <c r="PY705" s="27" t="s">
        <v>8</v>
      </c>
      <c r="PZ705" s="27" t="s">
        <v>7</v>
      </c>
      <c r="QA705" s="27" t="s">
        <v>8</v>
      </c>
      <c r="QB705" s="27" t="s">
        <v>7</v>
      </c>
      <c r="QC705" s="27" t="s">
        <v>8</v>
      </c>
      <c r="QD705" s="27" t="s">
        <v>7</v>
      </c>
      <c r="QE705" s="27" t="s">
        <v>8</v>
      </c>
      <c r="QF705" s="27" t="s">
        <v>7</v>
      </c>
      <c r="QG705" s="27" t="s">
        <v>8</v>
      </c>
      <c r="QH705" s="27" t="s">
        <v>7</v>
      </c>
      <c r="QI705" s="27" t="s">
        <v>8</v>
      </c>
      <c r="QJ705" s="27" t="s">
        <v>7</v>
      </c>
      <c r="QK705" s="27" t="s">
        <v>8</v>
      </c>
      <c r="QP705" s="27" t="s">
        <v>7</v>
      </c>
      <c r="QT705" s="27" t="s">
        <v>7</v>
      </c>
      <c r="QU705" s="27" t="s">
        <v>8</v>
      </c>
    </row>
    <row r="706" spans="1:482" x14ac:dyDescent="0.25">
      <c r="A706" s="7">
        <v>9.4750074546886304E-2</v>
      </c>
      <c r="B706"/>
      <c r="C706"/>
      <c r="D706"/>
      <c r="E706"/>
      <c r="F706" s="27" t="s">
        <v>7</v>
      </c>
      <c r="KI706" s="27" t="s">
        <v>8</v>
      </c>
      <c r="KJ706" s="27" t="s">
        <v>7</v>
      </c>
      <c r="LG706" s="27" t="s">
        <v>8</v>
      </c>
      <c r="LN706" s="27" t="s">
        <v>7</v>
      </c>
      <c r="LO706" s="27" t="s">
        <v>8</v>
      </c>
      <c r="NN706" s="27" t="s">
        <v>7</v>
      </c>
      <c r="NO706" s="27" t="s">
        <v>8</v>
      </c>
      <c r="NR706" s="27" t="s">
        <v>7</v>
      </c>
      <c r="NS706" s="27" t="s">
        <v>8</v>
      </c>
      <c r="NT706" s="27" t="s">
        <v>7</v>
      </c>
      <c r="NZ706" s="27" t="s">
        <v>7</v>
      </c>
      <c r="OA706" s="27" t="s">
        <v>8</v>
      </c>
      <c r="OB706" s="27" t="s">
        <v>7</v>
      </c>
      <c r="OC706" s="27" t="s">
        <v>8</v>
      </c>
      <c r="OD706" s="27" t="s">
        <v>7</v>
      </c>
      <c r="OG706" s="27" t="s">
        <v>8</v>
      </c>
      <c r="OW706" s="27" t="s">
        <v>8</v>
      </c>
      <c r="OY706" s="27" t="s">
        <v>8</v>
      </c>
      <c r="OZ706" s="27" t="s">
        <v>7</v>
      </c>
      <c r="PD706" s="27" t="s">
        <v>7</v>
      </c>
      <c r="PL706" s="27" t="s">
        <v>7</v>
      </c>
      <c r="PM706" s="27" t="s">
        <v>8</v>
      </c>
      <c r="PR706" s="27" t="s">
        <v>7</v>
      </c>
      <c r="PS706" s="27" t="s">
        <v>8</v>
      </c>
      <c r="PT706" s="27" t="s">
        <v>7</v>
      </c>
      <c r="PY706" s="27" t="s">
        <v>8</v>
      </c>
      <c r="PZ706" s="27" t="s">
        <v>7</v>
      </c>
      <c r="QB706" s="27" t="s">
        <v>7</v>
      </c>
      <c r="QD706" s="27" t="s">
        <v>7</v>
      </c>
      <c r="QE706" s="27" t="s">
        <v>8</v>
      </c>
      <c r="QF706" s="27" t="s">
        <v>7</v>
      </c>
      <c r="QG706" s="27" t="s">
        <v>8</v>
      </c>
      <c r="QH706" s="27" t="s">
        <v>7</v>
      </c>
      <c r="QI706" s="27" t="s">
        <v>8</v>
      </c>
      <c r="QJ706" s="27" t="s">
        <v>7</v>
      </c>
      <c r="QK706" s="27" t="s">
        <v>8</v>
      </c>
      <c r="QT706" s="27" t="s">
        <v>7</v>
      </c>
      <c r="QU706" s="27" t="s">
        <v>8</v>
      </c>
      <c r="QV706" s="27" t="s">
        <v>7</v>
      </c>
      <c r="QW706" s="27" t="s">
        <v>8</v>
      </c>
      <c r="RA706" s="27" t="s">
        <v>8</v>
      </c>
    </row>
    <row r="707" spans="1:482" x14ac:dyDescent="0.25">
      <c r="A707" s="7">
        <v>9.2892229947927743E-2</v>
      </c>
      <c r="B707"/>
      <c r="C707"/>
      <c r="D707"/>
      <c r="E707"/>
      <c r="F707" s="27" t="s">
        <v>7</v>
      </c>
      <c r="KI707" s="27" t="s">
        <v>8</v>
      </c>
      <c r="KJ707" s="27" t="s">
        <v>7</v>
      </c>
      <c r="LG707" s="27" t="s">
        <v>8</v>
      </c>
      <c r="LN707" s="27" t="s">
        <v>7</v>
      </c>
      <c r="LO707" s="27" t="s">
        <v>8</v>
      </c>
      <c r="NN707" s="27" t="s">
        <v>7</v>
      </c>
      <c r="NO707" s="27" t="s">
        <v>8</v>
      </c>
      <c r="NR707" s="27" t="s">
        <v>7</v>
      </c>
      <c r="NS707" s="27" t="s">
        <v>8</v>
      </c>
      <c r="NZ707" s="27" t="s">
        <v>7</v>
      </c>
      <c r="OB707" s="27" t="s">
        <v>7</v>
      </c>
      <c r="OD707" s="27" t="s">
        <v>7</v>
      </c>
      <c r="OG707" s="27" t="s">
        <v>8</v>
      </c>
      <c r="OH707" s="27" t="s">
        <v>7</v>
      </c>
      <c r="OW707" s="27" t="s">
        <v>8</v>
      </c>
      <c r="OX707" s="27" t="s">
        <v>7</v>
      </c>
      <c r="OY707" s="27" t="s">
        <v>8</v>
      </c>
      <c r="PL707" s="27" t="s">
        <v>7</v>
      </c>
      <c r="PM707" s="27" t="s">
        <v>8</v>
      </c>
      <c r="PR707" s="27" t="s">
        <v>7</v>
      </c>
      <c r="PS707" s="27" t="s">
        <v>8</v>
      </c>
      <c r="PT707" s="27" t="s">
        <v>7</v>
      </c>
      <c r="PU707" s="27" t="s">
        <v>8</v>
      </c>
      <c r="PY707" s="27" t="s">
        <v>8</v>
      </c>
      <c r="QD707" s="27" t="s">
        <v>7</v>
      </c>
      <c r="QE707" s="27" t="s">
        <v>8</v>
      </c>
      <c r="QF707" s="27" t="s">
        <v>7</v>
      </c>
      <c r="QH707" s="27" t="s">
        <v>7</v>
      </c>
      <c r="QI707" s="27" t="s">
        <v>8</v>
      </c>
      <c r="QJ707" s="27" t="s">
        <v>7</v>
      </c>
      <c r="QK707" s="27" t="s">
        <v>8</v>
      </c>
      <c r="QT707" s="27" t="s">
        <v>7</v>
      </c>
      <c r="QU707" s="27" t="s">
        <v>8</v>
      </c>
      <c r="QV707" s="27" t="s">
        <v>7</v>
      </c>
      <c r="QW707" s="27" t="s">
        <v>8</v>
      </c>
      <c r="QX707" s="27" t="s">
        <v>7</v>
      </c>
      <c r="RA707" s="27" t="s">
        <v>8</v>
      </c>
      <c r="RB707" s="27" t="s">
        <v>7</v>
      </c>
    </row>
    <row r="708" spans="1:482" x14ac:dyDescent="0.25">
      <c r="A708" s="7">
        <v>9.1070813674438963E-2</v>
      </c>
      <c r="B708"/>
      <c r="C708"/>
      <c r="D708"/>
      <c r="E708"/>
      <c r="F708" s="27" t="s">
        <v>7</v>
      </c>
      <c r="KI708" s="27" t="s">
        <v>8</v>
      </c>
      <c r="KJ708" s="27" t="s">
        <v>7</v>
      </c>
      <c r="KK708" s="27" t="s">
        <v>8</v>
      </c>
      <c r="LG708" s="27" t="s">
        <v>8</v>
      </c>
      <c r="LN708" s="27" t="s">
        <v>7</v>
      </c>
      <c r="LO708" s="27" t="s">
        <v>8</v>
      </c>
      <c r="NN708" s="27" t="s">
        <v>7</v>
      </c>
      <c r="NO708" s="27" t="s">
        <v>8</v>
      </c>
      <c r="NR708" s="27" t="s">
        <v>7</v>
      </c>
      <c r="NS708" s="27" t="s">
        <v>8</v>
      </c>
      <c r="OD708" s="27" t="s">
        <v>7</v>
      </c>
      <c r="OG708" s="27" t="s">
        <v>8</v>
      </c>
      <c r="OH708" s="27" t="s">
        <v>7</v>
      </c>
      <c r="OW708" s="27" t="s">
        <v>8</v>
      </c>
      <c r="OX708" s="27" t="s">
        <v>7</v>
      </c>
      <c r="OY708" s="27" t="s">
        <v>8</v>
      </c>
      <c r="PL708" s="27" t="s">
        <v>7</v>
      </c>
      <c r="PM708" s="27" t="s">
        <v>8</v>
      </c>
      <c r="PR708" s="27" t="s">
        <v>7</v>
      </c>
      <c r="PS708" s="27" t="s">
        <v>8</v>
      </c>
      <c r="PT708" s="27" t="s">
        <v>7</v>
      </c>
      <c r="PU708" s="27" t="s">
        <v>8</v>
      </c>
      <c r="PV708" s="27" t="s">
        <v>7</v>
      </c>
      <c r="PY708" s="27" t="s">
        <v>8</v>
      </c>
      <c r="QD708" s="27" t="s">
        <v>7</v>
      </c>
      <c r="QE708" s="27" t="s">
        <v>8</v>
      </c>
      <c r="QH708" s="27" t="s">
        <v>7</v>
      </c>
      <c r="QJ708" s="27" t="s">
        <v>7</v>
      </c>
      <c r="QT708" s="27" t="s">
        <v>7</v>
      </c>
      <c r="QU708" s="27" t="s">
        <v>8</v>
      </c>
      <c r="QV708" s="27" t="s">
        <v>7</v>
      </c>
      <c r="QW708" s="27" t="s">
        <v>8</v>
      </c>
      <c r="QX708" s="27" t="s">
        <v>7</v>
      </c>
      <c r="RA708" s="27" t="s">
        <v>8</v>
      </c>
      <c r="RB708" s="27" t="s">
        <v>7</v>
      </c>
    </row>
    <row r="709" spans="1:482" x14ac:dyDescent="0.25">
      <c r="A709" s="7">
        <v>8.9285111445528392E-2</v>
      </c>
      <c r="B709"/>
      <c r="C709"/>
      <c r="D709"/>
      <c r="E709"/>
      <c r="F709" s="27" t="s">
        <v>7</v>
      </c>
      <c r="KI709" s="27" t="s">
        <v>8</v>
      </c>
      <c r="KJ709" s="27" t="s">
        <v>7</v>
      </c>
      <c r="KK709" s="27" t="s">
        <v>8</v>
      </c>
      <c r="KL709" s="27" t="s">
        <v>7</v>
      </c>
      <c r="LG709" s="27" t="s">
        <v>8</v>
      </c>
      <c r="LN709" s="27" t="s">
        <v>7</v>
      </c>
      <c r="LO709" s="27" t="s">
        <v>8</v>
      </c>
      <c r="NN709" s="27" t="s">
        <v>7</v>
      </c>
      <c r="NO709" s="27" t="s">
        <v>8</v>
      </c>
      <c r="NR709" s="27" t="s">
        <v>7</v>
      </c>
      <c r="NS709" s="27" t="s">
        <v>8</v>
      </c>
      <c r="OD709" s="27" t="s">
        <v>7</v>
      </c>
      <c r="OG709" s="27" t="s">
        <v>8</v>
      </c>
      <c r="OH709" s="27" t="s">
        <v>7</v>
      </c>
      <c r="OW709" s="27" t="s">
        <v>8</v>
      </c>
      <c r="OX709" s="27" t="s">
        <v>7</v>
      </c>
      <c r="OY709" s="27" t="s">
        <v>8</v>
      </c>
      <c r="PL709" s="27" t="s">
        <v>7</v>
      </c>
      <c r="PM709" s="27" t="s">
        <v>8</v>
      </c>
      <c r="PR709" s="27" t="s">
        <v>7</v>
      </c>
      <c r="PS709" s="27" t="s">
        <v>8</v>
      </c>
      <c r="PT709" s="27" t="s">
        <v>7</v>
      </c>
      <c r="PU709" s="27" t="s">
        <v>8</v>
      </c>
      <c r="PV709" s="27" t="s">
        <v>7</v>
      </c>
      <c r="PY709" s="27" t="s">
        <v>8</v>
      </c>
      <c r="QD709" s="27" t="s">
        <v>7</v>
      </c>
      <c r="QE709" s="27" t="s">
        <v>8</v>
      </c>
      <c r="QT709" s="27" t="s">
        <v>7</v>
      </c>
      <c r="QU709" s="27" t="s">
        <v>8</v>
      </c>
      <c r="QV709" s="27" t="s">
        <v>7</v>
      </c>
      <c r="QW709" s="27" t="s">
        <v>8</v>
      </c>
      <c r="QX709" s="27" t="s">
        <v>7</v>
      </c>
      <c r="RA709" s="27" t="s">
        <v>8</v>
      </c>
      <c r="RB709" s="27" t="s">
        <v>7</v>
      </c>
    </row>
    <row r="710" spans="1:482" x14ac:dyDescent="0.25">
      <c r="A710" s="7">
        <v>8.7534422985812155E-2</v>
      </c>
      <c r="B710"/>
      <c r="C710"/>
      <c r="D710"/>
      <c r="E710"/>
      <c r="F710" s="27" t="s">
        <v>7</v>
      </c>
      <c r="KI710" s="27" t="s">
        <v>8</v>
      </c>
      <c r="KJ710" s="27" t="s">
        <v>7</v>
      </c>
      <c r="KK710" s="27" t="s">
        <v>8</v>
      </c>
      <c r="KL710" s="27" t="s">
        <v>7</v>
      </c>
      <c r="KM710" s="27" t="s">
        <v>8</v>
      </c>
      <c r="LG710" s="27" t="s">
        <v>8</v>
      </c>
      <c r="LN710" s="27" t="s">
        <v>7</v>
      </c>
      <c r="LO710" s="27" t="s">
        <v>8</v>
      </c>
      <c r="NN710" s="27" t="s">
        <v>7</v>
      </c>
      <c r="NO710" s="27" t="s">
        <v>8</v>
      </c>
      <c r="NR710" s="27" t="s">
        <v>7</v>
      </c>
      <c r="NS710" s="27" t="s">
        <v>8</v>
      </c>
      <c r="OD710" s="27" t="s">
        <v>7</v>
      </c>
      <c r="OG710" s="27" t="s">
        <v>8</v>
      </c>
      <c r="OH710" s="27" t="s">
        <v>7</v>
      </c>
      <c r="OU710" s="27" t="s">
        <v>8</v>
      </c>
      <c r="OW710" s="27" t="s">
        <v>8</v>
      </c>
      <c r="OX710" s="27" t="s">
        <v>7</v>
      </c>
      <c r="OY710" s="27" t="s">
        <v>8</v>
      </c>
      <c r="PL710" s="27" t="s">
        <v>7</v>
      </c>
      <c r="PM710" s="27" t="s">
        <v>8</v>
      </c>
      <c r="PR710" s="27" t="s">
        <v>7</v>
      </c>
      <c r="PS710" s="27" t="s">
        <v>8</v>
      </c>
      <c r="PT710" s="27" t="s">
        <v>7</v>
      </c>
      <c r="PU710" s="27" t="s">
        <v>8</v>
      </c>
      <c r="PV710" s="27" t="s">
        <v>7</v>
      </c>
      <c r="PY710" s="27" t="s">
        <v>8</v>
      </c>
      <c r="QD710" s="27" t="s">
        <v>7</v>
      </c>
      <c r="QT710" s="27" t="s">
        <v>7</v>
      </c>
      <c r="QV710" s="27" t="s">
        <v>7</v>
      </c>
      <c r="QW710" s="27" t="s">
        <v>8</v>
      </c>
      <c r="QX710" s="27" t="s">
        <v>7</v>
      </c>
      <c r="RA710" s="27" t="s">
        <v>8</v>
      </c>
      <c r="RB710" s="27" t="s">
        <v>7</v>
      </c>
    </row>
    <row r="711" spans="1:482" x14ac:dyDescent="0.25">
      <c r="A711" s="7">
        <v>8.5818061750796232E-2</v>
      </c>
      <c r="B711"/>
      <c r="C711"/>
      <c r="D711"/>
      <c r="E711"/>
      <c r="F711" s="27" t="s">
        <v>7</v>
      </c>
      <c r="KI711" s="27" t="s">
        <v>8</v>
      </c>
      <c r="KJ711" s="27" t="s">
        <v>7</v>
      </c>
      <c r="KK711" s="27" t="s">
        <v>8</v>
      </c>
      <c r="KL711" s="27" t="s">
        <v>7</v>
      </c>
      <c r="KM711" s="27" t="s">
        <v>8</v>
      </c>
      <c r="KN711" s="27" t="s">
        <v>7</v>
      </c>
      <c r="LG711" s="27" t="s">
        <v>8</v>
      </c>
      <c r="LN711" s="27" t="s">
        <v>7</v>
      </c>
      <c r="LO711" s="27" t="s">
        <v>8</v>
      </c>
      <c r="NN711" s="27" t="s">
        <v>7</v>
      </c>
      <c r="NO711" s="27" t="s">
        <v>8</v>
      </c>
      <c r="NR711" s="27" t="s">
        <v>7</v>
      </c>
      <c r="NS711" s="27" t="s">
        <v>8</v>
      </c>
      <c r="OD711" s="27" t="s">
        <v>7</v>
      </c>
      <c r="OG711" s="27" t="s">
        <v>8</v>
      </c>
      <c r="OH711" s="27" t="s">
        <v>7</v>
      </c>
      <c r="OU711" s="27" t="s">
        <v>8</v>
      </c>
      <c r="OV711" s="27" t="s">
        <v>7</v>
      </c>
      <c r="OW711" s="27" t="s">
        <v>8</v>
      </c>
      <c r="OX711" s="27" t="s">
        <v>7</v>
      </c>
      <c r="OY711" s="27" t="s">
        <v>8</v>
      </c>
      <c r="PL711" s="27" t="s">
        <v>7</v>
      </c>
      <c r="PR711" s="27" t="s">
        <v>7</v>
      </c>
      <c r="PS711" s="27" t="s">
        <v>8</v>
      </c>
      <c r="PT711" s="27" t="s">
        <v>7</v>
      </c>
      <c r="PU711" s="27" t="s">
        <v>8</v>
      </c>
      <c r="PV711" s="27" t="s">
        <v>7</v>
      </c>
      <c r="PY711" s="27" t="s">
        <v>8</v>
      </c>
      <c r="QV711" s="27" t="s">
        <v>7</v>
      </c>
      <c r="QX711" s="27" t="s">
        <v>7</v>
      </c>
      <c r="RA711" s="27" t="s">
        <v>8</v>
      </c>
      <c r="RB711" s="27" t="s">
        <v>7</v>
      </c>
    </row>
    <row r="712" spans="1:482" x14ac:dyDescent="0.25">
      <c r="A712" s="7">
        <v>8.4135354657643366E-2</v>
      </c>
      <c r="B712"/>
      <c r="C712"/>
      <c r="D712"/>
      <c r="E712"/>
      <c r="F712" s="27" t="s">
        <v>7</v>
      </c>
      <c r="KI712" s="27" t="s">
        <v>8</v>
      </c>
      <c r="KJ712" s="27" t="s">
        <v>7</v>
      </c>
      <c r="KK712" s="27" t="s">
        <v>8</v>
      </c>
      <c r="KL712" s="27" t="s">
        <v>7</v>
      </c>
      <c r="KM712" s="27" t="s">
        <v>8</v>
      </c>
      <c r="KN712" s="27" t="s">
        <v>7</v>
      </c>
      <c r="KQ712" s="27" t="s">
        <v>8</v>
      </c>
      <c r="LE712" s="27" t="s">
        <v>8</v>
      </c>
      <c r="LG712" s="27" t="s">
        <v>8</v>
      </c>
      <c r="LN712" s="27" t="s">
        <v>7</v>
      </c>
      <c r="LO712" s="27" t="s">
        <v>8</v>
      </c>
      <c r="NN712" s="27" t="s">
        <v>7</v>
      </c>
      <c r="NO712" s="27" t="s">
        <v>8</v>
      </c>
      <c r="NR712" s="27" t="s">
        <v>7</v>
      </c>
      <c r="NS712" s="27" t="s">
        <v>8</v>
      </c>
      <c r="OD712" s="27" t="s">
        <v>7</v>
      </c>
      <c r="OG712" s="27" t="s">
        <v>8</v>
      </c>
      <c r="OH712" s="27" t="s">
        <v>7</v>
      </c>
      <c r="OI712" s="27" t="s">
        <v>8</v>
      </c>
      <c r="OK712" s="27" t="s">
        <v>8</v>
      </c>
      <c r="OS712" s="27" t="s">
        <v>8</v>
      </c>
      <c r="OU712" s="27" t="s">
        <v>8</v>
      </c>
      <c r="OV712" s="27" t="s">
        <v>7</v>
      </c>
      <c r="OW712" s="27" t="s">
        <v>8</v>
      </c>
      <c r="OX712" s="27" t="s">
        <v>7</v>
      </c>
      <c r="PR712" s="27" t="s">
        <v>7</v>
      </c>
      <c r="PS712" s="27" t="s">
        <v>8</v>
      </c>
      <c r="PT712" s="27" t="s">
        <v>7</v>
      </c>
      <c r="PU712" s="27" t="s">
        <v>8</v>
      </c>
      <c r="PV712" s="27" t="s">
        <v>7</v>
      </c>
      <c r="PW712" s="27" t="s">
        <v>8</v>
      </c>
      <c r="PY712" s="27" t="s">
        <v>8</v>
      </c>
      <c r="QX712" s="27" t="s">
        <v>7</v>
      </c>
      <c r="QY712" s="27" t="s">
        <v>8</v>
      </c>
      <c r="RA712" s="27" t="s">
        <v>8</v>
      </c>
      <c r="RB712" s="27" t="s">
        <v>7</v>
      </c>
      <c r="RK712" s="27" t="s">
        <v>8</v>
      </c>
    </row>
    <row r="713" spans="1:482" x14ac:dyDescent="0.25">
      <c r="A713" s="7">
        <v>8.248564182121898E-2</v>
      </c>
      <c r="B713"/>
      <c r="C713"/>
      <c r="D713"/>
      <c r="E713"/>
      <c r="F713" s="27" t="s">
        <v>7</v>
      </c>
      <c r="KI713" s="27" t="s">
        <v>8</v>
      </c>
      <c r="KJ713" s="27" t="s">
        <v>7</v>
      </c>
      <c r="KK713" s="27" t="s">
        <v>8</v>
      </c>
      <c r="KL713" s="27" t="s">
        <v>7</v>
      </c>
      <c r="KM713" s="27" t="s">
        <v>8</v>
      </c>
      <c r="KN713" s="27" t="s">
        <v>7</v>
      </c>
      <c r="KQ713" s="27" t="s">
        <v>8</v>
      </c>
      <c r="KR713" s="27" t="s">
        <v>7</v>
      </c>
      <c r="KS713" s="27" t="s">
        <v>8</v>
      </c>
      <c r="LC713" s="27" t="s">
        <v>8</v>
      </c>
      <c r="LE713" s="27" t="s">
        <v>8</v>
      </c>
      <c r="LF713" s="27" t="s">
        <v>7</v>
      </c>
      <c r="LG713" s="27" t="s">
        <v>8</v>
      </c>
      <c r="LN713" s="27" t="s">
        <v>7</v>
      </c>
      <c r="NN713" s="27" t="s">
        <v>7</v>
      </c>
      <c r="NO713" s="27" t="s">
        <v>8</v>
      </c>
      <c r="NR713" s="27" t="s">
        <v>7</v>
      </c>
      <c r="NS713" s="27" t="s">
        <v>8</v>
      </c>
      <c r="OD713" s="27" t="s">
        <v>7</v>
      </c>
      <c r="OG713" s="27" t="s">
        <v>8</v>
      </c>
      <c r="OH713" s="27" t="s">
        <v>7</v>
      </c>
      <c r="OI713" s="27" t="s">
        <v>8</v>
      </c>
      <c r="OJ713" s="27" t="s">
        <v>7</v>
      </c>
      <c r="OK713" s="27" t="s">
        <v>8</v>
      </c>
      <c r="OL713" s="27" t="s">
        <v>7</v>
      </c>
      <c r="OS713" s="27" t="s">
        <v>8</v>
      </c>
      <c r="OT713" s="27" t="s">
        <v>7</v>
      </c>
      <c r="OU713" s="27" t="s">
        <v>8</v>
      </c>
      <c r="OV713" s="27" t="s">
        <v>7</v>
      </c>
      <c r="OW713" s="27" t="s">
        <v>8</v>
      </c>
      <c r="PR713" s="27" t="s">
        <v>7</v>
      </c>
      <c r="PS713" s="27" t="s">
        <v>8</v>
      </c>
      <c r="PT713" s="27" t="s">
        <v>7</v>
      </c>
      <c r="PU713" s="27" t="s">
        <v>8</v>
      </c>
      <c r="PV713" s="27" t="s">
        <v>7</v>
      </c>
      <c r="PW713" s="27" t="s">
        <v>8</v>
      </c>
      <c r="PX713" s="27" t="s">
        <v>7</v>
      </c>
      <c r="PY713" s="27" t="s">
        <v>8</v>
      </c>
      <c r="QX713" s="27" t="s">
        <v>7</v>
      </c>
      <c r="QY713" s="27" t="s">
        <v>8</v>
      </c>
      <c r="QZ713" s="27" t="s">
        <v>7</v>
      </c>
      <c r="RA713" s="27" t="s">
        <v>8</v>
      </c>
      <c r="RB713" s="27" t="s">
        <v>7</v>
      </c>
      <c r="RK713" s="27" t="s">
        <v>8</v>
      </c>
      <c r="RL713" s="27" t="s">
        <v>7</v>
      </c>
      <c r="RM713" s="27" t="s">
        <v>8</v>
      </c>
    </row>
    <row r="714" spans="1:482" x14ac:dyDescent="0.25">
      <c r="A714" s="7">
        <v>8.0868276295312735E-2</v>
      </c>
      <c r="B714"/>
      <c r="C714"/>
      <c r="D714"/>
      <c r="E714"/>
      <c r="F714" s="27" t="s">
        <v>7</v>
      </c>
      <c r="KI714" s="27" t="s">
        <v>8</v>
      </c>
      <c r="KJ714" s="27" t="s">
        <v>7</v>
      </c>
      <c r="KK714" s="27" t="s">
        <v>8</v>
      </c>
      <c r="KL714" s="27" t="s">
        <v>7</v>
      </c>
      <c r="KM714" s="27" t="s">
        <v>8</v>
      </c>
      <c r="KN714" s="27" t="s">
        <v>7</v>
      </c>
      <c r="KQ714" s="27" t="s">
        <v>8</v>
      </c>
      <c r="KR714" s="27" t="s">
        <v>7</v>
      </c>
      <c r="KS714" s="27" t="s">
        <v>8</v>
      </c>
      <c r="KT714" s="27" t="s">
        <v>7</v>
      </c>
      <c r="KW714" s="27" t="s">
        <v>8</v>
      </c>
      <c r="LA714" s="27" t="s">
        <v>8</v>
      </c>
      <c r="LC714" s="27" t="s">
        <v>8</v>
      </c>
      <c r="LD714" s="27" t="s">
        <v>7</v>
      </c>
      <c r="LE714" s="27" t="s">
        <v>8</v>
      </c>
      <c r="LF714" s="27" t="s">
        <v>7</v>
      </c>
      <c r="LG714" s="27" t="s">
        <v>8</v>
      </c>
      <c r="NN714" s="27" t="s">
        <v>7</v>
      </c>
      <c r="NO714" s="27" t="s">
        <v>8</v>
      </c>
      <c r="NR714" s="27" t="s">
        <v>7</v>
      </c>
      <c r="NS714" s="27" t="s">
        <v>8</v>
      </c>
      <c r="OD714" s="27" t="s">
        <v>7</v>
      </c>
      <c r="OG714" s="27" t="s">
        <v>8</v>
      </c>
      <c r="OH714" s="27" t="s">
        <v>7</v>
      </c>
      <c r="OI714" s="27" t="s">
        <v>8</v>
      </c>
      <c r="OJ714" s="27" t="s">
        <v>7</v>
      </c>
      <c r="OK714" s="27" t="s">
        <v>8</v>
      </c>
      <c r="OL714" s="27" t="s">
        <v>7</v>
      </c>
      <c r="OS714" s="27" t="s">
        <v>8</v>
      </c>
      <c r="OT714" s="27" t="s">
        <v>7</v>
      </c>
      <c r="OU714" s="27" t="s">
        <v>8</v>
      </c>
      <c r="OV714" s="27" t="s">
        <v>7</v>
      </c>
      <c r="OW714" s="27" t="s">
        <v>8</v>
      </c>
      <c r="PR714" s="27" t="s">
        <v>7</v>
      </c>
      <c r="PS714" s="27" t="s">
        <v>8</v>
      </c>
      <c r="PT714" s="27" t="s">
        <v>7</v>
      </c>
      <c r="PU714" s="27" t="s">
        <v>8</v>
      </c>
      <c r="PV714" s="27" t="s">
        <v>7</v>
      </c>
      <c r="PW714" s="27" t="s">
        <v>8</v>
      </c>
      <c r="PX714" s="27" t="s">
        <v>7</v>
      </c>
      <c r="PY714" s="27" t="s">
        <v>8</v>
      </c>
      <c r="QX714" s="27" t="s">
        <v>7</v>
      </c>
      <c r="QY714" s="27" t="s">
        <v>8</v>
      </c>
      <c r="QZ714" s="27" t="s">
        <v>7</v>
      </c>
      <c r="RA714" s="27" t="s">
        <v>8</v>
      </c>
      <c r="RB714" s="27" t="s">
        <v>7</v>
      </c>
      <c r="RK714" s="27" t="s">
        <v>8</v>
      </c>
      <c r="RL714" s="27" t="s">
        <v>7</v>
      </c>
      <c r="RM714" s="27" t="s">
        <v>8</v>
      </c>
      <c r="RN714" s="27" t="s">
        <v>7</v>
      </c>
    </row>
    <row r="715" spans="1:482" x14ac:dyDescent="0.25">
      <c r="A715" s="7">
        <v>7.9282623818934056E-2</v>
      </c>
      <c r="B715"/>
      <c r="C715"/>
      <c r="D715"/>
      <c r="E715"/>
      <c r="F715" s="27" t="s">
        <v>7</v>
      </c>
      <c r="KI715" s="27" t="s">
        <v>8</v>
      </c>
      <c r="KJ715" s="27" t="s">
        <v>7</v>
      </c>
      <c r="KK715" s="27" t="s">
        <v>8</v>
      </c>
      <c r="KL715" s="27" t="s">
        <v>7</v>
      </c>
      <c r="KM715" s="27" t="s">
        <v>8</v>
      </c>
      <c r="KN715" s="27" t="s">
        <v>7</v>
      </c>
      <c r="KQ715" s="27" t="s">
        <v>8</v>
      </c>
      <c r="KR715" s="27" t="s">
        <v>7</v>
      </c>
      <c r="KS715" s="27" t="s">
        <v>8</v>
      </c>
      <c r="KT715" s="27" t="s">
        <v>7</v>
      </c>
      <c r="KW715" s="27" t="s">
        <v>8</v>
      </c>
      <c r="KX715" s="27" t="s">
        <v>7</v>
      </c>
      <c r="LA715" s="27" t="s">
        <v>8</v>
      </c>
      <c r="LB715" s="27" t="s">
        <v>7</v>
      </c>
      <c r="LC715" s="27" t="s">
        <v>8</v>
      </c>
      <c r="LD715" s="27" t="s">
        <v>7</v>
      </c>
      <c r="LE715" s="27" t="s">
        <v>8</v>
      </c>
      <c r="LF715" s="27" t="s">
        <v>7</v>
      </c>
      <c r="LG715" s="27" t="s">
        <v>8</v>
      </c>
      <c r="NN715" s="27" t="s">
        <v>7</v>
      </c>
      <c r="NO715" s="27" t="s">
        <v>8</v>
      </c>
      <c r="NR715" s="27" t="s">
        <v>7</v>
      </c>
      <c r="NS715" s="27" t="s">
        <v>8</v>
      </c>
      <c r="OD715" s="27" t="s">
        <v>7</v>
      </c>
      <c r="OE715" s="27" t="s">
        <v>8</v>
      </c>
      <c r="OG715" s="27" t="s">
        <v>8</v>
      </c>
      <c r="OH715" s="27" t="s">
        <v>7</v>
      </c>
      <c r="OI715" s="27" t="s">
        <v>8</v>
      </c>
      <c r="OJ715" s="27" t="s">
        <v>7</v>
      </c>
      <c r="OK715" s="27" t="s">
        <v>8</v>
      </c>
      <c r="OL715" s="27" t="s">
        <v>7</v>
      </c>
      <c r="OS715" s="27" t="s">
        <v>8</v>
      </c>
      <c r="OT715" s="27" t="s">
        <v>7</v>
      </c>
      <c r="OU715" s="27" t="s">
        <v>8</v>
      </c>
      <c r="OV715" s="27" t="s">
        <v>7</v>
      </c>
      <c r="OW715" s="27" t="s">
        <v>8</v>
      </c>
      <c r="PR715" s="27" t="s">
        <v>7</v>
      </c>
      <c r="PT715" s="27" t="s">
        <v>7</v>
      </c>
      <c r="PV715" s="27" t="s">
        <v>7</v>
      </c>
      <c r="PW715" s="27" t="s">
        <v>8</v>
      </c>
      <c r="PX715" s="27" t="s">
        <v>7</v>
      </c>
      <c r="PY715" s="27" t="s">
        <v>8</v>
      </c>
      <c r="QX715" s="27" t="s">
        <v>7</v>
      </c>
      <c r="QZ715" s="27" t="s">
        <v>7</v>
      </c>
      <c r="RA715" s="27" t="s">
        <v>8</v>
      </c>
      <c r="RB715" s="27" t="s">
        <v>7</v>
      </c>
      <c r="RK715" s="27" t="s">
        <v>8</v>
      </c>
      <c r="RL715" s="27" t="s">
        <v>7</v>
      </c>
      <c r="RM715" s="27" t="s">
        <v>8</v>
      </c>
      <c r="RN715" s="27" t="s">
        <v>7</v>
      </c>
    </row>
    <row r="716" spans="1:482" x14ac:dyDescent="0.25">
      <c r="A716" s="7">
        <v>7.7728062567582412E-2</v>
      </c>
      <c r="B716"/>
      <c r="C716"/>
      <c r="D716"/>
      <c r="E716"/>
      <c r="F716" s="27" t="s">
        <v>7</v>
      </c>
      <c r="KI716" s="27" t="s">
        <v>8</v>
      </c>
      <c r="KJ716" s="27" t="s">
        <v>7</v>
      </c>
      <c r="KK716" s="27" t="s">
        <v>8</v>
      </c>
      <c r="KL716" s="27" t="s">
        <v>7</v>
      </c>
      <c r="KM716" s="27" t="s">
        <v>8</v>
      </c>
      <c r="KN716" s="27" t="s">
        <v>7</v>
      </c>
      <c r="KO716" s="27" t="s">
        <v>8</v>
      </c>
      <c r="KQ716" s="27" t="s">
        <v>8</v>
      </c>
      <c r="KR716" s="27" t="s">
        <v>7</v>
      </c>
      <c r="KS716" s="27" t="s">
        <v>8</v>
      </c>
      <c r="KT716" s="27" t="s">
        <v>7</v>
      </c>
      <c r="KW716" s="27" t="s">
        <v>8</v>
      </c>
      <c r="KX716" s="27" t="s">
        <v>7</v>
      </c>
      <c r="LA716" s="27" t="s">
        <v>8</v>
      </c>
      <c r="LB716" s="27" t="s">
        <v>7</v>
      </c>
      <c r="LC716" s="27" t="s">
        <v>8</v>
      </c>
      <c r="LD716" s="27" t="s">
        <v>7</v>
      </c>
      <c r="LE716" s="27" t="s">
        <v>8</v>
      </c>
      <c r="LF716" s="27" t="s">
        <v>7</v>
      </c>
      <c r="LG716" s="27" t="s">
        <v>8</v>
      </c>
      <c r="NN716" s="27" t="s">
        <v>7</v>
      </c>
      <c r="NO716" s="27" t="s">
        <v>8</v>
      </c>
      <c r="NR716" s="27" t="s">
        <v>7</v>
      </c>
      <c r="NS716" s="27" t="s">
        <v>8</v>
      </c>
      <c r="OD716" s="27" t="s">
        <v>7</v>
      </c>
      <c r="OE716" s="27" t="s">
        <v>8</v>
      </c>
      <c r="OF716" s="27" t="s">
        <v>7</v>
      </c>
      <c r="OG716" s="27" t="s">
        <v>8</v>
      </c>
      <c r="OH716" s="27" t="s">
        <v>7</v>
      </c>
      <c r="OJ716" s="27" t="s">
        <v>7</v>
      </c>
      <c r="OL716" s="27" t="s">
        <v>7</v>
      </c>
      <c r="OS716" s="27" t="s">
        <v>8</v>
      </c>
      <c r="OT716" s="27" t="s">
        <v>7</v>
      </c>
      <c r="OU716" s="27" t="s">
        <v>8</v>
      </c>
      <c r="OV716" s="27" t="s">
        <v>7</v>
      </c>
      <c r="PV716" s="27" t="s">
        <v>7</v>
      </c>
      <c r="PX716" s="27" t="s">
        <v>7</v>
      </c>
      <c r="PY716" s="27" t="s">
        <v>8</v>
      </c>
      <c r="QZ716" s="27" t="s">
        <v>7</v>
      </c>
      <c r="RB716" s="27" t="s">
        <v>7</v>
      </c>
      <c r="RK716" s="27" t="s">
        <v>8</v>
      </c>
      <c r="RL716" s="27" t="s">
        <v>7</v>
      </c>
      <c r="RM716" s="27" t="s">
        <v>8</v>
      </c>
      <c r="RN716" s="27" t="s">
        <v>7</v>
      </c>
    </row>
    <row r="717" spans="1:482" x14ac:dyDescent="0.25">
      <c r="A717" s="7">
        <v>7.6203982909394521E-2</v>
      </c>
      <c r="B717"/>
      <c r="C717"/>
      <c r="D717"/>
      <c r="E717"/>
      <c r="F717" s="27" t="s">
        <v>7</v>
      </c>
      <c r="KI717" s="27" t="s">
        <v>8</v>
      </c>
      <c r="KJ717" s="27" t="s">
        <v>7</v>
      </c>
      <c r="KL717" s="27" t="s">
        <v>7</v>
      </c>
      <c r="KM717" s="27" t="s">
        <v>8</v>
      </c>
      <c r="KN717" s="27" t="s">
        <v>7</v>
      </c>
      <c r="KO717" s="27" t="s">
        <v>8</v>
      </c>
      <c r="KP717" s="27" t="s">
        <v>7</v>
      </c>
      <c r="KQ717" s="27" t="s">
        <v>8</v>
      </c>
      <c r="KR717" s="27" t="s">
        <v>7</v>
      </c>
      <c r="KS717" s="27" t="s">
        <v>8</v>
      </c>
      <c r="KT717" s="27" t="s">
        <v>7</v>
      </c>
      <c r="KW717" s="27" t="s">
        <v>8</v>
      </c>
      <c r="KX717" s="27" t="s">
        <v>7</v>
      </c>
      <c r="LA717" s="27" t="s">
        <v>8</v>
      </c>
      <c r="LB717" s="27" t="s">
        <v>7</v>
      </c>
      <c r="LC717" s="27" t="s">
        <v>8</v>
      </c>
      <c r="LD717" s="27" t="s">
        <v>7</v>
      </c>
      <c r="LE717" s="27" t="s">
        <v>8</v>
      </c>
      <c r="LF717" s="27" t="s">
        <v>7</v>
      </c>
      <c r="LG717" s="27" t="s">
        <v>8</v>
      </c>
      <c r="NN717" s="27" t="s">
        <v>7</v>
      </c>
      <c r="NO717" s="27" t="s">
        <v>8</v>
      </c>
      <c r="NR717" s="27" t="s">
        <v>7</v>
      </c>
      <c r="NS717" s="27" t="s">
        <v>8</v>
      </c>
      <c r="OD717" s="27" t="s">
        <v>7</v>
      </c>
      <c r="OE717" s="27" t="s">
        <v>8</v>
      </c>
      <c r="OF717" s="27" t="s">
        <v>7</v>
      </c>
      <c r="OG717" s="27" t="s">
        <v>8</v>
      </c>
      <c r="OL717" s="27" t="s">
        <v>7</v>
      </c>
      <c r="OS717" s="27" t="s">
        <v>8</v>
      </c>
      <c r="OT717" s="27" t="s">
        <v>7</v>
      </c>
      <c r="OU717" s="27" t="s">
        <v>8</v>
      </c>
      <c r="PX717" s="27" t="s">
        <v>7</v>
      </c>
      <c r="PY717" s="27" t="s">
        <v>8</v>
      </c>
      <c r="RB717" s="27" t="s">
        <v>7</v>
      </c>
      <c r="RK717" s="27" t="s">
        <v>8</v>
      </c>
      <c r="RL717" s="27" t="s">
        <v>7</v>
      </c>
      <c r="RM717" s="27" t="s">
        <v>8</v>
      </c>
      <c r="RN717" s="27" t="s">
        <v>7</v>
      </c>
    </row>
    <row r="718" spans="1:482" x14ac:dyDescent="0.25">
      <c r="A718" s="7">
        <v>7.4709787166073058E-2</v>
      </c>
      <c r="B718"/>
      <c r="C718"/>
      <c r="D718"/>
      <c r="E718"/>
      <c r="F718" s="27" t="s">
        <v>7</v>
      </c>
      <c r="KI718" s="27" t="s">
        <v>8</v>
      </c>
      <c r="KL718" s="27" t="s">
        <v>7</v>
      </c>
      <c r="KM718" s="27" t="s">
        <v>8</v>
      </c>
      <c r="KN718" s="27" t="s">
        <v>7</v>
      </c>
      <c r="KO718" s="27" t="s">
        <v>8</v>
      </c>
      <c r="KP718" s="27" t="s">
        <v>7</v>
      </c>
      <c r="KQ718" s="27" t="s">
        <v>8</v>
      </c>
      <c r="KR718" s="27" t="s">
        <v>7</v>
      </c>
      <c r="KS718" s="27" t="s">
        <v>8</v>
      </c>
      <c r="KT718" s="27" t="s">
        <v>7</v>
      </c>
      <c r="KW718" s="27" t="s">
        <v>8</v>
      </c>
      <c r="KX718" s="27" t="s">
        <v>7</v>
      </c>
      <c r="LA718" s="27" t="s">
        <v>8</v>
      </c>
      <c r="LB718" s="27" t="s">
        <v>7</v>
      </c>
      <c r="LC718" s="27" t="s">
        <v>8</v>
      </c>
      <c r="LD718" s="27" t="s">
        <v>7</v>
      </c>
      <c r="LE718" s="27" t="s">
        <v>8</v>
      </c>
      <c r="LF718" s="27" t="s">
        <v>7</v>
      </c>
      <c r="LG718" s="27" t="s">
        <v>8</v>
      </c>
      <c r="NN718" s="27" t="s">
        <v>7</v>
      </c>
      <c r="NO718" s="27" t="s">
        <v>8</v>
      </c>
      <c r="NR718" s="27" t="s">
        <v>7</v>
      </c>
      <c r="NS718" s="27" t="s">
        <v>8</v>
      </c>
      <c r="OD718" s="27" t="s">
        <v>7</v>
      </c>
      <c r="OE718" s="27" t="s">
        <v>8</v>
      </c>
      <c r="OF718" s="27" t="s">
        <v>7</v>
      </c>
      <c r="OG718" s="27" t="s">
        <v>8</v>
      </c>
      <c r="OL718" s="27" t="s">
        <v>7</v>
      </c>
      <c r="OS718" s="27" t="s">
        <v>8</v>
      </c>
      <c r="OT718" s="27" t="s">
        <v>7</v>
      </c>
      <c r="OU718" s="27" t="s">
        <v>8</v>
      </c>
      <c r="PX718" s="27" t="s">
        <v>7</v>
      </c>
      <c r="RB718" s="27" t="s">
        <v>7</v>
      </c>
      <c r="RE718" s="27" t="s">
        <v>8</v>
      </c>
      <c r="RK718" s="27" t="s">
        <v>8</v>
      </c>
      <c r="RL718" s="27" t="s">
        <v>7</v>
      </c>
      <c r="RN718" s="27" t="s">
        <v>7</v>
      </c>
    </row>
    <row r="719" spans="1:482" x14ac:dyDescent="0.25">
      <c r="A719" s="7">
        <v>7.3244889378503E-2</v>
      </c>
      <c r="B719"/>
      <c r="C719"/>
      <c r="D719"/>
      <c r="E719"/>
      <c r="F719" s="27" t="s">
        <v>7</v>
      </c>
      <c r="KI719" s="27" t="s">
        <v>8</v>
      </c>
      <c r="KL719" s="27" t="s">
        <v>7</v>
      </c>
      <c r="KM719" s="27" t="s">
        <v>8</v>
      </c>
      <c r="KN719" s="27" t="s">
        <v>7</v>
      </c>
      <c r="KO719" s="27" t="s">
        <v>8</v>
      </c>
      <c r="KP719" s="27" t="s">
        <v>7</v>
      </c>
      <c r="KQ719" s="27" t="s">
        <v>8</v>
      </c>
      <c r="KR719" s="27" t="s">
        <v>7</v>
      </c>
      <c r="KS719" s="27" t="s">
        <v>8</v>
      </c>
      <c r="KT719" s="27" t="s">
        <v>7</v>
      </c>
      <c r="KW719" s="27" t="s">
        <v>8</v>
      </c>
      <c r="KX719" s="27" t="s">
        <v>7</v>
      </c>
      <c r="LA719" s="27" t="s">
        <v>8</v>
      </c>
      <c r="LB719" s="27" t="s">
        <v>7</v>
      </c>
      <c r="LC719" s="27" t="s">
        <v>8</v>
      </c>
      <c r="LD719" s="27" t="s">
        <v>7</v>
      </c>
      <c r="LE719" s="27" t="s">
        <v>8</v>
      </c>
      <c r="LF719" s="27" t="s">
        <v>7</v>
      </c>
      <c r="NN719" s="27" t="s">
        <v>7</v>
      </c>
      <c r="NO719" s="27" t="s">
        <v>8</v>
      </c>
      <c r="NR719" s="27" t="s">
        <v>7</v>
      </c>
      <c r="NS719" s="27" t="s">
        <v>8</v>
      </c>
      <c r="OD719" s="27" t="s">
        <v>7</v>
      </c>
      <c r="OE719" s="27" t="s">
        <v>8</v>
      </c>
      <c r="OF719" s="27" t="s">
        <v>7</v>
      </c>
      <c r="OG719" s="27" t="s">
        <v>8</v>
      </c>
      <c r="OL719" s="27" t="s">
        <v>7</v>
      </c>
      <c r="OS719" s="27" t="s">
        <v>8</v>
      </c>
      <c r="OT719" s="27" t="s">
        <v>7</v>
      </c>
      <c r="OU719" s="27" t="s">
        <v>8</v>
      </c>
      <c r="RB719" s="27" t="s">
        <v>7</v>
      </c>
      <c r="RE719" s="27" t="s">
        <v>8</v>
      </c>
      <c r="RF719" s="27" t="s">
        <v>7</v>
      </c>
      <c r="RK719" s="27" t="s">
        <v>8</v>
      </c>
      <c r="RN719" s="27" t="s">
        <v>7</v>
      </c>
    </row>
    <row r="720" spans="1:482" x14ac:dyDescent="0.25">
      <c r="A720" s="7">
        <v>7.1808715076963722E-2</v>
      </c>
      <c r="B720"/>
      <c r="C720"/>
      <c r="D720"/>
      <c r="E720"/>
      <c r="F720" s="27" t="s">
        <v>7</v>
      </c>
      <c r="KI720" s="27" t="s">
        <v>8</v>
      </c>
      <c r="KL720" s="27" t="s">
        <v>7</v>
      </c>
      <c r="KM720" s="27" t="s">
        <v>8</v>
      </c>
      <c r="KN720" s="27" t="s">
        <v>7</v>
      </c>
      <c r="KO720" s="27" t="s">
        <v>8</v>
      </c>
      <c r="KP720" s="27" t="s">
        <v>7</v>
      </c>
      <c r="KQ720" s="27" t="s">
        <v>8</v>
      </c>
      <c r="KR720" s="27" t="s">
        <v>7</v>
      </c>
      <c r="KS720" s="27" t="s">
        <v>8</v>
      </c>
      <c r="KT720" s="27" t="s">
        <v>7</v>
      </c>
      <c r="KU720" s="27" t="s">
        <v>8</v>
      </c>
      <c r="KW720" s="27" t="s">
        <v>8</v>
      </c>
      <c r="KX720" s="27" t="s">
        <v>7</v>
      </c>
      <c r="KY720" s="27" t="s">
        <v>8</v>
      </c>
      <c r="LA720" s="27" t="s">
        <v>8</v>
      </c>
      <c r="LB720" s="27" t="s">
        <v>7</v>
      </c>
      <c r="LC720" s="27" t="s">
        <v>8</v>
      </c>
      <c r="LD720" s="27" t="s">
        <v>7</v>
      </c>
      <c r="NN720" s="27" t="s">
        <v>7</v>
      </c>
      <c r="NO720" s="27" t="s">
        <v>8</v>
      </c>
      <c r="NR720" s="27" t="s">
        <v>7</v>
      </c>
      <c r="NS720" s="27" t="s">
        <v>8</v>
      </c>
      <c r="OD720" s="27" t="s">
        <v>7</v>
      </c>
      <c r="OE720" s="27" t="s">
        <v>8</v>
      </c>
      <c r="OF720" s="27" t="s">
        <v>7</v>
      </c>
      <c r="OG720" s="27" t="s">
        <v>8</v>
      </c>
      <c r="OL720" s="27" t="s">
        <v>7</v>
      </c>
      <c r="OS720" s="27" t="s">
        <v>8</v>
      </c>
      <c r="OT720" s="27" t="s">
        <v>7</v>
      </c>
      <c r="OU720" s="27" t="s">
        <v>8</v>
      </c>
      <c r="RB720" s="27" t="s">
        <v>7</v>
      </c>
      <c r="RE720" s="27" t="s">
        <v>8</v>
      </c>
      <c r="RF720" s="27" t="s">
        <v>7</v>
      </c>
      <c r="RK720" s="27" t="s">
        <v>8</v>
      </c>
      <c r="RN720" s="27" t="s">
        <v>7</v>
      </c>
    </row>
    <row r="721" spans="1:488" x14ac:dyDescent="0.25">
      <c r="A721" s="7">
        <v>7.0400701055846782E-2</v>
      </c>
      <c r="B721"/>
      <c r="C721"/>
      <c r="D721"/>
      <c r="E721"/>
      <c r="F721" s="27" t="s">
        <v>7</v>
      </c>
      <c r="KI721" s="27" t="s">
        <v>8</v>
      </c>
      <c r="KL721" s="27" t="s">
        <v>7</v>
      </c>
      <c r="KN721" s="27" t="s">
        <v>7</v>
      </c>
      <c r="KO721" s="27" t="s">
        <v>8</v>
      </c>
      <c r="KP721" s="27" t="s">
        <v>7</v>
      </c>
      <c r="KQ721" s="27" t="s">
        <v>8</v>
      </c>
      <c r="KR721" s="27" t="s">
        <v>7</v>
      </c>
      <c r="KS721" s="27" t="s">
        <v>8</v>
      </c>
      <c r="KT721" s="27" t="s">
        <v>7</v>
      </c>
      <c r="KU721" s="27" t="s">
        <v>8</v>
      </c>
      <c r="KV721" s="27" t="s">
        <v>7</v>
      </c>
      <c r="KW721" s="27" t="s">
        <v>8</v>
      </c>
      <c r="KX721" s="27" t="s">
        <v>7</v>
      </c>
      <c r="KY721" s="27" t="s">
        <v>8</v>
      </c>
      <c r="KZ721" s="27" t="s">
        <v>7</v>
      </c>
      <c r="LA721" s="27" t="s">
        <v>8</v>
      </c>
      <c r="LB721" s="27" t="s">
        <v>7</v>
      </c>
      <c r="LC721" s="27" t="s">
        <v>8</v>
      </c>
      <c r="NN721" s="27" t="s">
        <v>7</v>
      </c>
      <c r="NO721" s="27" t="s">
        <v>8</v>
      </c>
      <c r="NR721" s="27" t="s">
        <v>7</v>
      </c>
      <c r="OD721" s="27" t="s">
        <v>7</v>
      </c>
      <c r="OE721" s="27" t="s">
        <v>8</v>
      </c>
      <c r="OF721" s="27" t="s">
        <v>7</v>
      </c>
      <c r="OG721" s="27" t="s">
        <v>8</v>
      </c>
      <c r="OL721" s="27" t="s">
        <v>7</v>
      </c>
      <c r="OM721" s="27" t="s">
        <v>8</v>
      </c>
      <c r="OS721" s="27" t="s">
        <v>8</v>
      </c>
      <c r="OT721" s="27" t="s">
        <v>7</v>
      </c>
      <c r="RB721" s="27" t="s">
        <v>7</v>
      </c>
      <c r="RC721" s="27" t="s">
        <v>8</v>
      </c>
      <c r="RE721" s="27" t="s">
        <v>8</v>
      </c>
      <c r="RF721" s="27" t="s">
        <v>7</v>
      </c>
      <c r="RK721" s="27" t="s">
        <v>8</v>
      </c>
      <c r="RN721" s="27" t="s">
        <v>7</v>
      </c>
    </row>
    <row r="722" spans="1:488" x14ac:dyDescent="0.25">
      <c r="A722" s="7">
        <v>6.9020295152790956E-2</v>
      </c>
      <c r="B722"/>
      <c r="C722"/>
      <c r="D722"/>
      <c r="E722"/>
      <c r="F722" s="27" t="s">
        <v>7</v>
      </c>
      <c r="KI722" s="27" t="s">
        <v>8</v>
      </c>
      <c r="KN722" s="27" t="s">
        <v>7</v>
      </c>
      <c r="KO722" s="27" t="s">
        <v>8</v>
      </c>
      <c r="KP722" s="27" t="s">
        <v>7</v>
      </c>
      <c r="KQ722" s="27" t="s">
        <v>8</v>
      </c>
      <c r="KR722" s="27" t="s">
        <v>7</v>
      </c>
      <c r="KT722" s="27" t="s">
        <v>7</v>
      </c>
      <c r="KU722" s="27" t="s">
        <v>8</v>
      </c>
      <c r="KV722" s="27" t="s">
        <v>7</v>
      </c>
      <c r="KW722" s="27" t="s">
        <v>8</v>
      </c>
      <c r="KX722" s="27" t="s">
        <v>7</v>
      </c>
      <c r="KY722" s="27" t="s">
        <v>8</v>
      </c>
      <c r="KZ722" s="27" t="s">
        <v>7</v>
      </c>
      <c r="LA722" s="27" t="s">
        <v>8</v>
      </c>
      <c r="LB722" s="27" t="s">
        <v>7</v>
      </c>
      <c r="LC722" s="27" t="s">
        <v>8</v>
      </c>
      <c r="NN722" s="27" t="s">
        <v>7</v>
      </c>
      <c r="NO722" s="27" t="s">
        <v>8</v>
      </c>
      <c r="OD722" s="27" t="s">
        <v>7</v>
      </c>
      <c r="OE722" s="27" t="s">
        <v>8</v>
      </c>
      <c r="OF722" s="27" t="s">
        <v>7</v>
      </c>
      <c r="OG722" s="27" t="s">
        <v>8</v>
      </c>
      <c r="OL722" s="27" t="s">
        <v>7</v>
      </c>
      <c r="OM722" s="27" t="s">
        <v>8</v>
      </c>
      <c r="ON722" s="27" t="s">
        <v>7</v>
      </c>
      <c r="OS722" s="27" t="s">
        <v>8</v>
      </c>
      <c r="RB722" s="27" t="s">
        <v>7</v>
      </c>
      <c r="RC722" s="27" t="s">
        <v>8</v>
      </c>
      <c r="RD722" s="27" t="s">
        <v>7</v>
      </c>
      <c r="RE722" s="27" t="s">
        <v>8</v>
      </c>
      <c r="RF722" s="27" t="s">
        <v>7</v>
      </c>
      <c r="RK722" s="27" t="s">
        <v>8</v>
      </c>
      <c r="RN722" s="27" t="s">
        <v>7</v>
      </c>
      <c r="RQ722" s="27" t="s">
        <v>8</v>
      </c>
    </row>
    <row r="723" spans="1:488" x14ac:dyDescent="0.25">
      <c r="A723" s="7">
        <v>6.7666956032147993E-2</v>
      </c>
      <c r="B723"/>
      <c r="C723"/>
      <c r="D723"/>
      <c r="E723"/>
      <c r="F723" s="27" t="s">
        <v>7</v>
      </c>
      <c r="KI723" s="27" t="s">
        <v>8</v>
      </c>
      <c r="KN723" s="27" t="s">
        <v>7</v>
      </c>
      <c r="KO723" s="27" t="s">
        <v>8</v>
      </c>
      <c r="KP723" s="27" t="s">
        <v>7</v>
      </c>
      <c r="KQ723" s="27" t="s">
        <v>8</v>
      </c>
      <c r="KT723" s="27" t="s">
        <v>7</v>
      </c>
      <c r="KU723" s="27" t="s">
        <v>8</v>
      </c>
      <c r="KV723" s="27" t="s">
        <v>7</v>
      </c>
      <c r="KW723" s="27" t="s">
        <v>8</v>
      </c>
      <c r="KX723" s="27" t="s">
        <v>7</v>
      </c>
      <c r="KY723" s="27" t="s">
        <v>8</v>
      </c>
      <c r="KZ723" s="27" t="s">
        <v>7</v>
      </c>
      <c r="LA723" s="27" t="s">
        <v>8</v>
      </c>
      <c r="LB723" s="27" t="s">
        <v>7</v>
      </c>
      <c r="NN723" s="27" t="s">
        <v>7</v>
      </c>
      <c r="NO723" s="27" t="s">
        <v>8</v>
      </c>
      <c r="OD723" s="27" t="s">
        <v>7</v>
      </c>
      <c r="OE723" s="27" t="s">
        <v>8</v>
      </c>
      <c r="OF723" s="27" t="s">
        <v>7</v>
      </c>
      <c r="OG723" s="27" t="s">
        <v>8</v>
      </c>
      <c r="OL723" s="27" t="s">
        <v>7</v>
      </c>
      <c r="OM723" s="27" t="s">
        <v>8</v>
      </c>
      <c r="ON723" s="27" t="s">
        <v>7</v>
      </c>
      <c r="OS723" s="27" t="s">
        <v>8</v>
      </c>
      <c r="RB723" s="27" t="s">
        <v>7</v>
      </c>
      <c r="RC723" s="27" t="s">
        <v>8</v>
      </c>
      <c r="RD723" s="27" t="s">
        <v>7</v>
      </c>
      <c r="RE723" s="27" t="s">
        <v>8</v>
      </c>
      <c r="RF723" s="27" t="s">
        <v>7</v>
      </c>
      <c r="RK723" s="27" t="s">
        <v>8</v>
      </c>
      <c r="RN723" s="27" t="s">
        <v>7</v>
      </c>
      <c r="RQ723" s="27" t="s">
        <v>8</v>
      </c>
      <c r="RR723" s="27" t="s">
        <v>7</v>
      </c>
    </row>
    <row r="724" spans="1:488" x14ac:dyDescent="0.25">
      <c r="A724" s="7">
        <v>6.6340152972694105E-2</v>
      </c>
      <c r="B724"/>
      <c r="C724"/>
      <c r="D724"/>
      <c r="E724"/>
      <c r="F724" s="27" t="s">
        <v>7</v>
      </c>
      <c r="KI724" s="27" t="s">
        <v>8</v>
      </c>
      <c r="KN724" s="27" t="s">
        <v>7</v>
      </c>
      <c r="KO724" s="27" t="s">
        <v>8</v>
      </c>
      <c r="KP724" s="27" t="s">
        <v>7</v>
      </c>
      <c r="KT724" s="27" t="s">
        <v>7</v>
      </c>
      <c r="KU724" s="27" t="s">
        <v>8</v>
      </c>
      <c r="KV724" s="27" t="s">
        <v>7</v>
      </c>
      <c r="KW724" s="27" t="s">
        <v>8</v>
      </c>
      <c r="KX724" s="27" t="s">
        <v>7</v>
      </c>
      <c r="KY724" s="27" t="s">
        <v>8</v>
      </c>
      <c r="KZ724" s="27" t="s">
        <v>7</v>
      </c>
      <c r="LA724" s="27" t="s">
        <v>8</v>
      </c>
      <c r="NN724" s="27" t="s">
        <v>7</v>
      </c>
      <c r="NO724" s="27" t="s">
        <v>8</v>
      </c>
      <c r="OD724" s="27" t="s">
        <v>7</v>
      </c>
      <c r="OE724" s="27" t="s">
        <v>8</v>
      </c>
      <c r="OF724" s="27" t="s">
        <v>7</v>
      </c>
      <c r="OL724" s="27" t="s">
        <v>7</v>
      </c>
      <c r="OM724" s="27" t="s">
        <v>8</v>
      </c>
      <c r="ON724" s="27" t="s">
        <v>7</v>
      </c>
      <c r="OS724" s="27" t="s">
        <v>8</v>
      </c>
      <c r="RB724" s="27" t="s">
        <v>7</v>
      </c>
      <c r="RC724" s="27" t="s">
        <v>8</v>
      </c>
      <c r="RD724" s="27" t="s">
        <v>7</v>
      </c>
      <c r="RE724" s="27" t="s">
        <v>8</v>
      </c>
      <c r="RF724" s="27" t="s">
        <v>7</v>
      </c>
      <c r="RK724" s="27" t="s">
        <v>8</v>
      </c>
      <c r="RN724" s="27" t="s">
        <v>7</v>
      </c>
      <c r="RO724" s="27" t="s">
        <v>8</v>
      </c>
      <c r="RQ724" s="27" t="s">
        <v>8</v>
      </c>
      <c r="RR724" s="27" t="s">
        <v>7</v>
      </c>
      <c r="RS724" s="27" t="s">
        <v>8</v>
      </c>
    </row>
    <row r="725" spans="1:488" x14ac:dyDescent="0.25">
      <c r="A725" s="7">
        <v>6.5039365659504023E-2</v>
      </c>
      <c r="B725"/>
      <c r="C725"/>
      <c r="D725"/>
      <c r="E725"/>
      <c r="F725" s="27" t="s">
        <v>7</v>
      </c>
      <c r="KG725" s="27" t="s">
        <v>8</v>
      </c>
      <c r="KI725" s="27" t="s">
        <v>8</v>
      </c>
      <c r="KN725" s="27" t="s">
        <v>7</v>
      </c>
      <c r="KO725" s="27" t="s">
        <v>8</v>
      </c>
      <c r="KT725" s="27" t="s">
        <v>7</v>
      </c>
      <c r="KU725" s="27" t="s">
        <v>8</v>
      </c>
      <c r="KV725" s="27" t="s">
        <v>7</v>
      </c>
      <c r="KW725" s="27" t="s">
        <v>8</v>
      </c>
      <c r="KX725" s="27" t="s">
        <v>7</v>
      </c>
      <c r="KY725" s="27" t="s">
        <v>8</v>
      </c>
      <c r="KZ725" s="27" t="s">
        <v>7</v>
      </c>
      <c r="LA725" s="27" t="s">
        <v>8</v>
      </c>
      <c r="NN725" s="27" t="s">
        <v>7</v>
      </c>
      <c r="NO725" s="27" t="s">
        <v>8</v>
      </c>
      <c r="OD725" s="27" t="s">
        <v>7</v>
      </c>
      <c r="OE725" s="27" t="s">
        <v>8</v>
      </c>
      <c r="OL725" s="27" t="s">
        <v>7</v>
      </c>
      <c r="ON725" s="27" t="s">
        <v>7</v>
      </c>
      <c r="OO725" s="27" t="s">
        <v>8</v>
      </c>
      <c r="OS725" s="27" t="s">
        <v>8</v>
      </c>
      <c r="RB725" s="27" t="s">
        <v>7</v>
      </c>
      <c r="RC725" s="27" t="s">
        <v>8</v>
      </c>
      <c r="RD725" s="27" t="s">
        <v>7</v>
      </c>
      <c r="RE725" s="27" t="s">
        <v>8</v>
      </c>
      <c r="RF725" s="27" t="s">
        <v>7</v>
      </c>
      <c r="RI725" s="27" t="s">
        <v>8</v>
      </c>
      <c r="RK725" s="27" t="s">
        <v>8</v>
      </c>
      <c r="RN725" s="27" t="s">
        <v>7</v>
      </c>
      <c r="RO725" s="27" t="s">
        <v>8</v>
      </c>
      <c r="RP725" s="27" t="s">
        <v>7</v>
      </c>
      <c r="RQ725" s="27" t="s">
        <v>8</v>
      </c>
      <c r="RR725" s="27" t="s">
        <v>7</v>
      </c>
      <c r="RS725" s="27" t="s">
        <v>8</v>
      </c>
      <c r="RT725" s="27" t="s">
        <v>7</v>
      </c>
    </row>
    <row r="726" spans="1:488" x14ac:dyDescent="0.25">
      <c r="A726" s="7">
        <v>6.3764083979905906E-2</v>
      </c>
      <c r="B726"/>
      <c r="C726"/>
      <c r="D726"/>
      <c r="E726"/>
      <c r="F726" s="27" t="s">
        <v>7</v>
      </c>
      <c r="KG726" s="27" t="s">
        <v>8</v>
      </c>
      <c r="KH726" s="27" t="s">
        <v>7</v>
      </c>
      <c r="KI726" s="27" t="s">
        <v>8</v>
      </c>
      <c r="KN726" s="27" t="s">
        <v>7</v>
      </c>
      <c r="KT726" s="27" t="s">
        <v>7</v>
      </c>
      <c r="KU726" s="27" t="s">
        <v>8</v>
      </c>
      <c r="KV726" s="27" t="s">
        <v>7</v>
      </c>
      <c r="KW726" s="27" t="s">
        <v>8</v>
      </c>
      <c r="KX726" s="27" t="s">
        <v>7</v>
      </c>
      <c r="KY726" s="27" t="s">
        <v>8</v>
      </c>
      <c r="KZ726" s="27" t="s">
        <v>7</v>
      </c>
      <c r="LA726" s="27" t="s">
        <v>8</v>
      </c>
      <c r="NN726" s="27" t="s">
        <v>7</v>
      </c>
      <c r="NO726" s="27" t="s">
        <v>8</v>
      </c>
      <c r="OD726" s="27" t="s">
        <v>7</v>
      </c>
      <c r="OE726" s="27" t="s">
        <v>8</v>
      </c>
      <c r="ON726" s="27" t="s">
        <v>7</v>
      </c>
      <c r="OO726" s="27" t="s">
        <v>8</v>
      </c>
      <c r="OP726" s="27" t="s">
        <v>7</v>
      </c>
      <c r="OQ726" s="27" t="s">
        <v>8</v>
      </c>
      <c r="OS726" s="27" t="s">
        <v>8</v>
      </c>
      <c r="RB726" s="27" t="s">
        <v>7</v>
      </c>
      <c r="RC726" s="27" t="s">
        <v>8</v>
      </c>
      <c r="RD726" s="27" t="s">
        <v>7</v>
      </c>
      <c r="RE726" s="27" t="s">
        <v>8</v>
      </c>
      <c r="RF726" s="27" t="s">
        <v>7</v>
      </c>
      <c r="RG726" s="27" t="s">
        <v>8</v>
      </c>
      <c r="RI726" s="27" t="s">
        <v>8</v>
      </c>
      <c r="RJ726" s="27" t="s">
        <v>7</v>
      </c>
      <c r="RK726" s="27" t="s">
        <v>8</v>
      </c>
      <c r="RN726" s="27" t="s">
        <v>7</v>
      </c>
      <c r="RO726" s="27" t="s">
        <v>8</v>
      </c>
      <c r="RP726" s="27" t="s">
        <v>7</v>
      </c>
      <c r="RQ726" s="27" t="s">
        <v>8</v>
      </c>
      <c r="RR726" s="27" t="s">
        <v>7</v>
      </c>
      <c r="RS726" s="27" t="s">
        <v>8</v>
      </c>
      <c r="RT726" s="27" t="s">
        <v>7</v>
      </c>
    </row>
    <row r="727" spans="1:488" x14ac:dyDescent="0.25">
      <c r="A727" s="7">
        <v>6.251380782343717E-2</v>
      </c>
      <c r="B727"/>
      <c r="C727"/>
      <c r="D727"/>
      <c r="E727"/>
      <c r="F727" s="27" t="s">
        <v>7</v>
      </c>
      <c r="KG727" s="27" t="s">
        <v>8</v>
      </c>
      <c r="KH727" s="27" t="s">
        <v>7</v>
      </c>
      <c r="KI727" s="27" t="s">
        <v>8</v>
      </c>
      <c r="KT727" s="27" t="s">
        <v>7</v>
      </c>
      <c r="KU727" s="27" t="s">
        <v>8</v>
      </c>
      <c r="KV727" s="27" t="s">
        <v>7</v>
      </c>
      <c r="KW727" s="27" t="s">
        <v>8</v>
      </c>
      <c r="KX727" s="27" t="s">
        <v>7</v>
      </c>
      <c r="KY727" s="27" t="s">
        <v>8</v>
      </c>
      <c r="KZ727" s="27" t="s">
        <v>7</v>
      </c>
      <c r="LA727" s="27" t="s">
        <v>8</v>
      </c>
      <c r="NN727" s="27" t="s">
        <v>7</v>
      </c>
      <c r="NO727" s="27" t="s">
        <v>8</v>
      </c>
      <c r="OD727" s="27" t="s">
        <v>7</v>
      </c>
      <c r="OE727" s="27" t="s">
        <v>8</v>
      </c>
      <c r="ON727" s="27" t="s">
        <v>7</v>
      </c>
      <c r="OO727" s="27" t="s">
        <v>8</v>
      </c>
      <c r="OP727" s="27" t="s">
        <v>7</v>
      </c>
      <c r="OQ727" s="27" t="s">
        <v>8</v>
      </c>
      <c r="OR727" s="27" t="s">
        <v>7</v>
      </c>
      <c r="OS727" s="27" t="s">
        <v>8</v>
      </c>
      <c r="RB727" s="27" t="s">
        <v>7</v>
      </c>
      <c r="RC727" s="27" t="s">
        <v>8</v>
      </c>
      <c r="RD727" s="27" t="s">
        <v>7</v>
      </c>
      <c r="RE727" s="27" t="s">
        <v>8</v>
      </c>
      <c r="RF727" s="27" t="s">
        <v>7</v>
      </c>
      <c r="RG727" s="27" t="s">
        <v>8</v>
      </c>
      <c r="RH727" s="27" t="s">
        <v>7</v>
      </c>
      <c r="RI727" s="27" t="s">
        <v>8</v>
      </c>
      <c r="RJ727" s="27" t="s">
        <v>7</v>
      </c>
      <c r="RK727" s="27" t="s">
        <v>8</v>
      </c>
      <c r="RN727" s="27" t="s">
        <v>7</v>
      </c>
      <c r="RP727" s="27" t="s">
        <v>7</v>
      </c>
      <c r="RQ727" s="27" t="s">
        <v>8</v>
      </c>
      <c r="RR727" s="27" t="s">
        <v>7</v>
      </c>
      <c r="RT727" s="27" t="s">
        <v>7</v>
      </c>
    </row>
    <row r="728" spans="1:488" x14ac:dyDescent="0.25">
      <c r="A728" s="7">
        <v>6.1288046885722716E-2</v>
      </c>
      <c r="B728"/>
      <c r="C728"/>
      <c r="D728"/>
      <c r="E728"/>
      <c r="F728" s="27" t="s">
        <v>7</v>
      </c>
      <c r="KG728" s="27" t="s">
        <v>8</v>
      </c>
      <c r="KH728" s="27" t="s">
        <v>7</v>
      </c>
      <c r="KI728" s="27" t="s">
        <v>8</v>
      </c>
      <c r="KT728" s="27" t="s">
        <v>7</v>
      </c>
      <c r="KU728" s="27" t="s">
        <v>8</v>
      </c>
      <c r="KV728" s="27" t="s">
        <v>7</v>
      </c>
      <c r="KW728" s="27" t="s">
        <v>8</v>
      </c>
      <c r="KX728" s="27" t="s">
        <v>7</v>
      </c>
      <c r="KY728" s="27" t="s">
        <v>8</v>
      </c>
      <c r="KZ728" s="27" t="s">
        <v>7</v>
      </c>
      <c r="LA728" s="27" t="s">
        <v>8</v>
      </c>
      <c r="NN728" s="27" t="s">
        <v>7</v>
      </c>
      <c r="OD728" s="27" t="s">
        <v>7</v>
      </c>
      <c r="OE728" s="27" t="s">
        <v>8</v>
      </c>
      <c r="ON728" s="27" t="s">
        <v>7</v>
      </c>
      <c r="OP728" s="27" t="s">
        <v>7</v>
      </c>
      <c r="OQ728" s="27" t="s">
        <v>8</v>
      </c>
      <c r="OR728" s="27" t="s">
        <v>7</v>
      </c>
      <c r="OS728" s="27" t="s">
        <v>8</v>
      </c>
      <c r="RB728" s="27" t="s">
        <v>7</v>
      </c>
      <c r="RC728" s="27" t="s">
        <v>8</v>
      </c>
      <c r="RD728" s="27" t="s">
        <v>7</v>
      </c>
      <c r="RE728" s="27" t="s">
        <v>8</v>
      </c>
      <c r="RF728" s="27" t="s">
        <v>7</v>
      </c>
      <c r="RG728" s="27" t="s">
        <v>8</v>
      </c>
      <c r="RH728" s="27" t="s">
        <v>7</v>
      </c>
      <c r="RI728" s="27" t="s">
        <v>8</v>
      </c>
      <c r="RJ728" s="27" t="s">
        <v>7</v>
      </c>
      <c r="RK728" s="27" t="s">
        <v>8</v>
      </c>
      <c r="RP728" s="27" t="s">
        <v>7</v>
      </c>
      <c r="RQ728" s="27" t="s">
        <v>8</v>
      </c>
      <c r="RT728" s="27" t="s">
        <v>7</v>
      </c>
    </row>
    <row r="729" spans="1:488" x14ac:dyDescent="0.25">
      <c r="A729" s="7">
        <v>6.0086320476198739E-2</v>
      </c>
      <c r="B729"/>
      <c r="C729"/>
      <c r="D729"/>
      <c r="E729"/>
      <c r="F729" s="27" t="s">
        <v>7</v>
      </c>
      <c r="KG729" s="27" t="s">
        <v>8</v>
      </c>
      <c r="KH729" s="27" t="s">
        <v>7</v>
      </c>
      <c r="KI729" s="27" t="s">
        <v>8</v>
      </c>
      <c r="KT729" s="27" t="s">
        <v>7</v>
      </c>
      <c r="KU729" s="27" t="s">
        <v>8</v>
      </c>
      <c r="KV729" s="27" t="s">
        <v>7</v>
      </c>
      <c r="KX729" s="27" t="s">
        <v>7</v>
      </c>
      <c r="KY729" s="27" t="s">
        <v>8</v>
      </c>
      <c r="KZ729" s="27" t="s">
        <v>7</v>
      </c>
      <c r="OD729" s="27" t="s">
        <v>7</v>
      </c>
      <c r="OP729" s="27" t="s">
        <v>7</v>
      </c>
      <c r="OQ729" s="27" t="s">
        <v>8</v>
      </c>
      <c r="OR729" s="27" t="s">
        <v>7</v>
      </c>
      <c r="RB729" s="27" t="s">
        <v>7</v>
      </c>
      <c r="RC729" s="27" t="s">
        <v>8</v>
      </c>
      <c r="RD729" s="27" t="s">
        <v>7</v>
      </c>
      <c r="RF729" s="27" t="s">
        <v>7</v>
      </c>
      <c r="RG729" s="27" t="s">
        <v>8</v>
      </c>
      <c r="RH729" s="27" t="s">
        <v>7</v>
      </c>
      <c r="RI729" s="27" t="s">
        <v>8</v>
      </c>
      <c r="RJ729" s="27" t="s">
        <v>7</v>
      </c>
      <c r="RK729" s="27" t="s">
        <v>8</v>
      </c>
      <c r="RP729" s="27" t="s">
        <v>7</v>
      </c>
      <c r="RQ729" s="27" t="s">
        <v>8</v>
      </c>
      <c r="RT729" s="27" t="s">
        <v>7</v>
      </c>
    </row>
    <row r="730" spans="1:488" x14ac:dyDescent="0.25">
      <c r="A730" s="7">
        <v>5.8908157329606609E-2</v>
      </c>
      <c r="B730"/>
      <c r="C730"/>
      <c r="D730"/>
      <c r="E730"/>
      <c r="F730" s="27" t="s">
        <v>7</v>
      </c>
      <c r="KG730" s="27" t="s">
        <v>8</v>
      </c>
      <c r="KH730" s="27" t="s">
        <v>7</v>
      </c>
      <c r="KI730" s="27" t="s">
        <v>8</v>
      </c>
      <c r="KT730" s="27" t="s">
        <v>7</v>
      </c>
      <c r="KU730" s="27" t="s">
        <v>8</v>
      </c>
      <c r="KX730" s="27" t="s">
        <v>7</v>
      </c>
      <c r="KY730" s="27" t="s">
        <v>8</v>
      </c>
      <c r="OP730" s="18" t="s">
        <v>7</v>
      </c>
      <c r="OQ730" s="27" t="s">
        <v>8</v>
      </c>
      <c r="RB730" s="27" t="s">
        <v>7</v>
      </c>
      <c r="RC730" s="27" t="s">
        <v>8</v>
      </c>
      <c r="RF730" s="27" t="s">
        <v>7</v>
      </c>
      <c r="RG730" s="27" t="s">
        <v>8</v>
      </c>
      <c r="RH730" s="27" t="s">
        <v>7</v>
      </c>
      <c r="RI730" s="27" t="s">
        <v>8</v>
      </c>
      <c r="RJ730" s="27" t="s">
        <v>7</v>
      </c>
      <c r="RK730" s="27" t="s">
        <v>8</v>
      </c>
      <c r="RP730" s="27" t="s">
        <v>7</v>
      </c>
      <c r="RQ730" s="27" t="s">
        <v>8</v>
      </c>
      <c r="RT730" s="27" t="s">
        <v>7</v>
      </c>
    </row>
    <row r="731" spans="1:488" x14ac:dyDescent="0.25">
      <c r="A731" s="7">
        <v>5.7753095421182947E-2</v>
      </c>
      <c r="B731"/>
      <c r="C731"/>
      <c r="D731"/>
      <c r="E731"/>
      <c r="F731" s="27" t="s">
        <v>7</v>
      </c>
      <c r="KG731" s="27" t="s">
        <v>8</v>
      </c>
      <c r="KH731" s="27" t="s">
        <v>7</v>
      </c>
      <c r="KI731" s="27" t="s">
        <v>8</v>
      </c>
      <c r="KT731" s="27" t="s">
        <v>7</v>
      </c>
      <c r="KU731" s="27" t="s">
        <v>8</v>
      </c>
      <c r="KX731" s="27" t="s">
        <v>7</v>
      </c>
      <c r="OP731" s="27" t="s">
        <v>7</v>
      </c>
      <c r="OQ731" s="27" t="s">
        <v>8</v>
      </c>
      <c r="RB731" s="27" t="s">
        <v>7</v>
      </c>
      <c r="RC731" s="27" t="s">
        <v>8</v>
      </c>
      <c r="RF731" s="27" t="s">
        <v>7</v>
      </c>
      <c r="RH731" s="27" t="s">
        <v>7</v>
      </c>
      <c r="RJ731" s="27" t="s">
        <v>7</v>
      </c>
      <c r="RP731" s="27" t="s">
        <v>7</v>
      </c>
      <c r="RQ731" s="27" t="s">
        <v>8</v>
      </c>
      <c r="RT731" s="27" t="s">
        <v>7</v>
      </c>
    </row>
    <row r="732" spans="1:488" x14ac:dyDescent="0.25">
      <c r="A732" s="7">
        <v>5.6620681785473484E-2</v>
      </c>
      <c r="B732"/>
      <c r="C732"/>
      <c r="D732"/>
      <c r="E732"/>
      <c r="F732" s="27" t="s">
        <v>7</v>
      </c>
      <c r="KG732" s="27" t="s">
        <v>8</v>
      </c>
      <c r="KH732" s="27" t="s">
        <v>7</v>
      </c>
      <c r="KI732" s="27" t="s">
        <v>8</v>
      </c>
      <c r="KT732" s="27" t="s">
        <v>7</v>
      </c>
      <c r="KU732" s="27" t="s">
        <v>8</v>
      </c>
      <c r="OP732" s="27" t="s">
        <v>7</v>
      </c>
      <c r="OQ732" s="27" t="s">
        <v>8</v>
      </c>
      <c r="RB732" s="27" t="s">
        <v>7</v>
      </c>
      <c r="RC732" s="27" t="s">
        <v>8</v>
      </c>
      <c r="RP732" s="27" t="s">
        <v>7</v>
      </c>
      <c r="RT732" s="27" t="s">
        <v>7</v>
      </c>
    </row>
    <row r="733" spans="1:488" x14ac:dyDescent="0.25">
      <c r="A733" s="7">
        <v>5.5510472338699497E-2</v>
      </c>
      <c r="B733"/>
      <c r="C733"/>
      <c r="D733"/>
      <c r="E733"/>
      <c r="F733" s="27" t="s">
        <v>7</v>
      </c>
      <c r="KG733" s="27" t="s">
        <v>8</v>
      </c>
      <c r="KH733" s="27" t="s">
        <v>7</v>
      </c>
      <c r="KI733" s="27" t="s">
        <v>8</v>
      </c>
      <c r="KT733" s="27" t="s">
        <v>7</v>
      </c>
      <c r="KU733" s="27" t="s">
        <v>8</v>
      </c>
      <c r="OP733" s="27" t="s">
        <v>7</v>
      </c>
      <c r="OQ733" s="27" t="s">
        <v>8</v>
      </c>
      <c r="RB733" s="27" t="s">
        <v>7</v>
      </c>
      <c r="RC733" s="27" t="s">
        <v>8</v>
      </c>
      <c r="RT733" s="27" t="s">
        <v>7</v>
      </c>
    </row>
    <row r="734" spans="1:488" x14ac:dyDescent="0.25">
      <c r="A734" s="7">
        <v>5.4422031704607354E-2</v>
      </c>
      <c r="B734"/>
      <c r="C734"/>
      <c r="D734"/>
      <c r="E734"/>
      <c r="F734" s="27" t="s">
        <v>7</v>
      </c>
      <c r="KC734" s="27" t="s">
        <v>8</v>
      </c>
      <c r="KE734" s="27" t="s">
        <v>8</v>
      </c>
      <c r="KG734" s="27" t="s">
        <v>8</v>
      </c>
      <c r="KH734" s="27" t="s">
        <v>7</v>
      </c>
      <c r="KI734" s="27" t="s">
        <v>8</v>
      </c>
      <c r="KT734" s="27" t="s">
        <v>7</v>
      </c>
      <c r="KU734" s="27" t="s">
        <v>8</v>
      </c>
      <c r="OP734" s="27" t="s">
        <v>7</v>
      </c>
      <c r="OQ734" s="27" t="s">
        <v>8</v>
      </c>
      <c r="RB734" s="27" t="s">
        <v>7</v>
      </c>
      <c r="RC734" s="27" t="s">
        <v>8</v>
      </c>
      <c r="RT734" s="27" t="s">
        <v>7</v>
      </c>
    </row>
    <row r="735" spans="1:488" x14ac:dyDescent="0.25">
      <c r="A735" s="7">
        <v>5.3354933043732705E-2</v>
      </c>
      <c r="B735"/>
      <c r="C735"/>
      <c r="D735"/>
      <c r="E735"/>
      <c r="F735" s="27" t="s">
        <v>7</v>
      </c>
      <c r="KC735" s="27" t="s">
        <v>8</v>
      </c>
      <c r="KD735" s="27" t="s">
        <v>7</v>
      </c>
      <c r="KE735" s="27" t="s">
        <v>8</v>
      </c>
      <c r="KF735" s="27" t="s">
        <v>7</v>
      </c>
      <c r="KG735" s="27" t="s">
        <v>8</v>
      </c>
      <c r="KH735" s="27" t="s">
        <v>7</v>
      </c>
      <c r="KI735" s="27" t="s">
        <v>8</v>
      </c>
      <c r="KT735" s="27" t="s">
        <v>7</v>
      </c>
      <c r="KU735" s="27" t="s">
        <v>8</v>
      </c>
      <c r="OP735" s="27" t="s">
        <v>7</v>
      </c>
      <c r="OQ735" s="27" t="s">
        <v>8</v>
      </c>
      <c r="RB735" s="27" t="s">
        <v>7</v>
      </c>
      <c r="RT735" s="27" t="s">
        <v>7</v>
      </c>
    </row>
    <row r="736" spans="1:488" x14ac:dyDescent="0.25">
      <c r="A736" s="7">
        <v>5.2308757886012455E-2</v>
      </c>
      <c r="B736"/>
      <c r="C736"/>
      <c r="D736"/>
      <c r="E736"/>
      <c r="F736" s="27" t="s">
        <v>7</v>
      </c>
      <c r="KC736" s="27" t="s">
        <v>8</v>
      </c>
      <c r="KD736" s="27" t="s">
        <v>7</v>
      </c>
      <c r="KE736" s="27" t="s">
        <v>8</v>
      </c>
      <c r="KF736" s="27" t="s">
        <v>7</v>
      </c>
      <c r="KG736" s="27" t="s">
        <v>8</v>
      </c>
      <c r="KH736" s="27" t="s">
        <v>7</v>
      </c>
      <c r="KI736" s="27" t="s">
        <v>8</v>
      </c>
      <c r="KT736" s="27" t="s">
        <v>7</v>
      </c>
      <c r="OP736" s="27" t="s">
        <v>7</v>
      </c>
      <c r="OQ736" s="27" t="s">
        <v>8</v>
      </c>
      <c r="RT736" s="27" t="s">
        <v>7</v>
      </c>
    </row>
    <row r="737" spans="1:492" x14ac:dyDescent="0.25">
      <c r="A737" s="7">
        <v>5.1283095966678877E-2</v>
      </c>
      <c r="B737"/>
      <c r="C737"/>
      <c r="D737"/>
      <c r="E737"/>
      <c r="F737" s="27" t="s">
        <v>7</v>
      </c>
      <c r="KC737" s="27" t="s">
        <v>8</v>
      </c>
      <c r="KD737" s="27" t="s">
        <v>7</v>
      </c>
      <c r="KE737" s="27" t="s">
        <v>8</v>
      </c>
      <c r="KF737" s="27" t="s">
        <v>7</v>
      </c>
      <c r="KG737" s="27" t="s">
        <v>8</v>
      </c>
      <c r="KH737" s="27" t="s">
        <v>7</v>
      </c>
      <c r="KI737" s="27" t="s">
        <v>8</v>
      </c>
      <c r="OP737" s="27" t="s">
        <v>7</v>
      </c>
      <c r="RT737" s="27" t="s">
        <v>7</v>
      </c>
    </row>
    <row r="738" spans="1:492" x14ac:dyDescent="0.25">
      <c r="A738" s="7">
        <v>5.0277545065371444E-2</v>
      </c>
      <c r="B738"/>
      <c r="C738"/>
      <c r="D738"/>
      <c r="E738"/>
      <c r="F738" s="27" t="s">
        <v>7</v>
      </c>
      <c r="KC738" s="27" t="s">
        <v>8</v>
      </c>
      <c r="KD738" s="27" t="s">
        <v>7</v>
      </c>
      <c r="KE738" s="27" t="s">
        <v>8</v>
      </c>
      <c r="KF738" s="27" t="s">
        <v>7</v>
      </c>
      <c r="KG738" s="27" t="s">
        <v>8</v>
      </c>
      <c r="KH738" s="27" t="s">
        <v>7</v>
      </c>
      <c r="RT738" s="27" t="s">
        <v>7</v>
      </c>
    </row>
    <row r="739" spans="1:492" x14ac:dyDescent="0.25">
      <c r="A739" s="7">
        <v>4.9291710848403378E-2</v>
      </c>
      <c r="B739"/>
      <c r="C739"/>
      <c r="D739"/>
      <c r="E739"/>
      <c r="F739" s="27" t="s">
        <v>7</v>
      </c>
      <c r="KC739" s="27" t="s">
        <v>8</v>
      </c>
      <c r="KD739" s="27" t="s">
        <v>7</v>
      </c>
      <c r="KE739" s="27" t="s">
        <v>8</v>
      </c>
      <c r="KF739" s="27" t="s">
        <v>7</v>
      </c>
      <c r="KG739" s="27" t="s">
        <v>8</v>
      </c>
      <c r="RT739" s="27" t="s">
        <v>7</v>
      </c>
    </row>
    <row r="740" spans="1:492" x14ac:dyDescent="0.25">
      <c r="A740" s="7">
        <v>4.8325206714120959E-2</v>
      </c>
      <c r="B740"/>
      <c r="C740"/>
      <c r="D740"/>
      <c r="E740"/>
      <c r="F740" s="27" t="s">
        <v>7</v>
      </c>
      <c r="KC740" s="27" t="s">
        <v>8</v>
      </c>
      <c r="KD740" s="27" t="s">
        <v>7</v>
      </c>
      <c r="KE740" s="27" t="s">
        <v>8</v>
      </c>
      <c r="KF740" s="27" t="s">
        <v>7</v>
      </c>
      <c r="KG740" s="27" t="s">
        <v>8</v>
      </c>
      <c r="RT740" s="27" t="s">
        <v>7</v>
      </c>
      <c r="RW740" s="27" t="s">
        <v>8</v>
      </c>
    </row>
    <row r="741" spans="1:492" x14ac:dyDescent="0.25">
      <c r="A741" s="7">
        <v>4.7377653641295057E-2</v>
      </c>
      <c r="B741"/>
      <c r="C741"/>
      <c r="D741"/>
      <c r="E741"/>
      <c r="F741" s="27" t="s">
        <v>7</v>
      </c>
      <c r="KC741" s="27" t="s">
        <v>8</v>
      </c>
      <c r="KD741" s="27" t="s">
        <v>7</v>
      </c>
      <c r="KE741" s="27" t="s">
        <v>8</v>
      </c>
      <c r="KF741" s="27" t="s">
        <v>7</v>
      </c>
      <c r="KG741" s="27" t="s">
        <v>8</v>
      </c>
      <c r="RT741" s="27" t="s">
        <v>7</v>
      </c>
      <c r="RW741" s="27" t="s">
        <v>8</v>
      </c>
      <c r="RX741" s="27" t="s">
        <v>7</v>
      </c>
    </row>
    <row r="742" spans="1:492" x14ac:dyDescent="0.25">
      <c r="A742" s="7">
        <v>4.644868004048535E-2</v>
      </c>
      <c r="B742"/>
      <c r="C742"/>
      <c r="D742"/>
      <c r="E742"/>
      <c r="F742" s="27" t="s">
        <v>7</v>
      </c>
      <c r="KC742" s="27" t="s">
        <v>8</v>
      </c>
      <c r="KD742" s="27" t="s">
        <v>7</v>
      </c>
      <c r="KE742" s="27" t="s">
        <v>8</v>
      </c>
      <c r="KF742" s="27" t="s">
        <v>7</v>
      </c>
      <c r="KG742" s="27" t="s">
        <v>8</v>
      </c>
      <c r="RT742" s="27" t="s">
        <v>7</v>
      </c>
      <c r="RW742" s="27" t="s">
        <v>8</v>
      </c>
      <c r="RX742" s="27" t="s">
        <v>7</v>
      </c>
    </row>
    <row r="743" spans="1:492" x14ac:dyDescent="0.25">
      <c r="A743" s="7">
        <v>4.5537921608318974E-2</v>
      </c>
      <c r="B743"/>
      <c r="C743"/>
      <c r="D743"/>
      <c r="E743"/>
      <c r="F743" s="27" t="s">
        <v>7</v>
      </c>
      <c r="KC743" s="27" t="s">
        <v>8</v>
      </c>
      <c r="KD743" s="27" t="s">
        <v>7</v>
      </c>
      <c r="KE743" s="27" t="s">
        <v>8</v>
      </c>
      <c r="KF743" s="27" t="s">
        <v>7</v>
      </c>
      <c r="RT743" s="27" t="s">
        <v>7</v>
      </c>
      <c r="RW743" s="27" t="s">
        <v>8</v>
      </c>
      <c r="RX743" s="27" t="s">
        <v>7</v>
      </c>
    </row>
    <row r="744" spans="1:492" x14ac:dyDescent="0.25">
      <c r="A744" s="7">
        <v>4.4645021184626446E-2</v>
      </c>
      <c r="B744"/>
      <c r="C744"/>
      <c r="D744"/>
      <c r="E744"/>
      <c r="F744" s="27" t="s">
        <v>7</v>
      </c>
      <c r="KC744" s="27" t="s">
        <v>8</v>
      </c>
      <c r="KD744" s="27" t="s">
        <v>7</v>
      </c>
      <c r="RT744" s="27" t="s">
        <v>7</v>
      </c>
      <c r="RU744" s="27" t="s">
        <v>8</v>
      </c>
      <c r="RW744" s="27" t="s">
        <v>8</v>
      </c>
      <c r="RX744" s="27" t="s">
        <v>7</v>
      </c>
    </row>
    <row r="745" spans="1:492" x14ac:dyDescent="0.25">
      <c r="A745" s="7">
        <v>4.3769628612378868E-2</v>
      </c>
      <c r="B745"/>
      <c r="C745"/>
      <c r="D745"/>
      <c r="E745"/>
      <c r="F745" s="27" t="s">
        <v>7</v>
      </c>
      <c r="KC745" s="27" t="s">
        <v>8</v>
      </c>
      <c r="RT745" s="27" t="s">
        <v>7</v>
      </c>
      <c r="RU745" s="27" t="s">
        <v>8</v>
      </c>
      <c r="RV745" s="27" t="s">
        <v>7</v>
      </c>
      <c r="RW745" s="27" t="s">
        <v>8</v>
      </c>
      <c r="RX745" s="27" t="s">
        <v>7</v>
      </c>
    </row>
    <row r="746" spans="1:492" x14ac:dyDescent="0.25">
      <c r="A746" s="7">
        <v>4.2911400600371442E-2</v>
      </c>
      <c r="B746"/>
      <c r="C746"/>
      <c r="D746"/>
      <c r="E746"/>
      <c r="F746" s="27" t="s">
        <v>7</v>
      </c>
      <c r="KC746" s="27" t="s">
        <v>8</v>
      </c>
      <c r="RT746" s="27" t="s">
        <v>7</v>
      </c>
      <c r="RU746" s="27" t="s">
        <v>8</v>
      </c>
      <c r="RV746" s="27" t="s">
        <v>7</v>
      </c>
      <c r="RW746" s="27" t="s">
        <v>8</v>
      </c>
    </row>
    <row r="747" spans="1:492" x14ac:dyDescent="0.25">
      <c r="A747" s="7">
        <v>4.2070000588599457E-2</v>
      </c>
      <c r="B747"/>
      <c r="C747"/>
      <c r="D747"/>
      <c r="E747"/>
      <c r="F747" s="27" t="s">
        <v>7</v>
      </c>
      <c r="KC747" s="27" t="s">
        <v>8</v>
      </c>
      <c r="RT747" s="27" t="s">
        <v>7</v>
      </c>
      <c r="RU747" s="27" t="s">
        <v>8</v>
      </c>
      <c r="RV747" s="27" t="s">
        <v>7</v>
      </c>
      <c r="RW747" s="27" t="s">
        <v>8</v>
      </c>
    </row>
    <row r="748" spans="1:492" x14ac:dyDescent="0.25">
      <c r="A748" s="7">
        <v>4.1245098616273977E-2</v>
      </c>
      <c r="B748"/>
      <c r="C748"/>
      <c r="D748"/>
      <c r="E748"/>
      <c r="F748" s="27" t="s">
        <v>7</v>
      </c>
      <c r="KC748" s="27" t="s">
        <v>8</v>
      </c>
      <c r="RT748" s="27" t="s">
        <v>7</v>
      </c>
      <c r="RU748" s="27" t="s">
        <v>8</v>
      </c>
      <c r="RV748" s="27" t="s">
        <v>7</v>
      </c>
      <c r="RW748" s="27" t="s">
        <v>8</v>
      </c>
    </row>
    <row r="749" spans="1:492" x14ac:dyDescent="0.25">
      <c r="A749" s="7">
        <v>4.043637119242547E-2</v>
      </c>
      <c r="B749"/>
      <c r="C749"/>
      <c r="D749"/>
      <c r="E749"/>
      <c r="F749" s="27" t="s">
        <v>7</v>
      </c>
      <c r="KC749" s="27" t="s">
        <v>8</v>
      </c>
      <c r="RT749" s="27" t="s">
        <v>7</v>
      </c>
      <c r="RU749" s="27" t="s">
        <v>8</v>
      </c>
      <c r="RV749" s="27" t="s">
        <v>7</v>
      </c>
      <c r="RW749" s="27" t="s">
        <v>8</v>
      </c>
    </row>
    <row r="750" spans="1:492" x14ac:dyDescent="0.25">
      <c r="A750" s="7">
        <v>3.9643501169044582E-2</v>
      </c>
      <c r="B750"/>
      <c r="C750"/>
      <c r="D750"/>
      <c r="E750"/>
      <c r="F750" s="27" t="s">
        <v>7</v>
      </c>
      <c r="KA750" s="27" t="s">
        <v>8</v>
      </c>
      <c r="KC750" s="27" t="s">
        <v>8</v>
      </c>
      <c r="RT750" s="27" t="s">
        <v>7</v>
      </c>
      <c r="RV750" s="27" t="s">
        <v>7</v>
      </c>
      <c r="RW750" s="27" t="s">
        <v>8</v>
      </c>
    </row>
    <row r="751" spans="1:492" x14ac:dyDescent="0.25">
      <c r="A751" s="7">
        <v>3.8866177616710372E-2</v>
      </c>
      <c r="B751"/>
      <c r="C751"/>
      <c r="D751"/>
      <c r="E751"/>
      <c r="F751" s="27" t="s">
        <v>7</v>
      </c>
      <c r="KA751" s="27" t="s">
        <v>8</v>
      </c>
      <c r="KB751" s="27" t="s">
        <v>7</v>
      </c>
      <c r="KC751" s="27" t="s">
        <v>8</v>
      </c>
      <c r="RV751" s="27" t="s">
        <v>7</v>
      </c>
      <c r="RW751" s="27" t="s">
        <v>8</v>
      </c>
    </row>
    <row r="752" spans="1:492" x14ac:dyDescent="0.25">
      <c r="A752" s="7">
        <v>3.8104095702657229E-2</v>
      </c>
      <c r="B752"/>
      <c r="C752"/>
      <c r="D752"/>
      <c r="E752"/>
      <c r="F752" s="27" t="s">
        <v>7</v>
      </c>
      <c r="KA752" s="27" t="s">
        <v>8</v>
      </c>
      <c r="KB752" s="27" t="s">
        <v>7</v>
      </c>
      <c r="KC752" s="27" t="s">
        <v>8</v>
      </c>
      <c r="RV752" s="27" t="s">
        <v>7</v>
      </c>
    </row>
    <row r="753" spans="1:289" x14ac:dyDescent="0.25">
      <c r="A753" s="7">
        <v>3.7356956571232579E-2</v>
      </c>
      <c r="B753"/>
      <c r="C753"/>
      <c r="D753"/>
      <c r="E753"/>
      <c r="F753" s="27" t="s">
        <v>7</v>
      </c>
      <c r="KA753" s="27" t="s">
        <v>8</v>
      </c>
      <c r="KB753" s="27" t="s">
        <v>7</v>
      </c>
      <c r="KC753" s="27" t="s">
        <v>8</v>
      </c>
    </row>
    <row r="754" spans="1:289" x14ac:dyDescent="0.25">
      <c r="A754" s="7">
        <v>3.6624467226698605E-2</v>
      </c>
      <c r="B754"/>
      <c r="C754"/>
      <c r="D754"/>
      <c r="E754"/>
      <c r="F754" s="27" t="s">
        <v>7</v>
      </c>
      <c r="JO754" s="27" t="s">
        <v>8</v>
      </c>
      <c r="KA754" s="27" t="s">
        <v>8</v>
      </c>
      <c r="KB754" s="27" t="s">
        <v>7</v>
      </c>
    </row>
    <row r="755" spans="1:289" x14ac:dyDescent="0.25">
      <c r="A755" s="7">
        <v>3.5906340418331961E-2</v>
      </c>
      <c r="B755"/>
      <c r="C755"/>
      <c r="D755"/>
      <c r="E755"/>
      <c r="F755" s="27" t="s">
        <v>7</v>
      </c>
      <c r="JO755" s="27" t="s">
        <v>8</v>
      </c>
      <c r="JP755" s="27" t="s">
        <v>7</v>
      </c>
      <c r="JU755" s="27" t="s">
        <v>8</v>
      </c>
      <c r="KA755" s="27" t="s">
        <v>8</v>
      </c>
    </row>
    <row r="756" spans="1:289" x14ac:dyDescent="0.25">
      <c r="A756" s="7">
        <v>3.5202294527776436E-2</v>
      </c>
      <c r="B756"/>
      <c r="C756"/>
      <c r="D756"/>
      <c r="E756"/>
      <c r="F756" s="27" t="s">
        <v>7</v>
      </c>
      <c r="JO756" s="27" t="s">
        <v>8</v>
      </c>
      <c r="JP756" s="27" t="s">
        <v>7</v>
      </c>
      <c r="JU756" s="27" t="s">
        <v>8</v>
      </c>
      <c r="JV756" s="27" t="s">
        <v>7</v>
      </c>
      <c r="KA756" s="27" t="s">
        <v>8</v>
      </c>
    </row>
    <row r="757" spans="1:289" x14ac:dyDescent="0.25">
      <c r="A757" s="7">
        <v>3.451205345860435E-2</v>
      </c>
      <c r="B757"/>
      <c r="C757"/>
      <c r="D757"/>
      <c r="E757"/>
      <c r="F757" s="27" t="s">
        <v>7</v>
      </c>
      <c r="JO757" s="27" t="s">
        <v>8</v>
      </c>
      <c r="JP757" s="27" t="s">
        <v>7</v>
      </c>
      <c r="JS757" s="27" t="s">
        <v>8</v>
      </c>
      <c r="JU757" s="27" t="s">
        <v>8</v>
      </c>
      <c r="JV757" s="27" t="s">
        <v>7</v>
      </c>
      <c r="KA757" s="27" t="s">
        <v>8</v>
      </c>
    </row>
    <row r="758" spans="1:289" x14ac:dyDescent="0.25">
      <c r="A758" s="7">
        <v>3.3835346528043479E-2</v>
      </c>
      <c r="B758"/>
      <c r="C758"/>
      <c r="D758"/>
      <c r="E758"/>
      <c r="F758" s="27" t="s">
        <v>7</v>
      </c>
      <c r="JO758" s="27" t="s">
        <v>8</v>
      </c>
      <c r="JP758" s="27" t="s">
        <v>7</v>
      </c>
      <c r="JS758" s="27" t="s">
        <v>8</v>
      </c>
      <c r="JT758" s="27" t="s">
        <v>7</v>
      </c>
      <c r="JU758" s="27" t="s">
        <v>8</v>
      </c>
      <c r="JV758" s="27" t="s">
        <v>7</v>
      </c>
      <c r="JY758" s="27" t="s">
        <v>8</v>
      </c>
      <c r="KA758" s="27" t="s">
        <v>8</v>
      </c>
    </row>
    <row r="759" spans="1:289" x14ac:dyDescent="0.25">
      <c r="A759" s="7">
        <v>3.3171908360826938E-2</v>
      </c>
      <c r="B759"/>
      <c r="C759"/>
      <c r="D759"/>
      <c r="E759"/>
      <c r="F759" s="27" t="s">
        <v>7</v>
      </c>
      <c r="JO759" s="27" t="s">
        <v>8</v>
      </c>
      <c r="JP759" s="27" t="s">
        <v>7</v>
      </c>
      <c r="JS759" s="27" t="s">
        <v>8</v>
      </c>
      <c r="JT759" s="27" t="s">
        <v>7</v>
      </c>
      <c r="JU759" s="27" t="s">
        <v>8</v>
      </c>
      <c r="JV759" s="27" t="s">
        <v>7</v>
      </c>
      <c r="JW759" s="27" t="s">
        <v>8</v>
      </c>
      <c r="JY759" s="27" t="s">
        <v>8</v>
      </c>
      <c r="JZ759" s="27" t="s">
        <v>7</v>
      </c>
      <c r="KA759" s="27" t="s">
        <v>8</v>
      </c>
    </row>
    <row r="760" spans="1:289" x14ac:dyDescent="0.25">
      <c r="A760" s="7">
        <v>3.2521478785124451E-2</v>
      </c>
      <c r="B760"/>
      <c r="C760"/>
      <c r="D760"/>
      <c r="E760"/>
      <c r="F760" s="27" t="s">
        <v>7</v>
      </c>
      <c r="JO760" s="27" t="s">
        <v>8</v>
      </c>
      <c r="JP760" s="27" t="s">
        <v>7</v>
      </c>
      <c r="JS760" s="27" t="s">
        <v>8</v>
      </c>
      <c r="JT760" s="27" t="s">
        <v>7</v>
      </c>
      <c r="JU760" s="27" t="s">
        <v>8</v>
      </c>
      <c r="JV760" s="27" t="s">
        <v>7</v>
      </c>
      <c r="JW760" s="27" t="s">
        <v>8</v>
      </c>
      <c r="JX760" s="27" t="s">
        <v>7</v>
      </c>
      <c r="JY760" s="27" t="s">
        <v>8</v>
      </c>
      <c r="JZ760" s="27" t="s">
        <v>7</v>
      </c>
      <c r="KA760" s="27" t="s">
        <v>8</v>
      </c>
    </row>
    <row r="761" spans="1:289" x14ac:dyDescent="0.25">
      <c r="A761" s="7">
        <v>3.1883802730514173E-2</v>
      </c>
      <c r="B761"/>
      <c r="C761"/>
      <c r="D761"/>
      <c r="E761"/>
      <c r="F761" s="27" t="s">
        <v>7</v>
      </c>
      <c r="JO761" s="27" t="s">
        <v>8</v>
      </c>
      <c r="JP761" s="27" t="s">
        <v>7</v>
      </c>
      <c r="JS761" s="27" t="s">
        <v>8</v>
      </c>
      <c r="JT761" s="27" t="s">
        <v>7</v>
      </c>
      <c r="JU761" s="27" t="s">
        <v>8</v>
      </c>
      <c r="JV761" s="27" t="s">
        <v>7</v>
      </c>
      <c r="JW761" s="27" t="s">
        <v>8</v>
      </c>
      <c r="JX761" s="27" t="s">
        <v>7</v>
      </c>
      <c r="JY761" s="27" t="s">
        <v>8</v>
      </c>
      <c r="JZ761" s="27" t="s">
        <v>7</v>
      </c>
    </row>
    <row r="762" spans="1:289" x14ac:dyDescent="0.25">
      <c r="A762" s="7">
        <v>3.1258630127955073E-2</v>
      </c>
      <c r="B762"/>
      <c r="C762"/>
      <c r="D762"/>
      <c r="E762"/>
      <c r="F762" s="27" t="s">
        <v>7</v>
      </c>
      <c r="JO762" s="27" t="s">
        <v>8</v>
      </c>
      <c r="JP762" s="27" t="s">
        <v>7</v>
      </c>
      <c r="JS762" s="27" t="s">
        <v>8</v>
      </c>
      <c r="JT762" s="27" t="s">
        <v>7</v>
      </c>
      <c r="JU762" s="27" t="s">
        <v>8</v>
      </c>
      <c r="JV762" s="27" t="s">
        <v>7</v>
      </c>
      <c r="JW762" s="27" t="s">
        <v>8</v>
      </c>
      <c r="JX762" s="27" t="s">
        <v>7</v>
      </c>
      <c r="JY762" s="27" t="s">
        <v>8</v>
      </c>
    </row>
    <row r="763" spans="1:289" x14ac:dyDescent="0.25">
      <c r="A763" s="7">
        <v>3.064571581172066E-2</v>
      </c>
      <c r="B763"/>
      <c r="C763"/>
      <c r="D763"/>
      <c r="E763"/>
      <c r="F763" s="27" t="s">
        <v>7</v>
      </c>
      <c r="JO763" s="27" t="s">
        <v>8</v>
      </c>
      <c r="JP763" s="27" t="s">
        <v>7</v>
      </c>
      <c r="JQ763" s="27" t="s">
        <v>8</v>
      </c>
      <c r="JS763" s="27" t="s">
        <v>8</v>
      </c>
      <c r="JT763" s="27" t="s">
        <v>7</v>
      </c>
      <c r="JU763" s="27" t="s">
        <v>8</v>
      </c>
      <c r="JV763" s="27" t="s">
        <v>7</v>
      </c>
      <c r="JW763" s="27" t="s">
        <v>8</v>
      </c>
      <c r="JX763" s="27" t="s">
        <v>7</v>
      </c>
      <c r="JY763" s="27" t="s">
        <v>8</v>
      </c>
    </row>
    <row r="764" spans="1:289" x14ac:dyDescent="0.25">
      <c r="A764" s="7">
        <v>3.0044819423255549E-2</v>
      </c>
      <c r="B764"/>
      <c r="C764"/>
      <c r="D764"/>
      <c r="E764"/>
      <c r="F764" s="27" t="s">
        <v>7</v>
      </c>
      <c r="JO764" s="27" t="s">
        <v>8</v>
      </c>
      <c r="JP764" s="27" t="s">
        <v>7</v>
      </c>
      <c r="JQ764" s="27" t="s">
        <v>8</v>
      </c>
      <c r="JR764" s="27" t="s">
        <v>7</v>
      </c>
      <c r="JS764" s="27" t="s">
        <v>8</v>
      </c>
      <c r="JT764" s="27" t="s">
        <v>7</v>
      </c>
      <c r="JU764" s="27" t="s">
        <v>8</v>
      </c>
      <c r="JV764" s="27" t="s">
        <v>7</v>
      </c>
      <c r="JW764" s="27" t="s">
        <v>8</v>
      </c>
      <c r="JX764" s="27" t="s">
        <v>7</v>
      </c>
      <c r="JY764" s="27" t="s">
        <v>8</v>
      </c>
    </row>
    <row r="765" spans="1:289" x14ac:dyDescent="0.25">
      <c r="A765" s="7">
        <v>2.9455705316917203E-2</v>
      </c>
      <c r="B765"/>
      <c r="C765"/>
      <c r="D765"/>
      <c r="E765"/>
      <c r="F765" s="27" t="s">
        <v>7</v>
      </c>
      <c r="GW765" s="27" t="s">
        <v>8</v>
      </c>
      <c r="JO765" s="27" t="s">
        <v>8</v>
      </c>
      <c r="JP765" s="27" t="s">
        <v>7</v>
      </c>
      <c r="JQ765" s="27" t="s">
        <v>8</v>
      </c>
      <c r="JR765" s="27" t="s">
        <v>7</v>
      </c>
      <c r="JS765" s="27" t="s">
        <v>8</v>
      </c>
      <c r="JT765" s="27" t="s">
        <v>7</v>
      </c>
      <c r="JV765" s="27" t="s">
        <v>7</v>
      </c>
      <c r="JW765" s="27" t="s">
        <v>8</v>
      </c>
      <c r="JX765" s="27" t="s">
        <v>7</v>
      </c>
    </row>
    <row r="766" spans="1:289" x14ac:dyDescent="0.25">
      <c r="A766" s="7">
        <v>2.8878142467565884E-2</v>
      </c>
      <c r="B766"/>
      <c r="C766"/>
      <c r="D766"/>
      <c r="E766"/>
      <c r="F766" s="27" t="s">
        <v>7</v>
      </c>
      <c r="GW766" s="27" t="s">
        <v>8</v>
      </c>
      <c r="GX766" s="27" t="s">
        <v>7</v>
      </c>
      <c r="JO766" s="27" t="s">
        <v>8</v>
      </c>
      <c r="JP766" s="27" t="s">
        <v>7</v>
      </c>
      <c r="JQ766" s="27" t="s">
        <v>8</v>
      </c>
      <c r="JR766" s="27" t="s">
        <v>7</v>
      </c>
      <c r="JS766" s="27" t="s">
        <v>8</v>
      </c>
      <c r="JV766" s="27" t="s">
        <v>7</v>
      </c>
    </row>
    <row r="767" spans="1:289" x14ac:dyDescent="0.25">
      <c r="A767" s="7">
        <v>2.8311904379966554E-2</v>
      </c>
      <c r="B767"/>
      <c r="C767"/>
      <c r="D767"/>
      <c r="E767"/>
      <c r="F767" s="27" t="s">
        <v>7</v>
      </c>
      <c r="GW767" s="27" t="s">
        <v>8</v>
      </c>
      <c r="GX767" s="27" t="s">
        <v>7</v>
      </c>
      <c r="HS767" s="27" t="s">
        <v>8</v>
      </c>
      <c r="JO767" s="27" t="s">
        <v>8</v>
      </c>
      <c r="JP767" s="27" t="s">
        <v>7</v>
      </c>
      <c r="JQ767" s="27" t="s">
        <v>8</v>
      </c>
      <c r="JR767" s="27" t="s">
        <v>7</v>
      </c>
      <c r="JS767" s="27" t="s">
        <v>8</v>
      </c>
    </row>
    <row r="768" spans="1:289" x14ac:dyDescent="0.25">
      <c r="A768" s="7">
        <v>2.7756768999967207E-2</v>
      </c>
      <c r="B768"/>
      <c r="C768"/>
      <c r="D768"/>
      <c r="E768"/>
      <c r="F768" s="27" t="s">
        <v>7</v>
      </c>
      <c r="GW768" s="27" t="s">
        <v>8</v>
      </c>
      <c r="GX768" s="27" t="s">
        <v>7</v>
      </c>
      <c r="HS768" s="27" t="s">
        <v>8</v>
      </c>
      <c r="HT768" s="27" t="s">
        <v>7</v>
      </c>
      <c r="JO768" s="27" t="s">
        <v>8</v>
      </c>
      <c r="JP768" s="27" t="s">
        <v>7</v>
      </c>
      <c r="JQ768" s="27" t="s">
        <v>8</v>
      </c>
      <c r="JR768" s="27" t="s">
        <v>7</v>
      </c>
      <c r="JS768" s="27" t="s">
        <v>8</v>
      </c>
    </row>
    <row r="769" spans="1:279" x14ac:dyDescent="0.25">
      <c r="A769" s="7">
        <v>2.7212518627418834E-2</v>
      </c>
      <c r="B769"/>
      <c r="C769"/>
      <c r="D769"/>
      <c r="E769"/>
      <c r="F769" s="27" t="s">
        <v>7</v>
      </c>
      <c r="GW769" s="27" t="s">
        <v>8</v>
      </c>
      <c r="GX769" s="27" t="s">
        <v>7</v>
      </c>
      <c r="HS769" s="27" t="s">
        <v>8</v>
      </c>
      <c r="HT769" s="27" t="s">
        <v>7</v>
      </c>
      <c r="HU769" s="27" t="s">
        <v>8</v>
      </c>
      <c r="HW769" s="27" t="s">
        <v>8</v>
      </c>
      <c r="JO769" s="27" t="s">
        <v>8</v>
      </c>
      <c r="JP769" s="27" t="s">
        <v>7</v>
      </c>
      <c r="JQ769" s="27" t="s">
        <v>8</v>
      </c>
      <c r="JR769" s="27" t="s">
        <v>7</v>
      </c>
      <c r="JS769" s="27" t="s">
        <v>8</v>
      </c>
    </row>
    <row r="770" spans="1:279" x14ac:dyDescent="0.25">
      <c r="A770" s="7">
        <v>2.6678939830802779E-2</v>
      </c>
      <c r="B770"/>
      <c r="C770"/>
      <c r="D770"/>
      <c r="E770"/>
      <c r="F770" s="27" t="s">
        <v>7</v>
      </c>
      <c r="U770" s="27" t="s">
        <v>8</v>
      </c>
      <c r="BE770" s="27" t="s">
        <v>8</v>
      </c>
      <c r="GW770" s="27" t="s">
        <v>8</v>
      </c>
      <c r="GX770" s="27" t="s">
        <v>7</v>
      </c>
      <c r="HQ770" s="27" t="s">
        <v>8</v>
      </c>
      <c r="HS770" s="27" t="s">
        <v>8</v>
      </c>
      <c r="HT770" s="27" t="s">
        <v>7</v>
      </c>
      <c r="HU770" s="27" t="s">
        <v>8</v>
      </c>
      <c r="HV770" s="27" t="s">
        <v>7</v>
      </c>
      <c r="HW770" s="27" t="s">
        <v>8</v>
      </c>
      <c r="HX770" s="27" t="s">
        <v>7</v>
      </c>
      <c r="JO770" s="27" t="s">
        <v>8</v>
      </c>
      <c r="JP770" s="27" t="s">
        <v>7</v>
      </c>
      <c r="JQ770" s="27" t="s">
        <v>8</v>
      </c>
      <c r="JR770" s="27" t="s">
        <v>7</v>
      </c>
    </row>
    <row r="771" spans="1:279" x14ac:dyDescent="0.25">
      <c r="A771" s="7">
        <v>2.615582336353214E-2</v>
      </c>
      <c r="B771"/>
      <c r="C771"/>
      <c r="D771"/>
      <c r="E771"/>
      <c r="F771" s="27" t="s">
        <v>7</v>
      </c>
      <c r="U771" s="27" t="s">
        <v>8</v>
      </c>
      <c r="V771" s="27" t="s">
        <v>7</v>
      </c>
      <c r="BA771" s="27" t="s">
        <v>8</v>
      </c>
      <c r="BE771" s="27" t="s">
        <v>8</v>
      </c>
      <c r="BF771" s="27" t="s">
        <v>7</v>
      </c>
      <c r="GW771" s="27" t="s">
        <v>8</v>
      </c>
      <c r="GX771" s="27" t="s">
        <v>7</v>
      </c>
      <c r="GY771" s="27" t="s">
        <v>8</v>
      </c>
      <c r="HQ771" s="27" t="s">
        <v>8</v>
      </c>
      <c r="HR771" s="27" t="s">
        <v>7</v>
      </c>
      <c r="HS771" s="27" t="s">
        <v>8</v>
      </c>
      <c r="HT771" s="27" t="s">
        <v>7</v>
      </c>
      <c r="HU771" s="27" t="s">
        <v>8</v>
      </c>
      <c r="HV771" s="27" t="s">
        <v>7</v>
      </c>
      <c r="HW771" s="27" t="s">
        <v>8</v>
      </c>
      <c r="HX771" s="27" t="s">
        <v>7</v>
      </c>
      <c r="JO771" s="27" t="s">
        <v>8</v>
      </c>
      <c r="JP771" s="27" t="s">
        <v>7</v>
      </c>
      <c r="JQ771" s="27" t="s">
        <v>8</v>
      </c>
    </row>
    <row r="772" spans="1:279" x14ac:dyDescent="0.25">
      <c r="A772" s="7">
        <v>2.5642964081894253E-2</v>
      </c>
      <c r="B772"/>
      <c r="C772"/>
      <c r="D772"/>
      <c r="E772"/>
      <c r="F772" s="27" t="s">
        <v>7</v>
      </c>
      <c r="U772" s="27" t="s">
        <v>8</v>
      </c>
      <c r="V772" s="27" t="s">
        <v>7</v>
      </c>
      <c r="BA772" s="27" t="s">
        <v>8</v>
      </c>
      <c r="BB772" s="27" t="s">
        <v>7</v>
      </c>
      <c r="BE772" s="27" t="s">
        <v>8</v>
      </c>
      <c r="BF772" s="27" t="s">
        <v>7</v>
      </c>
      <c r="GW772" s="27" t="s">
        <v>8</v>
      </c>
      <c r="GX772" s="27" t="s">
        <v>7</v>
      </c>
      <c r="GY772" s="27" t="s">
        <v>8</v>
      </c>
      <c r="GZ772" s="27" t="s">
        <v>7</v>
      </c>
      <c r="HQ772" s="27" t="s">
        <v>8</v>
      </c>
      <c r="HR772" s="27" t="s">
        <v>7</v>
      </c>
      <c r="HS772" s="27" t="s">
        <v>8</v>
      </c>
      <c r="HT772" s="27" t="s">
        <v>7</v>
      </c>
      <c r="HU772" s="27" t="s">
        <v>8</v>
      </c>
      <c r="HV772" s="27" t="s">
        <v>7</v>
      </c>
      <c r="HW772" s="27" t="s">
        <v>8</v>
      </c>
      <c r="HX772" s="27" t="s">
        <v>7</v>
      </c>
      <c r="JO772" s="27" t="s">
        <v>8</v>
      </c>
      <c r="JP772" s="27" t="s">
        <v>7</v>
      </c>
      <c r="JQ772" s="27" t="s">
        <v>8</v>
      </c>
    </row>
    <row r="773" spans="1:279" x14ac:dyDescent="0.25">
      <c r="A773" s="7">
        <v>2.5140160864602207E-2</v>
      </c>
      <c r="B773"/>
      <c r="C773"/>
      <c r="D773"/>
      <c r="E773"/>
      <c r="F773" s="27" t="s">
        <v>7</v>
      </c>
      <c r="U773" s="27" t="s">
        <v>8</v>
      </c>
      <c r="V773" s="27" t="s">
        <v>7</v>
      </c>
      <c r="BA773" s="27" t="s">
        <v>8</v>
      </c>
      <c r="BB773" s="27" t="s">
        <v>7</v>
      </c>
      <c r="BE773" s="27" t="s">
        <v>8</v>
      </c>
      <c r="BF773" s="27" t="s">
        <v>7</v>
      </c>
      <c r="GW773" s="27" t="s">
        <v>8</v>
      </c>
      <c r="GX773" s="27" t="s">
        <v>7</v>
      </c>
      <c r="GY773" s="27" t="s">
        <v>8</v>
      </c>
      <c r="GZ773" s="27" t="s">
        <v>7</v>
      </c>
      <c r="HQ773" s="27" t="s">
        <v>8</v>
      </c>
      <c r="HR773" s="27" t="s">
        <v>7</v>
      </c>
      <c r="HS773" s="27" t="s">
        <v>8</v>
      </c>
      <c r="HT773" s="27" t="s">
        <v>7</v>
      </c>
      <c r="HU773" s="27" t="s">
        <v>8</v>
      </c>
      <c r="HV773" s="27" t="s">
        <v>7</v>
      </c>
      <c r="HW773" s="27" t="s">
        <v>8</v>
      </c>
      <c r="HX773" s="27" t="s">
        <v>7</v>
      </c>
      <c r="JO773" s="27" t="s">
        <v>8</v>
      </c>
      <c r="JP773" s="27" t="s">
        <v>7</v>
      </c>
      <c r="JQ773" s="27" t="s">
        <v>8</v>
      </c>
    </row>
    <row r="774" spans="1:279" x14ac:dyDescent="0.25">
      <c r="A774" s="7">
        <v>2.4647216533923735E-2</v>
      </c>
      <c r="B774"/>
      <c r="C774"/>
      <c r="D774"/>
      <c r="E774"/>
      <c r="F774" s="27" t="s">
        <v>7</v>
      </c>
      <c r="U774" s="27" t="s">
        <v>8</v>
      </c>
      <c r="V774" s="27" t="s">
        <v>7</v>
      </c>
      <c r="AQ774" s="27" t="s">
        <v>8</v>
      </c>
      <c r="AY774" s="27" t="s">
        <v>8</v>
      </c>
      <c r="BA774" s="27" t="s">
        <v>8</v>
      </c>
      <c r="BB774" s="27" t="s">
        <v>7</v>
      </c>
      <c r="BE774" s="27" t="s">
        <v>8</v>
      </c>
      <c r="BF774" s="27" t="s">
        <v>7</v>
      </c>
      <c r="GW774" s="27" t="s">
        <v>8</v>
      </c>
      <c r="GX774" s="27" t="s">
        <v>7</v>
      </c>
      <c r="GY774" s="27" t="s">
        <v>8</v>
      </c>
      <c r="GZ774" s="27" t="s">
        <v>7</v>
      </c>
      <c r="HQ774" s="27" t="s">
        <v>8</v>
      </c>
      <c r="HR774" s="27" t="s">
        <v>7</v>
      </c>
      <c r="HS774" s="27" t="s">
        <v>8</v>
      </c>
      <c r="HT774" s="27" t="s">
        <v>7</v>
      </c>
      <c r="HU774" s="27" t="s">
        <v>8</v>
      </c>
      <c r="HV774" s="27" t="s">
        <v>7</v>
      </c>
      <c r="HW774" s="27" t="s">
        <v>8</v>
      </c>
      <c r="HX774" s="27" t="s">
        <v>7</v>
      </c>
      <c r="HY774" s="27" t="s">
        <v>8</v>
      </c>
      <c r="JO774" s="27" t="s">
        <v>8</v>
      </c>
      <c r="JP774" s="27" t="s">
        <v>7</v>
      </c>
      <c r="JQ774" s="27" t="s">
        <v>8</v>
      </c>
    </row>
    <row r="775" spans="1:279" x14ac:dyDescent="0.25">
      <c r="A775" s="7">
        <v>2.4163937778356601E-2</v>
      </c>
      <c r="B775"/>
      <c r="C775"/>
      <c r="D775"/>
      <c r="E775"/>
      <c r="F775" s="27" t="s">
        <v>7</v>
      </c>
      <c r="S775" s="27" t="s">
        <v>8</v>
      </c>
      <c r="U775" s="27" t="s">
        <v>8</v>
      </c>
      <c r="V775" s="27" t="s">
        <v>7</v>
      </c>
      <c r="AQ775" s="27" t="s">
        <v>8</v>
      </c>
      <c r="AR775" s="27" t="s">
        <v>7</v>
      </c>
      <c r="AY775" s="27" t="s">
        <v>8</v>
      </c>
      <c r="AZ775" s="27" t="s">
        <v>7</v>
      </c>
      <c r="BA775" s="27" t="s">
        <v>8</v>
      </c>
      <c r="BB775" s="27" t="s">
        <v>7</v>
      </c>
      <c r="BC775" s="27" t="s">
        <v>8</v>
      </c>
      <c r="BE775" s="27" t="s">
        <v>8</v>
      </c>
      <c r="BF775" s="27" t="s">
        <v>7</v>
      </c>
      <c r="GW775" s="27" t="s">
        <v>8</v>
      </c>
      <c r="GX775" s="27" t="s">
        <v>7</v>
      </c>
      <c r="GY775" s="27" t="s">
        <v>8</v>
      </c>
      <c r="GZ775" s="27" t="s">
        <v>7</v>
      </c>
      <c r="HQ775" s="27" t="s">
        <v>8</v>
      </c>
      <c r="HR775" s="27" t="s">
        <v>7</v>
      </c>
      <c r="HS775" s="27" t="s">
        <v>8</v>
      </c>
      <c r="HT775" s="27" t="s">
        <v>7</v>
      </c>
      <c r="HU775" s="27" t="s">
        <v>8</v>
      </c>
      <c r="HV775" s="27" t="s">
        <v>7</v>
      </c>
      <c r="HW775" s="27" t="s">
        <v>8</v>
      </c>
      <c r="HX775" s="27" t="s">
        <v>7</v>
      </c>
      <c r="HY775" s="27" t="s">
        <v>8</v>
      </c>
      <c r="HZ775" s="27" t="s">
        <v>7</v>
      </c>
      <c r="IA775" s="27" t="s">
        <v>8</v>
      </c>
      <c r="IE775" s="27" t="s">
        <v>8</v>
      </c>
      <c r="JM775" s="27" t="s">
        <v>8</v>
      </c>
      <c r="JO775" s="27" t="s">
        <v>8</v>
      </c>
      <c r="JP775" s="27" t="s">
        <v>7</v>
      </c>
      <c r="JQ775" s="27" t="s">
        <v>8</v>
      </c>
    </row>
    <row r="776" spans="1:279" x14ac:dyDescent="0.25">
      <c r="A776" s="7">
        <v>2.3690135076820197E-2</v>
      </c>
      <c r="B776"/>
      <c r="C776"/>
      <c r="D776"/>
      <c r="E776"/>
      <c r="F776" s="27" t="s">
        <v>7</v>
      </c>
      <c r="S776" s="27" t="s">
        <v>8</v>
      </c>
      <c r="T776" s="27" t="s">
        <v>7</v>
      </c>
      <c r="U776" s="27" t="s">
        <v>8</v>
      </c>
      <c r="V776" s="27" t="s">
        <v>7</v>
      </c>
      <c r="AQ776" s="27" t="s">
        <v>8</v>
      </c>
      <c r="AR776" s="27" t="s">
        <v>7</v>
      </c>
      <c r="AY776" s="27" t="s">
        <v>8</v>
      </c>
      <c r="AZ776" s="27" t="s">
        <v>7</v>
      </c>
      <c r="BA776" s="27" t="s">
        <v>8</v>
      </c>
      <c r="BB776" s="27" t="s">
        <v>7</v>
      </c>
      <c r="BC776" s="27" t="s">
        <v>8</v>
      </c>
      <c r="BD776" s="27" t="s">
        <v>7</v>
      </c>
      <c r="BE776" s="27" t="s">
        <v>8</v>
      </c>
      <c r="BF776" s="27" t="s">
        <v>7</v>
      </c>
      <c r="GW776" s="27" t="s">
        <v>8</v>
      </c>
      <c r="GX776" s="27" t="s">
        <v>7</v>
      </c>
      <c r="GY776" s="27" t="s">
        <v>8</v>
      </c>
      <c r="GZ776" s="27" t="s">
        <v>7</v>
      </c>
      <c r="HQ776" s="27" t="s">
        <v>8</v>
      </c>
      <c r="HR776" s="27" t="s">
        <v>7</v>
      </c>
      <c r="HS776" s="27" t="s">
        <v>8</v>
      </c>
      <c r="HT776" s="27" t="s">
        <v>7</v>
      </c>
      <c r="HV776" s="27" t="s">
        <v>7</v>
      </c>
      <c r="HX776" s="27" t="s">
        <v>7</v>
      </c>
      <c r="HY776" s="27" t="s">
        <v>8</v>
      </c>
      <c r="HZ776" s="27" t="s">
        <v>7</v>
      </c>
      <c r="IA776" s="27" t="s">
        <v>8</v>
      </c>
      <c r="IB776" s="27" t="s">
        <v>7</v>
      </c>
      <c r="IE776" s="27" t="s">
        <v>8</v>
      </c>
      <c r="IF776" s="27" t="s">
        <v>7</v>
      </c>
      <c r="JM776" s="27" t="s">
        <v>8</v>
      </c>
      <c r="JN776" s="27" t="s">
        <v>7</v>
      </c>
      <c r="JO776" s="27" t="s">
        <v>8</v>
      </c>
      <c r="JP776" s="27" t="s">
        <v>7</v>
      </c>
      <c r="JQ776" s="27" t="s">
        <v>8</v>
      </c>
    </row>
    <row r="777" spans="1:279" x14ac:dyDescent="0.25">
      <c r="A777" s="7">
        <v>2.3225622624333527E-2</v>
      </c>
      <c r="B777"/>
      <c r="C777"/>
      <c r="D777"/>
      <c r="E777"/>
      <c r="F777" s="27" t="s">
        <v>7</v>
      </c>
      <c r="S777" s="27" t="s">
        <v>8</v>
      </c>
      <c r="T777" s="27" t="s">
        <v>7</v>
      </c>
      <c r="U777" s="27" t="s">
        <v>8</v>
      </c>
      <c r="V777" s="27" t="s">
        <v>7</v>
      </c>
      <c r="W777" s="27" t="s">
        <v>8</v>
      </c>
      <c r="AQ777" s="27" t="s">
        <v>8</v>
      </c>
      <c r="AR777" s="27" t="s">
        <v>7</v>
      </c>
      <c r="AY777" s="27" t="s">
        <v>8</v>
      </c>
      <c r="AZ777" s="27" t="s">
        <v>7</v>
      </c>
      <c r="BA777" s="27" t="s">
        <v>8</v>
      </c>
      <c r="BB777" s="27" t="s">
        <v>7</v>
      </c>
      <c r="BC777" s="27" t="s">
        <v>8</v>
      </c>
      <c r="BD777" s="27" t="s">
        <v>7</v>
      </c>
      <c r="BE777" s="27" t="s">
        <v>8</v>
      </c>
      <c r="BF777" s="27" t="s">
        <v>7</v>
      </c>
      <c r="GW777" s="27" t="s">
        <v>8</v>
      </c>
      <c r="GX777" s="27" t="s">
        <v>7</v>
      </c>
      <c r="GY777" s="27" t="s">
        <v>8</v>
      </c>
      <c r="GZ777" s="27" t="s">
        <v>7</v>
      </c>
      <c r="HQ777" s="27" t="s">
        <v>8</v>
      </c>
      <c r="HR777" s="27" t="s">
        <v>7</v>
      </c>
      <c r="HS777" s="27" t="s">
        <v>8</v>
      </c>
      <c r="HX777" s="27" t="s">
        <v>7</v>
      </c>
      <c r="HY777" s="27" t="s">
        <v>8</v>
      </c>
      <c r="HZ777" s="27" t="s">
        <v>7</v>
      </c>
      <c r="IA777" s="27" t="s">
        <v>8</v>
      </c>
      <c r="IB777" s="27" t="s">
        <v>7</v>
      </c>
      <c r="IE777" s="27" t="s">
        <v>8</v>
      </c>
      <c r="IF777" s="27" t="s">
        <v>7</v>
      </c>
      <c r="JM777" s="27" t="s">
        <v>8</v>
      </c>
      <c r="JN777" s="27" t="s">
        <v>7</v>
      </c>
      <c r="JO777" s="27" t="s">
        <v>8</v>
      </c>
      <c r="JP777" s="27" t="s">
        <v>7</v>
      </c>
      <c r="JQ777" s="27" t="s">
        <v>8</v>
      </c>
    </row>
    <row r="778" spans="1:279" x14ac:dyDescent="0.25">
      <c r="A778" s="7">
        <v>2.2770218259150519E-2</v>
      </c>
      <c r="B778"/>
      <c r="C778"/>
      <c r="D778"/>
      <c r="E778"/>
      <c r="F778" s="27" t="s">
        <v>7</v>
      </c>
      <c r="S778" s="27" t="s">
        <v>8</v>
      </c>
      <c r="T778" s="27" t="s">
        <v>7</v>
      </c>
      <c r="U778" s="27" t="s">
        <v>8</v>
      </c>
      <c r="V778" s="27" t="s">
        <v>7</v>
      </c>
      <c r="W778" s="27" t="s">
        <v>8</v>
      </c>
      <c r="X778" s="27" t="s">
        <v>7</v>
      </c>
      <c r="AQ778" s="27" t="s">
        <v>8</v>
      </c>
      <c r="AR778" s="27" t="s">
        <v>7</v>
      </c>
      <c r="AY778" s="27" t="s">
        <v>8</v>
      </c>
      <c r="AZ778" s="27" t="s">
        <v>7</v>
      </c>
      <c r="BA778" s="27" t="s">
        <v>8</v>
      </c>
      <c r="BB778" s="27" t="s">
        <v>7</v>
      </c>
      <c r="BC778" s="27" t="s">
        <v>8</v>
      </c>
      <c r="BD778" s="27" t="s">
        <v>7</v>
      </c>
      <c r="BE778" s="27" t="s">
        <v>8</v>
      </c>
      <c r="BF778" s="27" t="s">
        <v>7</v>
      </c>
      <c r="GW778" s="27" t="s">
        <v>8</v>
      </c>
      <c r="GX778" s="27" t="s">
        <v>7</v>
      </c>
      <c r="GY778" s="27" t="s">
        <v>8</v>
      </c>
      <c r="GZ778" s="27" t="s">
        <v>7</v>
      </c>
      <c r="HQ778" s="27" t="s">
        <v>8</v>
      </c>
      <c r="HR778" s="27" t="s">
        <v>7</v>
      </c>
      <c r="HX778" s="27" t="s">
        <v>7</v>
      </c>
      <c r="HY778" s="27" t="s">
        <v>8</v>
      </c>
      <c r="HZ778" s="27" t="s">
        <v>7</v>
      </c>
      <c r="IA778" s="27" t="s">
        <v>8</v>
      </c>
      <c r="IB778" s="27" t="s">
        <v>7</v>
      </c>
      <c r="IE778" s="27" t="s">
        <v>8</v>
      </c>
      <c r="IF778" s="27" t="s">
        <v>7</v>
      </c>
      <c r="JK778" s="27" t="s">
        <v>8</v>
      </c>
      <c r="JM778" s="27" t="s">
        <v>8</v>
      </c>
      <c r="JN778" s="27" t="s">
        <v>7</v>
      </c>
      <c r="JO778" s="27" t="s">
        <v>8</v>
      </c>
      <c r="JP778" s="27" t="s">
        <v>7</v>
      </c>
      <c r="JQ778" s="27" t="s">
        <v>8</v>
      </c>
    </row>
    <row r="779" spans="1:279" x14ac:dyDescent="0.25">
      <c r="A779" s="7">
        <v>2.2323743391324039E-2</v>
      </c>
      <c r="B779"/>
      <c r="C779"/>
      <c r="D779"/>
      <c r="E779"/>
      <c r="F779" s="27" t="s">
        <v>7</v>
      </c>
      <c r="S779" s="27" t="s">
        <v>8</v>
      </c>
      <c r="T779" s="27" t="s">
        <v>7</v>
      </c>
      <c r="U779" s="27" t="s">
        <v>8</v>
      </c>
      <c r="V779" s="27" t="s">
        <v>7</v>
      </c>
      <c r="W779" s="27" t="s">
        <v>8</v>
      </c>
      <c r="X779" s="27" t="s">
        <v>7</v>
      </c>
      <c r="AA779" s="27" t="s">
        <v>8</v>
      </c>
      <c r="AQ779" s="27" t="s">
        <v>8</v>
      </c>
      <c r="AR779" s="27" t="s">
        <v>7</v>
      </c>
      <c r="AY779" s="27" t="s">
        <v>8</v>
      </c>
      <c r="AZ779" s="27" t="s">
        <v>7</v>
      </c>
      <c r="BA779" s="27" t="s">
        <v>8</v>
      </c>
      <c r="BB779" s="27" t="s">
        <v>7</v>
      </c>
      <c r="BC779" s="27" t="s">
        <v>8</v>
      </c>
      <c r="BD779" s="27" t="s">
        <v>7</v>
      </c>
      <c r="BE779" s="27" t="s">
        <v>8</v>
      </c>
      <c r="BF779" s="27" t="s">
        <v>7</v>
      </c>
      <c r="GU779" s="27" t="s">
        <v>8</v>
      </c>
      <c r="GW779" s="27" t="s">
        <v>8</v>
      </c>
      <c r="GX779" s="27" t="s">
        <v>7</v>
      </c>
      <c r="GY779" s="27" t="s">
        <v>8</v>
      </c>
      <c r="GZ779" s="27" t="s">
        <v>7</v>
      </c>
      <c r="HQ779" s="27" t="s">
        <v>8</v>
      </c>
      <c r="HX779" s="27" t="s">
        <v>7</v>
      </c>
      <c r="HY779" s="27" t="s">
        <v>8</v>
      </c>
      <c r="HZ779" s="27" t="s">
        <v>7</v>
      </c>
      <c r="IA779" s="27" t="s">
        <v>8</v>
      </c>
      <c r="IB779" s="27" t="s">
        <v>7</v>
      </c>
      <c r="IC779" s="27" t="s">
        <v>8</v>
      </c>
      <c r="IE779" s="27" t="s">
        <v>8</v>
      </c>
      <c r="IF779" s="27" t="s">
        <v>7</v>
      </c>
      <c r="JK779" s="27" t="s">
        <v>8</v>
      </c>
      <c r="JL779" s="27" t="s">
        <v>7</v>
      </c>
      <c r="JM779" s="27" t="s">
        <v>8</v>
      </c>
      <c r="JN779" s="27" t="s">
        <v>7</v>
      </c>
      <c r="JP779" s="27" t="s">
        <v>7</v>
      </c>
    </row>
    <row r="780" spans="1:279" x14ac:dyDescent="0.25">
      <c r="A780" s="7">
        <v>2.188602293267063E-2</v>
      </c>
      <c r="B780"/>
      <c r="C780"/>
      <c r="D780"/>
      <c r="E780"/>
      <c r="F780" s="27" t="s">
        <v>7</v>
      </c>
      <c r="S780" s="27" t="s">
        <v>8</v>
      </c>
      <c r="T780" s="27" t="s">
        <v>7</v>
      </c>
      <c r="V780" s="27" t="s">
        <v>7</v>
      </c>
      <c r="X780" s="27" t="s">
        <v>7</v>
      </c>
      <c r="Y780" s="27" t="s">
        <v>8</v>
      </c>
      <c r="AA780" s="27" t="s">
        <v>8</v>
      </c>
      <c r="AB780" s="27" t="s">
        <v>7</v>
      </c>
      <c r="AQ780" s="27" t="s">
        <v>8</v>
      </c>
      <c r="AR780" s="27" t="s">
        <v>7</v>
      </c>
      <c r="AY780" s="27" t="s">
        <v>8</v>
      </c>
      <c r="AZ780" s="27" t="s">
        <v>7</v>
      </c>
      <c r="BA780" s="27" t="s">
        <v>8</v>
      </c>
      <c r="BB780" s="27" t="s">
        <v>7</v>
      </c>
      <c r="BC780" s="27" t="s">
        <v>8</v>
      </c>
      <c r="BD780" s="27" t="s">
        <v>7</v>
      </c>
      <c r="BE780" s="27" t="s">
        <v>8</v>
      </c>
      <c r="BF780" s="27" t="s">
        <v>7</v>
      </c>
      <c r="GU780" s="27" t="s">
        <v>8</v>
      </c>
      <c r="GV780" s="27" t="s">
        <v>7</v>
      </c>
      <c r="GW780" s="27" t="s">
        <v>8</v>
      </c>
      <c r="GX780" s="27" t="s">
        <v>7</v>
      </c>
      <c r="GY780" s="27" t="s">
        <v>8</v>
      </c>
      <c r="GZ780" s="27" t="s">
        <v>7</v>
      </c>
      <c r="HQ780" s="27" t="s">
        <v>8</v>
      </c>
      <c r="HX780" s="27" t="s">
        <v>7</v>
      </c>
      <c r="HY780" s="27" t="s">
        <v>8</v>
      </c>
      <c r="HZ780" s="27" t="s">
        <v>7</v>
      </c>
      <c r="IA780" s="27" t="s">
        <v>8</v>
      </c>
      <c r="IB780" s="27" t="s">
        <v>7</v>
      </c>
      <c r="IC780" s="27" t="s">
        <v>8</v>
      </c>
      <c r="ID780" s="27" t="s">
        <v>7</v>
      </c>
      <c r="IE780" s="27" t="s">
        <v>8</v>
      </c>
      <c r="IF780" s="27" t="s">
        <v>7</v>
      </c>
      <c r="JK780" s="27" t="s">
        <v>8</v>
      </c>
      <c r="JL780" s="27" t="s">
        <v>7</v>
      </c>
      <c r="JM780" s="27" t="s">
        <v>8</v>
      </c>
    </row>
    <row r="781" spans="1:279" x14ac:dyDescent="0.25">
      <c r="A781" s="7">
        <v>2.1456885228108461E-2</v>
      </c>
      <c r="B781"/>
      <c r="C781"/>
      <c r="D781"/>
      <c r="E781"/>
      <c r="F781" s="27" t="s">
        <v>7</v>
      </c>
      <c r="S781" s="27" t="s">
        <v>8</v>
      </c>
      <c r="X781" s="27" t="s">
        <v>7</v>
      </c>
      <c r="Y781" s="27" t="s">
        <v>8</v>
      </c>
      <c r="Z781" s="27" t="s">
        <v>7</v>
      </c>
      <c r="AA781" s="27" t="s">
        <v>8</v>
      </c>
      <c r="AB781" s="27" t="s">
        <v>7</v>
      </c>
      <c r="AC781" s="27" t="s">
        <v>8</v>
      </c>
      <c r="AM781" s="27" t="s">
        <v>8</v>
      </c>
      <c r="AQ781" s="27" t="s">
        <v>8</v>
      </c>
      <c r="AR781" s="27" t="s">
        <v>7</v>
      </c>
      <c r="AU781" s="27" t="s">
        <v>8</v>
      </c>
      <c r="AY781" s="27" t="s">
        <v>8</v>
      </c>
      <c r="AZ781" s="27" t="s">
        <v>7</v>
      </c>
      <c r="BA781" s="27" t="s">
        <v>8</v>
      </c>
      <c r="BB781" s="27" t="s">
        <v>7</v>
      </c>
      <c r="BD781" s="27" t="s">
        <v>7</v>
      </c>
      <c r="BF781" s="27" t="s">
        <v>7</v>
      </c>
      <c r="BG781" s="27" t="s">
        <v>8</v>
      </c>
      <c r="GU781" s="27" t="s">
        <v>8</v>
      </c>
      <c r="GV781" s="27" t="s">
        <v>7</v>
      </c>
      <c r="GW781" s="27" t="s">
        <v>8</v>
      </c>
      <c r="GX781" s="27" t="s">
        <v>7</v>
      </c>
      <c r="GY781" s="27" t="s">
        <v>8</v>
      </c>
      <c r="GZ781" s="27" t="s">
        <v>7</v>
      </c>
      <c r="HQ781" s="27" t="s">
        <v>8</v>
      </c>
      <c r="HX781" s="27" t="s">
        <v>7</v>
      </c>
      <c r="HY781" s="27" t="s">
        <v>8</v>
      </c>
      <c r="HZ781" s="27" t="s">
        <v>7</v>
      </c>
      <c r="IA781" s="27" t="s">
        <v>8</v>
      </c>
      <c r="IB781" s="27" t="s">
        <v>7</v>
      </c>
      <c r="IC781" s="27" t="s">
        <v>8</v>
      </c>
      <c r="ID781" s="27" t="s">
        <v>7</v>
      </c>
      <c r="IE781" s="27" t="s">
        <v>8</v>
      </c>
      <c r="IF781" s="27" t="s">
        <v>7</v>
      </c>
      <c r="IU781" s="27" t="s">
        <v>8</v>
      </c>
      <c r="JK781" s="27" t="s">
        <v>8</v>
      </c>
      <c r="JL781" s="27" t="s">
        <v>7</v>
      </c>
      <c r="JM781" s="27" t="s">
        <v>8</v>
      </c>
    </row>
    <row r="782" spans="1:279" x14ac:dyDescent="0.25">
      <c r="A782" s="7">
        <v>2.1036161988341632E-2</v>
      </c>
      <c r="B782"/>
      <c r="C782"/>
      <c r="D782"/>
      <c r="E782"/>
      <c r="F782" s="27" t="s">
        <v>7</v>
      </c>
      <c r="S782" s="27" t="s">
        <v>8</v>
      </c>
      <c r="X782" s="27" t="s">
        <v>7</v>
      </c>
      <c r="Y782" s="27" t="s">
        <v>8</v>
      </c>
      <c r="Z782" s="27" t="s">
        <v>7</v>
      </c>
      <c r="AA782" s="27" t="s">
        <v>8</v>
      </c>
      <c r="AB782" s="27" t="s">
        <v>7</v>
      </c>
      <c r="AC782" s="27" t="s">
        <v>8</v>
      </c>
      <c r="AD782" s="27" t="s">
        <v>7</v>
      </c>
      <c r="AM782" s="27" t="s">
        <v>8</v>
      </c>
      <c r="AN782" s="27" t="s">
        <v>7</v>
      </c>
      <c r="AQ782" s="27" t="s">
        <v>8</v>
      </c>
      <c r="AR782" s="27" t="s">
        <v>7</v>
      </c>
      <c r="AU782" s="27" t="s">
        <v>8</v>
      </c>
      <c r="AV782" s="27" t="s">
        <v>7</v>
      </c>
      <c r="AY782" s="27" t="s">
        <v>8</v>
      </c>
      <c r="AZ782" s="27" t="s">
        <v>7</v>
      </c>
      <c r="BA782" s="27" t="s">
        <v>8</v>
      </c>
      <c r="BF782" s="27" t="s">
        <v>7</v>
      </c>
      <c r="BG782" s="27" t="s">
        <v>8</v>
      </c>
      <c r="BH782" s="27" t="s">
        <v>7</v>
      </c>
      <c r="BI782" s="27" t="s">
        <v>8</v>
      </c>
      <c r="GU782" s="27" t="s">
        <v>8</v>
      </c>
      <c r="GV782" s="27" t="s">
        <v>7</v>
      </c>
      <c r="GW782" s="27" t="s">
        <v>8</v>
      </c>
      <c r="GX782" s="27" t="s">
        <v>7</v>
      </c>
      <c r="GY782" s="27" t="s">
        <v>8</v>
      </c>
      <c r="GZ782" s="27" t="s">
        <v>7</v>
      </c>
      <c r="HA782" s="27" t="s">
        <v>8</v>
      </c>
      <c r="HG782" s="27" t="s">
        <v>8</v>
      </c>
      <c r="HQ782" s="27" t="s">
        <v>8</v>
      </c>
      <c r="HX782" s="27" t="s">
        <v>7</v>
      </c>
      <c r="HZ782" s="27" t="s">
        <v>7</v>
      </c>
      <c r="IA782" s="27" t="s">
        <v>8</v>
      </c>
      <c r="IB782" s="27" t="s">
        <v>7</v>
      </c>
      <c r="IC782" s="27" t="s">
        <v>8</v>
      </c>
      <c r="ID782" s="27" t="s">
        <v>7</v>
      </c>
      <c r="IE782" s="27" t="s">
        <v>8</v>
      </c>
      <c r="IF782" s="27" t="s">
        <v>7</v>
      </c>
      <c r="IU782" s="27" t="s">
        <v>8</v>
      </c>
      <c r="IV782" s="27" t="s">
        <v>7</v>
      </c>
      <c r="IY782" s="27" t="s">
        <v>8</v>
      </c>
      <c r="JK782" s="27" t="s">
        <v>8</v>
      </c>
      <c r="JL782" s="27" t="s">
        <v>7</v>
      </c>
    </row>
    <row r="783" spans="1:279" x14ac:dyDescent="0.25">
      <c r="A783" s="7">
        <v>2.0623688223864345E-2</v>
      </c>
      <c r="B783"/>
      <c r="C783"/>
      <c r="D783"/>
      <c r="E783"/>
      <c r="F783" s="27" t="s">
        <v>7</v>
      </c>
      <c r="S783" s="27" t="s">
        <v>8</v>
      </c>
      <c r="X783" s="27" t="s">
        <v>7</v>
      </c>
      <c r="Y783" s="27" t="s">
        <v>8</v>
      </c>
      <c r="Z783" s="27" t="s">
        <v>7</v>
      </c>
      <c r="AA783" s="27" t="s">
        <v>8</v>
      </c>
      <c r="AB783" s="27" t="s">
        <v>7</v>
      </c>
      <c r="AC783" s="27" t="s">
        <v>8</v>
      </c>
      <c r="AD783" s="27" t="s">
        <v>7</v>
      </c>
      <c r="AM783" s="27" t="s">
        <v>8</v>
      </c>
      <c r="AN783" s="27" t="s">
        <v>7</v>
      </c>
      <c r="AQ783" s="27" t="s">
        <v>8</v>
      </c>
      <c r="AR783" s="27" t="s">
        <v>7</v>
      </c>
      <c r="AU783" s="27" t="s">
        <v>8</v>
      </c>
      <c r="AV783" s="27" t="s">
        <v>7</v>
      </c>
      <c r="AY783" s="27" t="s">
        <v>8</v>
      </c>
      <c r="AZ783" s="27" t="s">
        <v>7</v>
      </c>
      <c r="BF783" s="27" t="s">
        <v>7</v>
      </c>
      <c r="BG783" s="27" t="s">
        <v>8</v>
      </c>
      <c r="BH783" s="27" t="s">
        <v>7</v>
      </c>
      <c r="BI783" s="27" t="s">
        <v>8</v>
      </c>
      <c r="BJ783" s="27" t="s">
        <v>7</v>
      </c>
      <c r="GU783" s="27" t="s">
        <v>8</v>
      </c>
      <c r="GV783" s="27" t="s">
        <v>7</v>
      </c>
      <c r="GW783" s="27" t="s">
        <v>8</v>
      </c>
      <c r="GX783" s="27" t="s">
        <v>7</v>
      </c>
      <c r="GZ783" s="27" t="s">
        <v>7</v>
      </c>
      <c r="HA783" s="27" t="s">
        <v>8</v>
      </c>
      <c r="HB783" s="27" t="s">
        <v>7</v>
      </c>
      <c r="HG783" s="27" t="s">
        <v>8</v>
      </c>
      <c r="HH783" s="27" t="s">
        <v>7</v>
      </c>
      <c r="HI783" s="27" t="s">
        <v>8</v>
      </c>
      <c r="HQ783" s="27" t="s">
        <v>8</v>
      </c>
      <c r="HZ783" s="27" t="s">
        <v>7</v>
      </c>
      <c r="IA783" s="27" t="s">
        <v>8</v>
      </c>
      <c r="IB783" s="27" t="s">
        <v>7</v>
      </c>
      <c r="ID783" s="27" t="s">
        <v>7</v>
      </c>
      <c r="IE783" s="27" t="s">
        <v>8</v>
      </c>
      <c r="IF783" s="27" t="s">
        <v>7</v>
      </c>
      <c r="IS783" s="27" t="s">
        <v>8</v>
      </c>
      <c r="IU783" s="27" t="s">
        <v>8</v>
      </c>
      <c r="IV783" s="27" t="s">
        <v>7</v>
      </c>
      <c r="IW783" s="27" t="s">
        <v>8</v>
      </c>
      <c r="IY783" s="27" t="s">
        <v>8</v>
      </c>
      <c r="IZ783" s="27" t="s">
        <v>7</v>
      </c>
      <c r="JA783" s="27" t="s">
        <v>8</v>
      </c>
      <c r="JG783" s="27" t="s">
        <v>8</v>
      </c>
      <c r="JI783" s="27" t="s">
        <v>8</v>
      </c>
      <c r="JK783" s="27" t="s">
        <v>8</v>
      </c>
    </row>
    <row r="784" spans="1:279" x14ac:dyDescent="0.25">
      <c r="A784" s="7">
        <v>2.021930218025916E-2</v>
      </c>
      <c r="B784"/>
      <c r="C784"/>
      <c r="D784"/>
      <c r="E784"/>
      <c r="F784" s="27" t="s">
        <v>7</v>
      </c>
      <c r="Q784" s="27" t="s">
        <v>8</v>
      </c>
      <c r="S784" s="27" t="s">
        <v>8</v>
      </c>
      <c r="X784" s="27" t="s">
        <v>7</v>
      </c>
      <c r="Y784" s="27" t="s">
        <v>8</v>
      </c>
      <c r="Z784" s="27" t="s">
        <v>7</v>
      </c>
      <c r="AB784" s="27" t="s">
        <v>7</v>
      </c>
      <c r="AC784" s="27" t="s">
        <v>8</v>
      </c>
      <c r="AD784" s="27" t="s">
        <v>7</v>
      </c>
      <c r="AM784" s="27" t="s">
        <v>8</v>
      </c>
      <c r="AN784" s="27" t="s">
        <v>7</v>
      </c>
      <c r="AQ784" s="27" t="s">
        <v>8</v>
      </c>
      <c r="AR784" s="27" t="s">
        <v>7</v>
      </c>
      <c r="AS784" s="27" t="s">
        <v>8</v>
      </c>
      <c r="AU784" s="27" t="s">
        <v>8</v>
      </c>
      <c r="AV784" s="27" t="s">
        <v>7</v>
      </c>
      <c r="AW784" s="27" t="s">
        <v>8</v>
      </c>
      <c r="AY784" s="27" t="s">
        <v>8</v>
      </c>
      <c r="BF784" s="27" t="s">
        <v>7</v>
      </c>
      <c r="BG784" s="27" t="s">
        <v>8</v>
      </c>
      <c r="BH784" s="27" t="s">
        <v>7</v>
      </c>
      <c r="BI784" s="27" t="s">
        <v>8</v>
      </c>
      <c r="BJ784" s="27" t="s">
        <v>7</v>
      </c>
      <c r="GU784" s="27" t="s">
        <v>8</v>
      </c>
      <c r="GV784" s="27" t="s">
        <v>7</v>
      </c>
      <c r="GW784" s="27" t="s">
        <v>8</v>
      </c>
      <c r="GZ784" s="27" t="s">
        <v>7</v>
      </c>
      <c r="HA784" s="27" t="s">
        <v>8</v>
      </c>
      <c r="HB784" s="27" t="s">
        <v>7</v>
      </c>
      <c r="HG784" s="27" t="s">
        <v>8</v>
      </c>
      <c r="HH784" s="27" t="s">
        <v>7</v>
      </c>
      <c r="HI784" s="27" t="s">
        <v>8</v>
      </c>
      <c r="HJ784" s="27" t="s">
        <v>7</v>
      </c>
      <c r="HQ784" s="27" t="s">
        <v>8</v>
      </c>
      <c r="HZ784" s="27" t="s">
        <v>7</v>
      </c>
      <c r="ID784" s="27" t="s">
        <v>7</v>
      </c>
      <c r="IE784" s="27" t="s">
        <v>8</v>
      </c>
      <c r="IF784" s="27" t="s">
        <v>7</v>
      </c>
      <c r="IS784" s="27" t="s">
        <v>8</v>
      </c>
      <c r="IT784" s="27" t="s">
        <v>7</v>
      </c>
      <c r="IU784" s="27" t="s">
        <v>8</v>
      </c>
      <c r="IV784" s="27" t="s">
        <v>7</v>
      </c>
      <c r="IW784" s="27" t="s">
        <v>8</v>
      </c>
      <c r="IX784" s="27" t="s">
        <v>7</v>
      </c>
      <c r="IY784" s="27" t="s">
        <v>8</v>
      </c>
      <c r="IZ784" s="27" t="s">
        <v>7</v>
      </c>
      <c r="JA784" s="27" t="s">
        <v>8</v>
      </c>
      <c r="JB784" s="27" t="s">
        <v>7</v>
      </c>
      <c r="JG784" s="27" t="s">
        <v>8</v>
      </c>
      <c r="JH784" s="27" t="s">
        <v>7</v>
      </c>
      <c r="JI784" s="27" t="s">
        <v>8</v>
      </c>
      <c r="JJ784" s="27" t="s">
        <v>7</v>
      </c>
      <c r="JK784" s="27" t="s">
        <v>8</v>
      </c>
    </row>
    <row r="785" spans="1:271" x14ac:dyDescent="0.25">
      <c r="A785" s="7">
        <v>1.9822845274763884E-2</v>
      </c>
      <c r="B785"/>
      <c r="C785"/>
      <c r="D785"/>
      <c r="E785"/>
      <c r="F785" s="27" t="s">
        <v>7</v>
      </c>
      <c r="G785" s="27" t="s">
        <v>8</v>
      </c>
      <c r="Q785" s="27" t="s">
        <v>8</v>
      </c>
      <c r="R785" s="27" t="s">
        <v>7</v>
      </c>
      <c r="S785" s="27" t="s">
        <v>8</v>
      </c>
      <c r="X785" s="27" t="s">
        <v>7</v>
      </c>
      <c r="Y785" s="27" t="s">
        <v>8</v>
      </c>
      <c r="AB785" s="27" t="s">
        <v>7</v>
      </c>
      <c r="AD785" s="27" t="s">
        <v>7</v>
      </c>
      <c r="AM785" s="27" t="s">
        <v>8</v>
      </c>
      <c r="AN785" s="27" t="s">
        <v>7</v>
      </c>
      <c r="AQ785" s="27" t="s">
        <v>8</v>
      </c>
      <c r="AR785" s="27" t="s">
        <v>7</v>
      </c>
      <c r="AS785" s="27" t="s">
        <v>8</v>
      </c>
      <c r="AT785" s="27" t="s">
        <v>7</v>
      </c>
      <c r="AU785" s="27" t="s">
        <v>8</v>
      </c>
      <c r="AV785" s="27" t="s">
        <v>7</v>
      </c>
      <c r="AW785" s="27" t="s">
        <v>8</v>
      </c>
      <c r="AX785" s="27" t="s">
        <v>7</v>
      </c>
      <c r="AY785" s="27" t="s">
        <v>8</v>
      </c>
      <c r="BF785" s="27" t="s">
        <v>7</v>
      </c>
      <c r="BG785" s="27" t="s">
        <v>8</v>
      </c>
      <c r="BH785" s="27" t="s">
        <v>7</v>
      </c>
      <c r="BJ785" s="27" t="s">
        <v>7</v>
      </c>
      <c r="GU785" s="27" t="s">
        <v>8</v>
      </c>
      <c r="GV785" s="27" t="s">
        <v>7</v>
      </c>
      <c r="GZ785" s="27" t="s">
        <v>7</v>
      </c>
      <c r="HA785" s="27" t="s">
        <v>8</v>
      </c>
      <c r="HB785" s="27" t="s">
        <v>7</v>
      </c>
      <c r="HG785" s="27" t="s">
        <v>8</v>
      </c>
      <c r="HH785" s="27" t="s">
        <v>7</v>
      </c>
      <c r="HI785" s="27" t="s">
        <v>8</v>
      </c>
      <c r="HJ785" s="27" t="s">
        <v>7</v>
      </c>
      <c r="HO785" s="27" t="s">
        <v>8</v>
      </c>
      <c r="HQ785" s="27" t="s">
        <v>8</v>
      </c>
      <c r="ID785" s="27" t="s">
        <v>7</v>
      </c>
      <c r="IE785" s="27" t="s">
        <v>8</v>
      </c>
      <c r="IF785" s="27" t="s">
        <v>7</v>
      </c>
      <c r="IS785" s="27" t="s">
        <v>8</v>
      </c>
      <c r="IT785" s="27" t="s">
        <v>7</v>
      </c>
      <c r="IU785" s="27" t="s">
        <v>8</v>
      </c>
      <c r="IV785" s="27" t="s">
        <v>7</v>
      </c>
      <c r="IW785" s="27" t="s">
        <v>8</v>
      </c>
      <c r="IX785" s="27" t="s">
        <v>7</v>
      </c>
      <c r="IY785" s="27" t="s">
        <v>8</v>
      </c>
      <c r="IZ785" s="27" t="s">
        <v>7</v>
      </c>
      <c r="JA785" s="27" t="s">
        <v>8</v>
      </c>
      <c r="JB785" s="27" t="s">
        <v>7</v>
      </c>
      <c r="JC785" s="27" t="s">
        <v>8</v>
      </c>
      <c r="JG785" s="27" t="s">
        <v>8</v>
      </c>
      <c r="JH785" s="27" t="s">
        <v>7</v>
      </c>
      <c r="JI785" s="27" t="s">
        <v>8</v>
      </c>
      <c r="JJ785" s="27" t="s">
        <v>7</v>
      </c>
      <c r="JK785" s="27" t="s">
        <v>8</v>
      </c>
    </row>
    <row r="786" spans="1:271" x14ac:dyDescent="0.25">
      <c r="A786" s="7">
        <v>1.9434162034082238E-2</v>
      </c>
      <c r="B786"/>
      <c r="C786"/>
      <c r="D786"/>
      <c r="E786"/>
      <c r="F786" s="27" t="s">
        <v>7</v>
      </c>
      <c r="G786" s="27" t="s">
        <v>8</v>
      </c>
      <c r="H786" s="27" t="s">
        <v>7</v>
      </c>
      <c r="Q786" s="27" t="s">
        <v>8</v>
      </c>
      <c r="R786" s="27" t="s">
        <v>7</v>
      </c>
      <c r="S786" s="27" t="s">
        <v>8</v>
      </c>
      <c r="X786" s="27" t="s">
        <v>7</v>
      </c>
      <c r="Y786" s="27" t="s">
        <v>8</v>
      </c>
      <c r="AD786" s="27" t="s">
        <v>7</v>
      </c>
      <c r="AM786" s="27" t="s">
        <v>8</v>
      </c>
      <c r="AN786" s="27" t="s">
        <v>7</v>
      </c>
      <c r="AQ786" s="27" t="s">
        <v>8</v>
      </c>
      <c r="AR786" s="27" t="s">
        <v>7</v>
      </c>
      <c r="AS786" s="27" t="s">
        <v>8</v>
      </c>
      <c r="AT786" s="27" t="s">
        <v>7</v>
      </c>
      <c r="AU786" s="27" t="s">
        <v>8</v>
      </c>
      <c r="AV786" s="27" t="s">
        <v>7</v>
      </c>
      <c r="AW786" s="27" t="s">
        <v>8</v>
      </c>
      <c r="AX786" s="27" t="s">
        <v>7</v>
      </c>
      <c r="AY786" s="27" t="s">
        <v>8</v>
      </c>
      <c r="BF786" s="27" t="s">
        <v>7</v>
      </c>
      <c r="BJ786" s="27" t="s">
        <v>7</v>
      </c>
      <c r="GS786" s="27" t="s">
        <v>8</v>
      </c>
      <c r="GU786" s="27" t="s">
        <v>8</v>
      </c>
      <c r="GZ786" s="27" t="s">
        <v>7</v>
      </c>
      <c r="HA786" s="27" t="s">
        <v>8</v>
      </c>
      <c r="HB786" s="27" t="s">
        <v>7</v>
      </c>
      <c r="HE786" s="27" t="s">
        <v>8</v>
      </c>
      <c r="HG786" s="27" t="s">
        <v>8</v>
      </c>
      <c r="HH786" s="27" t="s">
        <v>7</v>
      </c>
      <c r="HI786" s="27" t="s">
        <v>8</v>
      </c>
      <c r="HJ786" s="27" t="s">
        <v>7</v>
      </c>
      <c r="HM786" s="27" t="s">
        <v>8</v>
      </c>
      <c r="HO786" s="27" t="s">
        <v>8</v>
      </c>
      <c r="HP786" s="27" t="s">
        <v>7</v>
      </c>
      <c r="HQ786" s="27" t="s">
        <v>8</v>
      </c>
      <c r="ID786" s="27" t="s">
        <v>7</v>
      </c>
      <c r="IF786" s="27" t="s">
        <v>7</v>
      </c>
      <c r="IS786" s="27" t="s">
        <v>8</v>
      </c>
      <c r="IT786" s="27" t="s">
        <v>7</v>
      </c>
      <c r="IU786" s="27" t="s">
        <v>8</v>
      </c>
      <c r="IV786" s="27" t="s">
        <v>7</v>
      </c>
      <c r="IW786" s="27" t="s">
        <v>8</v>
      </c>
      <c r="IX786" s="27" t="s">
        <v>7</v>
      </c>
      <c r="IZ786" s="27" t="s">
        <v>7</v>
      </c>
      <c r="JA786" s="27" t="s">
        <v>8</v>
      </c>
      <c r="JB786" s="27" t="s">
        <v>7</v>
      </c>
      <c r="JC786" s="27" t="s">
        <v>8</v>
      </c>
      <c r="JD786" s="27" t="s">
        <v>7</v>
      </c>
      <c r="JG786" s="27" t="s">
        <v>8</v>
      </c>
      <c r="JH786" s="27" t="s">
        <v>7</v>
      </c>
      <c r="JI786" s="27" t="s">
        <v>8</v>
      </c>
      <c r="JJ786" s="27" t="s">
        <v>7</v>
      </c>
      <c r="JK786" s="27" t="s">
        <v>8</v>
      </c>
    </row>
    <row r="787" spans="1:271" x14ac:dyDescent="0.25">
      <c r="A787" s="7">
        <v>1.9053100033413959E-2</v>
      </c>
      <c r="B787"/>
      <c r="C787"/>
      <c r="D787"/>
      <c r="E787"/>
      <c r="F787" s="27" t="s">
        <v>7</v>
      </c>
      <c r="G787" s="27" t="s">
        <v>8</v>
      </c>
      <c r="H787" s="27" t="s">
        <v>7</v>
      </c>
      <c r="O787" s="27" t="s">
        <v>8</v>
      </c>
      <c r="Q787" s="27" t="s">
        <v>8</v>
      </c>
      <c r="R787" s="27" t="s">
        <v>7</v>
      </c>
      <c r="S787" s="27" t="s">
        <v>8</v>
      </c>
      <c r="X787" s="27" t="s">
        <v>7</v>
      </c>
      <c r="AD787" s="27" t="s">
        <v>7</v>
      </c>
      <c r="AE787" s="27" t="s">
        <v>8</v>
      </c>
      <c r="AM787" s="27" t="s">
        <v>8</v>
      </c>
      <c r="AN787" s="27" t="s">
        <v>7</v>
      </c>
      <c r="AQ787" s="27" t="s">
        <v>8</v>
      </c>
      <c r="AR787" s="27" t="s">
        <v>7</v>
      </c>
      <c r="AT787" s="27" t="s">
        <v>7</v>
      </c>
      <c r="AU787" s="27" t="s">
        <v>8</v>
      </c>
      <c r="AV787" s="27" t="s">
        <v>7</v>
      </c>
      <c r="AW787" s="27" t="s">
        <v>8</v>
      </c>
      <c r="AX787" s="27" t="s">
        <v>7</v>
      </c>
      <c r="BJ787" s="27" t="s">
        <v>7</v>
      </c>
      <c r="GS787" s="27" t="s">
        <v>8</v>
      </c>
      <c r="GT787" s="27" t="s">
        <v>7</v>
      </c>
      <c r="GU787" s="27" t="s">
        <v>8</v>
      </c>
      <c r="GZ787" s="27" t="s">
        <v>7</v>
      </c>
      <c r="HA787" s="27" t="s">
        <v>8</v>
      </c>
      <c r="HB787" s="27" t="s">
        <v>7</v>
      </c>
      <c r="HE787" s="27" t="s">
        <v>8</v>
      </c>
      <c r="HF787" s="27" t="s">
        <v>7</v>
      </c>
      <c r="HG787" s="27" t="s">
        <v>8</v>
      </c>
      <c r="HH787" s="27" t="s">
        <v>7</v>
      </c>
      <c r="HI787" s="27" t="s">
        <v>8</v>
      </c>
      <c r="HJ787" s="27" t="s">
        <v>7</v>
      </c>
      <c r="HM787" s="27" t="s">
        <v>8</v>
      </c>
      <c r="HN787" s="27" t="s">
        <v>7</v>
      </c>
      <c r="HO787" s="27" t="s">
        <v>8</v>
      </c>
      <c r="HP787" s="27" t="s">
        <v>7</v>
      </c>
      <c r="HQ787" s="27" t="s">
        <v>8</v>
      </c>
      <c r="IF787" s="27" t="s">
        <v>7</v>
      </c>
      <c r="IS787" s="27" t="s">
        <v>8</v>
      </c>
      <c r="IT787" s="27" t="s">
        <v>7</v>
      </c>
      <c r="IU787" s="27" t="s">
        <v>8</v>
      </c>
      <c r="IV787" s="27" t="s">
        <v>7</v>
      </c>
      <c r="IW787" s="27" t="s">
        <v>8</v>
      </c>
      <c r="IZ787" s="27" t="s">
        <v>7</v>
      </c>
      <c r="JA787" s="27" t="s">
        <v>8</v>
      </c>
      <c r="JB787" s="27" t="s">
        <v>7</v>
      </c>
      <c r="JC787" s="27" t="s">
        <v>8</v>
      </c>
      <c r="JD787" s="27" t="s">
        <v>7</v>
      </c>
      <c r="JG787" s="27" t="s">
        <v>8</v>
      </c>
      <c r="JH787" s="27" t="s">
        <v>7</v>
      </c>
      <c r="JI787" s="27" t="s">
        <v>8</v>
      </c>
      <c r="JJ787" s="27" t="s">
        <v>7</v>
      </c>
    </row>
    <row r="788" spans="1:271" x14ac:dyDescent="0.25">
      <c r="A788" s="7">
        <v>1.867950983668035E-2</v>
      </c>
      <c r="B788"/>
      <c r="C788"/>
      <c r="D788"/>
      <c r="E788"/>
      <c r="F788" s="27" t="s">
        <v>7</v>
      </c>
      <c r="G788" s="27" t="s">
        <v>8</v>
      </c>
      <c r="H788" s="27" t="s">
        <v>7</v>
      </c>
      <c r="K788" s="27" t="s">
        <v>8</v>
      </c>
      <c r="M788" s="27" t="s">
        <v>8</v>
      </c>
      <c r="O788" s="27" t="s">
        <v>8</v>
      </c>
      <c r="P788" s="27" t="s">
        <v>7</v>
      </c>
      <c r="Q788" s="27" t="s">
        <v>8</v>
      </c>
      <c r="R788" s="27" t="s">
        <v>7</v>
      </c>
      <c r="S788" s="27" t="s">
        <v>8</v>
      </c>
      <c r="AD788" s="27" t="s">
        <v>7</v>
      </c>
      <c r="AE788" s="27" t="s">
        <v>8</v>
      </c>
      <c r="AF788" s="27" t="s">
        <v>7</v>
      </c>
      <c r="AM788" s="27" t="s">
        <v>8</v>
      </c>
      <c r="AN788" s="27" t="s">
        <v>7</v>
      </c>
      <c r="AQ788" s="27" t="s">
        <v>8</v>
      </c>
      <c r="AT788" s="27" t="s">
        <v>7</v>
      </c>
      <c r="AU788" s="27" t="s">
        <v>8</v>
      </c>
      <c r="AV788" s="27" t="s">
        <v>7</v>
      </c>
      <c r="BJ788" s="27" t="s">
        <v>7</v>
      </c>
      <c r="GS788" s="27" t="s">
        <v>8</v>
      </c>
      <c r="GT788" s="27" t="s">
        <v>7</v>
      </c>
      <c r="GU788" s="27" t="s">
        <v>8</v>
      </c>
      <c r="GZ788" s="27" t="s">
        <v>7</v>
      </c>
      <c r="HA788" s="27" t="s">
        <v>8</v>
      </c>
      <c r="HB788" s="27" t="s">
        <v>7</v>
      </c>
      <c r="HE788" s="27" t="s">
        <v>8</v>
      </c>
      <c r="HF788" s="27" t="s">
        <v>7</v>
      </c>
      <c r="HG788" s="27" t="s">
        <v>8</v>
      </c>
      <c r="HH788" s="27" t="s">
        <v>7</v>
      </c>
      <c r="HJ788" s="27" t="s">
        <v>7</v>
      </c>
      <c r="HM788" s="27" t="s">
        <v>8</v>
      </c>
      <c r="HN788" s="27" t="s">
        <v>7</v>
      </c>
      <c r="HO788" s="27" t="s">
        <v>8</v>
      </c>
      <c r="HP788" s="27" t="s">
        <v>7</v>
      </c>
      <c r="HQ788" s="27" t="s">
        <v>8</v>
      </c>
      <c r="IF788" s="27" t="s">
        <v>7</v>
      </c>
      <c r="IS788" s="27" t="s">
        <v>8</v>
      </c>
      <c r="IT788" s="27" t="s">
        <v>7</v>
      </c>
      <c r="IU788" s="27" t="s">
        <v>8</v>
      </c>
      <c r="IV788" s="27" t="s">
        <v>7</v>
      </c>
      <c r="IW788" s="27" t="s">
        <v>8</v>
      </c>
      <c r="IZ788" s="27" t="s">
        <v>7</v>
      </c>
      <c r="JA788" s="27" t="s">
        <v>8</v>
      </c>
      <c r="JB788" s="27" t="s">
        <v>7</v>
      </c>
      <c r="JC788" s="27" t="s">
        <v>8</v>
      </c>
      <c r="JD788" s="27" t="s">
        <v>7</v>
      </c>
      <c r="JG788" s="27" t="s">
        <v>8</v>
      </c>
      <c r="JH788" s="27" t="s">
        <v>7</v>
      </c>
      <c r="JI788" s="27" t="s">
        <v>8</v>
      </c>
    </row>
    <row r="789" spans="1:271" x14ac:dyDescent="0.25">
      <c r="A789" s="7">
        <v>1.8313244937921913E-2</v>
      </c>
      <c r="B789"/>
      <c r="C789"/>
      <c r="D789"/>
      <c r="E789"/>
      <c r="F789" s="27" t="s">
        <v>7</v>
      </c>
      <c r="G789" s="27" t="s">
        <v>8</v>
      </c>
      <c r="H789" s="27" t="s">
        <v>7</v>
      </c>
      <c r="K789" s="27" t="s">
        <v>8</v>
      </c>
      <c r="L789" s="27" t="s">
        <v>7</v>
      </c>
      <c r="M789" s="27" t="s">
        <v>8</v>
      </c>
      <c r="N789" s="27" t="s">
        <v>7</v>
      </c>
      <c r="O789" s="27" t="s">
        <v>8</v>
      </c>
      <c r="P789" s="27" t="s">
        <v>7</v>
      </c>
      <c r="Q789" s="27" t="s">
        <v>8</v>
      </c>
      <c r="R789" s="27" t="s">
        <v>7</v>
      </c>
      <c r="S789" s="27" t="s">
        <v>8</v>
      </c>
      <c r="AD789" s="27" t="s">
        <v>7</v>
      </c>
      <c r="AE789" s="27" t="s">
        <v>8</v>
      </c>
      <c r="AF789" s="27" t="s">
        <v>7</v>
      </c>
      <c r="AM789" s="27" t="s">
        <v>8</v>
      </c>
      <c r="AN789" s="27" t="s">
        <v>7</v>
      </c>
      <c r="AQ789" s="27" t="s">
        <v>8</v>
      </c>
      <c r="AT789" s="27" t="s">
        <v>7</v>
      </c>
      <c r="BJ789" s="27" t="s">
        <v>7</v>
      </c>
      <c r="BK789" s="27" t="s">
        <v>8</v>
      </c>
      <c r="GS789" s="27" t="s">
        <v>8</v>
      </c>
      <c r="GT789" s="27" t="s">
        <v>7</v>
      </c>
      <c r="GU789" s="27" t="s">
        <v>8</v>
      </c>
      <c r="GZ789" s="27" t="s">
        <v>7</v>
      </c>
      <c r="HA789" s="27" t="s">
        <v>8</v>
      </c>
      <c r="HB789" s="27" t="s">
        <v>7</v>
      </c>
      <c r="HC789" s="27" t="s">
        <v>8</v>
      </c>
      <c r="HE789" s="27" t="s">
        <v>8</v>
      </c>
      <c r="HF789" s="27" t="s">
        <v>7</v>
      </c>
      <c r="HG789" s="27" t="s">
        <v>8</v>
      </c>
      <c r="HJ789" s="27" t="s">
        <v>7</v>
      </c>
      <c r="HK789" s="27" t="s">
        <v>8</v>
      </c>
      <c r="HM789" s="27" t="s">
        <v>8</v>
      </c>
      <c r="HN789" s="27" t="s">
        <v>7</v>
      </c>
      <c r="HO789" s="27" t="s">
        <v>8</v>
      </c>
      <c r="HP789" s="27" t="s">
        <v>7</v>
      </c>
      <c r="HQ789" s="27" t="s">
        <v>8</v>
      </c>
      <c r="IF789" s="27" t="s">
        <v>7</v>
      </c>
      <c r="IS789" s="27" t="s">
        <v>8</v>
      </c>
      <c r="IT789" s="27" t="s">
        <v>7</v>
      </c>
      <c r="IU789" s="27" t="s">
        <v>8</v>
      </c>
      <c r="IV789" s="27" t="s">
        <v>7</v>
      </c>
      <c r="IW789" s="27" t="s">
        <v>8</v>
      </c>
      <c r="IZ789" s="27" t="s">
        <v>7</v>
      </c>
      <c r="JA789" s="27" t="s">
        <v>8</v>
      </c>
      <c r="JB789" s="27" t="s">
        <v>7</v>
      </c>
      <c r="JD789" s="27" t="s">
        <v>7</v>
      </c>
      <c r="JG789" s="27" t="s">
        <v>8</v>
      </c>
      <c r="JH789" s="27" t="s">
        <v>7</v>
      </c>
    </row>
    <row r="790" spans="1:271" x14ac:dyDescent="0.25">
      <c r="A790" s="7">
        <v>1.7954161703845013E-2</v>
      </c>
      <c r="B790"/>
      <c r="C790"/>
      <c r="D790"/>
      <c r="E790"/>
      <c r="F790" s="27" t="s">
        <v>7</v>
      </c>
      <c r="H790" s="27" t="s">
        <v>7</v>
      </c>
      <c r="I790" s="27" t="s">
        <v>8</v>
      </c>
      <c r="K790" s="27" t="s">
        <v>8</v>
      </c>
      <c r="L790" s="27" t="s">
        <v>7</v>
      </c>
      <c r="M790" s="27" t="s">
        <v>8</v>
      </c>
      <c r="N790" s="27" t="s">
        <v>7</v>
      </c>
      <c r="O790" s="27" t="s">
        <v>8</v>
      </c>
      <c r="P790" s="27" t="s">
        <v>7</v>
      </c>
      <c r="Q790" s="27" t="s">
        <v>8</v>
      </c>
      <c r="R790" s="27" t="s">
        <v>7</v>
      </c>
      <c r="AD790" s="27" t="s">
        <v>7</v>
      </c>
      <c r="AE790" s="27" t="s">
        <v>8</v>
      </c>
      <c r="AF790" s="27" t="s">
        <v>7</v>
      </c>
      <c r="AM790" s="27" t="s">
        <v>8</v>
      </c>
      <c r="AN790" s="27" t="s">
        <v>7</v>
      </c>
      <c r="AO790" s="27" t="s">
        <v>8</v>
      </c>
      <c r="AQ790" s="27" t="s">
        <v>8</v>
      </c>
      <c r="BJ790" s="27" t="s">
        <v>7</v>
      </c>
      <c r="BK790" s="27" t="s">
        <v>8</v>
      </c>
      <c r="BL790" s="27" t="s">
        <v>7</v>
      </c>
      <c r="BM790" s="27" t="s">
        <v>8</v>
      </c>
      <c r="BQ790" s="27" t="s">
        <v>8</v>
      </c>
      <c r="GS790" s="27" t="s">
        <v>8</v>
      </c>
      <c r="GT790" s="27" t="s">
        <v>7</v>
      </c>
      <c r="GU790" s="27" t="s">
        <v>8</v>
      </c>
      <c r="GZ790" s="27" t="s">
        <v>7</v>
      </c>
      <c r="HA790" s="27" t="s">
        <v>8</v>
      </c>
      <c r="HB790" s="27" t="s">
        <v>7</v>
      </c>
      <c r="HC790" s="27" t="s">
        <v>8</v>
      </c>
      <c r="HD790" s="27" t="s">
        <v>7</v>
      </c>
      <c r="HE790" s="27" t="s">
        <v>8</v>
      </c>
      <c r="HF790" s="27" t="s">
        <v>7</v>
      </c>
      <c r="HG790" s="27" t="s">
        <v>8</v>
      </c>
      <c r="HJ790" s="27" t="s">
        <v>7</v>
      </c>
      <c r="HK790" s="27" t="s">
        <v>8</v>
      </c>
      <c r="HL790" s="27" t="s">
        <v>7</v>
      </c>
      <c r="HM790" s="27" t="s">
        <v>8</v>
      </c>
      <c r="HN790" s="27" t="s">
        <v>7</v>
      </c>
      <c r="HO790" s="27" t="s">
        <v>8</v>
      </c>
      <c r="HP790" s="27" t="s">
        <v>7</v>
      </c>
      <c r="HQ790" s="27" t="s">
        <v>8</v>
      </c>
      <c r="IF790" s="27" t="s">
        <v>7</v>
      </c>
      <c r="IS790" s="27" t="s">
        <v>8</v>
      </c>
      <c r="IT790" s="27" t="s">
        <v>7</v>
      </c>
      <c r="IU790" s="27" t="s">
        <v>8</v>
      </c>
      <c r="IV790" s="27" t="s">
        <v>7</v>
      </c>
      <c r="IW790" s="27" t="s">
        <v>8</v>
      </c>
      <c r="IZ790" s="27" t="s">
        <v>7</v>
      </c>
      <c r="JA790" s="27" t="s">
        <v>8</v>
      </c>
      <c r="JD790" s="27" t="s">
        <v>7</v>
      </c>
      <c r="JE790" s="27" t="s">
        <v>8</v>
      </c>
      <c r="JG790" s="27" t="s">
        <v>8</v>
      </c>
    </row>
    <row r="791" spans="1:271" x14ac:dyDescent="0.25">
      <c r="A791" s="7">
        <v>1.7602119317495109E-2</v>
      </c>
      <c r="B791"/>
      <c r="C791"/>
      <c r="D791"/>
      <c r="E791"/>
      <c r="H791" s="27" t="s">
        <v>7</v>
      </c>
      <c r="I791" s="27" t="s">
        <v>8</v>
      </c>
      <c r="J791" s="27" t="s">
        <v>7</v>
      </c>
      <c r="K791" s="27" t="s">
        <v>8</v>
      </c>
      <c r="L791" s="27" t="s">
        <v>7</v>
      </c>
      <c r="M791" s="27" t="s">
        <v>8</v>
      </c>
      <c r="N791" s="27" t="s">
        <v>7</v>
      </c>
      <c r="P791" s="27" t="s">
        <v>7</v>
      </c>
      <c r="Q791" s="27" t="s">
        <v>8</v>
      </c>
      <c r="AD791" s="27" t="s">
        <v>7</v>
      </c>
      <c r="AE791" s="27" t="s">
        <v>8</v>
      </c>
      <c r="AF791" s="27" t="s">
        <v>7</v>
      </c>
      <c r="AG791" s="27" t="s">
        <v>8</v>
      </c>
      <c r="AM791" s="27" t="s">
        <v>8</v>
      </c>
      <c r="AN791" s="27" t="s">
        <v>7</v>
      </c>
      <c r="AO791" s="27" t="s">
        <v>8</v>
      </c>
      <c r="AP791" s="27" t="s">
        <v>7</v>
      </c>
      <c r="AQ791" s="27" t="s">
        <v>8</v>
      </c>
      <c r="BJ791" s="27" t="s">
        <v>7</v>
      </c>
      <c r="BK791" s="27" t="s">
        <v>8</v>
      </c>
      <c r="BL791" s="27" t="s">
        <v>7</v>
      </c>
      <c r="BM791" s="27" t="s">
        <v>8</v>
      </c>
      <c r="BN791" s="27" t="s">
        <v>7</v>
      </c>
      <c r="BO791" s="27" t="s">
        <v>8</v>
      </c>
      <c r="BQ791" s="27" t="s">
        <v>8</v>
      </c>
      <c r="BR791" s="27" t="s">
        <v>7</v>
      </c>
      <c r="GS791" s="27" t="s">
        <v>8</v>
      </c>
      <c r="GT791" s="27" t="s">
        <v>7</v>
      </c>
      <c r="GU791" s="27" t="s">
        <v>8</v>
      </c>
      <c r="GZ791" s="27" t="s">
        <v>7</v>
      </c>
      <c r="HB791" s="27" t="s">
        <v>7</v>
      </c>
      <c r="HC791" s="27" t="s">
        <v>8</v>
      </c>
      <c r="HD791" s="27" t="s">
        <v>7</v>
      </c>
      <c r="HE791" s="27" t="s">
        <v>8</v>
      </c>
      <c r="HF791" s="27" t="s">
        <v>7</v>
      </c>
      <c r="HJ791" s="27" t="s">
        <v>7</v>
      </c>
      <c r="HK791" s="27" t="s">
        <v>8</v>
      </c>
      <c r="HL791" s="27" t="s">
        <v>7</v>
      </c>
      <c r="HM791" s="27" t="s">
        <v>8</v>
      </c>
      <c r="HN791" s="27" t="s">
        <v>7</v>
      </c>
      <c r="HO791" s="27" t="s">
        <v>8</v>
      </c>
      <c r="HP791" s="27" t="s">
        <v>7</v>
      </c>
      <c r="HQ791" s="27" t="s">
        <v>8</v>
      </c>
      <c r="IF791" s="27" t="s">
        <v>7</v>
      </c>
      <c r="II791" s="27" t="s">
        <v>8</v>
      </c>
      <c r="IK791" s="27" t="s">
        <v>8</v>
      </c>
      <c r="IS791" s="27" t="s">
        <v>8</v>
      </c>
      <c r="IT791" s="27" t="s">
        <v>7</v>
      </c>
      <c r="IU791" s="27" t="s">
        <v>8</v>
      </c>
      <c r="IV791" s="27" t="s">
        <v>7</v>
      </c>
      <c r="IZ791" s="27" t="s">
        <v>7</v>
      </c>
      <c r="JA791" s="27" t="s">
        <v>8</v>
      </c>
      <c r="JD791" s="27" t="s">
        <v>7</v>
      </c>
      <c r="JE791" s="27" t="s">
        <v>8</v>
      </c>
      <c r="JF791" s="27" t="s">
        <v>7</v>
      </c>
      <c r="JG791" s="27" t="s">
        <v>8</v>
      </c>
    </row>
    <row r="792" spans="1:271" x14ac:dyDescent="0.25">
      <c r="A792" s="7">
        <v>1.7256979723034419E-2</v>
      </c>
      <c r="B792"/>
      <c r="C792"/>
      <c r="D792"/>
      <c r="E792"/>
      <c r="H792" s="27" t="s">
        <v>7</v>
      </c>
      <c r="I792" s="27" t="s">
        <v>8</v>
      </c>
      <c r="J792" s="27" t="s">
        <v>7</v>
      </c>
      <c r="K792" s="27" t="s">
        <v>8</v>
      </c>
      <c r="L792" s="27" t="s">
        <v>7</v>
      </c>
      <c r="M792" s="27" t="s">
        <v>8</v>
      </c>
      <c r="P792" s="27" t="s">
        <v>7</v>
      </c>
      <c r="AD792" s="27" t="s">
        <v>7</v>
      </c>
      <c r="AE792" s="27" t="s">
        <v>8</v>
      </c>
      <c r="AF792" s="27" t="s">
        <v>7</v>
      </c>
      <c r="AG792" s="27" t="s">
        <v>8</v>
      </c>
      <c r="AH792" s="27" t="s">
        <v>7</v>
      </c>
      <c r="AM792" s="27" t="s">
        <v>8</v>
      </c>
      <c r="AN792" s="27" t="s">
        <v>7</v>
      </c>
      <c r="AO792" s="27" t="s">
        <v>8</v>
      </c>
      <c r="AP792" s="27" t="s">
        <v>7</v>
      </c>
      <c r="AQ792" s="27" t="s">
        <v>8</v>
      </c>
      <c r="BJ792" s="27" t="s">
        <v>7</v>
      </c>
      <c r="BK792" s="27" t="s">
        <v>8</v>
      </c>
      <c r="BL792" s="27" t="s">
        <v>7</v>
      </c>
      <c r="BM792" s="27" t="s">
        <v>8</v>
      </c>
      <c r="BN792" s="27" t="s">
        <v>7</v>
      </c>
      <c r="BO792" s="27" t="s">
        <v>8</v>
      </c>
      <c r="BP792" s="27" t="s">
        <v>7</v>
      </c>
      <c r="BQ792" s="27" t="s">
        <v>8</v>
      </c>
      <c r="BR792" s="27" t="s">
        <v>7</v>
      </c>
      <c r="GS792" s="27" t="s">
        <v>8</v>
      </c>
      <c r="GT792" s="27" t="s">
        <v>7</v>
      </c>
      <c r="GU792" s="27" t="s">
        <v>8</v>
      </c>
      <c r="HB792" s="27" t="s">
        <v>7</v>
      </c>
      <c r="HC792" s="27" t="s">
        <v>8</v>
      </c>
      <c r="HD792" s="27" t="s">
        <v>7</v>
      </c>
      <c r="HE792" s="27" t="s">
        <v>8</v>
      </c>
      <c r="HJ792" s="27" t="s">
        <v>7</v>
      </c>
      <c r="HL792" s="27" t="s">
        <v>7</v>
      </c>
      <c r="HM792" s="27" t="s">
        <v>8</v>
      </c>
      <c r="HN792" s="27" t="s">
        <v>7</v>
      </c>
      <c r="HO792" s="27" t="s">
        <v>8</v>
      </c>
      <c r="HP792" s="27" t="s">
        <v>7</v>
      </c>
      <c r="HQ792" s="27" t="s">
        <v>8</v>
      </c>
      <c r="IF792" s="27" t="s">
        <v>7</v>
      </c>
      <c r="II792" s="27" t="s">
        <v>8</v>
      </c>
      <c r="IJ792" s="27" t="s">
        <v>7</v>
      </c>
      <c r="IK792" s="27" t="s">
        <v>8</v>
      </c>
      <c r="IL792" s="27" t="s">
        <v>7</v>
      </c>
      <c r="IM792" s="27" t="s">
        <v>8</v>
      </c>
      <c r="IS792" s="27" t="s">
        <v>8</v>
      </c>
      <c r="IT792" s="27" t="s">
        <v>7</v>
      </c>
      <c r="IU792" s="27" t="s">
        <v>8</v>
      </c>
      <c r="IZ792" s="27" t="s">
        <v>7</v>
      </c>
      <c r="JD792" s="27" t="s">
        <v>7</v>
      </c>
      <c r="JE792" s="27" t="s">
        <v>8</v>
      </c>
      <c r="JF792" s="27" t="s">
        <v>7</v>
      </c>
      <c r="JG792" s="27" t="s">
        <v>8</v>
      </c>
    </row>
    <row r="793" spans="1:271" x14ac:dyDescent="0.25">
      <c r="A793" s="7">
        <v>1.6918607571602372E-2</v>
      </c>
      <c r="B793"/>
      <c r="C793"/>
      <c r="D793"/>
      <c r="E793"/>
      <c r="H793" s="27" t="s">
        <v>7</v>
      </c>
      <c r="J793" s="27" t="s">
        <v>7</v>
      </c>
      <c r="K793" s="27" t="s">
        <v>8</v>
      </c>
      <c r="L793" s="27" t="s">
        <v>7</v>
      </c>
      <c r="AD793" s="27" t="s">
        <v>7</v>
      </c>
      <c r="AF793" s="27" t="s">
        <v>7</v>
      </c>
      <c r="AG793" s="27" t="s">
        <v>8</v>
      </c>
      <c r="AH793" s="27" t="s">
        <v>7</v>
      </c>
      <c r="AI793" s="27" t="s">
        <v>8</v>
      </c>
      <c r="AM793" s="27" t="s">
        <v>8</v>
      </c>
      <c r="AN793" s="27" t="s">
        <v>7</v>
      </c>
      <c r="AO793" s="27" t="s">
        <v>8</v>
      </c>
      <c r="AP793" s="27" t="s">
        <v>7</v>
      </c>
      <c r="AQ793" s="27" t="s">
        <v>8</v>
      </c>
      <c r="BJ793" s="27" t="s">
        <v>7</v>
      </c>
      <c r="BK793" s="27" t="s">
        <v>8</v>
      </c>
      <c r="BL793" s="27" t="s">
        <v>7</v>
      </c>
      <c r="BM793" s="27" t="s">
        <v>8</v>
      </c>
      <c r="BN793" s="27" t="s">
        <v>7</v>
      </c>
      <c r="BO793" s="27" t="s">
        <v>8</v>
      </c>
      <c r="BP793" s="27" t="s">
        <v>7</v>
      </c>
      <c r="BQ793" s="27" t="s">
        <v>8</v>
      </c>
      <c r="BR793" s="27" t="s">
        <v>7</v>
      </c>
      <c r="GS793" s="27" t="s">
        <v>8</v>
      </c>
      <c r="GT793" s="27" t="s">
        <v>7</v>
      </c>
      <c r="GU793" s="27" t="s">
        <v>8</v>
      </c>
      <c r="HB793" s="27" t="s">
        <v>7</v>
      </c>
      <c r="HC793" s="27" t="s">
        <v>8</v>
      </c>
      <c r="HD793" s="27" t="s">
        <v>7</v>
      </c>
      <c r="HE793" s="27" t="s">
        <v>8</v>
      </c>
      <c r="HL793" s="27" t="s">
        <v>7</v>
      </c>
      <c r="HN793" s="27" t="s">
        <v>7</v>
      </c>
      <c r="HO793" s="27" t="s">
        <v>8</v>
      </c>
      <c r="HP793" s="27" t="s">
        <v>7</v>
      </c>
      <c r="HQ793" s="27" t="s">
        <v>8</v>
      </c>
      <c r="IF793" s="27" t="s">
        <v>7</v>
      </c>
      <c r="II793" s="27" t="s">
        <v>8</v>
      </c>
      <c r="IJ793" s="27" t="s">
        <v>7</v>
      </c>
      <c r="IK793" s="27" t="s">
        <v>8</v>
      </c>
      <c r="IL793" s="27" t="s">
        <v>7</v>
      </c>
      <c r="IM793" s="27" t="s">
        <v>8</v>
      </c>
      <c r="IN793" s="27" t="s">
        <v>7</v>
      </c>
      <c r="IS793" s="27" t="s">
        <v>8</v>
      </c>
      <c r="IT793" s="27" t="s">
        <v>7</v>
      </c>
      <c r="IU793" s="27" t="s">
        <v>8</v>
      </c>
      <c r="JD793" s="27" t="s">
        <v>7</v>
      </c>
      <c r="JF793" s="27" t="s">
        <v>7</v>
      </c>
    </row>
    <row r="794" spans="1:271" x14ac:dyDescent="0.25">
      <c r="A794" s="7">
        <v>1.6586870168237622E-2</v>
      </c>
      <c r="B794"/>
      <c r="C794"/>
      <c r="D794"/>
      <c r="E794"/>
      <c r="J794" s="27" t="s">
        <v>7</v>
      </c>
      <c r="K794" s="27" t="s">
        <v>8</v>
      </c>
      <c r="AF794" s="27" t="s">
        <v>7</v>
      </c>
      <c r="AG794" s="27" t="s">
        <v>8</v>
      </c>
      <c r="AH794" s="27" t="s">
        <v>7</v>
      </c>
      <c r="AI794" s="27" t="s">
        <v>8</v>
      </c>
      <c r="AJ794" s="27" t="s">
        <v>7</v>
      </c>
      <c r="AK794" s="27" t="s">
        <v>8</v>
      </c>
      <c r="AM794" s="27" t="s">
        <v>8</v>
      </c>
      <c r="AN794" s="27" t="s">
        <v>7</v>
      </c>
      <c r="AO794" s="27" t="s">
        <v>8</v>
      </c>
      <c r="AP794" s="27" t="s">
        <v>7</v>
      </c>
      <c r="AQ794" s="27" t="s">
        <v>8</v>
      </c>
      <c r="BJ794" s="27" t="s">
        <v>7</v>
      </c>
      <c r="BK794" s="27" t="s">
        <v>8</v>
      </c>
      <c r="BL794" s="27" t="s">
        <v>7</v>
      </c>
      <c r="BN794" s="27" t="s">
        <v>7</v>
      </c>
      <c r="BO794" s="27" t="s">
        <v>8</v>
      </c>
      <c r="BP794" s="27" t="s">
        <v>7</v>
      </c>
      <c r="BR794" s="27" t="s">
        <v>7</v>
      </c>
      <c r="GS794" s="27" t="s">
        <v>8</v>
      </c>
      <c r="GT794" s="27" t="s">
        <v>7</v>
      </c>
      <c r="HB794" s="27" t="s">
        <v>7</v>
      </c>
      <c r="HC794" s="27" t="s">
        <v>8</v>
      </c>
      <c r="HD794" s="27" t="s">
        <v>7</v>
      </c>
      <c r="HN794" s="27" t="s">
        <v>7</v>
      </c>
      <c r="HP794" s="27" t="s">
        <v>7</v>
      </c>
      <c r="HQ794" s="27" t="s">
        <v>8</v>
      </c>
      <c r="IF794" s="27" t="s">
        <v>7</v>
      </c>
      <c r="II794" s="27" t="s">
        <v>8</v>
      </c>
      <c r="IJ794" s="27" t="s">
        <v>7</v>
      </c>
      <c r="IL794" s="27" t="s">
        <v>7</v>
      </c>
      <c r="IM794" s="27" t="s">
        <v>8</v>
      </c>
      <c r="IN794" s="27" t="s">
        <v>7</v>
      </c>
      <c r="IQ794" s="27" t="s">
        <v>8</v>
      </c>
      <c r="IS794" s="27" t="s">
        <v>8</v>
      </c>
      <c r="IT794" s="27" t="s">
        <v>7</v>
      </c>
    </row>
    <row r="795" spans="1:271" x14ac:dyDescent="0.25">
      <c r="A795" s="7">
        <v>1.6261637419840807E-2</v>
      </c>
      <c r="B795"/>
      <c r="C795"/>
      <c r="D795"/>
      <c r="E795"/>
      <c r="J795" s="27" t="s">
        <v>7</v>
      </c>
      <c r="K795" s="27" t="s">
        <v>8</v>
      </c>
      <c r="AF795" s="27" t="s">
        <v>7</v>
      </c>
      <c r="AH795" s="27" t="s">
        <v>7</v>
      </c>
      <c r="AI795" s="27" t="s">
        <v>8</v>
      </c>
      <c r="AJ795" s="27" t="s">
        <v>7</v>
      </c>
      <c r="AK795" s="27" t="s">
        <v>8</v>
      </c>
      <c r="AL795" s="27" t="s">
        <v>7</v>
      </c>
      <c r="AM795" s="27" t="s">
        <v>8</v>
      </c>
      <c r="AN795" s="27" t="s">
        <v>7</v>
      </c>
      <c r="AO795" s="27" t="s">
        <v>8</v>
      </c>
      <c r="AP795" s="27" t="s">
        <v>7</v>
      </c>
      <c r="BJ795" s="27" t="s">
        <v>7</v>
      </c>
      <c r="BN795" s="27" t="s">
        <v>7</v>
      </c>
      <c r="BO795" s="27" t="s">
        <v>8</v>
      </c>
      <c r="BR795" s="27" t="s">
        <v>7</v>
      </c>
      <c r="GS795" s="27" t="s">
        <v>8</v>
      </c>
      <c r="HB795" s="27" t="s">
        <v>7</v>
      </c>
      <c r="HC795" s="27" t="s">
        <v>8</v>
      </c>
      <c r="HP795" s="27" t="s">
        <v>7</v>
      </c>
      <c r="HQ795" s="27" t="s">
        <v>8</v>
      </c>
      <c r="IF795" s="27" t="s">
        <v>7</v>
      </c>
      <c r="II795" s="27" t="s">
        <v>8</v>
      </c>
      <c r="IL795" s="27" t="s">
        <v>7</v>
      </c>
      <c r="IM795" s="27" t="s">
        <v>8</v>
      </c>
      <c r="IN795" s="27" t="s">
        <v>7</v>
      </c>
      <c r="IQ795" s="27" t="s">
        <v>8</v>
      </c>
      <c r="IR795" s="27" t="s">
        <v>7</v>
      </c>
      <c r="IS795" s="27" t="s">
        <v>8</v>
      </c>
    </row>
    <row r="796" spans="1:271" x14ac:dyDescent="0.25">
      <c r="A796" s="7">
        <v>1.5942781784157655E-2</v>
      </c>
      <c r="B796"/>
      <c r="C796"/>
      <c r="D796"/>
      <c r="E796"/>
      <c r="J796" s="27" t="s">
        <v>7</v>
      </c>
      <c r="K796" s="27" t="s">
        <v>8</v>
      </c>
      <c r="AH796" s="27" t="s">
        <v>7</v>
      </c>
      <c r="AI796" s="27" t="s">
        <v>8</v>
      </c>
      <c r="AJ796" s="27" t="s">
        <v>7</v>
      </c>
      <c r="AK796" s="27" t="s">
        <v>8</v>
      </c>
      <c r="AL796" s="27" t="s">
        <v>7</v>
      </c>
      <c r="AM796" s="27" t="s">
        <v>8</v>
      </c>
      <c r="AN796" s="27" t="s">
        <v>7</v>
      </c>
      <c r="BN796" s="27" t="s">
        <v>7</v>
      </c>
      <c r="BO796" s="27" t="s">
        <v>8</v>
      </c>
      <c r="BR796" s="27" t="s">
        <v>7</v>
      </c>
      <c r="GS796" s="27" t="s">
        <v>8</v>
      </c>
      <c r="HB796" s="27" t="s">
        <v>7</v>
      </c>
      <c r="HC796" s="27" t="s">
        <v>8</v>
      </c>
      <c r="HP796" s="27" t="s">
        <v>7</v>
      </c>
      <c r="HQ796" s="27" t="s">
        <v>8</v>
      </c>
      <c r="IF796" s="27" t="s">
        <v>7</v>
      </c>
      <c r="II796" s="27" t="s">
        <v>8</v>
      </c>
      <c r="IL796" s="27" t="s">
        <v>7</v>
      </c>
      <c r="IM796" s="27" t="s">
        <v>8</v>
      </c>
      <c r="IN796" s="27" t="s">
        <v>7</v>
      </c>
      <c r="IQ796" s="27" t="s">
        <v>8</v>
      </c>
      <c r="IR796" s="27" t="s">
        <v>7</v>
      </c>
      <c r="IS796" s="27" t="s">
        <v>8</v>
      </c>
    </row>
    <row r="797" spans="1:271" x14ac:dyDescent="0.25">
      <c r="A797" s="7">
        <v>1.5630178219762408E-2</v>
      </c>
      <c r="B797"/>
      <c r="C797"/>
      <c r="D797"/>
      <c r="E797"/>
      <c r="J797" s="27" t="s">
        <v>7</v>
      </c>
      <c r="AH797" s="27" t="s">
        <v>7</v>
      </c>
      <c r="AI797" s="27" t="s">
        <v>8</v>
      </c>
      <c r="AJ797" s="27" t="s">
        <v>7</v>
      </c>
      <c r="AK797" s="27" t="s">
        <v>8</v>
      </c>
      <c r="AL797" s="27" t="s">
        <v>7</v>
      </c>
      <c r="AM797" s="27" t="s">
        <v>8</v>
      </c>
      <c r="BN797" s="27" t="s">
        <v>7</v>
      </c>
      <c r="BR797" s="27" t="s">
        <v>7</v>
      </c>
      <c r="GS797" s="27" t="s">
        <v>8</v>
      </c>
      <c r="HB797" s="27" t="s">
        <v>7</v>
      </c>
      <c r="HC797" s="27" t="s">
        <v>8</v>
      </c>
      <c r="HP797" s="27" t="s">
        <v>7</v>
      </c>
      <c r="HQ797" s="27" t="s">
        <v>8</v>
      </c>
      <c r="IF797" s="27" t="s">
        <v>7</v>
      </c>
      <c r="IG797" s="27" t="s">
        <v>8</v>
      </c>
      <c r="II797" s="27" t="s">
        <v>8</v>
      </c>
      <c r="IL797" s="27" t="s">
        <v>7</v>
      </c>
      <c r="IM797" s="27" t="s">
        <v>8</v>
      </c>
      <c r="IN797" s="27" t="s">
        <v>7</v>
      </c>
      <c r="IQ797" s="27" t="s">
        <v>8</v>
      </c>
      <c r="IR797" s="27" t="s">
        <v>7</v>
      </c>
      <c r="IS797" s="27" t="s">
        <v>8</v>
      </c>
    </row>
    <row r="798" spans="1:271" x14ac:dyDescent="0.25">
      <c r="A798" s="7">
        <v>1.5323704137021967E-2</v>
      </c>
      <c r="B798"/>
      <c r="C798"/>
      <c r="D798"/>
      <c r="E798"/>
      <c r="AH798" s="27" t="s">
        <v>7</v>
      </c>
      <c r="AI798" s="27" t="s">
        <v>8</v>
      </c>
      <c r="AJ798" s="27" t="s">
        <v>7</v>
      </c>
      <c r="AK798" s="27" t="s">
        <v>8</v>
      </c>
      <c r="AL798" s="27" t="s">
        <v>7</v>
      </c>
      <c r="BR798" s="27" t="s">
        <v>7</v>
      </c>
      <c r="GS798" s="27" t="s">
        <v>8</v>
      </c>
      <c r="HB798" s="27" t="s">
        <v>7</v>
      </c>
      <c r="HC798" s="27" t="s">
        <v>8</v>
      </c>
      <c r="HP798" s="27" t="s">
        <v>7</v>
      </c>
      <c r="HQ798" s="27" t="s">
        <v>8</v>
      </c>
      <c r="IF798" s="27" t="s">
        <v>7</v>
      </c>
      <c r="IG798" s="27" t="s">
        <v>8</v>
      </c>
      <c r="IH798" s="27" t="s">
        <v>7</v>
      </c>
      <c r="II798" s="27" t="s">
        <v>8</v>
      </c>
      <c r="IL798" s="27" t="s">
        <v>7</v>
      </c>
      <c r="IN798" s="27" t="s">
        <v>7</v>
      </c>
      <c r="IO798" s="27" t="s">
        <v>8</v>
      </c>
      <c r="IQ798" s="27" t="s">
        <v>8</v>
      </c>
      <c r="IR798" s="27" t="s">
        <v>7</v>
      </c>
      <c r="IS798" s="27" t="s">
        <v>8</v>
      </c>
    </row>
    <row r="799" spans="1:271" x14ac:dyDescent="0.25">
      <c r="A799" s="7">
        <v>1.5023239350021535E-2</v>
      </c>
      <c r="B799"/>
      <c r="C799"/>
      <c r="D799"/>
      <c r="E799"/>
      <c r="AH799" s="27" t="s">
        <v>7</v>
      </c>
      <c r="AJ799" s="27" t="s">
        <v>7</v>
      </c>
      <c r="AK799" s="27" t="s">
        <v>8</v>
      </c>
      <c r="BR799" s="27" t="s">
        <v>7</v>
      </c>
      <c r="GS799" s="27" t="s">
        <v>8</v>
      </c>
      <c r="HB799" s="27" t="s">
        <v>7</v>
      </c>
      <c r="HP799" s="27" t="s">
        <v>7</v>
      </c>
      <c r="IF799" s="27" t="s">
        <v>7</v>
      </c>
      <c r="IG799" s="27" t="s">
        <v>8</v>
      </c>
      <c r="IH799" s="27" t="s">
        <v>7</v>
      </c>
      <c r="II799" s="27" t="s">
        <v>8</v>
      </c>
      <c r="IN799" s="27" t="s">
        <v>7</v>
      </c>
      <c r="IO799" s="27" t="s">
        <v>8</v>
      </c>
      <c r="IP799" s="27" t="s">
        <v>7</v>
      </c>
      <c r="IQ799" s="27" t="s">
        <v>8</v>
      </c>
      <c r="IR799" s="27" t="s">
        <v>7</v>
      </c>
    </row>
    <row r="800" spans="1:271" x14ac:dyDescent="0.25">
      <c r="A800" s="7">
        <v>1.4728666029432878E-2</v>
      </c>
      <c r="B800"/>
      <c r="C800"/>
      <c r="D800"/>
      <c r="E800"/>
      <c r="AJ800" s="27" t="s">
        <v>7</v>
      </c>
      <c r="AK800" s="27" t="s">
        <v>8</v>
      </c>
      <c r="BR800" s="27" t="s">
        <v>7</v>
      </c>
      <c r="BS800" s="27" t="s">
        <v>8</v>
      </c>
      <c r="GS800" s="27" t="s">
        <v>8</v>
      </c>
      <c r="IF800" s="27" t="s">
        <v>7</v>
      </c>
      <c r="IG800" s="27" t="s">
        <v>8</v>
      </c>
      <c r="IH800" s="27" t="s">
        <v>7</v>
      </c>
      <c r="II800" s="27" t="s">
        <v>8</v>
      </c>
      <c r="IN800" s="27" t="s">
        <v>7</v>
      </c>
      <c r="IO800" s="27" t="s">
        <v>8</v>
      </c>
      <c r="IP800" s="27" t="s">
        <v>7</v>
      </c>
      <c r="IQ800" s="27" t="s">
        <v>8</v>
      </c>
    </row>
    <row r="801" spans="1:251" x14ac:dyDescent="0.25">
      <c r="A801" s="7">
        <v>1.4439868656306743E-2</v>
      </c>
      <c r="B801"/>
      <c r="C801"/>
      <c r="D801"/>
      <c r="E801"/>
      <c r="AJ801" s="27" t="s">
        <v>7</v>
      </c>
      <c r="AK801" s="27" t="s">
        <v>8</v>
      </c>
      <c r="BR801" s="27" t="s">
        <v>7</v>
      </c>
      <c r="BS801" s="27" t="s">
        <v>8</v>
      </c>
      <c r="BT801" s="27" t="s">
        <v>7</v>
      </c>
      <c r="GS801" s="27" t="s">
        <v>8</v>
      </c>
      <c r="IF801" s="27" t="s">
        <v>7</v>
      </c>
      <c r="IG801" s="27" t="s">
        <v>8</v>
      </c>
      <c r="IH801" s="27" t="s">
        <v>7</v>
      </c>
      <c r="II801" s="27" t="s">
        <v>8</v>
      </c>
      <c r="IN801" s="27" t="s">
        <v>7</v>
      </c>
      <c r="IO801" s="27" t="s">
        <v>8</v>
      </c>
      <c r="IP801" s="27" t="s">
        <v>7</v>
      </c>
      <c r="IQ801" s="27" t="s">
        <v>8</v>
      </c>
    </row>
    <row r="802" spans="1:251" x14ac:dyDescent="0.25">
      <c r="A802" s="7">
        <v>1.4156733976771318E-2</v>
      </c>
      <c r="B802"/>
      <c r="C802"/>
      <c r="D802"/>
      <c r="E802"/>
      <c r="AJ802" s="27" t="s">
        <v>7</v>
      </c>
      <c r="BR802" s="27" t="s">
        <v>7</v>
      </c>
      <c r="BS802" s="27" t="s">
        <v>8</v>
      </c>
      <c r="BT802" s="27" t="s">
        <v>7</v>
      </c>
      <c r="GS802" s="27" t="s">
        <v>8</v>
      </c>
      <c r="IF802" s="27" t="s">
        <v>7</v>
      </c>
      <c r="IG802" s="27" t="s">
        <v>8</v>
      </c>
      <c r="IH802" s="27" t="s">
        <v>7</v>
      </c>
      <c r="IN802" s="27" t="s">
        <v>7</v>
      </c>
      <c r="IO802" s="27" t="s">
        <v>8</v>
      </c>
      <c r="IP802" s="27" t="s">
        <v>7</v>
      </c>
      <c r="IQ802" s="27" t="s">
        <v>8</v>
      </c>
    </row>
    <row r="803" spans="1:251" x14ac:dyDescent="0.25">
      <c r="A803" s="7">
        <v>1.3879150957618939E-2</v>
      </c>
      <c r="B803"/>
      <c r="C803"/>
      <c r="D803"/>
      <c r="E803"/>
      <c r="BR803" s="27" t="s">
        <v>7</v>
      </c>
      <c r="BS803" s="27" t="s">
        <v>8</v>
      </c>
      <c r="BT803" s="27" t="s">
        <v>7</v>
      </c>
      <c r="GO803" s="27" t="s">
        <v>8</v>
      </c>
      <c r="GS803" s="27" t="s">
        <v>8</v>
      </c>
      <c r="IF803" s="27" t="s">
        <v>7</v>
      </c>
      <c r="IG803" s="27" t="s">
        <v>8</v>
      </c>
      <c r="IN803" s="27" t="s">
        <v>7</v>
      </c>
      <c r="IO803" s="27" t="s">
        <v>8</v>
      </c>
      <c r="IP803" s="27" t="s">
        <v>7</v>
      </c>
      <c r="IQ803" s="27" t="s">
        <v>8</v>
      </c>
    </row>
    <row r="804" spans="1:251" x14ac:dyDescent="0.25">
      <c r="A804" s="7">
        <v>1.3607010742763666E-2</v>
      </c>
      <c r="B804"/>
      <c r="C804"/>
      <c r="D804"/>
      <c r="E804"/>
      <c r="BR804" s="27" t="s">
        <v>7</v>
      </c>
      <c r="BT804" s="27" t="s">
        <v>7</v>
      </c>
      <c r="GO804" s="27" t="s">
        <v>8</v>
      </c>
      <c r="GP804" s="27" t="s">
        <v>7</v>
      </c>
      <c r="GS804" s="27" t="s">
        <v>8</v>
      </c>
      <c r="IF804" s="27" t="s">
        <v>7</v>
      </c>
      <c r="IG804" s="27" t="s">
        <v>8</v>
      </c>
      <c r="IN804" s="27" t="s">
        <v>7</v>
      </c>
      <c r="IO804" s="27" t="s">
        <v>8</v>
      </c>
      <c r="IP804" s="27" t="s">
        <v>7</v>
      </c>
    </row>
    <row r="805" spans="1:251" x14ac:dyDescent="0.25">
      <c r="A805" s="7">
        <v>1.3340206610552614E-2</v>
      </c>
      <c r="B805"/>
      <c r="C805"/>
      <c r="D805"/>
      <c r="E805"/>
      <c r="BT805" s="27" t="s">
        <v>7</v>
      </c>
      <c r="GO805" s="27" t="s">
        <v>8</v>
      </c>
      <c r="GP805" s="27" t="s">
        <v>7</v>
      </c>
      <c r="GS805" s="27" t="s">
        <v>8</v>
      </c>
      <c r="IF805" s="27" t="s">
        <v>7</v>
      </c>
      <c r="IN805" s="27" t="s">
        <v>7</v>
      </c>
      <c r="IO805" s="27" t="s">
        <v>8</v>
      </c>
    </row>
    <row r="806" spans="1:251" x14ac:dyDescent="0.25">
      <c r="A806" s="7">
        <v>1.3078633931914328E-2</v>
      </c>
      <c r="B806"/>
      <c r="C806"/>
      <c r="D806"/>
      <c r="E806"/>
      <c r="BT806" s="27" t="s">
        <v>7</v>
      </c>
      <c r="GO806" s="27" t="s">
        <v>8</v>
      </c>
      <c r="GP806" s="27" t="s">
        <v>7</v>
      </c>
      <c r="GQ806" s="27" t="s">
        <v>8</v>
      </c>
      <c r="GS806" s="27" t="s">
        <v>8</v>
      </c>
      <c r="IN806" s="27" t="s">
        <v>7</v>
      </c>
      <c r="IO806" s="27" t="s">
        <v>8</v>
      </c>
    </row>
    <row r="807" spans="1:251" x14ac:dyDescent="0.25">
      <c r="A807" s="7">
        <v>1.2822190129327771E-2</v>
      </c>
      <c r="B807"/>
      <c r="C807"/>
      <c r="D807"/>
      <c r="E807"/>
      <c r="BT807" s="27" t="s">
        <v>7</v>
      </c>
      <c r="GO807" s="27" t="s">
        <v>8</v>
      </c>
      <c r="GP807" s="27" t="s">
        <v>7</v>
      </c>
      <c r="GQ807" s="27" t="s">
        <v>8</v>
      </c>
      <c r="GR807" s="27" t="s">
        <v>7</v>
      </c>
      <c r="GS807" s="27" t="s">
        <v>8</v>
      </c>
      <c r="IN807" s="27" t="s">
        <v>7</v>
      </c>
    </row>
    <row r="808" spans="1:251" x14ac:dyDescent="0.25">
      <c r="A808" s="7">
        <v>1.2570774636595854E-2</v>
      </c>
      <c r="B808"/>
      <c r="C808"/>
      <c r="D808"/>
      <c r="E808"/>
      <c r="BT808" s="27" t="s">
        <v>7</v>
      </c>
      <c r="GO808" s="27" t="s">
        <v>8</v>
      </c>
      <c r="GP808" s="27" t="s">
        <v>7</v>
      </c>
      <c r="GQ808" s="27" t="s">
        <v>8</v>
      </c>
      <c r="GR808" s="27" t="s">
        <v>7</v>
      </c>
      <c r="GS808" s="27" t="s">
        <v>8</v>
      </c>
    </row>
    <row r="809" spans="1:251" x14ac:dyDescent="0.25">
      <c r="A809" s="7">
        <v>1.23242888594077E-2</v>
      </c>
      <c r="B809"/>
      <c r="C809"/>
      <c r="D809"/>
      <c r="E809"/>
      <c r="BT809" s="27" t="s">
        <v>7</v>
      </c>
      <c r="GO809" s="27" t="s">
        <v>8</v>
      </c>
      <c r="GP809" s="27" t="s">
        <v>7</v>
      </c>
      <c r="GQ809" s="27" t="s">
        <v>8</v>
      </c>
      <c r="GR809" s="27" t="s">
        <v>7</v>
      </c>
      <c r="GS809" s="27" t="s">
        <v>8</v>
      </c>
    </row>
    <row r="810" spans="1:251" x14ac:dyDescent="0.25">
      <c r="A810" s="7">
        <v>1.2082636136674216E-2</v>
      </c>
      <c r="B810"/>
      <c r="C810"/>
      <c r="D810"/>
      <c r="E810"/>
      <c r="BT810" s="27" t="s">
        <v>7</v>
      </c>
      <c r="GO810" s="27" t="s">
        <v>8</v>
      </c>
      <c r="GP810" s="27" t="s">
        <v>7</v>
      </c>
      <c r="GQ810" s="27" t="s">
        <v>8</v>
      </c>
      <c r="GR810" s="27" t="s">
        <v>7</v>
      </c>
    </row>
    <row r="811" spans="1:251" x14ac:dyDescent="0.25">
      <c r="A811" s="7">
        <v>1.184572170262178E-2</v>
      </c>
      <c r="B811"/>
      <c r="C811"/>
      <c r="D811"/>
      <c r="E811"/>
      <c r="BT811" s="27" t="s">
        <v>7</v>
      </c>
      <c r="BU811" s="27" t="s">
        <v>8</v>
      </c>
      <c r="GO811" s="27" t="s">
        <v>8</v>
      </c>
      <c r="GP811" s="27" t="s">
        <v>7</v>
      </c>
      <c r="GQ811" s="27" t="s">
        <v>8</v>
      </c>
    </row>
    <row r="812" spans="1:251" x14ac:dyDescent="0.25">
      <c r="A812" s="7">
        <v>1.1613452649629196E-2</v>
      </c>
      <c r="B812"/>
      <c r="C812"/>
      <c r="D812"/>
      <c r="E812"/>
      <c r="BT812" s="27" t="s">
        <v>7</v>
      </c>
      <c r="BU812" s="27" t="s">
        <v>8</v>
      </c>
      <c r="BV812" s="27" t="s">
        <v>7</v>
      </c>
      <c r="GO812" s="27" t="s">
        <v>8</v>
      </c>
      <c r="GP812" s="27" t="s">
        <v>7</v>
      </c>
    </row>
    <row r="813" spans="1:251" x14ac:dyDescent="0.25">
      <c r="A813" s="7">
        <v>1.138573789179333E-2</v>
      </c>
      <c r="B813"/>
      <c r="C813"/>
      <c r="D813"/>
      <c r="E813"/>
      <c r="BT813" s="27" t="s">
        <v>7</v>
      </c>
      <c r="BU813" s="27" t="s">
        <v>8</v>
      </c>
      <c r="BV813" s="27" t="s">
        <v>7</v>
      </c>
      <c r="BY813" s="27" t="s">
        <v>8</v>
      </c>
      <c r="GO813" s="27" t="s">
        <v>8</v>
      </c>
    </row>
    <row r="814" spans="1:251" x14ac:dyDescent="0.25">
      <c r="A814" s="7">
        <v>1.1162488129209149E-2</v>
      </c>
      <c r="B814"/>
      <c r="C814"/>
      <c r="D814"/>
      <c r="E814"/>
      <c r="BT814" s="27" t="s">
        <v>7</v>
      </c>
      <c r="BU814" s="27" t="s">
        <v>8</v>
      </c>
      <c r="BV814" s="27" t="s">
        <v>7</v>
      </c>
      <c r="BW814" s="27" t="s">
        <v>8</v>
      </c>
      <c r="BY814" s="27" t="s">
        <v>8</v>
      </c>
      <c r="BZ814" s="27" t="s">
        <v>7</v>
      </c>
      <c r="GI814" s="27" t="s">
        <v>8</v>
      </c>
      <c r="GO814" s="27" t="s">
        <v>8</v>
      </c>
    </row>
    <row r="815" spans="1:251" x14ac:dyDescent="0.25">
      <c r="A815" s="7">
        <v>1.0943615812950145E-2</v>
      </c>
      <c r="B815"/>
      <c r="C815"/>
      <c r="D815"/>
      <c r="E815"/>
      <c r="BT815" s="27" t="s">
        <v>7</v>
      </c>
      <c r="BU815" s="27" t="s">
        <v>8</v>
      </c>
      <c r="BV815" s="27" t="s">
        <v>7</v>
      </c>
      <c r="BW815" s="27" t="s">
        <v>8</v>
      </c>
      <c r="BX815" s="27" t="s">
        <v>7</v>
      </c>
      <c r="BY815" s="27" t="s">
        <v>8</v>
      </c>
      <c r="BZ815" s="27" t="s">
        <v>7</v>
      </c>
      <c r="GI815" s="27" t="s">
        <v>8</v>
      </c>
      <c r="GJ815" s="27" t="s">
        <v>7</v>
      </c>
      <c r="GK815" s="27" t="s">
        <v>8</v>
      </c>
      <c r="GO815" s="27" t="s">
        <v>8</v>
      </c>
    </row>
    <row r="816" spans="1:251" x14ac:dyDescent="0.25">
      <c r="A816" s="7">
        <v>1.0729035110735436E-2</v>
      </c>
      <c r="B816"/>
      <c r="C816"/>
      <c r="D816"/>
      <c r="E816"/>
      <c r="BT816" s="27" t="s">
        <v>7</v>
      </c>
      <c r="BU816" s="27" t="s">
        <v>8</v>
      </c>
      <c r="BV816" s="27" t="s">
        <v>7</v>
      </c>
      <c r="BW816" s="27" t="s">
        <v>8</v>
      </c>
      <c r="BX816" s="27" t="s">
        <v>7</v>
      </c>
      <c r="BY816" s="27" t="s">
        <v>8</v>
      </c>
      <c r="BZ816" s="27" t="s">
        <v>7</v>
      </c>
      <c r="CA816" s="27" t="s">
        <v>8</v>
      </c>
      <c r="GI816" s="27" t="s">
        <v>8</v>
      </c>
      <c r="GJ816" s="27" t="s">
        <v>7</v>
      </c>
      <c r="GK816" s="27" t="s">
        <v>8</v>
      </c>
      <c r="GL816" s="27" t="s">
        <v>7</v>
      </c>
      <c r="GO816" s="27" t="s">
        <v>8</v>
      </c>
    </row>
    <row r="817" spans="1:197" x14ac:dyDescent="0.25">
      <c r="A817" s="7">
        <v>1.0518661873270036E-2</v>
      </c>
      <c r="B817"/>
      <c r="C817"/>
      <c r="D817"/>
      <c r="E817"/>
      <c r="BT817" s="27" t="s">
        <v>7</v>
      </c>
      <c r="BU817" s="27" t="s">
        <v>8</v>
      </c>
      <c r="BV817" s="27" t="s">
        <v>7</v>
      </c>
      <c r="BW817" s="27" t="s">
        <v>8</v>
      </c>
      <c r="BX817" s="27" t="s">
        <v>7</v>
      </c>
      <c r="BY817" s="27" t="s">
        <v>8</v>
      </c>
      <c r="BZ817" s="27" t="s">
        <v>7</v>
      </c>
      <c r="CA817" s="27" t="s">
        <v>8</v>
      </c>
      <c r="CB817" s="27" t="s">
        <v>7</v>
      </c>
      <c r="GI817" s="27" t="s">
        <v>8</v>
      </c>
      <c r="GJ817" s="27" t="s">
        <v>7</v>
      </c>
      <c r="GK817" s="27" t="s">
        <v>8</v>
      </c>
      <c r="GL817" s="27" t="s">
        <v>7</v>
      </c>
      <c r="GM817" s="27" t="s">
        <v>8</v>
      </c>
      <c r="GO817" s="27" t="s">
        <v>8</v>
      </c>
    </row>
    <row r="818" spans="1:197" x14ac:dyDescent="0.25">
      <c r="A818" s="7">
        <v>1.0312413601245135E-2</v>
      </c>
      <c r="B818"/>
      <c r="C818"/>
      <c r="D818"/>
      <c r="E818"/>
      <c r="BT818" s="27" t="s">
        <v>7</v>
      </c>
      <c r="BU818" s="27" t="s">
        <v>8</v>
      </c>
      <c r="BV818" s="27" t="s">
        <v>7</v>
      </c>
      <c r="BW818" s="27" t="s">
        <v>8</v>
      </c>
      <c r="BX818" s="27" t="s">
        <v>7</v>
      </c>
      <c r="BY818" s="27" t="s">
        <v>8</v>
      </c>
      <c r="BZ818" s="27" t="s">
        <v>7</v>
      </c>
      <c r="CA818" s="27" t="s">
        <v>8</v>
      </c>
      <c r="CB818" s="27" t="s">
        <v>7</v>
      </c>
      <c r="GI818" s="27" t="s">
        <v>8</v>
      </c>
      <c r="GJ818" s="27" t="s">
        <v>7</v>
      </c>
      <c r="GK818" s="27" t="s">
        <v>8</v>
      </c>
      <c r="GL818" s="27" t="s">
        <v>7</v>
      </c>
      <c r="GM818" s="27" t="s">
        <v>8</v>
      </c>
      <c r="GN818" s="27" t="s">
        <v>7</v>
      </c>
      <c r="GO818" s="27" t="s">
        <v>8</v>
      </c>
    </row>
    <row r="819" spans="1:197" x14ac:dyDescent="0.25">
      <c r="A819" s="7">
        <v>1.0110209412985426E-2</v>
      </c>
      <c r="B819"/>
      <c r="C819"/>
      <c r="D819"/>
      <c r="E819"/>
      <c r="BT819" s="27" t="s">
        <v>7</v>
      </c>
      <c r="BU819" s="27" t="s">
        <v>8</v>
      </c>
      <c r="BV819" s="27" t="s">
        <v>7</v>
      </c>
      <c r="BW819" s="27" t="s">
        <v>8</v>
      </c>
      <c r="BX819" s="27" t="s">
        <v>7</v>
      </c>
      <c r="BY819" s="27" t="s">
        <v>8</v>
      </c>
      <c r="BZ819" s="27" t="s">
        <v>7</v>
      </c>
      <c r="CB819" s="27" t="s">
        <v>7</v>
      </c>
      <c r="GI819" s="27" t="s">
        <v>8</v>
      </c>
      <c r="GJ819" s="27" t="s">
        <v>7</v>
      </c>
      <c r="GK819" s="27" t="s">
        <v>8</v>
      </c>
      <c r="GL819" s="27" t="s">
        <v>7</v>
      </c>
      <c r="GM819" s="27" t="s">
        <v>8</v>
      </c>
      <c r="GN819" s="27" t="s">
        <v>7</v>
      </c>
      <c r="GO819" s="27" t="s">
        <v>8</v>
      </c>
    </row>
    <row r="820" spans="1:197" x14ac:dyDescent="0.25">
      <c r="A820" s="7">
        <v>9.9119700127308103E-3</v>
      </c>
      <c r="B820"/>
      <c r="C820"/>
      <c r="D820"/>
      <c r="E820"/>
      <c r="BT820" s="27" t="s">
        <v>7</v>
      </c>
      <c r="BU820" s="27" t="s">
        <v>8</v>
      </c>
      <c r="BV820" s="27" t="s">
        <v>7</v>
      </c>
      <c r="BX820" s="27" t="s">
        <v>7</v>
      </c>
      <c r="CB820" s="27" t="s">
        <v>7</v>
      </c>
      <c r="GI820" s="27" t="s">
        <v>8</v>
      </c>
      <c r="GJ820" s="27" t="s">
        <v>7</v>
      </c>
      <c r="GL820" s="27" t="s">
        <v>7</v>
      </c>
      <c r="GM820" s="27" t="s">
        <v>8</v>
      </c>
      <c r="GN820" s="27" t="s">
        <v>7</v>
      </c>
      <c r="GO820" s="27" t="s">
        <v>8</v>
      </c>
    </row>
    <row r="821" spans="1:197" x14ac:dyDescent="0.25">
      <c r="A821" s="7">
        <v>9.717617659540009E-3</v>
      </c>
      <c r="B821"/>
      <c r="C821"/>
      <c r="D821"/>
      <c r="E821"/>
      <c r="BT821" s="27" t="s">
        <v>7</v>
      </c>
      <c r="BU821" s="27" t="s">
        <v>8</v>
      </c>
      <c r="CB821" s="27" t="s">
        <v>7</v>
      </c>
      <c r="ES821" s="27" t="s">
        <v>8</v>
      </c>
      <c r="GI821" s="27" t="s">
        <v>8</v>
      </c>
      <c r="GL821" s="27" t="s">
        <v>7</v>
      </c>
      <c r="GM821" s="27" t="s">
        <v>8</v>
      </c>
      <c r="GN821" s="27" t="s">
        <v>7</v>
      </c>
      <c r="GO821" s="27" t="s">
        <v>8</v>
      </c>
    </row>
    <row r="822" spans="1:197" x14ac:dyDescent="0.25">
      <c r="A822" s="7">
        <v>9.5270761368039299E-3</v>
      </c>
      <c r="B822"/>
      <c r="C822"/>
      <c r="D822"/>
      <c r="E822"/>
      <c r="BT822" s="27" t="s">
        <v>7</v>
      </c>
      <c r="BU822" s="27" t="s">
        <v>8</v>
      </c>
      <c r="CB822" s="27" t="s">
        <v>7</v>
      </c>
      <c r="CC822" s="27" t="s">
        <v>8</v>
      </c>
      <c r="ES822" s="27" t="s">
        <v>8</v>
      </c>
      <c r="ET822" s="27" t="s">
        <v>7</v>
      </c>
      <c r="GI822" s="27" t="s">
        <v>8</v>
      </c>
      <c r="GL822" s="27" t="s">
        <v>7</v>
      </c>
      <c r="GM822" s="27" t="s">
        <v>8</v>
      </c>
      <c r="GN822" s="27" t="s">
        <v>7</v>
      </c>
    </row>
    <row r="823" spans="1:197" x14ac:dyDescent="0.25">
      <c r="A823" s="7">
        <v>9.3402707223567936E-3</v>
      </c>
      <c r="B823"/>
      <c r="C823"/>
      <c r="D823"/>
      <c r="E823"/>
      <c r="BT823" s="27" t="s">
        <v>7</v>
      </c>
      <c r="BU823" s="27" t="s">
        <v>8</v>
      </c>
      <c r="CB823" s="27" t="s">
        <v>7</v>
      </c>
      <c r="CC823" s="27" t="s">
        <v>8</v>
      </c>
      <c r="CD823" s="27" t="s">
        <v>7</v>
      </c>
      <c r="CE823" s="27" t="s">
        <v>8</v>
      </c>
      <c r="CI823" s="27" t="s">
        <v>8</v>
      </c>
      <c r="ES823" s="27" t="s">
        <v>8</v>
      </c>
      <c r="ET823" s="27" t="s">
        <v>7</v>
      </c>
      <c r="GI823" s="27" t="s">
        <v>8</v>
      </c>
      <c r="GL823" s="27" t="s">
        <v>7</v>
      </c>
      <c r="GM823" s="27" t="s">
        <v>8</v>
      </c>
    </row>
    <row r="824" spans="1:197" x14ac:dyDescent="0.25">
      <c r="A824" s="7">
        <v>9.1571281591733261E-3</v>
      </c>
      <c r="B824"/>
      <c r="C824"/>
      <c r="D824"/>
      <c r="E824"/>
      <c r="BT824" s="27" t="s">
        <v>7</v>
      </c>
      <c r="CB824" s="27" t="s">
        <v>7</v>
      </c>
      <c r="CC824" s="27" t="s">
        <v>8</v>
      </c>
      <c r="CD824" s="27" t="s">
        <v>7</v>
      </c>
      <c r="CE824" s="27" t="s">
        <v>8</v>
      </c>
      <c r="CF824" s="27" t="s">
        <v>7</v>
      </c>
      <c r="CI824" s="27" t="s">
        <v>8</v>
      </c>
      <c r="CJ824" s="27" t="s">
        <v>7</v>
      </c>
      <c r="ES824" s="27" t="s">
        <v>8</v>
      </c>
      <c r="ET824" s="27" t="s">
        <v>7</v>
      </c>
      <c r="GI824" s="27" t="s">
        <v>8</v>
      </c>
      <c r="GL824" s="27" t="s">
        <v>7</v>
      </c>
      <c r="GM824" s="27" t="s">
        <v>8</v>
      </c>
    </row>
    <row r="825" spans="1:197" x14ac:dyDescent="0.25">
      <c r="A825" s="7">
        <v>8.9775766266405148E-3</v>
      </c>
      <c r="B825"/>
      <c r="C825"/>
      <c r="D825"/>
      <c r="E825"/>
      <c r="CB825" s="27" t="s">
        <v>7</v>
      </c>
      <c r="CC825" s="27" t="s">
        <v>8</v>
      </c>
      <c r="CD825" s="27" t="s">
        <v>7</v>
      </c>
      <c r="CE825" s="27" t="s">
        <v>8</v>
      </c>
      <c r="CF825" s="27" t="s">
        <v>7</v>
      </c>
      <c r="CI825" s="27" t="s">
        <v>8</v>
      </c>
      <c r="CJ825" s="27" t="s">
        <v>7</v>
      </c>
      <c r="ES825" s="27" t="s">
        <v>8</v>
      </c>
      <c r="ET825" s="27" t="s">
        <v>7</v>
      </c>
      <c r="GI825" s="27" t="s">
        <v>8</v>
      </c>
      <c r="GL825" s="27" t="s">
        <v>7</v>
      </c>
      <c r="GM825" s="27" t="s">
        <v>8</v>
      </c>
    </row>
    <row r="826" spans="1:197" x14ac:dyDescent="0.25">
      <c r="A826" s="7">
        <v>8.8015457123926614E-3</v>
      </c>
      <c r="B826"/>
      <c r="C826"/>
      <c r="D826"/>
      <c r="E826"/>
      <c r="CB826" s="27" t="s">
        <v>7</v>
      </c>
      <c r="CC826" s="27" t="s">
        <v>8</v>
      </c>
      <c r="CD826" s="27" t="s">
        <v>7</v>
      </c>
      <c r="CF826" s="27" t="s">
        <v>7</v>
      </c>
      <c r="CI826" s="27" t="s">
        <v>8</v>
      </c>
      <c r="CJ826" s="27" t="s">
        <v>7</v>
      </c>
      <c r="ES826" s="27" t="s">
        <v>8</v>
      </c>
      <c r="ET826" s="27" t="s">
        <v>7</v>
      </c>
      <c r="GI826" s="27" t="s">
        <v>8</v>
      </c>
      <c r="GL826" s="27" t="s">
        <v>7</v>
      </c>
      <c r="GM826" s="27" t="s">
        <v>8</v>
      </c>
    </row>
    <row r="827" spans="1:197" x14ac:dyDescent="0.25">
      <c r="A827" s="7">
        <v>8.6289663846986879E-3</v>
      </c>
      <c r="B827"/>
      <c r="C827"/>
      <c r="D827"/>
      <c r="E827"/>
      <c r="CB827" s="27" t="s">
        <v>7</v>
      </c>
      <c r="CC827" s="27" t="s">
        <v>8</v>
      </c>
      <c r="CF827" s="27" t="s">
        <v>7</v>
      </c>
      <c r="CI827" s="27" t="s">
        <v>8</v>
      </c>
      <c r="CJ827" s="27" t="s">
        <v>7</v>
      </c>
      <c r="CK827" s="27" t="s">
        <v>8</v>
      </c>
      <c r="ES827" s="27" t="s">
        <v>8</v>
      </c>
      <c r="ET827" s="27" t="s">
        <v>7</v>
      </c>
      <c r="GI827" s="27" t="s">
        <v>8</v>
      </c>
      <c r="GL827" s="27" t="s">
        <v>7</v>
      </c>
    </row>
    <row r="828" spans="1:197" x14ac:dyDescent="0.25">
      <c r="A828" s="7">
        <v>8.4597709653908715E-3</v>
      </c>
      <c r="B828"/>
      <c r="C828"/>
      <c r="D828"/>
      <c r="E828"/>
      <c r="CB828" s="27" t="s">
        <v>7</v>
      </c>
      <c r="CC828" s="27" t="s">
        <v>8</v>
      </c>
      <c r="CF828" s="27" t="s">
        <v>7</v>
      </c>
      <c r="CI828" s="27" t="s">
        <v>8</v>
      </c>
      <c r="CJ828" s="27" t="s">
        <v>7</v>
      </c>
      <c r="CK828" s="27" t="s">
        <v>8</v>
      </c>
      <c r="CL828" s="27" t="s">
        <v>7</v>
      </c>
      <c r="EQ828" s="27" t="s">
        <v>8</v>
      </c>
      <c r="ES828" s="27" t="s">
        <v>8</v>
      </c>
      <c r="ET828" s="27" t="s">
        <v>7</v>
      </c>
      <c r="GE828" s="27" t="s">
        <v>8</v>
      </c>
      <c r="GI828" s="27" t="s">
        <v>8</v>
      </c>
    </row>
    <row r="829" spans="1:197" x14ac:dyDescent="0.25">
      <c r="A829" s="7">
        <v>8.2938931033243839E-3</v>
      </c>
      <c r="B829"/>
      <c r="C829"/>
      <c r="D829"/>
      <c r="E829"/>
      <c r="CB829" s="27" t="s">
        <v>7</v>
      </c>
      <c r="CC829" s="27" t="s">
        <v>8</v>
      </c>
      <c r="CF829" s="27" t="s">
        <v>7</v>
      </c>
      <c r="CI829" s="27" t="s">
        <v>8</v>
      </c>
      <c r="CJ829" s="27" t="s">
        <v>7</v>
      </c>
      <c r="CK829" s="27" t="s">
        <v>8</v>
      </c>
      <c r="CL829" s="27" t="s">
        <v>7</v>
      </c>
      <c r="EM829" s="27" t="s">
        <v>8</v>
      </c>
      <c r="EQ829" s="27" t="s">
        <v>8</v>
      </c>
      <c r="ER829" s="27" t="s">
        <v>7</v>
      </c>
      <c r="ES829" s="27" t="s">
        <v>8</v>
      </c>
      <c r="ET829" s="27" t="s">
        <v>7</v>
      </c>
      <c r="GE829" s="27" t="s">
        <v>8</v>
      </c>
      <c r="GF829" s="27" t="s">
        <v>7</v>
      </c>
      <c r="GI829" s="27" t="s">
        <v>8</v>
      </c>
    </row>
    <row r="830" spans="1:197" x14ac:dyDescent="0.25">
      <c r="A830" s="7">
        <v>8.1312677483572383E-3</v>
      </c>
      <c r="B830"/>
      <c r="C830"/>
      <c r="D830"/>
      <c r="E830"/>
      <c r="CB830" s="27" t="s">
        <v>7</v>
      </c>
      <c r="CC830" s="27" t="s">
        <v>8</v>
      </c>
      <c r="CF830" s="27" t="s">
        <v>7</v>
      </c>
      <c r="CI830" s="27" t="s">
        <v>8</v>
      </c>
      <c r="CJ830" s="27" t="s">
        <v>7</v>
      </c>
      <c r="CK830" s="27" t="s">
        <v>8</v>
      </c>
      <c r="CL830" s="27" t="s">
        <v>7</v>
      </c>
      <c r="EM830" s="27" t="s">
        <v>8</v>
      </c>
      <c r="EN830" s="27" t="s">
        <v>7</v>
      </c>
      <c r="EO830" s="27" t="s">
        <v>8</v>
      </c>
      <c r="EQ830" s="27" t="s">
        <v>8</v>
      </c>
      <c r="ER830" s="27" t="s">
        <v>7</v>
      </c>
      <c r="ES830" s="27" t="s">
        <v>8</v>
      </c>
      <c r="ET830" s="27" t="s">
        <v>7</v>
      </c>
      <c r="GE830" s="27" t="s">
        <v>8</v>
      </c>
      <c r="GF830" s="27" t="s">
        <v>7</v>
      </c>
      <c r="GI830" s="27" t="s">
        <v>8</v>
      </c>
    </row>
    <row r="831" spans="1:197" x14ac:dyDescent="0.25">
      <c r="A831" s="7">
        <v>7.9718311258404305E-3</v>
      </c>
      <c r="B831"/>
      <c r="C831"/>
      <c r="D831"/>
      <c r="E831"/>
      <c r="CB831" s="27" t="s">
        <v>7</v>
      </c>
      <c r="CF831" s="27" t="s">
        <v>7</v>
      </c>
      <c r="CG831" s="27" t="s">
        <v>8</v>
      </c>
      <c r="CI831" s="27" t="s">
        <v>8</v>
      </c>
      <c r="CJ831" s="27" t="s">
        <v>7</v>
      </c>
      <c r="CK831" s="27" t="s">
        <v>8</v>
      </c>
      <c r="CL831" s="27" t="s">
        <v>7</v>
      </c>
      <c r="EM831" s="27" t="s">
        <v>8</v>
      </c>
      <c r="EN831" s="27" t="s">
        <v>7</v>
      </c>
      <c r="EO831" s="27" t="s">
        <v>8</v>
      </c>
      <c r="EP831" s="27" t="s">
        <v>7</v>
      </c>
      <c r="EQ831" s="27" t="s">
        <v>8</v>
      </c>
      <c r="ER831" s="27" t="s">
        <v>7</v>
      </c>
      <c r="ET831" s="27" t="s">
        <v>7</v>
      </c>
      <c r="EU831" s="27" t="s">
        <v>8</v>
      </c>
      <c r="GE831" s="27" t="s">
        <v>8</v>
      </c>
      <c r="GF831" s="27" t="s">
        <v>7</v>
      </c>
      <c r="GI831" s="27" t="s">
        <v>8</v>
      </c>
    </row>
    <row r="832" spans="1:197" x14ac:dyDescent="0.25">
      <c r="A832" s="7">
        <v>7.8155207116082648E-3</v>
      </c>
      <c r="B832"/>
      <c r="C832"/>
      <c r="D832"/>
      <c r="E832"/>
      <c r="CF832" s="27" t="s">
        <v>7</v>
      </c>
      <c r="CG832" s="27" t="s">
        <v>8</v>
      </c>
      <c r="CH832" s="27" t="s">
        <v>7</v>
      </c>
      <c r="CI832" s="27" t="s">
        <v>8</v>
      </c>
      <c r="CJ832" s="27" t="s">
        <v>7</v>
      </c>
      <c r="CL832" s="27" t="s">
        <v>7</v>
      </c>
      <c r="EM832" s="27" t="s">
        <v>8</v>
      </c>
      <c r="EN832" s="27" t="s">
        <v>7</v>
      </c>
      <c r="EO832" s="27" t="s">
        <v>8</v>
      </c>
      <c r="EP832" s="27" t="s">
        <v>7</v>
      </c>
      <c r="EQ832" s="27" t="s">
        <v>8</v>
      </c>
      <c r="ET832" s="27" t="s">
        <v>7</v>
      </c>
      <c r="EU832" s="27" t="s">
        <v>8</v>
      </c>
      <c r="EV832" s="27" t="s">
        <v>7</v>
      </c>
      <c r="EW832" s="27" t="s">
        <v>8</v>
      </c>
      <c r="EY832" s="27" t="s">
        <v>8</v>
      </c>
      <c r="GE832" s="27" t="s">
        <v>8</v>
      </c>
      <c r="GF832" s="27" t="s">
        <v>7</v>
      </c>
      <c r="GI832" s="27" t="s">
        <v>8</v>
      </c>
    </row>
    <row r="833" spans="1:191" x14ac:dyDescent="0.25">
      <c r="A833" s="7">
        <v>7.6622752074590825E-3</v>
      </c>
      <c r="B833"/>
      <c r="C833"/>
      <c r="D833"/>
      <c r="E833"/>
      <c r="CF833" s="27" t="s">
        <v>7</v>
      </c>
      <c r="CG833" s="27" t="s">
        <v>8</v>
      </c>
      <c r="CH833" s="27" t="s">
        <v>7</v>
      </c>
      <c r="CI833" s="27" t="s">
        <v>8</v>
      </c>
      <c r="CL833" s="27" t="s">
        <v>7</v>
      </c>
      <c r="CQ833" s="27" t="s">
        <v>8</v>
      </c>
      <c r="EM833" s="27" t="s">
        <v>8</v>
      </c>
      <c r="EN833" s="27" t="s">
        <v>7</v>
      </c>
      <c r="EO833" s="27" t="s">
        <v>8</v>
      </c>
      <c r="EP833" s="27" t="s">
        <v>7</v>
      </c>
      <c r="EQ833" s="27" t="s">
        <v>8</v>
      </c>
      <c r="ET833" s="27" t="s">
        <v>7</v>
      </c>
      <c r="EU833" s="27" t="s">
        <v>8</v>
      </c>
      <c r="EV833" s="27" t="s">
        <v>7</v>
      </c>
      <c r="EW833" s="27" t="s">
        <v>8</v>
      </c>
      <c r="EX833" s="27" t="s">
        <v>7</v>
      </c>
      <c r="EY833" s="27" t="s">
        <v>8</v>
      </c>
      <c r="EZ833" s="27" t="s">
        <v>7</v>
      </c>
      <c r="FE833" s="27" t="s">
        <v>8</v>
      </c>
      <c r="GE833" s="27" t="s">
        <v>8</v>
      </c>
      <c r="GF833" s="27" t="s">
        <v>7</v>
      </c>
      <c r="GG833" s="27" t="s">
        <v>8</v>
      </c>
      <c r="GI833" s="27" t="s">
        <v>8</v>
      </c>
    </row>
    <row r="834" spans="1:191" x14ac:dyDescent="0.25">
      <c r="A834" s="7">
        <v>7.5120345171167469E-3</v>
      </c>
      <c r="B834"/>
      <c r="C834"/>
      <c r="D834"/>
      <c r="E834"/>
      <c r="CF834" s="27" t="s">
        <v>7</v>
      </c>
      <c r="CG834" s="27" t="s">
        <v>8</v>
      </c>
      <c r="CH834" s="27" t="s">
        <v>7</v>
      </c>
      <c r="CI834" s="27" t="s">
        <v>8</v>
      </c>
      <c r="CL834" s="27" t="s">
        <v>7</v>
      </c>
      <c r="CQ834" s="27" t="s">
        <v>8</v>
      </c>
      <c r="CR834" s="27" t="s">
        <v>7</v>
      </c>
      <c r="EM834" s="27" t="s">
        <v>8</v>
      </c>
      <c r="EN834" s="27" t="s">
        <v>7</v>
      </c>
      <c r="EO834" s="27" t="s">
        <v>8</v>
      </c>
      <c r="EP834" s="27" t="s">
        <v>7</v>
      </c>
      <c r="EQ834" s="27" t="s">
        <v>8</v>
      </c>
      <c r="ET834" s="27" t="s">
        <v>7</v>
      </c>
      <c r="EU834" s="27" t="s">
        <v>8</v>
      </c>
      <c r="EV834" s="27" t="s">
        <v>7</v>
      </c>
      <c r="EW834" s="27" t="s">
        <v>8</v>
      </c>
      <c r="EX834" s="27" t="s">
        <v>7</v>
      </c>
      <c r="EY834" s="27" t="s">
        <v>8</v>
      </c>
      <c r="EZ834" s="27" t="s">
        <v>7</v>
      </c>
      <c r="FE834" s="27" t="s">
        <v>8</v>
      </c>
      <c r="FF834" s="27" t="s">
        <v>7</v>
      </c>
      <c r="GE834" s="27" t="s">
        <v>8</v>
      </c>
      <c r="GF834" s="27" t="s">
        <v>7</v>
      </c>
      <c r="GG834" s="27" t="s">
        <v>8</v>
      </c>
      <c r="GH834" s="27" t="s">
        <v>7</v>
      </c>
      <c r="GI834" s="27" t="s">
        <v>8</v>
      </c>
    </row>
    <row r="835" spans="1:191" x14ac:dyDescent="0.25">
      <c r="A835" s="7">
        <v>7.3647397226634772E-3</v>
      </c>
      <c r="B835"/>
      <c r="C835"/>
      <c r="D835"/>
      <c r="E835"/>
      <c r="CF835" s="27" t="s">
        <v>7</v>
      </c>
      <c r="CG835" s="27" t="s">
        <v>8</v>
      </c>
      <c r="CH835" s="27" t="s">
        <v>7</v>
      </c>
      <c r="CI835" s="27" t="s">
        <v>8</v>
      </c>
      <c r="CL835" s="27" t="s">
        <v>7</v>
      </c>
      <c r="CQ835" s="27" t="s">
        <v>8</v>
      </c>
      <c r="CR835" s="27" t="s">
        <v>7</v>
      </c>
      <c r="EM835" s="27" t="s">
        <v>8</v>
      </c>
      <c r="EN835" s="27" t="s">
        <v>7</v>
      </c>
      <c r="EO835" s="27" t="s">
        <v>8</v>
      </c>
      <c r="EP835" s="27" t="s">
        <v>7</v>
      </c>
      <c r="ET835" s="27" t="s">
        <v>7</v>
      </c>
      <c r="EU835" s="27" t="s">
        <v>8</v>
      </c>
      <c r="EV835" s="27" t="s">
        <v>7</v>
      </c>
      <c r="EW835" s="27" t="s">
        <v>8</v>
      </c>
      <c r="EX835" s="27" t="s">
        <v>7</v>
      </c>
      <c r="EY835" s="27" t="s">
        <v>8</v>
      </c>
      <c r="EZ835" s="27" t="s">
        <v>7</v>
      </c>
      <c r="FE835" s="27" t="s">
        <v>8</v>
      </c>
      <c r="FF835" s="27" t="s">
        <v>7</v>
      </c>
      <c r="GE835" s="27" t="s">
        <v>8</v>
      </c>
      <c r="GF835" s="27" t="s">
        <v>7</v>
      </c>
      <c r="GG835" s="27" t="s">
        <v>8</v>
      </c>
      <c r="GH835" s="27" t="s">
        <v>7</v>
      </c>
      <c r="GI835" s="27" t="s">
        <v>8</v>
      </c>
    </row>
    <row r="836" spans="1:191" x14ac:dyDescent="0.25">
      <c r="A836" s="7">
        <v>7.2203330614347815E-3</v>
      </c>
      <c r="B836"/>
      <c r="C836"/>
      <c r="D836"/>
      <c r="E836"/>
      <c r="CF836" s="27" t="s">
        <v>7</v>
      </c>
      <c r="CH836" s="27" t="s">
        <v>7</v>
      </c>
      <c r="CI836" s="27" t="s">
        <v>8</v>
      </c>
      <c r="CL836" s="27" t="s">
        <v>7</v>
      </c>
      <c r="CM836" s="27" t="s">
        <v>8</v>
      </c>
      <c r="CO836" s="27" t="s">
        <v>8</v>
      </c>
      <c r="CQ836" s="27" t="s">
        <v>8</v>
      </c>
      <c r="CR836" s="27" t="s">
        <v>7</v>
      </c>
      <c r="EM836" s="27" t="s">
        <v>8</v>
      </c>
      <c r="EN836" s="27" t="s">
        <v>7</v>
      </c>
      <c r="ET836" s="27" t="s">
        <v>7</v>
      </c>
      <c r="EU836" s="27" t="s">
        <v>8</v>
      </c>
      <c r="EV836" s="27" t="s">
        <v>7</v>
      </c>
      <c r="EW836" s="27" t="s">
        <v>8</v>
      </c>
      <c r="EX836" s="27" t="s">
        <v>7</v>
      </c>
      <c r="EY836" s="27" t="s">
        <v>8</v>
      </c>
      <c r="EZ836" s="27" t="s">
        <v>7</v>
      </c>
      <c r="FE836" s="27" t="s">
        <v>8</v>
      </c>
      <c r="FF836" s="27" t="s">
        <v>7</v>
      </c>
      <c r="GE836" s="27" t="s">
        <v>8</v>
      </c>
      <c r="GF836" s="27" t="s">
        <v>7</v>
      </c>
      <c r="GG836" s="27" t="s">
        <v>8</v>
      </c>
      <c r="GH836" s="27" t="s">
        <v>7</v>
      </c>
      <c r="GI836" s="27" t="s">
        <v>8</v>
      </c>
    </row>
    <row r="837" spans="1:191" x14ac:dyDescent="0.25">
      <c r="A837" s="7">
        <v>7.0787579033674327E-3</v>
      </c>
      <c r="B837"/>
      <c r="C837"/>
      <c r="D837"/>
      <c r="E837"/>
      <c r="CH837" s="27" t="s">
        <v>7</v>
      </c>
      <c r="CI837" s="27" t="s">
        <v>8</v>
      </c>
      <c r="CL837" s="27" t="s">
        <v>7</v>
      </c>
      <c r="CM837" s="27" t="s">
        <v>8</v>
      </c>
      <c r="CN837" s="27" t="s">
        <v>7</v>
      </c>
      <c r="CO837" s="27" t="s">
        <v>8</v>
      </c>
      <c r="CP837" s="27" t="s">
        <v>7</v>
      </c>
      <c r="CQ837" s="27" t="s">
        <v>8</v>
      </c>
      <c r="CR837" s="27" t="s">
        <v>7</v>
      </c>
      <c r="EK837" s="27" t="s">
        <v>8</v>
      </c>
      <c r="EM837" s="27" t="s">
        <v>8</v>
      </c>
      <c r="ET837" s="27" t="s">
        <v>7</v>
      </c>
      <c r="EU837" s="27" t="s">
        <v>8</v>
      </c>
      <c r="EV837" s="27" t="s">
        <v>7</v>
      </c>
      <c r="EW837" s="27" t="s">
        <v>8</v>
      </c>
      <c r="EX837" s="27" t="s">
        <v>7</v>
      </c>
      <c r="EZ837" s="27" t="s">
        <v>7</v>
      </c>
      <c r="FE837" s="27" t="s">
        <v>8</v>
      </c>
      <c r="FF837" s="27" t="s">
        <v>7</v>
      </c>
      <c r="GE837" s="27" t="s">
        <v>8</v>
      </c>
      <c r="GF837" s="27" t="s">
        <v>7</v>
      </c>
      <c r="GG837" s="27" t="s">
        <v>8</v>
      </c>
      <c r="GH837" s="27" t="s">
        <v>7</v>
      </c>
      <c r="GI837" s="27" t="s">
        <v>8</v>
      </c>
    </row>
    <row r="838" spans="1:191" x14ac:dyDescent="0.25">
      <c r="A838" s="7">
        <v>6.9399587287916013E-3</v>
      </c>
      <c r="B838"/>
      <c r="C838"/>
      <c r="D838"/>
      <c r="E838"/>
      <c r="CH838" s="27" t="s">
        <v>7</v>
      </c>
      <c r="CL838" s="27" t="s">
        <v>7</v>
      </c>
      <c r="CM838" s="27" t="s">
        <v>8</v>
      </c>
      <c r="CN838" s="27" t="s">
        <v>7</v>
      </c>
      <c r="CO838" s="27" t="s">
        <v>8</v>
      </c>
      <c r="CP838" s="27" t="s">
        <v>7</v>
      </c>
      <c r="CQ838" s="27" t="s">
        <v>8</v>
      </c>
      <c r="CR838" s="27" t="s">
        <v>7</v>
      </c>
      <c r="DM838" s="27" t="s">
        <v>8</v>
      </c>
      <c r="DY838" s="27" t="s">
        <v>8</v>
      </c>
      <c r="EK838" s="27" t="s">
        <v>8</v>
      </c>
      <c r="EL838" s="27" t="s">
        <v>7</v>
      </c>
      <c r="EM838" s="27" t="s">
        <v>8</v>
      </c>
      <c r="ET838" s="27" t="s">
        <v>7</v>
      </c>
      <c r="EU838" s="27" t="s">
        <v>8</v>
      </c>
      <c r="EV838" s="27" t="s">
        <v>7</v>
      </c>
      <c r="EZ838" s="27" t="s">
        <v>7</v>
      </c>
      <c r="FE838" s="27" t="s">
        <v>8</v>
      </c>
      <c r="FF838" s="27" t="s">
        <v>7</v>
      </c>
      <c r="GE838" s="27" t="s">
        <v>8</v>
      </c>
      <c r="GF838" s="27" t="s">
        <v>7</v>
      </c>
      <c r="GG838" s="27" t="s">
        <v>8</v>
      </c>
      <c r="GH838" s="27" t="s">
        <v>7</v>
      </c>
      <c r="GI838" s="27" t="s">
        <v>8</v>
      </c>
    </row>
    <row r="839" spans="1:191" x14ac:dyDescent="0.25">
      <c r="A839" s="7">
        <v>6.8038811066584333E-3</v>
      </c>
      <c r="B839"/>
      <c r="C839"/>
      <c r="D839"/>
      <c r="E839"/>
      <c r="CL839" s="27" t="s">
        <v>7</v>
      </c>
      <c r="CN839" s="27" t="s">
        <v>7</v>
      </c>
      <c r="CO839" s="27" t="s">
        <v>8</v>
      </c>
      <c r="CP839" s="27" t="s">
        <v>7</v>
      </c>
      <c r="CQ839" s="27" t="s">
        <v>8</v>
      </c>
      <c r="CR839" s="27" t="s">
        <v>7</v>
      </c>
      <c r="DM839" s="27" t="s">
        <v>8</v>
      </c>
      <c r="DN839" s="27" t="s">
        <v>7</v>
      </c>
      <c r="DY839" s="27" t="s">
        <v>8</v>
      </c>
      <c r="DZ839" s="27" t="s">
        <v>7</v>
      </c>
      <c r="EK839" s="27" t="s">
        <v>8</v>
      </c>
      <c r="EL839" s="27" t="s">
        <v>7</v>
      </c>
      <c r="EM839" s="27" t="s">
        <v>8</v>
      </c>
      <c r="ET839" s="27" t="s">
        <v>7</v>
      </c>
      <c r="EZ839" s="27" t="s">
        <v>7</v>
      </c>
      <c r="FE839" s="27" t="s">
        <v>8</v>
      </c>
      <c r="FF839" s="27" t="s">
        <v>7</v>
      </c>
      <c r="GE839" s="27" t="s">
        <v>8</v>
      </c>
      <c r="GF839" s="27" t="s">
        <v>7</v>
      </c>
      <c r="GH839" s="27" t="s">
        <v>7</v>
      </c>
      <c r="GI839" s="27" t="s">
        <v>8</v>
      </c>
    </row>
    <row r="840" spans="1:191" x14ac:dyDescent="0.25">
      <c r="A840" s="7">
        <v>6.6704716731945425E-3</v>
      </c>
      <c r="B840"/>
      <c r="C840"/>
      <c r="D840"/>
      <c r="E840"/>
      <c r="CN840" s="27" t="s">
        <v>7</v>
      </c>
      <c r="CO840" s="27" t="s">
        <v>8</v>
      </c>
      <c r="CP840" s="27" t="s">
        <v>7</v>
      </c>
      <c r="CQ840" s="27" t="s">
        <v>8</v>
      </c>
      <c r="CR840" s="27" t="s">
        <v>7</v>
      </c>
      <c r="DM840" s="27" t="s">
        <v>8</v>
      </c>
      <c r="DN840" s="27" t="s">
        <v>7</v>
      </c>
      <c r="DY840" s="27" t="s">
        <v>8</v>
      </c>
      <c r="DZ840" s="27" t="s">
        <v>7</v>
      </c>
      <c r="EK840" s="27" t="s">
        <v>8</v>
      </c>
      <c r="EL840" s="27" t="s">
        <v>7</v>
      </c>
      <c r="EZ840" s="27" t="s">
        <v>7</v>
      </c>
      <c r="FE840" s="27" t="s">
        <v>8</v>
      </c>
      <c r="FF840" s="27" t="s">
        <v>7</v>
      </c>
      <c r="GE840" s="27" t="s">
        <v>8</v>
      </c>
      <c r="GH840" s="27" t="s">
        <v>7</v>
      </c>
      <c r="GI840" s="27" t="s">
        <v>8</v>
      </c>
    </row>
    <row r="841" spans="1:191" x14ac:dyDescent="0.25">
      <c r="A841" s="7">
        <v>6.5396781109750427E-3</v>
      </c>
      <c r="B841"/>
      <c r="C841"/>
      <c r="D841"/>
      <c r="E841"/>
      <c r="CN841" s="27" t="s">
        <v>7</v>
      </c>
      <c r="CP841" s="27" t="s">
        <v>7</v>
      </c>
      <c r="CR841" s="27" t="s">
        <v>7</v>
      </c>
      <c r="DI841" s="27" t="s">
        <v>8</v>
      </c>
      <c r="DK841" s="27" t="s">
        <v>8</v>
      </c>
      <c r="DM841" s="27" t="s">
        <v>8</v>
      </c>
      <c r="DN841" s="27" t="s">
        <v>7</v>
      </c>
      <c r="DY841" s="27" t="s">
        <v>8</v>
      </c>
      <c r="DZ841" s="27" t="s">
        <v>7</v>
      </c>
      <c r="EK841" s="27" t="s">
        <v>8</v>
      </c>
      <c r="EZ841" s="27" t="s">
        <v>7</v>
      </c>
      <c r="FE841" s="27" t="s">
        <v>8</v>
      </c>
      <c r="FF841" s="27" t="s">
        <v>7</v>
      </c>
      <c r="GE841" s="27" t="s">
        <v>8</v>
      </c>
      <c r="GH841" s="27" t="s">
        <v>7</v>
      </c>
      <c r="GI841" s="27" t="s">
        <v>8</v>
      </c>
    </row>
    <row r="842" spans="1:191" x14ac:dyDescent="0.25">
      <c r="A842" s="7">
        <v>6.4114491284069045E-3</v>
      </c>
      <c r="B842"/>
      <c r="C842"/>
      <c r="D842"/>
      <c r="E842"/>
      <c r="CR842" s="27" t="s">
        <v>7</v>
      </c>
      <c r="CW842" s="27" t="s">
        <v>8</v>
      </c>
      <c r="DI842" s="27" t="s">
        <v>8</v>
      </c>
      <c r="DJ842" s="27" t="s">
        <v>7</v>
      </c>
      <c r="DK842" s="27" t="s">
        <v>8</v>
      </c>
      <c r="DL842" s="27" t="s">
        <v>7</v>
      </c>
      <c r="DM842" s="27" t="s">
        <v>8</v>
      </c>
      <c r="DN842" s="27" t="s">
        <v>7</v>
      </c>
      <c r="DY842" s="27" t="s">
        <v>8</v>
      </c>
      <c r="DZ842" s="27" t="s">
        <v>7</v>
      </c>
      <c r="EK842" s="27" t="s">
        <v>8</v>
      </c>
      <c r="EZ842" s="27" t="s">
        <v>7</v>
      </c>
      <c r="FC842" s="27" t="s">
        <v>8</v>
      </c>
      <c r="FE842" s="27" t="s">
        <v>8</v>
      </c>
      <c r="FF842" s="27" t="s">
        <v>7</v>
      </c>
      <c r="GE842" s="27" t="s">
        <v>8</v>
      </c>
      <c r="GH842" s="27" t="s">
        <v>7</v>
      </c>
      <c r="GI842" s="27" t="s">
        <v>8</v>
      </c>
    </row>
    <row r="843" spans="1:191" x14ac:dyDescent="0.25">
      <c r="A843" s="7">
        <v>6.2857344396146115E-3</v>
      </c>
      <c r="B843"/>
      <c r="C843"/>
      <c r="D843"/>
      <c r="E843"/>
      <c r="CR843" s="27" t="s">
        <v>7</v>
      </c>
      <c r="CW843" s="27" t="s">
        <v>8</v>
      </c>
      <c r="CX843" s="27" t="s">
        <v>7</v>
      </c>
      <c r="DI843" s="27" t="s">
        <v>8</v>
      </c>
      <c r="DJ843" s="27" t="s">
        <v>7</v>
      </c>
      <c r="DK843" s="27" t="s">
        <v>8</v>
      </c>
      <c r="DL843" s="27" t="s">
        <v>7</v>
      </c>
      <c r="DM843" s="27" t="s">
        <v>8</v>
      </c>
      <c r="DN843" s="27" t="s">
        <v>7</v>
      </c>
      <c r="DY843" s="27" t="s">
        <v>8</v>
      </c>
      <c r="DZ843" s="27" t="s">
        <v>7</v>
      </c>
      <c r="EK843" s="27" t="s">
        <v>8</v>
      </c>
      <c r="EZ843" s="27" t="s">
        <v>7</v>
      </c>
      <c r="FA843" s="27" t="s">
        <v>8</v>
      </c>
      <c r="FC843" s="27" t="s">
        <v>8</v>
      </c>
      <c r="FD843" s="27" t="s">
        <v>7</v>
      </c>
      <c r="FE843" s="27" t="s">
        <v>8</v>
      </c>
      <c r="FF843" s="27" t="s">
        <v>7</v>
      </c>
      <c r="GE843" s="27" t="s">
        <v>8</v>
      </c>
      <c r="GH843" s="27" t="s">
        <v>7</v>
      </c>
      <c r="GI843" s="27" t="s">
        <v>8</v>
      </c>
    </row>
    <row r="844" spans="1:191" x14ac:dyDescent="0.25">
      <c r="A844" s="7">
        <v>6.1624847447202076E-3</v>
      </c>
      <c r="B844"/>
      <c r="C844"/>
      <c r="D844"/>
      <c r="E844"/>
      <c r="CR844" s="27" t="s">
        <v>7</v>
      </c>
      <c r="CW844" s="27" t="s">
        <v>8</v>
      </c>
      <c r="CX844" s="27" t="s">
        <v>7</v>
      </c>
      <c r="DE844" s="27" t="s">
        <v>8</v>
      </c>
      <c r="DI844" s="27" t="s">
        <v>8</v>
      </c>
      <c r="DJ844" s="27" t="s">
        <v>7</v>
      </c>
      <c r="DK844" s="27" t="s">
        <v>8</v>
      </c>
      <c r="DL844" s="27" t="s">
        <v>7</v>
      </c>
      <c r="DM844" s="27" t="s">
        <v>8</v>
      </c>
      <c r="DN844" s="27" t="s">
        <v>7</v>
      </c>
      <c r="DY844" s="27" t="s">
        <v>8</v>
      </c>
      <c r="DZ844" s="27" t="s">
        <v>7</v>
      </c>
      <c r="EK844" s="27" t="s">
        <v>8</v>
      </c>
      <c r="EZ844" s="27" t="s">
        <v>7</v>
      </c>
      <c r="FA844" s="27" t="s">
        <v>8</v>
      </c>
      <c r="FB844" s="27" t="s">
        <v>7</v>
      </c>
      <c r="FC844" s="27" t="s">
        <v>8</v>
      </c>
      <c r="FD844" s="27" t="s">
        <v>7</v>
      </c>
      <c r="FE844" s="27" t="s">
        <v>8</v>
      </c>
      <c r="FF844" s="27" t="s">
        <v>7</v>
      </c>
      <c r="FG844" s="27" t="s">
        <v>8</v>
      </c>
      <c r="GC844" s="27" t="s">
        <v>8</v>
      </c>
      <c r="GE844" s="27" t="s">
        <v>8</v>
      </c>
      <c r="GH844" s="27" t="s">
        <v>7</v>
      </c>
    </row>
    <row r="845" spans="1:191" x14ac:dyDescent="0.25">
      <c r="A845" s="7">
        <v>6.0416517105100079E-3</v>
      </c>
      <c r="B845"/>
      <c r="C845"/>
      <c r="D845"/>
      <c r="E845"/>
      <c r="CR845" s="27" t="s">
        <v>7</v>
      </c>
      <c r="CU845" s="27" t="s">
        <v>8</v>
      </c>
      <c r="CW845" s="27" t="s">
        <v>8</v>
      </c>
      <c r="CX845" s="27" t="s">
        <v>7</v>
      </c>
      <c r="DE845" s="27" t="s">
        <v>8</v>
      </c>
      <c r="DF845" s="27" t="s">
        <v>7</v>
      </c>
      <c r="DI845" s="27" t="s">
        <v>8</v>
      </c>
      <c r="DJ845" s="27" t="s">
        <v>7</v>
      </c>
      <c r="DK845" s="27" t="s">
        <v>8</v>
      </c>
      <c r="DL845" s="27" t="s">
        <v>7</v>
      </c>
      <c r="DM845" s="27" t="s">
        <v>8</v>
      </c>
      <c r="DN845" s="27" t="s">
        <v>7</v>
      </c>
      <c r="DO845" s="27" t="s">
        <v>8</v>
      </c>
      <c r="DY845" s="27" t="s">
        <v>8</v>
      </c>
      <c r="DZ845" s="27" t="s">
        <v>7</v>
      </c>
      <c r="EK845" s="27" t="s">
        <v>8</v>
      </c>
      <c r="EZ845" s="27" t="s">
        <v>7</v>
      </c>
      <c r="FA845" s="27" t="s">
        <v>8</v>
      </c>
      <c r="FB845" s="27" t="s">
        <v>7</v>
      </c>
      <c r="FC845" s="27" t="s">
        <v>8</v>
      </c>
      <c r="FD845" s="27" t="s">
        <v>7</v>
      </c>
      <c r="FE845" s="27" t="s">
        <v>8</v>
      </c>
      <c r="FF845" s="27" t="s">
        <v>7</v>
      </c>
      <c r="FG845" s="27" t="s">
        <v>8</v>
      </c>
      <c r="FH845" s="27" t="s">
        <v>7</v>
      </c>
      <c r="GC845" s="27" t="s">
        <v>8</v>
      </c>
      <c r="GD845" s="27" t="s">
        <v>7</v>
      </c>
      <c r="GE845" s="27" t="s">
        <v>8</v>
      </c>
    </row>
    <row r="846" spans="1:191" x14ac:dyDescent="0.25">
      <c r="A846" s="7">
        <v>5.9231879514803996E-3</v>
      </c>
      <c r="B846"/>
      <c r="C846"/>
      <c r="D846"/>
      <c r="E846"/>
      <c r="CR846" s="27" t="s">
        <v>7</v>
      </c>
      <c r="CU846" s="27" t="s">
        <v>8</v>
      </c>
      <c r="CV846" s="27" t="s">
        <v>7</v>
      </c>
      <c r="CW846" s="27" t="s">
        <v>8</v>
      </c>
      <c r="CX846" s="27" t="s">
        <v>7</v>
      </c>
      <c r="CY846" s="27" t="s">
        <v>8</v>
      </c>
      <c r="DE846" s="27" t="s">
        <v>8</v>
      </c>
      <c r="DF846" s="27" t="s">
        <v>7</v>
      </c>
      <c r="DI846" s="27" t="s">
        <v>8</v>
      </c>
      <c r="DJ846" s="27" t="s">
        <v>7</v>
      </c>
      <c r="DL846" s="27" t="s">
        <v>7</v>
      </c>
      <c r="DM846" s="27" t="s">
        <v>8</v>
      </c>
      <c r="DN846" s="27" t="s">
        <v>7</v>
      </c>
      <c r="DO846" s="27" t="s">
        <v>8</v>
      </c>
      <c r="DP846" s="27" t="s">
        <v>7</v>
      </c>
      <c r="DY846" s="27" t="s">
        <v>8</v>
      </c>
      <c r="DZ846" s="27" t="s">
        <v>7</v>
      </c>
      <c r="EK846" s="27" t="s">
        <v>8</v>
      </c>
      <c r="EZ846" s="27" t="s">
        <v>7</v>
      </c>
      <c r="FA846" s="27" t="s">
        <v>8</v>
      </c>
      <c r="FB846" s="27" t="s">
        <v>7</v>
      </c>
      <c r="FC846" s="27" t="s">
        <v>8</v>
      </c>
      <c r="FD846" s="27" t="s">
        <v>7</v>
      </c>
      <c r="FF846" s="27" t="s">
        <v>7</v>
      </c>
      <c r="FG846" s="27" t="s">
        <v>8</v>
      </c>
      <c r="FH846" s="27" t="s">
        <v>7</v>
      </c>
      <c r="GC846" s="27" t="s">
        <v>8</v>
      </c>
      <c r="GD846" s="27" t="s">
        <v>7</v>
      </c>
      <c r="GE846" s="27" t="s">
        <v>8</v>
      </c>
    </row>
    <row r="847" spans="1:191" x14ac:dyDescent="0.25">
      <c r="A847" s="7">
        <v>5.8070470112552936E-3</v>
      </c>
      <c r="B847"/>
      <c r="C847"/>
      <c r="D847"/>
      <c r="E847"/>
      <c r="CR847" s="27" t="s">
        <v>7</v>
      </c>
      <c r="CU847" s="27" t="s">
        <v>8</v>
      </c>
      <c r="CV847" s="27" t="s">
        <v>7</v>
      </c>
      <c r="CW847" s="27" t="s">
        <v>8</v>
      </c>
      <c r="CX847" s="27" t="s">
        <v>7</v>
      </c>
      <c r="CY847" s="27" t="s">
        <v>8</v>
      </c>
      <c r="CZ847" s="27" t="s">
        <v>7</v>
      </c>
      <c r="DE847" s="27" t="s">
        <v>8</v>
      </c>
      <c r="DF847" s="27" t="s">
        <v>7</v>
      </c>
      <c r="DG847" s="27" t="s">
        <v>8</v>
      </c>
      <c r="DI847" s="27" t="s">
        <v>8</v>
      </c>
      <c r="DL847" s="27" t="s">
        <v>7</v>
      </c>
      <c r="DM847" s="27" t="s">
        <v>8</v>
      </c>
      <c r="DN847" s="27" t="s">
        <v>7</v>
      </c>
      <c r="DO847" s="27" t="s">
        <v>8</v>
      </c>
      <c r="DP847" s="27" t="s">
        <v>7</v>
      </c>
      <c r="DW847" s="27" t="s">
        <v>8</v>
      </c>
      <c r="DY847" s="27" t="s">
        <v>8</v>
      </c>
      <c r="DZ847" s="27" t="s">
        <v>7</v>
      </c>
      <c r="EK847" s="27" t="s">
        <v>8</v>
      </c>
      <c r="EZ847" s="27" t="s">
        <v>7</v>
      </c>
      <c r="FA847" s="27" t="s">
        <v>8</v>
      </c>
      <c r="FB847" s="27" t="s">
        <v>7</v>
      </c>
      <c r="FC847" s="27" t="s">
        <v>8</v>
      </c>
      <c r="FF847" s="27" t="s">
        <v>7</v>
      </c>
      <c r="FG847" s="27" t="s">
        <v>8</v>
      </c>
      <c r="FH847" s="27" t="s">
        <v>7</v>
      </c>
      <c r="GC847" s="27" t="s">
        <v>8</v>
      </c>
      <c r="GD847" s="27" t="s">
        <v>7</v>
      </c>
    </row>
    <row r="848" spans="1:191" x14ac:dyDescent="0.25">
      <c r="A848" s="7">
        <v>5.6931833443679353E-3</v>
      </c>
      <c r="B848"/>
      <c r="C848"/>
      <c r="D848"/>
      <c r="E848"/>
      <c r="CR848" s="27" t="s">
        <v>7</v>
      </c>
      <c r="CU848" s="27" t="s">
        <v>8</v>
      </c>
      <c r="CV848" s="27" t="s">
        <v>7</v>
      </c>
      <c r="CW848" s="27" t="s">
        <v>8</v>
      </c>
      <c r="CX848" s="27" t="s">
        <v>7</v>
      </c>
      <c r="CY848" s="27" t="s">
        <v>8</v>
      </c>
      <c r="CZ848" s="27" t="s">
        <v>7</v>
      </c>
      <c r="DE848" s="27" t="s">
        <v>8</v>
      </c>
      <c r="DF848" s="27" t="s">
        <v>7</v>
      </c>
      <c r="DG848" s="27" t="s">
        <v>8</v>
      </c>
      <c r="DH848" s="27" t="s">
        <v>7</v>
      </c>
      <c r="DI848" s="27" t="s">
        <v>8</v>
      </c>
      <c r="DL848" s="27" t="s">
        <v>7</v>
      </c>
      <c r="DN848" s="27" t="s">
        <v>7</v>
      </c>
      <c r="DO848" s="27" t="s">
        <v>8</v>
      </c>
      <c r="DP848" s="27" t="s">
        <v>7</v>
      </c>
      <c r="DW848" s="27" t="s">
        <v>8</v>
      </c>
      <c r="DX848" s="27" t="s">
        <v>7</v>
      </c>
      <c r="DY848" s="27" t="s">
        <v>8</v>
      </c>
      <c r="DZ848" s="27" t="s">
        <v>7</v>
      </c>
      <c r="EA848" s="27" t="s">
        <v>8</v>
      </c>
      <c r="EK848" s="27" t="s">
        <v>8</v>
      </c>
      <c r="EZ848" s="27" t="s">
        <v>7</v>
      </c>
      <c r="FA848" s="27" t="s">
        <v>8</v>
      </c>
      <c r="FB848" s="27" t="s">
        <v>7</v>
      </c>
      <c r="FF848" s="27" t="s">
        <v>7</v>
      </c>
      <c r="FG848" s="27" t="s">
        <v>8</v>
      </c>
      <c r="FH848" s="27" t="s">
        <v>7</v>
      </c>
      <c r="GC848" s="27" t="s">
        <v>8</v>
      </c>
    </row>
    <row r="849" spans="1:185" x14ac:dyDescent="0.25">
      <c r="A849" s="7">
        <v>5.5815522983999367E-3</v>
      </c>
      <c r="B849"/>
      <c r="C849"/>
      <c r="D849"/>
      <c r="E849"/>
      <c r="CR849" s="27" t="s">
        <v>7</v>
      </c>
      <c r="CU849" s="27" t="s">
        <v>8</v>
      </c>
      <c r="CV849" s="27" t="s">
        <v>7</v>
      </c>
      <c r="CX849" s="27" t="s">
        <v>7</v>
      </c>
      <c r="CZ849" s="27" t="s">
        <v>7</v>
      </c>
      <c r="DE849" s="27" t="s">
        <v>8</v>
      </c>
      <c r="DF849" s="27" t="s">
        <v>7</v>
      </c>
      <c r="DG849" s="27" t="s">
        <v>8</v>
      </c>
      <c r="DH849" s="27" t="s">
        <v>7</v>
      </c>
      <c r="DI849" s="27" t="s">
        <v>8</v>
      </c>
      <c r="DN849" s="27" t="s">
        <v>7</v>
      </c>
      <c r="DP849" s="27" t="s">
        <v>7</v>
      </c>
      <c r="DW849" s="27" t="s">
        <v>8</v>
      </c>
      <c r="DX849" s="27" t="s">
        <v>7</v>
      </c>
      <c r="DY849" s="27" t="s">
        <v>8</v>
      </c>
      <c r="DZ849" s="27" t="s">
        <v>7</v>
      </c>
      <c r="EA849" s="27" t="s">
        <v>8</v>
      </c>
      <c r="EB849" s="27" t="s">
        <v>7</v>
      </c>
      <c r="EC849" s="27" t="s">
        <v>8</v>
      </c>
      <c r="EK849" s="27" t="s">
        <v>8</v>
      </c>
      <c r="EZ849" s="27" t="s">
        <v>7</v>
      </c>
      <c r="FA849" s="27" t="s">
        <v>8</v>
      </c>
      <c r="FF849" s="27" t="s">
        <v>7</v>
      </c>
      <c r="FH849" s="27" t="s">
        <v>7</v>
      </c>
      <c r="GC849" s="27" t="s">
        <v>8</v>
      </c>
    </row>
    <row r="850" spans="1:185" x14ac:dyDescent="0.25">
      <c r="A850" s="7">
        <v>5.4721100964705257E-3</v>
      </c>
      <c r="B850"/>
      <c r="C850"/>
      <c r="D850"/>
      <c r="E850"/>
      <c r="CR850" s="27" t="s">
        <v>7</v>
      </c>
      <c r="CU850" s="27" t="s">
        <v>8</v>
      </c>
      <c r="CZ850" s="27" t="s">
        <v>7</v>
      </c>
      <c r="DE850" s="27" t="s">
        <v>8</v>
      </c>
      <c r="DF850" s="27" t="s">
        <v>7</v>
      </c>
      <c r="DH850" s="27" t="s">
        <v>7</v>
      </c>
      <c r="DI850" s="27" t="s">
        <v>8</v>
      </c>
      <c r="DP850" s="27" t="s">
        <v>7</v>
      </c>
      <c r="DU850" s="27" t="s">
        <v>8</v>
      </c>
      <c r="DW850" s="27" t="s">
        <v>8</v>
      </c>
      <c r="DX850" s="27" t="s">
        <v>7</v>
      </c>
      <c r="DY850" s="27" t="s">
        <v>8</v>
      </c>
      <c r="DZ850" s="27" t="s">
        <v>7</v>
      </c>
      <c r="EA850" s="27" t="s">
        <v>8</v>
      </c>
      <c r="EB850" s="27" t="s">
        <v>7</v>
      </c>
      <c r="EC850" s="27" t="s">
        <v>8</v>
      </c>
      <c r="ED850" s="27" t="s">
        <v>7</v>
      </c>
      <c r="EI850" s="27" t="s">
        <v>8</v>
      </c>
      <c r="EK850" s="27" t="s">
        <v>8</v>
      </c>
      <c r="EZ850" s="27" t="s">
        <v>7</v>
      </c>
      <c r="FA850" s="27" t="s">
        <v>8</v>
      </c>
      <c r="FH850" s="27" t="s">
        <v>7</v>
      </c>
      <c r="GC850" s="27" t="s">
        <v>8</v>
      </c>
    </row>
    <row r="851" spans="1:185" x14ac:dyDescent="0.25">
      <c r="A851" s="7">
        <v>5.3648138200691423E-3</v>
      </c>
      <c r="B851"/>
      <c r="C851"/>
      <c r="D851"/>
      <c r="E851"/>
      <c r="CR851" s="27" t="s">
        <v>7</v>
      </c>
      <c r="CU851" s="27" t="s">
        <v>8</v>
      </c>
      <c r="CZ851" s="27" t="s">
        <v>7</v>
      </c>
      <c r="DA851" s="27" t="s">
        <v>8</v>
      </c>
      <c r="DC851" s="27" t="s">
        <v>8</v>
      </c>
      <c r="DE851" s="27" t="s">
        <v>8</v>
      </c>
      <c r="DH851" s="27" t="s">
        <v>7</v>
      </c>
      <c r="DP851" s="27" t="s">
        <v>7</v>
      </c>
      <c r="DU851" s="27" t="s">
        <v>8</v>
      </c>
      <c r="DV851" s="27" t="s">
        <v>7</v>
      </c>
      <c r="DW851" s="27" t="s">
        <v>8</v>
      </c>
      <c r="DX851" s="27" t="s">
        <v>7</v>
      </c>
      <c r="DY851" s="27" t="s">
        <v>8</v>
      </c>
      <c r="DZ851" s="27" t="s">
        <v>7</v>
      </c>
      <c r="EB851" s="27" t="s">
        <v>7</v>
      </c>
      <c r="EC851" s="27" t="s">
        <v>8</v>
      </c>
      <c r="ED851" s="27" t="s">
        <v>7</v>
      </c>
      <c r="EI851" s="27" t="s">
        <v>8</v>
      </c>
      <c r="EJ851" s="27" t="s">
        <v>7</v>
      </c>
      <c r="EK851" s="27" t="s">
        <v>8</v>
      </c>
      <c r="EZ851" s="27" t="s">
        <v>7</v>
      </c>
      <c r="FH851" s="27" t="s">
        <v>7</v>
      </c>
      <c r="GC851" s="27" t="s">
        <v>8</v>
      </c>
    </row>
    <row r="852" spans="1:185" x14ac:dyDescent="0.25">
      <c r="A852" s="7">
        <v>5.2596213922246494E-3</v>
      </c>
      <c r="B852"/>
      <c r="C852"/>
      <c r="D852"/>
      <c r="E852"/>
      <c r="CR852" s="27" t="s">
        <v>7</v>
      </c>
      <c r="CS852" s="27" t="s">
        <v>8</v>
      </c>
      <c r="CU852" s="27" t="s">
        <v>8</v>
      </c>
      <c r="CZ852" s="27" t="s">
        <v>7</v>
      </c>
      <c r="DA852" s="27" t="s">
        <v>8</v>
      </c>
      <c r="DB852" s="27" t="s">
        <v>7</v>
      </c>
      <c r="DC852" s="27" t="s">
        <v>8</v>
      </c>
      <c r="DD852" s="27" t="s">
        <v>7</v>
      </c>
      <c r="DE852" s="27" t="s">
        <v>8</v>
      </c>
      <c r="DP852" s="27" t="s">
        <v>7</v>
      </c>
      <c r="DS852" s="27" t="s">
        <v>8</v>
      </c>
      <c r="DU852" s="27" t="s">
        <v>8</v>
      </c>
      <c r="DV852" s="27" t="s">
        <v>7</v>
      </c>
      <c r="DW852" s="27" t="s">
        <v>8</v>
      </c>
      <c r="DX852" s="27" t="s">
        <v>7</v>
      </c>
      <c r="EB852" s="27" t="s">
        <v>7</v>
      </c>
      <c r="ED852" s="27" t="s">
        <v>7</v>
      </c>
      <c r="EE852" s="27" t="s">
        <v>8</v>
      </c>
      <c r="EI852" s="27" t="s">
        <v>8</v>
      </c>
      <c r="EJ852" s="27" t="s">
        <v>7</v>
      </c>
      <c r="EK852" s="27" t="s">
        <v>8</v>
      </c>
      <c r="FH852" s="27" t="s">
        <v>7</v>
      </c>
      <c r="GA852" s="27" t="s">
        <v>8</v>
      </c>
      <c r="GC852" s="27" t="s">
        <v>8</v>
      </c>
    </row>
    <row r="853" spans="1:185" x14ac:dyDescent="0.25">
      <c r="A853" s="7">
        <v>5.1564915610045588E-3</v>
      </c>
      <c r="B853"/>
      <c r="C853"/>
      <c r="D853"/>
      <c r="E853"/>
      <c r="CR853" s="27" t="s">
        <v>7</v>
      </c>
      <c r="CS853" s="27" t="s">
        <v>8</v>
      </c>
      <c r="CT853" s="27" t="s">
        <v>7</v>
      </c>
      <c r="CU853" s="27" t="s">
        <v>8</v>
      </c>
      <c r="CZ853" s="27" t="s">
        <v>7</v>
      </c>
      <c r="DA853" s="27" t="s">
        <v>8</v>
      </c>
      <c r="DB853" s="27" t="s">
        <v>7</v>
      </c>
      <c r="DC853" s="27" t="s">
        <v>8</v>
      </c>
      <c r="DD853" s="27" t="s">
        <v>7</v>
      </c>
      <c r="DE853" s="27" t="s">
        <v>8</v>
      </c>
      <c r="DP853" s="27" t="s">
        <v>7</v>
      </c>
      <c r="DS853" s="27" t="s">
        <v>8</v>
      </c>
      <c r="DT853" s="27" t="s">
        <v>7</v>
      </c>
      <c r="DU853" s="27" t="s">
        <v>8</v>
      </c>
      <c r="DV853" s="27" t="s">
        <v>7</v>
      </c>
      <c r="DW853" s="27" t="s">
        <v>8</v>
      </c>
      <c r="ED853" s="27" t="s">
        <v>7</v>
      </c>
      <c r="EE853" s="27" t="s">
        <v>8</v>
      </c>
      <c r="EF853" s="27" t="s">
        <v>7</v>
      </c>
      <c r="EI853" s="27" t="s">
        <v>8</v>
      </c>
      <c r="EJ853" s="27" t="s">
        <v>7</v>
      </c>
      <c r="EK853" s="27" t="s">
        <v>8</v>
      </c>
      <c r="FH853" s="27" t="s">
        <v>7</v>
      </c>
      <c r="GA853" s="27" t="s">
        <v>8</v>
      </c>
      <c r="GB853" s="27" t="s">
        <v>7</v>
      </c>
      <c r="GC853" s="27" t="s">
        <v>8</v>
      </c>
    </row>
    <row r="854" spans="1:185" x14ac:dyDescent="0.25">
      <c r="A854" s="7">
        <v>5.0553838833378023E-3</v>
      </c>
      <c r="B854"/>
      <c r="C854"/>
      <c r="D854"/>
      <c r="E854"/>
      <c r="CR854" s="27" t="s">
        <v>7</v>
      </c>
      <c r="CS854" s="27" t="s">
        <v>8</v>
      </c>
      <c r="CT854" s="27" t="s">
        <v>7</v>
      </c>
      <c r="CU854" s="27" t="s">
        <v>8</v>
      </c>
      <c r="CZ854" s="27" t="s">
        <v>7</v>
      </c>
      <c r="DB854" s="27" t="s">
        <v>7</v>
      </c>
      <c r="DD854" s="27" t="s">
        <v>7</v>
      </c>
      <c r="DE854" s="27" t="s">
        <v>8</v>
      </c>
      <c r="DP854" s="27" t="s">
        <v>7</v>
      </c>
      <c r="DS854" s="27" t="s">
        <v>8</v>
      </c>
      <c r="DT854" s="27" t="s">
        <v>7</v>
      </c>
      <c r="DU854" s="27" t="s">
        <v>8</v>
      </c>
      <c r="DV854" s="27" t="s">
        <v>7</v>
      </c>
      <c r="DW854" s="27" t="s">
        <v>8</v>
      </c>
      <c r="ED854" s="27" t="s">
        <v>7</v>
      </c>
      <c r="EE854" s="27" t="s">
        <v>8</v>
      </c>
      <c r="EF854" s="27" t="s">
        <v>7</v>
      </c>
      <c r="EI854" s="27" t="s">
        <v>8</v>
      </c>
      <c r="EJ854" s="27" t="s">
        <v>7</v>
      </c>
      <c r="EK854" s="27" t="s">
        <v>8</v>
      </c>
      <c r="FH854" s="27" t="s">
        <v>7</v>
      </c>
      <c r="GA854" s="27" t="s">
        <v>8</v>
      </c>
      <c r="GB854" s="27" t="s">
        <v>7</v>
      </c>
      <c r="GC854" s="27" t="s">
        <v>8</v>
      </c>
    </row>
    <row r="855" spans="1:185" x14ac:dyDescent="0.25">
      <c r="A855" s="7">
        <v>4.9562587091547079E-3</v>
      </c>
      <c r="B855"/>
      <c r="C855"/>
      <c r="D855"/>
      <c r="E855"/>
      <c r="CR855" s="27" t="s">
        <v>7</v>
      </c>
      <c r="CS855" s="27" t="s">
        <v>8</v>
      </c>
      <c r="CT855" s="27" t="s">
        <v>7</v>
      </c>
      <c r="CU855" s="27" t="s">
        <v>8</v>
      </c>
      <c r="DD855" s="27" t="s">
        <v>7</v>
      </c>
      <c r="DE855" s="27" t="s">
        <v>8</v>
      </c>
      <c r="DP855" s="27" t="s">
        <v>7</v>
      </c>
      <c r="DQ855" s="27" t="s">
        <v>8</v>
      </c>
      <c r="DS855" s="27" t="s">
        <v>8</v>
      </c>
      <c r="DT855" s="27" t="s">
        <v>7</v>
      </c>
      <c r="DU855" s="27" t="s">
        <v>8</v>
      </c>
      <c r="DV855" s="27" t="s">
        <v>7</v>
      </c>
      <c r="ED855" s="27" t="s">
        <v>7</v>
      </c>
      <c r="EE855" s="27" t="s">
        <v>8</v>
      </c>
      <c r="EF855" s="27" t="s">
        <v>7</v>
      </c>
      <c r="EG855" s="27" t="s">
        <v>8</v>
      </c>
      <c r="EI855" s="27" t="s">
        <v>8</v>
      </c>
      <c r="EJ855" s="27" t="s">
        <v>7</v>
      </c>
      <c r="EK855" s="27" t="s">
        <v>8</v>
      </c>
      <c r="FH855" s="27" t="s">
        <v>7</v>
      </c>
      <c r="GA855" s="27" t="s">
        <v>8</v>
      </c>
      <c r="GB855" s="27" t="s">
        <v>7</v>
      </c>
      <c r="GC855" s="27" t="s">
        <v>8</v>
      </c>
    </row>
    <row r="856" spans="1:185" x14ac:dyDescent="0.25">
      <c r="A856" s="7">
        <v>4.8590771658379491E-3</v>
      </c>
      <c r="B856"/>
      <c r="C856"/>
      <c r="D856"/>
      <c r="E856"/>
      <c r="CR856" s="27" t="s">
        <v>7</v>
      </c>
      <c r="CS856" s="27" t="s">
        <v>8</v>
      </c>
      <c r="CT856" s="27" t="s">
        <v>7</v>
      </c>
      <c r="CU856" s="27" t="s">
        <v>8</v>
      </c>
      <c r="DD856" s="27" t="s">
        <v>7</v>
      </c>
      <c r="DE856" s="27" t="s">
        <v>8</v>
      </c>
      <c r="DP856" s="27" t="s">
        <v>7</v>
      </c>
      <c r="DQ856" s="27" t="s">
        <v>8</v>
      </c>
      <c r="DR856" s="27" t="s">
        <v>7</v>
      </c>
      <c r="DS856" s="27" t="s">
        <v>8</v>
      </c>
      <c r="DT856" s="27" t="s">
        <v>7</v>
      </c>
      <c r="DU856" s="27" t="s">
        <v>8</v>
      </c>
      <c r="ED856" s="27" t="s">
        <v>7</v>
      </c>
      <c r="EE856" s="27" t="s">
        <v>8</v>
      </c>
      <c r="EF856" s="27" t="s">
        <v>7</v>
      </c>
      <c r="EG856" s="27" t="s">
        <v>8</v>
      </c>
      <c r="EH856" s="27" t="s">
        <v>7</v>
      </c>
      <c r="EI856" s="27" t="s">
        <v>8</v>
      </c>
      <c r="EJ856" s="27" t="s">
        <v>7</v>
      </c>
      <c r="FH856" s="27" t="s">
        <v>7</v>
      </c>
      <c r="FU856" s="27" t="s">
        <v>8</v>
      </c>
      <c r="GA856" s="27" t="s">
        <v>8</v>
      </c>
      <c r="GB856" s="27" t="s">
        <v>7</v>
      </c>
    </row>
    <row r="857" spans="1:185" x14ac:dyDescent="0.25">
      <c r="A857" s="7">
        <v>4.7638011429783815E-3</v>
      </c>
      <c r="B857"/>
      <c r="C857"/>
      <c r="D857"/>
      <c r="E857"/>
      <c r="CR857" s="27" t="s">
        <v>7</v>
      </c>
      <c r="CS857" s="27" t="s">
        <v>8</v>
      </c>
      <c r="CT857" s="27" t="s">
        <v>7</v>
      </c>
      <c r="DD857" s="27" t="s">
        <v>7</v>
      </c>
      <c r="DE857" s="27" t="s">
        <v>8</v>
      </c>
      <c r="DP857" s="27" t="s">
        <v>7</v>
      </c>
      <c r="DQ857" s="27" t="s">
        <v>8</v>
      </c>
      <c r="DR857" s="27" t="s">
        <v>7</v>
      </c>
      <c r="DS857" s="27" t="s">
        <v>8</v>
      </c>
      <c r="DT857" s="27" t="s">
        <v>7</v>
      </c>
      <c r="ED857" s="27" t="s">
        <v>7</v>
      </c>
      <c r="EE857" s="27" t="s">
        <v>8</v>
      </c>
      <c r="EF857" s="27" t="s">
        <v>7</v>
      </c>
      <c r="EG857" s="27" t="s">
        <v>8</v>
      </c>
      <c r="EH857" s="27" t="s">
        <v>7</v>
      </c>
      <c r="EI857" s="27" t="s">
        <v>8</v>
      </c>
      <c r="FH857" s="27" t="s">
        <v>7</v>
      </c>
      <c r="FU857" s="27" t="s">
        <v>8</v>
      </c>
      <c r="FV857" s="27" t="s">
        <v>7</v>
      </c>
      <c r="GA857" s="27" t="s">
        <v>8</v>
      </c>
    </row>
    <row r="858" spans="1:185" x14ac:dyDescent="0.25">
      <c r="A858" s="7">
        <v>4.6703932774297859E-3</v>
      </c>
      <c r="B858"/>
      <c r="C858"/>
      <c r="D858"/>
      <c r="E858"/>
      <c r="CR858" s="27" t="s">
        <v>7</v>
      </c>
      <c r="CS858" s="27" t="s">
        <v>8</v>
      </c>
      <c r="DD858" s="27" t="s">
        <v>7</v>
      </c>
      <c r="DP858" s="27" t="s">
        <v>7</v>
      </c>
      <c r="DQ858" s="27" t="s">
        <v>8</v>
      </c>
      <c r="DR858" s="27" t="s">
        <v>7</v>
      </c>
      <c r="DS858" s="27" t="s">
        <v>8</v>
      </c>
      <c r="ED858" s="27" t="s">
        <v>7</v>
      </c>
      <c r="EE858" s="27" t="s">
        <v>8</v>
      </c>
      <c r="EF858" s="27" t="s">
        <v>7</v>
      </c>
      <c r="EG858" s="27" t="s">
        <v>8</v>
      </c>
      <c r="EH858" s="27" t="s">
        <v>7</v>
      </c>
      <c r="EI858" s="27" t="s">
        <v>8</v>
      </c>
      <c r="FH858" s="27" t="s">
        <v>7</v>
      </c>
      <c r="FU858" s="27" t="s">
        <v>8</v>
      </c>
      <c r="FV858" s="27" t="s">
        <v>7</v>
      </c>
      <c r="GA858" s="27" t="s">
        <v>8</v>
      </c>
    </row>
    <row r="859" spans="1:185" x14ac:dyDescent="0.25">
      <c r="A859" s="7">
        <v>4.5788169386566527E-3</v>
      </c>
      <c r="B859"/>
      <c r="C859"/>
      <c r="D859"/>
      <c r="E859"/>
      <c r="CR859" s="27" t="s">
        <v>7</v>
      </c>
      <c r="CS859" s="27" t="s">
        <v>8</v>
      </c>
      <c r="DP859" s="27" t="s">
        <v>7</v>
      </c>
      <c r="DQ859" s="27" t="s">
        <v>8</v>
      </c>
      <c r="DR859" s="27" t="s">
        <v>7</v>
      </c>
      <c r="DS859" s="27" t="s">
        <v>8</v>
      </c>
      <c r="ED859" s="27" t="s">
        <v>7</v>
      </c>
      <c r="EE859" s="27" t="s">
        <v>8</v>
      </c>
      <c r="EF859" s="27" t="s">
        <v>7</v>
      </c>
      <c r="EG859" s="27" t="s">
        <v>8</v>
      </c>
      <c r="EH859" s="27" t="s">
        <v>7</v>
      </c>
      <c r="FH859" s="27" t="s">
        <v>7</v>
      </c>
      <c r="FU859" s="27" t="s">
        <v>8</v>
      </c>
      <c r="FV859" s="27" t="s">
        <v>7</v>
      </c>
      <c r="GA859" s="27" t="s">
        <v>8</v>
      </c>
    </row>
    <row r="860" spans="1:185" x14ac:dyDescent="0.25">
      <c r="A860" s="7">
        <v>4.4890362143692672E-3</v>
      </c>
      <c r="B860"/>
      <c r="C860"/>
      <c r="D860"/>
      <c r="E860"/>
      <c r="CR860" s="27" t="s">
        <v>7</v>
      </c>
      <c r="DP860" s="27" t="s">
        <v>7</v>
      </c>
      <c r="DQ860" s="27" t="s">
        <v>8</v>
      </c>
      <c r="DR860" s="27" t="s">
        <v>7</v>
      </c>
      <c r="DS860" s="27" t="s">
        <v>8</v>
      </c>
      <c r="ED860" s="27" t="s">
        <v>7</v>
      </c>
      <c r="EE860" s="27" t="s">
        <v>8</v>
      </c>
      <c r="EF860" s="27" t="s">
        <v>7</v>
      </c>
      <c r="EG860" s="27" t="s">
        <v>8</v>
      </c>
      <c r="FH860" s="27" t="s">
        <v>7</v>
      </c>
      <c r="FM860" s="27" t="s">
        <v>8</v>
      </c>
      <c r="FU860" s="27" t="s">
        <v>8</v>
      </c>
      <c r="FV860" s="27" t="s">
        <v>7</v>
      </c>
      <c r="GA860" s="27" t="s">
        <v>8</v>
      </c>
    </row>
    <row r="861" spans="1:185" x14ac:dyDescent="0.25">
      <c r="A861" s="7">
        <v>4.4010158964404578E-3</v>
      </c>
      <c r="B861"/>
      <c r="C861"/>
      <c r="D861"/>
      <c r="E861"/>
      <c r="DP861" s="27" t="s">
        <v>7</v>
      </c>
      <c r="DQ861" s="27" t="s">
        <v>8</v>
      </c>
      <c r="DR861" s="27" t="s">
        <v>7</v>
      </c>
      <c r="DS861" s="27" t="s">
        <v>8</v>
      </c>
      <c r="ED861" s="27" t="s">
        <v>7</v>
      </c>
      <c r="EE861" s="27" t="s">
        <v>8</v>
      </c>
      <c r="EF861" s="27" t="s">
        <v>7</v>
      </c>
      <c r="EG861" s="27" t="s">
        <v>8</v>
      </c>
      <c r="FH861" s="27" t="s">
        <v>7</v>
      </c>
      <c r="FM861" s="27" t="s">
        <v>8</v>
      </c>
      <c r="FN861" s="27" t="s">
        <v>7</v>
      </c>
      <c r="FU861" s="27" t="s">
        <v>8</v>
      </c>
      <c r="FV861" s="27" t="s">
        <v>7</v>
      </c>
      <c r="FW861" s="27" t="s">
        <v>8</v>
      </c>
      <c r="FY861" s="27" t="s">
        <v>8</v>
      </c>
      <c r="GA861" s="27" t="s">
        <v>8</v>
      </c>
    </row>
    <row r="862" spans="1:185" x14ac:dyDescent="0.25">
      <c r="A862" s="7">
        <v>4.314721467098488E-3</v>
      </c>
      <c r="B862"/>
      <c r="C862"/>
      <c r="D862"/>
      <c r="E862"/>
      <c r="DP862" s="27" t="s">
        <v>7</v>
      </c>
      <c r="DR862" s="27" t="s">
        <v>7</v>
      </c>
      <c r="DS862" s="27" t="s">
        <v>8</v>
      </c>
      <c r="ED862" s="27" t="s">
        <v>7</v>
      </c>
      <c r="EF862" s="27" t="s">
        <v>7</v>
      </c>
      <c r="FH862" s="27" t="s">
        <v>7</v>
      </c>
      <c r="FM862" s="27" t="s">
        <v>8</v>
      </c>
      <c r="FN862" s="27" t="s">
        <v>7</v>
      </c>
      <c r="FU862" s="27" t="s">
        <v>8</v>
      </c>
      <c r="FV862" s="27" t="s">
        <v>7</v>
      </c>
      <c r="FW862" s="27" t="s">
        <v>8</v>
      </c>
      <c r="FX862" s="27" t="s">
        <v>7</v>
      </c>
      <c r="FY862" s="27" t="s">
        <v>8</v>
      </c>
      <c r="FZ862" s="27" t="s">
        <v>7</v>
      </c>
      <c r="GA862" s="27" t="s">
        <v>8</v>
      </c>
    </row>
    <row r="863" spans="1:185" x14ac:dyDescent="0.25">
      <c r="A863" s="7">
        <v>4.2301190853906746E-3</v>
      </c>
      <c r="B863"/>
      <c r="C863"/>
      <c r="D863"/>
      <c r="E863"/>
      <c r="DR863" s="27" t="s">
        <v>7</v>
      </c>
      <c r="FH863" s="27" t="s">
        <v>7</v>
      </c>
      <c r="FM863" s="27" t="s">
        <v>8</v>
      </c>
      <c r="FN863" s="27" t="s">
        <v>7</v>
      </c>
      <c r="FU863" s="27" t="s">
        <v>8</v>
      </c>
      <c r="FV863" s="27" t="s">
        <v>7</v>
      </c>
      <c r="FW863" s="27" t="s">
        <v>8</v>
      </c>
      <c r="FX863" s="27" t="s">
        <v>7</v>
      </c>
      <c r="FY863" s="27" t="s">
        <v>8</v>
      </c>
      <c r="FZ863" s="27" t="s">
        <v>7</v>
      </c>
      <c r="GA863" s="27" t="s">
        <v>8</v>
      </c>
    </row>
    <row r="864" spans="1:185" x14ac:dyDescent="0.25">
      <c r="A864" s="7">
        <v>4.1471755739124266E-3</v>
      </c>
      <c r="B864"/>
      <c r="C864"/>
      <c r="D864"/>
      <c r="E864"/>
      <c r="FH864" s="27" t="s">
        <v>7</v>
      </c>
      <c r="FM864" s="27" t="s">
        <v>8</v>
      </c>
      <c r="FN864" s="27" t="s">
        <v>7</v>
      </c>
      <c r="FS864" s="27" t="s">
        <v>8</v>
      </c>
      <c r="FU864" s="27" t="s">
        <v>8</v>
      </c>
      <c r="FV864" s="27" t="s">
        <v>7</v>
      </c>
      <c r="FX864" s="27" t="s">
        <v>7</v>
      </c>
      <c r="FY864" s="27" t="s">
        <v>8</v>
      </c>
      <c r="FZ864" s="27" t="s">
        <v>7</v>
      </c>
      <c r="GA864" s="27" t="s">
        <v>8</v>
      </c>
    </row>
    <row r="865" spans="1:182" x14ac:dyDescent="0.25">
      <c r="A865" s="7">
        <v>4.0658584057964966E-3</v>
      </c>
      <c r="B865"/>
      <c r="C865"/>
      <c r="D865"/>
      <c r="E865"/>
      <c r="FH865" s="27" t="s">
        <v>7</v>
      </c>
      <c r="FM865" s="27" t="s">
        <v>8</v>
      </c>
      <c r="FN865" s="27" t="s">
        <v>7</v>
      </c>
      <c r="FS865" s="27" t="s">
        <v>8</v>
      </c>
      <c r="FT865" s="27" t="s">
        <v>7</v>
      </c>
      <c r="FU865" s="27" t="s">
        <v>8</v>
      </c>
      <c r="FX865" s="27" t="s">
        <v>7</v>
      </c>
      <c r="FY865" s="27" t="s">
        <v>8</v>
      </c>
      <c r="FZ865" s="27" t="s">
        <v>7</v>
      </c>
    </row>
    <row r="866" spans="1:182" x14ac:dyDescent="0.25">
      <c r="A866" s="7">
        <v>3.9861356919573491E-3</v>
      </c>
      <c r="B866"/>
      <c r="C866"/>
      <c r="D866"/>
      <c r="E866"/>
      <c r="FH866" s="27" t="s">
        <v>7</v>
      </c>
      <c r="FM866" s="27" t="s">
        <v>8</v>
      </c>
      <c r="FN866" s="27" t="s">
        <v>7</v>
      </c>
      <c r="FO866" s="27" t="s">
        <v>8</v>
      </c>
      <c r="FS866" s="27" t="s">
        <v>8</v>
      </c>
      <c r="FT866" s="27" t="s">
        <v>7</v>
      </c>
      <c r="FU866" s="27" t="s">
        <v>8</v>
      </c>
      <c r="FX866" s="27" t="s">
        <v>7</v>
      </c>
      <c r="FY866" s="27" t="s">
        <v>8</v>
      </c>
    </row>
    <row r="867" spans="1:182" x14ac:dyDescent="0.25">
      <c r="A867" s="7">
        <v>3.9079761685856364E-3</v>
      </c>
      <c r="B867"/>
      <c r="C867"/>
      <c r="D867"/>
      <c r="E867"/>
      <c r="FH867" s="27" t="s">
        <v>7</v>
      </c>
      <c r="FI867" s="27" t="s">
        <v>8</v>
      </c>
      <c r="FM867" s="27" t="s">
        <v>8</v>
      </c>
      <c r="FN867" s="27" t="s">
        <v>7</v>
      </c>
      <c r="FO867" s="27" t="s">
        <v>8</v>
      </c>
      <c r="FP867" s="27" t="s">
        <v>7</v>
      </c>
      <c r="FQ867" s="27" t="s">
        <v>8</v>
      </c>
      <c r="FS867" s="27" t="s">
        <v>8</v>
      </c>
      <c r="FT867" s="27" t="s">
        <v>7</v>
      </c>
      <c r="FX867" s="27" t="s">
        <v>7</v>
      </c>
    </row>
    <row r="868" spans="1:182" x14ac:dyDescent="0.25">
      <c r="A868" s="7">
        <v>3.8313491848878793E-3</v>
      </c>
      <c r="B868"/>
      <c r="C868"/>
      <c r="D868"/>
      <c r="E868"/>
      <c r="FH868" s="27" t="s">
        <v>7</v>
      </c>
      <c r="FI868" s="27" t="s">
        <v>8</v>
      </c>
      <c r="FJ868" s="27" t="s">
        <v>7</v>
      </c>
      <c r="FM868" s="27" t="s">
        <v>8</v>
      </c>
      <c r="FN868" s="27" t="s">
        <v>7</v>
      </c>
      <c r="FO868" s="27" t="s">
        <v>8</v>
      </c>
      <c r="FP868" s="27" t="s">
        <v>7</v>
      </c>
      <c r="FQ868" s="27" t="s">
        <v>8</v>
      </c>
      <c r="FR868" s="27" t="s">
        <v>7</v>
      </c>
      <c r="FS868" s="27" t="s">
        <v>8</v>
      </c>
    </row>
    <row r="869" spans="1:182" x14ac:dyDescent="0.25">
      <c r="A869" s="7">
        <v>3.7562246910665485E-3</v>
      </c>
      <c r="B869"/>
      <c r="C869"/>
      <c r="D869"/>
      <c r="E869"/>
      <c r="FH869" s="27" t="s">
        <v>7</v>
      </c>
      <c r="FI869" s="27" t="s">
        <v>8</v>
      </c>
      <c r="FJ869" s="27" t="s">
        <v>7</v>
      </c>
      <c r="FK869" s="27" t="s">
        <v>8</v>
      </c>
      <c r="FM869" s="27" t="s">
        <v>8</v>
      </c>
      <c r="FN869" s="27" t="s">
        <v>7</v>
      </c>
      <c r="FO869" s="27" t="s">
        <v>8</v>
      </c>
      <c r="FP869" s="27" t="s">
        <v>7</v>
      </c>
      <c r="FQ869" s="27" t="s">
        <v>8</v>
      </c>
      <c r="FR869" s="27" t="s">
        <v>7</v>
      </c>
      <c r="FS869" s="27" t="s">
        <v>8</v>
      </c>
    </row>
    <row r="870" spans="1:182" x14ac:dyDescent="0.25">
      <c r="A870" s="7">
        <v>3.6825732265358315E-3</v>
      </c>
      <c r="B870"/>
      <c r="C870"/>
      <c r="D870"/>
      <c r="E870"/>
      <c r="FH870" s="27" t="s">
        <v>7</v>
      </c>
      <c r="FI870" s="27" t="s">
        <v>8</v>
      </c>
      <c r="FJ870" s="27" t="s">
        <v>7</v>
      </c>
      <c r="FK870" s="27" t="s">
        <v>8</v>
      </c>
      <c r="FL870" s="27" t="s">
        <v>7</v>
      </c>
      <c r="FM870" s="27" t="s">
        <v>8</v>
      </c>
      <c r="FN870" s="27" t="s">
        <v>7</v>
      </c>
      <c r="FO870" s="27" t="s">
        <v>8</v>
      </c>
      <c r="FP870" s="27" t="s">
        <v>7</v>
      </c>
      <c r="FR870" s="27" t="s">
        <v>7</v>
      </c>
      <c r="FS870" s="27" t="s">
        <v>8</v>
      </c>
    </row>
    <row r="871" spans="1:182" x14ac:dyDescent="0.25">
      <c r="A871" s="7">
        <v>3.6103659083684624E-3</v>
      </c>
      <c r="B871"/>
      <c r="C871"/>
      <c r="D871"/>
      <c r="E871"/>
      <c r="FH871" s="27" t="s">
        <v>7</v>
      </c>
      <c r="FI871" s="27" t="s">
        <v>8</v>
      </c>
      <c r="FJ871" s="27" t="s">
        <v>7</v>
      </c>
      <c r="FK871" s="27" t="s">
        <v>8</v>
      </c>
      <c r="FL871" s="27" t="s">
        <v>7</v>
      </c>
      <c r="FM871" s="27" t="s">
        <v>8</v>
      </c>
      <c r="FN871" s="27" t="s">
        <v>7</v>
      </c>
      <c r="FO871" s="27" t="s">
        <v>8</v>
      </c>
      <c r="FR871" s="27" t="s">
        <v>7</v>
      </c>
      <c r="FS871" s="27" t="s">
        <v>8</v>
      </c>
    </row>
    <row r="872" spans="1:182" x14ac:dyDescent="0.25">
      <c r="A872" s="7">
        <v>3.539574419969081E-3</v>
      </c>
      <c r="B872"/>
      <c r="C872"/>
      <c r="D872"/>
      <c r="E872"/>
      <c r="FH872" s="27" t="s">
        <v>7</v>
      </c>
      <c r="FI872" s="27" t="s">
        <v>8</v>
      </c>
      <c r="FJ872" s="27" t="s">
        <v>7</v>
      </c>
      <c r="FK872" s="27" t="s">
        <v>8</v>
      </c>
      <c r="FL872" s="27" t="s">
        <v>7</v>
      </c>
      <c r="FM872" s="27" t="s">
        <v>8</v>
      </c>
      <c r="FN872" s="27" t="s">
        <v>7</v>
      </c>
      <c r="FR872" s="27" t="s">
        <v>7</v>
      </c>
    </row>
    <row r="873" spans="1:182" x14ac:dyDescent="0.25">
      <c r="A873" s="7">
        <v>3.4701709999696872E-3</v>
      </c>
      <c r="B873"/>
      <c r="C873"/>
      <c r="D873"/>
      <c r="E873"/>
      <c r="FH873" s="27" t="s">
        <v>7</v>
      </c>
      <c r="FI873" s="27" t="s">
        <v>8</v>
      </c>
      <c r="FJ873" s="27" t="s">
        <v>7</v>
      </c>
      <c r="FK873" s="27" t="s">
        <v>8</v>
      </c>
      <c r="FL873" s="27" t="s">
        <v>7</v>
      </c>
      <c r="FM873" s="27" t="s">
        <v>8</v>
      </c>
    </row>
    <row r="874" spans="1:182" x14ac:dyDescent="0.25">
      <c r="A874" s="7">
        <v>3.4021284313428307E-3</v>
      </c>
      <c r="B874"/>
      <c r="C874"/>
      <c r="D874"/>
      <c r="E874"/>
      <c r="FH874" s="27" t="s">
        <v>7</v>
      </c>
      <c r="FI874" s="27" t="s">
        <v>8</v>
      </c>
      <c r="FJ874" s="27" t="s">
        <v>7</v>
      </c>
      <c r="FK874" s="27" t="s">
        <v>8</v>
      </c>
      <c r="FL874" s="27" t="s">
        <v>7</v>
      </c>
      <c r="FM874" s="27" t="s">
        <v>8</v>
      </c>
    </row>
    <row r="875" spans="1:182" x14ac:dyDescent="0.25">
      <c r="A875" s="7">
        <v>3.3354200307282654E-3</v>
      </c>
      <c r="B875"/>
      <c r="C875"/>
      <c r="D875"/>
      <c r="E875"/>
      <c r="FH875" s="27" t="s">
        <v>7</v>
      </c>
      <c r="FI875" s="27" t="s">
        <v>8</v>
      </c>
      <c r="FJ875" s="27" t="s">
        <v>7</v>
      </c>
      <c r="FK875" s="27" t="s">
        <v>8</v>
      </c>
      <c r="FL875" s="27" t="s">
        <v>7</v>
      </c>
      <c r="FM875" s="27" t="s">
        <v>8</v>
      </c>
    </row>
    <row r="876" spans="1:182" x14ac:dyDescent="0.25">
      <c r="A876" s="7">
        <v>3.2700196379688881E-3</v>
      </c>
      <c r="B876"/>
      <c r="C876"/>
      <c r="D876"/>
      <c r="E876"/>
      <c r="FH876" s="27" t="s">
        <v>7</v>
      </c>
      <c r="FI876" s="27" t="s">
        <v>8</v>
      </c>
      <c r="FJ876" s="27" t="s">
        <v>7</v>
      </c>
      <c r="FK876" s="27" t="s">
        <v>8</v>
      </c>
      <c r="FL876" s="27" t="s">
        <v>7</v>
      </c>
    </row>
    <row r="877" spans="1:182" x14ac:dyDescent="0.25">
      <c r="A877" s="7">
        <v>3.205901605851851E-3</v>
      </c>
      <c r="B877"/>
      <c r="C877"/>
      <c r="D877"/>
      <c r="E877"/>
      <c r="FH877" s="27" t="s">
        <v>7</v>
      </c>
      <c r="FI877" s="27" t="s">
        <v>8</v>
      </c>
      <c r="FJ877" s="27" t="s">
        <v>7</v>
      </c>
      <c r="FK877" s="27" t="s">
        <v>8</v>
      </c>
    </row>
    <row r="878" spans="1:182" x14ac:dyDescent="0.25">
      <c r="A878" s="7">
        <v>3.1430407900508344E-3</v>
      </c>
      <c r="B878"/>
      <c r="C878"/>
      <c r="D878"/>
      <c r="E878"/>
      <c r="FH878" s="27" t="s">
        <v>7</v>
      </c>
      <c r="FI878" s="27" t="s">
        <v>8</v>
      </c>
      <c r="FJ878" s="27" t="s">
        <v>7</v>
      </c>
      <c r="FK878" s="27" t="s">
        <v>8</v>
      </c>
    </row>
    <row r="879" spans="1:182" x14ac:dyDescent="0.25">
      <c r="A879" s="7">
        <v>3.0814125392655241E-3</v>
      </c>
      <c r="B879"/>
      <c r="C879"/>
      <c r="D879"/>
      <c r="E879"/>
      <c r="FH879" s="27" t="s">
        <v>7</v>
      </c>
      <c r="FI879" s="27" t="s">
        <v>8</v>
      </c>
      <c r="FJ879" s="27" t="s">
        <v>7</v>
      </c>
      <c r="FK879" s="27" t="s">
        <v>8</v>
      </c>
    </row>
    <row r="880" spans="1:182" x14ac:dyDescent="0.25">
      <c r="A880" s="7">
        <v>3.0209926855544354E-3</v>
      </c>
      <c r="B880"/>
      <c r="C880"/>
      <c r="D880"/>
      <c r="E880"/>
      <c r="FH880" s="27" t="s">
        <v>7</v>
      </c>
      <c r="FI880" s="27" t="s">
        <v>8</v>
      </c>
      <c r="FJ880" s="27" t="s">
        <v>7</v>
      </c>
      <c r="FK880" s="27" t="s">
        <v>8</v>
      </c>
    </row>
    <row r="881" spans="1:167" x14ac:dyDescent="0.25">
      <c r="A881" s="7">
        <v>2.9617575348572897E-3</v>
      </c>
      <c r="B881"/>
      <c r="C881"/>
      <c r="D881"/>
      <c r="E881"/>
      <c r="FH881" s="27" t="s">
        <v>7</v>
      </c>
      <c r="FI881" s="27" t="s">
        <v>8</v>
      </c>
      <c r="FJ881" s="27" t="s">
        <v>7</v>
      </c>
      <c r="FK881" s="27" t="s">
        <v>8</v>
      </c>
    </row>
    <row r="882" spans="1:167" x14ac:dyDescent="0.25">
      <c r="A882" s="7">
        <v>2.9036838577032251E-3</v>
      </c>
      <c r="B882"/>
      <c r="C882"/>
      <c r="D882"/>
      <c r="E882"/>
      <c r="FH882" s="27" t="s">
        <v>7</v>
      </c>
      <c r="FI882" s="27" t="s">
        <v>8</v>
      </c>
      <c r="FJ882" s="27" t="s">
        <v>7</v>
      </c>
    </row>
    <row r="883" spans="1:167" x14ac:dyDescent="0.25">
      <c r="A883" s="7">
        <v>2.8467488801012012E-3</v>
      </c>
      <c r="B883"/>
      <c r="C883"/>
      <c r="D883"/>
      <c r="E883"/>
      <c r="FH883" s="27" t="s">
        <v>7</v>
      </c>
      <c r="FI883" s="27" t="s">
        <v>8</v>
      </c>
    </row>
    <row r="884" spans="1:167" x14ac:dyDescent="0.25">
      <c r="A884" s="7">
        <v>2.7909302746090209E-3</v>
      </c>
      <c r="B884"/>
      <c r="C884"/>
      <c r="D884"/>
      <c r="E884"/>
      <c r="FH884" s="27" t="s">
        <v>7</v>
      </c>
      <c r="FI884" s="27" t="s">
        <v>8</v>
      </c>
    </row>
    <row r="885" spans="1:167" x14ac:dyDescent="0.25">
      <c r="A885" s="7">
        <v>2.7362061515774716E-3</v>
      </c>
      <c r="B885"/>
      <c r="C885"/>
      <c r="D885"/>
      <c r="E885"/>
      <c r="FH885" s="27" t="s">
        <v>7</v>
      </c>
      <c r="FI885" s="27" t="s">
        <v>8</v>
      </c>
    </row>
    <row r="886" spans="1:167" x14ac:dyDescent="0.25">
      <c r="A886" s="7">
        <v>2.6825550505661486E-3</v>
      </c>
      <c r="B886"/>
      <c r="C886"/>
      <c r="D886"/>
      <c r="E886"/>
      <c r="FH886" s="27" t="s">
        <v>7</v>
      </c>
      <c r="FI886" s="27" t="s">
        <v>8</v>
      </c>
    </row>
    <row r="887" spans="1:167" x14ac:dyDescent="0.25">
      <c r="A887" s="7">
        <v>2.6299559319275965E-3</v>
      </c>
      <c r="B887"/>
      <c r="C887"/>
      <c r="D887"/>
      <c r="E887"/>
      <c r="FH887" s="27" t="s">
        <v>7</v>
      </c>
      <c r="FI887" s="27" t="s">
        <v>8</v>
      </c>
    </row>
    <row r="888" spans="1:167" x14ac:dyDescent="0.25">
      <c r="A888" s="7">
        <v>2.578388168556467E-3</v>
      </c>
      <c r="B888"/>
      <c r="C888"/>
      <c r="D888"/>
      <c r="E888"/>
      <c r="FH888" s="27" t="s">
        <v>7</v>
      </c>
      <c r="FI888" s="27" t="s">
        <v>8</v>
      </c>
    </row>
    <row r="889" spans="1:167" x14ac:dyDescent="0.25">
      <c r="A889" s="7">
        <v>2.5278315378004577E-3</v>
      </c>
      <c r="B889"/>
      <c r="C889"/>
      <c r="D889"/>
      <c r="E889"/>
      <c r="FH889" s="27" t="s">
        <v>7</v>
      </c>
      <c r="FI889" s="27" t="s">
        <v>8</v>
      </c>
    </row>
    <row r="890" spans="1:167" x14ac:dyDescent="0.25">
      <c r="A890" s="7">
        <v>2.4782662135298603E-3</v>
      </c>
      <c r="B890"/>
      <c r="C890"/>
      <c r="D890"/>
      <c r="E890"/>
      <c r="FH890" s="27" t="s">
        <v>7</v>
      </c>
      <c r="FI890" s="27" t="s">
        <v>8</v>
      </c>
    </row>
    <row r="891" spans="1:167" x14ac:dyDescent="0.25">
      <c r="A891" s="7">
        <v>2.4296727583626083E-3</v>
      </c>
      <c r="B891"/>
      <c r="C891"/>
      <c r="D891"/>
      <c r="E891"/>
      <c r="FH891" s="27" t="s">
        <v>7</v>
      </c>
      <c r="FI891" s="27" t="s">
        <v>8</v>
      </c>
    </row>
    <row r="892" spans="1:167" x14ac:dyDescent="0.25">
      <c r="A892" s="7">
        <v>2.3820321160417726E-3</v>
      </c>
      <c r="B892"/>
      <c r="C892"/>
      <c r="D892"/>
      <c r="E892"/>
      <c r="FH892" s="27" t="s">
        <v>7</v>
      </c>
      <c r="FI892" s="27" t="s">
        <v>8</v>
      </c>
    </row>
    <row r="893" spans="1:167" x14ac:dyDescent="0.25">
      <c r="A893" s="7">
        <v>2.3353256039625224E-3</v>
      </c>
      <c r="B893"/>
      <c r="C893"/>
      <c r="D893"/>
      <c r="E893"/>
      <c r="FH893" s="27" t="s">
        <v>7</v>
      </c>
      <c r="FI893" s="27" t="s">
        <v>8</v>
      </c>
    </row>
    <row r="894" spans="1:167" x14ac:dyDescent="0.25">
      <c r="A894" s="7">
        <v>2.2895349058456101E-3</v>
      </c>
      <c r="B894"/>
      <c r="C894"/>
      <c r="D894"/>
      <c r="E894"/>
      <c r="FH894" s="27" t="s">
        <v>7</v>
      </c>
      <c r="FI894" s="27" t="s">
        <v>8</v>
      </c>
    </row>
    <row r="895" spans="1:167" x14ac:dyDescent="0.25">
      <c r="A895" s="7">
        <v>2.24464206455452E-3</v>
      </c>
      <c r="B895"/>
      <c r="C895"/>
      <c r="D895"/>
      <c r="E895"/>
      <c r="FH895" s="27" t="s">
        <v>7</v>
      </c>
    </row>
    <row r="896" spans="1:167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479" operator="equal">
      <formula>$U$1</formula>
    </cfRule>
    <cfRule type="cellIs" dxfId="89" priority="1480" operator="equal">
      <formula>$S$1</formula>
    </cfRule>
  </conditionalFormatting>
  <conditionalFormatting sqref="D27">
    <cfRule type="cellIs" dxfId="88" priority="1477" operator="equal">
      <formula>$S$1</formula>
    </cfRule>
    <cfRule type="cellIs" dxfId="87" priority="1478" operator="equal">
      <formula>$U$1</formula>
    </cfRule>
  </conditionalFormatting>
  <conditionalFormatting sqref="C164">
    <cfRule type="cellIs" dxfId="86" priority="1475" operator="equal">
      <formula>$U$1</formula>
    </cfRule>
    <cfRule type="cellIs" dxfId="85" priority="1476" operator="equal">
      <formula>$S$1</formula>
    </cfRule>
  </conditionalFormatting>
  <conditionalFormatting sqref="D164">
    <cfRule type="cellIs" dxfId="84" priority="1473" operator="equal">
      <formula>$S$1</formula>
    </cfRule>
    <cfRule type="cellIs" dxfId="83" priority="1474" operator="equal">
      <formula>$U$1</formula>
    </cfRule>
  </conditionalFormatting>
  <conditionalFormatting sqref="C55">
    <cfRule type="cellIs" dxfId="82" priority="1471" operator="equal">
      <formula>$U$1</formula>
    </cfRule>
    <cfRule type="cellIs" dxfId="81" priority="1472" operator="equal">
      <formula>$S$1</formula>
    </cfRule>
  </conditionalFormatting>
  <conditionalFormatting sqref="D55">
    <cfRule type="cellIs" dxfId="80" priority="1469" operator="equal">
      <formula>$S$1</formula>
    </cfRule>
    <cfRule type="cellIs" dxfId="79" priority="1470" operator="equal">
      <formula>$U$1</formula>
    </cfRule>
  </conditionalFormatting>
  <conditionalFormatting sqref="C89">
    <cfRule type="cellIs" dxfId="78" priority="1467" operator="equal">
      <formula>$U$1</formula>
    </cfRule>
    <cfRule type="cellIs" dxfId="77" priority="1468" operator="equal">
      <formula>$S$1</formula>
    </cfRule>
  </conditionalFormatting>
  <conditionalFormatting sqref="D89">
    <cfRule type="cellIs" dxfId="76" priority="1465" operator="equal">
      <formula>$S$1</formula>
    </cfRule>
    <cfRule type="cellIs" dxfId="75" priority="1466" operator="equal">
      <formula>$U$1</formula>
    </cfRule>
  </conditionalFormatting>
  <conditionalFormatting sqref="C136">
    <cfRule type="cellIs" dxfId="74" priority="1463" operator="equal">
      <formula>$U$1</formula>
    </cfRule>
    <cfRule type="cellIs" dxfId="73" priority="1464" operator="equal">
      <formula>$S$1</formula>
    </cfRule>
  </conditionalFormatting>
  <conditionalFormatting sqref="D136">
    <cfRule type="cellIs" dxfId="72" priority="1461" operator="equal">
      <formula>$S$1</formula>
    </cfRule>
    <cfRule type="cellIs" dxfId="71" priority="1462" operator="equal">
      <formula>$U$1</formula>
    </cfRule>
  </conditionalFormatting>
  <conditionalFormatting sqref="C1">
    <cfRule type="cellIs" dxfId="70" priority="1460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75"/>
  <sheetViews>
    <sheetView topLeftCell="A335" zoomScale="90" zoomScaleNormal="90" workbookViewId="0">
      <pane xSplit="4" topLeftCell="EP1" activePane="topRight" state="frozen"/>
      <selection activeCell="A109" sqref="A109"/>
      <selection pane="topRight" activeCell="GM371" sqref="GM371"/>
    </sheetView>
  </sheetViews>
  <sheetFormatPr defaultRowHeight="15" x14ac:dyDescent="0.25"/>
  <cols>
    <col min="1" max="1" width="12.5703125" style="30" customWidth="1"/>
    <col min="2" max="5" width="10.7109375" style="1" hidden="1" customWidth="1"/>
    <col min="6" max="7" width="10.7109375" style="27" hidden="1" customWidth="1"/>
    <col min="8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1">
        <v>2632434.7683733804</v>
      </c>
    </row>
    <row r="6" spans="1:21" x14ac:dyDescent="0.25">
      <c r="A6" s="31">
        <v>2507080.7317841719</v>
      </c>
    </row>
    <row r="7" spans="1:21" x14ac:dyDescent="0.25">
      <c r="A7" s="31">
        <v>2387695.9350325447</v>
      </c>
    </row>
    <row r="8" spans="1:21" x14ac:dyDescent="0.25">
      <c r="A8" s="31">
        <v>2273996.1286024232</v>
      </c>
    </row>
    <row r="9" spans="1:21" x14ac:dyDescent="0.25">
      <c r="A9" s="31">
        <v>2165710.5986689744</v>
      </c>
    </row>
    <row r="10" spans="1:21" x14ac:dyDescent="0.25">
      <c r="A10" s="31">
        <v>2062581.5225418801</v>
      </c>
    </row>
    <row r="11" spans="1:21" x14ac:dyDescent="0.25">
      <c r="A11" s="31">
        <v>1964363.3548017906</v>
      </c>
    </row>
    <row r="12" spans="1:21" x14ac:dyDescent="0.25">
      <c r="A12" s="31">
        <v>1870822.2426683719</v>
      </c>
    </row>
    <row r="13" spans="1:21" x14ac:dyDescent="0.25">
      <c r="A13" s="31">
        <v>1781735.4692079732</v>
      </c>
    </row>
    <row r="14" spans="1:21" x14ac:dyDescent="0.25">
      <c r="A14" s="31">
        <v>1696890.9230552125</v>
      </c>
    </row>
    <row r="15" spans="1:21" x14ac:dyDescent="0.25">
      <c r="A15" s="31">
        <v>1616086.5933859167</v>
      </c>
    </row>
    <row r="16" spans="1:21" x14ac:dyDescent="0.25">
      <c r="A16" s="31">
        <v>1539130.0889389683</v>
      </c>
    </row>
    <row r="17" spans="1:7" x14ac:dyDescent="0.25">
      <c r="A17" s="31">
        <v>1465838.1799418745</v>
      </c>
    </row>
    <row r="18" spans="1:7" x14ac:dyDescent="0.25">
      <c r="A18" s="31">
        <v>1396036.3618494042</v>
      </c>
    </row>
    <row r="19" spans="1:7" x14ac:dyDescent="0.25">
      <c r="A19" s="31">
        <v>1329558.4398565753</v>
      </c>
    </row>
    <row r="20" spans="1:7" x14ac:dyDescent="0.25">
      <c r="A20" s="31">
        <v>1266246.1331967383</v>
      </c>
    </row>
    <row r="21" spans="1:7" x14ac:dyDescent="0.25">
      <c r="A21" s="31">
        <v>1205948.6982826078</v>
      </c>
      <c r="C21" s="1" t="s">
        <v>15</v>
      </c>
      <c r="G21" s="11"/>
    </row>
    <row r="22" spans="1:7" x14ac:dyDescent="0.25">
      <c r="A22" s="31">
        <v>1148522.5697929598</v>
      </c>
      <c r="C22" s="7">
        <v>0.11686133436193799</v>
      </c>
      <c r="D22"/>
    </row>
    <row r="23" spans="1:7" x14ac:dyDescent="0.25">
      <c r="A23" s="31">
        <v>1093831.0188504378</v>
      </c>
    </row>
    <row r="24" spans="1:7" x14ac:dyDescent="0.25">
      <c r="A24" s="31">
        <v>1041743.8274766075</v>
      </c>
      <c r="C24" s="1" t="s">
        <v>11</v>
      </c>
      <c r="D24" s="1" t="s">
        <v>12</v>
      </c>
    </row>
    <row r="25" spans="1:7" x14ac:dyDescent="0.25">
      <c r="A25" s="31">
        <v>992136.97854914994</v>
      </c>
      <c r="C25"/>
      <c r="D25"/>
    </row>
    <row r="26" spans="1:7" x14ac:dyDescent="0.25">
      <c r="A26" s="31">
        <v>944892.36052299989</v>
      </c>
    </row>
    <row r="27" spans="1:7" x14ac:dyDescent="0.25">
      <c r="A27" s="31">
        <v>899897.48621238081</v>
      </c>
      <c r="C27" s="1" t="s">
        <v>13</v>
      </c>
    </row>
    <row r="28" spans="1:7" x14ac:dyDescent="0.25">
      <c r="A28" s="31">
        <v>857045.22496417211</v>
      </c>
      <c r="C28" s="1">
        <f>C17</f>
        <v>0</v>
      </c>
    </row>
    <row r="29" spans="1:7" x14ac:dyDescent="0.25">
      <c r="A29" s="31">
        <v>816233.54758492578</v>
      </c>
      <c r="C29"/>
    </row>
    <row r="30" spans="1:7" x14ac:dyDescent="0.25">
      <c r="A30" s="31">
        <v>777365.28341421497</v>
      </c>
      <c r="C30" s="1" t="s">
        <v>14</v>
      </c>
    </row>
    <row r="31" spans="1:7" x14ac:dyDescent="0.25">
      <c r="A31" s="31">
        <v>740347.88896591903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1">
        <v>705093.22758658952</v>
      </c>
    </row>
    <row r="33" spans="1:5" x14ac:dyDescent="0.25">
      <c r="A33" s="31">
        <v>671517.35960627568</v>
      </c>
      <c r="E33"/>
    </row>
    <row r="34" spans="1:5" x14ac:dyDescent="0.25">
      <c r="A34" s="31">
        <v>639540.3424821673</v>
      </c>
      <c r="E34"/>
    </row>
    <row r="35" spans="1:5" x14ac:dyDescent="0.25">
      <c r="A35" s="31">
        <v>609086.04045920691</v>
      </c>
      <c r="E35"/>
    </row>
    <row r="36" spans="1:5" x14ac:dyDescent="0.25">
      <c r="A36" s="31">
        <v>580081.94329448277</v>
      </c>
      <c r="E36"/>
    </row>
    <row r="37" spans="1:5" x14ac:dyDescent="0.25">
      <c r="A37" s="31">
        <v>552458.99361379305</v>
      </c>
      <c r="E37"/>
    </row>
    <row r="38" spans="1:5" x14ac:dyDescent="0.25">
      <c r="A38" s="31">
        <v>526151.42248932668</v>
      </c>
      <c r="E38"/>
    </row>
    <row r="39" spans="1:5" x14ac:dyDescent="0.25">
      <c r="A39" s="31">
        <v>501096.59284697776</v>
      </c>
      <c r="E39"/>
    </row>
    <row r="40" spans="1:5" x14ac:dyDescent="0.25">
      <c r="A40" s="31">
        <v>477234.850330455</v>
      </c>
      <c r="E40"/>
    </row>
    <row r="41" spans="1:5" x14ac:dyDescent="0.25">
      <c r="A41" s="31">
        <v>454509.38126709999</v>
      </c>
      <c r="E41"/>
    </row>
    <row r="42" spans="1:5" x14ac:dyDescent="0.25">
      <c r="A42" s="31">
        <v>432866.07739723806</v>
      </c>
      <c r="E42"/>
    </row>
    <row r="43" spans="1:5" x14ac:dyDescent="0.25">
      <c r="A43" s="31">
        <v>412253.40704498859</v>
      </c>
      <c r="E43"/>
    </row>
    <row r="44" spans="1:5" x14ac:dyDescent="0.25">
      <c r="A44" s="31">
        <v>392622.29242379864</v>
      </c>
      <c r="E44"/>
    </row>
    <row r="45" spans="1:5" x14ac:dyDescent="0.25">
      <c r="A45" s="31">
        <v>373925.99278457015</v>
      </c>
      <c r="E45"/>
    </row>
    <row r="46" spans="1:5" x14ac:dyDescent="0.25">
      <c r="A46" s="31">
        <v>356119.99312816205</v>
      </c>
      <c r="C46" s="1" t="s">
        <v>15</v>
      </c>
      <c r="E46"/>
    </row>
    <row r="47" spans="1:5" x14ac:dyDescent="0.25">
      <c r="A47" s="31">
        <v>339161.89821729716</v>
      </c>
      <c r="C47" s="7">
        <v>0.11686133436193799</v>
      </c>
      <c r="D47"/>
      <c r="E47"/>
    </row>
    <row r="48" spans="1:5" x14ac:dyDescent="0.25">
      <c r="A48" s="31">
        <v>323011.33163552108</v>
      </c>
      <c r="E48"/>
    </row>
    <row r="49" spans="1:5" x14ac:dyDescent="0.25">
      <c r="A49" s="31">
        <v>307629.83965287718</v>
      </c>
      <c r="C49" s="1" t="s">
        <v>11</v>
      </c>
      <c r="D49" s="1" t="s">
        <v>12</v>
      </c>
      <c r="E49"/>
    </row>
    <row r="50" spans="1:5" x14ac:dyDescent="0.25">
      <c r="A50" s="31">
        <v>292980.79966940684</v>
      </c>
      <c r="C50"/>
      <c r="D50"/>
      <c r="E50"/>
    </row>
    <row r="51" spans="1:5" x14ac:dyDescent="0.25">
      <c r="A51" s="31">
        <v>279029.33301848272</v>
      </c>
      <c r="E51"/>
    </row>
    <row r="52" spans="1:5" x14ac:dyDescent="0.25">
      <c r="A52" s="31">
        <v>265742.22192236449</v>
      </c>
      <c r="C52" s="1" t="s">
        <v>13</v>
      </c>
      <c r="E52"/>
    </row>
    <row r="53" spans="1:5" x14ac:dyDescent="0.25">
      <c r="A53" s="31">
        <v>253087.83040225189</v>
      </c>
      <c r="C53" s="1">
        <f>C42</f>
        <v>0</v>
      </c>
      <c r="E53"/>
    </row>
    <row r="54" spans="1:5" x14ac:dyDescent="0.25">
      <c r="A54" s="31">
        <v>241036.02895452559</v>
      </c>
      <c r="C54"/>
      <c r="E54"/>
    </row>
    <row r="55" spans="1:5" x14ac:dyDescent="0.25">
      <c r="A55" s="31">
        <v>229558.12281383388</v>
      </c>
      <c r="C55" s="1" t="s">
        <v>14</v>
      </c>
      <c r="E55"/>
    </row>
    <row r="56" spans="1:5" x14ac:dyDescent="0.25">
      <c r="A56" s="31">
        <v>218626.78363222274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1">
        <v>208215.9844116407</v>
      </c>
      <c r="E57"/>
    </row>
    <row r="58" spans="1:5" x14ac:dyDescent="0.25">
      <c r="A58" s="31">
        <v>198300.9375348959</v>
      </c>
      <c r="E58"/>
    </row>
    <row r="59" spans="1:5" x14ac:dyDescent="0.25">
      <c r="A59" s="31">
        <v>188858.0357475199</v>
      </c>
      <c r="E59"/>
    </row>
    <row r="60" spans="1:5" x14ac:dyDescent="0.25">
      <c r="A60" s="31">
        <v>179864.79595001895</v>
      </c>
      <c r="E60"/>
    </row>
    <row r="61" spans="1:5" x14ac:dyDescent="0.25">
      <c r="A61" s="31">
        <v>171299.8056666847</v>
      </c>
      <c r="E61"/>
    </row>
    <row r="62" spans="1:5" x14ac:dyDescent="0.25">
      <c r="A62" s="31">
        <v>163142.67206350924</v>
      </c>
      <c r="E62"/>
    </row>
    <row r="63" spans="1:5" x14ac:dyDescent="0.25">
      <c r="A63" s="31">
        <v>155373.97339381831</v>
      </c>
      <c r="E63"/>
    </row>
    <row r="64" spans="1:5" x14ac:dyDescent="0.25">
      <c r="A64" s="31">
        <v>147975.21275601743</v>
      </c>
      <c r="E64"/>
    </row>
    <row r="65" spans="1:5" x14ac:dyDescent="0.25">
      <c r="A65" s="31">
        <v>140928.77405334992</v>
      </c>
      <c r="E65"/>
    </row>
    <row r="66" spans="1:5" x14ac:dyDescent="0.25">
      <c r="A66" s="31">
        <v>134217.88005080944</v>
      </c>
      <c r="E66"/>
    </row>
    <row r="67" spans="1:5" x14ac:dyDescent="0.25">
      <c r="A67" s="31">
        <v>127826.55242934231</v>
      </c>
      <c r="E67"/>
    </row>
    <row r="68" spans="1:5" x14ac:dyDescent="0.25">
      <c r="A68" s="31">
        <v>121739.57374223076</v>
      </c>
      <c r="E68"/>
    </row>
    <row r="69" spans="1:5" x14ac:dyDescent="0.25">
      <c r="A69" s="31">
        <v>115942.4511830769</v>
      </c>
      <c r="E69"/>
    </row>
    <row r="70" spans="1:5" x14ac:dyDescent="0.25">
      <c r="A70" s="31">
        <v>110421.38207912086</v>
      </c>
      <c r="E70"/>
    </row>
    <row r="71" spans="1:5" x14ac:dyDescent="0.25">
      <c r="A71" s="31">
        <v>105163.22102773415</v>
      </c>
      <c r="C71" s="1" t="s">
        <v>15</v>
      </c>
      <c r="E71"/>
    </row>
    <row r="72" spans="1:5" x14ac:dyDescent="0.25">
      <c r="A72" s="30">
        <v>100155.44859784204</v>
      </c>
      <c r="C72" s="7">
        <v>0.11686133436193799</v>
      </c>
      <c r="D72"/>
      <c r="E72"/>
    </row>
    <row r="73" spans="1:5" x14ac:dyDescent="0.25">
      <c r="A73" s="30">
        <v>95386.141521754325</v>
      </c>
      <c r="E73"/>
    </row>
    <row r="74" spans="1:5" x14ac:dyDescent="0.25">
      <c r="A74" s="30">
        <v>90843.944306432692</v>
      </c>
      <c r="C74" s="1" t="s">
        <v>11</v>
      </c>
      <c r="D74" s="1" t="s">
        <v>12</v>
      </c>
      <c r="E74"/>
    </row>
    <row r="75" spans="1:5" x14ac:dyDescent="0.25">
      <c r="A75" s="30">
        <v>86518.042196602561</v>
      </c>
      <c r="C75"/>
      <c r="D75"/>
      <c r="E75"/>
    </row>
    <row r="76" spans="1:5" x14ac:dyDescent="0.25">
      <c r="A76" s="30">
        <v>82398.135425335771</v>
      </c>
      <c r="E76"/>
    </row>
    <row r="77" spans="1:5" x14ac:dyDescent="0.25">
      <c r="A77" s="30">
        <v>78474.414690795966</v>
      </c>
      <c r="C77" s="1" t="s">
        <v>13</v>
      </c>
      <c r="E77"/>
    </row>
    <row r="78" spans="1:5" x14ac:dyDescent="0.25">
      <c r="A78" s="30">
        <v>74737.537800758058</v>
      </c>
      <c r="C78" s="1">
        <f>C67</f>
        <v>0</v>
      </c>
      <c r="E78"/>
    </row>
    <row r="79" spans="1:5" x14ac:dyDescent="0.25">
      <c r="A79" s="30">
        <v>71178.607429293392</v>
      </c>
      <c r="C79"/>
      <c r="E79"/>
    </row>
    <row r="80" spans="1:5" x14ac:dyDescent="0.25">
      <c r="A80" s="30">
        <v>67789.149932660366</v>
      </c>
      <c r="C80" s="1" t="s">
        <v>14</v>
      </c>
      <c r="E80"/>
    </row>
    <row r="81" spans="1:5" x14ac:dyDescent="0.25">
      <c r="A81" s="30">
        <v>64561.095173962254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61486.757308535474</v>
      </c>
      <c r="E82"/>
    </row>
    <row r="83" spans="1:5" x14ac:dyDescent="0.25">
      <c r="A83" s="30">
        <v>58558.816484319497</v>
      </c>
      <c r="E83"/>
    </row>
    <row r="84" spans="1:5" x14ac:dyDescent="0.25">
      <c r="A84" s="30">
        <v>55770.301413637615</v>
      </c>
      <c r="E84"/>
    </row>
    <row r="85" spans="1:5" x14ac:dyDescent="0.25">
      <c r="A85" s="30">
        <v>53114.572774892964</v>
      </c>
      <c r="E85"/>
    </row>
    <row r="86" spans="1:5" x14ac:dyDescent="0.25">
      <c r="A86" s="30">
        <v>50585.307404659965</v>
      </c>
      <c r="E86"/>
    </row>
    <row r="87" spans="1:5" x14ac:dyDescent="0.25">
      <c r="A87" s="30">
        <v>48176.483242533301</v>
      </c>
      <c r="E87"/>
    </row>
    <row r="88" spans="1:5" x14ac:dyDescent="0.25">
      <c r="A88" s="30">
        <v>45882.364992888855</v>
      </c>
      <c r="E88"/>
    </row>
    <row r="89" spans="1:5" x14ac:dyDescent="0.25">
      <c r="A89" s="30">
        <v>43697.490469417957</v>
      </c>
      <c r="E89"/>
    </row>
    <row r="90" spans="1:5" x14ac:dyDescent="0.25">
      <c r="A90" s="30">
        <v>41616.657589921859</v>
      </c>
      <c r="E90"/>
    </row>
    <row r="91" spans="1:5" x14ac:dyDescent="0.25">
      <c r="A91" s="30">
        <v>39634.911990401772</v>
      </c>
      <c r="E91"/>
    </row>
    <row r="92" spans="1:5" x14ac:dyDescent="0.25">
      <c r="A92" s="30">
        <v>37747.535228954068</v>
      </c>
      <c r="E92"/>
    </row>
    <row r="93" spans="1:5" x14ac:dyDescent="0.25">
      <c r="A93" s="30">
        <v>35950.033551384826</v>
      </c>
      <c r="E93"/>
    </row>
    <row r="94" spans="1:5" x14ac:dyDescent="0.25">
      <c r="A94" s="30">
        <v>34238.127191795073</v>
      </c>
      <c r="E94"/>
    </row>
    <row r="95" spans="1:5" x14ac:dyDescent="0.25">
      <c r="A95" s="30">
        <v>32607.740182661972</v>
      </c>
      <c r="E95"/>
    </row>
    <row r="96" spans="1:5" x14ac:dyDescent="0.25">
      <c r="A96" s="30">
        <v>31054.990650154257</v>
      </c>
      <c r="C96" s="1" t="s">
        <v>15</v>
      </c>
      <c r="E96"/>
    </row>
    <row r="97" spans="1:5" x14ac:dyDescent="0.25">
      <c r="A97" s="30">
        <v>29576.181571575482</v>
      </c>
      <c r="C97" s="7">
        <v>0.11686133436193799</v>
      </c>
      <c r="D97"/>
      <c r="E97"/>
    </row>
    <row r="98" spans="1:5" x14ac:dyDescent="0.25">
      <c r="A98" s="30">
        <v>28167.79197292903</v>
      </c>
      <c r="E98"/>
    </row>
    <row r="99" spans="1:5" x14ac:dyDescent="0.25">
      <c r="A99" s="30">
        <v>26826.468545646694</v>
      </c>
      <c r="C99" s="1" t="s">
        <v>11</v>
      </c>
      <c r="D99" s="1" t="s">
        <v>12</v>
      </c>
      <c r="E99"/>
    </row>
    <row r="100" spans="1:5" x14ac:dyDescent="0.25">
      <c r="A100" s="30">
        <v>25549.017662520659</v>
      </c>
      <c r="C100"/>
      <c r="D100"/>
      <c r="E100"/>
    </row>
    <row r="101" spans="1:5" x14ac:dyDescent="0.25">
      <c r="A101" s="30">
        <v>24332.397773829198</v>
      </c>
      <c r="E101"/>
    </row>
    <row r="102" spans="1:5" x14ac:dyDescent="0.25">
      <c r="A102" s="30">
        <v>23173.712165551617</v>
      </c>
      <c r="C102" s="1" t="s">
        <v>13</v>
      </c>
      <c r="E102"/>
    </row>
    <row r="103" spans="1:5" x14ac:dyDescent="0.25">
      <c r="A103" s="30">
        <v>22070.202062430111</v>
      </c>
      <c r="C103" s="1">
        <f>C92</f>
        <v>0</v>
      </c>
      <c r="E103"/>
    </row>
    <row r="104" spans="1:5" x14ac:dyDescent="0.25">
      <c r="A104" s="30">
        <v>21019.240059457246</v>
      </c>
      <c r="C104"/>
      <c r="E104"/>
    </row>
    <row r="105" spans="1:5" x14ac:dyDescent="0.25">
      <c r="A105" s="30">
        <v>20018.323866149756</v>
      </c>
      <c r="C105" s="1" t="s">
        <v>14</v>
      </c>
      <c r="E105"/>
    </row>
    <row r="106" spans="1:5" x14ac:dyDescent="0.25">
      <c r="A106" s="30">
        <v>19065.070348714053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18157.209855918143</v>
      </c>
      <c r="E107"/>
    </row>
    <row r="108" spans="1:5" x14ac:dyDescent="0.25">
      <c r="A108" s="30">
        <v>17292.580815160134</v>
      </c>
      <c r="E108"/>
    </row>
    <row r="109" spans="1:5" x14ac:dyDescent="0.25">
      <c r="A109" s="30">
        <v>16469.124585866793</v>
      </c>
      <c r="E109"/>
    </row>
    <row r="110" spans="1:5" x14ac:dyDescent="0.25">
      <c r="A110" s="30">
        <v>15684.880557968376</v>
      </c>
      <c r="E110"/>
    </row>
    <row r="111" spans="1:5" x14ac:dyDescent="0.25">
      <c r="A111" s="30">
        <v>14937.981483779406</v>
      </c>
      <c r="C111" s="1" t="str">
        <f>ADDRESS(C121-1,1,1,1)</f>
        <v>$A$370</v>
      </c>
      <c r="D111" s="1" t="str">
        <f>ADDRESS(C121-1,D121,1,1)</f>
        <v>$GM$370</v>
      </c>
      <c r="E111"/>
    </row>
    <row r="112" spans="1:5" x14ac:dyDescent="0.25">
      <c r="A112" s="30">
        <v>14226.649032170862</v>
      </c>
      <c r="C112" s="1" t="str">
        <f>ADDRESS(C121,1,1,1)</f>
        <v>$A$371</v>
      </c>
      <c r="D112" s="1" t="str">
        <f>ADDRESS(C121,D121-1,1,1)</f>
        <v>$GL$371</v>
      </c>
      <c r="E112"/>
    </row>
    <row r="113" spans="1:5" x14ac:dyDescent="0.25">
      <c r="A113" s="30">
        <v>13549.18955444844</v>
      </c>
      <c r="C113" s="1" t="str">
        <f>ADDRESS(C121+1,1,1,1)</f>
        <v>$A$372</v>
      </c>
      <c r="D113" s="1" t="str">
        <f>ADDRESS(C121-1,D121+1,1,1)</f>
        <v>$GN$370</v>
      </c>
    </row>
    <row r="114" spans="1:5" x14ac:dyDescent="0.25">
      <c r="A114" s="30">
        <v>12903.990051855657</v>
      </c>
      <c r="C114" s="1" t="str">
        <f>ADDRESS(C121,D121,1,1)</f>
        <v>$GM$371</v>
      </c>
      <c r="D114" s="1" t="str">
        <f>ADDRESS(C121+1,D121+1,1,1)</f>
        <v>$GN$372</v>
      </c>
    </row>
    <row r="115" spans="1:5" x14ac:dyDescent="0.25">
      <c r="A115" s="30">
        <v>12289.514335100625</v>
      </c>
      <c r="C115" s="1" t="str">
        <f>ADDRESS(C121+1,D121,1,1)</f>
        <v>$GM$372</v>
      </c>
    </row>
    <row r="116" spans="1:5" x14ac:dyDescent="0.25">
      <c r="A116" s="30">
        <v>11704.2993667625</v>
      </c>
      <c r="C116" s="1">
        <f>C117-1</f>
        <v>370</v>
      </c>
    </row>
    <row r="117" spans="1:5" x14ac:dyDescent="0.25">
      <c r="A117" s="30">
        <v>11146.951777869046</v>
      </c>
      <c r="C117" s="1">
        <f>C121</f>
        <v>371</v>
      </c>
      <c r="D117" s="1">
        <f>D121</f>
        <v>195</v>
      </c>
    </row>
    <row r="118" spans="1:5" x14ac:dyDescent="0.25">
      <c r="A118" s="30">
        <v>10616.144550351471</v>
      </c>
      <c r="C118" s="1">
        <f>C117+1</f>
        <v>372</v>
      </c>
      <c r="D118" s="1">
        <f>D117+1</f>
        <v>196</v>
      </c>
    </row>
    <row r="119" spans="1:5" x14ac:dyDescent="0.25">
      <c r="A119" s="30">
        <v>10110.613857477592</v>
      </c>
    </row>
    <row r="120" spans="1:5" x14ac:dyDescent="0.25">
      <c r="A120" s="30">
        <v>9629.1560547405643</v>
      </c>
      <c r="C120" s="1" t="s">
        <v>9</v>
      </c>
    </row>
    <row r="121" spans="1:5" x14ac:dyDescent="0.25">
      <c r="A121" s="30">
        <v>9170.6248140386324</v>
      </c>
      <c r="C121" s="18">
        <v>371</v>
      </c>
      <c r="D121" s="19">
        <v>195</v>
      </c>
      <c r="E121" s="19"/>
    </row>
    <row r="122" spans="1:5" x14ac:dyDescent="0.25">
      <c r="A122" s="30">
        <v>8733.9283943225073</v>
      </c>
      <c r="C122" s="1" t="str">
        <f>INDEX(1:1048576,C117,D117)</f>
        <v>X</v>
      </c>
    </row>
    <row r="123" spans="1:5" x14ac:dyDescent="0.25">
      <c r="A123" s="30">
        <v>8318.027042211912</v>
      </c>
      <c r="C123" s="1" t="str">
        <f>"R"&amp;C121</f>
        <v>R371</v>
      </c>
      <c r="D123" s="1" t="str">
        <f>"C"&amp;D121</f>
        <v>C195</v>
      </c>
    </row>
    <row r="124" spans="1:5" x14ac:dyDescent="0.25">
      <c r="A124" s="30">
        <v>7921.9305163922963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7544.6957298974248</v>
      </c>
    </row>
    <row r="126" spans="1:5" x14ac:dyDescent="0.25">
      <c r="A126" s="30">
        <v>7185.4245046642136</v>
      </c>
      <c r="C126" s="1" t="s">
        <v>10</v>
      </c>
    </row>
    <row r="127" spans="1:5" x14ac:dyDescent="0.25">
      <c r="A127" s="30">
        <v>6843.2614330135366</v>
      </c>
      <c r="C127" s="30">
        <v>4.6245998269295263E-2</v>
      </c>
      <c r="D127"/>
    </row>
    <row r="128" spans="1:5" x14ac:dyDescent="0.25">
      <c r="A128" s="30">
        <v>6517.3918409652724</v>
      </c>
    </row>
    <row r="129" spans="1:5" x14ac:dyDescent="0.25">
      <c r="A129" s="30">
        <v>6207.0398485383548</v>
      </c>
      <c r="C129" s="1" t="s">
        <v>11</v>
      </c>
      <c r="D129" s="1" t="s">
        <v>12</v>
      </c>
      <c r="E129"/>
    </row>
    <row r="130" spans="1:5" x14ac:dyDescent="0.25">
      <c r="A130" s="30">
        <v>5911.4665224174805</v>
      </c>
      <c r="C130" s="6"/>
      <c r="D130" s="6"/>
      <c r="E130"/>
    </row>
    <row r="131" spans="1:5" x14ac:dyDescent="0.25">
      <c r="A131" s="30">
        <v>5629.9681165880766</v>
      </c>
      <c r="E131"/>
    </row>
    <row r="132" spans="1:5" x14ac:dyDescent="0.25">
      <c r="A132" s="30">
        <v>5361.8743967505488</v>
      </c>
      <c r="C132" s="1" t="s">
        <v>13</v>
      </c>
      <c r="E132"/>
    </row>
    <row r="133" spans="1:5" x14ac:dyDescent="0.25">
      <c r="A133" s="30">
        <v>5106.5470445243318</v>
      </c>
      <c r="C133" s="1" t="str">
        <f>C122</f>
        <v>X</v>
      </c>
      <c r="E133"/>
    </row>
    <row r="134" spans="1:5" x14ac:dyDescent="0.25">
      <c r="A134" s="30">
        <v>4863.3781376422203</v>
      </c>
      <c r="C134"/>
      <c r="E134"/>
    </row>
    <row r="135" spans="1:5" x14ac:dyDescent="0.25">
      <c r="A135" s="30">
        <v>4631.7887025164</v>
      </c>
      <c r="C135" s="1" t="s">
        <v>14</v>
      </c>
      <c r="E135"/>
    </row>
    <row r="136" spans="1:5" x14ac:dyDescent="0.25">
      <c r="A136" s="30">
        <v>4411.2273357299046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4201.1688911713372</v>
      </c>
      <c r="E137"/>
    </row>
    <row r="138" spans="1:5" x14ac:dyDescent="0.25">
      <c r="A138" s="30">
        <v>4001.1132296869878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3810.5840282733216</v>
      </c>
      <c r="E139"/>
    </row>
    <row r="140" spans="1:5" x14ac:dyDescent="0.25">
      <c r="A140" s="30">
        <v>3629.1276459745918</v>
      </c>
      <c r="C140" s="1">
        <v>0</v>
      </c>
      <c r="E140"/>
    </row>
    <row r="141" spans="1:5" x14ac:dyDescent="0.25">
      <c r="A141" s="30">
        <v>3456.3120437853254</v>
      </c>
      <c r="C141" s="1">
        <v>1</v>
      </c>
      <c r="E141"/>
    </row>
    <row r="142" spans="1:5" x14ac:dyDescent="0.25">
      <c r="A142" s="30">
        <v>3291.7257559860241</v>
      </c>
      <c r="C142" s="1">
        <v>2</v>
      </c>
      <c r="E142"/>
    </row>
    <row r="143" spans="1:5" x14ac:dyDescent="0.25">
      <c r="A143" s="30">
        <v>3134.9769104628799</v>
      </c>
      <c r="C143" s="1">
        <v>3</v>
      </c>
      <c r="E143"/>
    </row>
    <row r="144" spans="1:5" x14ac:dyDescent="0.25">
      <c r="A144" s="30">
        <v>2985.6922956789331</v>
      </c>
      <c r="C144" s="1">
        <v>4</v>
      </c>
      <c r="E144"/>
    </row>
    <row r="145" spans="1:5" x14ac:dyDescent="0.25">
      <c r="A145" s="30">
        <v>2843.5164720751741</v>
      </c>
      <c r="E145"/>
    </row>
    <row r="146" spans="1:5" x14ac:dyDescent="0.25">
      <c r="A146" s="30">
        <v>2708.1109257858798</v>
      </c>
      <c r="E146"/>
    </row>
    <row r="147" spans="1:5" x14ac:dyDescent="0.25">
      <c r="A147" s="30">
        <v>2579.1532626532189</v>
      </c>
      <c r="E147"/>
    </row>
    <row r="148" spans="1:5" x14ac:dyDescent="0.25">
      <c r="A148" s="30">
        <v>2456.3364406221131</v>
      </c>
      <c r="E148"/>
    </row>
    <row r="149" spans="1:5" x14ac:dyDescent="0.25">
      <c r="A149" s="30">
        <v>2339.3680386877268</v>
      </c>
      <c r="E149"/>
    </row>
    <row r="150" spans="1:5" x14ac:dyDescent="0.25">
      <c r="A150" s="30">
        <v>2227.9695606549776</v>
      </c>
      <c r="E150"/>
    </row>
    <row r="151" spans="1:5" x14ac:dyDescent="0.25">
      <c r="A151" s="30">
        <v>2121.8757720523595</v>
      </c>
      <c r="E151"/>
    </row>
    <row r="152" spans="1:5" x14ac:dyDescent="0.25">
      <c r="A152" s="30">
        <v>2020.8340686212948</v>
      </c>
      <c r="E152"/>
    </row>
    <row r="153" spans="1:5" x14ac:dyDescent="0.25">
      <c r="A153" s="30">
        <v>1924.6038748774236</v>
      </c>
      <c r="C153" s="7"/>
      <c r="D153"/>
      <c r="E153"/>
    </row>
    <row r="154" spans="1:5" x14ac:dyDescent="0.25">
      <c r="A154" s="30">
        <v>1832.9560713118319</v>
      </c>
      <c r="E154"/>
    </row>
    <row r="155" spans="1:5" x14ac:dyDescent="0.25">
      <c r="A155" s="30">
        <v>1745.6724488684113</v>
      </c>
      <c r="E155"/>
    </row>
    <row r="156" spans="1:5" x14ac:dyDescent="0.25">
      <c r="A156" s="30">
        <v>1662.5451893984869</v>
      </c>
      <c r="C156"/>
      <c r="D156"/>
      <c r="E156"/>
    </row>
    <row r="157" spans="1:5" x14ac:dyDescent="0.25">
      <c r="A157" s="30">
        <v>1583.3763708557017</v>
      </c>
      <c r="E157"/>
    </row>
    <row r="158" spans="1:5" x14ac:dyDescent="0.25">
      <c r="A158" s="30">
        <v>1507.9774960530492</v>
      </c>
      <c r="E158"/>
    </row>
    <row r="159" spans="1:5" x14ac:dyDescent="0.25">
      <c r="A159" s="30">
        <v>1436.1690438600467</v>
      </c>
      <c r="E159"/>
    </row>
    <row r="160" spans="1:5" x14ac:dyDescent="0.25">
      <c r="A160" s="30">
        <v>1367.780041771473</v>
      </c>
      <c r="C160"/>
      <c r="E160"/>
    </row>
    <row r="161" spans="1:5" x14ac:dyDescent="0.25">
      <c r="A161" s="30">
        <v>1302.6476588299743</v>
      </c>
      <c r="E161"/>
    </row>
    <row r="162" spans="1:5" x14ac:dyDescent="0.25">
      <c r="A162" s="30">
        <v>1240.6168179333088</v>
      </c>
      <c r="E162"/>
    </row>
    <row r="163" spans="1:5" x14ac:dyDescent="0.25">
      <c r="A163" s="30">
        <v>1181.5398266031511</v>
      </c>
      <c r="E163"/>
    </row>
    <row r="164" spans="1:5" x14ac:dyDescent="0.25">
      <c r="A164" s="30">
        <v>1125.2760253363344</v>
      </c>
      <c r="E164"/>
    </row>
    <row r="165" spans="1:5" x14ac:dyDescent="0.25">
      <c r="A165" s="30">
        <v>1071.6914527012709</v>
      </c>
      <c r="E165"/>
    </row>
    <row r="166" spans="1:5" x14ac:dyDescent="0.25">
      <c r="A166" s="30">
        <v>1020.6585263821628</v>
      </c>
      <c r="E166"/>
    </row>
    <row r="167" spans="1:5" x14ac:dyDescent="0.25">
      <c r="A167" s="30">
        <v>972.05573941158355</v>
      </c>
      <c r="E167"/>
    </row>
    <row r="168" spans="1:5" x14ac:dyDescent="0.25">
      <c r="A168" s="30">
        <v>925.76737086817479</v>
      </c>
      <c r="E168"/>
    </row>
    <row r="169" spans="1:5" x14ac:dyDescent="0.25">
      <c r="A169" s="30">
        <v>881.68321035064264</v>
      </c>
      <c r="E169"/>
    </row>
    <row r="170" spans="1:5" x14ac:dyDescent="0.25">
      <c r="A170" s="30">
        <v>839.69829557204059</v>
      </c>
      <c r="E170"/>
    </row>
    <row r="171" spans="1:5" x14ac:dyDescent="0.25">
      <c r="A171" s="30">
        <v>799.71266244956246</v>
      </c>
      <c r="E171"/>
    </row>
    <row r="172" spans="1:5" x14ac:dyDescent="0.25">
      <c r="A172" s="30">
        <v>761.63110709482135</v>
      </c>
      <c r="E172"/>
    </row>
    <row r="173" spans="1:5" x14ac:dyDescent="0.25">
      <c r="A173" s="30">
        <v>725.36295913792503</v>
      </c>
      <c r="E173"/>
    </row>
    <row r="174" spans="1:5" x14ac:dyDescent="0.25">
      <c r="A174" s="30">
        <v>690.82186584564283</v>
      </c>
      <c r="E174"/>
    </row>
    <row r="175" spans="1:5" x14ac:dyDescent="0.25">
      <c r="A175" s="30">
        <v>657.92558651965976</v>
      </c>
      <c r="E175"/>
    </row>
    <row r="176" spans="1:5" x14ac:dyDescent="0.25">
      <c r="A176" s="30">
        <v>626.59579668539027</v>
      </c>
      <c r="E176"/>
    </row>
    <row r="177" spans="1:5" x14ac:dyDescent="0.25">
      <c r="A177" s="30">
        <v>596.75790160513361</v>
      </c>
      <c r="E177"/>
    </row>
    <row r="178" spans="1:5" x14ac:dyDescent="0.25">
      <c r="A178" s="30">
        <v>568.34085867155579</v>
      </c>
      <c r="C178" s="7"/>
      <c r="D178"/>
      <c r="E178"/>
    </row>
    <row r="179" spans="1:5" x14ac:dyDescent="0.25">
      <c r="A179" s="30">
        <v>541.27700825862451</v>
      </c>
      <c r="E179"/>
    </row>
    <row r="180" spans="1:5" x14ac:dyDescent="0.25">
      <c r="A180" s="30">
        <v>515.50191262726139</v>
      </c>
      <c r="E180"/>
    </row>
    <row r="181" spans="1:5" x14ac:dyDescent="0.25">
      <c r="A181" s="30">
        <v>490.95420250215363</v>
      </c>
      <c r="C181"/>
      <c r="D181"/>
      <c r="E181"/>
    </row>
    <row r="182" spans="1:5" x14ac:dyDescent="0.25">
      <c r="A182" s="30">
        <v>467.57543095443202</v>
      </c>
      <c r="E182"/>
    </row>
    <row r="183" spans="1:5" x14ac:dyDescent="0.25">
      <c r="A183" s="30">
        <v>445.30993424231622</v>
      </c>
      <c r="E183"/>
    </row>
    <row r="184" spans="1:5" x14ac:dyDescent="0.25">
      <c r="A184" s="30">
        <v>424.10469927839637</v>
      </c>
      <c r="E184"/>
    </row>
    <row r="185" spans="1:5" x14ac:dyDescent="0.25">
      <c r="A185" s="30">
        <v>403.9092374079965</v>
      </c>
      <c r="C185"/>
      <c r="E185"/>
    </row>
    <row r="186" spans="1:5" x14ac:dyDescent="0.25">
      <c r="A186" s="30">
        <v>384.6754641980919</v>
      </c>
      <c r="E186"/>
    </row>
    <row r="187" spans="1:5" x14ac:dyDescent="0.25">
      <c r="A187" s="30">
        <v>366.35758495056371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348.91198566720351</v>
      </c>
      <c r="E188"/>
    </row>
    <row r="189" spans="1:5" x14ac:dyDescent="0.25">
      <c r="A189" s="30">
        <v>332.29712920686046</v>
      </c>
      <c r="E189"/>
    </row>
    <row r="190" spans="1:5" x14ac:dyDescent="0.25">
      <c r="A190" s="30">
        <v>316.47345638748612</v>
      </c>
      <c r="E190"/>
    </row>
    <row r="191" spans="1:5" x14ac:dyDescent="0.25">
      <c r="A191" s="30">
        <v>301.40329179760585</v>
      </c>
      <c r="E191"/>
    </row>
    <row r="192" spans="1:5" x14ac:dyDescent="0.25">
      <c r="A192" s="30">
        <v>287.05075409295796</v>
      </c>
      <c r="E192"/>
    </row>
    <row r="193" spans="1:5" x14ac:dyDescent="0.25">
      <c r="A193" s="30">
        <v>273.38167056472184</v>
      </c>
      <c r="E193"/>
    </row>
    <row r="194" spans="1:5" x14ac:dyDescent="0.25">
      <c r="A194" s="30">
        <v>260.36349577592557</v>
      </c>
      <c r="E194"/>
    </row>
    <row r="195" spans="1:5" x14ac:dyDescent="0.25">
      <c r="A195" s="30">
        <v>247.96523407231004</v>
      </c>
      <c r="E195"/>
    </row>
    <row r="196" spans="1:5" x14ac:dyDescent="0.25">
      <c r="A196" s="30">
        <v>236.15736578315241</v>
      </c>
      <c r="E196"/>
    </row>
    <row r="197" spans="1:5" x14ac:dyDescent="0.25">
      <c r="A197" s="30">
        <v>224.91177693633563</v>
      </c>
      <c r="E197"/>
    </row>
    <row r="198" spans="1:5" x14ac:dyDescent="0.25">
      <c r="A198" s="30">
        <v>214.20169232031964</v>
      </c>
      <c r="E198"/>
    </row>
    <row r="199" spans="1:5" x14ac:dyDescent="0.25">
      <c r="A199" s="30">
        <v>204.00161173363773</v>
      </c>
      <c r="E199"/>
    </row>
    <row r="200" spans="1:5" x14ac:dyDescent="0.25">
      <c r="A200" s="30">
        <v>194.28724927013116</v>
      </c>
      <c r="E200"/>
    </row>
    <row r="201" spans="1:5" x14ac:dyDescent="0.25">
      <c r="A201" s="30">
        <v>185.03547549536299</v>
      </c>
      <c r="E201"/>
    </row>
    <row r="202" spans="1:5" x14ac:dyDescent="0.25">
      <c r="A202" s="30">
        <v>176.22426237653616</v>
      </c>
      <c r="E202"/>
    </row>
    <row r="203" spans="1:5" x14ac:dyDescent="0.25">
      <c r="A203" s="30">
        <v>167.83263083479633</v>
      </c>
      <c r="C203" s="7"/>
      <c r="D203"/>
      <c r="E203"/>
    </row>
    <row r="204" spans="1:5" x14ac:dyDescent="0.25">
      <c r="A204" s="30">
        <v>159.84060079504411</v>
      </c>
      <c r="E204"/>
    </row>
    <row r="205" spans="1:5" x14ac:dyDescent="0.25">
      <c r="A205" s="30">
        <v>152.22914361432771</v>
      </c>
      <c r="E205"/>
    </row>
    <row r="206" spans="1:5" x14ac:dyDescent="0.25">
      <c r="A206" s="30">
        <v>144.98013677555019</v>
      </c>
      <c r="C206"/>
      <c r="D206"/>
      <c r="E206"/>
    </row>
    <row r="207" spans="1:5" x14ac:dyDescent="0.25">
      <c r="A207" s="30">
        <v>138.07632073861922</v>
      </c>
      <c r="E207"/>
    </row>
    <row r="208" spans="1:5" x14ac:dyDescent="0.25">
      <c r="A208" s="30">
        <v>131.50125784630401</v>
      </c>
      <c r="E208"/>
    </row>
    <row r="209" spans="1:5" x14ac:dyDescent="0.25">
      <c r="A209" s="30">
        <v>125.23929318695619</v>
      </c>
      <c r="E209"/>
    </row>
    <row r="210" spans="1:5" x14ac:dyDescent="0.25">
      <c r="A210" s="30">
        <v>119.27551732091065</v>
      </c>
      <c r="C210"/>
      <c r="E210"/>
    </row>
    <row r="211" spans="1:5" x14ac:dyDescent="0.25">
      <c r="A211" s="30">
        <v>113.59573078181967</v>
      </c>
      <c r="E211"/>
    </row>
    <row r="212" spans="1:5" x14ac:dyDescent="0.25">
      <c r="A212" s="30">
        <v>108.18641026839968</v>
      </c>
      <c r="E212"/>
    </row>
    <row r="213" spans="1:5" x14ac:dyDescent="0.25">
      <c r="A213" s="30">
        <v>103.03467644609493</v>
      </c>
      <c r="E213"/>
    </row>
    <row r="214" spans="1:5" x14ac:dyDescent="0.25">
      <c r="A214" s="30">
        <v>98.128263281995174</v>
      </c>
      <c r="E214"/>
    </row>
    <row r="215" spans="1:5" x14ac:dyDescent="0.25">
      <c r="A215" s="30">
        <v>93.455488839995397</v>
      </c>
      <c r="E215"/>
    </row>
    <row r="216" spans="1:5" x14ac:dyDescent="0.25">
      <c r="A216" s="30">
        <v>89.005227466662276</v>
      </c>
      <c r="E216"/>
    </row>
    <row r="217" spans="1:5" x14ac:dyDescent="0.25">
      <c r="A217" s="30">
        <v>84.766883301583121</v>
      </c>
      <c r="E217"/>
    </row>
    <row r="218" spans="1:5" x14ac:dyDescent="0.25">
      <c r="A218" s="30">
        <v>80.730365049126775</v>
      </c>
      <c r="E218"/>
    </row>
    <row r="219" spans="1:5" x14ac:dyDescent="0.25">
      <c r="A219" s="30">
        <v>76.886061951549308</v>
      </c>
      <c r="E219"/>
    </row>
    <row r="220" spans="1:5" x14ac:dyDescent="0.25">
      <c r="A220" s="30">
        <v>73.22482090623744</v>
      </c>
      <c r="E220"/>
    </row>
    <row r="221" spans="1:5" x14ac:dyDescent="0.25">
      <c r="A221" s="30">
        <v>69.737924672607079</v>
      </c>
      <c r="E221"/>
    </row>
    <row r="222" spans="1:5" x14ac:dyDescent="0.25">
      <c r="A222" s="30">
        <v>66.417071116768639</v>
      </c>
      <c r="E222"/>
    </row>
    <row r="223" spans="1:5" x14ac:dyDescent="0.25">
      <c r="A223" s="30">
        <v>63.254353444541557</v>
      </c>
      <c r="E223"/>
    </row>
    <row r="224" spans="1:5" x14ac:dyDescent="0.25">
      <c r="A224" s="30">
        <v>60.242241375753864</v>
      </c>
      <c r="E224"/>
    </row>
    <row r="225" spans="1:5" x14ac:dyDescent="0.25">
      <c r="A225" s="30">
        <v>57.373563215003678</v>
      </c>
      <c r="E225"/>
    </row>
    <row r="226" spans="1:5" x14ac:dyDescent="0.25">
      <c r="A226" s="30">
        <v>54.641488776193974</v>
      </c>
      <c r="E226"/>
    </row>
    <row r="227" spans="1:5" x14ac:dyDescent="0.25">
      <c r="A227" s="30">
        <v>52.039513120184736</v>
      </c>
      <c r="E227"/>
    </row>
    <row r="228" spans="1:5" x14ac:dyDescent="0.25">
      <c r="A228" s="30">
        <v>49.561441066842605</v>
      </c>
      <c r="C228" s="7"/>
      <c r="D228"/>
      <c r="E228"/>
    </row>
    <row r="229" spans="1:5" x14ac:dyDescent="0.25">
      <c r="A229" s="30">
        <v>47.201372444612005</v>
      </c>
      <c r="E229"/>
    </row>
    <row r="230" spans="1:5" x14ac:dyDescent="0.25">
      <c r="A230" s="30">
        <v>44.95368804248762</v>
      </c>
      <c r="E230"/>
    </row>
    <row r="231" spans="1:5" x14ac:dyDescent="0.25">
      <c r="A231" s="30">
        <v>42.81303623094059</v>
      </c>
      <c r="C231"/>
      <c r="D231"/>
      <c r="E231"/>
    </row>
    <row r="232" spans="1:5" x14ac:dyDescent="0.25">
      <c r="A232" s="30">
        <v>40.774320219943419</v>
      </c>
      <c r="E232"/>
    </row>
    <row r="233" spans="1:5" x14ac:dyDescent="0.25">
      <c r="A233" s="30">
        <v>38.832685923755633</v>
      </c>
      <c r="E233"/>
    </row>
    <row r="234" spans="1:5" x14ac:dyDescent="0.25">
      <c r="A234" s="30">
        <v>36.983510403576794</v>
      </c>
      <c r="E234"/>
    </row>
    <row r="235" spans="1:5" x14ac:dyDescent="0.25">
      <c r="A235" s="30">
        <v>35.222390860549325</v>
      </c>
      <c r="C235"/>
      <c r="E235"/>
    </row>
    <row r="236" spans="1:5" x14ac:dyDescent="0.25">
      <c r="A236" s="30">
        <v>33.545134152904119</v>
      </c>
      <c r="E236"/>
    </row>
    <row r="237" spans="1:5" x14ac:dyDescent="0.25">
      <c r="A237" s="30">
        <v>31.947746812289637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30.426425535513939</v>
      </c>
      <c r="E238"/>
    </row>
    <row r="239" spans="1:5" x14ac:dyDescent="0.25">
      <c r="A239" s="30">
        <v>28.977548129060892</v>
      </c>
      <c r="E239"/>
    </row>
    <row r="240" spans="1:5" x14ac:dyDescent="0.25">
      <c r="A240" s="30">
        <v>27.597664884819896</v>
      </c>
      <c r="E240" s="29"/>
    </row>
    <row r="241" spans="1:5" x14ac:dyDescent="0.25">
      <c r="A241" s="30">
        <v>26.283490366495137</v>
      </c>
      <c r="B241"/>
      <c r="C241"/>
      <c r="D241"/>
      <c r="E241"/>
    </row>
    <row r="242" spans="1:5" x14ac:dyDescent="0.25">
      <c r="A242" s="30">
        <v>25.031895587138223</v>
      </c>
      <c r="B242"/>
      <c r="C242"/>
      <c r="D242"/>
      <c r="E242"/>
    </row>
    <row r="243" spans="1:5" x14ac:dyDescent="0.25">
      <c r="A243" s="30">
        <v>23.839900559179259</v>
      </c>
      <c r="B243"/>
      <c r="C243"/>
      <c r="D243"/>
      <c r="E243"/>
    </row>
    <row r="244" spans="1:5" x14ac:dyDescent="0.25">
      <c r="A244" s="30">
        <v>22.704667199218342</v>
      </c>
      <c r="B244"/>
      <c r="C244"/>
      <c r="D244"/>
      <c r="E244"/>
    </row>
    <row r="245" spans="1:5" x14ac:dyDescent="0.25">
      <c r="A245" s="30">
        <v>21.623492570684135</v>
      </c>
      <c r="B245"/>
      <c r="C245"/>
      <c r="D245"/>
      <c r="E245"/>
    </row>
    <row r="246" spans="1:5" x14ac:dyDescent="0.25">
      <c r="A246" s="30">
        <v>20.593802448270605</v>
      </c>
      <c r="B246"/>
      <c r="C246"/>
      <c r="D246"/>
      <c r="E246"/>
    </row>
    <row r="247" spans="1:5" x14ac:dyDescent="0.25">
      <c r="A247" s="30">
        <v>19.613145188829147</v>
      </c>
      <c r="B247"/>
      <c r="C247"/>
      <c r="D247"/>
      <c r="E247"/>
    </row>
    <row r="248" spans="1:5" x14ac:dyDescent="0.25">
      <c r="A248" s="30">
        <v>18.679185894122998</v>
      </c>
      <c r="B248"/>
      <c r="C248"/>
      <c r="D248"/>
      <c r="E248"/>
    </row>
    <row r="249" spans="1:5" x14ac:dyDescent="0.25">
      <c r="A249" s="30">
        <v>17.78970085154571</v>
      </c>
      <c r="B249"/>
      <c r="C249"/>
      <c r="D249"/>
      <c r="E249"/>
    </row>
    <row r="250" spans="1:5" x14ac:dyDescent="0.25">
      <c r="A250" s="30">
        <v>16.942572239567344</v>
      </c>
      <c r="B250"/>
      <c r="C250"/>
      <c r="D250"/>
      <c r="E250"/>
    </row>
    <row r="251" spans="1:5" x14ac:dyDescent="0.25">
      <c r="A251" s="30">
        <v>16.135783085302233</v>
      </c>
      <c r="B251"/>
      <c r="C251"/>
      <c r="D251"/>
      <c r="E251"/>
    </row>
    <row r="252" spans="1:5" x14ac:dyDescent="0.25">
      <c r="A252" s="30">
        <v>15.367412462192602</v>
      </c>
      <c r="B252"/>
      <c r="C252"/>
      <c r="D252"/>
      <c r="E252"/>
    </row>
    <row r="253" spans="1:5" x14ac:dyDescent="0.25">
      <c r="A253" s="30">
        <v>14.635630916373906</v>
      </c>
      <c r="B253"/>
      <c r="C253"/>
      <c r="D253"/>
      <c r="E253"/>
    </row>
    <row r="254" spans="1:5" x14ac:dyDescent="0.25">
      <c r="A254" s="30">
        <v>13.938696110832291</v>
      </c>
      <c r="B254"/>
      <c r="C254"/>
      <c r="D254"/>
      <c r="E254"/>
    </row>
    <row r="255" spans="1:5" x14ac:dyDescent="0.25">
      <c r="A255" s="30">
        <v>13.274948676983135</v>
      </c>
      <c r="E255"/>
    </row>
    <row r="256" spans="1:5" x14ac:dyDescent="0.25">
      <c r="A256" s="30">
        <v>12.64280826379346</v>
      </c>
      <c r="E256"/>
    </row>
    <row r="257" spans="1:5" x14ac:dyDescent="0.25">
      <c r="A257" s="30">
        <v>12.04076977504139</v>
      </c>
      <c r="B257"/>
      <c r="C257"/>
      <c r="D257"/>
      <c r="E257"/>
    </row>
    <row r="258" spans="1:5" x14ac:dyDescent="0.25">
      <c r="A258" s="30">
        <v>11.467399785753704</v>
      </c>
      <c r="B258"/>
      <c r="C258"/>
      <c r="D258"/>
      <c r="E258"/>
    </row>
    <row r="259" spans="1:5" x14ac:dyDescent="0.25">
      <c r="A259" s="30">
        <v>10.921333129289241</v>
      </c>
      <c r="B259"/>
      <c r="C259"/>
      <c r="D259"/>
      <c r="E259"/>
    </row>
    <row r="260" spans="1:5" x14ac:dyDescent="0.25">
      <c r="A260" s="30">
        <v>10.401269646942135</v>
      </c>
      <c r="B260"/>
      <c r="C260"/>
      <c r="D260"/>
      <c r="E260"/>
    </row>
    <row r="261" spans="1:5" x14ac:dyDescent="0.25">
      <c r="A261" s="30">
        <v>9.9059710923258422</v>
      </c>
      <c r="B261"/>
      <c r="C261"/>
      <c r="D261"/>
      <c r="E261"/>
    </row>
    <row r="262" spans="1:5" x14ac:dyDescent="0.25">
      <c r="A262" s="30">
        <v>9.4342581831674686</v>
      </c>
      <c r="B262"/>
      <c r="C262"/>
      <c r="D262"/>
      <c r="E262"/>
    </row>
    <row r="263" spans="1:5" x14ac:dyDescent="0.25">
      <c r="A263" s="30">
        <v>8.9850077934928265</v>
      </c>
      <c r="B263"/>
      <c r="C263"/>
      <c r="D263"/>
      <c r="E263"/>
    </row>
    <row r="264" spans="1:5" x14ac:dyDescent="0.25">
      <c r="A264" s="30">
        <v>8.5571502795169767</v>
      </c>
      <c r="B264"/>
      <c r="C264"/>
      <c r="D264"/>
      <c r="E264"/>
    </row>
    <row r="265" spans="1:5" x14ac:dyDescent="0.25">
      <c r="A265" s="30">
        <v>8.1496669328733109</v>
      </c>
      <c r="B265"/>
      <c r="C265"/>
      <c r="D265"/>
      <c r="E265"/>
    </row>
    <row r="266" spans="1:5" x14ac:dyDescent="0.25">
      <c r="A266" s="30">
        <v>7.7615875551174378</v>
      </c>
      <c r="B266"/>
      <c r="C266"/>
      <c r="D266"/>
      <c r="E266"/>
    </row>
    <row r="267" spans="1:5" x14ac:dyDescent="0.25">
      <c r="A267" s="30">
        <v>7.3919881477308929</v>
      </c>
      <c r="B267"/>
      <c r="C267"/>
      <c r="D267"/>
      <c r="E267"/>
    </row>
    <row r="268" spans="1:5" x14ac:dyDescent="0.25">
      <c r="A268" s="30">
        <v>7.0399887121246598</v>
      </c>
      <c r="B268"/>
      <c r="C268"/>
      <c r="D268"/>
      <c r="E268"/>
    </row>
    <row r="269" spans="1:5" x14ac:dyDescent="0.25">
      <c r="A269" s="30">
        <v>6.7047511544044376</v>
      </c>
      <c r="B269"/>
      <c r="C269"/>
      <c r="D269"/>
      <c r="E269"/>
    </row>
    <row r="270" spans="1:5" x14ac:dyDescent="0.25">
      <c r="A270" s="30">
        <v>6.3854772899089882</v>
      </c>
      <c r="B270"/>
      <c r="C270"/>
      <c r="D270"/>
      <c r="E270"/>
    </row>
    <row r="271" spans="1:5" x14ac:dyDescent="0.25">
      <c r="A271" s="30">
        <v>6.0814069427704647</v>
      </c>
      <c r="B271"/>
      <c r="C271"/>
      <c r="D271"/>
      <c r="E271"/>
    </row>
    <row r="272" spans="1:5" x14ac:dyDescent="0.25">
      <c r="A272" s="30">
        <v>5.7918161359718709</v>
      </c>
      <c r="B272"/>
      <c r="C272"/>
      <c r="D272"/>
      <c r="E272"/>
    </row>
    <row r="273" spans="1:5" x14ac:dyDescent="0.25">
      <c r="A273" s="30">
        <v>5.5160153675922574</v>
      </c>
      <c r="B273"/>
      <c r="C273"/>
      <c r="D273"/>
      <c r="E273"/>
    </row>
    <row r="274" spans="1:5" x14ac:dyDescent="0.25">
      <c r="A274" s="30">
        <v>5.2533479691354827</v>
      </c>
      <c r="B274"/>
      <c r="C274"/>
      <c r="D274"/>
      <c r="E274"/>
    </row>
    <row r="275" spans="1:5" x14ac:dyDescent="0.25">
      <c r="A275" s="30">
        <v>5.0031885420337927</v>
      </c>
      <c r="B275"/>
      <c r="C275"/>
      <c r="D275"/>
      <c r="E275"/>
    </row>
    <row r="276" spans="1:5" x14ac:dyDescent="0.25">
      <c r="A276" s="30">
        <v>4.7649414686036122</v>
      </c>
      <c r="B276"/>
      <c r="C276"/>
      <c r="D276"/>
      <c r="E276"/>
    </row>
    <row r="277" spans="1:5" x14ac:dyDescent="0.25">
      <c r="A277" s="30">
        <v>4.5380394939082018</v>
      </c>
      <c r="B277"/>
      <c r="C277"/>
      <c r="D277"/>
      <c r="E277"/>
    </row>
    <row r="278" spans="1:5" x14ac:dyDescent="0.25">
      <c r="A278" s="30">
        <v>4.3219423751506678</v>
      </c>
      <c r="B278"/>
      <c r="C278"/>
      <c r="D278"/>
      <c r="E278"/>
    </row>
    <row r="279" spans="1:5" x14ac:dyDescent="0.25">
      <c r="A279" s="30">
        <v>4.1161355953815884</v>
      </c>
      <c r="B279"/>
      <c r="C279"/>
      <c r="D279"/>
      <c r="E279"/>
    </row>
    <row r="280" spans="1:5" x14ac:dyDescent="0.25">
      <c r="A280" s="30">
        <v>3.9201291384586554</v>
      </c>
      <c r="B280"/>
      <c r="C280"/>
      <c r="D280"/>
      <c r="E280"/>
    </row>
    <row r="281" spans="1:5" x14ac:dyDescent="0.25">
      <c r="A281" s="30">
        <v>3.7334563223415764</v>
      </c>
      <c r="B281"/>
      <c r="C281"/>
      <c r="D281"/>
      <c r="E281"/>
    </row>
    <row r="282" spans="1:5" x14ac:dyDescent="0.25">
      <c r="A282" s="30">
        <v>3.5556726879443583</v>
      </c>
      <c r="B282"/>
      <c r="C282"/>
      <c r="D282"/>
      <c r="E282"/>
    </row>
    <row r="283" spans="1:5" x14ac:dyDescent="0.25">
      <c r="A283" s="30">
        <v>3.3863549408993889</v>
      </c>
      <c r="B283"/>
      <c r="C283"/>
      <c r="D283"/>
      <c r="E283"/>
    </row>
    <row r="284" spans="1:5" x14ac:dyDescent="0.25">
      <c r="A284" s="30">
        <v>3.2250999437137038</v>
      </c>
      <c r="B284"/>
      <c r="C284"/>
      <c r="D284"/>
      <c r="E284"/>
    </row>
    <row r="285" spans="1:5" x14ac:dyDescent="0.25">
      <c r="A285" s="30">
        <v>3.0715237559178128</v>
      </c>
      <c r="B285"/>
      <c r="C285"/>
      <c r="D285"/>
      <c r="E285"/>
    </row>
    <row r="286" spans="1:5" x14ac:dyDescent="0.25">
      <c r="A286" s="30">
        <v>2.9252607199217264</v>
      </c>
      <c r="B286"/>
      <c r="C286"/>
      <c r="D286"/>
      <c r="E286"/>
    </row>
    <row r="287" spans="1:5" x14ac:dyDescent="0.25">
      <c r="A287" s="30">
        <v>2.7859625904016441</v>
      </c>
      <c r="B287"/>
      <c r="C287"/>
      <c r="D287"/>
      <c r="E287"/>
    </row>
    <row r="288" spans="1:5" x14ac:dyDescent="0.25">
      <c r="A288" s="30">
        <v>2.6532977051444226</v>
      </c>
      <c r="B288"/>
      <c r="C288"/>
      <c r="D288"/>
      <c r="E288"/>
    </row>
    <row r="289" spans="1:5" x14ac:dyDescent="0.25">
      <c r="A289" s="30">
        <v>2.5269501953756404</v>
      </c>
      <c r="B289"/>
      <c r="C289"/>
      <c r="D289"/>
      <c r="E289"/>
    </row>
    <row r="290" spans="1:5" x14ac:dyDescent="0.25">
      <c r="A290" s="30">
        <v>2.4066192336910861</v>
      </c>
      <c r="B290"/>
      <c r="C290"/>
      <c r="D290"/>
      <c r="E290"/>
    </row>
    <row r="291" spans="1:5" x14ac:dyDescent="0.25">
      <c r="A291" s="30">
        <v>2.2920183178010345</v>
      </c>
      <c r="B291"/>
      <c r="C291"/>
      <c r="D291"/>
      <c r="E291"/>
    </row>
    <row r="292" spans="1:5" x14ac:dyDescent="0.25">
      <c r="A292" s="30">
        <v>2.1828745883819374</v>
      </c>
      <c r="B292"/>
      <c r="C292"/>
      <c r="D292"/>
      <c r="E292"/>
    </row>
    <row r="293" spans="1:5" x14ac:dyDescent="0.25">
      <c r="A293" s="30">
        <v>2.0789281794113688</v>
      </c>
      <c r="B293"/>
      <c r="C293"/>
      <c r="D293"/>
      <c r="E293"/>
    </row>
    <row r="294" spans="1:5" x14ac:dyDescent="0.25">
      <c r="A294" s="30">
        <v>1.9799315994393987</v>
      </c>
      <c r="B294"/>
      <c r="C294"/>
      <c r="D294"/>
      <c r="E294"/>
    </row>
    <row r="295" spans="1:5" x14ac:dyDescent="0.25">
      <c r="A295" s="30">
        <v>1.8856491423232367</v>
      </c>
      <c r="B295"/>
      <c r="C295"/>
      <c r="D295"/>
      <c r="E295"/>
    </row>
    <row r="296" spans="1:5" x14ac:dyDescent="0.25">
      <c r="A296" s="30">
        <v>1.7958563260221301</v>
      </c>
      <c r="B296"/>
      <c r="C296"/>
      <c r="D296"/>
      <c r="E296"/>
    </row>
    <row r="297" spans="1:5" x14ac:dyDescent="0.25">
      <c r="A297" s="30">
        <v>1.7103393581163142</v>
      </c>
      <c r="B297"/>
      <c r="C297"/>
      <c r="D297"/>
      <c r="E297"/>
    </row>
    <row r="298" spans="1:5" x14ac:dyDescent="0.25">
      <c r="A298" s="30">
        <v>1.628894626777442</v>
      </c>
      <c r="B298"/>
      <c r="C298"/>
      <c r="D298"/>
      <c r="E298"/>
    </row>
    <row r="299" spans="1:5" x14ac:dyDescent="0.25">
      <c r="A299" s="30">
        <v>1.5513282159785162</v>
      </c>
      <c r="B299"/>
      <c r="C299"/>
      <c r="D299"/>
      <c r="E299"/>
    </row>
    <row r="300" spans="1:5" x14ac:dyDescent="0.25">
      <c r="A300" s="30">
        <v>1.477455443789063</v>
      </c>
      <c r="B300"/>
      <c r="C300"/>
      <c r="D300"/>
      <c r="E300"/>
    </row>
    <row r="301" spans="1:5" x14ac:dyDescent="0.25">
      <c r="A301" s="30">
        <v>1.4071004226562505</v>
      </c>
      <c r="B301"/>
      <c r="C301"/>
      <c r="D301"/>
      <c r="E301"/>
    </row>
    <row r="302" spans="1:5" x14ac:dyDescent="0.25">
      <c r="A302" s="30">
        <v>1.3400956406250004</v>
      </c>
      <c r="B302"/>
      <c r="C302"/>
      <c r="D302"/>
      <c r="E302"/>
    </row>
    <row r="303" spans="1:5" x14ac:dyDescent="0.25">
      <c r="A303" s="30">
        <v>1.2762815625000004</v>
      </c>
      <c r="B303"/>
      <c r="C303"/>
      <c r="D303"/>
      <c r="E303"/>
    </row>
    <row r="304" spans="1:5" x14ac:dyDescent="0.25">
      <c r="A304" s="30">
        <v>1.2155062500000002</v>
      </c>
      <c r="B304"/>
      <c r="C304"/>
      <c r="D304"/>
      <c r="E304"/>
    </row>
    <row r="305" spans="1:6" x14ac:dyDescent="0.25">
      <c r="A305" s="30">
        <v>1.1576249999999999</v>
      </c>
      <c r="B305"/>
      <c r="C305"/>
      <c r="D305"/>
      <c r="E305"/>
    </row>
    <row r="306" spans="1:6" x14ac:dyDescent="0.25">
      <c r="A306" s="30">
        <v>1.1025</v>
      </c>
      <c r="B306"/>
      <c r="C306"/>
      <c r="D306"/>
      <c r="E306"/>
    </row>
    <row r="307" spans="1:6" x14ac:dyDescent="0.25">
      <c r="A307" s="30">
        <v>1.05</v>
      </c>
      <c r="B307"/>
      <c r="C307"/>
      <c r="D307"/>
      <c r="E307"/>
    </row>
    <row r="308" spans="1:6" x14ac:dyDescent="0.25">
      <c r="A308" s="30">
        <v>1</v>
      </c>
      <c r="B308"/>
      <c r="C308"/>
      <c r="D308"/>
      <c r="E308" t="s">
        <v>8</v>
      </c>
    </row>
    <row r="309" spans="1:6" x14ac:dyDescent="0.25">
      <c r="A309" s="30">
        <v>0.952380952380952</v>
      </c>
      <c r="B309"/>
      <c r="C309"/>
      <c r="D309"/>
      <c r="E309"/>
      <c r="F309" s="27" t="s">
        <v>7</v>
      </c>
    </row>
    <row r="310" spans="1:6" x14ac:dyDescent="0.25">
      <c r="A310" s="30">
        <v>0.90702947845804915</v>
      </c>
      <c r="B310"/>
      <c r="C310"/>
      <c r="D310"/>
      <c r="E310"/>
      <c r="F310" s="27" t="s">
        <v>7</v>
      </c>
    </row>
    <row r="311" spans="1:6" x14ac:dyDescent="0.25">
      <c r="A311" s="30">
        <v>0.86383759853147501</v>
      </c>
      <c r="B311"/>
      <c r="C311"/>
      <c r="D311"/>
      <c r="E311"/>
      <c r="F311" s="27" t="s">
        <v>7</v>
      </c>
    </row>
    <row r="312" spans="1:6" x14ac:dyDescent="0.25">
      <c r="A312" s="30">
        <v>0.82270247479188063</v>
      </c>
      <c r="B312"/>
      <c r="C312"/>
      <c r="D312"/>
      <c r="E312"/>
      <c r="F312" s="27" t="s">
        <v>7</v>
      </c>
    </row>
    <row r="313" spans="1:6" x14ac:dyDescent="0.25">
      <c r="A313" s="30">
        <v>0.78352616646845741</v>
      </c>
      <c r="B313"/>
      <c r="C313"/>
      <c r="D313"/>
      <c r="E313"/>
      <c r="F313" s="27" t="s">
        <v>7</v>
      </c>
    </row>
    <row r="314" spans="1:6" x14ac:dyDescent="0.25">
      <c r="A314" s="30">
        <v>0.74621539663662584</v>
      </c>
      <c r="B314"/>
      <c r="C314"/>
      <c r="D314"/>
      <c r="E314"/>
      <c r="F314" s="27" t="s">
        <v>7</v>
      </c>
    </row>
    <row r="315" spans="1:6" x14ac:dyDescent="0.25">
      <c r="A315" s="30">
        <v>0.71068133013011958</v>
      </c>
      <c r="B315"/>
      <c r="C315"/>
      <c r="D315"/>
      <c r="E315"/>
      <c r="F315" s="27" t="s">
        <v>7</v>
      </c>
    </row>
    <row r="316" spans="1:6" x14ac:dyDescent="0.25">
      <c r="A316" s="30">
        <v>0.676839362028685</v>
      </c>
      <c r="B316"/>
      <c r="C316"/>
      <c r="D316"/>
      <c r="E316"/>
      <c r="F316" s="27" t="s">
        <v>7</v>
      </c>
    </row>
    <row r="317" spans="1:6" x14ac:dyDescent="0.25">
      <c r="A317" s="30">
        <v>0.64460891621779492</v>
      </c>
      <c r="B317"/>
      <c r="C317"/>
      <c r="D317"/>
      <c r="E317"/>
      <c r="F317" s="27" t="s">
        <v>7</v>
      </c>
    </row>
    <row r="318" spans="1:6" x14ac:dyDescent="0.25">
      <c r="A318" s="30">
        <v>0.61391325354075688</v>
      </c>
      <c r="B318"/>
      <c r="C318"/>
      <c r="D318"/>
      <c r="E318"/>
      <c r="F318" s="27" t="s">
        <v>7</v>
      </c>
    </row>
    <row r="319" spans="1:6" x14ac:dyDescent="0.25">
      <c r="A319" s="30">
        <v>0.58467928908643485</v>
      </c>
      <c r="B319"/>
      <c r="C319"/>
      <c r="D319"/>
      <c r="E319"/>
      <c r="F319" s="27" t="s">
        <v>7</v>
      </c>
    </row>
    <row r="320" spans="1:6" x14ac:dyDescent="0.25">
      <c r="A320" s="30">
        <v>0.55683741817755672</v>
      </c>
      <c r="B320"/>
      <c r="C320"/>
      <c r="D320"/>
      <c r="E320"/>
      <c r="F320" s="27" t="s">
        <v>7</v>
      </c>
    </row>
    <row r="321" spans="1:149" x14ac:dyDescent="0.25">
      <c r="A321" s="30">
        <v>0.53032135064529184</v>
      </c>
      <c r="B321"/>
      <c r="C321"/>
      <c r="D321"/>
      <c r="E321"/>
      <c r="F321" s="27" t="s">
        <v>7</v>
      </c>
    </row>
    <row r="322" spans="1:149" x14ac:dyDescent="0.25">
      <c r="A322" s="30">
        <v>0.50506795299551588</v>
      </c>
      <c r="B322"/>
      <c r="C322"/>
      <c r="D322"/>
      <c r="E322"/>
      <c r="F322" s="27" t="s">
        <v>7</v>
      </c>
    </row>
    <row r="323" spans="1:149" x14ac:dyDescent="0.25">
      <c r="A323" s="30">
        <v>0.48101709809096732</v>
      </c>
      <c r="B323"/>
      <c r="C323"/>
      <c r="D323"/>
      <c r="E323"/>
      <c r="F323" s="27" t="s">
        <v>7</v>
      </c>
    </row>
    <row r="324" spans="1:149" x14ac:dyDescent="0.25">
      <c r="A324" s="30">
        <v>0.45811152199139726</v>
      </c>
      <c r="B324"/>
      <c r="C324"/>
      <c r="D324"/>
      <c r="E324"/>
      <c r="F324" s="27" t="s">
        <v>7</v>
      </c>
    </row>
    <row r="325" spans="1:149" x14ac:dyDescent="0.25">
      <c r="A325" s="30">
        <v>0.43629668761085438</v>
      </c>
      <c r="B325"/>
      <c r="C325"/>
      <c r="D325"/>
      <c r="E325"/>
      <c r="F325" s="27" t="s">
        <v>7</v>
      </c>
    </row>
    <row r="326" spans="1:149" x14ac:dyDescent="0.25">
      <c r="A326" s="30">
        <v>0.41552065486748019</v>
      </c>
      <c r="B326"/>
      <c r="C326"/>
      <c r="D326"/>
      <c r="E326"/>
      <c r="F326" s="27" t="s">
        <v>7</v>
      </c>
    </row>
    <row r="327" spans="1:149" x14ac:dyDescent="0.25">
      <c r="A327" s="30">
        <v>0.39573395701664765</v>
      </c>
      <c r="B327"/>
      <c r="C327"/>
      <c r="D327"/>
      <c r="E327"/>
      <c r="F327" s="27" t="s">
        <v>7</v>
      </c>
    </row>
    <row r="328" spans="1:149" x14ac:dyDescent="0.25">
      <c r="A328" s="30">
        <v>0.37688948287299762</v>
      </c>
      <c r="B328"/>
      <c r="C328"/>
      <c r="D328"/>
      <c r="E328"/>
      <c r="F328" s="27" t="s">
        <v>7</v>
      </c>
    </row>
    <row r="329" spans="1:149" x14ac:dyDescent="0.25">
      <c r="A329" s="30">
        <v>0.35894236464094997</v>
      </c>
      <c r="B329"/>
      <c r="C329"/>
      <c r="D329"/>
      <c r="E329"/>
      <c r="F329" s="27" t="s">
        <v>7</v>
      </c>
    </row>
    <row r="330" spans="1:149" x14ac:dyDescent="0.25">
      <c r="A330" s="30">
        <v>0.34184987108661891</v>
      </c>
      <c r="B330"/>
      <c r="C330"/>
      <c r="D330"/>
      <c r="E330"/>
      <c r="F330" s="27" t="s">
        <v>7</v>
      </c>
    </row>
    <row r="331" spans="1:149" x14ac:dyDescent="0.25">
      <c r="A331" s="30">
        <v>0.32557130579677979</v>
      </c>
      <c r="B331"/>
      <c r="C331"/>
      <c r="D331"/>
      <c r="E331"/>
      <c r="F331" s="27" t="s">
        <v>7</v>
      </c>
    </row>
    <row r="332" spans="1:149" x14ac:dyDescent="0.25">
      <c r="A332" s="30">
        <v>0.3100679102826473</v>
      </c>
      <c r="B332"/>
      <c r="C332"/>
      <c r="D332"/>
      <c r="E332"/>
      <c r="F332" s="27" t="s">
        <v>7</v>
      </c>
    </row>
    <row r="333" spans="1:149" x14ac:dyDescent="0.25">
      <c r="A333" s="30">
        <v>0.2953027716977592</v>
      </c>
      <c r="B333"/>
      <c r="C333"/>
      <c r="D333"/>
      <c r="E333"/>
      <c r="F333" s="27" t="s">
        <v>7</v>
      </c>
    </row>
    <row r="334" spans="1:149" x14ac:dyDescent="0.25">
      <c r="A334" s="30">
        <v>0.28124073495024676</v>
      </c>
      <c r="B334"/>
      <c r="C334"/>
      <c r="D334"/>
      <c r="E334"/>
      <c r="F334" s="27" t="s">
        <v>7</v>
      </c>
    </row>
    <row r="335" spans="1:149" x14ac:dyDescent="0.25">
      <c r="A335" s="30">
        <v>0.26784831900023492</v>
      </c>
      <c r="B335"/>
      <c r="C335"/>
      <c r="D335"/>
      <c r="E335"/>
      <c r="F335" s="27" t="s">
        <v>7</v>
      </c>
    </row>
    <row r="336" spans="1:149" x14ac:dyDescent="0.25">
      <c r="A336" s="30">
        <v>0.25509363714308075</v>
      </c>
      <c r="B336"/>
      <c r="C336"/>
      <c r="D336"/>
      <c r="E336"/>
      <c r="F336" s="27" t="s">
        <v>7</v>
      </c>
      <c r="ES336" s="32" t="s">
        <v>8</v>
      </c>
    </row>
    <row r="337" spans="1:186" x14ac:dyDescent="0.25">
      <c r="A337" s="30">
        <v>0.24294632108864825</v>
      </c>
      <c r="B337"/>
      <c r="C337"/>
      <c r="D337"/>
      <c r="E337"/>
      <c r="F337" s="27" t="s">
        <v>7</v>
      </c>
      <c r="EK337" s="27" t="s">
        <v>8</v>
      </c>
      <c r="ES337" s="27" t="s">
        <v>8</v>
      </c>
      <c r="ET337" s="32" t="s">
        <v>7</v>
      </c>
    </row>
    <row r="338" spans="1:186" x14ac:dyDescent="0.25">
      <c r="A338" s="30">
        <v>0.23137744865585538</v>
      </c>
      <c r="B338"/>
      <c r="C338"/>
      <c r="D338"/>
      <c r="E338"/>
      <c r="F338" s="27" t="s">
        <v>7</v>
      </c>
      <c r="EK338" s="27" t="s">
        <v>8</v>
      </c>
      <c r="EL338" s="27" t="s">
        <v>7</v>
      </c>
      <c r="ES338" s="27" t="s">
        <v>8</v>
      </c>
      <c r="ET338" s="27" t="s">
        <v>7</v>
      </c>
      <c r="EU338" s="32"/>
    </row>
    <row r="339" spans="1:186" x14ac:dyDescent="0.25">
      <c r="A339" s="30">
        <v>0.22035947491033836</v>
      </c>
      <c r="B339"/>
      <c r="C339"/>
      <c r="D339"/>
      <c r="E339"/>
      <c r="F339" s="27" t="s">
        <v>7</v>
      </c>
      <c r="EI339" s="27" t="s">
        <v>8</v>
      </c>
      <c r="EK339" s="27" t="s">
        <v>8</v>
      </c>
      <c r="EL339" s="27" t="s">
        <v>7</v>
      </c>
      <c r="EQ339" s="27" t="s">
        <v>8</v>
      </c>
      <c r="ES339" s="27" t="s">
        <v>8</v>
      </c>
      <c r="ET339" s="27" t="s">
        <v>7</v>
      </c>
      <c r="EV339" s="32"/>
    </row>
    <row r="340" spans="1:186" x14ac:dyDescent="0.25">
      <c r="A340" s="30">
        <v>0.20986616658127455</v>
      </c>
      <c r="B340"/>
      <c r="C340"/>
      <c r="D340"/>
      <c r="E340"/>
      <c r="F340" s="27" t="s">
        <v>7</v>
      </c>
      <c r="EG340" s="27" t="s">
        <v>8</v>
      </c>
      <c r="EI340" s="27" t="s">
        <v>8</v>
      </c>
      <c r="EJ340" s="27" t="s">
        <v>7</v>
      </c>
      <c r="EK340" s="27" t="s">
        <v>8</v>
      </c>
      <c r="EL340" s="27" t="s">
        <v>7</v>
      </c>
      <c r="EQ340" s="27" t="s">
        <v>8</v>
      </c>
      <c r="ER340" s="27" t="s">
        <v>7</v>
      </c>
      <c r="ES340" s="27" t="s">
        <v>8</v>
      </c>
      <c r="ET340" s="27" t="s">
        <v>7</v>
      </c>
      <c r="EW340" s="32"/>
    </row>
    <row r="341" spans="1:186" x14ac:dyDescent="0.25">
      <c r="A341" s="30">
        <v>0.19987253960121379</v>
      </c>
      <c r="B341"/>
      <c r="C341"/>
      <c r="D341"/>
      <c r="E341"/>
      <c r="F341" s="27" t="s">
        <v>7</v>
      </c>
      <c r="EC341" s="27" t="s">
        <v>8</v>
      </c>
      <c r="EG341" s="27" t="s">
        <v>8</v>
      </c>
      <c r="EH341" s="27" t="s">
        <v>7</v>
      </c>
      <c r="EI341" s="27" t="s">
        <v>8</v>
      </c>
      <c r="EJ341" s="27" t="s">
        <v>7</v>
      </c>
      <c r="EK341" s="27" t="s">
        <v>8</v>
      </c>
      <c r="EL341" s="32" t="s">
        <v>7</v>
      </c>
      <c r="EQ341" s="27" t="s">
        <v>8</v>
      </c>
      <c r="ER341" s="27" t="s">
        <v>7</v>
      </c>
      <c r="ES341" s="27" t="s">
        <v>8</v>
      </c>
      <c r="ET341" s="27" t="s">
        <v>7</v>
      </c>
      <c r="EU341" s="27" t="s">
        <v>8</v>
      </c>
      <c r="EX341" s="32"/>
    </row>
    <row r="342" spans="1:186" x14ac:dyDescent="0.25">
      <c r="A342" s="30">
        <v>0.19035479962020352</v>
      </c>
      <c r="B342"/>
      <c r="C342"/>
      <c r="D342"/>
      <c r="E342"/>
      <c r="F342" s="27" t="s">
        <v>7</v>
      </c>
      <c r="DY342" s="27" t="s">
        <v>8</v>
      </c>
      <c r="EC342" s="35" t="s">
        <v>8</v>
      </c>
      <c r="ED342" s="27" t="s">
        <v>7</v>
      </c>
      <c r="EG342" s="35" t="s">
        <v>8</v>
      </c>
      <c r="EH342" s="27" t="s">
        <v>7</v>
      </c>
      <c r="EI342" s="27" t="s">
        <v>8</v>
      </c>
      <c r="EJ342" s="27" t="s">
        <v>7</v>
      </c>
      <c r="EK342" s="32"/>
      <c r="EL342" s="27" t="s">
        <v>7</v>
      </c>
      <c r="EM342" s="27" t="s">
        <v>8</v>
      </c>
      <c r="EQ342" s="27" t="s">
        <v>8</v>
      </c>
      <c r="ER342" s="27" t="s">
        <v>7</v>
      </c>
      <c r="ET342" s="27" t="s">
        <v>7</v>
      </c>
      <c r="EU342" s="27" t="s">
        <v>8</v>
      </c>
      <c r="EV342" s="27" t="s">
        <v>7</v>
      </c>
      <c r="EY342" s="32"/>
    </row>
    <row r="343" spans="1:186" x14ac:dyDescent="0.25">
      <c r="A343" s="30">
        <v>0.18129028535257471</v>
      </c>
      <c r="B343"/>
      <c r="C343"/>
      <c r="D343"/>
      <c r="E343"/>
      <c r="F343" s="27" t="s">
        <v>7</v>
      </c>
      <c r="DY343" s="27" t="s">
        <v>8</v>
      </c>
      <c r="DZ343" s="27" t="s">
        <v>7</v>
      </c>
      <c r="EA343" s="27" t="s">
        <v>8</v>
      </c>
      <c r="EC343" s="27" t="s">
        <v>8</v>
      </c>
      <c r="ED343" s="27" t="s">
        <v>7</v>
      </c>
      <c r="EE343" s="27" t="s">
        <v>8</v>
      </c>
      <c r="EG343" s="27" t="s">
        <v>8</v>
      </c>
      <c r="EH343" s="27" t="s">
        <v>7</v>
      </c>
      <c r="EJ343" s="32"/>
      <c r="EL343" s="34" t="s">
        <v>7</v>
      </c>
      <c r="EM343" s="27" t="s">
        <v>8</v>
      </c>
      <c r="EN343" s="27" t="s">
        <v>7</v>
      </c>
      <c r="EQ343" s="27" t="s">
        <v>8</v>
      </c>
      <c r="ET343" s="34" t="s">
        <v>7</v>
      </c>
      <c r="EU343" s="27" t="s">
        <v>8</v>
      </c>
      <c r="EV343" s="27" t="s">
        <v>7</v>
      </c>
      <c r="EZ343" s="32"/>
    </row>
    <row r="344" spans="1:186" x14ac:dyDescent="0.25">
      <c r="A344" s="30">
        <v>0.17265741462149967</v>
      </c>
      <c r="B344"/>
      <c r="C344"/>
      <c r="D344"/>
      <c r="E344"/>
      <c r="F344" s="27" t="s">
        <v>7</v>
      </c>
      <c r="DY344" s="27" t="s">
        <v>8</v>
      </c>
      <c r="DZ344" s="27" t="s">
        <v>7</v>
      </c>
      <c r="EA344" s="27" t="s">
        <v>8</v>
      </c>
      <c r="EB344" s="27" t="s">
        <v>7</v>
      </c>
      <c r="EC344" s="27" t="s">
        <v>8</v>
      </c>
      <c r="ED344" s="27" t="s">
        <v>7</v>
      </c>
      <c r="EE344" s="27" t="s">
        <v>8</v>
      </c>
      <c r="EF344" s="27" t="s">
        <v>7</v>
      </c>
      <c r="EG344" s="27" t="s">
        <v>8</v>
      </c>
      <c r="EI344" s="32"/>
      <c r="EL344" s="27" t="s">
        <v>7</v>
      </c>
      <c r="EM344" s="27" t="s">
        <v>8</v>
      </c>
      <c r="EN344" s="27" t="s">
        <v>7</v>
      </c>
      <c r="EQ344" s="27" t="s">
        <v>8</v>
      </c>
      <c r="ET344" s="27" t="s">
        <v>7</v>
      </c>
      <c r="EV344" s="27" t="s">
        <v>7</v>
      </c>
      <c r="FA344" s="32"/>
    </row>
    <row r="345" spans="1:186" x14ac:dyDescent="0.25">
      <c r="A345" s="30">
        <v>0.16443563297285677</v>
      </c>
      <c r="B345"/>
      <c r="C345"/>
      <c r="D345"/>
      <c r="E345"/>
      <c r="F345" s="27" t="s">
        <v>7</v>
      </c>
      <c r="DY345" s="27" t="s">
        <v>8</v>
      </c>
      <c r="DZ345" s="27" t="s">
        <v>7</v>
      </c>
      <c r="EA345" s="27" t="s">
        <v>8</v>
      </c>
      <c r="EB345" s="27" t="s">
        <v>7</v>
      </c>
      <c r="EC345" s="27" t="s">
        <v>8</v>
      </c>
      <c r="ED345" s="27" t="s">
        <v>7</v>
      </c>
      <c r="EE345" s="27" t="s">
        <v>8</v>
      </c>
      <c r="EF345" s="27" t="s">
        <v>7</v>
      </c>
      <c r="EG345" s="27" t="s">
        <v>8</v>
      </c>
      <c r="EH345" s="32"/>
      <c r="EL345" s="27" t="s">
        <v>7</v>
      </c>
      <c r="EN345" s="27" t="s">
        <v>7</v>
      </c>
      <c r="EQ345" s="35" t="s">
        <v>8</v>
      </c>
      <c r="EV345" s="27" t="s">
        <v>7</v>
      </c>
      <c r="FB345" s="32"/>
    </row>
    <row r="346" spans="1:186" x14ac:dyDescent="0.25">
      <c r="A346" s="30">
        <v>0.15660536473605399</v>
      </c>
      <c r="B346"/>
      <c r="C346"/>
      <c r="D346"/>
      <c r="E346"/>
      <c r="F346" s="27" t="s">
        <v>7</v>
      </c>
      <c r="DQ346" s="33" t="s">
        <v>8</v>
      </c>
      <c r="DS346" s="33" t="s">
        <v>8</v>
      </c>
      <c r="DY346" s="27" t="s">
        <v>8</v>
      </c>
      <c r="DZ346" s="27" t="s">
        <v>7</v>
      </c>
      <c r="EB346" s="27" t="s">
        <v>7</v>
      </c>
      <c r="EC346" s="27" t="s">
        <v>8</v>
      </c>
      <c r="ED346" s="27" t="s">
        <v>7</v>
      </c>
      <c r="EF346" s="27" t="s">
        <v>7</v>
      </c>
      <c r="EG346" s="32" t="s">
        <v>8</v>
      </c>
      <c r="EN346" s="27" t="s">
        <v>7</v>
      </c>
      <c r="EO346" s="27" t="s">
        <v>8</v>
      </c>
      <c r="EQ346" s="27" t="s">
        <v>8</v>
      </c>
      <c r="EV346" s="27" t="s">
        <v>7</v>
      </c>
      <c r="FC346" s="32"/>
    </row>
    <row r="347" spans="1:186" x14ac:dyDescent="0.25">
      <c r="A347" s="30">
        <v>0.14914796641528946</v>
      </c>
      <c r="B347"/>
      <c r="C347"/>
      <c r="D347"/>
      <c r="E347"/>
      <c r="F347" s="27" t="s">
        <v>7</v>
      </c>
      <c r="DQ347" s="27" t="s">
        <v>8</v>
      </c>
      <c r="DR347" s="27" t="s">
        <v>7</v>
      </c>
      <c r="DS347" s="27" t="s">
        <v>8</v>
      </c>
      <c r="DT347" s="27" t="s">
        <v>7</v>
      </c>
      <c r="DY347" s="27" t="s">
        <v>8</v>
      </c>
      <c r="EB347" s="34" t="s">
        <v>7</v>
      </c>
      <c r="EF347" s="34" t="s">
        <v>7</v>
      </c>
      <c r="EN347" s="27" t="s">
        <v>7</v>
      </c>
      <c r="EO347" s="27" t="s">
        <v>8</v>
      </c>
      <c r="EP347" s="27" t="s">
        <v>7</v>
      </c>
      <c r="EQ347" s="27" t="s">
        <v>8</v>
      </c>
      <c r="EV347" s="27" t="s">
        <v>7</v>
      </c>
      <c r="FC347" s="27" t="s">
        <v>8</v>
      </c>
      <c r="FD347" s="32"/>
    </row>
    <row r="348" spans="1:186" x14ac:dyDescent="0.25">
      <c r="A348" s="30">
        <v>0.14204568230027562</v>
      </c>
      <c r="B348"/>
      <c r="C348"/>
      <c r="D348"/>
      <c r="E348"/>
      <c r="F348" s="27" t="s">
        <v>7</v>
      </c>
      <c r="DQ348" s="27" t="s">
        <v>8</v>
      </c>
      <c r="DR348" s="27" t="s">
        <v>7</v>
      </c>
      <c r="DS348" s="27" t="s">
        <v>8</v>
      </c>
      <c r="DT348" s="27" t="s">
        <v>7</v>
      </c>
      <c r="DY348" s="27" t="s">
        <v>8</v>
      </c>
      <c r="EE348" s="32"/>
      <c r="EN348" s="27" t="s">
        <v>7</v>
      </c>
      <c r="EO348" s="27" t="s">
        <v>8</v>
      </c>
      <c r="EP348" s="27" t="s">
        <v>7</v>
      </c>
      <c r="EQ348" s="27" t="s">
        <v>8</v>
      </c>
      <c r="EV348" s="27" t="s">
        <v>7</v>
      </c>
      <c r="EW348" s="27" t="s">
        <v>8</v>
      </c>
      <c r="FC348" s="27" t="s">
        <v>8</v>
      </c>
      <c r="FD348" s="27" t="s">
        <v>7</v>
      </c>
      <c r="FE348" s="32"/>
    </row>
    <row r="349" spans="1:186" x14ac:dyDescent="0.25">
      <c r="A349" s="30">
        <v>0.13528160219073862</v>
      </c>
      <c r="B349"/>
      <c r="C349"/>
      <c r="D349"/>
      <c r="E349"/>
      <c r="F349" s="27" t="s">
        <v>7</v>
      </c>
      <c r="DQ349" s="27" t="s">
        <v>8</v>
      </c>
      <c r="DR349" s="27" t="s">
        <v>7</v>
      </c>
      <c r="DS349" s="27" t="s">
        <v>8</v>
      </c>
      <c r="DT349" s="27" t="s">
        <v>7</v>
      </c>
      <c r="DY349" s="27" t="s">
        <v>8</v>
      </c>
      <c r="ED349" s="32"/>
      <c r="EN349" s="27" t="s">
        <v>7</v>
      </c>
      <c r="EO349" s="27" t="s">
        <v>8</v>
      </c>
      <c r="EP349" s="27" t="s">
        <v>7</v>
      </c>
      <c r="EV349" s="27" t="s">
        <v>7</v>
      </c>
      <c r="EW349" s="27" t="s">
        <v>8</v>
      </c>
      <c r="EX349" s="27" t="s">
        <v>7</v>
      </c>
      <c r="FA349" s="27" t="s">
        <v>8</v>
      </c>
      <c r="FC349" s="27" t="s">
        <v>8</v>
      </c>
      <c r="FD349" s="27" t="s">
        <v>7</v>
      </c>
      <c r="FF349" s="32"/>
      <c r="FS349" s="27" t="s">
        <v>8</v>
      </c>
    </row>
    <row r="350" spans="1:186" x14ac:dyDescent="0.25">
      <c r="A350" s="30">
        <v>0.12883962113403674</v>
      </c>
      <c r="B350"/>
      <c r="C350"/>
      <c r="D350"/>
      <c r="E350"/>
      <c r="F350" s="27" t="s">
        <v>7</v>
      </c>
      <c r="DQ350" s="27" t="s">
        <v>8</v>
      </c>
      <c r="DR350" s="27" t="s">
        <v>7</v>
      </c>
      <c r="DS350" s="27" t="s">
        <v>8</v>
      </c>
      <c r="DT350" s="27" t="s">
        <v>7</v>
      </c>
      <c r="DW350" s="35" t="s">
        <v>8</v>
      </c>
      <c r="DY350" s="27" t="s">
        <v>8</v>
      </c>
      <c r="EC350" s="32"/>
      <c r="EN350" s="27" t="s">
        <v>7</v>
      </c>
      <c r="EO350" s="27" t="s">
        <v>8</v>
      </c>
      <c r="EV350" s="27" t="s">
        <v>7</v>
      </c>
      <c r="EW350" s="27" t="s">
        <v>8</v>
      </c>
      <c r="EX350" s="27" t="s">
        <v>7</v>
      </c>
      <c r="FA350" s="27" t="s">
        <v>8</v>
      </c>
      <c r="FB350" s="27" t="s">
        <v>7</v>
      </c>
      <c r="FC350" s="27" t="s">
        <v>8</v>
      </c>
      <c r="FD350" s="27" t="s">
        <v>7</v>
      </c>
      <c r="FG350" s="32"/>
      <c r="FS350" s="27" t="s">
        <v>8</v>
      </c>
      <c r="FT350" s="27" t="s">
        <v>7</v>
      </c>
    </row>
    <row r="351" spans="1:186" x14ac:dyDescent="0.25">
      <c r="A351" s="30">
        <v>0.12270440108003494</v>
      </c>
      <c r="B351"/>
      <c r="C351"/>
      <c r="D351"/>
      <c r="E351"/>
      <c r="F351" s="27" t="s">
        <v>7</v>
      </c>
      <c r="DQ351" s="27" t="s">
        <v>8</v>
      </c>
      <c r="DR351" s="27" t="s">
        <v>7</v>
      </c>
      <c r="DS351" s="27" t="s">
        <v>8</v>
      </c>
      <c r="DT351" s="27" t="s">
        <v>7</v>
      </c>
      <c r="DU351" s="27" t="s">
        <v>8</v>
      </c>
      <c r="DW351" s="27" t="s">
        <v>8</v>
      </c>
      <c r="DX351" s="27" t="s">
        <v>7</v>
      </c>
      <c r="DY351" s="27" t="s">
        <v>8</v>
      </c>
      <c r="EB351" s="32"/>
      <c r="EN351" s="27" t="s">
        <v>7</v>
      </c>
      <c r="EV351" s="27" t="s">
        <v>7</v>
      </c>
      <c r="EW351" s="27" t="s">
        <v>8</v>
      </c>
      <c r="EX351" s="27" t="s">
        <v>7</v>
      </c>
      <c r="FA351" s="35" t="s">
        <v>8</v>
      </c>
      <c r="FB351" s="27" t="s">
        <v>7</v>
      </c>
      <c r="FC351" s="27" t="s">
        <v>8</v>
      </c>
      <c r="FD351" s="27" t="s">
        <v>7</v>
      </c>
      <c r="FH351" s="32"/>
      <c r="FQ351" s="27" t="s">
        <v>8</v>
      </c>
      <c r="FS351" s="27" t="s">
        <v>8</v>
      </c>
      <c r="FT351" s="27" t="s">
        <v>7</v>
      </c>
      <c r="GC351" s="27" t="s">
        <v>8</v>
      </c>
    </row>
    <row r="352" spans="1:186" x14ac:dyDescent="0.25">
      <c r="A352" s="30">
        <v>0.11686133436193799</v>
      </c>
      <c r="B352"/>
      <c r="C352"/>
      <c r="D352"/>
      <c r="E352"/>
      <c r="F352" s="27" t="s">
        <v>7</v>
      </c>
      <c r="DQ352" s="27" t="s">
        <v>8</v>
      </c>
      <c r="DR352" s="27" t="s">
        <v>7</v>
      </c>
      <c r="DS352" s="27" t="s">
        <v>8</v>
      </c>
      <c r="DT352" s="27" t="s">
        <v>7</v>
      </c>
      <c r="DU352" s="27" t="s">
        <v>8</v>
      </c>
      <c r="DV352" s="27" t="s">
        <v>7</v>
      </c>
      <c r="DW352" s="27" t="s">
        <v>8</v>
      </c>
      <c r="DX352" s="27" t="s">
        <v>7</v>
      </c>
      <c r="DY352" s="27" t="s">
        <v>8</v>
      </c>
      <c r="EA352" s="32"/>
      <c r="EV352" s="27" t="s">
        <v>7</v>
      </c>
      <c r="EW352" s="27" t="s">
        <v>8</v>
      </c>
      <c r="EX352" s="27" t="s">
        <v>7</v>
      </c>
      <c r="EY352" s="27" t="s">
        <v>8</v>
      </c>
      <c r="FA352" s="27" t="s">
        <v>8</v>
      </c>
      <c r="FB352" s="27" t="s">
        <v>7</v>
      </c>
      <c r="FC352" s="27" t="s">
        <v>8</v>
      </c>
      <c r="FD352" s="27" t="s">
        <v>7</v>
      </c>
      <c r="FE352" s="27" t="s">
        <v>8</v>
      </c>
      <c r="FI352" s="32"/>
      <c r="FO352" s="27" t="s">
        <v>8</v>
      </c>
      <c r="FQ352" s="27" t="s">
        <v>8</v>
      </c>
      <c r="FR352" s="27" t="s">
        <v>7</v>
      </c>
      <c r="FS352" s="27" t="s">
        <v>8</v>
      </c>
      <c r="FT352" s="27" t="s">
        <v>7</v>
      </c>
      <c r="FU352" s="27" t="s">
        <v>8</v>
      </c>
      <c r="GC352" s="27" t="s">
        <v>8</v>
      </c>
      <c r="GD352" s="27" t="s">
        <v>7</v>
      </c>
    </row>
    <row r="353" spans="1:194" x14ac:dyDescent="0.25">
      <c r="A353" s="30">
        <v>0.11129650891613138</v>
      </c>
      <c r="B353"/>
      <c r="C353"/>
      <c r="D353"/>
      <c r="E353"/>
      <c r="F353" s="27" t="s">
        <v>7</v>
      </c>
      <c r="DQ353" s="27" t="s">
        <v>8</v>
      </c>
      <c r="DR353" s="27" t="s">
        <v>7</v>
      </c>
      <c r="DT353" s="27" t="s">
        <v>7</v>
      </c>
      <c r="DU353" s="27" t="s">
        <v>8</v>
      </c>
      <c r="DV353" s="27" t="s">
        <v>7</v>
      </c>
      <c r="DW353" s="27" t="s">
        <v>8</v>
      </c>
      <c r="DX353" s="27" t="s">
        <v>7</v>
      </c>
      <c r="DZ353" s="32"/>
      <c r="EV353" s="27" t="s">
        <v>7</v>
      </c>
      <c r="EW353" s="27" t="s">
        <v>8</v>
      </c>
      <c r="EX353" s="27" t="s">
        <v>7</v>
      </c>
      <c r="EY353" s="27" t="s">
        <v>8</v>
      </c>
      <c r="EZ353" s="27" t="s">
        <v>7</v>
      </c>
      <c r="FA353" s="27" t="s">
        <v>8</v>
      </c>
      <c r="FB353" s="27" t="s">
        <v>7</v>
      </c>
      <c r="FC353" s="27" t="s">
        <v>8</v>
      </c>
      <c r="FD353" s="27" t="s">
        <v>7</v>
      </c>
      <c r="FE353" s="27" t="s">
        <v>8</v>
      </c>
      <c r="FF353" s="27" t="s">
        <v>7</v>
      </c>
      <c r="FG353" s="27" t="s">
        <v>8</v>
      </c>
      <c r="FJ353" s="32"/>
      <c r="FO353" s="27" t="s">
        <v>8</v>
      </c>
      <c r="FP353" s="27" t="s">
        <v>7</v>
      </c>
      <c r="FQ353" s="27" t="s">
        <v>8</v>
      </c>
      <c r="FR353" s="27" t="s">
        <v>7</v>
      </c>
      <c r="FS353" s="27" t="s">
        <v>8</v>
      </c>
      <c r="FT353" s="27" t="s">
        <v>7</v>
      </c>
      <c r="FU353" s="27" t="s">
        <v>8</v>
      </c>
      <c r="FV353" s="27" t="s">
        <v>7</v>
      </c>
      <c r="GA353" s="27" t="s">
        <v>8</v>
      </c>
      <c r="GC353" s="27" t="s">
        <v>8</v>
      </c>
      <c r="GD353" s="27" t="s">
        <v>7</v>
      </c>
    </row>
    <row r="354" spans="1:194" x14ac:dyDescent="0.25">
      <c r="A354" s="30">
        <v>0.10599667515822032</v>
      </c>
      <c r="B354"/>
      <c r="C354"/>
      <c r="D354"/>
      <c r="E354"/>
      <c r="F354" s="27" t="s">
        <v>7</v>
      </c>
      <c r="DQ354" s="27" t="s">
        <v>8</v>
      </c>
      <c r="DT354" s="34" t="s">
        <v>7</v>
      </c>
      <c r="DU354" s="27" t="s">
        <v>8</v>
      </c>
      <c r="DV354" s="27" t="s">
        <v>7</v>
      </c>
      <c r="DW354" s="27" t="s">
        <v>8</v>
      </c>
      <c r="DY354" s="32"/>
      <c r="EV354" s="27" t="s">
        <v>7</v>
      </c>
      <c r="EW354" s="27" t="s">
        <v>8</v>
      </c>
      <c r="EX354" s="27" t="s">
        <v>7</v>
      </c>
      <c r="EY354" s="27" t="s">
        <v>8</v>
      </c>
      <c r="EZ354" s="27" t="s">
        <v>7</v>
      </c>
      <c r="FA354" s="27" t="s">
        <v>8</v>
      </c>
      <c r="FB354" s="27" t="s">
        <v>7</v>
      </c>
      <c r="FC354" s="27" t="s">
        <v>8</v>
      </c>
      <c r="FD354" s="27" t="s">
        <v>7</v>
      </c>
      <c r="FE354" s="27" t="s">
        <v>8</v>
      </c>
      <c r="FF354" s="27" t="s">
        <v>7</v>
      </c>
      <c r="FG354" s="27" t="s">
        <v>8</v>
      </c>
      <c r="FH354" s="27" t="s">
        <v>7</v>
      </c>
      <c r="FK354" s="32"/>
      <c r="FO354" s="27" t="s">
        <v>8</v>
      </c>
      <c r="FP354" s="27" t="s">
        <v>7</v>
      </c>
      <c r="FQ354" s="27" t="s">
        <v>8</v>
      </c>
      <c r="FR354" s="27" t="s">
        <v>7</v>
      </c>
      <c r="FT354" s="27" t="s">
        <v>7</v>
      </c>
      <c r="FU354" s="27" t="s">
        <v>8</v>
      </c>
      <c r="FV354" s="27" t="s">
        <v>7</v>
      </c>
      <c r="FY354" s="27" t="s">
        <v>8</v>
      </c>
      <c r="GA354" s="27" t="s">
        <v>8</v>
      </c>
      <c r="GB354" s="27" t="s">
        <v>7</v>
      </c>
      <c r="GC354" s="27" t="s">
        <v>8</v>
      </c>
      <c r="GD354" s="27" t="s">
        <v>7</v>
      </c>
    </row>
    <row r="355" spans="1:194" x14ac:dyDescent="0.25">
      <c r="A355" s="30">
        <v>0.10094921443640027</v>
      </c>
      <c r="B355"/>
      <c r="C355"/>
      <c r="D355"/>
      <c r="E355"/>
      <c r="F355" s="27" t="s">
        <v>7</v>
      </c>
      <c r="DQ355" s="27" t="s">
        <v>8</v>
      </c>
      <c r="DT355" s="27" t="s">
        <v>7</v>
      </c>
      <c r="DU355" s="27" t="s">
        <v>8</v>
      </c>
      <c r="DV355" s="27" t="s">
        <v>7</v>
      </c>
      <c r="DX355" s="32"/>
      <c r="EV355" s="27" t="s">
        <v>7</v>
      </c>
      <c r="EW355" s="27" t="s">
        <v>8</v>
      </c>
      <c r="EX355" s="27" t="s">
        <v>7</v>
      </c>
      <c r="EZ355" s="27" t="s">
        <v>7</v>
      </c>
      <c r="FA355" s="27" t="s">
        <v>8</v>
      </c>
      <c r="FB355" s="27" t="s">
        <v>7</v>
      </c>
      <c r="FC355" s="27" t="s">
        <v>8</v>
      </c>
      <c r="FD355" s="27" t="s">
        <v>7</v>
      </c>
      <c r="FF355" s="27" t="s">
        <v>7</v>
      </c>
      <c r="FG355" s="32" t="s">
        <v>8</v>
      </c>
      <c r="FH355" s="27" t="s">
        <v>7</v>
      </c>
      <c r="FL355" s="32"/>
      <c r="FO355" s="27" t="s">
        <v>8</v>
      </c>
      <c r="FP355" s="27" t="s">
        <v>7</v>
      </c>
      <c r="FQ355" s="27" t="s">
        <v>8</v>
      </c>
      <c r="FT355" s="27" t="s">
        <v>7</v>
      </c>
      <c r="FU355" s="27" t="s">
        <v>8</v>
      </c>
      <c r="FV355" s="27" t="s">
        <v>7</v>
      </c>
      <c r="FY355" s="27" t="s">
        <v>8</v>
      </c>
      <c r="FZ355" s="27" t="s">
        <v>7</v>
      </c>
      <c r="GA355" s="27" t="s">
        <v>8</v>
      </c>
      <c r="GB355" s="27" t="s">
        <v>7</v>
      </c>
      <c r="GC355" s="27" t="s">
        <v>8</v>
      </c>
      <c r="GD355" s="27" t="s">
        <v>7</v>
      </c>
    </row>
    <row r="356" spans="1:194" x14ac:dyDescent="0.25">
      <c r="A356" s="30">
        <v>9.6142108987047836E-2</v>
      </c>
      <c r="B356"/>
      <c r="C356"/>
      <c r="D356"/>
      <c r="E356"/>
      <c r="F356" s="27" t="s">
        <v>7</v>
      </c>
      <c r="CY356" s="27" t="s">
        <v>8</v>
      </c>
      <c r="DQ356" s="27" t="s">
        <v>8</v>
      </c>
      <c r="DT356" s="27" t="s">
        <v>7</v>
      </c>
      <c r="DU356" s="27" t="s">
        <v>8</v>
      </c>
      <c r="DW356" s="32"/>
      <c r="EV356" s="27" t="s">
        <v>7</v>
      </c>
      <c r="EW356" s="27" t="s">
        <v>8</v>
      </c>
      <c r="EZ356" s="27" t="s">
        <v>7</v>
      </c>
      <c r="FA356" s="27" t="s">
        <v>8</v>
      </c>
      <c r="FB356" s="27" t="s">
        <v>7</v>
      </c>
      <c r="FF356" s="34" t="s">
        <v>7</v>
      </c>
      <c r="FH356" s="27" t="s">
        <v>7</v>
      </c>
      <c r="FM356" s="32"/>
      <c r="FO356" s="27" t="s">
        <v>8</v>
      </c>
      <c r="FP356" s="27" t="s">
        <v>7</v>
      </c>
      <c r="FT356" s="27" t="s">
        <v>7</v>
      </c>
      <c r="FU356" s="27" t="s">
        <v>8</v>
      </c>
      <c r="FV356" s="27" t="s">
        <v>7</v>
      </c>
      <c r="FW356" s="27" t="s">
        <v>8</v>
      </c>
      <c r="FY356" s="27" t="s">
        <v>8</v>
      </c>
      <c r="FZ356" s="27" t="s">
        <v>7</v>
      </c>
      <c r="GA356" s="27" t="s">
        <v>8</v>
      </c>
      <c r="GB356" s="27" t="s">
        <v>7</v>
      </c>
      <c r="GC356" s="27" t="s">
        <v>8</v>
      </c>
      <c r="GD356" s="27" t="s">
        <v>7</v>
      </c>
    </row>
    <row r="357" spans="1:194" x14ac:dyDescent="0.25">
      <c r="A357" s="30">
        <v>9.1563913320997906E-2</v>
      </c>
      <c r="B357"/>
      <c r="C357"/>
      <c r="D357"/>
      <c r="E357"/>
      <c r="F357" s="27" t="s">
        <v>7</v>
      </c>
      <c r="CY357" s="27" t="s">
        <v>8</v>
      </c>
      <c r="CZ357" s="27" t="s">
        <v>7</v>
      </c>
      <c r="DQ357" s="27" t="s">
        <v>8</v>
      </c>
      <c r="DT357" s="27" t="s">
        <v>7</v>
      </c>
      <c r="DU357" s="27" t="s">
        <v>8</v>
      </c>
      <c r="DV357" s="32"/>
      <c r="EV357" s="27" t="s">
        <v>7</v>
      </c>
      <c r="EW357" s="27" t="s">
        <v>8</v>
      </c>
      <c r="EZ357" s="27" t="s">
        <v>7</v>
      </c>
      <c r="FA357" s="27" t="s">
        <v>8</v>
      </c>
      <c r="FE357" s="32"/>
      <c r="FH357" s="27" t="s">
        <v>7</v>
      </c>
      <c r="FK357" s="27" t="s">
        <v>8</v>
      </c>
      <c r="FN357" s="32"/>
      <c r="FO357" s="27" t="s">
        <v>8</v>
      </c>
      <c r="FT357" s="27" t="s">
        <v>7</v>
      </c>
      <c r="FU357" s="27" t="s">
        <v>8</v>
      </c>
      <c r="FV357" s="27" t="s">
        <v>7</v>
      </c>
      <c r="FW357" s="27" t="s">
        <v>8</v>
      </c>
      <c r="FX357" s="27" t="s">
        <v>7</v>
      </c>
      <c r="FY357" s="27" t="s">
        <v>8</v>
      </c>
      <c r="FZ357" s="27" t="s">
        <v>7</v>
      </c>
      <c r="GA357" s="27" t="s">
        <v>8</v>
      </c>
      <c r="GB357" s="27" t="s">
        <v>7</v>
      </c>
      <c r="GD357" s="27" t="s">
        <v>7</v>
      </c>
      <c r="GE357" s="27" t="s">
        <v>8</v>
      </c>
    </row>
    <row r="358" spans="1:194" x14ac:dyDescent="0.25">
      <c r="A358" s="30">
        <v>8.7203726972378923E-2</v>
      </c>
      <c r="B358"/>
      <c r="C358"/>
      <c r="D358"/>
      <c r="E358"/>
      <c r="F358" s="27" t="s">
        <v>7</v>
      </c>
      <c r="CY358" s="27" t="s">
        <v>8</v>
      </c>
      <c r="CZ358" s="27" t="s">
        <v>7</v>
      </c>
      <c r="DA358" s="27" t="s">
        <v>8</v>
      </c>
      <c r="DC358" s="27" t="s">
        <v>8</v>
      </c>
      <c r="DQ358" s="27" t="s">
        <v>8</v>
      </c>
      <c r="DT358" s="27" t="s">
        <v>7</v>
      </c>
      <c r="DU358" s="32" t="s">
        <v>8</v>
      </c>
      <c r="EV358" s="27" t="s">
        <v>7</v>
      </c>
      <c r="EW358" s="27" t="s">
        <v>8</v>
      </c>
      <c r="EZ358" s="27" t="s">
        <v>7</v>
      </c>
      <c r="FA358" s="27" t="s">
        <v>8</v>
      </c>
      <c r="FD358" s="32"/>
      <c r="FH358" s="27" t="s">
        <v>7</v>
      </c>
      <c r="FK358" s="27" t="s">
        <v>8</v>
      </c>
      <c r="FL358" s="27" t="s">
        <v>7</v>
      </c>
      <c r="FO358" s="35" t="s">
        <v>8</v>
      </c>
      <c r="FT358" s="27" t="s">
        <v>7</v>
      </c>
      <c r="FV358" s="27" t="s">
        <v>7</v>
      </c>
      <c r="FW358" s="27" t="s">
        <v>8</v>
      </c>
      <c r="FX358" s="27" t="s">
        <v>7</v>
      </c>
      <c r="FY358" s="27" t="s">
        <v>8</v>
      </c>
      <c r="FZ358" s="27" t="s">
        <v>7</v>
      </c>
      <c r="GD358" s="27" t="s">
        <v>7</v>
      </c>
      <c r="GE358" s="27" t="s">
        <v>8</v>
      </c>
      <c r="GF358" s="27" t="s">
        <v>7</v>
      </c>
    </row>
    <row r="359" spans="1:194" x14ac:dyDescent="0.25">
      <c r="A359" s="30">
        <v>8.3051168545122747E-2</v>
      </c>
      <c r="B359"/>
      <c r="C359"/>
      <c r="D359"/>
      <c r="E359"/>
      <c r="F359" s="27" t="s">
        <v>7</v>
      </c>
      <c r="CY359" s="27" t="s">
        <v>8</v>
      </c>
      <c r="CZ359" s="27" t="s">
        <v>7</v>
      </c>
      <c r="DA359" s="27" t="s">
        <v>8</v>
      </c>
      <c r="DB359" s="27" t="s">
        <v>7</v>
      </c>
      <c r="DC359" s="27" t="s">
        <v>8</v>
      </c>
      <c r="DD359" s="27" t="s">
        <v>7</v>
      </c>
      <c r="DE359" s="33" t="s">
        <v>8</v>
      </c>
      <c r="DG359" s="33" t="s">
        <v>8</v>
      </c>
      <c r="DQ359" s="27" t="s">
        <v>8</v>
      </c>
      <c r="DT359" s="32" t="s">
        <v>7</v>
      </c>
      <c r="EV359" s="27" t="s">
        <v>7</v>
      </c>
      <c r="EW359" s="27" t="s">
        <v>8</v>
      </c>
      <c r="EZ359" s="27" t="s">
        <v>7</v>
      </c>
      <c r="FA359" s="27" t="s">
        <v>8</v>
      </c>
      <c r="FC359" s="32"/>
      <c r="FH359" s="27" t="s">
        <v>7</v>
      </c>
      <c r="FK359" s="35" t="s">
        <v>8</v>
      </c>
      <c r="FL359" s="27" t="s">
        <v>7</v>
      </c>
      <c r="FM359" s="27" t="s">
        <v>8</v>
      </c>
      <c r="FO359" s="27" t="s">
        <v>8</v>
      </c>
      <c r="FP359" s="32"/>
      <c r="FV359" s="27" t="s">
        <v>7</v>
      </c>
      <c r="FW359" s="27" t="s">
        <v>8</v>
      </c>
      <c r="FX359" s="27" t="s">
        <v>7</v>
      </c>
      <c r="FY359" s="27" t="s">
        <v>8</v>
      </c>
      <c r="GD359" s="27" t="s">
        <v>7</v>
      </c>
      <c r="GE359" s="27" t="s">
        <v>8</v>
      </c>
      <c r="GF359" s="27" t="s">
        <v>7</v>
      </c>
      <c r="GI359" s="27" t="s">
        <v>8</v>
      </c>
    </row>
    <row r="360" spans="1:194" x14ac:dyDescent="0.25">
      <c r="A360" s="30">
        <v>7.9096350995354961E-2</v>
      </c>
      <c r="B360"/>
      <c r="C360"/>
      <c r="D360"/>
      <c r="E360"/>
      <c r="F360" s="27" t="s">
        <v>7</v>
      </c>
      <c r="CY360" s="27" t="s">
        <v>8</v>
      </c>
      <c r="CZ360" s="27" t="s">
        <v>7</v>
      </c>
      <c r="DA360" s="27" t="s">
        <v>8</v>
      </c>
      <c r="DB360" s="27" t="s">
        <v>7</v>
      </c>
      <c r="DC360" s="27" t="s">
        <v>8</v>
      </c>
      <c r="DD360" s="27" t="s">
        <v>7</v>
      </c>
      <c r="DE360" s="27" t="s">
        <v>8</v>
      </c>
      <c r="DF360" s="27" t="s">
        <v>7</v>
      </c>
      <c r="DG360" s="27" t="s">
        <v>8</v>
      </c>
      <c r="DH360" s="27" t="s">
        <v>7</v>
      </c>
      <c r="DK360" s="27" t="s">
        <v>8</v>
      </c>
      <c r="DO360" s="27" t="s">
        <v>8</v>
      </c>
      <c r="DQ360" s="27" t="s">
        <v>8</v>
      </c>
      <c r="DS360" s="32"/>
      <c r="EV360" s="27" t="s">
        <v>7</v>
      </c>
      <c r="EW360" s="27" t="s">
        <v>8</v>
      </c>
      <c r="EZ360" s="27" t="s">
        <v>7</v>
      </c>
      <c r="FA360" s="27" t="s">
        <v>8</v>
      </c>
      <c r="FB360" s="32"/>
      <c r="FH360" s="27" t="s">
        <v>7</v>
      </c>
      <c r="FI360" s="27" t="s">
        <v>8</v>
      </c>
      <c r="FK360" s="27" t="s">
        <v>8</v>
      </c>
      <c r="FL360" s="27" t="s">
        <v>7</v>
      </c>
      <c r="FM360" s="27" t="s">
        <v>8</v>
      </c>
      <c r="FN360" s="27" t="s">
        <v>7</v>
      </c>
      <c r="FO360" s="27" t="s">
        <v>8</v>
      </c>
      <c r="FV360" s="27" t="s">
        <v>7</v>
      </c>
      <c r="FX360" s="27" t="s">
        <v>7</v>
      </c>
      <c r="FY360" s="27" t="s">
        <v>8</v>
      </c>
      <c r="GD360" s="27" t="s">
        <v>7</v>
      </c>
      <c r="GF360" s="27" t="s">
        <v>7</v>
      </c>
      <c r="GI360" s="27" t="s">
        <v>8</v>
      </c>
      <c r="GJ360" s="27" t="s">
        <v>7</v>
      </c>
    </row>
    <row r="361" spans="1:194" x14ac:dyDescent="0.25">
      <c r="A361" s="30">
        <v>7.5329858090814217E-2</v>
      </c>
      <c r="B361"/>
      <c r="C361"/>
      <c r="D361"/>
      <c r="E361"/>
      <c r="F361" s="27" t="s">
        <v>7</v>
      </c>
      <c r="CY361" s="27" t="s">
        <v>8</v>
      </c>
      <c r="CZ361" s="27" t="s">
        <v>7</v>
      </c>
      <c r="DB361" s="27" t="s">
        <v>7</v>
      </c>
      <c r="DC361" s="27" t="s">
        <v>8</v>
      </c>
      <c r="DD361" s="27" t="s">
        <v>7</v>
      </c>
      <c r="DE361" s="27" t="s">
        <v>8</v>
      </c>
      <c r="DF361" s="27" t="s">
        <v>7</v>
      </c>
      <c r="DG361" s="27" t="s">
        <v>8</v>
      </c>
      <c r="DH361" s="27" t="s">
        <v>7</v>
      </c>
      <c r="DK361" s="27" t="s">
        <v>8</v>
      </c>
      <c r="DL361" s="27" t="s">
        <v>7</v>
      </c>
      <c r="DO361" s="35" t="s">
        <v>8</v>
      </c>
      <c r="DP361" s="27" t="s">
        <v>7</v>
      </c>
      <c r="DQ361" s="27" t="s">
        <v>8</v>
      </c>
      <c r="DR361" s="32"/>
      <c r="EV361" s="27" t="s">
        <v>7</v>
      </c>
      <c r="EW361" s="27" t="s">
        <v>8</v>
      </c>
      <c r="EZ361" s="32" t="s">
        <v>7</v>
      </c>
      <c r="FA361" s="32" t="s">
        <v>8</v>
      </c>
      <c r="FH361" s="27" t="s">
        <v>7</v>
      </c>
      <c r="FI361" s="27" t="s">
        <v>8</v>
      </c>
      <c r="FJ361" s="27" t="s">
        <v>7</v>
      </c>
      <c r="FK361" s="27" t="s">
        <v>8</v>
      </c>
      <c r="FL361" s="27" t="s">
        <v>7</v>
      </c>
      <c r="FM361" s="27" t="s">
        <v>8</v>
      </c>
      <c r="FN361" s="27" t="s">
        <v>7</v>
      </c>
      <c r="FO361" s="27" t="s">
        <v>8</v>
      </c>
      <c r="FX361" s="27" t="s">
        <v>7</v>
      </c>
      <c r="GF361" s="27" t="s">
        <v>7</v>
      </c>
      <c r="GG361" s="27" t="s">
        <v>8</v>
      </c>
      <c r="GI361" s="27" t="s">
        <v>8</v>
      </c>
      <c r="GJ361" s="27" t="s">
        <v>7</v>
      </c>
    </row>
    <row r="362" spans="1:194" x14ac:dyDescent="0.25">
      <c r="A362" s="30">
        <v>7.1742721991251604E-2</v>
      </c>
      <c r="B362"/>
      <c r="C362"/>
      <c r="D362"/>
      <c r="E362"/>
      <c r="F362" s="27" t="s">
        <v>7</v>
      </c>
      <c r="CY362" s="27" t="s">
        <v>8</v>
      </c>
      <c r="DB362" s="27" t="s">
        <v>7</v>
      </c>
      <c r="DD362" s="27" t="s">
        <v>7</v>
      </c>
      <c r="DE362" s="27" t="s">
        <v>8</v>
      </c>
      <c r="DF362" s="27" t="s">
        <v>7</v>
      </c>
      <c r="DG362" s="27" t="s">
        <v>8</v>
      </c>
      <c r="DH362" s="27" t="s">
        <v>7</v>
      </c>
      <c r="DI362" s="27" t="s">
        <v>8</v>
      </c>
      <c r="DK362" s="27" t="s">
        <v>8</v>
      </c>
      <c r="DL362" s="27" t="s">
        <v>7</v>
      </c>
      <c r="DM362" s="27" t="s">
        <v>8</v>
      </c>
      <c r="DO362" s="27" t="s">
        <v>8</v>
      </c>
      <c r="DP362" s="27" t="s">
        <v>7</v>
      </c>
      <c r="DQ362" s="32" t="s">
        <v>8</v>
      </c>
      <c r="EV362" s="27" t="s">
        <v>7</v>
      </c>
      <c r="EW362" s="27" t="s">
        <v>8</v>
      </c>
      <c r="EY362" s="32"/>
      <c r="EZ362" s="27" t="s">
        <v>7</v>
      </c>
      <c r="FH362" s="27" t="s">
        <v>7</v>
      </c>
      <c r="FI362" s="27" t="s">
        <v>8</v>
      </c>
      <c r="FJ362" s="27" t="s">
        <v>7</v>
      </c>
      <c r="FK362" s="27" t="s">
        <v>8</v>
      </c>
      <c r="FL362" s="27" t="s">
        <v>7</v>
      </c>
      <c r="FM362" s="27" t="s">
        <v>8</v>
      </c>
      <c r="FN362" s="27" t="s">
        <v>7</v>
      </c>
      <c r="GF362" s="27" t="s">
        <v>7</v>
      </c>
      <c r="GG362" s="27" t="s">
        <v>8</v>
      </c>
      <c r="GH362" s="27" t="s">
        <v>7</v>
      </c>
      <c r="GI362" s="27" t="s">
        <v>8</v>
      </c>
      <c r="GJ362" s="27" t="s">
        <v>7</v>
      </c>
    </row>
    <row r="363" spans="1:194" x14ac:dyDescent="0.25">
      <c r="A363" s="30">
        <v>6.8326401896430078E-2</v>
      </c>
      <c r="B363"/>
      <c r="C363"/>
      <c r="D363"/>
      <c r="E363"/>
      <c r="F363" s="27" t="s">
        <v>7</v>
      </c>
      <c r="CY363" s="27" t="s">
        <v>8</v>
      </c>
      <c r="DD363" s="27" t="s">
        <v>7</v>
      </c>
      <c r="DE363" s="27" t="s">
        <v>8</v>
      </c>
      <c r="DF363" s="27" t="s">
        <v>7</v>
      </c>
      <c r="DH363" s="27" t="s">
        <v>7</v>
      </c>
      <c r="DI363" s="27" t="s">
        <v>8</v>
      </c>
      <c r="DJ363" s="27" t="s">
        <v>7</v>
      </c>
      <c r="DK363" s="27" t="s">
        <v>8</v>
      </c>
      <c r="DL363" s="27" t="s">
        <v>7</v>
      </c>
      <c r="DM363" s="27" t="s">
        <v>8</v>
      </c>
      <c r="DN363" s="27" t="s">
        <v>7</v>
      </c>
      <c r="DO363" s="27" t="s">
        <v>8</v>
      </c>
      <c r="DP363" s="32" t="s">
        <v>7</v>
      </c>
      <c r="EV363" s="27" t="s">
        <v>7</v>
      </c>
      <c r="EW363" s="27" t="s">
        <v>8</v>
      </c>
      <c r="EX363" s="32"/>
      <c r="FH363" s="27" t="s">
        <v>7</v>
      </c>
      <c r="FI363" s="27" t="s">
        <v>8</v>
      </c>
      <c r="FJ363" s="27" t="s">
        <v>7</v>
      </c>
      <c r="FL363" s="27" t="s">
        <v>7</v>
      </c>
      <c r="FM363" s="27" t="s">
        <v>8</v>
      </c>
      <c r="GF363" s="27" t="s">
        <v>7</v>
      </c>
      <c r="GG363" s="27" t="s">
        <v>8</v>
      </c>
      <c r="GH363" s="27" t="s">
        <v>7</v>
      </c>
      <c r="GI363" s="27" t="s">
        <v>8</v>
      </c>
      <c r="GJ363" s="27" t="s">
        <v>7</v>
      </c>
      <c r="GK363" s="27" t="s">
        <v>8</v>
      </c>
    </row>
    <row r="364" spans="1:194" x14ac:dyDescent="0.25">
      <c r="A364" s="30">
        <v>6.5072763710885759E-2</v>
      </c>
      <c r="B364"/>
      <c r="C364"/>
      <c r="D364"/>
      <c r="E364"/>
      <c r="F364" s="27" t="s">
        <v>7</v>
      </c>
      <c r="CY364" s="27" t="s">
        <v>8</v>
      </c>
      <c r="DD364" s="27" t="s">
        <v>7</v>
      </c>
      <c r="DH364" s="27" t="s">
        <v>7</v>
      </c>
      <c r="DI364" s="27" t="s">
        <v>8</v>
      </c>
      <c r="DJ364" s="27" t="s">
        <v>7</v>
      </c>
      <c r="DK364" s="27" t="s">
        <v>8</v>
      </c>
      <c r="DL364" s="27" t="s">
        <v>7</v>
      </c>
      <c r="DM364" s="27" t="s">
        <v>8</v>
      </c>
      <c r="DN364" s="27" t="s">
        <v>7</v>
      </c>
      <c r="DO364" s="32" t="s">
        <v>8</v>
      </c>
      <c r="EV364" s="27" t="s">
        <v>7</v>
      </c>
      <c r="EW364" s="32" t="s">
        <v>8</v>
      </c>
      <c r="FH364" s="27" t="s">
        <v>7</v>
      </c>
      <c r="FI364" s="27" t="s">
        <v>8</v>
      </c>
      <c r="FL364" s="34" t="s">
        <v>7</v>
      </c>
      <c r="FM364" s="27" t="s">
        <v>8</v>
      </c>
      <c r="FQ364" s="32"/>
      <c r="GF364" s="27" t="s">
        <v>7</v>
      </c>
      <c r="GG364" s="27" t="s">
        <v>8</v>
      </c>
      <c r="GH364" s="27" t="s">
        <v>7</v>
      </c>
      <c r="GI364" s="27" t="s">
        <v>8</v>
      </c>
      <c r="GJ364" s="27" t="s">
        <v>7</v>
      </c>
      <c r="GK364" s="27" t="s">
        <v>8</v>
      </c>
      <c r="GL364" s="27" t="s">
        <v>7</v>
      </c>
    </row>
    <row r="365" spans="1:194" x14ac:dyDescent="0.25">
      <c r="A365" s="30">
        <v>6.197406067703403E-2</v>
      </c>
      <c r="B365"/>
      <c r="C365"/>
      <c r="D365"/>
      <c r="E365"/>
      <c r="F365" s="27" t="s">
        <v>7</v>
      </c>
      <c r="CW365" s="27" t="s">
        <v>8</v>
      </c>
      <c r="CY365" s="27" t="s">
        <v>8</v>
      </c>
      <c r="DH365" s="27" t="s">
        <v>7</v>
      </c>
      <c r="DI365" s="27" t="s">
        <v>8</v>
      </c>
      <c r="DJ365" s="27" t="s">
        <v>7</v>
      </c>
      <c r="DL365" s="27" t="s">
        <v>7</v>
      </c>
      <c r="DM365" s="27" t="s">
        <v>8</v>
      </c>
      <c r="DN365" s="32" t="s">
        <v>7</v>
      </c>
      <c r="EV365" s="32" t="s">
        <v>7</v>
      </c>
      <c r="FH365" s="27" t="s">
        <v>7</v>
      </c>
      <c r="FL365" s="27" t="s">
        <v>7</v>
      </c>
      <c r="FM365" s="27" t="s">
        <v>8</v>
      </c>
      <c r="FP365" s="32"/>
      <c r="GF365" s="27" t="s">
        <v>7</v>
      </c>
      <c r="GG365" s="27" t="s">
        <v>8</v>
      </c>
      <c r="GH365" s="27" t="s">
        <v>7</v>
      </c>
      <c r="GI365" s="27" t="s">
        <v>8</v>
      </c>
      <c r="GJ365" s="27" t="s">
        <v>7</v>
      </c>
      <c r="GK365" s="27" t="s">
        <v>8</v>
      </c>
      <c r="GL365" s="27" t="s">
        <v>7</v>
      </c>
    </row>
    <row r="366" spans="1:194" x14ac:dyDescent="0.25">
      <c r="A366" s="30">
        <v>5.9022914930508576E-2</v>
      </c>
      <c r="B366"/>
      <c r="C366"/>
      <c r="D366"/>
      <c r="E366"/>
      <c r="F366" s="27" t="s">
        <v>7</v>
      </c>
      <c r="CW366" s="27" t="s">
        <v>8</v>
      </c>
      <c r="CX366" s="27" t="s">
        <v>7</v>
      </c>
      <c r="CY366" s="27" t="s">
        <v>8</v>
      </c>
      <c r="DH366" s="27" t="s">
        <v>7</v>
      </c>
      <c r="DI366" s="27" t="s">
        <v>8</v>
      </c>
      <c r="DL366" s="34" t="s">
        <v>7</v>
      </c>
      <c r="FL366" s="18" t="s">
        <v>7</v>
      </c>
      <c r="FM366" s="27" t="s">
        <v>8</v>
      </c>
      <c r="FO366" s="32"/>
      <c r="GF366" s="27" t="s">
        <v>7</v>
      </c>
      <c r="GG366" s="27" t="s">
        <v>8</v>
      </c>
      <c r="GH366" s="27" t="s">
        <v>7</v>
      </c>
      <c r="GJ366" s="27" t="s">
        <v>7</v>
      </c>
      <c r="GK366" s="27" t="s">
        <v>8</v>
      </c>
      <c r="GL366" s="27" t="s">
        <v>7</v>
      </c>
    </row>
    <row r="367" spans="1:194" x14ac:dyDescent="0.25">
      <c r="A367" s="30">
        <v>5.6212299933817669E-2</v>
      </c>
      <c r="B367"/>
      <c r="C367"/>
      <c r="D367"/>
      <c r="E367"/>
      <c r="F367" s="27" t="s">
        <v>7</v>
      </c>
      <c r="CW367" s="27" t="s">
        <v>8</v>
      </c>
      <c r="CX367" s="27" t="s">
        <v>7</v>
      </c>
      <c r="CY367" s="27" t="s">
        <v>8</v>
      </c>
      <c r="DH367" s="27" t="s">
        <v>7</v>
      </c>
      <c r="DI367" s="27" t="s">
        <v>8</v>
      </c>
      <c r="FL367" s="27" t="s">
        <v>7</v>
      </c>
      <c r="FM367" s="27" t="s">
        <v>8</v>
      </c>
      <c r="FN367" s="32"/>
      <c r="GF367" s="27" t="s">
        <v>7</v>
      </c>
      <c r="GG367" s="27" t="s">
        <v>8</v>
      </c>
      <c r="GJ367" s="27" t="s">
        <v>7</v>
      </c>
      <c r="GL367" s="27" t="s">
        <v>7</v>
      </c>
    </row>
    <row r="368" spans="1:194" x14ac:dyDescent="0.25">
      <c r="A368" s="30">
        <v>5.3535523746492994E-2</v>
      </c>
      <c r="B368"/>
      <c r="C368"/>
      <c r="D368"/>
      <c r="E368"/>
      <c r="F368" s="27" t="s">
        <v>7</v>
      </c>
      <c r="CS368" s="27" t="s">
        <v>8</v>
      </c>
      <c r="CU368" s="27" t="s">
        <v>8</v>
      </c>
      <c r="CW368" s="27" t="s">
        <v>8</v>
      </c>
      <c r="CX368" s="27" t="s">
        <v>7</v>
      </c>
      <c r="CY368" s="27" t="s">
        <v>8</v>
      </c>
      <c r="DH368" s="27" t="s">
        <v>7</v>
      </c>
      <c r="FL368" s="27" t="s">
        <v>7</v>
      </c>
      <c r="FM368" s="32" t="s">
        <v>8</v>
      </c>
      <c r="GF368" s="27" t="s">
        <v>7</v>
      </c>
      <c r="GL368" s="27" t="s">
        <v>7</v>
      </c>
    </row>
    <row r="369" spans="1:195" x14ac:dyDescent="0.25">
      <c r="A369" s="30">
        <v>5.0986213091898068E-2</v>
      </c>
      <c r="B369"/>
      <c r="C369"/>
      <c r="D369"/>
      <c r="E369"/>
      <c r="F369" s="27" t="s">
        <v>7</v>
      </c>
      <c r="CS369" s="27" t="s">
        <v>8</v>
      </c>
      <c r="CT369" s="27" t="s">
        <v>7</v>
      </c>
      <c r="CU369" s="27" t="s">
        <v>8</v>
      </c>
      <c r="CV369" s="27" t="s">
        <v>7</v>
      </c>
      <c r="CW369" s="27" t="s">
        <v>8</v>
      </c>
      <c r="CX369" s="27" t="s">
        <v>7</v>
      </c>
      <c r="FL369" s="32" t="s">
        <v>7</v>
      </c>
      <c r="GL369" s="27" t="s">
        <v>7</v>
      </c>
    </row>
    <row r="370" spans="1:195" x14ac:dyDescent="0.25">
      <c r="A370" s="30">
        <v>4.8558298182760043E-2</v>
      </c>
      <c r="B370"/>
      <c r="C370"/>
      <c r="D370"/>
      <c r="E370"/>
      <c r="F370" s="27" t="s">
        <v>7</v>
      </c>
      <c r="CS370" s="27" t="s">
        <v>8</v>
      </c>
      <c r="CT370" s="27" t="s">
        <v>7</v>
      </c>
      <c r="CU370" s="27" t="s">
        <v>8</v>
      </c>
      <c r="CV370" s="27" t="s">
        <v>7</v>
      </c>
      <c r="CW370" s="27" t="s">
        <v>8</v>
      </c>
      <c r="GL370" s="27" t="s">
        <v>7</v>
      </c>
    </row>
    <row r="371" spans="1:195" x14ac:dyDescent="0.25">
      <c r="A371" s="30">
        <v>4.6245998269295263E-2</v>
      </c>
      <c r="B371"/>
      <c r="C371"/>
      <c r="D371"/>
      <c r="E371"/>
      <c r="F371" s="27" t="s">
        <v>7</v>
      </c>
      <c r="CS371" s="27" t="s">
        <v>8</v>
      </c>
      <c r="CT371" s="27" t="s">
        <v>7</v>
      </c>
      <c r="CV371" s="27" t="s">
        <v>7</v>
      </c>
      <c r="GL371" s="27" t="s">
        <v>7</v>
      </c>
      <c r="GM371" s="27" t="s">
        <v>8</v>
      </c>
    </row>
    <row r="372" spans="1:195" x14ac:dyDescent="0.25">
      <c r="A372" s="30">
        <v>4.4043807875519279E-2</v>
      </c>
      <c r="B372"/>
      <c r="C372"/>
      <c r="D372"/>
      <c r="E372"/>
      <c r="F372" s="27" t="s">
        <v>7</v>
      </c>
      <c r="CS372" s="27" t="s">
        <v>8</v>
      </c>
      <c r="GL372" s="27" t="s">
        <v>7</v>
      </c>
      <c r="GM372" s="27" t="s">
        <v>8</v>
      </c>
    </row>
    <row r="373" spans="1:195" x14ac:dyDescent="0.25">
      <c r="A373" s="30">
        <v>4.1946483690970725E-2</v>
      </c>
      <c r="B373"/>
      <c r="C373"/>
      <c r="D373"/>
      <c r="E373"/>
      <c r="F373" s="27" t="s">
        <v>7</v>
      </c>
      <c r="CS373" s="27" t="s">
        <v>8</v>
      </c>
      <c r="GL373" s="27" t="s">
        <v>7</v>
      </c>
      <c r="GM373" s="27" t="s">
        <v>8</v>
      </c>
    </row>
    <row r="374" spans="1:195" x14ac:dyDescent="0.25">
      <c r="A374" s="30">
        <v>3.9949032086638768E-2</v>
      </c>
      <c r="B374"/>
      <c r="C374"/>
      <c r="D374"/>
      <c r="E374"/>
      <c r="F374" s="27" t="s">
        <v>7</v>
      </c>
      <c r="CS374" s="27" t="s">
        <v>8</v>
      </c>
      <c r="GL374" s="27" t="s">
        <v>7</v>
      </c>
      <c r="GM374" s="27" t="s">
        <v>8</v>
      </c>
    </row>
    <row r="375" spans="1:195" x14ac:dyDescent="0.25">
      <c r="A375" s="30">
        <v>3.8046697225370241E-2</v>
      </c>
      <c r="B375"/>
      <c r="C375"/>
      <c r="D375"/>
      <c r="E375"/>
      <c r="F375" s="27" t="s">
        <v>7</v>
      </c>
      <c r="CS375" s="27" t="s">
        <v>8</v>
      </c>
      <c r="GL375" s="27" t="s">
        <v>7</v>
      </c>
    </row>
    <row r="376" spans="1:195" x14ac:dyDescent="0.25">
      <c r="A376" s="30">
        <v>3.6234949738447833E-2</v>
      </c>
      <c r="B376"/>
      <c r="C376"/>
      <c r="D376"/>
      <c r="E376"/>
      <c r="F376" s="27" t="s">
        <v>7</v>
      </c>
      <c r="CM376" s="27" t="s">
        <v>8</v>
      </c>
      <c r="CQ376" s="27" t="s">
        <v>8</v>
      </c>
      <c r="CS376" s="27" t="s">
        <v>8</v>
      </c>
    </row>
    <row r="377" spans="1:195" x14ac:dyDescent="0.25">
      <c r="A377" s="30">
        <v>3.4509475941378875E-2</v>
      </c>
      <c r="B377"/>
      <c r="C377"/>
      <c r="D377"/>
      <c r="E377"/>
      <c r="F377" s="27" t="s">
        <v>7</v>
      </c>
      <c r="CM377" s="27" t="s">
        <v>8</v>
      </c>
      <c r="CN377" s="27" t="s">
        <v>7</v>
      </c>
      <c r="CO377" s="27" t="s">
        <v>8</v>
      </c>
      <c r="CQ377" s="27" t="s">
        <v>8</v>
      </c>
      <c r="CR377" s="27" t="s">
        <v>7</v>
      </c>
      <c r="CS377" s="27" t="s">
        <v>8</v>
      </c>
    </row>
    <row r="378" spans="1:195" x14ac:dyDescent="0.25">
      <c r="A378" s="30">
        <v>3.286616756321796E-2</v>
      </c>
      <c r="B378"/>
      <c r="C378"/>
      <c r="D378"/>
      <c r="E378"/>
      <c r="F378" s="27" t="s">
        <v>7</v>
      </c>
      <c r="CM378" s="27" t="s">
        <v>8</v>
      </c>
      <c r="CN378" s="27" t="s">
        <v>7</v>
      </c>
      <c r="CO378" s="27" t="s">
        <v>8</v>
      </c>
      <c r="CP378" s="27" t="s">
        <v>7</v>
      </c>
      <c r="CQ378" s="27" t="s">
        <v>8</v>
      </c>
      <c r="CR378" s="27" t="s">
        <v>7</v>
      </c>
      <c r="CS378" s="27" t="s">
        <v>8</v>
      </c>
    </row>
    <row r="379" spans="1:195" x14ac:dyDescent="0.25">
      <c r="A379" s="30">
        <v>3.1301111964969472E-2</v>
      </c>
      <c r="B379"/>
      <c r="C379"/>
      <c r="D379"/>
      <c r="E379"/>
      <c r="F379" s="27" t="s">
        <v>7</v>
      </c>
      <c r="CM379" s="27" t="s">
        <v>8</v>
      </c>
      <c r="CN379" s="27" t="s">
        <v>7</v>
      </c>
      <c r="CO379" s="27" t="s">
        <v>8</v>
      </c>
      <c r="CP379" s="27" t="s">
        <v>7</v>
      </c>
      <c r="CQ379" s="27" t="s">
        <v>8</v>
      </c>
      <c r="CR379" s="27" t="s">
        <v>7</v>
      </c>
      <c r="CS379" s="27" t="s">
        <v>8</v>
      </c>
    </row>
    <row r="380" spans="1:195" x14ac:dyDescent="0.25">
      <c r="A380" s="30">
        <v>2.9810582823780438E-2</v>
      </c>
      <c r="B380"/>
      <c r="C380"/>
      <c r="D380"/>
      <c r="E380"/>
      <c r="F380" s="27" t="s">
        <v>7</v>
      </c>
      <c r="BI380" s="27" t="s">
        <v>8</v>
      </c>
      <c r="CM380" s="27" t="s">
        <v>8</v>
      </c>
      <c r="CN380" s="27" t="s">
        <v>7</v>
      </c>
      <c r="CO380" s="27" t="s">
        <v>8</v>
      </c>
      <c r="CP380" s="27" t="s">
        <v>7</v>
      </c>
      <c r="CR380" s="27" t="s">
        <v>7</v>
      </c>
    </row>
    <row r="381" spans="1:195" x14ac:dyDescent="0.25">
      <c r="A381" s="30">
        <v>2.8391031260743264E-2</v>
      </c>
      <c r="B381"/>
      <c r="C381"/>
      <c r="D381"/>
      <c r="E381"/>
      <c r="F381" s="27" t="s">
        <v>7</v>
      </c>
      <c r="BI381" s="27" t="s">
        <v>8</v>
      </c>
      <c r="BJ381" s="27" t="s">
        <v>7</v>
      </c>
      <c r="CM381" s="27" t="s">
        <v>8</v>
      </c>
      <c r="CN381" s="27" t="s">
        <v>7</v>
      </c>
      <c r="CO381" s="27" t="s">
        <v>8</v>
      </c>
    </row>
    <row r="382" spans="1:195" x14ac:dyDescent="0.25">
      <c r="A382" s="30">
        <v>2.7039077391184052E-2</v>
      </c>
      <c r="F382" s="27" t="s">
        <v>7</v>
      </c>
      <c r="BI382" s="27" t="s">
        <v>8</v>
      </c>
      <c r="BJ382" s="27" t="s">
        <v>7</v>
      </c>
      <c r="BS382" s="27" t="s">
        <v>8</v>
      </c>
      <c r="CM382" s="27" t="s">
        <v>8</v>
      </c>
      <c r="CN382" s="27" t="s">
        <v>7</v>
      </c>
      <c r="CO382" s="27" t="s">
        <v>8</v>
      </c>
    </row>
    <row r="383" spans="1:195" x14ac:dyDescent="0.25">
      <c r="A383" s="30">
        <v>2.5751502277318133E-2</v>
      </c>
      <c r="F383" s="27" t="s">
        <v>7</v>
      </c>
      <c r="G383" s="27" t="s">
        <v>8</v>
      </c>
      <c r="S383" s="27" t="s">
        <v>8</v>
      </c>
      <c r="U383" s="27" t="s">
        <v>8</v>
      </c>
      <c r="BI383" s="27" t="s">
        <v>8</v>
      </c>
      <c r="BJ383" s="27" t="s">
        <v>7</v>
      </c>
      <c r="BK383" s="27" t="s">
        <v>8</v>
      </c>
      <c r="BS383" s="27" t="s">
        <v>8</v>
      </c>
      <c r="BT383" s="27" t="s">
        <v>7</v>
      </c>
      <c r="CM383" s="27" t="s">
        <v>8</v>
      </c>
      <c r="CN383" s="27" t="s">
        <v>7</v>
      </c>
      <c r="CO383" s="27" t="s">
        <v>8</v>
      </c>
    </row>
    <row r="384" spans="1:195" x14ac:dyDescent="0.25">
      <c r="A384" s="30">
        <v>2.4525240264112496E-2</v>
      </c>
      <c r="F384" s="27" t="s">
        <v>7</v>
      </c>
      <c r="G384" s="27" t="s">
        <v>8</v>
      </c>
      <c r="H384" s="27" t="s">
        <v>7</v>
      </c>
      <c r="M384" s="27" t="s">
        <v>8</v>
      </c>
      <c r="Q384" s="27" t="s">
        <v>8</v>
      </c>
      <c r="S384" s="27" t="s">
        <v>8</v>
      </c>
      <c r="T384" s="27" t="s">
        <v>7</v>
      </c>
      <c r="U384" s="27" t="s">
        <v>8</v>
      </c>
      <c r="V384" s="27" t="s">
        <v>7</v>
      </c>
      <c r="BI384" s="27" t="s">
        <v>8</v>
      </c>
      <c r="BJ384" s="27" t="s">
        <v>7</v>
      </c>
      <c r="BK384" s="27" t="s">
        <v>8</v>
      </c>
      <c r="BL384" s="27" t="s">
        <v>7</v>
      </c>
      <c r="BS384" s="27" t="s">
        <v>8</v>
      </c>
      <c r="BT384" s="27" t="s">
        <v>7</v>
      </c>
      <c r="BU384" s="27" t="s">
        <v>8</v>
      </c>
      <c r="CM384" s="27" t="s">
        <v>8</v>
      </c>
      <c r="CN384" s="27" t="s">
        <v>7</v>
      </c>
      <c r="CO384" s="27" t="s">
        <v>8</v>
      </c>
    </row>
    <row r="385" spans="1:93" x14ac:dyDescent="0.25">
      <c r="A385" s="30">
        <v>2.3357371680107129E-2</v>
      </c>
      <c r="F385" s="27" t="s">
        <v>7</v>
      </c>
      <c r="G385" s="27" t="s">
        <v>8</v>
      </c>
      <c r="H385" s="27" t="s">
        <v>7</v>
      </c>
      <c r="M385" s="27" t="s">
        <v>8</v>
      </c>
      <c r="N385" s="27" t="s">
        <v>7</v>
      </c>
      <c r="Q385" s="27" t="s">
        <v>8</v>
      </c>
      <c r="R385" s="27" t="s">
        <v>7</v>
      </c>
      <c r="S385" s="27" t="s">
        <v>8</v>
      </c>
      <c r="T385" s="27" t="s">
        <v>7</v>
      </c>
      <c r="U385" s="27" t="s">
        <v>8</v>
      </c>
      <c r="V385" s="27" t="s">
        <v>7</v>
      </c>
      <c r="BI385" s="27" t="s">
        <v>8</v>
      </c>
      <c r="BJ385" s="27" t="s">
        <v>7</v>
      </c>
      <c r="BK385" s="27" t="s">
        <v>8</v>
      </c>
      <c r="BL385" s="27" t="s">
        <v>7</v>
      </c>
      <c r="BS385" s="27" t="s">
        <v>8</v>
      </c>
      <c r="BT385" s="27" t="s">
        <v>7</v>
      </c>
      <c r="BU385" s="27" t="s">
        <v>8</v>
      </c>
      <c r="BV385" s="27" t="s">
        <v>7</v>
      </c>
      <c r="BW385" s="27" t="s">
        <v>8</v>
      </c>
      <c r="BY385" s="27" t="s">
        <v>8</v>
      </c>
      <c r="CM385" s="27" t="s">
        <v>8</v>
      </c>
      <c r="CN385" s="27" t="s">
        <v>7</v>
      </c>
      <c r="CO385" s="27" t="s">
        <v>8</v>
      </c>
    </row>
    <row r="386" spans="1:93" x14ac:dyDescent="0.25">
      <c r="A386" s="30">
        <v>2.2245115885816305E-2</v>
      </c>
      <c r="F386" s="27" t="s">
        <v>7</v>
      </c>
      <c r="G386" s="27" t="s">
        <v>8</v>
      </c>
      <c r="H386" s="27" t="s">
        <v>7</v>
      </c>
      <c r="I386" s="27" t="s">
        <v>8</v>
      </c>
      <c r="M386" s="27" t="s">
        <v>8</v>
      </c>
      <c r="N386" s="27" t="s">
        <v>7</v>
      </c>
      <c r="O386" s="27" t="s">
        <v>8</v>
      </c>
      <c r="Q386" s="27" t="s">
        <v>8</v>
      </c>
      <c r="R386" s="27" t="s">
        <v>7</v>
      </c>
      <c r="S386" s="27" t="s">
        <v>8</v>
      </c>
      <c r="T386" s="27" t="s">
        <v>7</v>
      </c>
      <c r="U386" s="27" t="s">
        <v>8</v>
      </c>
      <c r="V386" s="27" t="s">
        <v>7</v>
      </c>
      <c r="BI386" s="27" t="s">
        <v>8</v>
      </c>
      <c r="BJ386" s="27" t="s">
        <v>7</v>
      </c>
      <c r="BK386" s="27" t="s">
        <v>8</v>
      </c>
      <c r="BL386" s="27" t="s">
        <v>7</v>
      </c>
      <c r="BS386" s="27" t="s">
        <v>8</v>
      </c>
      <c r="BT386" s="27" t="s">
        <v>7</v>
      </c>
      <c r="BU386" s="27" t="s">
        <v>8</v>
      </c>
      <c r="BV386" s="27" t="s">
        <v>7</v>
      </c>
      <c r="BW386" s="27" t="s">
        <v>8</v>
      </c>
      <c r="BX386" s="27" t="s">
        <v>7</v>
      </c>
      <c r="BY386" s="27" t="s">
        <v>8</v>
      </c>
      <c r="BZ386" s="27" t="s">
        <v>7</v>
      </c>
      <c r="CM386" s="27" t="s">
        <v>8</v>
      </c>
      <c r="CN386" s="27" t="s">
        <v>7</v>
      </c>
    </row>
    <row r="387" spans="1:93" x14ac:dyDescent="0.25">
      <c r="A387" s="30">
        <v>2.1185824653158377E-2</v>
      </c>
      <c r="F387" s="27" t="s">
        <v>7</v>
      </c>
      <c r="G387" s="27" t="s">
        <v>8</v>
      </c>
      <c r="H387" s="27" t="s">
        <v>7</v>
      </c>
      <c r="I387" s="27" t="s">
        <v>8</v>
      </c>
      <c r="J387" s="27" t="s">
        <v>7</v>
      </c>
      <c r="K387" s="27" t="s">
        <v>8</v>
      </c>
      <c r="M387" s="27" t="s">
        <v>8</v>
      </c>
      <c r="N387" s="27" t="s">
        <v>7</v>
      </c>
      <c r="O387" s="27" t="s">
        <v>8</v>
      </c>
      <c r="P387" s="27" t="s">
        <v>7</v>
      </c>
      <c r="Q387" s="27" t="s">
        <v>8</v>
      </c>
      <c r="R387" s="27" t="s">
        <v>7</v>
      </c>
      <c r="T387" s="27" t="s">
        <v>7</v>
      </c>
      <c r="V387" s="27" t="s">
        <v>7</v>
      </c>
      <c r="BI387" s="27" t="s">
        <v>8</v>
      </c>
      <c r="BJ387" s="27" t="s">
        <v>7</v>
      </c>
      <c r="BL387" s="27" t="s">
        <v>7</v>
      </c>
      <c r="BM387" s="27" t="s">
        <v>8</v>
      </c>
      <c r="BO387" s="27" t="s">
        <v>8</v>
      </c>
      <c r="BS387" s="27" t="s">
        <v>8</v>
      </c>
      <c r="BT387" s="27" t="s">
        <v>7</v>
      </c>
      <c r="BV387" s="27" t="s">
        <v>7</v>
      </c>
      <c r="BW387" s="27" t="s">
        <v>8</v>
      </c>
      <c r="BX387" s="27" t="s">
        <v>7</v>
      </c>
      <c r="BY387" s="27" t="s">
        <v>8</v>
      </c>
      <c r="BZ387" s="27" t="s">
        <v>7</v>
      </c>
      <c r="CG387" s="27" t="s">
        <v>8</v>
      </c>
      <c r="CM387" s="27" t="s">
        <v>8</v>
      </c>
    </row>
    <row r="388" spans="1:93" x14ac:dyDescent="0.25">
      <c r="A388" s="30">
        <v>2.0176975860150829E-2</v>
      </c>
      <c r="F388" s="27" t="s">
        <v>7</v>
      </c>
      <c r="G388" s="27" t="s">
        <v>8</v>
      </c>
      <c r="H388" s="27" t="s">
        <v>7</v>
      </c>
      <c r="I388" s="27" t="s">
        <v>8</v>
      </c>
      <c r="J388" s="27" t="s">
        <v>7</v>
      </c>
      <c r="K388" s="27" t="s">
        <v>8</v>
      </c>
      <c r="L388" s="27" t="s">
        <v>7</v>
      </c>
      <c r="M388" s="27" t="s">
        <v>8</v>
      </c>
      <c r="N388" s="27" t="s">
        <v>7</v>
      </c>
      <c r="O388" s="27" t="s">
        <v>8</v>
      </c>
      <c r="P388" s="27" t="s">
        <v>7</v>
      </c>
      <c r="Q388" s="27" t="s">
        <v>8</v>
      </c>
      <c r="V388" s="27" t="s">
        <v>7</v>
      </c>
      <c r="BI388" s="27" t="s">
        <v>8</v>
      </c>
      <c r="BL388" s="27" t="s">
        <v>7</v>
      </c>
      <c r="BM388" s="27" t="s">
        <v>8</v>
      </c>
      <c r="BN388" s="27" t="s">
        <v>7</v>
      </c>
      <c r="BO388" s="27" t="s">
        <v>8</v>
      </c>
      <c r="BP388" s="27" t="s">
        <v>7</v>
      </c>
      <c r="BS388" s="27" t="s">
        <v>8</v>
      </c>
      <c r="BV388" s="27" t="s">
        <v>7</v>
      </c>
      <c r="BX388" s="27" t="s">
        <v>7</v>
      </c>
      <c r="BZ388" s="27" t="s">
        <v>7</v>
      </c>
      <c r="CE388" s="27" t="s">
        <v>8</v>
      </c>
      <c r="CG388" s="27" t="s">
        <v>8</v>
      </c>
      <c r="CH388" s="27" t="s">
        <v>7</v>
      </c>
      <c r="CI388" s="27" t="s">
        <v>8</v>
      </c>
      <c r="CK388" s="27" t="s">
        <v>8</v>
      </c>
      <c r="CM388" s="27" t="s">
        <v>8</v>
      </c>
    </row>
    <row r="389" spans="1:93" x14ac:dyDescent="0.25">
      <c r="A389" s="30">
        <v>1.9216167485857926E-2</v>
      </c>
      <c r="F389" s="27" t="s">
        <v>7</v>
      </c>
      <c r="G389" s="27" t="s">
        <v>8</v>
      </c>
      <c r="H389" s="27" t="s">
        <v>7</v>
      </c>
      <c r="J389" s="27" t="s">
        <v>7</v>
      </c>
      <c r="K389" s="27" t="s">
        <v>8</v>
      </c>
      <c r="L389" s="27" t="s">
        <v>7</v>
      </c>
      <c r="M389" s="27" t="s">
        <v>8</v>
      </c>
      <c r="N389" s="27" t="s">
        <v>7</v>
      </c>
      <c r="O389" s="27" t="s">
        <v>8</v>
      </c>
      <c r="P389" s="27" t="s">
        <v>7</v>
      </c>
      <c r="V389" s="27" t="s">
        <v>7</v>
      </c>
      <c r="BG389" s="27" t="s">
        <v>8</v>
      </c>
      <c r="BI389" s="27" t="s">
        <v>8</v>
      </c>
      <c r="BL389" s="27" t="s">
        <v>7</v>
      </c>
      <c r="BM389" s="27" t="s">
        <v>8</v>
      </c>
      <c r="BN389" s="27" t="s">
        <v>7</v>
      </c>
      <c r="BO389" s="27" t="s">
        <v>8</v>
      </c>
      <c r="BP389" s="27" t="s">
        <v>7</v>
      </c>
      <c r="BQ389" s="27" t="s">
        <v>8</v>
      </c>
      <c r="BS389" s="27" t="s">
        <v>8</v>
      </c>
      <c r="BZ389" s="27" t="s">
        <v>7</v>
      </c>
      <c r="CE389" s="27" t="s">
        <v>8</v>
      </c>
      <c r="CF389" s="27" t="s">
        <v>7</v>
      </c>
      <c r="CG389" s="27" t="s">
        <v>8</v>
      </c>
      <c r="CH389" s="27" t="s">
        <v>7</v>
      </c>
      <c r="CI389" s="27" t="s">
        <v>8</v>
      </c>
      <c r="CJ389" s="27" t="s">
        <v>7</v>
      </c>
      <c r="CK389" s="27" t="s">
        <v>8</v>
      </c>
      <c r="CL389" s="27" t="s">
        <v>7</v>
      </c>
      <c r="CM389" s="27" t="s">
        <v>8</v>
      </c>
    </row>
    <row r="390" spans="1:93" x14ac:dyDescent="0.25">
      <c r="A390" s="30">
        <v>1.8301111891293256E-2</v>
      </c>
      <c r="F390" s="27" t="s">
        <v>7</v>
      </c>
      <c r="G390" s="27" t="s">
        <v>8</v>
      </c>
      <c r="J390" s="27" t="s">
        <v>7</v>
      </c>
      <c r="K390" s="27" t="s">
        <v>8</v>
      </c>
      <c r="L390" s="27" t="s">
        <v>7</v>
      </c>
      <c r="M390" s="27" t="s">
        <v>8</v>
      </c>
      <c r="N390" s="27" t="s">
        <v>7</v>
      </c>
      <c r="V390" s="27" t="s">
        <v>7</v>
      </c>
      <c r="BG390" s="27" t="s">
        <v>8</v>
      </c>
      <c r="BH390" s="27" t="s">
        <v>7</v>
      </c>
      <c r="BI390" s="27" t="s">
        <v>8</v>
      </c>
      <c r="BL390" s="27" t="s">
        <v>7</v>
      </c>
      <c r="BN390" s="27" t="s">
        <v>7</v>
      </c>
      <c r="BO390" s="27" t="s">
        <v>8</v>
      </c>
      <c r="BP390" s="27" t="s">
        <v>7</v>
      </c>
      <c r="BQ390" s="27" t="s">
        <v>8</v>
      </c>
      <c r="BR390" s="27" t="s">
        <v>7</v>
      </c>
      <c r="BS390" s="27" t="s">
        <v>8</v>
      </c>
      <c r="BZ390" s="27" t="s">
        <v>7</v>
      </c>
      <c r="CE390" s="27" t="s">
        <v>8</v>
      </c>
      <c r="CF390" s="27" t="s">
        <v>7</v>
      </c>
      <c r="CG390" s="27" t="s">
        <v>8</v>
      </c>
      <c r="CH390" s="27" t="s">
        <v>7</v>
      </c>
      <c r="CI390" s="27" t="s">
        <v>8</v>
      </c>
      <c r="CJ390" s="27" t="s">
        <v>7</v>
      </c>
      <c r="CK390" s="27" t="s">
        <v>8</v>
      </c>
      <c r="CL390" s="27" t="s">
        <v>7</v>
      </c>
      <c r="CM390" s="27" t="s">
        <v>8</v>
      </c>
    </row>
    <row r="391" spans="1:93" x14ac:dyDescent="0.25">
      <c r="A391" s="30">
        <v>1.7429630372660238E-2</v>
      </c>
      <c r="F391" s="27" t="s">
        <v>7</v>
      </c>
      <c r="G391" s="27" t="s">
        <v>8</v>
      </c>
      <c r="J391" s="27" t="s">
        <v>7</v>
      </c>
      <c r="K391" s="27" t="s">
        <v>8</v>
      </c>
      <c r="L391" s="27" t="s">
        <v>7</v>
      </c>
      <c r="M391" s="27" t="s">
        <v>8</v>
      </c>
      <c r="V391" s="27" t="s">
        <v>7</v>
      </c>
      <c r="BG391" s="27" t="s">
        <v>8</v>
      </c>
      <c r="BH391" s="27" t="s">
        <v>7</v>
      </c>
      <c r="BI391" s="27" t="s">
        <v>8</v>
      </c>
      <c r="BN391" s="27" t="s">
        <v>7</v>
      </c>
      <c r="BO391" s="27" t="s">
        <v>8</v>
      </c>
      <c r="BP391" s="27" t="s">
        <v>7</v>
      </c>
      <c r="BQ391" s="27" t="s">
        <v>8</v>
      </c>
      <c r="BR391" s="27" t="s">
        <v>7</v>
      </c>
      <c r="BS391" s="27" t="s">
        <v>8</v>
      </c>
      <c r="BZ391" s="27" t="s">
        <v>7</v>
      </c>
      <c r="CA391" s="27" t="s">
        <v>8</v>
      </c>
      <c r="CC391" s="27" t="s">
        <v>8</v>
      </c>
      <c r="CE391" s="27" t="s">
        <v>8</v>
      </c>
      <c r="CF391" s="27" t="s">
        <v>7</v>
      </c>
      <c r="CG391" s="27" t="s">
        <v>8</v>
      </c>
      <c r="CH391" s="27" t="s">
        <v>7</v>
      </c>
      <c r="CJ391" s="27" t="s">
        <v>7</v>
      </c>
      <c r="CL391" s="27" t="s">
        <v>7</v>
      </c>
    </row>
    <row r="392" spans="1:93" x14ac:dyDescent="0.25">
      <c r="A392" s="30">
        <v>1.6599647973962125E-2</v>
      </c>
      <c r="F392" s="27" t="s">
        <v>7</v>
      </c>
      <c r="G392" s="27" t="s">
        <v>8</v>
      </c>
      <c r="J392" s="27" t="s">
        <v>7</v>
      </c>
      <c r="K392" s="27" t="s">
        <v>8</v>
      </c>
      <c r="L392" s="27" t="s">
        <v>7</v>
      </c>
      <c r="M392" s="27" t="s">
        <v>8</v>
      </c>
      <c r="V392" s="27" t="s">
        <v>7</v>
      </c>
      <c r="BG392" s="27" t="s">
        <v>8</v>
      </c>
      <c r="BH392" s="27" t="s">
        <v>7</v>
      </c>
      <c r="BN392" s="27" t="s">
        <v>7</v>
      </c>
      <c r="BO392" s="27" t="s">
        <v>8</v>
      </c>
      <c r="BP392" s="27" t="s">
        <v>7</v>
      </c>
      <c r="BR392" s="27" t="s">
        <v>7</v>
      </c>
      <c r="BS392" s="27" t="s">
        <v>8</v>
      </c>
      <c r="BZ392" s="27" t="s">
        <v>7</v>
      </c>
      <c r="CA392" s="27" t="s">
        <v>8</v>
      </c>
      <c r="CB392" s="27" t="s">
        <v>7</v>
      </c>
      <c r="CC392" s="27" t="s">
        <v>8</v>
      </c>
      <c r="CD392" s="27" t="s">
        <v>7</v>
      </c>
      <c r="CE392" s="27" t="s">
        <v>8</v>
      </c>
      <c r="CF392" s="27" t="s">
        <v>7</v>
      </c>
    </row>
    <row r="393" spans="1:93" x14ac:dyDescent="0.25">
      <c r="A393" s="30">
        <v>1.580918854663059E-2</v>
      </c>
      <c r="F393" s="27" t="s">
        <v>7</v>
      </c>
      <c r="J393" s="27" t="s">
        <v>7</v>
      </c>
      <c r="K393" s="27" t="s">
        <v>8</v>
      </c>
      <c r="L393" s="27" t="s">
        <v>7</v>
      </c>
      <c r="V393" s="27" t="s">
        <v>7</v>
      </c>
      <c r="BG393" s="27" t="s">
        <v>8</v>
      </c>
      <c r="BN393" s="27" t="s">
        <v>7</v>
      </c>
      <c r="BO393" s="27" t="s">
        <v>8</v>
      </c>
      <c r="BR393" s="27" t="s">
        <v>7</v>
      </c>
      <c r="BS393" s="27" t="s">
        <v>8</v>
      </c>
      <c r="BZ393" s="27" t="s">
        <v>7</v>
      </c>
      <c r="CA393" s="27" t="s">
        <v>8</v>
      </c>
      <c r="CB393" s="27" t="s">
        <v>7</v>
      </c>
      <c r="CC393" s="27" t="s">
        <v>8</v>
      </c>
      <c r="CD393" s="27" t="s">
        <v>7</v>
      </c>
      <c r="CE393" s="27" t="s">
        <v>8</v>
      </c>
    </row>
    <row r="394" spans="1:93" x14ac:dyDescent="0.25">
      <c r="A394" s="30">
        <v>1.5056370044410079E-2</v>
      </c>
      <c r="J394" s="27" t="s">
        <v>7</v>
      </c>
      <c r="K394" s="27" t="s">
        <v>8</v>
      </c>
      <c r="V394" s="27" t="s">
        <v>7</v>
      </c>
      <c r="BG394" s="27" t="s">
        <v>8</v>
      </c>
      <c r="BN394" s="27" t="s">
        <v>7</v>
      </c>
      <c r="BR394" s="27" t="s">
        <v>7</v>
      </c>
      <c r="BZ394" s="27" t="s">
        <v>7</v>
      </c>
      <c r="CB394" s="27" t="s">
        <v>7</v>
      </c>
      <c r="CC394" s="27" t="s">
        <v>8</v>
      </c>
      <c r="CD394" s="27" t="s">
        <v>7</v>
      </c>
      <c r="CE394" s="27" t="s">
        <v>8</v>
      </c>
    </row>
    <row r="395" spans="1:93" x14ac:dyDescent="0.25">
      <c r="A395" s="30">
        <v>1.4339400042295308E-2</v>
      </c>
      <c r="J395" s="27" t="s">
        <v>7</v>
      </c>
      <c r="V395" s="27" t="s">
        <v>7</v>
      </c>
      <c r="BG395" s="27" t="s">
        <v>8</v>
      </c>
      <c r="CB395" s="27" t="s">
        <v>7</v>
      </c>
      <c r="CC395" s="27" t="s">
        <v>8</v>
      </c>
      <c r="CD395" s="27" t="s">
        <v>7</v>
      </c>
      <c r="CE395" s="27" t="s">
        <v>8</v>
      </c>
    </row>
    <row r="396" spans="1:93" x14ac:dyDescent="0.25">
      <c r="A396" s="30">
        <v>1.365657146885267E-2</v>
      </c>
      <c r="V396" s="27" t="s">
        <v>7</v>
      </c>
      <c r="BE396" s="27" t="s">
        <v>8</v>
      </c>
      <c r="BG396" s="27" t="s">
        <v>8</v>
      </c>
      <c r="CB396" s="27" t="s">
        <v>7</v>
      </c>
      <c r="CD396" s="27" t="s">
        <v>7</v>
      </c>
      <c r="CE396" s="27" t="s">
        <v>8</v>
      </c>
    </row>
    <row r="397" spans="1:93" x14ac:dyDescent="0.25">
      <c r="A397" s="30">
        <v>1.3006258541764442E-2</v>
      </c>
      <c r="V397" s="27" t="s">
        <v>7</v>
      </c>
      <c r="BE397" s="27" t="s">
        <v>8</v>
      </c>
      <c r="BF397" s="27" t="s">
        <v>7</v>
      </c>
      <c r="BG397" s="27" t="s">
        <v>8</v>
      </c>
      <c r="CD397" s="27" t="s">
        <v>7</v>
      </c>
    </row>
    <row r="398" spans="1:93" x14ac:dyDescent="0.25">
      <c r="A398" s="30">
        <v>1.2386912896918512E-2</v>
      </c>
      <c r="V398" s="27" t="s">
        <v>7</v>
      </c>
      <c r="BE398" s="27" t="s">
        <v>8</v>
      </c>
      <c r="BF398" s="27" t="s">
        <v>7</v>
      </c>
      <c r="BG398" s="27" t="s">
        <v>8</v>
      </c>
    </row>
    <row r="399" spans="1:93" x14ac:dyDescent="0.25">
      <c r="A399" s="30">
        <v>1.179705990182715E-2</v>
      </c>
      <c r="V399" s="27" t="s">
        <v>7</v>
      </c>
      <c r="W399" s="27" t="s">
        <v>8</v>
      </c>
      <c r="BE399" s="27" t="s">
        <v>8</v>
      </c>
      <c r="BF399" s="27" t="s">
        <v>7</v>
      </c>
    </row>
    <row r="400" spans="1:93" x14ac:dyDescent="0.25">
      <c r="A400" s="30">
        <v>1.1235295144597281E-2</v>
      </c>
      <c r="V400" s="27" t="s">
        <v>7</v>
      </c>
      <c r="W400" s="27" t="s">
        <v>8</v>
      </c>
      <c r="X400" s="27" t="s">
        <v>7</v>
      </c>
      <c r="BE400" s="27" t="s">
        <v>8</v>
      </c>
    </row>
    <row r="401" spans="1:57" x14ac:dyDescent="0.25">
      <c r="A401" s="30">
        <v>1.0700281090092644E-2</v>
      </c>
      <c r="V401" s="27" t="s">
        <v>7</v>
      </c>
      <c r="W401" s="27" t="s">
        <v>8</v>
      </c>
      <c r="X401" s="27" t="s">
        <v>7</v>
      </c>
      <c r="BC401" s="27" t="s">
        <v>8</v>
      </c>
      <c r="BE401" s="27" t="s">
        <v>8</v>
      </c>
    </row>
    <row r="402" spans="1:57" x14ac:dyDescent="0.25">
      <c r="A402" s="30">
        <v>1.0190743895326324E-2</v>
      </c>
      <c r="V402" s="27" t="s">
        <v>7</v>
      </c>
      <c r="W402" s="27" t="s">
        <v>8</v>
      </c>
      <c r="X402" s="27" t="s">
        <v>7</v>
      </c>
      <c r="BC402" s="27" t="s">
        <v>8</v>
      </c>
      <c r="BD402" s="27" t="s">
        <v>7</v>
      </c>
      <c r="BE402" s="27" t="s">
        <v>8</v>
      </c>
    </row>
    <row r="403" spans="1:57" x14ac:dyDescent="0.25">
      <c r="A403" s="30">
        <v>9.7054703765012563E-3</v>
      </c>
      <c r="V403" s="27" t="s">
        <v>7</v>
      </c>
      <c r="W403" s="27" t="s">
        <v>8</v>
      </c>
      <c r="X403" s="27" t="s">
        <v>7</v>
      </c>
      <c r="AO403" s="27" t="s">
        <v>8</v>
      </c>
      <c r="BC403" s="27" t="s">
        <v>8</v>
      </c>
      <c r="BD403" s="27" t="s">
        <v>7</v>
      </c>
      <c r="BE403" s="27" t="s">
        <v>8</v>
      </c>
    </row>
    <row r="404" spans="1:57" x14ac:dyDescent="0.25">
      <c r="A404" s="30">
        <v>9.2433051204773835E-3</v>
      </c>
      <c r="V404" s="27" t="s">
        <v>7</v>
      </c>
      <c r="X404" s="27" t="s">
        <v>7</v>
      </c>
      <c r="Y404" s="27" t="s">
        <v>8</v>
      </c>
      <c r="AA404" s="27" t="s">
        <v>8</v>
      </c>
      <c r="AO404" s="27" t="s">
        <v>8</v>
      </c>
      <c r="AP404" s="27" t="s">
        <v>7</v>
      </c>
      <c r="BC404" s="27" t="s">
        <v>8</v>
      </c>
      <c r="BD404" s="27" t="s">
        <v>7</v>
      </c>
      <c r="BE404" s="27" t="s">
        <v>8</v>
      </c>
    </row>
    <row r="405" spans="1:57" x14ac:dyDescent="0.25">
      <c r="A405" s="30">
        <v>8.8031477337879808E-3</v>
      </c>
      <c r="X405" s="27" t="s">
        <v>7</v>
      </c>
      <c r="Y405" s="27" t="s">
        <v>8</v>
      </c>
      <c r="Z405" s="27" t="s">
        <v>7</v>
      </c>
      <c r="AA405" s="27" t="s">
        <v>8</v>
      </c>
      <c r="AB405" s="27" t="s">
        <v>7</v>
      </c>
      <c r="AO405" s="27" t="s">
        <v>8</v>
      </c>
      <c r="AP405" s="27" t="s">
        <v>7</v>
      </c>
      <c r="BC405" s="27" t="s">
        <v>8</v>
      </c>
      <c r="BD405" s="27" t="s">
        <v>7</v>
      </c>
    </row>
    <row r="406" spans="1:57" x14ac:dyDescent="0.25">
      <c r="A406" s="30">
        <v>8.3839502226552166E-3</v>
      </c>
      <c r="X406" s="27" t="s">
        <v>7</v>
      </c>
      <c r="Y406" s="27" t="s">
        <v>8</v>
      </c>
      <c r="Z406" s="27" t="s">
        <v>7</v>
      </c>
      <c r="AA406" s="27" t="s">
        <v>8</v>
      </c>
      <c r="AB406" s="27" t="s">
        <v>7</v>
      </c>
      <c r="AO406" s="27" t="s">
        <v>8</v>
      </c>
      <c r="AP406" s="27" t="s">
        <v>7</v>
      </c>
      <c r="BA406" s="27" t="s">
        <v>8</v>
      </c>
      <c r="BC406" s="27" t="s">
        <v>8</v>
      </c>
    </row>
    <row r="407" spans="1:57" x14ac:dyDescent="0.25">
      <c r="A407" s="30">
        <v>7.9847144977668698E-3</v>
      </c>
      <c r="X407" s="27" t="s">
        <v>7</v>
      </c>
      <c r="Z407" s="27" t="s">
        <v>7</v>
      </c>
      <c r="AA407" s="27" t="s">
        <v>8</v>
      </c>
      <c r="AB407" s="27" t="s">
        <v>7</v>
      </c>
      <c r="AO407" s="27" t="s">
        <v>8</v>
      </c>
      <c r="AP407" s="27" t="s">
        <v>7</v>
      </c>
      <c r="AQ407" s="27" t="s">
        <v>8</v>
      </c>
      <c r="BA407" s="27" t="s">
        <v>8</v>
      </c>
      <c r="BB407" s="27" t="s">
        <v>7</v>
      </c>
      <c r="BC407" s="27" t="s">
        <v>8</v>
      </c>
    </row>
    <row r="408" spans="1:57" x14ac:dyDescent="0.25">
      <c r="A408" s="30">
        <v>7.6044899978732058E-3</v>
      </c>
      <c r="Z408" s="27" t="s">
        <v>7</v>
      </c>
      <c r="AA408" s="27" t="s">
        <v>8</v>
      </c>
      <c r="AB408" s="27" t="s">
        <v>7</v>
      </c>
      <c r="AC408" s="27" t="s">
        <v>8</v>
      </c>
      <c r="AO408" s="27" t="s">
        <v>8</v>
      </c>
      <c r="AP408" s="27" t="s">
        <v>7</v>
      </c>
      <c r="AQ408" s="27" t="s">
        <v>8</v>
      </c>
      <c r="AR408" s="27" t="s">
        <v>7</v>
      </c>
      <c r="AS408" s="27" t="s">
        <v>8</v>
      </c>
      <c r="BA408" s="27" t="s">
        <v>8</v>
      </c>
      <c r="BB408" s="27" t="s">
        <v>7</v>
      </c>
      <c r="BC408" s="27" t="s">
        <v>8</v>
      </c>
    </row>
    <row r="409" spans="1:57" x14ac:dyDescent="0.25">
      <c r="A409" s="30">
        <v>7.2423714265459072E-3</v>
      </c>
      <c r="Z409" s="27" t="s">
        <v>7</v>
      </c>
      <c r="AA409" s="27" t="s">
        <v>8</v>
      </c>
      <c r="AB409" s="27" t="s">
        <v>7</v>
      </c>
      <c r="AC409" s="27" t="s">
        <v>8</v>
      </c>
      <c r="AD409" s="27" t="s">
        <v>7</v>
      </c>
      <c r="AO409" s="27" t="s">
        <v>8</v>
      </c>
      <c r="AP409" s="27" t="s">
        <v>7</v>
      </c>
      <c r="AQ409" s="27" t="s">
        <v>8</v>
      </c>
      <c r="AR409" s="27" t="s">
        <v>7</v>
      </c>
      <c r="AS409" s="27" t="s">
        <v>8</v>
      </c>
      <c r="AT409" s="27" t="s">
        <v>7</v>
      </c>
      <c r="BA409" s="27" t="s">
        <v>8</v>
      </c>
      <c r="BB409" s="27" t="s">
        <v>7</v>
      </c>
      <c r="BC409" s="27" t="s">
        <v>8</v>
      </c>
    </row>
    <row r="410" spans="1:57" x14ac:dyDescent="0.25">
      <c r="A410" s="30">
        <v>6.8974965967103846E-3</v>
      </c>
      <c r="Z410" s="27" t="s">
        <v>7</v>
      </c>
      <c r="AB410" s="27" t="s">
        <v>7</v>
      </c>
      <c r="AC410" s="27" t="s">
        <v>8</v>
      </c>
      <c r="AD410" s="27" t="s">
        <v>7</v>
      </c>
      <c r="AI410" s="27" t="s">
        <v>8</v>
      </c>
      <c r="AK410" s="27" t="s">
        <v>8</v>
      </c>
      <c r="AO410" s="27" t="s">
        <v>8</v>
      </c>
      <c r="AP410" s="27" t="s">
        <v>7</v>
      </c>
      <c r="AR410" s="27" t="s">
        <v>7</v>
      </c>
      <c r="AS410" s="27" t="s">
        <v>8</v>
      </c>
      <c r="AT410" s="27" t="s">
        <v>7</v>
      </c>
      <c r="BA410" s="27" t="s">
        <v>8</v>
      </c>
      <c r="BB410" s="27" t="s">
        <v>7</v>
      </c>
      <c r="BC410" s="27" t="s">
        <v>8</v>
      </c>
    </row>
    <row r="411" spans="1:57" x14ac:dyDescent="0.25">
      <c r="A411" s="30">
        <v>6.5690443778194116E-3</v>
      </c>
      <c r="AB411" s="27" t="s">
        <v>7</v>
      </c>
      <c r="AD411" s="27" t="s">
        <v>7</v>
      </c>
      <c r="AG411" s="27" t="s">
        <v>8</v>
      </c>
      <c r="AI411" s="27" t="s">
        <v>8</v>
      </c>
      <c r="AJ411" s="27" t="s">
        <v>7</v>
      </c>
      <c r="AK411" s="27" t="s">
        <v>8</v>
      </c>
      <c r="AL411" s="27" t="s">
        <v>7</v>
      </c>
      <c r="AO411" s="27" t="s">
        <v>8</v>
      </c>
      <c r="AR411" s="27" t="s">
        <v>7</v>
      </c>
      <c r="AS411" s="27" t="s">
        <v>8</v>
      </c>
      <c r="AT411" s="27" t="s">
        <v>7</v>
      </c>
      <c r="BA411" s="27" t="s">
        <v>8</v>
      </c>
      <c r="BB411" s="27" t="s">
        <v>7</v>
      </c>
      <c r="BC411" s="27" t="s">
        <v>8</v>
      </c>
    </row>
    <row r="412" spans="1:57" x14ac:dyDescent="0.25">
      <c r="A412" s="30">
        <v>6.2562327407803897E-3</v>
      </c>
      <c r="AD412" s="27" t="s">
        <v>7</v>
      </c>
      <c r="AE412" s="27" t="s">
        <v>8</v>
      </c>
      <c r="AG412" s="27" t="s">
        <v>8</v>
      </c>
      <c r="AH412" s="27" t="s">
        <v>7</v>
      </c>
      <c r="AI412" s="27" t="s">
        <v>8</v>
      </c>
      <c r="AJ412" s="27" t="s">
        <v>7</v>
      </c>
      <c r="AK412" s="27" t="s">
        <v>8</v>
      </c>
      <c r="AL412" s="27" t="s">
        <v>7</v>
      </c>
      <c r="AO412" s="27" t="s">
        <v>8</v>
      </c>
      <c r="AR412" s="27" t="s">
        <v>7</v>
      </c>
      <c r="AS412" s="27" t="s">
        <v>8</v>
      </c>
      <c r="AT412" s="27" t="s">
        <v>7</v>
      </c>
      <c r="BA412" s="27" t="s">
        <v>8</v>
      </c>
      <c r="BB412" s="27" t="s">
        <v>7</v>
      </c>
    </row>
    <row r="413" spans="1:57" x14ac:dyDescent="0.25">
      <c r="A413" s="30">
        <v>5.9583168959813212E-3</v>
      </c>
      <c r="AD413" s="27" t="s">
        <v>7</v>
      </c>
      <c r="AE413" s="27" t="s">
        <v>8</v>
      </c>
      <c r="AF413" s="27" t="s">
        <v>7</v>
      </c>
      <c r="AG413" s="27" t="s">
        <v>8</v>
      </c>
      <c r="AH413" s="27" t="s">
        <v>7</v>
      </c>
      <c r="AI413" s="27" t="s">
        <v>8</v>
      </c>
      <c r="AJ413" s="27" t="s">
        <v>7</v>
      </c>
      <c r="AK413" s="27" t="s">
        <v>8</v>
      </c>
      <c r="AL413" s="27" t="s">
        <v>7</v>
      </c>
      <c r="AO413" s="27" t="s">
        <v>8</v>
      </c>
      <c r="AR413" s="27" t="s">
        <v>7</v>
      </c>
      <c r="AS413" s="27" t="s">
        <v>8</v>
      </c>
      <c r="AT413" s="27" t="s">
        <v>7</v>
      </c>
      <c r="BA413" s="27" t="s">
        <v>8</v>
      </c>
    </row>
    <row r="414" spans="1:57" x14ac:dyDescent="0.25">
      <c r="A414" s="30">
        <v>5.6745875199822084E-3</v>
      </c>
      <c r="AD414" s="27" t="s">
        <v>7</v>
      </c>
      <c r="AE414" s="27" t="s">
        <v>8</v>
      </c>
      <c r="AF414" s="27" t="s">
        <v>7</v>
      </c>
      <c r="AG414" s="27" t="s">
        <v>8</v>
      </c>
      <c r="AH414" s="27" t="s">
        <v>7</v>
      </c>
      <c r="AJ414" s="27" t="s">
        <v>7</v>
      </c>
      <c r="AK414" s="27" t="s">
        <v>8</v>
      </c>
      <c r="AL414" s="27" t="s">
        <v>7</v>
      </c>
      <c r="AO414" s="27" t="s">
        <v>8</v>
      </c>
      <c r="AR414" s="27" t="s">
        <v>7</v>
      </c>
      <c r="AS414" s="27" t="s">
        <v>8</v>
      </c>
      <c r="AT414" s="27" t="s">
        <v>7</v>
      </c>
      <c r="BA414" s="27" t="s">
        <v>8</v>
      </c>
    </row>
    <row r="415" spans="1:57" x14ac:dyDescent="0.25">
      <c r="A415" s="30">
        <v>5.4043690666497205E-3</v>
      </c>
      <c r="AD415" s="27" t="s">
        <v>7</v>
      </c>
      <c r="AE415" s="27" t="s">
        <v>8</v>
      </c>
      <c r="AF415" s="27" t="s">
        <v>7</v>
      </c>
      <c r="AG415" s="27" t="s">
        <v>8</v>
      </c>
      <c r="AJ415" s="27" t="s">
        <v>7</v>
      </c>
      <c r="AK415" s="27" t="s">
        <v>8</v>
      </c>
      <c r="AL415" s="27" t="s">
        <v>7</v>
      </c>
      <c r="AO415" s="27" t="s">
        <v>8</v>
      </c>
      <c r="AR415" s="27" t="s">
        <v>7</v>
      </c>
      <c r="AT415" s="27" t="s">
        <v>7</v>
      </c>
      <c r="BA415" s="27" t="s">
        <v>8</v>
      </c>
    </row>
    <row r="416" spans="1:57" x14ac:dyDescent="0.25">
      <c r="A416" s="30">
        <v>5.1470181587140174E-3</v>
      </c>
      <c r="AD416" s="27" t="s">
        <v>7</v>
      </c>
      <c r="AE416" s="27" t="s">
        <v>8</v>
      </c>
      <c r="AF416" s="27" t="s">
        <v>7</v>
      </c>
      <c r="AG416" s="27" t="s">
        <v>8</v>
      </c>
      <c r="AJ416" s="27" t="s">
        <v>7</v>
      </c>
      <c r="AK416" s="27" t="s">
        <v>8</v>
      </c>
      <c r="AL416" s="27" t="s">
        <v>7</v>
      </c>
      <c r="AM416" s="27" t="s">
        <v>8</v>
      </c>
      <c r="AO416" s="27" t="s">
        <v>8</v>
      </c>
      <c r="AT416" s="27" t="s">
        <v>7</v>
      </c>
      <c r="BA416" s="27" t="s">
        <v>8</v>
      </c>
    </row>
    <row r="417" spans="1:53" x14ac:dyDescent="0.25">
      <c r="A417" s="30">
        <v>4.9019220559181099E-3</v>
      </c>
      <c r="AD417" s="27" t="s">
        <v>7</v>
      </c>
      <c r="AE417" s="27" t="s">
        <v>8</v>
      </c>
      <c r="AF417" s="27" t="s">
        <v>7</v>
      </c>
      <c r="AG417" s="27" t="s">
        <v>8</v>
      </c>
      <c r="AJ417" s="27" t="s">
        <v>7</v>
      </c>
      <c r="AK417" s="27" t="s">
        <v>8</v>
      </c>
      <c r="AL417" s="27" t="s">
        <v>7</v>
      </c>
      <c r="AM417" s="27" t="s">
        <v>8</v>
      </c>
      <c r="AN417" s="27" t="s">
        <v>7</v>
      </c>
      <c r="AO417" s="27" t="s">
        <v>8</v>
      </c>
      <c r="AT417" s="27" t="s">
        <v>7</v>
      </c>
      <c r="AY417" s="27" t="s">
        <v>8</v>
      </c>
      <c r="BA417" s="27" t="s">
        <v>8</v>
      </c>
    </row>
    <row r="418" spans="1:53" x14ac:dyDescent="0.25">
      <c r="A418" s="30">
        <v>4.6684971961124836E-3</v>
      </c>
      <c r="AD418" s="27" t="s">
        <v>7</v>
      </c>
      <c r="AF418" s="27" t="s">
        <v>7</v>
      </c>
      <c r="AJ418" s="27" t="s">
        <v>7</v>
      </c>
      <c r="AK418" s="27" t="s">
        <v>8</v>
      </c>
      <c r="AL418" s="27" t="s">
        <v>7</v>
      </c>
      <c r="AM418" s="27" t="s">
        <v>8</v>
      </c>
      <c r="AN418" s="27" t="s">
        <v>7</v>
      </c>
      <c r="AO418" s="27" t="s">
        <v>8</v>
      </c>
      <c r="AT418" s="27" t="s">
        <v>7</v>
      </c>
      <c r="AY418" s="27" t="s">
        <v>8</v>
      </c>
      <c r="AZ418" s="27" t="s">
        <v>7</v>
      </c>
      <c r="BA418" s="27" t="s">
        <v>8</v>
      </c>
    </row>
    <row r="419" spans="1:53" x14ac:dyDescent="0.25">
      <c r="A419" s="30">
        <v>4.4461878058214112E-3</v>
      </c>
      <c r="AJ419" s="27" t="s">
        <v>7</v>
      </c>
      <c r="AK419" s="27" t="s">
        <v>8</v>
      </c>
      <c r="AL419" s="27" t="s">
        <v>7</v>
      </c>
      <c r="AN419" s="27" t="s">
        <v>7</v>
      </c>
      <c r="AT419" s="27" t="s">
        <v>7</v>
      </c>
      <c r="AW419" s="27" t="s">
        <v>8</v>
      </c>
      <c r="AY419" s="27" t="s">
        <v>8</v>
      </c>
      <c r="AZ419" s="27" t="s">
        <v>7</v>
      </c>
      <c r="BA419" s="27" t="s">
        <v>8</v>
      </c>
    </row>
    <row r="420" spans="1:53" x14ac:dyDescent="0.25">
      <c r="A420" s="30">
        <v>4.2344645769727711E-3</v>
      </c>
      <c r="AJ420" s="27" t="s">
        <v>7</v>
      </c>
      <c r="AT420" s="27" t="s">
        <v>7</v>
      </c>
      <c r="AW420" s="27" t="s">
        <v>8</v>
      </c>
      <c r="AX420" s="27" t="s">
        <v>7</v>
      </c>
      <c r="AY420" s="27" t="s">
        <v>8</v>
      </c>
      <c r="AZ420" s="27" t="s">
        <v>7</v>
      </c>
      <c r="BA420" s="27" t="s">
        <v>8</v>
      </c>
    </row>
    <row r="421" spans="1:53" x14ac:dyDescent="0.25">
      <c r="A421" s="30">
        <v>4.0328234066407329E-3</v>
      </c>
      <c r="AT421" s="27" t="s">
        <v>7</v>
      </c>
      <c r="AW421" s="27" t="s">
        <v>8</v>
      </c>
      <c r="AX421" s="27" t="s">
        <v>7</v>
      </c>
      <c r="AY421" s="27" t="s">
        <v>8</v>
      </c>
      <c r="AZ421" s="27" t="s">
        <v>7</v>
      </c>
    </row>
    <row r="422" spans="1:53" x14ac:dyDescent="0.25">
      <c r="A422" s="30">
        <v>3.8407841968006963E-3</v>
      </c>
      <c r="AT422" s="27" t="s">
        <v>7</v>
      </c>
      <c r="AU422" s="27" t="s">
        <v>8</v>
      </c>
      <c r="AW422" s="27" t="s">
        <v>8</v>
      </c>
      <c r="AX422" s="27" t="s">
        <v>7</v>
      </c>
      <c r="AY422" s="27" t="s">
        <v>8</v>
      </c>
    </row>
    <row r="423" spans="1:53" x14ac:dyDescent="0.25">
      <c r="A423" s="30">
        <v>3.6578897112387568E-3</v>
      </c>
      <c r="AT423" s="27" t="s">
        <v>7</v>
      </c>
      <c r="AU423" s="27" t="s">
        <v>8</v>
      </c>
      <c r="AV423" s="27" t="s">
        <v>7</v>
      </c>
      <c r="AW423" s="27" t="s">
        <v>8</v>
      </c>
      <c r="AX423" s="27" t="s">
        <v>7</v>
      </c>
      <c r="AY423" s="27" t="s">
        <v>8</v>
      </c>
    </row>
    <row r="424" spans="1:53" x14ac:dyDescent="0.25">
      <c r="A424" s="30">
        <v>3.4837044868940526E-3</v>
      </c>
      <c r="AT424" s="27" t="s">
        <v>7</v>
      </c>
      <c r="AU424" s="27" t="s">
        <v>8</v>
      </c>
      <c r="AV424" s="27" t="s">
        <v>7</v>
      </c>
      <c r="AW424" s="27" t="s">
        <v>8</v>
      </c>
      <c r="AX424" s="27" t="s">
        <v>7</v>
      </c>
    </row>
    <row r="425" spans="1:53" x14ac:dyDescent="0.25">
      <c r="A425" s="30">
        <v>3.3178137970419535E-3</v>
      </c>
      <c r="AT425" s="27" t="s">
        <v>7</v>
      </c>
      <c r="AU425" s="27" t="s">
        <v>8</v>
      </c>
      <c r="AV425" s="27" t="s">
        <v>7</v>
      </c>
      <c r="AW425" s="27" t="s">
        <v>8</v>
      </c>
    </row>
    <row r="426" spans="1:53" x14ac:dyDescent="0.25">
      <c r="A426" s="30">
        <v>3.1598226638494781E-3</v>
      </c>
      <c r="AT426" s="27" t="s">
        <v>7</v>
      </c>
      <c r="AU426" s="27" t="s">
        <v>8</v>
      </c>
      <c r="AV426" s="27" t="s">
        <v>7</v>
      </c>
      <c r="AW426" s="27" t="s">
        <v>8</v>
      </c>
    </row>
    <row r="427" spans="1:53" x14ac:dyDescent="0.25">
      <c r="A427" s="30">
        <v>3.0093549179518826E-3</v>
      </c>
      <c r="AT427" s="27" t="s">
        <v>7</v>
      </c>
      <c r="AU427" s="27" t="s">
        <v>8</v>
      </c>
      <c r="AV427" s="27" t="s">
        <v>7</v>
      </c>
      <c r="AW427" s="27" t="s">
        <v>8</v>
      </c>
    </row>
    <row r="428" spans="1:53" x14ac:dyDescent="0.25">
      <c r="A428" s="30">
        <v>2.8660523028113155E-3</v>
      </c>
      <c r="AT428" s="27" t="s">
        <v>7</v>
      </c>
      <c r="AU428" s="27" t="s">
        <v>8</v>
      </c>
      <c r="AV428" s="27" t="s">
        <v>7</v>
      </c>
    </row>
    <row r="429" spans="1:53" x14ac:dyDescent="0.25">
      <c r="A429" s="30">
        <v>2.7295736217250611E-3</v>
      </c>
      <c r="AT429" s="27" t="s">
        <v>7</v>
      </c>
      <c r="AU429" s="27" t="s">
        <v>8</v>
      </c>
    </row>
    <row r="430" spans="1:53" x14ac:dyDescent="0.25">
      <c r="A430" s="30">
        <v>2.5995939254524381E-3</v>
      </c>
      <c r="AT430" s="27" t="s">
        <v>7</v>
      </c>
      <c r="AU430" s="27" t="s">
        <v>8</v>
      </c>
    </row>
    <row r="431" spans="1:53" x14ac:dyDescent="0.25">
      <c r="A431" s="30">
        <v>2.4758037385261304E-3</v>
      </c>
      <c r="AT431" s="27" t="s">
        <v>7</v>
      </c>
      <c r="AU431" s="27" t="s">
        <v>8</v>
      </c>
    </row>
    <row r="432" spans="1:53" x14ac:dyDescent="0.25">
      <c r="A432" s="30">
        <v>2.3579083224058374E-3</v>
      </c>
      <c r="AT432" s="27" t="s">
        <v>7</v>
      </c>
      <c r="AU432" s="27" t="s">
        <v>8</v>
      </c>
    </row>
    <row r="433" spans="1:46" x14ac:dyDescent="0.25">
      <c r="A433" s="30">
        <v>2.245626973719844E-3</v>
      </c>
      <c r="AT433" s="27" t="s">
        <v>7</v>
      </c>
    </row>
    <row r="434" spans="1:46" x14ac:dyDescent="0.25">
      <c r="A434" s="30">
        <v>2.1386923559236601E-3</v>
      </c>
    </row>
    <row r="435" spans="1:46" x14ac:dyDescent="0.25">
      <c r="A435" s="30">
        <v>2.0368498627844375E-3</v>
      </c>
    </row>
    <row r="436" spans="1:46" x14ac:dyDescent="0.25">
      <c r="A436" s="30">
        <v>1.9398570121756541E-3</v>
      </c>
    </row>
    <row r="437" spans="1:46" x14ac:dyDescent="0.25">
      <c r="A437" s="30">
        <v>1.8474828687387174E-3</v>
      </c>
    </row>
    <row r="438" spans="1:46" x14ac:dyDescent="0.25">
      <c r="A438" s="30">
        <v>1.759507494036873E-3</v>
      </c>
    </row>
    <row r="439" spans="1:46" x14ac:dyDescent="0.25">
      <c r="A439" s="30">
        <v>1.6757214228922594E-3</v>
      </c>
    </row>
    <row r="440" spans="1:46" x14ac:dyDescent="0.25">
      <c r="A440" s="30">
        <v>1.595925164659294E-3</v>
      </c>
    </row>
    <row r="441" spans="1:46" x14ac:dyDescent="0.25">
      <c r="A441" s="30">
        <v>1.5199287282469461E-3</v>
      </c>
    </row>
    <row r="442" spans="1:46" x14ac:dyDescent="0.25">
      <c r="A442" s="30">
        <v>1.4475511697589958E-3</v>
      </c>
    </row>
    <row r="443" spans="1:46" x14ac:dyDescent="0.25">
      <c r="A443" s="30">
        <v>1.3786201616752334E-3</v>
      </c>
    </row>
    <row r="444" spans="1:46" x14ac:dyDescent="0.25">
      <c r="A444" s="30">
        <v>1.3129715825478407E-3</v>
      </c>
    </row>
    <row r="445" spans="1:46" x14ac:dyDescent="0.25">
      <c r="A445" s="30">
        <v>1.2504491262360382E-3</v>
      </c>
    </row>
    <row r="446" spans="1:46" x14ac:dyDescent="0.25">
      <c r="A446" s="30">
        <v>1.1909039297486072E-3</v>
      </c>
    </row>
    <row r="447" spans="1:46" x14ac:dyDescent="0.25">
      <c r="A447" s="30">
        <v>1.1341942188081969E-3</v>
      </c>
    </row>
    <row r="448" spans="1:46" x14ac:dyDescent="0.25">
      <c r="A448" s="30">
        <v>1.0801849702935203E-3</v>
      </c>
    </row>
    <row r="449" spans="1:1" x14ac:dyDescent="0.25">
      <c r="A449" s="30">
        <v>1.0287475907557332E-3</v>
      </c>
    </row>
    <row r="450" spans="1:1" x14ac:dyDescent="0.25">
      <c r="A450" s="30">
        <v>9.7731021121794646E-4</v>
      </c>
    </row>
    <row r="451" spans="1:1" x14ac:dyDescent="0.25">
      <c r="A451" s="30">
        <v>9.2844470065704904E-4</v>
      </c>
    </row>
    <row r="452" spans="1:1" x14ac:dyDescent="0.25">
      <c r="A452" s="30">
        <v>8.8202246562419653E-4</v>
      </c>
    </row>
    <row r="453" spans="1:1" x14ac:dyDescent="0.25">
      <c r="A453" s="30">
        <v>8.3792134234298668E-4</v>
      </c>
    </row>
    <row r="454" spans="1:1" x14ac:dyDescent="0.25">
      <c r="A454" s="30">
        <v>7.9602527522583736E-4</v>
      </c>
    </row>
    <row r="455" spans="1:1" x14ac:dyDescent="0.25">
      <c r="A455" s="30">
        <v>7.5622401146454546E-4</v>
      </c>
    </row>
    <row r="456" spans="1:1" x14ac:dyDescent="0.25">
      <c r="A456" s="30">
        <v>7.1841281089131816E-4</v>
      </c>
    </row>
    <row r="457" spans="1:1" x14ac:dyDescent="0.25">
      <c r="A457" s="30">
        <v>6.8249217034675226E-4</v>
      </c>
    </row>
    <row r="458" spans="1:1" x14ac:dyDescent="0.25">
      <c r="A458" s="30">
        <v>6.4836756182941465E-4</v>
      </c>
    </row>
    <row r="459" spans="1:1" x14ac:dyDescent="0.25">
      <c r="A459" s="30">
        <v>6.1594918373794388E-4</v>
      </c>
    </row>
    <row r="460" spans="1:1" x14ac:dyDescent="0.25">
      <c r="A460" s="30">
        <v>5.8515172455104666E-4</v>
      </c>
    </row>
    <row r="461" spans="1:1" x14ac:dyDescent="0.25">
      <c r="A461" s="30">
        <v>5.5589413832349429E-4</v>
      </c>
    </row>
    <row r="462" spans="1:1" x14ac:dyDescent="0.25">
      <c r="A462" s="30">
        <v>5.2809943140731956E-4</v>
      </c>
    </row>
    <row r="463" spans="1:1" x14ac:dyDescent="0.25">
      <c r="A463" s="30">
        <v>5.0169445983695357E-4</v>
      </c>
    </row>
    <row r="464" spans="1:1" x14ac:dyDescent="0.25">
      <c r="A464" s="30">
        <v>4.7660973684510589E-4</v>
      </c>
    </row>
    <row r="465" spans="1:1" x14ac:dyDescent="0.25">
      <c r="A465" s="30">
        <v>4.5277925000285056E-4</v>
      </c>
    </row>
    <row r="466" spans="1:1" x14ac:dyDescent="0.25">
      <c r="A466" s="30">
        <v>4.3014028750270803E-4</v>
      </c>
    </row>
    <row r="467" spans="1:1" x14ac:dyDescent="0.25">
      <c r="A467" s="30">
        <v>4.0863327312757263E-4</v>
      </c>
    </row>
    <row r="468" spans="1:1" x14ac:dyDescent="0.25">
      <c r="A468" s="30">
        <v>3.8820160947119396E-4</v>
      </c>
    </row>
    <row r="469" spans="1:1" x14ac:dyDescent="0.25">
      <c r="A469" s="30">
        <v>3.6879152899763426E-4</v>
      </c>
    </row>
    <row r="470" spans="1:1" x14ac:dyDescent="0.25">
      <c r="A470" s="30">
        <v>3.5035195254775253E-4</v>
      </c>
    </row>
    <row r="471" spans="1:1" x14ac:dyDescent="0.25">
      <c r="A471" s="30">
        <v>3.3283435492036491E-4</v>
      </c>
    </row>
    <row r="472" spans="1:1" x14ac:dyDescent="0.25">
      <c r="A472" s="30">
        <v>3.1619263717434668E-4</v>
      </c>
    </row>
    <row r="473" spans="1:1" x14ac:dyDescent="0.25">
      <c r="A473" s="30">
        <v>3.0038300531562933E-4</v>
      </c>
    </row>
    <row r="474" spans="1:1" x14ac:dyDescent="0.25">
      <c r="A474" s="30">
        <v>2.8536385504984783E-4</v>
      </c>
    </row>
    <row r="475" spans="1:1" x14ac:dyDescent="0.25">
      <c r="A475" s="30">
        <v>2.7109566229735542E-4</v>
      </c>
    </row>
    <row r="476" spans="1:1" x14ac:dyDescent="0.25">
      <c r="A476" s="30">
        <v>2.5754087918248761E-4</v>
      </c>
    </row>
    <row r="477" spans="1:1" x14ac:dyDescent="0.25">
      <c r="A477" s="30">
        <v>2.4466383522336323E-4</v>
      </c>
    </row>
    <row r="478" spans="1:1" x14ac:dyDescent="0.25">
      <c r="A478" s="30">
        <v>2.3243064346219506E-4</v>
      </c>
    </row>
    <row r="479" spans="1:1" x14ac:dyDescent="0.25">
      <c r="A479" s="30">
        <v>2.2080911128908529E-4</v>
      </c>
    </row>
    <row r="480" spans="1:1" x14ac:dyDescent="0.25">
      <c r="A480" s="30">
        <v>2.0976865572463102E-4</v>
      </c>
    </row>
    <row r="481" spans="1:1" x14ac:dyDescent="0.25">
      <c r="A481" s="30">
        <v>1.9928022293839946E-4</v>
      </c>
    </row>
    <row r="482" spans="1:1" x14ac:dyDescent="0.25">
      <c r="A482" s="30">
        <v>1.8931621179147948E-4</v>
      </c>
    </row>
    <row r="483" spans="1:1" x14ac:dyDescent="0.25">
      <c r="A483" s="30">
        <v>1.798504012019055E-4</v>
      </c>
    </row>
    <row r="484" spans="1:1" x14ac:dyDescent="0.25">
      <c r="A484" s="30">
        <v>1.7085788114181021E-4</v>
      </c>
    </row>
    <row r="485" spans="1:1" x14ac:dyDescent="0.25">
      <c r="A485" s="30">
        <v>1.623149870847197E-4</v>
      </c>
    </row>
    <row r="486" spans="1:1" x14ac:dyDescent="0.25">
      <c r="A486" s="30">
        <v>1.541992377304837E-4</v>
      </c>
    </row>
    <row r="487" spans="1:1" x14ac:dyDescent="0.25">
      <c r="A487" s="30">
        <v>1.4648927584395952E-4</v>
      </c>
    </row>
    <row r="488" spans="1:1" x14ac:dyDescent="0.25">
      <c r="A488" s="30">
        <v>1.3916481205176153E-4</v>
      </c>
    </row>
    <row r="489" spans="1:1" x14ac:dyDescent="0.25">
      <c r="A489" s="30">
        <v>1.3220657144917344E-4</v>
      </c>
    </row>
    <row r="490" spans="1:1" x14ac:dyDescent="0.25">
      <c r="A490" s="30">
        <v>1.2559624287671476E-4</v>
      </c>
    </row>
    <row r="491" spans="1:1" x14ac:dyDescent="0.25">
      <c r="A491" s="30">
        <v>1.1931643073287902E-4</v>
      </c>
    </row>
    <row r="492" spans="1:1" x14ac:dyDescent="0.25">
      <c r="A492" s="30">
        <v>1.1335060919623506E-4</v>
      </c>
    </row>
    <row r="493" spans="1:1" x14ac:dyDescent="0.25">
      <c r="A493" s="30">
        <v>1.076830787364233E-4</v>
      </c>
    </row>
    <row r="494" spans="1:1" x14ac:dyDescent="0.25">
      <c r="A494" s="30">
        <v>1.0229892479960213E-4</v>
      </c>
    </row>
    <row r="495" spans="1:1" x14ac:dyDescent="0.25">
      <c r="A495" s="30">
        <v>9.7183978559622027E-5</v>
      </c>
    </row>
    <row r="496" spans="1:1" x14ac:dyDescent="0.25">
      <c r="A496" s="30">
        <v>9.2324779631640922E-5</v>
      </c>
    </row>
    <row r="497" spans="1:1" x14ac:dyDescent="0.25">
      <c r="A497" s="30">
        <v>8.7708540650058869E-5</v>
      </c>
    </row>
    <row r="498" spans="1:1" x14ac:dyDescent="0.25">
      <c r="A498" s="30">
        <v>8.3323113617555917E-5</v>
      </c>
    </row>
    <row r="499" spans="1:1" x14ac:dyDescent="0.25">
      <c r="A499" s="30">
        <v>7.9156957936678114E-5</v>
      </c>
    </row>
    <row r="500" spans="1:1" x14ac:dyDescent="0.25">
      <c r="A500" s="30">
        <v>7.5199110039844203E-5</v>
      </c>
    </row>
    <row r="501" spans="1:1" x14ac:dyDescent="0.25">
      <c r="A501" s="30">
        <v>7.1439154537851989E-5</v>
      </c>
    </row>
    <row r="502" spans="1:1" x14ac:dyDescent="0.25">
      <c r="A502" s="30">
        <v>6.7867196810959381E-5</v>
      </c>
    </row>
    <row r="503" spans="1:1" x14ac:dyDescent="0.25">
      <c r="A503" s="30">
        <v>6.4473836970411412E-5</v>
      </c>
    </row>
    <row r="504" spans="1:1" x14ac:dyDescent="0.25">
      <c r="A504" s="30">
        <v>6.1250145121890834E-5</v>
      </c>
    </row>
    <row r="505" spans="1:1" x14ac:dyDescent="0.25">
      <c r="A505" s="30">
        <v>5.8187637865796292E-5</v>
      </c>
    </row>
    <row r="506" spans="1:1" x14ac:dyDescent="0.25">
      <c r="A506" s="30">
        <v>5.5278255972506478E-5</v>
      </c>
    </row>
    <row r="507" spans="1:1" x14ac:dyDescent="0.25">
      <c r="A507" s="30">
        <v>5.251434317388115E-5</v>
      </c>
    </row>
    <row r="508" spans="1:1" x14ac:dyDescent="0.25">
      <c r="A508" s="30">
        <v>4.9888626015187091E-5</v>
      </c>
    </row>
    <row r="509" spans="1:1" x14ac:dyDescent="0.25">
      <c r="A509" s="30">
        <v>4.7394194714427735E-5</v>
      </c>
    </row>
    <row r="510" spans="1:1" x14ac:dyDescent="0.25">
      <c r="A510" s="30">
        <v>4.5024484978706345E-5</v>
      </c>
    </row>
    <row r="511" spans="1:1" x14ac:dyDescent="0.25">
      <c r="A511" s="30">
        <v>4.2773260729771024E-5</v>
      </c>
    </row>
    <row r="512" spans="1:1" x14ac:dyDescent="0.25">
      <c r="A512" s="30">
        <v>4.0634597693282472E-5</v>
      </c>
    </row>
    <row r="513" spans="1:1" x14ac:dyDescent="0.25">
      <c r="A513" s="30">
        <v>3.8602867808618349E-5</v>
      </c>
    </row>
    <row r="514" spans="1:1" x14ac:dyDescent="0.25">
      <c r="A514" s="30">
        <v>3.6672724418187428E-5</v>
      </c>
    </row>
    <row r="515" spans="1:1" x14ac:dyDescent="0.25">
      <c r="A515" s="30">
        <v>3.4839088197278057E-5</v>
      </c>
    </row>
    <row r="516" spans="1:1" x14ac:dyDescent="0.25">
      <c r="A516" s="30">
        <v>3.3097133787414149E-5</v>
      </c>
    </row>
    <row r="517" spans="1:1" x14ac:dyDescent="0.25">
      <c r="A517" s="30">
        <v>3.1442277098043439E-5</v>
      </c>
    </row>
    <row r="518" spans="1:1" x14ac:dyDescent="0.25">
      <c r="A518" s="30">
        <v>2.9870163243141264E-5</v>
      </c>
    </row>
    <row r="519" spans="1:1" x14ac:dyDescent="0.25">
      <c r="A519" s="30">
        <v>2.8376655080984199E-5</v>
      </c>
    </row>
    <row r="520" spans="1:1" x14ac:dyDescent="0.25">
      <c r="A520" s="30">
        <v>2.6957822326934987E-5</v>
      </c>
    </row>
    <row r="521" spans="1:1" x14ac:dyDescent="0.25">
      <c r="A521" s="30">
        <v>2.5609931210588235E-5</v>
      </c>
    </row>
    <row r="522" spans="1:1" x14ac:dyDescent="0.25">
      <c r="A522" s="30">
        <v>2.4329434650058821E-5</v>
      </c>
    </row>
    <row r="523" spans="1:1" x14ac:dyDescent="0.25">
      <c r="A523" s="30">
        <v>2.311296291755588E-5</v>
      </c>
    </row>
    <row r="524" spans="1:1" x14ac:dyDescent="0.25">
      <c r="A524" s="30">
        <v>2.1957314771678086E-5</v>
      </c>
    </row>
    <row r="525" spans="1:1" x14ac:dyDescent="0.25">
      <c r="A525" s="30">
        <v>2.085944903309418E-5</v>
      </c>
    </row>
    <row r="526" spans="1:1" x14ac:dyDescent="0.25">
      <c r="A526" s="30">
        <v>1.9816476581439472E-5</v>
      </c>
    </row>
    <row r="527" spans="1:1" x14ac:dyDescent="0.25">
      <c r="A527" s="30">
        <v>1.8825652752367499E-5</v>
      </c>
    </row>
    <row r="528" spans="1:1" x14ac:dyDescent="0.25">
      <c r="A528" s="30">
        <v>1.7884370114749124E-5</v>
      </c>
    </row>
    <row r="529" spans="1:1" x14ac:dyDescent="0.25">
      <c r="A529" s="30">
        <v>1.6990151609011666E-5</v>
      </c>
    </row>
    <row r="530" spans="1:1" x14ac:dyDescent="0.25">
      <c r="A530" s="30">
        <v>1.6140644028561083E-5</v>
      </c>
    </row>
    <row r="531" spans="1:1" x14ac:dyDescent="0.25">
      <c r="A531" s="30">
        <v>1.5333611827133028E-5</v>
      </c>
    </row>
    <row r="532" spans="1:1" x14ac:dyDescent="0.25">
      <c r="A532" s="30">
        <v>1.4566931235776375E-5</v>
      </c>
    </row>
    <row r="533" spans="1:1" x14ac:dyDescent="0.25">
      <c r="A533" s="30">
        <v>1.3838584673987556E-5</v>
      </c>
    </row>
    <row r="534" spans="1:1" x14ac:dyDescent="0.25">
      <c r="A534" s="30">
        <v>1.3146655440288178E-5</v>
      </c>
    </row>
    <row r="535" spans="1:1" x14ac:dyDescent="0.25">
      <c r="A535" s="30">
        <v>1.2489322668273768E-5</v>
      </c>
    </row>
    <row r="536" spans="1:1" x14ac:dyDescent="0.25">
      <c r="A536" s="30">
        <v>1.186485653486008E-5</v>
      </c>
    </row>
    <row r="537" spans="1:1" x14ac:dyDescent="0.25">
      <c r="A537" s="30">
        <v>1.1271613708117075E-5</v>
      </c>
    </row>
    <row r="538" spans="1:1" x14ac:dyDescent="0.25">
      <c r="A538" s="30">
        <v>1.0708033022711222E-5</v>
      </c>
    </row>
    <row r="539" spans="1:1" x14ac:dyDescent="0.25">
      <c r="A539" s="30">
        <v>1.0172631371575661E-5</v>
      </c>
    </row>
    <row r="540" spans="1:1" x14ac:dyDescent="0.25">
      <c r="A540" s="30">
        <v>9.6639998029968765E-6</v>
      </c>
    </row>
    <row r="541" spans="1:1" x14ac:dyDescent="0.25">
      <c r="A541" s="30">
        <v>9.1807998128470321E-6</v>
      </c>
    </row>
    <row r="542" spans="1:1" x14ac:dyDescent="0.25">
      <c r="A542" s="30">
        <v>8.7217598222046798E-6</v>
      </c>
    </row>
    <row r="543" spans="1:1" x14ac:dyDescent="0.25">
      <c r="A543" s="30">
        <v>8.2856718310944451E-6</v>
      </c>
    </row>
    <row r="544" spans="1:1" x14ac:dyDescent="0.25">
      <c r="A544" s="30">
        <v>7.8713882395397226E-6</v>
      </c>
    </row>
    <row r="545" spans="1:1" x14ac:dyDescent="0.25">
      <c r="A545" s="30">
        <v>7.4778188275627361E-6</v>
      </c>
    </row>
    <row r="546" spans="1:1" x14ac:dyDescent="0.25">
      <c r="A546" s="30">
        <v>7.1039278861845986E-6</v>
      </c>
    </row>
    <row r="547" spans="1:1" x14ac:dyDescent="0.25">
      <c r="A547" s="30">
        <v>6.7487314918753682E-6</v>
      </c>
    </row>
    <row r="548" spans="1:1" x14ac:dyDescent="0.25">
      <c r="A548" s="30">
        <v>6.4112949172815995E-6</v>
      </c>
    </row>
    <row r="549" spans="1:1" x14ac:dyDescent="0.25">
      <c r="A549" s="30">
        <v>6.0907301714175189E-6</v>
      </c>
    </row>
    <row r="550" spans="1:1" x14ac:dyDescent="0.25">
      <c r="A550" s="30">
        <v>5.7861936628466423E-6</v>
      </c>
    </row>
    <row r="551" spans="1:1" x14ac:dyDescent="0.25">
      <c r="A551" s="30">
        <v>5.4968839797043099E-6</v>
      </c>
    </row>
    <row r="552" spans="1:1" x14ac:dyDescent="0.25">
      <c r="A552" s="30">
        <v>5.2220397807190937E-6</v>
      </c>
    </row>
    <row r="553" spans="1:1" x14ac:dyDescent="0.25">
      <c r="A553" s="30">
        <v>4.9609377916831386E-6</v>
      </c>
    </row>
    <row r="554" spans="1:1" x14ac:dyDescent="0.25">
      <c r="A554" s="30">
        <v>4.7128909020989814E-6</v>
      </c>
    </row>
    <row r="555" spans="1:1" x14ac:dyDescent="0.25">
      <c r="A555" s="30">
        <v>4.4772463569940322E-6</v>
      </c>
    </row>
    <row r="556" spans="1:1" x14ac:dyDescent="0.25">
      <c r="A556" s="30">
        <v>4.2533840391443302E-6</v>
      </c>
    </row>
    <row r="557" spans="1:1" x14ac:dyDescent="0.25">
      <c r="A557" s="30">
        <v>4.0407148371871134E-6</v>
      </c>
    </row>
    <row r="558" spans="1:1" x14ac:dyDescent="0.25">
      <c r="A558" s="30">
        <v>3.838679095327758E-6</v>
      </c>
    </row>
    <row r="559" spans="1:1" x14ac:dyDescent="0.25">
      <c r="A559" s="30">
        <v>3.6467451405613698E-6</v>
      </c>
    </row>
    <row r="560" spans="1:1" x14ac:dyDescent="0.25">
      <c r="A560" s="30">
        <v>3.464407883533301E-6</v>
      </c>
    </row>
    <row r="561" spans="1:1" x14ac:dyDescent="0.25">
      <c r="A561" s="30">
        <v>3.2911874893566358E-6</v>
      </c>
    </row>
    <row r="562" spans="1:1" x14ac:dyDescent="0.25">
      <c r="A562" s="30">
        <v>3.1266281148888039E-6</v>
      </c>
    </row>
    <row r="563" spans="1:1" x14ac:dyDescent="0.25">
      <c r="A563" s="30">
        <v>2.9702967091443636E-6</v>
      </c>
    </row>
    <row r="564" spans="1:1" x14ac:dyDescent="0.25">
      <c r="A564" s="30">
        <v>2.8217818736871453E-6</v>
      </c>
    </row>
    <row r="565" spans="1:1" x14ac:dyDescent="0.25">
      <c r="A565" s="30">
        <v>2.6806927800027881E-6</v>
      </c>
    </row>
    <row r="566" spans="1:1" x14ac:dyDescent="0.25">
      <c r="A566" s="30">
        <v>2.5466581410026485E-6</v>
      </c>
    </row>
    <row r="567" spans="1:1" x14ac:dyDescent="0.25">
      <c r="A567" s="30">
        <v>2.4193252339525159E-6</v>
      </c>
    </row>
    <row r="568" spans="1:1" x14ac:dyDescent="0.25">
      <c r="A568" s="30">
        <v>2.2983589722548901E-6</v>
      </c>
    </row>
    <row r="569" spans="1:1" x14ac:dyDescent="0.25">
      <c r="A569" s="30">
        <v>2.1834410236421454E-6</v>
      </c>
    </row>
    <row r="570" spans="1:1" x14ac:dyDescent="0.25">
      <c r="A570" s="30">
        <v>2.0742689724600379E-6</v>
      </c>
    </row>
    <row r="571" spans="1:1" x14ac:dyDescent="0.25">
      <c r="A571" s="30">
        <v>1.9705555238370358E-6</v>
      </c>
    </row>
    <row r="572" spans="1:1" x14ac:dyDescent="0.25">
      <c r="A572" s="30">
        <v>1.8720277476451839E-6</v>
      </c>
    </row>
    <row r="573" spans="1:1" x14ac:dyDescent="0.25">
      <c r="A573" s="30">
        <v>1.7784263602629246E-6</v>
      </c>
    </row>
    <row r="574" spans="1:1" x14ac:dyDescent="0.25">
      <c r="A574" s="30">
        <v>1.6895050422497783E-6</v>
      </c>
    </row>
    <row r="575" spans="1:1" x14ac:dyDescent="0.25">
      <c r="A575" s="30">
        <v>1.6050297901372894E-6</v>
      </c>
    </row>
    <row r="576" spans="1:1" x14ac:dyDescent="0.25">
      <c r="A576" s="30">
        <v>1.5247783006304249E-6</v>
      </c>
    </row>
    <row r="577" spans="1:1" x14ac:dyDescent="0.25">
      <c r="A577" s="30">
        <v>1.4485393855989036E-6</v>
      </c>
    </row>
    <row r="578" spans="1:1" x14ac:dyDescent="0.25">
      <c r="A578" s="30">
        <v>1.3761124163189583E-6</v>
      </c>
    </row>
    <row r="579" spans="1:1" x14ac:dyDescent="0.25">
      <c r="A579" s="30">
        <v>1.3073067955030102E-6</v>
      </c>
    </row>
    <row r="580" spans="1:1" x14ac:dyDescent="0.25">
      <c r="A580" s="30">
        <v>1.2419414557278597E-6</v>
      </c>
    </row>
    <row r="581" spans="1:1" x14ac:dyDescent="0.25">
      <c r="A581" s="30">
        <v>1.1798443829414667E-6</v>
      </c>
    </row>
    <row r="582" spans="1:1" x14ac:dyDescent="0.25">
      <c r="A582" s="30">
        <v>1.1208521637943934E-6</v>
      </c>
    </row>
    <row r="583" spans="1:1" x14ac:dyDescent="0.25">
      <c r="A583" s="30">
        <v>1.0648095556046737E-6</v>
      </c>
    </row>
    <row r="584" spans="1:1" x14ac:dyDescent="0.25">
      <c r="A584" s="30">
        <v>1.01156907782444E-6</v>
      </c>
    </row>
    <row r="585" spans="1:1" x14ac:dyDescent="0.25">
      <c r="A585" s="30">
        <v>9.6099062393321788E-7</v>
      </c>
    </row>
    <row r="586" spans="1:1" x14ac:dyDescent="0.25">
      <c r="A586" s="30">
        <v>9.1294109273655694E-7</v>
      </c>
    </row>
    <row r="587" spans="1:1" x14ac:dyDescent="0.25">
      <c r="A587" s="30">
        <v>8.6729403809972904E-7</v>
      </c>
    </row>
    <row r="588" spans="1:1" x14ac:dyDescent="0.25">
      <c r="A588" s="30">
        <v>8.2392933619474258E-7</v>
      </c>
    </row>
    <row r="589" spans="1:1" x14ac:dyDescent="0.25">
      <c r="A589" s="30">
        <v>7.8273286938500543E-7</v>
      </c>
    </row>
    <row r="590" spans="1:1" x14ac:dyDescent="0.25">
      <c r="A590" s="30">
        <v>7.4359622591575509E-7</v>
      </c>
    </row>
    <row r="591" spans="1:1" x14ac:dyDescent="0.25">
      <c r="A591" s="30">
        <v>7.064164146199673E-7</v>
      </c>
    </row>
    <row r="592" spans="1:1" x14ac:dyDescent="0.25">
      <c r="A592" s="30">
        <v>6.7109559388896894E-7</v>
      </c>
    </row>
    <row r="593" spans="1:1" x14ac:dyDescent="0.25">
      <c r="A593" s="30">
        <v>6.3754081419452045E-7</v>
      </c>
    </row>
    <row r="594" spans="1:1" x14ac:dyDescent="0.25">
      <c r="A594" s="30">
        <v>6.056637734847944E-7</v>
      </c>
    </row>
    <row r="595" spans="1:1" x14ac:dyDescent="0.25">
      <c r="A595" s="30">
        <v>5.7538058481055464E-7</v>
      </c>
    </row>
    <row r="596" spans="1:1" x14ac:dyDescent="0.25">
      <c r="A596" s="30">
        <v>5.4661155557002689E-7</v>
      </c>
    </row>
    <row r="597" spans="1:1" x14ac:dyDescent="0.25">
      <c r="A597" s="30">
        <v>5.1928097779152547E-7</v>
      </c>
    </row>
    <row r="598" spans="1:1" x14ac:dyDescent="0.25">
      <c r="A598" s="30">
        <v>4.9331692890194916E-7</v>
      </c>
    </row>
    <row r="599" spans="1:1" x14ac:dyDescent="0.25">
      <c r="A599" s="30">
        <v>4.6865108245685168E-7</v>
      </c>
    </row>
    <row r="600" spans="1:1" x14ac:dyDescent="0.25">
      <c r="A600" s="30">
        <v>4.4521852833400909E-7</v>
      </c>
    </row>
    <row r="601" spans="1:1" x14ac:dyDescent="0.25">
      <c r="A601" s="30">
        <v>4.2295760191730863E-7</v>
      </c>
    </row>
    <row r="602" spans="1:1" x14ac:dyDescent="0.25">
      <c r="A602" s="30">
        <v>4.018097218214432E-7</v>
      </c>
    </row>
    <row r="603" spans="1:1" x14ac:dyDescent="0.25">
      <c r="A603" s="30">
        <v>3.8171923573037103E-7</v>
      </c>
    </row>
    <row r="604" spans="1:1" x14ac:dyDescent="0.25">
      <c r="A604" s="30">
        <v>3.6263327394385244E-7</v>
      </c>
    </row>
    <row r="605" spans="1:1" x14ac:dyDescent="0.25">
      <c r="A605" s="30">
        <v>3.4450161024665982E-7</v>
      </c>
    </row>
    <row r="606" spans="1:1" x14ac:dyDescent="0.25">
      <c r="A606" s="30">
        <v>3.2727652973432681E-7</v>
      </c>
    </row>
    <row r="607" spans="1:1" x14ac:dyDescent="0.25">
      <c r="A607" s="30">
        <v>3.1091270324761048E-7</v>
      </c>
    </row>
    <row r="608" spans="1:1" x14ac:dyDescent="0.25">
      <c r="A608" s="30">
        <v>2.9536706808522992E-7</v>
      </c>
    </row>
    <row r="609" spans="1:1" x14ac:dyDescent="0.25">
      <c r="A609" s="30">
        <v>2.8059871468096844E-7</v>
      </c>
    </row>
    <row r="610" spans="1:1" x14ac:dyDescent="0.25">
      <c r="A610" s="30">
        <v>2.6656877894691999E-7</v>
      </c>
    </row>
    <row r="611" spans="1:1" x14ac:dyDescent="0.25">
      <c r="A611" s="30">
        <v>2.5324033999957397E-7</v>
      </c>
    </row>
    <row r="612" spans="1:1" x14ac:dyDescent="0.25">
      <c r="A612" s="30">
        <v>2.4057832299959528E-7</v>
      </c>
    </row>
    <row r="613" spans="1:1" x14ac:dyDescent="0.25">
      <c r="A613" s="30">
        <v>2.2854940684961551E-7</v>
      </c>
    </row>
    <row r="614" spans="1:1" x14ac:dyDescent="0.25">
      <c r="A614" s="30">
        <v>2.1712193650713473E-7</v>
      </c>
    </row>
    <row r="615" spans="1:1" x14ac:dyDescent="0.25">
      <c r="A615" s="30">
        <v>2.0626583968177798E-7</v>
      </c>
    </row>
    <row r="616" spans="1:1" x14ac:dyDescent="0.25">
      <c r="A616" s="30">
        <v>1.9595254769768908E-7</v>
      </c>
    </row>
    <row r="617" spans="1:1" x14ac:dyDescent="0.25">
      <c r="A617" s="30">
        <v>1.8615492031280462E-7</v>
      </c>
    </row>
    <row r="618" spans="1:1" x14ac:dyDescent="0.25">
      <c r="A618" s="30">
        <v>1.7684717429716437E-7</v>
      </c>
    </row>
    <row r="619" spans="1:1" x14ac:dyDescent="0.25">
      <c r="A619" s="30">
        <v>1.6800481558230616E-7</v>
      </c>
    </row>
    <row r="620" spans="1:1" x14ac:dyDescent="0.25">
      <c r="A620" s="30">
        <v>1.5960457480319083E-7</v>
      </c>
    </row>
    <row r="621" spans="1:1" x14ac:dyDescent="0.25">
      <c r="A621" s="30">
        <v>1.5162434606303129E-7</v>
      </c>
    </row>
    <row r="622" spans="1:1" x14ac:dyDescent="0.25">
      <c r="A622" s="30">
        <v>1.4404312875987972E-7</v>
      </c>
    </row>
    <row r="623" spans="1:1" x14ac:dyDescent="0.25">
      <c r="A623" s="30">
        <v>1.3684097232188573E-7</v>
      </c>
    </row>
    <row r="624" spans="1:1" x14ac:dyDescent="0.25">
      <c r="A624" s="30">
        <v>1.2999892370579143E-7</v>
      </c>
    </row>
    <row r="625" spans="1:1" x14ac:dyDescent="0.25">
      <c r="A625" s="30">
        <v>1.2349897752050186E-7</v>
      </c>
    </row>
    <row r="626" spans="1:1" x14ac:dyDescent="0.25">
      <c r="A626" s="30">
        <v>1.1732402864447677E-7</v>
      </c>
    </row>
    <row r="627" spans="1:1" x14ac:dyDescent="0.25">
      <c r="A627" s="30">
        <v>1.1145782721225292E-7</v>
      </c>
    </row>
    <row r="628" spans="1:1" x14ac:dyDescent="0.25">
      <c r="A628" s="30">
        <v>1.0588493585164026E-7</v>
      </c>
    </row>
    <row r="629" spans="1:1" x14ac:dyDescent="0.25">
      <c r="A629" s="30">
        <v>1.0059068905905825E-7</v>
      </c>
    </row>
    <row r="630" spans="1:1" x14ac:dyDescent="0.25">
      <c r="A630" s="30">
        <v>9.5561154606105325E-8</v>
      </c>
    </row>
    <row r="631" spans="1:1" x14ac:dyDescent="0.25">
      <c r="A631" s="30">
        <v>9.0783096875800056E-8</v>
      </c>
    </row>
    <row r="632" spans="1:1" x14ac:dyDescent="0.25">
      <c r="A632" s="30">
        <v>8.6243942032010053E-8</v>
      </c>
    </row>
    <row r="633" spans="1:1" x14ac:dyDescent="0.25">
      <c r="A633" s="30">
        <v>8.1931744930409543E-8</v>
      </c>
    </row>
    <row r="634" spans="1:1" x14ac:dyDescent="0.25">
      <c r="A634" s="30">
        <v>7.7835157683889064E-8</v>
      </c>
    </row>
    <row r="635" spans="1:1" x14ac:dyDescent="0.25">
      <c r="A635" s="30">
        <v>7.3943399799694612E-8</v>
      </c>
    </row>
    <row r="636" spans="1:1" x14ac:dyDescent="0.25">
      <c r="A636" s="30">
        <v>7.0246229809709872E-8</v>
      </c>
    </row>
    <row r="637" spans="1:1" x14ac:dyDescent="0.25">
      <c r="A637" s="30">
        <v>6.6733918319224378E-8</v>
      </c>
    </row>
    <row r="638" spans="1:1" x14ac:dyDescent="0.25">
      <c r="A638" s="30">
        <v>6.3397222403263155E-8</v>
      </c>
    </row>
    <row r="639" spans="1:1" x14ac:dyDescent="0.25">
      <c r="A639" s="30">
        <v>6.0227361283099997E-8</v>
      </c>
    </row>
    <row r="640" spans="1:1" x14ac:dyDescent="0.25">
      <c r="A640" s="30">
        <v>5.7215993218944996E-8</v>
      </c>
    </row>
    <row r="641" spans="1:1" x14ac:dyDescent="0.25">
      <c r="A641" s="30">
        <v>5.4355193557997742E-8</v>
      </c>
    </row>
    <row r="642" spans="1:1" x14ac:dyDescent="0.25">
      <c r="A642" s="30">
        <v>5.1637433880097855E-8</v>
      </c>
    </row>
    <row r="643" spans="1:1" x14ac:dyDescent="0.25">
      <c r="A643" s="30">
        <v>4.9055562186092959E-8</v>
      </c>
    </row>
    <row r="644" spans="1:1" x14ac:dyDescent="0.25">
      <c r="A644" s="30">
        <v>4.6602784076788309E-8</v>
      </c>
    </row>
    <row r="645" spans="1:1" x14ac:dyDescent="0.25">
      <c r="A645" s="30">
        <v>4.4272644872948894E-8</v>
      </c>
    </row>
    <row r="646" spans="1:1" x14ac:dyDescent="0.25">
      <c r="A646" s="30">
        <v>4.2059012629301451E-8</v>
      </c>
    </row>
    <row r="647" spans="1:1" x14ac:dyDescent="0.25">
      <c r="A647" s="30">
        <v>3.9956061997836377E-8</v>
      </c>
    </row>
    <row r="648" spans="1:1" x14ac:dyDescent="0.25">
      <c r="A648" s="30">
        <v>3.7958258897944555E-8</v>
      </c>
    </row>
    <row r="649" spans="1:1" x14ac:dyDescent="0.25">
      <c r="A649" s="30">
        <v>3.6060345953047327E-8</v>
      </c>
    </row>
    <row r="650" spans="1:1" x14ac:dyDescent="0.25">
      <c r="A650" s="30">
        <v>3.4257328655394958E-8</v>
      </c>
    </row>
    <row r="651" spans="1:1" x14ac:dyDescent="0.25">
      <c r="A651" s="30">
        <v>3.2544462222625211E-8</v>
      </c>
    </row>
    <row r="652" spans="1:1" x14ac:dyDescent="0.25">
      <c r="A652" s="30">
        <v>3.0917239111493953E-8</v>
      </c>
    </row>
    <row r="653" spans="1:1" x14ac:dyDescent="0.25">
      <c r="A653" s="30">
        <v>2.9371377155919254E-8</v>
      </c>
    </row>
    <row r="654" spans="1:1" x14ac:dyDescent="0.25">
      <c r="A654" s="30">
        <v>2.7902808298123291E-8</v>
      </c>
    </row>
    <row r="655" spans="1:1" x14ac:dyDescent="0.25">
      <c r="A655" s="30">
        <v>2.6507667883217124E-8</v>
      </c>
    </row>
    <row r="656" spans="1:1" x14ac:dyDescent="0.25">
      <c r="A656" s="30">
        <v>2.5182284489056268E-8</v>
      </c>
    </row>
    <row r="657" spans="1:1" x14ac:dyDescent="0.25">
      <c r="A657" s="30">
        <v>2.3923170264603454E-8</v>
      </c>
    </row>
    <row r="658" spans="1:1" x14ac:dyDescent="0.25">
      <c r="A658" s="30">
        <v>2.2727011751373281E-8</v>
      </c>
    </row>
    <row r="659" spans="1:1" x14ac:dyDescent="0.25">
      <c r="A659" s="30">
        <v>2.1590661163804617E-8</v>
      </c>
    </row>
    <row r="660" spans="1:1" x14ac:dyDescent="0.25">
      <c r="A660" s="30">
        <v>2.0511128105614386E-8</v>
      </c>
    </row>
    <row r="661" spans="1:1" x14ac:dyDescent="0.25">
      <c r="A661" s="30">
        <v>1.9485571700333666E-8</v>
      </c>
    </row>
    <row r="662" spans="1:1" x14ac:dyDescent="0.25">
      <c r="A662" s="30">
        <v>1.8511293115316981E-8</v>
      </c>
    </row>
    <row r="663" spans="1:1" x14ac:dyDescent="0.25">
      <c r="A663" s="30">
        <v>1.758572845955113E-8</v>
      </c>
    </row>
    <row r="664" spans="1:1" x14ac:dyDescent="0.25">
      <c r="A664" s="30">
        <v>1.6706442036573572E-8</v>
      </c>
    </row>
    <row r="665" spans="1:1" x14ac:dyDescent="0.25">
      <c r="A665" s="30">
        <v>1.5871119934744892E-8</v>
      </c>
    </row>
    <row r="666" spans="1:1" x14ac:dyDescent="0.25">
      <c r="A666" s="30">
        <v>1.5077563938007645E-8</v>
      </c>
    </row>
    <row r="667" spans="1:1" x14ac:dyDescent="0.25">
      <c r="A667" s="30">
        <v>1.4323685741107262E-8</v>
      </c>
    </row>
    <row r="668" spans="1:1" x14ac:dyDescent="0.25">
      <c r="A668" s="30">
        <v>1.3607501454051899E-8</v>
      </c>
    </row>
    <row r="669" spans="1:1" x14ac:dyDescent="0.25">
      <c r="A669" s="30">
        <v>1.2927126381349303E-8</v>
      </c>
    </row>
    <row r="670" spans="1:1" x14ac:dyDescent="0.25">
      <c r="A670" s="30">
        <v>1.2280770062281838E-8</v>
      </c>
    </row>
    <row r="671" spans="1:1" x14ac:dyDescent="0.25">
      <c r="A671" s="30">
        <v>1.1666731559167746E-8</v>
      </c>
    </row>
    <row r="672" spans="1:1" x14ac:dyDescent="0.25">
      <c r="A672" s="30">
        <v>1.1083394981209357E-8</v>
      </c>
    </row>
    <row r="673" spans="1:1" x14ac:dyDescent="0.25">
      <c r="A673" s="30">
        <v>1.0529225232148889E-8</v>
      </c>
    </row>
    <row r="674" spans="1:1" x14ac:dyDescent="0.25">
      <c r="A674" s="30">
        <v>1.0002763970541444E-8</v>
      </c>
    </row>
    <row r="675" spans="1:1" x14ac:dyDescent="0.25">
      <c r="A675" s="30">
        <v>9.5026257720143712E-9</v>
      </c>
    </row>
    <row r="676" spans="1:1" x14ac:dyDescent="0.25">
      <c r="A676" s="30">
        <v>9.0274944834136515E-9</v>
      </c>
    </row>
    <row r="677" spans="1:1" x14ac:dyDescent="0.25">
      <c r="A677" s="30">
        <v>8.5761197592429686E-9</v>
      </c>
    </row>
    <row r="678" spans="1:1" x14ac:dyDescent="0.25">
      <c r="A678" s="30">
        <v>8.1473137712808194E-9</v>
      </c>
    </row>
    <row r="679" spans="1:1" x14ac:dyDescent="0.25">
      <c r="A679" s="30">
        <v>7.7399480827167776E-9</v>
      </c>
    </row>
    <row r="680" spans="1:1" x14ac:dyDescent="0.25">
      <c r="A680" s="30">
        <v>7.3529506785809386E-9</v>
      </c>
    </row>
    <row r="681" spans="1:1" x14ac:dyDescent="0.25">
      <c r="A681" s="30">
        <v>6.9853031446518911E-9</v>
      </c>
    </row>
    <row r="682" spans="1:1" x14ac:dyDescent="0.25">
      <c r="A682" s="30">
        <v>6.6360379874192963E-9</v>
      </c>
    </row>
    <row r="683" spans="1:1" x14ac:dyDescent="0.25">
      <c r="A683" s="30">
        <v>6.3042360880483309E-9</v>
      </c>
    </row>
    <row r="684" spans="1:1" x14ac:dyDescent="0.25">
      <c r="A684" s="30">
        <v>5.989024283645914E-9</v>
      </c>
    </row>
    <row r="685" spans="1:1" x14ac:dyDescent="0.25">
      <c r="A685" s="30">
        <v>5.6895730694636181E-9</v>
      </c>
    </row>
    <row r="686" spans="1:1" x14ac:dyDescent="0.25">
      <c r="A686" s="30">
        <v>5.4050944159904366E-9</v>
      </c>
    </row>
    <row r="687" spans="1:1" x14ac:dyDescent="0.25">
      <c r="A687" s="30">
        <v>5.1348396951909145E-9</v>
      </c>
    </row>
    <row r="688" spans="1:1" x14ac:dyDescent="0.25">
      <c r="A688" s="30">
        <v>4.8780977104313684E-9</v>
      </c>
    </row>
    <row r="689" spans="1:1" x14ac:dyDescent="0.25">
      <c r="A689" s="30">
        <v>4.6341928249097994E-9</v>
      </c>
    </row>
    <row r="690" spans="1:1" x14ac:dyDescent="0.25">
      <c r="A690" s="30">
        <v>4.4024831836643092E-9</v>
      </c>
    </row>
    <row r="691" spans="1:1" x14ac:dyDescent="0.25">
      <c r="A691" s="30">
        <v>4.1823590244810936E-9</v>
      </c>
    </row>
    <row r="692" spans="1:1" x14ac:dyDescent="0.25">
      <c r="A692" s="30">
        <v>3.9732410732570384E-9</v>
      </c>
    </row>
    <row r="693" spans="1:1" x14ac:dyDescent="0.25">
      <c r="A693" s="30">
        <v>3.7745790195941862E-9</v>
      </c>
    </row>
    <row r="694" spans="1:1" x14ac:dyDescent="0.25">
      <c r="A694" s="30">
        <v>3.5858500686144767E-9</v>
      </c>
    </row>
    <row r="695" spans="1:1" x14ac:dyDescent="0.25">
      <c r="A695" s="30">
        <v>3.4065575651837529E-9</v>
      </c>
    </row>
    <row r="696" spans="1:1" x14ac:dyDescent="0.25">
      <c r="A696" s="30">
        <v>3.236229686924565E-9</v>
      </c>
    </row>
    <row r="697" spans="1:1" x14ac:dyDescent="0.25">
      <c r="A697" s="30">
        <v>3.0744182025783365E-9</v>
      </c>
    </row>
    <row r="698" spans="1:1" x14ac:dyDescent="0.25">
      <c r="A698" s="30">
        <v>2.9206972924494197E-9</v>
      </c>
    </row>
    <row r="699" spans="1:1" x14ac:dyDescent="0.25">
      <c r="A699" s="30">
        <v>2.7746624278269484E-9</v>
      </c>
    </row>
    <row r="700" spans="1:1" x14ac:dyDescent="0.25">
      <c r="A700" s="30">
        <v>2.635929306435601E-9</v>
      </c>
    </row>
    <row r="701" spans="1:1" x14ac:dyDescent="0.25">
      <c r="A701" s="30">
        <v>2.504132841113821E-9</v>
      </c>
    </row>
    <row r="702" spans="1:1" x14ac:dyDescent="0.25">
      <c r="A702" s="30">
        <v>2.3789261990581298E-9</v>
      </c>
    </row>
    <row r="703" spans="1:1" x14ac:dyDescent="0.25">
      <c r="A703" s="30">
        <v>2.259979889105223E-9</v>
      </c>
    </row>
    <row r="704" spans="1:1" x14ac:dyDescent="0.25">
      <c r="A704" s="30">
        <v>2.1469808946499619E-9</v>
      </c>
    </row>
    <row r="705" spans="1:1" x14ac:dyDescent="0.25">
      <c r="A705" s="30">
        <v>2.0396318499174636E-9</v>
      </c>
    </row>
    <row r="706" spans="1:1" x14ac:dyDescent="0.25">
      <c r="A706" s="30">
        <v>1.9376502574215905E-9</v>
      </c>
    </row>
    <row r="707" spans="1:1" x14ac:dyDescent="0.25">
      <c r="A707" s="30">
        <v>1.8407677445505109E-9</v>
      </c>
    </row>
    <row r="708" spans="1:1" x14ac:dyDescent="0.25">
      <c r="A708" s="30">
        <v>1.7487293573229853E-9</v>
      </c>
    </row>
    <row r="709" spans="1:1" x14ac:dyDescent="0.25">
      <c r="A709" s="30">
        <v>1.661292889456836E-9</v>
      </c>
    </row>
    <row r="710" spans="1:1" x14ac:dyDescent="0.25">
      <c r="A710" s="30">
        <v>1.578228244983994E-9</v>
      </c>
    </row>
    <row r="711" spans="1:1" x14ac:dyDescent="0.25">
      <c r="A711" s="30">
        <v>1.4993168327347942E-9</v>
      </c>
    </row>
    <row r="712" spans="1:1" x14ac:dyDescent="0.25">
      <c r="A712" s="30">
        <v>1.4243509910980544E-9</v>
      </c>
    </row>
    <row r="713" spans="1:1" x14ac:dyDescent="0.25">
      <c r="A713" s="30">
        <v>1.3531334415431516E-9</v>
      </c>
    </row>
    <row r="714" spans="1:1" x14ac:dyDescent="0.25">
      <c r="A714" s="30">
        <v>1.285476769465994E-9</v>
      </c>
    </row>
    <row r="715" spans="1:1" x14ac:dyDescent="0.25">
      <c r="A715" s="30">
        <v>1.2212029309926942E-9</v>
      </c>
    </row>
    <row r="716" spans="1:1" x14ac:dyDescent="0.25">
      <c r="A716" s="30">
        <v>1.1601427844430595E-9</v>
      </c>
    </row>
    <row r="717" spans="1:1" x14ac:dyDescent="0.25">
      <c r="A717" s="30">
        <v>1.1021356452209065E-9</v>
      </c>
    </row>
    <row r="718" spans="1:1" x14ac:dyDescent="0.25">
      <c r="A718" s="30">
        <v>1.047028862959861E-9</v>
      </c>
    </row>
    <row r="719" spans="1:1" x14ac:dyDescent="0.25">
      <c r="A719" s="30">
        <v>9.9467741981186791E-10</v>
      </c>
    </row>
    <row r="720" spans="1:1" x14ac:dyDescent="0.25">
      <c r="A720" s="30">
        <v>9.4494354882127439E-10</v>
      </c>
    </row>
    <row r="721" spans="1:1" x14ac:dyDescent="0.25">
      <c r="A721" s="30">
        <v>8.9769637138021059E-10</v>
      </c>
    </row>
    <row r="722" spans="1:1" x14ac:dyDescent="0.25">
      <c r="A722" s="30">
        <v>8.5281155281120004E-10</v>
      </c>
    </row>
    <row r="723" spans="1:1" x14ac:dyDescent="0.25">
      <c r="A723" s="30">
        <v>8.1017097517064003E-10</v>
      </c>
    </row>
    <row r="724" spans="1:1" x14ac:dyDescent="0.25">
      <c r="A724" s="30">
        <v>7.69662426412108E-10</v>
      </c>
    </row>
    <row r="725" spans="1:1" x14ac:dyDescent="0.25">
      <c r="A725" s="30">
        <v>7.3117930509150257E-10</v>
      </c>
    </row>
    <row r="726" spans="1:1" x14ac:dyDescent="0.25">
      <c r="A726" s="30">
        <v>6.9462033983692743E-10</v>
      </c>
    </row>
    <row r="727" spans="1:1" x14ac:dyDescent="0.25">
      <c r="A727" s="30">
        <v>6.5988932284508105E-10</v>
      </c>
    </row>
    <row r="728" spans="1:1" x14ac:dyDescent="0.25">
      <c r="A728" s="30">
        <v>6.2689485670282699E-10</v>
      </c>
    </row>
    <row r="729" spans="1:1" x14ac:dyDescent="0.25">
      <c r="A729" s="30">
        <v>5.9555011386768556E-10</v>
      </c>
    </row>
    <row r="730" spans="1:1" x14ac:dyDescent="0.25">
      <c r="A730" s="30">
        <v>5.6577260817430128E-10</v>
      </c>
    </row>
    <row r="731" spans="1:1" x14ac:dyDescent="0.25">
      <c r="A731" s="30">
        <v>5.3748397776558616E-10</v>
      </c>
    </row>
    <row r="732" spans="1:1" x14ac:dyDescent="0.25">
      <c r="A732" s="30">
        <v>5.1060977887730685E-10</v>
      </c>
    </row>
    <row r="733" spans="1:1" x14ac:dyDescent="0.25">
      <c r="A733" s="30">
        <v>4.8507928993344152E-10</v>
      </c>
    </row>
    <row r="734" spans="1:1" x14ac:dyDescent="0.25">
      <c r="A734" s="30">
        <v>4.6082532543676942E-10</v>
      </c>
    </row>
    <row r="735" spans="1:1" x14ac:dyDescent="0.25">
      <c r="A735" s="30">
        <v>4.3778405916493093E-10</v>
      </c>
    </row>
    <row r="736" spans="1:1" x14ac:dyDescent="0.25">
      <c r="A736" s="30">
        <v>4.1589485620668437E-10</v>
      </c>
    </row>
    <row r="737" spans="1:1" x14ac:dyDescent="0.25">
      <c r="A737" s="30">
        <v>3.9510011339635012E-10</v>
      </c>
    </row>
    <row r="738" spans="1:1" x14ac:dyDescent="0.25">
      <c r="A738" s="30">
        <v>3.7534510772653259E-10</v>
      </c>
    </row>
    <row r="739" spans="1:1" x14ac:dyDescent="0.25">
      <c r="A739" s="30">
        <v>3.5657785234020594E-10</v>
      </c>
    </row>
    <row r="740" spans="1:1" x14ac:dyDescent="0.25">
      <c r="A740" s="30">
        <v>3.3874895972319565E-10</v>
      </c>
    </row>
    <row r="741" spans="1:1" x14ac:dyDescent="0.25">
      <c r="A741" s="30">
        <v>3.2181151173703586E-10</v>
      </c>
    </row>
    <row r="742" spans="1:1" x14ac:dyDescent="0.25">
      <c r="A742" s="30">
        <v>3.0572093615018408E-10</v>
      </c>
    </row>
    <row r="743" spans="1:1" x14ac:dyDescent="0.25">
      <c r="A743" s="30">
        <v>2.9043488934267484E-10</v>
      </c>
    </row>
    <row r="744" spans="1:1" x14ac:dyDescent="0.25">
      <c r="A744" s="30">
        <v>2.7591314487554109E-10</v>
      </c>
    </row>
    <row r="745" spans="1:1" x14ac:dyDescent="0.25">
      <c r="A745" s="30">
        <v>2.6211748763176403E-10</v>
      </c>
    </row>
    <row r="746" spans="1:1" x14ac:dyDescent="0.25">
      <c r="A746" s="30">
        <v>2.4901161325017583E-10</v>
      </c>
    </row>
    <row r="747" spans="1:1" x14ac:dyDescent="0.25">
      <c r="A747" s="30">
        <v>2.3656103258766704E-10</v>
      </c>
    </row>
    <row r="748" spans="1:1" x14ac:dyDescent="0.25">
      <c r="A748" s="30">
        <v>2.2473298095828367E-10</v>
      </c>
    </row>
    <row r="749" spans="1:1" x14ac:dyDescent="0.25">
      <c r="A749" s="30">
        <v>2.1349633191036949E-10</v>
      </c>
    </row>
    <row r="750" spans="1:1" x14ac:dyDescent="0.25">
      <c r="A750" s="30">
        <v>2.02821515314851E-10</v>
      </c>
    </row>
    <row r="751" spans="1:1" x14ac:dyDescent="0.25">
      <c r="A751" s="30">
        <v>1.9268043954910845E-10</v>
      </c>
    </row>
    <row r="752" spans="1:1" x14ac:dyDescent="0.25">
      <c r="A752" s="30">
        <v>1.8304641757165302E-10</v>
      </c>
    </row>
    <row r="753" spans="1:1" x14ac:dyDescent="0.25">
      <c r="A753" s="30">
        <v>1.7389409669307036E-10</v>
      </c>
    </row>
    <row r="754" spans="1:1" x14ac:dyDescent="0.25">
      <c r="A754" s="30">
        <v>1.6519939185841684E-10</v>
      </c>
    </row>
    <row r="755" spans="1:1" x14ac:dyDescent="0.25">
      <c r="A755" s="30">
        <v>1.5693942226549599E-10</v>
      </c>
    </row>
    <row r="756" spans="1:1" x14ac:dyDescent="0.25">
      <c r="A756" s="30">
        <v>1.4909245115222119E-10</v>
      </c>
    </row>
    <row r="757" spans="1:1" x14ac:dyDescent="0.25">
      <c r="A757" s="30">
        <v>1.4163782859461013E-10</v>
      </c>
    </row>
    <row r="758" spans="1:1" x14ac:dyDescent="0.25">
      <c r="A758" s="30">
        <v>1.3455593716487961E-10</v>
      </c>
    </row>
    <row r="759" spans="1:1" x14ac:dyDescent="0.25">
      <c r="A759" s="30">
        <v>1.2782814030663562E-10</v>
      </c>
    </row>
    <row r="760" spans="1:1" x14ac:dyDescent="0.25">
      <c r="A760" s="30">
        <v>1.2143673329130384E-10</v>
      </c>
    </row>
    <row r="761" spans="1:1" x14ac:dyDescent="0.25">
      <c r="A761" s="30">
        <v>1.1536489662673864E-10</v>
      </c>
    </row>
    <row r="762" spans="1:1" x14ac:dyDescent="0.25">
      <c r="A762" s="30">
        <v>1.095966517954017E-10</v>
      </c>
    </row>
    <row r="763" spans="1:1" x14ac:dyDescent="0.25">
      <c r="A763" s="30">
        <v>1.0411681920563161E-10</v>
      </c>
    </row>
    <row r="764" spans="1:1" x14ac:dyDescent="0.25">
      <c r="A764" s="30">
        <v>9.8910978245350022E-11</v>
      </c>
    </row>
    <row r="765" spans="1:1" x14ac:dyDescent="0.25">
      <c r="A765" s="30">
        <v>9.3965429333082514E-11</v>
      </c>
    </row>
    <row r="766" spans="1:1" x14ac:dyDescent="0.25">
      <c r="A766" s="30">
        <v>8.926715786642838E-11</v>
      </c>
    </row>
    <row r="767" spans="1:1" x14ac:dyDescent="0.25">
      <c r="A767" s="30">
        <v>8.4803799973106953E-11</v>
      </c>
    </row>
    <row r="768" spans="1:1" x14ac:dyDescent="0.25">
      <c r="A768" s="30">
        <v>8.0563609974451603E-11</v>
      </c>
    </row>
    <row r="769" spans="1:1" x14ac:dyDescent="0.25">
      <c r="A769" s="30">
        <v>7.6535429475729024E-11</v>
      </c>
    </row>
    <row r="770" spans="1:1" x14ac:dyDescent="0.25">
      <c r="A770" s="30">
        <v>7.270865800194257E-11</v>
      </c>
    </row>
    <row r="771" spans="1:1" x14ac:dyDescent="0.25">
      <c r="A771" s="30">
        <v>6.9073225101845444E-11</v>
      </c>
    </row>
    <row r="772" spans="1:1" x14ac:dyDescent="0.25">
      <c r="A772" s="30">
        <v>6.5619563846753168E-11</v>
      </c>
    </row>
    <row r="773" spans="1:1" x14ac:dyDescent="0.25">
      <c r="A773" s="30">
        <v>6.2338585654415507E-11</v>
      </c>
    </row>
    <row r="774" spans="1:1" x14ac:dyDescent="0.25">
      <c r="A774" s="30">
        <v>5.9221656371694723E-11</v>
      </c>
    </row>
    <row r="775" spans="1:1" x14ac:dyDescent="0.25">
      <c r="A775" s="30">
        <v>5.6260573553109984E-11</v>
      </c>
    </row>
    <row r="776" spans="1:1" x14ac:dyDescent="0.25">
      <c r="A776" s="30">
        <v>5.3447544875454483E-11</v>
      </c>
    </row>
    <row r="777" spans="1:1" x14ac:dyDescent="0.25">
      <c r="A777" s="30">
        <v>5.0775167631681754E-11</v>
      </c>
    </row>
    <row r="778" spans="1:1" x14ac:dyDescent="0.25">
      <c r="A778" s="30">
        <v>4.8236409250097665E-11</v>
      </c>
    </row>
    <row r="779" spans="1:1" x14ac:dyDescent="0.25">
      <c r="A779" s="30">
        <v>4.5824588787592778E-11</v>
      </c>
    </row>
    <row r="780" spans="1:1" x14ac:dyDescent="0.25">
      <c r="A780" s="30">
        <v>4.3533359348213134E-11</v>
      </c>
    </row>
    <row r="781" spans="1:1" x14ac:dyDescent="0.25">
      <c r="A781" s="30">
        <v>4.1356691380802478E-11</v>
      </c>
    </row>
    <row r="782" spans="1:1" x14ac:dyDescent="0.25">
      <c r="A782" s="30">
        <v>3.9288856811762353E-11</v>
      </c>
    </row>
    <row r="783" spans="1:1" x14ac:dyDescent="0.25">
      <c r="A783" s="30">
        <v>3.7324413971174231E-11</v>
      </c>
    </row>
    <row r="784" spans="1:1" x14ac:dyDescent="0.25">
      <c r="A784" s="30">
        <v>3.545819327261552E-11</v>
      </c>
    </row>
    <row r="785" spans="1:1" x14ac:dyDescent="0.25">
      <c r="A785" s="30">
        <v>3.3685283608984745E-11</v>
      </c>
    </row>
    <row r="786" spans="1:1" x14ac:dyDescent="0.25">
      <c r="A786" s="30">
        <v>3.2001019428535508E-11</v>
      </c>
    </row>
    <row r="787" spans="1:1" x14ac:dyDescent="0.25">
      <c r="A787" s="30">
        <v>3.0400968457108733E-11</v>
      </c>
    </row>
    <row r="788" spans="1:1" x14ac:dyDescent="0.25">
      <c r="A788" s="30">
        <v>2.8880920034253296E-11</v>
      </c>
    </row>
    <row r="789" spans="1:1" x14ac:dyDescent="0.25">
      <c r="A789" s="30">
        <v>2.7436874032540629E-11</v>
      </c>
    </row>
    <row r="790" spans="1:1" x14ac:dyDescent="0.25">
      <c r="A790" s="30">
        <v>2.6065030330913595E-11</v>
      </c>
    </row>
    <row r="791" spans="1:1" x14ac:dyDescent="0.25">
      <c r="A791" s="30">
        <v>2.4761778814367914E-11</v>
      </c>
    </row>
    <row r="792" spans="1:1" x14ac:dyDescent="0.25">
      <c r="A792" s="30">
        <v>2.3523689873649516E-11</v>
      </c>
    </row>
    <row r="793" spans="1:1" x14ac:dyDescent="0.25">
      <c r="A793" s="30">
        <v>2.234750537996704E-11</v>
      </c>
    </row>
    <row r="794" spans="1:1" x14ac:dyDescent="0.25">
      <c r="A794" s="30">
        <v>2.1230130110968688E-11</v>
      </c>
    </row>
    <row r="795" spans="1:1" x14ac:dyDescent="0.25">
      <c r="A795" s="30">
        <v>2.0168623605420253E-11</v>
      </c>
    </row>
    <row r="796" spans="1:1" x14ac:dyDescent="0.25">
      <c r="A796" s="30">
        <v>1.916019242514924E-11</v>
      </c>
    </row>
    <row r="797" spans="1:1" x14ac:dyDescent="0.25">
      <c r="A797" s="30">
        <v>1.8202182803891777E-11</v>
      </c>
    </row>
    <row r="798" spans="1:1" x14ac:dyDescent="0.25">
      <c r="A798" s="30">
        <v>1.7292073663697186E-11</v>
      </c>
    </row>
    <row r="799" spans="1:1" x14ac:dyDescent="0.25">
      <c r="A799" s="30">
        <v>1.6427469980512324E-11</v>
      </c>
    </row>
    <row r="800" spans="1:1" x14ac:dyDescent="0.25">
      <c r="A800" s="30">
        <v>1.5606096481486706E-11</v>
      </c>
    </row>
    <row r="801" spans="1:1" x14ac:dyDescent="0.25">
      <c r="A801" s="30">
        <v>1.482579165741237E-11</v>
      </c>
    </row>
    <row r="802" spans="1:1" x14ac:dyDescent="0.25">
      <c r="A802" s="30">
        <v>1.408450207454175E-11</v>
      </c>
    </row>
    <row r="803" spans="1:1" x14ac:dyDescent="0.25">
      <c r="A803" s="30">
        <v>1.3380276970814662E-11</v>
      </c>
    </row>
    <row r="804" spans="1:1" x14ac:dyDescent="0.25">
      <c r="A804" s="30">
        <v>1.2711263122273928E-11</v>
      </c>
    </row>
    <row r="805" spans="1:1" x14ac:dyDescent="0.25">
      <c r="A805" s="30">
        <v>1.2075699966160231E-11</v>
      </c>
    </row>
    <row r="806" spans="1:1" x14ac:dyDescent="0.25">
      <c r="A806" s="30">
        <v>1.1471914967852219E-11</v>
      </c>
    </row>
    <row r="807" spans="1:1" x14ac:dyDescent="0.25">
      <c r="A807" s="30">
        <v>1.0898319219459608E-11</v>
      </c>
    </row>
    <row r="808" spans="1:1" x14ac:dyDescent="0.25">
      <c r="A808" s="30">
        <v>1.0353403258486628E-11</v>
      </c>
    </row>
    <row r="809" spans="1:1" x14ac:dyDescent="0.25">
      <c r="A809" s="30">
        <v>9.8357330955622963E-12</v>
      </c>
    </row>
    <row r="810" spans="1:1" x14ac:dyDescent="0.25">
      <c r="A810" s="30">
        <v>9.3439464407841808E-12</v>
      </c>
    </row>
    <row r="811" spans="1:1" x14ac:dyDescent="0.25">
      <c r="A811" s="30">
        <v>8.8767491187449709E-12</v>
      </c>
    </row>
    <row r="812" spans="1:1" x14ac:dyDescent="0.25">
      <c r="A812" s="30">
        <v>8.4329116628077213E-12</v>
      </c>
    </row>
    <row r="813" spans="1:1" x14ac:dyDescent="0.25">
      <c r="A813" s="30">
        <v>8.0112660796673341E-12</v>
      </c>
    </row>
    <row r="814" spans="1:1" x14ac:dyDescent="0.25">
      <c r="A814" s="30">
        <v>7.6107027756839663E-12</v>
      </c>
    </row>
    <row r="815" spans="1:1" x14ac:dyDescent="0.25">
      <c r="A815" s="30">
        <v>7.2301676368997673E-12</v>
      </c>
    </row>
    <row r="816" spans="1:1" x14ac:dyDescent="0.25">
      <c r="A816" s="30">
        <v>6.8686592550547782E-12</v>
      </c>
    </row>
    <row r="817" spans="1:1" x14ac:dyDescent="0.25">
      <c r="A817" s="30">
        <v>6.5252262923020387E-12</v>
      </c>
    </row>
    <row r="818" spans="1:1" x14ac:dyDescent="0.25">
      <c r="A818" s="30">
        <v>6.1989649776869368E-12</v>
      </c>
    </row>
    <row r="819" spans="1:1" x14ac:dyDescent="0.25">
      <c r="A819" s="30">
        <v>5.8890167288025901E-12</v>
      </c>
    </row>
    <row r="820" spans="1:1" x14ac:dyDescent="0.25">
      <c r="A820" s="30">
        <v>5.5945658923624606E-12</v>
      </c>
    </row>
    <row r="821" spans="1:1" x14ac:dyDescent="0.25">
      <c r="A821" s="30">
        <v>5.3148375977443373E-12</v>
      </c>
    </row>
    <row r="822" spans="1:1" x14ac:dyDescent="0.25">
      <c r="A822" s="30">
        <v>5.0490957178571204E-12</v>
      </c>
    </row>
    <row r="823" spans="1:1" x14ac:dyDescent="0.25">
      <c r="A823" s="30">
        <v>4.796640931964264E-12</v>
      </c>
    </row>
    <row r="824" spans="1:1" x14ac:dyDescent="0.25">
      <c r="A824" s="30">
        <v>4.5568088853660509E-12</v>
      </c>
    </row>
    <row r="825" spans="1:1" x14ac:dyDescent="0.25">
      <c r="A825" s="30">
        <v>4.3289684410977484E-12</v>
      </c>
    </row>
    <row r="826" spans="1:1" x14ac:dyDescent="0.25">
      <c r="A826" s="30">
        <v>4.1125200190428609E-12</v>
      </c>
    </row>
    <row r="827" spans="1:1" x14ac:dyDescent="0.25">
      <c r="A827" s="30">
        <v>3.9068940180907175E-12</v>
      </c>
    </row>
    <row r="828" spans="1:1" x14ac:dyDescent="0.25">
      <c r="A828" s="30">
        <v>3.7115493171861816E-12</v>
      </c>
    </row>
    <row r="829" spans="1:1" x14ac:dyDescent="0.25">
      <c r="A829" s="30">
        <v>3.5259718513268725E-12</v>
      </c>
    </row>
    <row r="830" spans="1:1" x14ac:dyDescent="0.25">
      <c r="A830" s="30">
        <v>3.3496732587605286E-12</v>
      </c>
    </row>
    <row r="831" spans="1:1" x14ac:dyDescent="0.25">
      <c r="A831" s="30">
        <v>3.182189595822502E-12</v>
      </c>
    </row>
    <row r="832" spans="1:1" x14ac:dyDescent="0.25">
      <c r="A832" s="30">
        <v>3.0230801160313768E-12</v>
      </c>
    </row>
    <row r="833" spans="1:1" x14ac:dyDescent="0.25">
      <c r="A833" s="30">
        <v>2.8719261102298077E-12</v>
      </c>
    </row>
    <row r="834" spans="1:1" x14ac:dyDescent="0.25">
      <c r="A834" s="30">
        <v>2.7283298047183172E-12</v>
      </c>
    </row>
    <row r="835" spans="1:1" x14ac:dyDescent="0.25">
      <c r="A835" s="30">
        <v>2.5919133144824012E-12</v>
      </c>
    </row>
    <row r="836" spans="1:1" x14ac:dyDescent="0.25">
      <c r="A836" s="30">
        <v>2.4623176487582809E-12</v>
      </c>
    </row>
    <row r="837" spans="1:1" x14ac:dyDescent="0.25">
      <c r="A837" s="30">
        <v>2.339201766320367E-12</v>
      </c>
    </row>
    <row r="838" spans="1:1" x14ac:dyDescent="0.25">
      <c r="A838" s="30">
        <v>2.2222416780043484E-12</v>
      </c>
    </row>
    <row r="839" spans="1:1" x14ac:dyDescent="0.25">
      <c r="A839" s="30">
        <v>2.1111295941041311E-12</v>
      </c>
    </row>
    <row r="840" spans="1:1" x14ac:dyDescent="0.25">
      <c r="A840" s="30">
        <v>2.0055731143989244E-12</v>
      </c>
    </row>
    <row r="841" spans="1:1" x14ac:dyDescent="0.25">
      <c r="A841" s="30">
        <v>1.9052944586789781E-12</v>
      </c>
    </row>
    <row r="842" spans="1:1" x14ac:dyDescent="0.25">
      <c r="A842" s="30">
        <v>1.8100297357450291E-12</v>
      </c>
    </row>
    <row r="843" spans="1:1" x14ac:dyDescent="0.25">
      <c r="A843" s="30">
        <v>1.7195282489577775E-12</v>
      </c>
    </row>
    <row r="844" spans="1:1" x14ac:dyDescent="0.25">
      <c r="A844" s="30">
        <v>1.6335518365098885E-12</v>
      </c>
    </row>
    <row r="845" spans="1:1" x14ac:dyDescent="0.25">
      <c r="A845" s="30">
        <v>1.551874244684394E-12</v>
      </c>
    </row>
    <row r="846" spans="1:1" x14ac:dyDescent="0.25">
      <c r="A846" s="30">
        <v>1.4742805324501742E-12</v>
      </c>
    </row>
    <row r="847" spans="1:1" x14ac:dyDescent="0.25">
      <c r="A847" s="30">
        <v>1.4005665058276655E-12</v>
      </c>
    </row>
    <row r="848" spans="1:1" x14ac:dyDescent="0.25">
      <c r="A848" s="30">
        <v>1.3305381805362821E-12</v>
      </c>
    </row>
    <row r="849" spans="1:1" x14ac:dyDescent="0.25">
      <c r="A849" s="30">
        <v>1.264011271509468E-12</v>
      </c>
    </row>
    <row r="850" spans="1:1" x14ac:dyDescent="0.25">
      <c r="A850" s="30">
        <v>1.2008107079339945E-12</v>
      </c>
    </row>
    <row r="851" spans="1:1" x14ac:dyDescent="0.25">
      <c r="A851" s="30">
        <v>1.1407701725372948E-12</v>
      </c>
    </row>
    <row r="852" spans="1:1" x14ac:dyDescent="0.25">
      <c r="A852" s="30">
        <v>1.08373166391043E-12</v>
      </c>
    </row>
    <row r="853" spans="1:1" x14ac:dyDescent="0.25">
      <c r="A853" s="30">
        <v>1.0295450807149084E-12</v>
      </c>
    </row>
    <row r="854" spans="1:1" x14ac:dyDescent="0.25">
      <c r="A854" s="30">
        <v>9.7806782667916296E-13</v>
      </c>
    </row>
    <row r="855" spans="1:1" x14ac:dyDescent="0.25">
      <c r="A855" s="30">
        <v>9.2916443534520479E-13</v>
      </c>
    </row>
    <row r="856" spans="1:1" x14ac:dyDescent="0.25">
      <c r="A856" s="30">
        <v>8.8270621357794449E-13</v>
      </c>
    </row>
    <row r="857" spans="1:1" x14ac:dyDescent="0.25">
      <c r="A857" s="30">
        <v>8.3857090289904726E-13</v>
      </c>
    </row>
    <row r="858" spans="1:1" x14ac:dyDescent="0.25">
      <c r="A858" s="30">
        <v>7.9664235775409483E-13</v>
      </c>
    </row>
    <row r="859" spans="1:1" x14ac:dyDescent="0.25">
      <c r="A859" s="30">
        <v>7.5681023986639008E-13</v>
      </c>
    </row>
    <row r="860" spans="1:1" x14ac:dyDescent="0.25">
      <c r="A860" s="30">
        <v>7.1896972787307055E-13</v>
      </c>
    </row>
    <row r="861" spans="1:1" x14ac:dyDescent="0.25">
      <c r="A861" s="30">
        <v>6.8302124147941695E-13</v>
      </c>
    </row>
    <row r="862" spans="1:1" x14ac:dyDescent="0.25">
      <c r="A862" s="30">
        <v>6.4887017940544605E-13</v>
      </c>
    </row>
    <row r="863" spans="1:1" x14ac:dyDescent="0.25">
      <c r="A863" s="30">
        <v>6.1642667043517373E-13</v>
      </c>
    </row>
    <row r="864" spans="1:1" x14ac:dyDescent="0.25">
      <c r="A864" s="30">
        <v>5.8560533691341505E-13</v>
      </c>
    </row>
    <row r="865" spans="1:1" x14ac:dyDescent="0.25">
      <c r="A865" s="30">
        <v>5.5632507006774425E-13</v>
      </c>
    </row>
    <row r="866" spans="1:1" x14ac:dyDescent="0.25">
      <c r="A866" s="30">
        <v>5.2850881656435705E-13</v>
      </c>
    </row>
    <row r="867" spans="1:1" x14ac:dyDescent="0.25">
      <c r="A867" s="30">
        <v>5.0208337573613919E-13</v>
      </c>
    </row>
    <row r="868" spans="1:1" x14ac:dyDescent="0.25">
      <c r="A868" s="30">
        <v>4.7697920694933223E-13</v>
      </c>
    </row>
    <row r="869" spans="1:1" x14ac:dyDescent="0.25">
      <c r="A869" s="30">
        <v>4.5313024660186561E-13</v>
      </c>
    </row>
    <row r="870" spans="1:1" x14ac:dyDescent="0.25">
      <c r="A870" s="30">
        <v>4.3047373427177233E-13</v>
      </c>
    </row>
    <row r="871" spans="1:1" x14ac:dyDescent="0.25">
      <c r="A871" s="30">
        <v>4.089500475581837E-13</v>
      </c>
    </row>
    <row r="872" spans="1:1" x14ac:dyDescent="0.25">
      <c r="A872" s="30">
        <v>3.8850254518027451E-13</v>
      </c>
    </row>
    <row r="873" spans="1:1" x14ac:dyDescent="0.25">
      <c r="A873" s="30">
        <v>3.6907741792126075E-13</v>
      </c>
    </row>
    <row r="874" spans="1:1" x14ac:dyDescent="0.25">
      <c r="A874" s="30">
        <v>3.506235470251977E-13</v>
      </c>
    </row>
    <row r="875" spans="1:1" x14ac:dyDescent="0.25">
      <c r="A875" s="30">
        <v>3.3309236967393782E-13</v>
      </c>
    </row>
  </sheetData>
  <conditionalFormatting sqref="C136">
    <cfRule type="cellIs" dxfId="68" priority="1494" operator="equal">
      <formula>$U$1</formula>
    </cfRule>
    <cfRule type="cellIs" dxfId="67" priority="1495" operator="equal">
      <formula>$S$1</formula>
    </cfRule>
  </conditionalFormatting>
  <conditionalFormatting sqref="D136">
    <cfRule type="cellIs" dxfId="66" priority="1492" operator="equal">
      <formula>$S$1</formula>
    </cfRule>
    <cfRule type="cellIs" dxfId="65" priority="1493" operator="equal">
      <formula>$U$1</formula>
    </cfRule>
  </conditionalFormatting>
  <conditionalFormatting sqref="C162">
    <cfRule type="cellIs" dxfId="64" priority="1490" operator="equal">
      <formula>$U$1</formula>
    </cfRule>
    <cfRule type="cellIs" dxfId="63" priority="1491" operator="equal">
      <formula>$S$1</formula>
    </cfRule>
  </conditionalFormatting>
  <conditionalFormatting sqref="D162">
    <cfRule type="cellIs" dxfId="62" priority="1488" operator="equal">
      <formula>$S$1</formula>
    </cfRule>
    <cfRule type="cellIs" dxfId="61" priority="1489" operator="equal">
      <formula>$U$1</formula>
    </cfRule>
  </conditionalFormatting>
  <conditionalFormatting sqref="C187">
    <cfRule type="cellIs" dxfId="60" priority="1486" operator="equal">
      <formula>$U$1</formula>
    </cfRule>
    <cfRule type="cellIs" dxfId="59" priority="1487" operator="equal">
      <formula>$S$1</formula>
    </cfRule>
  </conditionalFormatting>
  <conditionalFormatting sqref="D187">
    <cfRule type="cellIs" dxfId="58" priority="1484" operator="equal">
      <formula>$S$1</formula>
    </cfRule>
    <cfRule type="cellIs" dxfId="57" priority="1485" operator="equal">
      <formula>$U$1</formula>
    </cfRule>
  </conditionalFormatting>
  <conditionalFormatting sqref="C212">
    <cfRule type="cellIs" dxfId="56" priority="1482" operator="equal">
      <formula>$U$1</formula>
    </cfRule>
    <cfRule type="cellIs" dxfId="55" priority="1483" operator="equal">
      <formula>$S$1</formula>
    </cfRule>
  </conditionalFormatting>
  <conditionalFormatting sqref="D212">
    <cfRule type="cellIs" dxfId="54" priority="1480" operator="equal">
      <formula>$S$1</formula>
    </cfRule>
    <cfRule type="cellIs" dxfId="53" priority="1481" operator="equal">
      <formula>$U$1</formula>
    </cfRule>
  </conditionalFormatting>
  <conditionalFormatting sqref="C237">
    <cfRule type="cellIs" dxfId="52" priority="1478" operator="equal">
      <formula>$U$1</formula>
    </cfRule>
    <cfRule type="cellIs" dxfId="51" priority="1479" operator="equal">
      <formula>$S$1</formula>
    </cfRule>
  </conditionalFormatting>
  <conditionalFormatting sqref="D237">
    <cfRule type="cellIs" dxfId="50" priority="1476" operator="equal">
      <formula>$S$1</formula>
    </cfRule>
    <cfRule type="cellIs" dxfId="49" priority="1477" operator="equal">
      <formula>$U$1</formula>
    </cfRule>
  </conditionalFormatting>
  <conditionalFormatting sqref="C106">
    <cfRule type="cellIs" dxfId="48" priority="1474" operator="equal">
      <formula>$U$1</formula>
    </cfRule>
    <cfRule type="cellIs" dxfId="47" priority="1475" operator="equal">
      <formula>$S$1</formula>
    </cfRule>
  </conditionalFormatting>
  <conditionalFormatting sqref="D106">
    <cfRule type="cellIs" dxfId="46" priority="1472" operator="equal">
      <formula>$S$1</formula>
    </cfRule>
    <cfRule type="cellIs" dxfId="45" priority="1473" operator="equal">
      <formula>$U$1</formula>
    </cfRule>
  </conditionalFormatting>
  <conditionalFormatting sqref="C81">
    <cfRule type="cellIs" dxfId="44" priority="1470" operator="equal">
      <formula>$U$1</formula>
    </cfRule>
    <cfRule type="cellIs" dxfId="43" priority="1471" operator="equal">
      <formula>$S$1</formula>
    </cfRule>
  </conditionalFormatting>
  <conditionalFormatting sqref="D81">
    <cfRule type="cellIs" dxfId="42" priority="1468" operator="equal">
      <formula>$S$1</formula>
    </cfRule>
    <cfRule type="cellIs" dxfId="41" priority="1469" operator="equal">
      <formula>$U$1</formula>
    </cfRule>
  </conditionalFormatting>
  <conditionalFormatting sqref="C56">
    <cfRule type="cellIs" dxfId="40" priority="1466" operator="equal">
      <formula>$U$1</formula>
    </cfRule>
    <cfRule type="cellIs" dxfId="39" priority="1467" operator="equal">
      <formula>$S$1</formula>
    </cfRule>
  </conditionalFormatting>
  <conditionalFormatting sqref="D56">
    <cfRule type="cellIs" dxfId="38" priority="1464" operator="equal">
      <formula>$S$1</formula>
    </cfRule>
    <cfRule type="cellIs" dxfId="37" priority="1465" operator="equal">
      <formula>$U$1</formula>
    </cfRule>
  </conditionalFormatting>
  <conditionalFormatting sqref="C31">
    <cfRule type="cellIs" dxfId="36" priority="1462" operator="equal">
      <formula>$U$1</formula>
    </cfRule>
    <cfRule type="cellIs" dxfId="35" priority="1463" operator="equal">
      <formula>$S$1</formula>
    </cfRule>
  </conditionalFormatting>
  <conditionalFormatting sqref="D31">
    <cfRule type="cellIs" dxfId="34" priority="1460" operator="equal">
      <formula>$S$1</formula>
    </cfRule>
    <cfRule type="cellIs" dxfId="33" priority="1461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526"/>
  <sheetViews>
    <sheetView topLeftCell="A161" zoomScale="90" zoomScaleNormal="90" workbookViewId="0">
      <pane xSplit="4" topLeftCell="E1" activePane="topRight" state="frozen"/>
      <selection activeCell="A109" sqref="A109"/>
      <selection pane="topRight" activeCell="BF192" sqref="BF192"/>
    </sheetView>
  </sheetViews>
  <sheetFormatPr defaultRowHeight="15" x14ac:dyDescent="0.25"/>
  <cols>
    <col min="1" max="1" width="11.5703125" style="30" customWidth="1"/>
    <col min="2" max="5" width="11.5703125" style="1" hidden="1" customWidth="1"/>
    <col min="6" max="7" width="11.5703125" style="27" hidden="1" customWidth="1"/>
    <col min="8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16">
        <v>2605350.751695944</v>
      </c>
    </row>
    <row r="4" spans="1:21" x14ac:dyDescent="0.25">
      <c r="A4" s="16">
        <v>2368500.6833599489</v>
      </c>
    </row>
    <row r="5" spans="1:21" x14ac:dyDescent="0.25">
      <c r="A5" s="16">
        <v>2153182.4394181352</v>
      </c>
    </row>
    <row r="6" spans="1:21" x14ac:dyDescent="0.25">
      <c r="A6" s="16">
        <v>1957438.5812892136</v>
      </c>
    </row>
    <row r="7" spans="1:21" x14ac:dyDescent="0.25">
      <c r="A7" s="16">
        <v>1779489.6193538303</v>
      </c>
    </row>
    <row r="8" spans="1:21" x14ac:dyDescent="0.25">
      <c r="A8" s="16">
        <v>1617717.8357762094</v>
      </c>
    </row>
    <row r="9" spans="1:21" x14ac:dyDescent="0.25">
      <c r="A9" s="16">
        <v>1470652.5779783721</v>
      </c>
    </row>
    <row r="10" spans="1:21" x14ac:dyDescent="0.25">
      <c r="A10" s="16">
        <v>1336956.8890712473</v>
      </c>
    </row>
    <row r="11" spans="1:21" x14ac:dyDescent="0.25">
      <c r="A11" s="16">
        <v>1215415.3537011337</v>
      </c>
    </row>
    <row r="12" spans="1:21" x14ac:dyDescent="0.25">
      <c r="A12" s="16">
        <v>1104923.0488192125</v>
      </c>
    </row>
    <row r="13" spans="1:21" x14ac:dyDescent="0.25">
      <c r="A13" s="16">
        <v>1004475.4989265567</v>
      </c>
    </row>
    <row r="14" spans="1:21" x14ac:dyDescent="0.25">
      <c r="A14" s="16">
        <v>913159.54447868781</v>
      </c>
    </row>
    <row r="15" spans="1:21" x14ac:dyDescent="0.25">
      <c r="A15" s="16">
        <v>830145.04043517064</v>
      </c>
    </row>
    <row r="16" spans="1:21" x14ac:dyDescent="0.25">
      <c r="A16" s="16">
        <v>754677.30948651873</v>
      </c>
      <c r="C16" s="1" t="s">
        <v>15</v>
      </c>
    </row>
    <row r="17" spans="1:5" x14ac:dyDescent="0.25">
      <c r="A17" s="16">
        <v>686070.28135138063</v>
      </c>
      <c r="C17" s="7">
        <v>0.11167815779424731</v>
      </c>
      <c r="D17"/>
      <c r="E17"/>
    </row>
    <row r="18" spans="1:5" x14ac:dyDescent="0.25">
      <c r="A18" s="16">
        <v>623700.25577398238</v>
      </c>
      <c r="E18"/>
    </row>
    <row r="19" spans="1:5" x14ac:dyDescent="0.25">
      <c r="A19" s="16">
        <v>567000.23252180207</v>
      </c>
      <c r="C19" s="1" t="s">
        <v>11</v>
      </c>
      <c r="D19" s="1" t="s">
        <v>12</v>
      </c>
      <c r="E19"/>
    </row>
    <row r="20" spans="1:5" x14ac:dyDescent="0.25">
      <c r="A20" s="16">
        <v>515454.75683800189</v>
      </c>
      <c r="C20"/>
      <c r="D20"/>
      <c r="E20"/>
    </row>
    <row r="21" spans="1:5" x14ac:dyDescent="0.25">
      <c r="A21" s="16">
        <v>468595.23348909261</v>
      </c>
      <c r="E21"/>
    </row>
    <row r="22" spans="1:5" x14ac:dyDescent="0.25">
      <c r="A22" s="16">
        <v>425995.66680826596</v>
      </c>
      <c r="C22" s="1" t="s">
        <v>13</v>
      </c>
      <c r="E22"/>
    </row>
    <row r="23" spans="1:5" x14ac:dyDescent="0.25">
      <c r="A23" s="16">
        <v>387268.78800751449</v>
      </c>
      <c r="C23" s="1">
        <f>C12</f>
        <v>0</v>
      </c>
      <c r="E23"/>
    </row>
    <row r="24" spans="1:5" x14ac:dyDescent="0.25">
      <c r="A24" s="16">
        <v>352062.53455228586</v>
      </c>
      <c r="C24"/>
      <c r="D24"/>
      <c r="E24"/>
    </row>
    <row r="25" spans="1:5" x14ac:dyDescent="0.25">
      <c r="A25" s="16">
        <v>320056.8495929871</v>
      </c>
      <c r="C25" s="1" t="s">
        <v>14</v>
      </c>
      <c r="E25"/>
    </row>
    <row r="26" spans="1:5" x14ac:dyDescent="0.25">
      <c r="A26" s="16">
        <v>290960.77235726098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16">
        <v>264509.79305205541</v>
      </c>
      <c r="E27"/>
    </row>
    <row r="28" spans="1:5" x14ac:dyDescent="0.25">
      <c r="A28" s="16">
        <v>240463.44822914127</v>
      </c>
      <c r="E28"/>
    </row>
    <row r="29" spans="1:5" x14ac:dyDescent="0.25">
      <c r="A29" s="16">
        <v>218603.13475376478</v>
      </c>
      <c r="E29"/>
    </row>
    <row r="30" spans="1:5" x14ac:dyDescent="0.25">
      <c r="A30" s="16">
        <v>198730.12250342252</v>
      </c>
      <c r="E30"/>
    </row>
    <row r="31" spans="1:5" x14ac:dyDescent="0.25">
      <c r="A31" s="16">
        <v>180663.74773038409</v>
      </c>
      <c r="E31"/>
    </row>
    <row r="32" spans="1:5" x14ac:dyDescent="0.25">
      <c r="A32" s="16">
        <v>164239.77066398552</v>
      </c>
      <c r="E32"/>
    </row>
    <row r="33" spans="1:5" x14ac:dyDescent="0.25">
      <c r="A33" s="16">
        <v>149308.882421805</v>
      </c>
      <c r="E33"/>
    </row>
    <row r="34" spans="1:5" x14ac:dyDescent="0.25">
      <c r="A34" s="16">
        <v>135735.34765618635</v>
      </c>
      <c r="E34"/>
    </row>
    <row r="35" spans="1:5" x14ac:dyDescent="0.25">
      <c r="A35" s="16">
        <v>123395.77059653302</v>
      </c>
      <c r="E35"/>
    </row>
    <row r="36" spans="1:5" x14ac:dyDescent="0.25">
      <c r="A36" s="16">
        <v>112177.97326957546</v>
      </c>
      <c r="E36"/>
    </row>
    <row r="37" spans="1:5" x14ac:dyDescent="0.25">
      <c r="A37" s="16">
        <v>101979.97569961405</v>
      </c>
      <c r="E37"/>
    </row>
    <row r="38" spans="1:5" x14ac:dyDescent="0.25">
      <c r="A38" s="16">
        <v>92709.06881783095</v>
      </c>
      <c r="E38"/>
    </row>
    <row r="39" spans="1:5" x14ac:dyDescent="0.25">
      <c r="A39" s="16">
        <v>84280.971652573586</v>
      </c>
      <c r="E39"/>
    </row>
    <row r="40" spans="1:5" x14ac:dyDescent="0.25">
      <c r="A40" s="30">
        <v>76619.065138703256</v>
      </c>
      <c r="E40"/>
    </row>
    <row r="41" spans="1:5" x14ac:dyDescent="0.25">
      <c r="A41" s="30">
        <v>69653.695580639323</v>
      </c>
      <c r="E41"/>
    </row>
    <row r="42" spans="1:5" x14ac:dyDescent="0.25">
      <c r="A42" s="30">
        <v>63321.541436944834</v>
      </c>
      <c r="C42" s="1" t="s">
        <v>15</v>
      </c>
      <c r="E42"/>
    </row>
    <row r="43" spans="1:5" x14ac:dyDescent="0.25">
      <c r="A43" s="30">
        <v>57565.037669949845</v>
      </c>
      <c r="C43" s="7">
        <v>0.11167815779424731</v>
      </c>
      <c r="D43"/>
      <c r="E43"/>
    </row>
    <row r="44" spans="1:5" x14ac:dyDescent="0.25">
      <c r="A44" s="30">
        <v>52331.852427227124</v>
      </c>
      <c r="E44"/>
    </row>
    <row r="45" spans="1:5" x14ac:dyDescent="0.25">
      <c r="A45" s="30">
        <v>47574.411297479201</v>
      </c>
      <c r="C45" s="1" t="s">
        <v>11</v>
      </c>
      <c r="D45" s="1" t="s">
        <v>12</v>
      </c>
      <c r="E45"/>
    </row>
    <row r="46" spans="1:5" x14ac:dyDescent="0.25">
      <c r="A46" s="30">
        <v>43249.464815890176</v>
      </c>
      <c r="C46"/>
      <c r="D46"/>
      <c r="E46"/>
    </row>
    <row r="47" spans="1:5" x14ac:dyDescent="0.25">
      <c r="A47" s="30">
        <v>39317.695287172886</v>
      </c>
      <c r="E47"/>
    </row>
    <row r="48" spans="1:5" x14ac:dyDescent="0.25">
      <c r="A48" s="30">
        <v>35743.359351975349</v>
      </c>
      <c r="C48" s="1" t="s">
        <v>13</v>
      </c>
      <c r="E48"/>
    </row>
    <row r="49" spans="1:5" x14ac:dyDescent="0.25">
      <c r="A49" s="30">
        <v>32493.963047250312</v>
      </c>
      <c r="C49" s="1">
        <f>C38</f>
        <v>0</v>
      </c>
      <c r="E49"/>
    </row>
    <row r="50" spans="1:5" x14ac:dyDescent="0.25">
      <c r="A50" s="30">
        <v>29539.966406591189</v>
      </c>
      <c r="C50"/>
      <c r="D50"/>
      <c r="E50"/>
    </row>
    <row r="51" spans="1:5" x14ac:dyDescent="0.25">
      <c r="A51" s="30">
        <v>26854.514915082898</v>
      </c>
      <c r="C51" s="1" t="s">
        <v>14</v>
      </c>
      <c r="E51"/>
    </row>
    <row r="52" spans="1:5" x14ac:dyDescent="0.25">
      <c r="A52" s="30">
        <v>24413.195377348089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22193.81397940735</v>
      </c>
      <c r="E53"/>
    </row>
    <row r="54" spans="1:5" x14ac:dyDescent="0.25">
      <c r="A54" s="30">
        <v>20176.194526733954</v>
      </c>
      <c r="E54"/>
    </row>
    <row r="55" spans="1:5" x14ac:dyDescent="0.25">
      <c r="A55" s="30">
        <v>18341.995024303593</v>
      </c>
      <c r="E55"/>
    </row>
    <row r="56" spans="1:5" x14ac:dyDescent="0.25">
      <c r="A56" s="30">
        <v>16674.540931185082</v>
      </c>
      <c r="E56"/>
    </row>
    <row r="57" spans="1:5" x14ac:dyDescent="0.25">
      <c r="A57" s="30">
        <v>15158.673573804617</v>
      </c>
      <c r="E57"/>
    </row>
    <row r="58" spans="1:5" x14ac:dyDescent="0.25">
      <c r="A58" s="30">
        <v>13780.612339822379</v>
      </c>
      <c r="E58"/>
    </row>
    <row r="59" spans="1:5" x14ac:dyDescent="0.25">
      <c r="A59" s="30">
        <v>12527.829399838525</v>
      </c>
      <c r="E59"/>
    </row>
    <row r="60" spans="1:5" x14ac:dyDescent="0.25">
      <c r="A60" s="30">
        <v>11388.935818035023</v>
      </c>
      <c r="E60"/>
    </row>
    <row r="61" spans="1:5" x14ac:dyDescent="0.25">
      <c r="A61" s="30">
        <v>10353.578016395475</v>
      </c>
      <c r="E61"/>
    </row>
    <row r="62" spans="1:5" x14ac:dyDescent="0.25">
      <c r="A62" s="30">
        <v>9412.343651268613</v>
      </c>
      <c r="E62"/>
    </row>
    <row r="63" spans="1:5" x14ac:dyDescent="0.25">
      <c r="A63" s="30">
        <v>8556.6760466078285</v>
      </c>
      <c r="E63"/>
    </row>
    <row r="64" spans="1:5" x14ac:dyDescent="0.25">
      <c r="A64" s="30">
        <v>7778.7964060071163</v>
      </c>
      <c r="E64"/>
    </row>
    <row r="65" spans="1:5" x14ac:dyDescent="0.25">
      <c r="A65" s="30">
        <v>7071.6330963701048</v>
      </c>
      <c r="E65"/>
    </row>
    <row r="66" spans="1:5" x14ac:dyDescent="0.25">
      <c r="A66" s="30">
        <v>6428.7573603364581</v>
      </c>
      <c r="E66"/>
    </row>
    <row r="67" spans="1:5" x14ac:dyDescent="0.25">
      <c r="A67" s="30">
        <v>5844.3248730331434</v>
      </c>
      <c r="C67" s="1" t="s">
        <v>15</v>
      </c>
      <c r="E67"/>
    </row>
    <row r="68" spans="1:5" x14ac:dyDescent="0.25">
      <c r="A68" s="30">
        <v>5313.0226118483115</v>
      </c>
      <c r="C68" s="7">
        <v>0.11167815779424731</v>
      </c>
      <c r="D68"/>
      <c r="E68"/>
    </row>
    <row r="69" spans="1:5" x14ac:dyDescent="0.25">
      <c r="A69" s="30">
        <v>4830.020556225737</v>
      </c>
      <c r="E69"/>
    </row>
    <row r="70" spans="1:5" x14ac:dyDescent="0.25">
      <c r="A70" s="30">
        <v>4390.927778387033</v>
      </c>
      <c r="C70" s="1" t="s">
        <v>11</v>
      </c>
      <c r="D70" s="1" t="s">
        <v>12</v>
      </c>
      <c r="E70"/>
    </row>
    <row r="71" spans="1:5" x14ac:dyDescent="0.25">
      <c r="A71" s="30">
        <v>3991.7525258063934</v>
      </c>
      <c r="C71"/>
      <c r="D71"/>
      <c r="E71"/>
    </row>
    <row r="72" spans="1:5" x14ac:dyDescent="0.25">
      <c r="A72" s="30">
        <v>3628.8659325512663</v>
      </c>
      <c r="E72"/>
    </row>
    <row r="73" spans="1:5" x14ac:dyDescent="0.25">
      <c r="A73" s="30">
        <v>3298.96902959206</v>
      </c>
      <c r="C73" s="1" t="s">
        <v>13</v>
      </c>
      <c r="E73"/>
    </row>
    <row r="74" spans="1:5" x14ac:dyDescent="0.25">
      <c r="A74" s="30">
        <v>2999.0627541745998</v>
      </c>
      <c r="C74" s="1">
        <f>C63</f>
        <v>0</v>
      </c>
      <c r="E74"/>
    </row>
    <row r="75" spans="1:5" x14ac:dyDescent="0.25">
      <c r="A75" s="30">
        <v>2726.4206856132723</v>
      </c>
      <c r="C75"/>
      <c r="D75"/>
      <c r="E75"/>
    </row>
    <row r="76" spans="1:5" x14ac:dyDescent="0.25">
      <c r="A76" s="30">
        <v>2478.564259648429</v>
      </c>
      <c r="C76" s="1" t="s">
        <v>14</v>
      </c>
      <c r="E76"/>
    </row>
    <row r="77" spans="1:5" x14ac:dyDescent="0.25">
      <c r="A77" s="30">
        <v>2253.240236044026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2048.4002145854779</v>
      </c>
      <c r="E78"/>
    </row>
    <row r="79" spans="1:5" x14ac:dyDescent="0.25">
      <c r="A79" s="30">
        <v>1862.1820132595253</v>
      </c>
      <c r="E79"/>
    </row>
    <row r="80" spans="1:5" x14ac:dyDescent="0.25">
      <c r="A80" s="30">
        <v>1692.8927393268411</v>
      </c>
      <c r="E80"/>
    </row>
    <row r="81" spans="1:5" x14ac:dyDescent="0.25">
      <c r="A81" s="30">
        <v>1538.9933993880372</v>
      </c>
      <c r="E81"/>
    </row>
    <row r="82" spans="1:5" x14ac:dyDescent="0.25">
      <c r="A82" s="30">
        <v>1399.0849085345792</v>
      </c>
      <c r="E82"/>
    </row>
    <row r="83" spans="1:5" x14ac:dyDescent="0.25">
      <c r="A83" s="30">
        <v>1271.8953713950718</v>
      </c>
      <c r="E83"/>
    </row>
    <row r="84" spans="1:5" x14ac:dyDescent="0.25">
      <c r="A84" s="30">
        <v>1156.2685194500652</v>
      </c>
      <c r="E84"/>
    </row>
    <row r="85" spans="1:5" x14ac:dyDescent="0.25">
      <c r="A85" s="30">
        <v>1051.1531995000591</v>
      </c>
      <c r="E85"/>
    </row>
    <row r="86" spans="1:5" x14ac:dyDescent="0.25">
      <c r="A86" s="30">
        <v>955.59381772732638</v>
      </c>
      <c r="E86"/>
    </row>
    <row r="87" spans="1:5" x14ac:dyDescent="0.25">
      <c r="A87" s="30">
        <v>868.72165247938756</v>
      </c>
      <c r="E87"/>
    </row>
    <row r="88" spans="1:5" x14ac:dyDescent="0.25">
      <c r="A88" s="30">
        <v>789.74695679944318</v>
      </c>
      <c r="E88"/>
    </row>
    <row r="89" spans="1:5" x14ac:dyDescent="0.25">
      <c r="A89" s="30">
        <v>717.95177890858463</v>
      </c>
      <c r="E89"/>
    </row>
    <row r="90" spans="1:5" x14ac:dyDescent="0.25">
      <c r="A90" s="30">
        <v>652.68343537144051</v>
      </c>
      <c r="E90"/>
    </row>
    <row r="91" spans="1:5" x14ac:dyDescent="0.25">
      <c r="A91" s="30">
        <v>593.34857761040041</v>
      </c>
      <c r="E91"/>
    </row>
    <row r="92" spans="1:5" x14ac:dyDescent="0.25">
      <c r="A92" s="30">
        <v>539.40779782763673</v>
      </c>
      <c r="C92" s="1" t="s">
        <v>15</v>
      </c>
      <c r="E92"/>
    </row>
    <row r="93" spans="1:5" x14ac:dyDescent="0.25">
      <c r="A93" s="30">
        <v>490.37072529785149</v>
      </c>
      <c r="C93" s="7">
        <v>0.11167815779424731</v>
      </c>
      <c r="D93"/>
      <c r="E93"/>
    </row>
    <row r="94" spans="1:5" x14ac:dyDescent="0.25">
      <c r="A94" s="30">
        <v>445.79156845259223</v>
      </c>
      <c r="E94"/>
    </row>
    <row r="95" spans="1:5" x14ac:dyDescent="0.25">
      <c r="A95" s="30">
        <v>405.26506222962928</v>
      </c>
      <c r="C95" s="1" t="s">
        <v>11</v>
      </c>
      <c r="D95" s="1" t="s">
        <v>12</v>
      </c>
      <c r="E95"/>
    </row>
    <row r="96" spans="1:5" x14ac:dyDescent="0.25">
      <c r="A96" s="30">
        <v>368.42278384511752</v>
      </c>
      <c r="C96"/>
      <c r="D96"/>
      <c r="E96"/>
    </row>
    <row r="97" spans="1:5" x14ac:dyDescent="0.25">
      <c r="A97" s="30">
        <v>334.92980349556137</v>
      </c>
      <c r="E97"/>
    </row>
    <row r="98" spans="1:5" x14ac:dyDescent="0.25">
      <c r="A98" s="30">
        <v>304.48163954141938</v>
      </c>
      <c r="C98" s="1" t="s">
        <v>13</v>
      </c>
      <c r="E98"/>
    </row>
    <row r="99" spans="1:5" x14ac:dyDescent="0.25">
      <c r="A99" s="30">
        <v>276.80149049219943</v>
      </c>
      <c r="C99" s="1">
        <f>C88</f>
        <v>0</v>
      </c>
      <c r="E99"/>
    </row>
    <row r="100" spans="1:5" x14ac:dyDescent="0.25">
      <c r="A100" s="30">
        <v>251.63771862927217</v>
      </c>
      <c r="C100"/>
      <c r="D100"/>
      <c r="E100"/>
    </row>
    <row r="101" spans="1:5" x14ac:dyDescent="0.25">
      <c r="A101" s="30">
        <v>228.76156239024741</v>
      </c>
      <c r="C101" s="1" t="s">
        <v>14</v>
      </c>
      <c r="E101"/>
    </row>
    <row r="102" spans="1:5" x14ac:dyDescent="0.25">
      <c r="A102" s="30">
        <v>207.96505671840671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189.05914247127882</v>
      </c>
      <c r="E103"/>
    </row>
    <row r="104" spans="1:5" x14ac:dyDescent="0.25">
      <c r="A104" s="30">
        <v>171.87194770116255</v>
      </c>
      <c r="E104"/>
    </row>
    <row r="105" spans="1:5" x14ac:dyDescent="0.25">
      <c r="A105" s="30">
        <v>156.24722518287504</v>
      </c>
      <c r="E105"/>
    </row>
    <row r="106" spans="1:5" x14ac:dyDescent="0.25">
      <c r="A106" s="30">
        <v>142.04293198443185</v>
      </c>
      <c r="E106"/>
    </row>
    <row r="107" spans="1:5" x14ac:dyDescent="0.25">
      <c r="A107" s="30">
        <v>129.1299381676653</v>
      </c>
      <c r="E107"/>
    </row>
    <row r="108" spans="1:5" x14ac:dyDescent="0.25">
      <c r="A108" s="30">
        <v>117.39085287969573</v>
      </c>
      <c r="E108"/>
    </row>
    <row r="109" spans="1:5" x14ac:dyDescent="0.25">
      <c r="A109" s="30">
        <v>106.71895716335975</v>
      </c>
      <c r="E109"/>
    </row>
    <row r="110" spans="1:5" x14ac:dyDescent="0.25">
      <c r="A110" s="30">
        <v>97.017233784872488</v>
      </c>
      <c r="E110"/>
    </row>
    <row r="111" spans="1:5" x14ac:dyDescent="0.25">
      <c r="A111" s="30">
        <v>88.197485258974979</v>
      </c>
      <c r="C111" s="1" t="str">
        <f>ADDRESS(C121-1,1,1,1)</f>
        <v>$A$191</v>
      </c>
      <c r="D111" s="1" t="str">
        <f>ADDRESS(C121-1,D121,1,1)</f>
        <v>$BF$191</v>
      </c>
      <c r="E111"/>
    </row>
    <row r="112" spans="1:5" x14ac:dyDescent="0.25">
      <c r="A112" s="30">
        <v>80.179532053613613</v>
      </c>
      <c r="C112" s="1" t="str">
        <f>ADDRESS(C121,1,1,1)</f>
        <v>$A$192</v>
      </c>
      <c r="D112" s="1" t="str">
        <f>ADDRESS(C121,D121-1,1,1)</f>
        <v>$BE$192</v>
      </c>
      <c r="E112"/>
    </row>
    <row r="113" spans="1:5" x14ac:dyDescent="0.25">
      <c r="A113" s="30">
        <v>72.890483685103277</v>
      </c>
      <c r="C113" s="1" t="str">
        <f>ADDRESS(C121+1,1,1,1)</f>
        <v>$A$193</v>
      </c>
      <c r="D113" s="1" t="str">
        <f>ADDRESS(C121-1,D121+1,1,1)</f>
        <v>$BG$191</v>
      </c>
    </row>
    <row r="114" spans="1:5" x14ac:dyDescent="0.25">
      <c r="A114" s="30">
        <v>66.26407607736661</v>
      </c>
      <c r="C114" s="1" t="str">
        <f>ADDRESS(C121,D121,1,1)</f>
        <v>$BF$192</v>
      </c>
      <c r="D114" s="1" t="str">
        <f>ADDRESS(C121+1,D121+1,1,1)</f>
        <v>$BG$193</v>
      </c>
    </row>
    <row r="115" spans="1:5" x14ac:dyDescent="0.25">
      <c r="A115" s="30">
        <v>60.240069161242367</v>
      </c>
      <c r="C115" s="1" t="str">
        <f>ADDRESS(C121+1,D121,1,1)</f>
        <v>$BF$193</v>
      </c>
    </row>
    <row r="116" spans="1:5" x14ac:dyDescent="0.25">
      <c r="A116" s="30">
        <v>54.763699237493057</v>
      </c>
      <c r="C116" s="1">
        <f>C117-1</f>
        <v>191</v>
      </c>
    </row>
    <row r="117" spans="1:5" x14ac:dyDescent="0.25">
      <c r="A117" s="30">
        <v>49.785181124993684</v>
      </c>
      <c r="C117" s="1">
        <f>C121</f>
        <v>192</v>
      </c>
      <c r="D117" s="1">
        <f>D121</f>
        <v>58</v>
      </c>
    </row>
    <row r="118" spans="1:5" x14ac:dyDescent="0.25">
      <c r="A118" s="30">
        <v>45.259255568176073</v>
      </c>
      <c r="C118" s="1">
        <f>C117+1</f>
        <v>193</v>
      </c>
      <c r="D118" s="1">
        <f>D117+1</f>
        <v>59</v>
      </c>
    </row>
    <row r="119" spans="1:5" x14ac:dyDescent="0.25">
      <c r="A119" s="30">
        <v>41.144777789250973</v>
      </c>
    </row>
    <row r="120" spans="1:5" x14ac:dyDescent="0.25">
      <c r="A120" s="30">
        <v>37.404343444773609</v>
      </c>
      <c r="C120" s="1" t="s">
        <v>9</v>
      </c>
    </row>
    <row r="121" spans="1:5" x14ac:dyDescent="0.25">
      <c r="A121" s="30">
        <v>34.003948586157826</v>
      </c>
      <c r="C121" s="18">
        <v>192</v>
      </c>
      <c r="D121" s="19">
        <v>58</v>
      </c>
      <c r="E121" s="18"/>
    </row>
    <row r="122" spans="1:5" x14ac:dyDescent="0.25">
      <c r="A122" s="30">
        <v>30.912680532870748</v>
      </c>
      <c r="C122" s="1" t="str">
        <f>INDEX(1:1048576,C117,D117)</f>
        <v>O</v>
      </c>
    </row>
    <row r="123" spans="1:5" x14ac:dyDescent="0.25">
      <c r="A123" s="30">
        <v>28.102436848064315</v>
      </c>
      <c r="C123" s="1" t="str">
        <f>"R"&amp;C121</f>
        <v>R192</v>
      </c>
      <c r="D123" s="1" t="str">
        <f>"C"&amp;D121</f>
        <v>C58</v>
      </c>
    </row>
    <row r="124" spans="1:5" x14ac:dyDescent="0.25">
      <c r="A124" s="30">
        <v>25.547669861876649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23.225154419887861</v>
      </c>
    </row>
    <row r="126" spans="1:5" x14ac:dyDescent="0.25">
      <c r="A126" s="30">
        <v>21.113776745352599</v>
      </c>
      <c r="C126" s="1" t="s">
        <v>10</v>
      </c>
    </row>
    <row r="127" spans="1:5" x14ac:dyDescent="0.25">
      <c r="A127" s="30">
        <v>19.194342495775089</v>
      </c>
      <c r="C127" s="30">
        <v>3.9142513012203929E-2</v>
      </c>
      <c r="D127"/>
    </row>
    <row r="128" spans="1:5" x14ac:dyDescent="0.25">
      <c r="A128" s="30">
        <v>17.449402268886445</v>
      </c>
    </row>
    <row r="129" spans="1:5" x14ac:dyDescent="0.25">
      <c r="A129" s="30">
        <v>15.863092971714948</v>
      </c>
      <c r="C129" s="1" t="s">
        <v>11</v>
      </c>
      <c r="D129" s="1" t="s">
        <v>12</v>
      </c>
      <c r="E129"/>
    </row>
    <row r="130" spans="1:5" x14ac:dyDescent="0.25">
      <c r="A130" s="30">
        <v>14.420993610649951</v>
      </c>
      <c r="C130" s="6"/>
      <c r="D130" s="6"/>
      <c r="E130"/>
    </row>
    <row r="131" spans="1:5" x14ac:dyDescent="0.25">
      <c r="A131" s="30">
        <v>13.109994191499954</v>
      </c>
      <c r="E131"/>
    </row>
    <row r="132" spans="1:5" x14ac:dyDescent="0.25">
      <c r="A132" s="30">
        <v>11.918176537727231</v>
      </c>
      <c r="C132" s="1" t="s">
        <v>13</v>
      </c>
      <c r="E132"/>
    </row>
    <row r="133" spans="1:5" x14ac:dyDescent="0.25">
      <c r="A133" s="30">
        <v>10.834705943388391</v>
      </c>
      <c r="C133" s="1" t="str">
        <f>C122</f>
        <v>O</v>
      </c>
      <c r="E133"/>
    </row>
    <row r="134" spans="1:5" x14ac:dyDescent="0.25">
      <c r="A134" s="30">
        <v>9.849732675807628</v>
      </c>
      <c r="C134"/>
      <c r="D134"/>
      <c r="E134"/>
    </row>
    <row r="135" spans="1:5" x14ac:dyDescent="0.25">
      <c r="A135" s="30">
        <v>8.9543024325523888</v>
      </c>
      <c r="C135" s="1" t="s">
        <v>14</v>
      </c>
      <c r="E135"/>
    </row>
    <row r="136" spans="1:5" x14ac:dyDescent="0.25">
      <c r="A136" s="30">
        <v>8.140274938683989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7.4002499442581717</v>
      </c>
      <c r="E137"/>
    </row>
    <row r="138" spans="1:5" x14ac:dyDescent="0.25">
      <c r="A138" s="30">
        <v>6.72749994932561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6.1159090448414632</v>
      </c>
      <c r="E139"/>
    </row>
    <row r="140" spans="1:5" x14ac:dyDescent="0.25">
      <c r="A140" s="30">
        <v>5.5599173134922388</v>
      </c>
      <c r="C140" s="1">
        <v>0</v>
      </c>
      <c r="E140"/>
    </row>
    <row r="141" spans="1:5" x14ac:dyDescent="0.25">
      <c r="A141" s="30">
        <v>5.0544702849929442</v>
      </c>
      <c r="C141" s="1">
        <v>1</v>
      </c>
      <c r="E141"/>
    </row>
    <row r="142" spans="1:5" x14ac:dyDescent="0.25">
      <c r="A142" s="30">
        <v>4.594972986357222</v>
      </c>
      <c r="C142" s="1">
        <v>2</v>
      </c>
      <c r="E142"/>
    </row>
    <row r="143" spans="1:5" x14ac:dyDescent="0.25">
      <c r="A143" s="30">
        <v>4.1772481694156562</v>
      </c>
      <c r="C143" s="1">
        <v>3</v>
      </c>
      <c r="E143"/>
    </row>
    <row r="144" spans="1:5" x14ac:dyDescent="0.25">
      <c r="A144" s="30">
        <v>3.7974983358324148</v>
      </c>
      <c r="C144" s="1">
        <v>4</v>
      </c>
      <c r="E144"/>
    </row>
    <row r="145" spans="1:6" x14ac:dyDescent="0.25">
      <c r="A145" s="30">
        <v>3.4522712143931042</v>
      </c>
      <c r="B145"/>
      <c r="C145"/>
      <c r="D145"/>
      <c r="E145"/>
    </row>
    <row r="146" spans="1:6" x14ac:dyDescent="0.25">
      <c r="A146" s="30">
        <v>3.1384283767210035</v>
      </c>
      <c r="B146"/>
      <c r="C146"/>
      <c r="D146"/>
      <c r="E146"/>
    </row>
    <row r="147" spans="1:6" x14ac:dyDescent="0.25">
      <c r="A147" s="30">
        <v>2.8531167061100029</v>
      </c>
      <c r="B147"/>
      <c r="C147"/>
      <c r="D147"/>
      <c r="E147"/>
    </row>
    <row r="148" spans="1:6" x14ac:dyDescent="0.25">
      <c r="A148" s="30">
        <v>2.5937424601000023</v>
      </c>
      <c r="B148"/>
      <c r="C148"/>
      <c r="D148"/>
      <c r="E148"/>
    </row>
    <row r="149" spans="1:6" x14ac:dyDescent="0.25">
      <c r="A149" s="30">
        <v>2.3579476910000019</v>
      </c>
      <c r="B149"/>
      <c r="C149"/>
      <c r="D149"/>
      <c r="E149"/>
    </row>
    <row r="150" spans="1:6" x14ac:dyDescent="0.25">
      <c r="A150" s="30">
        <v>2.1435888100000016</v>
      </c>
      <c r="B150"/>
      <c r="C150"/>
      <c r="D150"/>
      <c r="E150"/>
    </row>
    <row r="151" spans="1:6" x14ac:dyDescent="0.25">
      <c r="A151" s="30">
        <v>1.9487171000000014</v>
      </c>
      <c r="B151"/>
      <c r="C151"/>
      <c r="D151"/>
      <c r="E151"/>
    </row>
    <row r="152" spans="1:6" x14ac:dyDescent="0.25">
      <c r="A152" s="30">
        <v>1.7715610000000011</v>
      </c>
      <c r="B152"/>
      <c r="C152"/>
      <c r="D152"/>
      <c r="E152"/>
    </row>
    <row r="153" spans="1:6" x14ac:dyDescent="0.25">
      <c r="A153" s="30">
        <v>1.6105100000000008</v>
      </c>
      <c r="B153"/>
      <c r="C153"/>
      <c r="D153"/>
      <c r="E153"/>
    </row>
    <row r="154" spans="1:6" x14ac:dyDescent="0.25">
      <c r="A154" s="30">
        <v>1.4641000000000006</v>
      </c>
      <c r="B154"/>
      <c r="C154"/>
      <c r="D154"/>
      <c r="E154"/>
    </row>
    <row r="155" spans="1:6" x14ac:dyDescent="0.25">
      <c r="A155" s="30">
        <v>1.3310000000000004</v>
      </c>
      <c r="B155"/>
      <c r="C155"/>
      <c r="D155"/>
      <c r="E155"/>
    </row>
    <row r="156" spans="1:6" x14ac:dyDescent="0.25">
      <c r="A156" s="30">
        <v>1.2100000000000002</v>
      </c>
      <c r="B156"/>
      <c r="C156"/>
      <c r="D156"/>
      <c r="E156"/>
    </row>
    <row r="157" spans="1:6" x14ac:dyDescent="0.25">
      <c r="A157" s="30">
        <v>1.1000000000000001</v>
      </c>
      <c r="B157"/>
      <c r="C157"/>
      <c r="D157"/>
      <c r="E157"/>
    </row>
    <row r="158" spans="1:6" x14ac:dyDescent="0.25">
      <c r="A158" s="30">
        <v>1</v>
      </c>
      <c r="B158"/>
      <c r="C158"/>
      <c r="D158"/>
      <c r="E158" t="s">
        <v>8</v>
      </c>
    </row>
    <row r="159" spans="1:6" x14ac:dyDescent="0.25">
      <c r="A159" s="30">
        <v>0.90909090909090895</v>
      </c>
      <c r="B159"/>
      <c r="C159"/>
      <c r="D159"/>
      <c r="E159"/>
      <c r="F159" s="27" t="s">
        <v>7</v>
      </c>
    </row>
    <row r="160" spans="1:6" x14ac:dyDescent="0.25">
      <c r="A160" s="30">
        <v>0.82644628099173523</v>
      </c>
      <c r="B160"/>
      <c r="C160"/>
      <c r="D160"/>
      <c r="E160"/>
      <c r="F160" s="27" t="s">
        <v>7</v>
      </c>
    </row>
    <row r="161" spans="1:46" x14ac:dyDescent="0.25">
      <c r="A161" s="30">
        <v>0.75131480090157732</v>
      </c>
      <c r="B161"/>
      <c r="C161"/>
      <c r="D161"/>
      <c r="E161"/>
      <c r="F161" s="27" t="s">
        <v>7</v>
      </c>
    </row>
    <row r="162" spans="1:46" x14ac:dyDescent="0.25">
      <c r="A162" s="30">
        <v>0.68301345536507019</v>
      </c>
      <c r="B162"/>
      <c r="C162"/>
      <c r="D162"/>
      <c r="E162"/>
      <c r="F162" s="27" t="s">
        <v>7</v>
      </c>
    </row>
    <row r="163" spans="1:46" x14ac:dyDescent="0.25">
      <c r="A163" s="30">
        <v>0.6209213230591546</v>
      </c>
      <c r="B163"/>
      <c r="C163"/>
      <c r="D163"/>
      <c r="E163"/>
      <c r="F163" s="27" t="s">
        <v>7</v>
      </c>
    </row>
    <row r="164" spans="1:46" x14ac:dyDescent="0.25">
      <c r="A164" s="30">
        <v>0.56447393005377677</v>
      </c>
      <c r="B164"/>
      <c r="C164"/>
      <c r="D164"/>
      <c r="E164"/>
      <c r="F164" s="27" t="s">
        <v>7</v>
      </c>
    </row>
    <row r="165" spans="1:46" x14ac:dyDescent="0.25">
      <c r="A165" s="30">
        <v>0.51315811823070612</v>
      </c>
      <c r="B165"/>
      <c r="C165"/>
      <c r="D165"/>
      <c r="E165"/>
      <c r="F165" s="27" t="s">
        <v>7</v>
      </c>
    </row>
    <row r="166" spans="1:46" x14ac:dyDescent="0.25">
      <c r="A166" s="30">
        <v>0.46650738020973276</v>
      </c>
      <c r="B166"/>
      <c r="C166"/>
      <c r="D166"/>
      <c r="E166"/>
      <c r="F166" s="27" t="s">
        <v>7</v>
      </c>
    </row>
    <row r="167" spans="1:46" x14ac:dyDescent="0.25">
      <c r="A167" s="30">
        <v>0.42409761837248428</v>
      </c>
      <c r="B167"/>
      <c r="C167"/>
      <c r="D167"/>
      <c r="E167"/>
      <c r="F167" s="27" t="s">
        <v>7</v>
      </c>
    </row>
    <row r="168" spans="1:46" x14ac:dyDescent="0.25">
      <c r="A168" s="30">
        <v>0.38554328942953109</v>
      </c>
      <c r="B168"/>
      <c r="C168"/>
      <c r="D168"/>
      <c r="E168"/>
      <c r="F168" s="27" t="s">
        <v>7</v>
      </c>
    </row>
    <row r="169" spans="1:46" x14ac:dyDescent="0.25">
      <c r="A169" s="30">
        <v>0.35049389948139187</v>
      </c>
      <c r="B169"/>
      <c r="C169"/>
      <c r="D169"/>
      <c r="E169"/>
      <c r="F169" s="27" t="s">
        <v>7</v>
      </c>
    </row>
    <row r="170" spans="1:46" x14ac:dyDescent="0.25">
      <c r="A170" s="30">
        <v>0.31863081771035617</v>
      </c>
      <c r="B170"/>
      <c r="C170"/>
      <c r="D170"/>
      <c r="E170"/>
      <c r="F170" s="27" t="s">
        <v>7</v>
      </c>
    </row>
    <row r="171" spans="1:46" x14ac:dyDescent="0.25">
      <c r="A171" s="30">
        <v>0.28966437973668741</v>
      </c>
      <c r="F171" s="27" t="s">
        <v>7</v>
      </c>
    </row>
    <row r="172" spans="1:46" x14ac:dyDescent="0.25">
      <c r="A172" s="30">
        <v>0.2633312543060794</v>
      </c>
      <c r="F172" s="27" t="s">
        <v>7</v>
      </c>
    </row>
    <row r="173" spans="1:46" x14ac:dyDescent="0.25">
      <c r="A173" s="30">
        <v>0.23939204936916306</v>
      </c>
      <c r="F173" s="27" t="s">
        <v>7</v>
      </c>
      <c r="AO173" s="33" t="s">
        <v>8</v>
      </c>
      <c r="AQ173" s="33" t="s">
        <v>8</v>
      </c>
    </row>
    <row r="174" spans="1:46" x14ac:dyDescent="0.25">
      <c r="A174" s="30">
        <v>0.2176291357901482</v>
      </c>
      <c r="F174" s="27" t="s">
        <v>7</v>
      </c>
      <c r="AO174" s="27" t="s">
        <v>8</v>
      </c>
      <c r="AP174" s="27" t="s">
        <v>7</v>
      </c>
      <c r="AQ174" s="27" t="s">
        <v>8</v>
      </c>
      <c r="AR174" s="32" t="s">
        <v>7</v>
      </c>
    </row>
    <row r="175" spans="1:46" x14ac:dyDescent="0.25">
      <c r="A175" s="30">
        <v>0.19784466890013469</v>
      </c>
      <c r="F175" s="27" t="s">
        <v>7</v>
      </c>
      <c r="AM175" s="27" t="s">
        <v>8</v>
      </c>
      <c r="AO175" s="27" t="s">
        <v>8</v>
      </c>
      <c r="AP175" s="27" t="s">
        <v>7</v>
      </c>
      <c r="AQ175" s="27" t="s">
        <v>8</v>
      </c>
      <c r="AR175" s="27" t="s">
        <v>7</v>
      </c>
      <c r="AS175" s="32"/>
    </row>
    <row r="176" spans="1:46" x14ac:dyDescent="0.25">
      <c r="A176" s="30">
        <v>0.17985878990921333</v>
      </c>
      <c r="F176" s="27" t="s">
        <v>7</v>
      </c>
      <c r="AM176" s="27" t="s">
        <v>8</v>
      </c>
      <c r="AN176" s="27" t="s">
        <v>7</v>
      </c>
      <c r="AO176" s="27" t="s">
        <v>8</v>
      </c>
      <c r="AP176" s="27" t="s">
        <v>7</v>
      </c>
      <c r="AQ176" s="27" t="s">
        <v>8</v>
      </c>
      <c r="AR176" s="27" t="s">
        <v>7</v>
      </c>
      <c r="AT176" s="32"/>
    </row>
    <row r="177" spans="1:58" x14ac:dyDescent="0.25">
      <c r="A177" s="30">
        <v>0.16350799082655756</v>
      </c>
      <c r="F177" s="27" t="s">
        <v>7</v>
      </c>
      <c r="AM177" s="35" t="s">
        <v>8</v>
      </c>
      <c r="AN177" s="27" t="s">
        <v>7</v>
      </c>
      <c r="AO177" s="27" t="s">
        <v>8</v>
      </c>
      <c r="AP177" s="27" t="s">
        <v>7</v>
      </c>
      <c r="AQ177" s="27" t="s">
        <v>8</v>
      </c>
      <c r="AR177" s="27" t="s">
        <v>7</v>
      </c>
      <c r="AU177" s="32"/>
    </row>
    <row r="178" spans="1:58" x14ac:dyDescent="0.25">
      <c r="A178" s="30">
        <v>0.14864362802414322</v>
      </c>
      <c r="F178" s="27" t="s">
        <v>7</v>
      </c>
      <c r="AI178" s="33" t="s">
        <v>8</v>
      </c>
      <c r="AK178" s="33" t="s">
        <v>8</v>
      </c>
      <c r="AM178" s="27" t="s">
        <v>8</v>
      </c>
      <c r="AN178" s="27" t="s">
        <v>7</v>
      </c>
      <c r="AP178" s="27" t="s">
        <v>7</v>
      </c>
      <c r="AQ178" s="27" t="s">
        <v>8</v>
      </c>
      <c r="AR178" s="27" t="s">
        <v>7</v>
      </c>
      <c r="AV178" s="32"/>
      <c r="AW178" s="35" t="s">
        <v>8</v>
      </c>
    </row>
    <row r="179" spans="1:58" x14ac:dyDescent="0.25">
      <c r="A179" s="30">
        <v>0.13513057093103928</v>
      </c>
      <c r="F179" s="27" t="s">
        <v>7</v>
      </c>
      <c r="AI179" s="27" t="s">
        <v>8</v>
      </c>
      <c r="AJ179" s="27" t="s">
        <v>7</v>
      </c>
      <c r="AK179" s="27" t="s">
        <v>8</v>
      </c>
      <c r="AL179" s="27" t="s">
        <v>7</v>
      </c>
      <c r="AM179" s="27" t="s">
        <v>8</v>
      </c>
      <c r="AP179" s="34" t="s">
        <v>7</v>
      </c>
      <c r="AQ179" s="27" t="s">
        <v>8</v>
      </c>
      <c r="AR179" s="27" t="s">
        <v>7</v>
      </c>
      <c r="AS179" s="33" t="s">
        <v>8</v>
      </c>
      <c r="AU179" s="33" t="s">
        <v>8</v>
      </c>
      <c r="AW179" s="32" t="s">
        <v>8</v>
      </c>
      <c r="AX179" s="32" t="s">
        <v>7</v>
      </c>
      <c r="BA179" s="27" t="s">
        <v>8</v>
      </c>
    </row>
    <row r="180" spans="1:58" x14ac:dyDescent="0.25">
      <c r="A180" s="30">
        <v>0.12284597357367205</v>
      </c>
      <c r="F180" s="27" t="s">
        <v>7</v>
      </c>
      <c r="AI180" s="27" t="s">
        <v>8</v>
      </c>
      <c r="AJ180" s="27" t="s">
        <v>7</v>
      </c>
      <c r="AK180" s="27" t="s">
        <v>8</v>
      </c>
      <c r="AL180" s="27" t="s">
        <v>7</v>
      </c>
      <c r="AM180" s="27" t="s">
        <v>8</v>
      </c>
      <c r="AP180" s="27" t="s">
        <v>7</v>
      </c>
      <c r="AR180" s="27" t="s">
        <v>7</v>
      </c>
      <c r="AS180" s="27" t="s">
        <v>8</v>
      </c>
      <c r="AT180" s="27" t="s">
        <v>7</v>
      </c>
      <c r="AU180" s="27" t="s">
        <v>8</v>
      </c>
      <c r="AV180" s="27" t="s">
        <v>7</v>
      </c>
      <c r="AW180" s="27" t="s">
        <v>8</v>
      </c>
      <c r="AX180" s="27" t="s">
        <v>7</v>
      </c>
      <c r="AY180" s="32"/>
      <c r="BA180" s="27" t="s">
        <v>8</v>
      </c>
      <c r="BB180" s="27" t="s">
        <v>7</v>
      </c>
      <c r="BC180" s="27" t="s">
        <v>8</v>
      </c>
    </row>
    <row r="181" spans="1:58" x14ac:dyDescent="0.25">
      <c r="A181" s="30">
        <v>0.11167815779424731</v>
      </c>
      <c r="F181" s="27" t="s">
        <v>7</v>
      </c>
      <c r="AI181" s="27" t="s">
        <v>8</v>
      </c>
      <c r="AJ181" s="27" t="s">
        <v>7</v>
      </c>
      <c r="AL181" s="27" t="s">
        <v>7</v>
      </c>
      <c r="AM181" s="27" t="s">
        <v>8</v>
      </c>
      <c r="AR181" s="27" t="s">
        <v>7</v>
      </c>
      <c r="AS181" s="27" t="s">
        <v>8</v>
      </c>
      <c r="AT181" s="27" t="s">
        <v>7</v>
      </c>
      <c r="AU181" s="27" t="s">
        <v>8</v>
      </c>
      <c r="AV181" s="27" t="s">
        <v>7</v>
      </c>
      <c r="AW181" s="27" t="s">
        <v>8</v>
      </c>
      <c r="AX181" s="27" t="s">
        <v>7</v>
      </c>
      <c r="AZ181" s="32"/>
      <c r="BA181" s="27" t="s">
        <v>8</v>
      </c>
      <c r="BB181" s="27" t="s">
        <v>7</v>
      </c>
      <c r="BC181" s="27" t="s">
        <v>8</v>
      </c>
      <c r="BD181" s="27" t="s">
        <v>7</v>
      </c>
    </row>
    <row r="182" spans="1:58" x14ac:dyDescent="0.25">
      <c r="A182" s="30">
        <v>0.10152559799477026</v>
      </c>
      <c r="F182" s="27" t="s">
        <v>7</v>
      </c>
      <c r="AI182" s="27" t="s">
        <v>8</v>
      </c>
      <c r="AL182" s="34" t="s">
        <v>7</v>
      </c>
      <c r="AM182" s="27" t="s">
        <v>8</v>
      </c>
      <c r="AR182" s="27" t="s">
        <v>7</v>
      </c>
      <c r="AS182" s="27" t="s">
        <v>8</v>
      </c>
      <c r="AT182" s="27" t="s">
        <v>7</v>
      </c>
      <c r="AU182" s="27" t="s">
        <v>8</v>
      </c>
      <c r="AV182" s="27" t="s">
        <v>7</v>
      </c>
      <c r="AX182" s="27" t="s">
        <v>7</v>
      </c>
      <c r="BA182" s="32" t="s">
        <v>8</v>
      </c>
      <c r="BB182" s="27" t="s">
        <v>7</v>
      </c>
      <c r="BC182" s="27" t="s">
        <v>8</v>
      </c>
      <c r="BD182" s="27" t="s">
        <v>7</v>
      </c>
    </row>
    <row r="183" spans="1:58" x14ac:dyDescent="0.25">
      <c r="A183" s="30">
        <v>9.2295998177063854E-2</v>
      </c>
      <c r="F183" s="27" t="s">
        <v>7</v>
      </c>
      <c r="AE183" s="27" t="s">
        <v>8</v>
      </c>
      <c r="AI183" s="27" t="s">
        <v>8</v>
      </c>
      <c r="AL183" s="27" t="s">
        <v>7</v>
      </c>
      <c r="AM183" s="27" t="s">
        <v>8</v>
      </c>
      <c r="AR183" s="27" t="s">
        <v>7</v>
      </c>
      <c r="AS183" s="27" t="s">
        <v>8</v>
      </c>
      <c r="AT183" s="27" t="s">
        <v>7</v>
      </c>
      <c r="AU183" s="27" t="s">
        <v>8</v>
      </c>
      <c r="AX183" s="34" t="s">
        <v>7</v>
      </c>
      <c r="AY183" s="27" t="s">
        <v>8</v>
      </c>
      <c r="BA183" s="27" t="s">
        <v>8</v>
      </c>
      <c r="BB183" s="32" t="s">
        <v>7</v>
      </c>
      <c r="BC183" s="27" t="s">
        <v>8</v>
      </c>
      <c r="BD183" s="27" t="s">
        <v>7</v>
      </c>
    </row>
    <row r="184" spans="1:58" x14ac:dyDescent="0.25">
      <c r="A184" s="30">
        <v>8.3905452888239848E-2</v>
      </c>
      <c r="F184" s="27" t="s">
        <v>7</v>
      </c>
      <c r="AE184" s="27" t="s">
        <v>8</v>
      </c>
      <c r="AF184" s="27" t="s">
        <v>7</v>
      </c>
      <c r="AI184" s="27" t="s">
        <v>8</v>
      </c>
      <c r="AL184" s="27" t="s">
        <v>7</v>
      </c>
      <c r="AR184" s="27" t="s">
        <v>7</v>
      </c>
      <c r="AS184" s="27" t="s">
        <v>8</v>
      </c>
      <c r="AT184" s="27" t="s">
        <v>7</v>
      </c>
      <c r="AU184" s="27" t="s">
        <v>8</v>
      </c>
      <c r="AX184" s="27" t="s">
        <v>7</v>
      </c>
      <c r="AY184" s="27" t="s">
        <v>8</v>
      </c>
      <c r="AZ184" s="27" t="s">
        <v>7</v>
      </c>
      <c r="BA184" s="27" t="s">
        <v>8</v>
      </c>
      <c r="BB184" s="27" t="s">
        <v>7</v>
      </c>
      <c r="BC184" s="32" t="s">
        <v>8</v>
      </c>
      <c r="BD184" s="27" t="s">
        <v>7</v>
      </c>
      <c r="BE184" s="27" t="s">
        <v>8</v>
      </c>
    </row>
    <row r="185" spans="1:58" x14ac:dyDescent="0.25">
      <c r="A185" s="30">
        <v>7.6277684443854396E-2</v>
      </c>
      <c r="F185" s="27" t="s">
        <v>7</v>
      </c>
      <c r="AE185" s="27" t="s">
        <v>8</v>
      </c>
      <c r="AF185" s="27" t="s">
        <v>7</v>
      </c>
      <c r="AG185" s="27" t="s">
        <v>8</v>
      </c>
      <c r="AI185" s="27" t="s">
        <v>8</v>
      </c>
      <c r="AR185" s="27" t="s">
        <v>7</v>
      </c>
      <c r="AS185" s="27" t="s">
        <v>8</v>
      </c>
      <c r="AT185" s="27" t="s">
        <v>7</v>
      </c>
      <c r="AU185" s="27" t="s">
        <v>8</v>
      </c>
      <c r="AX185" s="27" t="s">
        <v>7</v>
      </c>
      <c r="AY185" s="27" t="s">
        <v>8</v>
      </c>
      <c r="AZ185" s="27" t="s">
        <v>7</v>
      </c>
      <c r="BA185" s="27" t="s">
        <v>8</v>
      </c>
      <c r="BB185" s="27" t="s">
        <v>7</v>
      </c>
      <c r="BD185" s="27" t="s">
        <v>7</v>
      </c>
      <c r="BE185" s="27" t="s">
        <v>8</v>
      </c>
      <c r="BF185" s="27" t="s">
        <v>7</v>
      </c>
    </row>
    <row r="186" spans="1:58" x14ac:dyDescent="0.25">
      <c r="A186" s="30">
        <v>6.9343349494413078E-2</v>
      </c>
      <c r="F186" s="27" t="s">
        <v>7</v>
      </c>
      <c r="AE186" s="27" t="s">
        <v>8</v>
      </c>
      <c r="AF186" s="27" t="s">
        <v>7</v>
      </c>
      <c r="AG186" s="27" t="s">
        <v>8</v>
      </c>
      <c r="AH186" s="27" t="s">
        <v>7</v>
      </c>
      <c r="AI186" s="27" t="s">
        <v>8</v>
      </c>
      <c r="AR186" s="27" t="s">
        <v>7</v>
      </c>
      <c r="AS186" s="27" t="s">
        <v>8</v>
      </c>
      <c r="AT186" s="27" t="s">
        <v>7</v>
      </c>
      <c r="AX186" s="27" t="s">
        <v>7</v>
      </c>
      <c r="AY186" s="27" t="s">
        <v>8</v>
      </c>
      <c r="AZ186" s="27" t="s">
        <v>7</v>
      </c>
      <c r="BA186" s="27" t="s">
        <v>8</v>
      </c>
      <c r="BD186" s="27" t="s">
        <v>7</v>
      </c>
      <c r="BE186" s="27" t="s">
        <v>8</v>
      </c>
      <c r="BF186" s="27" t="s">
        <v>7</v>
      </c>
    </row>
    <row r="187" spans="1:58" x14ac:dyDescent="0.25">
      <c r="A187" s="30">
        <v>6.3039408631284613E-2</v>
      </c>
      <c r="F187" s="27" t="s">
        <v>7</v>
      </c>
      <c r="AE187" s="27" t="s">
        <v>8</v>
      </c>
      <c r="AF187" s="27" t="s">
        <v>7</v>
      </c>
      <c r="AG187" s="27" t="s">
        <v>8</v>
      </c>
      <c r="AH187" s="27" t="s">
        <v>7</v>
      </c>
      <c r="AI187" s="27" t="s">
        <v>8</v>
      </c>
      <c r="AR187" s="27" t="s">
        <v>7</v>
      </c>
      <c r="AX187" s="27" t="s">
        <v>7</v>
      </c>
      <c r="AZ187" s="18" t="s">
        <v>7</v>
      </c>
      <c r="BA187" s="27" t="s">
        <v>8</v>
      </c>
      <c r="BD187" s="27" t="s">
        <v>7</v>
      </c>
      <c r="BE187" s="27" t="s">
        <v>8</v>
      </c>
      <c r="BF187" s="27" t="s">
        <v>7</v>
      </c>
    </row>
    <row r="188" spans="1:58" x14ac:dyDescent="0.25">
      <c r="A188" s="30">
        <v>5.7308553301167818E-2</v>
      </c>
      <c r="F188" s="27" t="s">
        <v>7</v>
      </c>
      <c r="AE188" s="27" t="s">
        <v>8</v>
      </c>
      <c r="AF188" s="27" t="s">
        <v>7</v>
      </c>
      <c r="AG188" s="27" t="s">
        <v>8</v>
      </c>
      <c r="AH188" s="27" t="s">
        <v>7</v>
      </c>
      <c r="AZ188" s="27" t="s">
        <v>7</v>
      </c>
      <c r="BA188" s="27" t="s">
        <v>8</v>
      </c>
      <c r="BB188" s="32"/>
      <c r="BD188" s="27" t="s">
        <v>7</v>
      </c>
      <c r="BF188" s="27" t="s">
        <v>7</v>
      </c>
    </row>
    <row r="189" spans="1:58" x14ac:dyDescent="0.25">
      <c r="A189" s="30">
        <v>5.2098684819243464E-2</v>
      </c>
      <c r="F189" s="27" t="s">
        <v>7</v>
      </c>
      <c r="AE189" s="27" t="s">
        <v>8</v>
      </c>
      <c r="AF189" s="27" t="s">
        <v>7</v>
      </c>
      <c r="AZ189" s="27" t="s">
        <v>7</v>
      </c>
      <c r="BA189" s="32"/>
      <c r="BF189" s="27" t="s">
        <v>7</v>
      </c>
    </row>
    <row r="190" spans="1:58" x14ac:dyDescent="0.25">
      <c r="A190" s="30">
        <v>4.7362440744766775E-2</v>
      </c>
      <c r="F190" s="27" t="s">
        <v>7</v>
      </c>
      <c r="AE190" s="27" t="s">
        <v>8</v>
      </c>
      <c r="AZ190" s="32"/>
      <c r="BF190" s="27" t="s">
        <v>7</v>
      </c>
    </row>
    <row r="191" spans="1:58" x14ac:dyDescent="0.25">
      <c r="A191" s="30">
        <v>4.3056764313424332E-2</v>
      </c>
      <c r="F191" s="27" t="s">
        <v>7</v>
      </c>
      <c r="AE191" s="27" t="s">
        <v>8</v>
      </c>
      <c r="AY191" s="32"/>
      <c r="BF191" s="27" t="s">
        <v>7</v>
      </c>
    </row>
    <row r="192" spans="1:58" x14ac:dyDescent="0.25">
      <c r="A192" s="30">
        <v>3.9142513012203929E-2</v>
      </c>
      <c r="F192" s="27" t="s">
        <v>7</v>
      </c>
      <c r="AE192" s="27" t="s">
        <v>8</v>
      </c>
      <c r="AX192" s="32"/>
      <c r="BF192" s="27" t="s">
        <v>7</v>
      </c>
    </row>
    <row r="193" spans="1:49" x14ac:dyDescent="0.25">
      <c r="A193" s="30">
        <v>3.55841027383672E-2</v>
      </c>
      <c r="F193" s="27" t="s">
        <v>7</v>
      </c>
      <c r="AC193" s="27" t="s">
        <v>8</v>
      </c>
      <c r="AE193" s="27" t="s">
        <v>8</v>
      </c>
      <c r="AW193" s="32"/>
    </row>
    <row r="194" spans="1:49" x14ac:dyDescent="0.25">
      <c r="A194" s="30">
        <v>3.2349184307606541E-2</v>
      </c>
      <c r="F194" s="27" t="s">
        <v>7</v>
      </c>
      <c r="AC194" s="27" t="s">
        <v>8</v>
      </c>
      <c r="AD194" s="27" t="s">
        <v>7</v>
      </c>
      <c r="AE194" s="27" t="s">
        <v>8</v>
      </c>
      <c r="AV194" s="32"/>
    </row>
    <row r="195" spans="1:49" x14ac:dyDescent="0.25">
      <c r="A195" s="30">
        <v>2.9408349370551395E-2</v>
      </c>
      <c r="F195" s="27" t="s">
        <v>7</v>
      </c>
      <c r="W195" s="27" t="s">
        <v>8</v>
      </c>
      <c r="AC195" s="35" t="s">
        <v>8</v>
      </c>
      <c r="AD195" s="27" t="s">
        <v>7</v>
      </c>
      <c r="AE195" s="27" t="s">
        <v>8</v>
      </c>
      <c r="AU195" s="32"/>
    </row>
    <row r="196" spans="1:49" x14ac:dyDescent="0.25">
      <c r="A196" s="30">
        <v>2.6734863064137627E-2</v>
      </c>
      <c r="F196" s="27" t="s">
        <v>7</v>
      </c>
      <c r="G196" s="27" t="s">
        <v>8</v>
      </c>
      <c r="I196" s="27" t="s">
        <v>8</v>
      </c>
      <c r="W196" s="27" t="s">
        <v>8</v>
      </c>
      <c r="X196" s="27" t="s">
        <v>7</v>
      </c>
      <c r="AA196" s="27" t="s">
        <v>8</v>
      </c>
      <c r="AC196" s="27" t="s">
        <v>8</v>
      </c>
      <c r="AD196" s="27" t="s">
        <v>7</v>
      </c>
      <c r="AE196" s="27" t="s">
        <v>8</v>
      </c>
      <c r="AT196" s="32"/>
    </row>
    <row r="197" spans="1:49" x14ac:dyDescent="0.25">
      <c r="A197" s="30">
        <v>2.4304420967397839E-2</v>
      </c>
      <c r="F197" s="27" t="s">
        <v>7</v>
      </c>
      <c r="G197" s="27" t="s">
        <v>8</v>
      </c>
      <c r="H197" s="27" t="s">
        <v>7</v>
      </c>
      <c r="I197" s="27" t="s">
        <v>8</v>
      </c>
      <c r="J197" s="27" t="s">
        <v>7</v>
      </c>
      <c r="W197" s="27" t="s">
        <v>8</v>
      </c>
      <c r="X197" s="27" t="s">
        <v>7</v>
      </c>
      <c r="AA197" s="27" t="s">
        <v>8</v>
      </c>
      <c r="AB197" s="27" t="s">
        <v>7</v>
      </c>
      <c r="AC197" s="27" t="s">
        <v>8</v>
      </c>
      <c r="AD197" s="27" t="s">
        <v>7</v>
      </c>
      <c r="AS197" s="32"/>
    </row>
    <row r="198" spans="1:49" x14ac:dyDescent="0.25">
      <c r="A198" s="30">
        <v>2.2094928152179852E-2</v>
      </c>
      <c r="F198" s="27" t="s">
        <v>7</v>
      </c>
      <c r="G198" s="27" t="s">
        <v>8</v>
      </c>
      <c r="H198" s="27" t="s">
        <v>7</v>
      </c>
      <c r="I198" s="27" t="s">
        <v>8</v>
      </c>
      <c r="J198" s="27" t="s">
        <v>7</v>
      </c>
      <c r="W198" s="27" t="s">
        <v>8</v>
      </c>
      <c r="X198" s="27" t="s">
        <v>7</v>
      </c>
      <c r="AA198" s="27" t="s">
        <v>8</v>
      </c>
      <c r="AB198" s="27" t="s">
        <v>7</v>
      </c>
      <c r="AC198" s="27" t="s">
        <v>8</v>
      </c>
      <c r="AR198" s="32"/>
    </row>
    <row r="199" spans="1:49" x14ac:dyDescent="0.25">
      <c r="A199" s="30">
        <v>2.0086298320163499E-2</v>
      </c>
      <c r="F199" s="27" t="s">
        <v>7</v>
      </c>
      <c r="G199" s="27" t="s">
        <v>8</v>
      </c>
      <c r="H199" s="27" t="s">
        <v>7</v>
      </c>
      <c r="I199" s="27" t="s">
        <v>8</v>
      </c>
      <c r="J199" s="27" t="s">
        <v>7</v>
      </c>
      <c r="W199" s="27" t="s">
        <v>8</v>
      </c>
      <c r="X199" s="27" t="s">
        <v>7</v>
      </c>
      <c r="Y199" s="27" t="s">
        <v>8</v>
      </c>
      <c r="AA199" s="27" t="s">
        <v>8</v>
      </c>
      <c r="AB199" s="27" t="s">
        <v>7</v>
      </c>
      <c r="AC199" s="27" t="s">
        <v>8</v>
      </c>
      <c r="AQ199" s="32"/>
    </row>
    <row r="200" spans="1:49" x14ac:dyDescent="0.25">
      <c r="A200" s="30">
        <v>1.8260271200148632E-2</v>
      </c>
      <c r="F200" s="27" t="s">
        <v>7</v>
      </c>
      <c r="G200" s="27" t="s">
        <v>8</v>
      </c>
      <c r="H200" s="27" t="s">
        <v>7</v>
      </c>
      <c r="I200" s="27" t="s">
        <v>8</v>
      </c>
      <c r="J200" s="27" t="s">
        <v>7</v>
      </c>
      <c r="W200" s="27" t="s">
        <v>8</v>
      </c>
      <c r="X200" s="27" t="s">
        <v>7</v>
      </c>
      <c r="Y200" s="27" t="s">
        <v>8</v>
      </c>
      <c r="Z200" s="27" t="s">
        <v>7</v>
      </c>
      <c r="AA200" s="27" t="s">
        <v>8</v>
      </c>
      <c r="AB200" s="27" t="s">
        <v>7</v>
      </c>
      <c r="AC200" s="27" t="s">
        <v>8</v>
      </c>
      <c r="AP200" s="32"/>
    </row>
    <row r="201" spans="1:49" x14ac:dyDescent="0.25">
      <c r="A201" s="30">
        <v>1.6600246545589663E-2</v>
      </c>
      <c r="F201" s="27" t="s">
        <v>7</v>
      </c>
      <c r="H201" s="27" t="s">
        <v>7</v>
      </c>
      <c r="I201" s="27" t="s">
        <v>8</v>
      </c>
      <c r="J201" s="27" t="s">
        <v>7</v>
      </c>
      <c r="W201" s="27" t="s">
        <v>8</v>
      </c>
      <c r="X201" s="27" t="s">
        <v>7</v>
      </c>
      <c r="Y201" s="27" t="s">
        <v>8</v>
      </c>
      <c r="Z201" s="27" t="s">
        <v>7</v>
      </c>
      <c r="AA201" s="27" t="s">
        <v>8</v>
      </c>
      <c r="AB201" s="27" t="s">
        <v>7</v>
      </c>
      <c r="AC201" s="27" t="s">
        <v>8</v>
      </c>
      <c r="AO201" s="32"/>
    </row>
    <row r="202" spans="1:49" x14ac:dyDescent="0.25">
      <c r="A202" s="30">
        <v>1.5091133223263328E-2</v>
      </c>
      <c r="H202" s="27" t="s">
        <v>7</v>
      </c>
      <c r="J202" s="27" t="s">
        <v>7</v>
      </c>
      <c r="W202" s="27" t="s">
        <v>8</v>
      </c>
      <c r="X202" s="33" t="s">
        <v>7</v>
      </c>
      <c r="Z202" s="33" t="s">
        <v>7</v>
      </c>
      <c r="AB202" s="27" t="s">
        <v>7</v>
      </c>
      <c r="AC202" s="27" t="s">
        <v>8</v>
      </c>
      <c r="AN202" s="32"/>
    </row>
    <row r="203" spans="1:49" x14ac:dyDescent="0.25">
      <c r="A203" s="30">
        <v>1.3719212021148477E-2</v>
      </c>
      <c r="J203" s="27" t="s">
        <v>7</v>
      </c>
      <c r="W203" s="27" t="s">
        <v>8</v>
      </c>
      <c r="AB203" s="34" t="s">
        <v>7</v>
      </c>
      <c r="AM203" s="32"/>
    </row>
    <row r="204" spans="1:49" x14ac:dyDescent="0.25">
      <c r="A204" s="30">
        <v>1.2472010928316795E-2</v>
      </c>
      <c r="J204" s="27" t="s">
        <v>7</v>
      </c>
      <c r="W204" s="27" t="s">
        <v>8</v>
      </c>
      <c r="AL204" s="32"/>
    </row>
    <row r="205" spans="1:49" x14ac:dyDescent="0.25">
      <c r="A205" s="30">
        <v>1.1338191753015267E-2</v>
      </c>
      <c r="J205" s="27" t="s">
        <v>7</v>
      </c>
      <c r="W205" s="27" t="s">
        <v>8</v>
      </c>
      <c r="AK205" s="32"/>
    </row>
    <row r="206" spans="1:49" x14ac:dyDescent="0.25">
      <c r="A206" s="30">
        <v>1.0307447048195697E-2</v>
      </c>
      <c r="J206" s="27" t="s">
        <v>7</v>
      </c>
      <c r="W206" s="27" t="s">
        <v>8</v>
      </c>
      <c r="AJ206" s="32"/>
    </row>
    <row r="207" spans="1:49" x14ac:dyDescent="0.25">
      <c r="A207" s="30">
        <v>9.3704064074506318E-3</v>
      </c>
      <c r="J207" s="27" t="s">
        <v>7</v>
      </c>
      <c r="K207" s="27" t="s">
        <v>8</v>
      </c>
      <c r="S207" s="27" t="s">
        <v>8</v>
      </c>
      <c r="W207" s="27" t="s">
        <v>8</v>
      </c>
      <c r="AI207" s="32"/>
    </row>
    <row r="208" spans="1:49" x14ac:dyDescent="0.25">
      <c r="A208" s="30">
        <v>8.5185512795005747E-3</v>
      </c>
      <c r="J208" s="27" t="s">
        <v>7</v>
      </c>
      <c r="K208" s="27" t="s">
        <v>8</v>
      </c>
      <c r="L208" s="27" t="s">
        <v>7</v>
      </c>
      <c r="S208" s="27" t="s">
        <v>8</v>
      </c>
      <c r="T208" s="27" t="s">
        <v>7</v>
      </c>
      <c r="W208" s="27" t="s">
        <v>8</v>
      </c>
      <c r="AH208" s="32"/>
    </row>
    <row r="209" spans="1:33" x14ac:dyDescent="0.25">
      <c r="A209" s="30">
        <v>7.744137526818704E-3</v>
      </c>
      <c r="J209" s="27" t="s">
        <v>7</v>
      </c>
      <c r="K209" s="27" t="s">
        <v>8</v>
      </c>
      <c r="L209" s="27" t="s">
        <v>7</v>
      </c>
      <c r="S209" s="27" t="s">
        <v>8</v>
      </c>
      <c r="T209" s="27" t="s">
        <v>7</v>
      </c>
      <c r="W209" s="27" t="s">
        <v>8</v>
      </c>
      <c r="AG209" s="32"/>
    </row>
    <row r="210" spans="1:33" x14ac:dyDescent="0.25">
      <c r="A210" s="30">
        <v>7.0401250243806394E-3</v>
      </c>
      <c r="J210" s="27" t="s">
        <v>7</v>
      </c>
      <c r="L210" s="27" t="s">
        <v>7</v>
      </c>
      <c r="S210" s="27" t="s">
        <v>8</v>
      </c>
      <c r="T210" s="27" t="s">
        <v>7</v>
      </c>
      <c r="W210" s="27" t="s">
        <v>8</v>
      </c>
      <c r="AF210" s="32"/>
    </row>
    <row r="211" spans="1:33" x14ac:dyDescent="0.25">
      <c r="A211" s="30">
        <v>6.4001136585278536E-3</v>
      </c>
      <c r="L211" s="27" t="s">
        <v>7</v>
      </c>
      <c r="M211" s="33" t="s">
        <v>8</v>
      </c>
      <c r="O211" s="33" t="s">
        <v>8</v>
      </c>
      <c r="Q211" s="33" t="s">
        <v>8</v>
      </c>
      <c r="S211" s="27" t="s">
        <v>8</v>
      </c>
      <c r="T211" s="27" t="s">
        <v>7</v>
      </c>
      <c r="W211" s="27" t="s">
        <v>8</v>
      </c>
      <c r="AE211" s="32"/>
    </row>
    <row r="212" spans="1:33" x14ac:dyDescent="0.25">
      <c r="A212" s="30">
        <v>5.8182851441162305E-3</v>
      </c>
      <c r="L212" s="27" t="s">
        <v>7</v>
      </c>
      <c r="M212" s="27" t="s">
        <v>8</v>
      </c>
      <c r="N212" s="27" t="s">
        <v>7</v>
      </c>
      <c r="O212" s="27" t="s">
        <v>8</v>
      </c>
      <c r="P212" s="27" t="s">
        <v>7</v>
      </c>
      <c r="Q212" s="27" t="s">
        <v>8</v>
      </c>
      <c r="R212" s="27" t="s">
        <v>7</v>
      </c>
      <c r="S212" s="27" t="s">
        <v>8</v>
      </c>
      <c r="T212" s="27" t="s">
        <v>7</v>
      </c>
      <c r="W212" s="27" t="s">
        <v>8</v>
      </c>
      <c r="AD212" s="32"/>
    </row>
    <row r="213" spans="1:33" x14ac:dyDescent="0.25">
      <c r="A213" s="30">
        <v>5.2893501310147546E-3</v>
      </c>
      <c r="L213" s="27" t="s">
        <v>7</v>
      </c>
      <c r="M213" s="27" t="s">
        <v>8</v>
      </c>
      <c r="N213" s="27" t="s">
        <v>7</v>
      </c>
      <c r="O213" s="27" t="s">
        <v>8</v>
      </c>
      <c r="P213" s="27" t="s">
        <v>7</v>
      </c>
      <c r="Q213" s="27" t="s">
        <v>8</v>
      </c>
      <c r="R213" s="27" t="s">
        <v>7</v>
      </c>
      <c r="S213" s="27" t="s">
        <v>8</v>
      </c>
      <c r="T213" s="27" t="s">
        <v>7</v>
      </c>
      <c r="W213" s="27" t="s">
        <v>8</v>
      </c>
      <c r="AC213" s="32"/>
    </row>
    <row r="214" spans="1:33" x14ac:dyDescent="0.25">
      <c r="A214" s="30">
        <v>4.8085001191043222E-3</v>
      </c>
      <c r="L214" s="33" t="s">
        <v>7</v>
      </c>
      <c r="N214" s="33" t="s">
        <v>7</v>
      </c>
      <c r="P214" s="27" t="s">
        <v>7</v>
      </c>
      <c r="Q214" s="27" t="s">
        <v>8</v>
      </c>
      <c r="R214" s="27" t="s">
        <v>7</v>
      </c>
      <c r="S214" s="27" t="s">
        <v>8</v>
      </c>
      <c r="T214" s="27" t="s">
        <v>7</v>
      </c>
      <c r="W214" s="27" t="s">
        <v>8</v>
      </c>
      <c r="AB214" s="32"/>
    </row>
    <row r="215" spans="1:33" x14ac:dyDescent="0.25">
      <c r="A215" s="30">
        <v>4.3713637446402926E-3</v>
      </c>
      <c r="P215" s="33" t="s">
        <v>7</v>
      </c>
      <c r="R215" s="33" t="s">
        <v>7</v>
      </c>
      <c r="T215" s="27" t="s">
        <v>7</v>
      </c>
      <c r="W215" s="35" t="s">
        <v>8</v>
      </c>
      <c r="AA215" s="32"/>
    </row>
    <row r="216" spans="1:33" x14ac:dyDescent="0.25">
      <c r="A216" s="30">
        <v>3.9739670405820838E-3</v>
      </c>
      <c r="T216" s="27" t="s">
        <v>7</v>
      </c>
      <c r="U216" s="27" t="s">
        <v>8</v>
      </c>
      <c r="W216" s="27" t="s">
        <v>8</v>
      </c>
      <c r="Z216" s="32"/>
    </row>
    <row r="217" spans="1:33" x14ac:dyDescent="0.25">
      <c r="A217" s="30">
        <v>3.6126973096200759E-3</v>
      </c>
      <c r="T217" s="27" t="s">
        <v>7</v>
      </c>
      <c r="U217" s="27" t="s">
        <v>8</v>
      </c>
      <c r="V217" s="27" t="s">
        <v>7</v>
      </c>
      <c r="W217" s="27" t="s">
        <v>8</v>
      </c>
      <c r="Y217" s="32"/>
    </row>
    <row r="218" spans="1:33" x14ac:dyDescent="0.25">
      <c r="A218" s="30">
        <v>3.2842702814727962E-3</v>
      </c>
      <c r="T218" s="27" t="s">
        <v>7</v>
      </c>
      <c r="U218" s="27" t="s">
        <v>8</v>
      </c>
      <c r="V218" s="27" t="s">
        <v>7</v>
      </c>
      <c r="W218" s="27" t="s">
        <v>8</v>
      </c>
      <c r="X218" s="32"/>
    </row>
    <row r="219" spans="1:33" x14ac:dyDescent="0.25">
      <c r="A219" s="30">
        <v>2.9857002558843601E-3</v>
      </c>
      <c r="T219" s="27" t="s">
        <v>7</v>
      </c>
      <c r="U219" s="27" t="s">
        <v>8</v>
      </c>
      <c r="V219" s="27" t="s">
        <v>7</v>
      </c>
      <c r="W219" s="32"/>
    </row>
    <row r="220" spans="1:33" x14ac:dyDescent="0.25">
      <c r="A220" s="30">
        <v>2.7142729598948726E-3</v>
      </c>
      <c r="T220" s="27" t="s">
        <v>7</v>
      </c>
      <c r="U220" s="27" t="s">
        <v>8</v>
      </c>
      <c r="V220" s="32"/>
    </row>
    <row r="221" spans="1:33" x14ac:dyDescent="0.25">
      <c r="A221" s="30">
        <v>2.4675208726317021E-3</v>
      </c>
      <c r="T221" s="27" t="s">
        <v>7</v>
      </c>
      <c r="U221" s="32" t="s">
        <v>8</v>
      </c>
    </row>
    <row r="222" spans="1:33" x14ac:dyDescent="0.25">
      <c r="A222" s="30">
        <v>2.2432007933015472E-3</v>
      </c>
      <c r="T222" s="32" t="s">
        <v>7</v>
      </c>
    </row>
    <row r="223" spans="1:33" x14ac:dyDescent="0.25">
      <c r="A223" s="30">
        <v>2.0392734484559519E-3</v>
      </c>
    </row>
    <row r="224" spans="1:33" x14ac:dyDescent="0.25">
      <c r="A224" s="30">
        <v>1.8538849531417744E-3</v>
      </c>
    </row>
    <row r="225" spans="1:1" x14ac:dyDescent="0.25">
      <c r="A225" s="30">
        <v>1.6853499574016129E-3</v>
      </c>
    </row>
    <row r="226" spans="1:1" x14ac:dyDescent="0.25">
      <c r="A226" s="30">
        <v>1.5321363249105571E-3</v>
      </c>
    </row>
    <row r="227" spans="1:1" x14ac:dyDescent="0.25">
      <c r="A227" s="30">
        <v>1.3928512044641427E-3</v>
      </c>
    </row>
    <row r="228" spans="1:1" x14ac:dyDescent="0.25">
      <c r="A228" s="30">
        <v>1.2662283676946752E-3</v>
      </c>
    </row>
    <row r="229" spans="1:1" x14ac:dyDescent="0.25">
      <c r="A229" s="30">
        <v>1.15111669790425E-3</v>
      </c>
    </row>
    <row r="230" spans="1:1" x14ac:dyDescent="0.25">
      <c r="A230" s="30">
        <v>1.0464697253675E-3</v>
      </c>
    </row>
    <row r="231" spans="1:1" x14ac:dyDescent="0.25">
      <c r="A231" s="30">
        <v>9.5133611397045449E-4</v>
      </c>
    </row>
    <row r="232" spans="1:1" x14ac:dyDescent="0.25">
      <c r="A232" s="30">
        <v>8.6485101270041313E-4</v>
      </c>
    </row>
    <row r="233" spans="1:1" x14ac:dyDescent="0.25">
      <c r="A233" s="30">
        <v>7.862281933640119E-4</v>
      </c>
    </row>
    <row r="234" spans="1:1" x14ac:dyDescent="0.25">
      <c r="A234" s="30">
        <v>7.0760537402761068E-4</v>
      </c>
    </row>
    <row r="235" spans="1:1" x14ac:dyDescent="0.25">
      <c r="A235" s="30">
        <v>6.368448366248496E-4</v>
      </c>
    </row>
    <row r="236" spans="1:1" x14ac:dyDescent="0.25">
      <c r="A236" s="30">
        <v>5.7316035296236471E-4</v>
      </c>
    </row>
    <row r="237" spans="1:1" x14ac:dyDescent="0.25">
      <c r="A237" s="30">
        <v>5.1584431766612821E-4</v>
      </c>
    </row>
    <row r="238" spans="1:1" x14ac:dyDescent="0.25">
      <c r="A238" s="30">
        <v>4.6425988589951538E-4</v>
      </c>
    </row>
    <row r="239" spans="1:1" x14ac:dyDescent="0.25">
      <c r="A239" s="30">
        <v>4.1783389730956383E-4</v>
      </c>
    </row>
    <row r="240" spans="1:1" x14ac:dyDescent="0.25">
      <c r="A240" s="30">
        <v>3.7605050757860746E-4</v>
      </c>
    </row>
    <row r="241" spans="1:1" x14ac:dyDescent="0.25">
      <c r="A241" s="30">
        <v>3.3844545682074675E-4</v>
      </c>
    </row>
    <row r="242" spans="1:1" x14ac:dyDescent="0.25">
      <c r="A242" s="30">
        <v>3.0460091113867208E-4</v>
      </c>
    </row>
    <row r="243" spans="1:1" x14ac:dyDescent="0.25">
      <c r="A243" s="30">
        <v>2.7414082002480487E-4</v>
      </c>
    </row>
    <row r="244" spans="1:1" x14ac:dyDescent="0.25">
      <c r="A244" s="30">
        <v>2.4672673802232442E-4</v>
      </c>
    </row>
    <row r="245" spans="1:1" x14ac:dyDescent="0.25">
      <c r="A245" s="30">
        <v>2.2205406422009198E-4</v>
      </c>
    </row>
    <row r="246" spans="1:1" x14ac:dyDescent="0.25">
      <c r="A246" s="30">
        <v>1.998486577980828E-4</v>
      </c>
    </row>
    <row r="247" spans="1:1" x14ac:dyDescent="0.25">
      <c r="A247" s="30">
        <v>1.7986379201827453E-4</v>
      </c>
    </row>
    <row r="248" spans="1:1" x14ac:dyDescent="0.25">
      <c r="A248" s="30">
        <v>1.6187741281644709E-4</v>
      </c>
    </row>
    <row r="249" spans="1:1" x14ac:dyDescent="0.25">
      <c r="A249" s="30">
        <v>1.4568967153480238E-4</v>
      </c>
    </row>
    <row r="250" spans="1:1" x14ac:dyDescent="0.25">
      <c r="A250" s="30">
        <v>1.3112070438132215E-4</v>
      </c>
    </row>
    <row r="251" spans="1:1" x14ac:dyDescent="0.25">
      <c r="A251" s="30">
        <v>1.1800863394318995E-4</v>
      </c>
    </row>
    <row r="252" spans="1:1" x14ac:dyDescent="0.25">
      <c r="A252" s="30">
        <v>1.0620777054887096E-4</v>
      </c>
    </row>
    <row r="253" spans="1:1" x14ac:dyDescent="0.25">
      <c r="A253" s="30">
        <v>9.5586993493983861E-5</v>
      </c>
    </row>
    <row r="254" spans="1:1" x14ac:dyDescent="0.25">
      <c r="A254" s="30">
        <v>8.6028294144585476E-5</v>
      </c>
    </row>
    <row r="255" spans="1:1" x14ac:dyDescent="0.25">
      <c r="A255" s="30">
        <v>7.7425464730126924E-5</v>
      </c>
    </row>
    <row r="256" spans="1:1" x14ac:dyDescent="0.25">
      <c r="A256" s="30">
        <v>6.9682918257114228E-5</v>
      </c>
    </row>
    <row r="257" spans="1:1" x14ac:dyDescent="0.25">
      <c r="A257" s="30">
        <v>6.2714626431402813E-5</v>
      </c>
    </row>
    <row r="258" spans="1:1" x14ac:dyDescent="0.25">
      <c r="A258" s="30">
        <v>5.6443163788262536E-5</v>
      </c>
    </row>
    <row r="259" spans="1:1" x14ac:dyDescent="0.25">
      <c r="A259" s="30">
        <v>5.0798847409436286E-5</v>
      </c>
    </row>
    <row r="260" spans="1:1" x14ac:dyDescent="0.25">
      <c r="A260" s="30">
        <v>4.5718962668492656E-5</v>
      </c>
    </row>
    <row r="261" spans="1:1" x14ac:dyDescent="0.25">
      <c r="A261" s="30">
        <v>4.1147066401643391E-5</v>
      </c>
    </row>
    <row r="262" spans="1:1" x14ac:dyDescent="0.25">
      <c r="A262" s="30">
        <v>3.7032359761479051E-5</v>
      </c>
    </row>
    <row r="263" spans="1:1" x14ac:dyDescent="0.25">
      <c r="A263" s="30">
        <v>3.3329123785331146E-5</v>
      </c>
    </row>
    <row r="264" spans="1:1" x14ac:dyDescent="0.25">
      <c r="A264" s="30">
        <v>2.9996211406798031E-5</v>
      </c>
    </row>
    <row r="265" spans="1:1" x14ac:dyDescent="0.25">
      <c r="A265" s="30">
        <v>2.6996590266118227E-5</v>
      </c>
    </row>
    <row r="266" spans="1:1" x14ac:dyDescent="0.25">
      <c r="A266" s="30">
        <v>2.4296931239506405E-5</v>
      </c>
    </row>
    <row r="267" spans="1:1" x14ac:dyDescent="0.25">
      <c r="A267" s="30">
        <v>2.1867238115555765E-5</v>
      </c>
    </row>
    <row r="268" spans="1:1" x14ac:dyDescent="0.25">
      <c r="A268" s="30">
        <v>1.968051430400019E-5</v>
      </c>
    </row>
    <row r="269" spans="1:1" x14ac:dyDescent="0.25">
      <c r="A269" s="30">
        <v>1.7712462873600173E-5</v>
      </c>
    </row>
    <row r="270" spans="1:1" x14ac:dyDescent="0.25">
      <c r="A270" s="30">
        <v>1.5941216586240156E-5</v>
      </c>
    </row>
    <row r="271" spans="1:1" x14ac:dyDescent="0.25">
      <c r="A271" s="30">
        <v>1.434709492761614E-5</v>
      </c>
    </row>
    <row r="272" spans="1:1" x14ac:dyDescent="0.25">
      <c r="A272" s="30">
        <v>1.2912385434854527E-5</v>
      </c>
    </row>
    <row r="273" spans="1:1" x14ac:dyDescent="0.25">
      <c r="A273" s="30">
        <v>1.1621146891369075E-5</v>
      </c>
    </row>
    <row r="274" spans="1:1" x14ac:dyDescent="0.25">
      <c r="A274" s="30">
        <v>1.0459032202232167E-5</v>
      </c>
    </row>
    <row r="275" spans="1:1" x14ac:dyDescent="0.25">
      <c r="A275" s="30">
        <v>9.4131289820089515E-6</v>
      </c>
    </row>
    <row r="276" spans="1:1" x14ac:dyDescent="0.25">
      <c r="A276" s="30">
        <v>8.4718160838080567E-6</v>
      </c>
    </row>
    <row r="277" spans="1:1" x14ac:dyDescent="0.25">
      <c r="A277" s="30">
        <v>7.6246344754272515E-6</v>
      </c>
    </row>
    <row r="278" spans="1:1" x14ac:dyDescent="0.25">
      <c r="A278" s="30">
        <v>6.8621710278845262E-6</v>
      </c>
    </row>
    <row r="279" spans="1:1" x14ac:dyDescent="0.25">
      <c r="A279" s="30">
        <v>6.1759539250960733E-6</v>
      </c>
    </row>
    <row r="280" spans="1:1" x14ac:dyDescent="0.25">
      <c r="A280" s="30">
        <v>5.5583585325864661E-6</v>
      </c>
    </row>
    <row r="281" spans="1:1" x14ac:dyDescent="0.25">
      <c r="A281" s="30">
        <v>5.0025226793278193E-6</v>
      </c>
    </row>
    <row r="282" spans="1:1" x14ac:dyDescent="0.25">
      <c r="A282" s="30">
        <v>4.5022704113950371E-6</v>
      </c>
    </row>
    <row r="283" spans="1:1" x14ac:dyDescent="0.25">
      <c r="A283" s="30">
        <v>4.0520433702555336E-6</v>
      </c>
    </row>
    <row r="284" spans="1:1" x14ac:dyDescent="0.25">
      <c r="A284" s="30">
        <v>3.6468390332299805E-6</v>
      </c>
    </row>
    <row r="285" spans="1:1" x14ac:dyDescent="0.25">
      <c r="A285" s="30">
        <v>3.2821551299069824E-6</v>
      </c>
    </row>
    <row r="286" spans="1:1" x14ac:dyDescent="0.25">
      <c r="A286" s="30">
        <v>2.9539396169162842E-6</v>
      </c>
    </row>
    <row r="287" spans="1:1" x14ac:dyDescent="0.25">
      <c r="A287" s="30">
        <v>2.6585456552246558E-6</v>
      </c>
    </row>
    <row r="288" spans="1:1" x14ac:dyDescent="0.25">
      <c r="A288" s="30">
        <v>2.39269108970219E-6</v>
      </c>
    </row>
    <row r="289" spans="1:1" x14ac:dyDescent="0.25">
      <c r="A289" s="30">
        <v>2.1534219807319713E-6</v>
      </c>
    </row>
    <row r="290" spans="1:1" x14ac:dyDescent="0.25">
      <c r="A290" s="30">
        <v>1.9380797826587742E-6</v>
      </c>
    </row>
    <row r="291" spans="1:1" x14ac:dyDescent="0.25">
      <c r="A291" s="30">
        <v>1.7442718043928968E-6</v>
      </c>
    </row>
    <row r="292" spans="1:1" x14ac:dyDescent="0.25">
      <c r="A292" s="30">
        <v>1.5698446239536072E-6</v>
      </c>
    </row>
    <row r="293" spans="1:1" x14ac:dyDescent="0.25">
      <c r="A293" s="30">
        <v>1.4128601615582464E-6</v>
      </c>
    </row>
    <row r="294" spans="1:1" x14ac:dyDescent="0.25">
      <c r="A294" s="30">
        <v>1.2715741454024219E-6</v>
      </c>
    </row>
    <row r="295" spans="1:1" x14ac:dyDescent="0.25">
      <c r="A295" s="30">
        <v>1.1444167308621797E-6</v>
      </c>
    </row>
    <row r="296" spans="1:1" x14ac:dyDescent="0.25">
      <c r="A296" s="30">
        <v>1.0299750577759617E-6</v>
      </c>
    </row>
    <row r="297" spans="1:1" x14ac:dyDescent="0.25">
      <c r="A297" s="30">
        <v>9.2697755199836562E-7</v>
      </c>
    </row>
    <row r="298" spans="1:1" x14ac:dyDescent="0.25">
      <c r="A298" s="30">
        <v>8.3427979679852907E-7</v>
      </c>
    </row>
    <row r="299" spans="1:1" x14ac:dyDescent="0.25">
      <c r="A299" s="30">
        <v>7.508518171186762E-7</v>
      </c>
    </row>
    <row r="300" spans="1:1" x14ac:dyDescent="0.25">
      <c r="A300" s="30">
        <v>6.7576663540680858E-7</v>
      </c>
    </row>
    <row r="301" spans="1:1" x14ac:dyDescent="0.25">
      <c r="A301" s="30">
        <v>6.0818997186612771E-7</v>
      </c>
    </row>
    <row r="302" spans="1:1" x14ac:dyDescent="0.25">
      <c r="A302" s="30">
        <v>5.4737097467951492E-7</v>
      </c>
    </row>
    <row r="303" spans="1:1" x14ac:dyDescent="0.25">
      <c r="A303" s="30">
        <v>4.9263387721156344E-7</v>
      </c>
    </row>
    <row r="304" spans="1:1" x14ac:dyDescent="0.25">
      <c r="A304" s="30">
        <v>4.4337048949040709E-7</v>
      </c>
    </row>
    <row r="305" spans="1:1" x14ac:dyDescent="0.25">
      <c r="A305" s="30">
        <v>3.9903344054136637E-7</v>
      </c>
    </row>
    <row r="306" spans="1:1" x14ac:dyDescent="0.25">
      <c r="A306" s="30">
        <v>3.5913009648722975E-7</v>
      </c>
    </row>
    <row r="307" spans="1:1" x14ac:dyDescent="0.25">
      <c r="A307" s="30">
        <v>3.2321708683850679E-7</v>
      </c>
    </row>
    <row r="308" spans="1:1" x14ac:dyDescent="0.25">
      <c r="A308" s="30">
        <v>2.908953781546561E-7</v>
      </c>
    </row>
    <row r="309" spans="1:1" x14ac:dyDescent="0.25">
      <c r="A309" s="30">
        <v>2.6180584033919052E-7</v>
      </c>
    </row>
    <row r="310" spans="1:1" x14ac:dyDescent="0.25">
      <c r="A310" s="30">
        <v>2.3562525630527146E-7</v>
      </c>
    </row>
    <row r="311" spans="1:1" x14ac:dyDescent="0.25">
      <c r="A311" s="30">
        <v>2.1206273067474431E-7</v>
      </c>
    </row>
    <row r="312" spans="1:1" x14ac:dyDescent="0.25">
      <c r="A312" s="30">
        <v>1.9085645760726988E-7</v>
      </c>
    </row>
    <row r="313" spans="1:1" x14ac:dyDescent="0.25">
      <c r="A313" s="30">
        <v>1.717708118465429E-7</v>
      </c>
    </row>
    <row r="314" spans="1:1" x14ac:dyDescent="0.25">
      <c r="A314" s="30">
        <v>1.5459373066188861E-7</v>
      </c>
    </row>
    <row r="315" spans="1:1" x14ac:dyDescent="0.25">
      <c r="A315" s="30">
        <v>1.3913435759569975E-7</v>
      </c>
    </row>
    <row r="316" spans="1:1" x14ac:dyDescent="0.25">
      <c r="A316" s="30">
        <v>1.2522092183612977E-7</v>
      </c>
    </row>
    <row r="317" spans="1:1" x14ac:dyDescent="0.25">
      <c r="A317" s="30">
        <v>1.1269882965251679E-7</v>
      </c>
    </row>
    <row r="318" spans="1:1" x14ac:dyDescent="0.25">
      <c r="A318" s="30">
        <v>1.0142894668726512E-7</v>
      </c>
    </row>
    <row r="319" spans="1:1" x14ac:dyDescent="0.25">
      <c r="A319" s="30">
        <v>9.1286052018538604E-8</v>
      </c>
    </row>
    <row r="320" spans="1:1" x14ac:dyDescent="0.25">
      <c r="A320" s="30">
        <v>8.2157446816684752E-8</v>
      </c>
    </row>
    <row r="321" spans="1:1" x14ac:dyDescent="0.25">
      <c r="A321" s="30">
        <v>7.3941702135016276E-8</v>
      </c>
    </row>
    <row r="322" spans="1:1" x14ac:dyDescent="0.25">
      <c r="A322" s="30">
        <v>6.6547531921514646E-8</v>
      </c>
    </row>
    <row r="323" spans="1:1" x14ac:dyDescent="0.25">
      <c r="A323" s="30">
        <v>5.9892778729363178E-8</v>
      </c>
    </row>
    <row r="324" spans="1:1" x14ac:dyDescent="0.25">
      <c r="A324" s="30">
        <v>5.3903500856426864E-8</v>
      </c>
    </row>
    <row r="325" spans="1:1" x14ac:dyDescent="0.25">
      <c r="A325" s="30">
        <v>4.851315077078418E-8</v>
      </c>
    </row>
    <row r="326" spans="1:1" x14ac:dyDescent="0.25">
      <c r="A326" s="30">
        <v>4.3661835693705764E-8</v>
      </c>
    </row>
    <row r="327" spans="1:1" x14ac:dyDescent="0.25">
      <c r="A327" s="30">
        <v>3.929565212433519E-8</v>
      </c>
    </row>
    <row r="328" spans="1:1" x14ac:dyDescent="0.25">
      <c r="A328" s="30">
        <v>3.536608691190167E-8</v>
      </c>
    </row>
    <row r="329" spans="1:1" x14ac:dyDescent="0.25">
      <c r="A329" s="30">
        <v>3.1829478220711501E-8</v>
      </c>
    </row>
    <row r="330" spans="1:1" x14ac:dyDescent="0.25">
      <c r="A330" s="30">
        <v>2.8646530398640351E-8</v>
      </c>
    </row>
    <row r="331" spans="1:1" x14ac:dyDescent="0.25">
      <c r="A331" s="30">
        <v>2.5781877358776315E-8</v>
      </c>
    </row>
    <row r="332" spans="1:1" x14ac:dyDescent="0.25">
      <c r="A332" s="30">
        <v>2.3203689622898683E-8</v>
      </c>
    </row>
    <row r="333" spans="1:1" x14ac:dyDescent="0.25">
      <c r="A333" s="30">
        <v>2.0883320660608816E-8</v>
      </c>
    </row>
    <row r="334" spans="1:1" x14ac:dyDescent="0.25">
      <c r="A334" s="30">
        <v>1.8794988594547934E-8</v>
      </c>
    </row>
    <row r="335" spans="1:1" x14ac:dyDescent="0.25">
      <c r="A335" s="30">
        <v>1.6915489735093139E-8</v>
      </c>
    </row>
    <row r="336" spans="1:1" x14ac:dyDescent="0.25">
      <c r="A336" s="30">
        <v>1.5223940761583825E-8</v>
      </c>
    </row>
    <row r="337" spans="1:1" x14ac:dyDescent="0.25">
      <c r="A337" s="30">
        <v>1.3701546685425444E-8</v>
      </c>
    </row>
    <row r="338" spans="1:1" x14ac:dyDescent="0.25">
      <c r="A338" s="30">
        <v>1.2331392016882899E-8</v>
      </c>
    </row>
    <row r="339" spans="1:1" x14ac:dyDescent="0.25">
      <c r="A339" s="30">
        <v>1.1098252815194609E-8</v>
      </c>
    </row>
    <row r="340" spans="1:1" x14ac:dyDescent="0.25">
      <c r="A340" s="30">
        <v>9.9884275336751485E-9</v>
      </c>
    </row>
    <row r="341" spans="1:1" x14ac:dyDescent="0.25">
      <c r="A341" s="30">
        <v>8.9895847803076335E-9</v>
      </c>
    </row>
    <row r="342" spans="1:1" x14ac:dyDescent="0.25">
      <c r="A342" s="30">
        <v>8.0906263022768703E-9</v>
      </c>
    </row>
    <row r="343" spans="1:1" x14ac:dyDescent="0.25">
      <c r="A343" s="30">
        <v>7.2815636720491835E-9</v>
      </c>
    </row>
    <row r="344" spans="1:1" x14ac:dyDescent="0.25">
      <c r="A344" s="30">
        <v>6.553407304844265E-9</v>
      </c>
    </row>
    <row r="345" spans="1:1" x14ac:dyDescent="0.25">
      <c r="A345" s="30">
        <v>5.8980665743598385E-9</v>
      </c>
    </row>
    <row r="346" spans="1:1" x14ac:dyDescent="0.25">
      <c r="A346" s="30">
        <v>5.3082599169238552E-9</v>
      </c>
    </row>
    <row r="347" spans="1:1" x14ac:dyDescent="0.25">
      <c r="A347" s="30">
        <v>4.7774339252314701E-9</v>
      </c>
    </row>
    <row r="348" spans="1:1" x14ac:dyDescent="0.25">
      <c r="A348" s="30">
        <v>4.2996905327083231E-9</v>
      </c>
    </row>
    <row r="349" spans="1:1" x14ac:dyDescent="0.25">
      <c r="A349" s="30">
        <v>3.8697214794374908E-9</v>
      </c>
    </row>
    <row r="350" spans="1:1" x14ac:dyDescent="0.25">
      <c r="A350" s="30">
        <v>3.4827493314937417E-9</v>
      </c>
    </row>
    <row r="351" spans="1:1" x14ac:dyDescent="0.25">
      <c r="A351" s="30">
        <v>3.1344743983443674E-9</v>
      </c>
    </row>
    <row r="352" spans="1:1" x14ac:dyDescent="0.25">
      <c r="A352" s="30">
        <v>2.8210269585099307E-9</v>
      </c>
    </row>
    <row r="353" spans="1:1" x14ac:dyDescent="0.25">
      <c r="A353" s="30">
        <v>2.5389242626589379E-9</v>
      </c>
    </row>
    <row r="354" spans="1:1" x14ac:dyDescent="0.25">
      <c r="A354" s="30">
        <v>2.285031836393044E-9</v>
      </c>
    </row>
    <row r="355" spans="1:1" x14ac:dyDescent="0.25">
      <c r="A355" s="30">
        <v>2.0565286527537398E-9</v>
      </c>
    </row>
    <row r="356" spans="1:1" x14ac:dyDescent="0.25">
      <c r="A356" s="30">
        <v>1.8508757874783659E-9</v>
      </c>
    </row>
    <row r="357" spans="1:1" x14ac:dyDescent="0.25">
      <c r="A357" s="30">
        <v>1.6657882087305294E-9</v>
      </c>
    </row>
    <row r="358" spans="1:1" x14ac:dyDescent="0.25">
      <c r="A358" s="30">
        <v>1.4992093878574765E-9</v>
      </c>
    </row>
    <row r="359" spans="1:1" x14ac:dyDescent="0.25">
      <c r="A359" s="30">
        <v>1.3492884490717289E-9</v>
      </c>
    </row>
    <row r="360" spans="1:1" x14ac:dyDescent="0.25">
      <c r="A360" s="30">
        <v>1.214359604164556E-9</v>
      </c>
    </row>
    <row r="361" spans="1:1" x14ac:dyDescent="0.25">
      <c r="A361" s="30">
        <v>1.0929236437481004E-9</v>
      </c>
    </row>
    <row r="362" spans="1:1" x14ac:dyDescent="0.25">
      <c r="A362" s="30">
        <v>9.8363127937329029E-10</v>
      </c>
    </row>
    <row r="363" spans="1:1" x14ac:dyDescent="0.25">
      <c r="A363" s="30">
        <v>8.8526815143596126E-10</v>
      </c>
    </row>
    <row r="364" spans="1:1" x14ac:dyDescent="0.25">
      <c r="A364" s="30">
        <v>7.967413362923651E-10</v>
      </c>
    </row>
    <row r="365" spans="1:1" x14ac:dyDescent="0.25">
      <c r="A365" s="30">
        <v>7.1706720266312858E-10</v>
      </c>
    </row>
    <row r="366" spans="1:1" x14ac:dyDescent="0.25">
      <c r="A366" s="30">
        <v>6.4536048239681569E-10</v>
      </c>
    </row>
    <row r="367" spans="1:1" x14ac:dyDescent="0.25">
      <c r="A367" s="30">
        <v>5.8082443415713415E-10</v>
      </c>
    </row>
    <row r="368" spans="1:1" x14ac:dyDescent="0.25">
      <c r="A368" s="30">
        <v>5.2274199074142077E-10</v>
      </c>
    </row>
    <row r="369" spans="1:1" x14ac:dyDescent="0.25">
      <c r="A369" s="30">
        <v>4.7046779166727869E-10</v>
      </c>
    </row>
    <row r="370" spans="1:1" x14ac:dyDescent="0.25">
      <c r="A370" s="30">
        <v>4.2342101250055083E-10</v>
      </c>
    </row>
    <row r="371" spans="1:1" x14ac:dyDescent="0.25">
      <c r="A371" s="30">
        <v>3.8107891125049577E-10</v>
      </c>
    </row>
    <row r="372" spans="1:1" x14ac:dyDescent="0.25">
      <c r="A372" s="30">
        <v>3.4297102012544618E-10</v>
      </c>
    </row>
    <row r="373" spans="1:1" x14ac:dyDescent="0.25">
      <c r="A373" s="30">
        <v>3.0867391811290155E-10</v>
      </c>
    </row>
    <row r="374" spans="1:1" x14ac:dyDescent="0.25">
      <c r="A374" s="30">
        <v>2.7780652630161142E-10</v>
      </c>
    </row>
    <row r="375" spans="1:1" x14ac:dyDescent="0.25">
      <c r="A375" s="30">
        <v>2.5002587367145027E-10</v>
      </c>
    </row>
    <row r="376" spans="1:1" x14ac:dyDescent="0.25">
      <c r="A376" s="30">
        <v>2.2502328630430526E-10</v>
      </c>
    </row>
    <row r="377" spans="1:1" x14ac:dyDescent="0.25">
      <c r="A377" s="30">
        <v>2.0252095767387472E-10</v>
      </c>
    </row>
    <row r="378" spans="1:1" x14ac:dyDescent="0.25">
      <c r="A378" s="30">
        <v>1.8226886190648727E-10</v>
      </c>
    </row>
    <row r="379" spans="1:1" x14ac:dyDescent="0.25">
      <c r="A379" s="30">
        <v>1.6404197571583855E-10</v>
      </c>
    </row>
    <row r="380" spans="1:1" x14ac:dyDescent="0.25">
      <c r="A380" s="30">
        <v>1.4763777814425471E-10</v>
      </c>
    </row>
    <row r="381" spans="1:1" x14ac:dyDescent="0.25">
      <c r="A381" s="30">
        <v>1.3287400032982923E-10</v>
      </c>
    </row>
    <row r="382" spans="1:1" x14ac:dyDescent="0.25">
      <c r="A382" s="30">
        <v>1.1958660029684632E-10</v>
      </c>
    </row>
    <row r="383" spans="1:1" x14ac:dyDescent="0.25">
      <c r="A383" s="30">
        <v>1.0762794026716169E-10</v>
      </c>
    </row>
    <row r="384" spans="1:1" x14ac:dyDescent="0.25">
      <c r="A384" s="30">
        <v>9.686514624044552E-11</v>
      </c>
    </row>
    <row r="385" spans="1:1" x14ac:dyDescent="0.25">
      <c r="A385" s="30">
        <v>8.7178631616400964E-11</v>
      </c>
    </row>
    <row r="386" spans="1:1" x14ac:dyDescent="0.25">
      <c r="A386" s="30">
        <v>7.8460768454760866E-11</v>
      </c>
    </row>
    <row r="387" spans="1:1" x14ac:dyDescent="0.25">
      <c r="A387" s="30">
        <v>7.0614691609284776E-11</v>
      </c>
    </row>
    <row r="388" spans="1:1" x14ac:dyDescent="0.25">
      <c r="A388" s="30">
        <v>6.3553222448356295E-11</v>
      </c>
    </row>
    <row r="389" spans="1:1" x14ac:dyDescent="0.25">
      <c r="A389" s="30">
        <v>5.7197900203520665E-11</v>
      </c>
    </row>
    <row r="390" spans="1:1" x14ac:dyDescent="0.25">
      <c r="A390" s="30">
        <v>5.1478110183168601E-11</v>
      </c>
    </row>
    <row r="391" spans="1:1" x14ac:dyDescent="0.25">
      <c r="A391" s="30">
        <v>4.633029916485174E-11</v>
      </c>
    </row>
    <row r="392" spans="1:1" x14ac:dyDescent="0.25">
      <c r="A392" s="30">
        <v>4.1697269248366565E-11</v>
      </c>
    </row>
    <row r="393" spans="1:1" x14ac:dyDescent="0.25">
      <c r="A393" s="30">
        <v>3.7527542323529907E-11</v>
      </c>
    </row>
    <row r="394" spans="1:1" x14ac:dyDescent="0.25">
      <c r="A394" s="30">
        <v>3.3774788091176915E-11</v>
      </c>
    </row>
    <row r="395" spans="1:1" x14ac:dyDescent="0.25">
      <c r="A395" s="30">
        <v>3.0397309282059222E-11</v>
      </c>
    </row>
    <row r="396" spans="1:1" x14ac:dyDescent="0.25">
      <c r="A396" s="30">
        <v>2.7357578353853301E-11</v>
      </c>
    </row>
    <row r="397" spans="1:1" x14ac:dyDescent="0.25">
      <c r="A397" s="30">
        <v>2.4621820518467972E-11</v>
      </c>
    </row>
    <row r="398" spans="1:1" x14ac:dyDescent="0.25">
      <c r="A398" s="30">
        <v>2.2159638466621177E-11</v>
      </c>
    </row>
    <row r="399" spans="1:1" x14ac:dyDescent="0.25">
      <c r="A399" s="30">
        <v>1.994367461995906E-11</v>
      </c>
    </row>
    <row r="400" spans="1:1" x14ac:dyDescent="0.25">
      <c r="A400" s="30">
        <v>1.7949307157963154E-11</v>
      </c>
    </row>
    <row r="401" spans="1:1" x14ac:dyDescent="0.25">
      <c r="A401" s="30">
        <v>1.615437644216684E-11</v>
      </c>
    </row>
    <row r="402" spans="1:1" x14ac:dyDescent="0.25">
      <c r="A402" s="30">
        <v>1.4538938797950156E-11</v>
      </c>
    </row>
    <row r="403" spans="1:1" x14ac:dyDescent="0.25">
      <c r="A403" s="30">
        <v>1.308504491815514E-11</v>
      </c>
    </row>
    <row r="404" spans="1:1" x14ac:dyDescent="0.25">
      <c r="A404" s="30">
        <v>1.1776540426339626E-11</v>
      </c>
    </row>
    <row r="405" spans="1:1" x14ac:dyDescent="0.25">
      <c r="A405" s="30">
        <v>1.0598886383705664E-11</v>
      </c>
    </row>
    <row r="406" spans="1:1" x14ac:dyDescent="0.25">
      <c r="A406" s="30">
        <v>9.5389977453350987E-12</v>
      </c>
    </row>
    <row r="407" spans="1:1" x14ac:dyDescent="0.25">
      <c r="A407" s="30">
        <v>8.5850979708015893E-12</v>
      </c>
    </row>
    <row r="408" spans="1:1" x14ac:dyDescent="0.25">
      <c r="A408" s="30">
        <v>7.7265881737214303E-12</v>
      </c>
    </row>
    <row r="409" spans="1:1" x14ac:dyDescent="0.25">
      <c r="A409" s="30">
        <v>6.9539293563492874E-12</v>
      </c>
    </row>
    <row r="410" spans="1:1" x14ac:dyDescent="0.25">
      <c r="A410" s="30">
        <v>6.2585364207143591E-12</v>
      </c>
    </row>
    <row r="411" spans="1:1" x14ac:dyDescent="0.25">
      <c r="A411" s="30">
        <v>5.632682778642923E-12</v>
      </c>
    </row>
    <row r="412" spans="1:1" x14ac:dyDescent="0.25">
      <c r="A412" s="30">
        <v>5.0694145007786311E-12</v>
      </c>
    </row>
    <row r="413" spans="1:1" x14ac:dyDescent="0.25">
      <c r="A413" s="30">
        <v>4.5624730507007684E-12</v>
      </c>
    </row>
    <row r="414" spans="1:1" x14ac:dyDescent="0.25">
      <c r="A414" s="30">
        <v>4.1062257456306914E-12</v>
      </c>
    </row>
    <row r="415" spans="1:1" x14ac:dyDescent="0.25">
      <c r="A415" s="30">
        <v>3.6956031710676221E-12</v>
      </c>
    </row>
    <row r="416" spans="1:1" x14ac:dyDescent="0.25">
      <c r="A416" s="30">
        <v>3.3260428539608601E-12</v>
      </c>
    </row>
    <row r="417" spans="1:1" x14ac:dyDescent="0.25">
      <c r="A417" s="30">
        <v>2.9934385685647741E-12</v>
      </c>
    </row>
    <row r="418" spans="1:1" x14ac:dyDescent="0.25">
      <c r="A418" s="30">
        <v>2.6940947117082966E-12</v>
      </c>
    </row>
    <row r="419" spans="1:1" x14ac:dyDescent="0.25">
      <c r="A419" s="30">
        <v>2.4246852405374669E-12</v>
      </c>
    </row>
    <row r="420" spans="1:1" x14ac:dyDescent="0.25">
      <c r="A420" s="30">
        <v>2.1822167164837201E-12</v>
      </c>
    </row>
    <row r="421" spans="1:1" x14ac:dyDescent="0.25">
      <c r="A421" s="30">
        <v>1.9639950448353481E-12</v>
      </c>
    </row>
    <row r="422" spans="1:1" x14ac:dyDescent="0.25">
      <c r="A422" s="30">
        <v>1.7675955403518133E-12</v>
      </c>
    </row>
    <row r="423" spans="1:1" x14ac:dyDescent="0.25">
      <c r="A423" s="30">
        <v>1.5908359863166319E-12</v>
      </c>
    </row>
    <row r="424" spans="1:1" x14ac:dyDescent="0.25">
      <c r="A424" s="30">
        <v>1.4317523876849688E-12</v>
      </c>
    </row>
    <row r="425" spans="1:1" x14ac:dyDescent="0.25">
      <c r="A425" s="30">
        <v>1.2885771489164719E-12</v>
      </c>
    </row>
    <row r="426" spans="1:1" x14ac:dyDescent="0.25">
      <c r="A426" s="30">
        <v>1.1597194340248247E-12</v>
      </c>
    </row>
    <row r="427" spans="1:1" x14ac:dyDescent="0.25">
      <c r="A427" s="30">
        <v>1.0437474906223423E-12</v>
      </c>
    </row>
    <row r="428" spans="1:1" x14ac:dyDescent="0.25">
      <c r="A428" s="30">
        <v>9.3937274156010802E-13</v>
      </c>
    </row>
    <row r="429" spans="1:1" x14ac:dyDescent="0.25">
      <c r="A429" s="30">
        <v>8.4543546740409726E-13</v>
      </c>
    </row>
    <row r="430" spans="1:1" x14ac:dyDescent="0.25">
      <c r="A430" s="30">
        <v>7.608919206636876E-13</v>
      </c>
    </row>
    <row r="431" spans="1:1" x14ac:dyDescent="0.25">
      <c r="A431" s="30">
        <v>6.8480272859731885E-13</v>
      </c>
    </row>
    <row r="432" spans="1:1" x14ac:dyDescent="0.25">
      <c r="A432" s="30">
        <v>6.16322455737587E-13</v>
      </c>
    </row>
    <row r="433" spans="1:1" x14ac:dyDescent="0.25">
      <c r="A433" s="30">
        <v>5.5469021016382834E-13</v>
      </c>
    </row>
    <row r="434" spans="1:1" x14ac:dyDescent="0.25">
      <c r="A434" s="30">
        <v>4.9922118914744555E-13</v>
      </c>
    </row>
    <row r="435" spans="1:1" x14ac:dyDescent="0.25">
      <c r="A435" s="30">
        <v>4.4929907023270098E-13</v>
      </c>
    </row>
    <row r="436" spans="1:1" x14ac:dyDescent="0.25">
      <c r="A436" s="30">
        <v>4.0436916320943091E-13</v>
      </c>
    </row>
    <row r="437" spans="1:1" x14ac:dyDescent="0.25">
      <c r="A437" s="30">
        <v>3.6393224688848781E-13</v>
      </c>
    </row>
    <row r="438" spans="1:1" x14ac:dyDescent="0.25">
      <c r="A438" s="30">
        <v>3.2753902219963903E-13</v>
      </c>
    </row>
    <row r="439" spans="1:1" x14ac:dyDescent="0.25">
      <c r="A439" s="30">
        <v>2.9478511997967513E-13</v>
      </c>
    </row>
    <row r="440" spans="1:1" x14ac:dyDescent="0.25">
      <c r="A440" s="30">
        <v>2.6530660798170763E-13</v>
      </c>
    </row>
    <row r="441" spans="1:1" x14ac:dyDescent="0.25">
      <c r="A441" s="30">
        <v>2.3877594718353686E-13</v>
      </c>
    </row>
    <row r="442" spans="1:1" x14ac:dyDescent="0.25">
      <c r="A442" s="30">
        <v>2.1489835246518316E-13</v>
      </c>
    </row>
    <row r="443" spans="1:1" x14ac:dyDescent="0.25">
      <c r="A443" s="30">
        <v>1.9340851721866486E-13</v>
      </c>
    </row>
    <row r="444" spans="1:1" x14ac:dyDescent="0.25">
      <c r="A444" s="30">
        <v>1.7406766549679839E-13</v>
      </c>
    </row>
    <row r="445" spans="1:1" x14ac:dyDescent="0.25">
      <c r="A445" s="30">
        <v>1.5666089894711856E-13</v>
      </c>
    </row>
    <row r="446" spans="1:1" x14ac:dyDescent="0.25">
      <c r="A446" s="30">
        <v>1.4099480905240672E-13</v>
      </c>
    </row>
    <row r="447" spans="1:1" x14ac:dyDescent="0.25">
      <c r="A447" s="30">
        <v>1.2689532814716606E-13</v>
      </c>
    </row>
    <row r="448" spans="1:1" x14ac:dyDescent="0.25">
      <c r="A448" s="30">
        <v>1.1420579533244944E-13</v>
      </c>
    </row>
    <row r="449" spans="1:1" x14ac:dyDescent="0.25">
      <c r="A449" s="30">
        <v>1.0278521579920451E-13</v>
      </c>
    </row>
    <row r="450" spans="1:1" x14ac:dyDescent="0.25">
      <c r="A450" s="30">
        <v>9.2506694219284062E-14</v>
      </c>
    </row>
    <row r="451" spans="1:1" x14ac:dyDescent="0.25">
      <c r="A451" s="30">
        <v>8.3256024797355662E-14</v>
      </c>
    </row>
    <row r="452" spans="1:1" x14ac:dyDescent="0.25">
      <c r="A452" s="30">
        <v>7.4930422317620103E-14</v>
      </c>
    </row>
    <row r="453" spans="1:1" x14ac:dyDescent="0.25">
      <c r="A453" s="30">
        <v>6.7437380085858099E-14</v>
      </c>
    </row>
    <row r="454" spans="1:1" x14ac:dyDescent="0.25">
      <c r="A454" s="30">
        <v>6.0693642077272288E-14</v>
      </c>
    </row>
    <row r="455" spans="1:1" x14ac:dyDescent="0.25">
      <c r="A455" s="30">
        <v>5.4624277869545061E-14</v>
      </c>
    </row>
    <row r="456" spans="1:1" x14ac:dyDescent="0.25">
      <c r="A456" s="30">
        <v>4.9161850082590553E-14</v>
      </c>
    </row>
    <row r="457" spans="1:1" x14ac:dyDescent="0.25">
      <c r="A457" s="30">
        <v>4.4245665074331497E-14</v>
      </c>
    </row>
    <row r="458" spans="1:1" x14ac:dyDescent="0.25">
      <c r="A458" s="30">
        <v>3.9821098566898348E-14</v>
      </c>
    </row>
    <row r="459" spans="1:1" x14ac:dyDescent="0.25">
      <c r="A459" s="30">
        <v>3.5838988710208514E-14</v>
      </c>
    </row>
    <row r="460" spans="1:1" x14ac:dyDescent="0.25">
      <c r="A460" s="30">
        <v>3.2255089839187663E-14</v>
      </c>
    </row>
    <row r="461" spans="1:1" x14ac:dyDescent="0.25">
      <c r="A461" s="30">
        <v>2.9029580855268898E-14</v>
      </c>
    </row>
    <row r="462" spans="1:1" x14ac:dyDescent="0.25">
      <c r="A462" s="30">
        <v>2.612662276974201E-14</v>
      </c>
    </row>
    <row r="463" spans="1:1" x14ac:dyDescent="0.25">
      <c r="A463" s="30">
        <v>2.3513960492767811E-14</v>
      </c>
    </row>
    <row r="464" spans="1:1" x14ac:dyDescent="0.25">
      <c r="A464" s="30">
        <v>2.1162564443491029E-14</v>
      </c>
    </row>
    <row r="465" spans="1:1" x14ac:dyDescent="0.25">
      <c r="A465" s="30">
        <v>1.9046307999141925E-14</v>
      </c>
    </row>
    <row r="466" spans="1:1" x14ac:dyDescent="0.25">
      <c r="A466" s="30">
        <v>1.7141677199227731E-14</v>
      </c>
    </row>
    <row r="467" spans="1:1" x14ac:dyDescent="0.25">
      <c r="A467" s="30">
        <v>1.5427509479304957E-14</v>
      </c>
    </row>
    <row r="468" spans="1:1" x14ac:dyDescent="0.25">
      <c r="A468" s="30">
        <v>1.3884758531374462E-14</v>
      </c>
    </row>
    <row r="469" spans="1:1" x14ac:dyDescent="0.25">
      <c r="A469" s="30">
        <v>1.2496282678237016E-14</v>
      </c>
    </row>
    <row r="470" spans="1:1" x14ac:dyDescent="0.25">
      <c r="A470" s="30">
        <v>1.1246654410413315E-14</v>
      </c>
    </row>
    <row r="471" spans="1:1" x14ac:dyDescent="0.25">
      <c r="A471" s="30">
        <v>1.0121988969371984E-14</v>
      </c>
    </row>
    <row r="472" spans="1:1" x14ac:dyDescent="0.25">
      <c r="A472" s="30">
        <v>9.1097900724347861E-15</v>
      </c>
    </row>
    <row r="473" spans="1:1" x14ac:dyDescent="0.25">
      <c r="A473" s="30">
        <v>8.1988110651913077E-15</v>
      </c>
    </row>
    <row r="474" spans="1:1" x14ac:dyDescent="0.25">
      <c r="A474" s="30">
        <v>7.3789299586721777E-15</v>
      </c>
    </row>
    <row r="475" spans="1:1" x14ac:dyDescent="0.25">
      <c r="A475" s="30">
        <v>6.6410369628049599E-15</v>
      </c>
    </row>
    <row r="476" spans="1:1" x14ac:dyDescent="0.25">
      <c r="A476" s="30">
        <v>5.9769332665244643E-15</v>
      </c>
    </row>
    <row r="477" spans="1:1" x14ac:dyDescent="0.25">
      <c r="A477" s="30">
        <v>5.3792399398720178E-15</v>
      </c>
    </row>
    <row r="478" spans="1:1" x14ac:dyDescent="0.25">
      <c r="A478" s="30">
        <v>4.8413159458848159E-15</v>
      </c>
    </row>
    <row r="479" spans="1:1" x14ac:dyDescent="0.25">
      <c r="A479" s="30">
        <v>4.3571843512963347E-15</v>
      </c>
    </row>
    <row r="480" spans="1:1" x14ac:dyDescent="0.25">
      <c r="A480" s="30">
        <v>3.921465916166701E-15</v>
      </c>
    </row>
    <row r="481" spans="1:1" x14ac:dyDescent="0.25">
      <c r="A481" s="30">
        <v>3.529319324550031E-15</v>
      </c>
    </row>
    <row r="482" spans="1:1" x14ac:dyDescent="0.25">
      <c r="A482" s="30">
        <v>3.176387392095028E-15</v>
      </c>
    </row>
    <row r="483" spans="1:1" x14ac:dyDescent="0.25">
      <c r="A483" s="30">
        <v>2.8587486528855254E-15</v>
      </c>
    </row>
    <row r="484" spans="1:1" x14ac:dyDescent="0.25">
      <c r="A484" s="30">
        <v>2.5728737875969727E-15</v>
      </c>
    </row>
    <row r="485" spans="1:1" x14ac:dyDescent="0.25">
      <c r="A485" s="30">
        <v>2.3155864088372755E-15</v>
      </c>
    </row>
    <row r="486" spans="1:1" x14ac:dyDescent="0.25">
      <c r="A486" s="30">
        <v>2.0840277679535482E-15</v>
      </c>
    </row>
    <row r="487" spans="1:1" x14ac:dyDescent="0.25">
      <c r="A487" s="30">
        <v>1.8756249911581935E-15</v>
      </c>
    </row>
    <row r="488" spans="1:1" x14ac:dyDescent="0.25">
      <c r="A488" s="30">
        <v>1.6880624920423743E-15</v>
      </c>
    </row>
    <row r="489" spans="1:1" x14ac:dyDescent="0.25">
      <c r="A489" s="30">
        <v>1.519256242838137E-15</v>
      </c>
    </row>
    <row r="490" spans="1:1" x14ac:dyDescent="0.25">
      <c r="A490" s="30">
        <v>1.3673306185543234E-15</v>
      </c>
    </row>
    <row r="491" spans="1:1" x14ac:dyDescent="0.25">
      <c r="A491" s="30">
        <v>1.230597556698891E-15</v>
      </c>
    </row>
    <row r="492" spans="1:1" x14ac:dyDescent="0.25">
      <c r="A492" s="30">
        <v>1.1075378010290018E-15</v>
      </c>
    </row>
    <row r="493" spans="1:1" x14ac:dyDescent="0.25">
      <c r="A493" s="30">
        <v>9.9678402092610166E-16</v>
      </c>
    </row>
    <row r="494" spans="1:1" x14ac:dyDescent="0.25">
      <c r="A494" s="30">
        <v>8.9710561883349156E-16</v>
      </c>
    </row>
    <row r="495" spans="1:1" x14ac:dyDescent="0.25">
      <c r="A495" s="30">
        <v>8.0739505695014242E-16</v>
      </c>
    </row>
    <row r="496" spans="1:1" x14ac:dyDescent="0.25">
      <c r="A496" s="30">
        <v>7.2665555125512816E-16</v>
      </c>
    </row>
    <row r="497" spans="1:1" x14ac:dyDescent="0.25">
      <c r="A497" s="30">
        <v>6.5398999612961539E-16</v>
      </c>
    </row>
    <row r="498" spans="1:1" x14ac:dyDescent="0.25">
      <c r="A498" s="30">
        <v>5.885909965166539E-16</v>
      </c>
    </row>
    <row r="499" spans="1:1" x14ac:dyDescent="0.25">
      <c r="A499" s="30">
        <v>5.2973189686498855E-16</v>
      </c>
    </row>
    <row r="500" spans="1:1" x14ac:dyDescent="0.25">
      <c r="A500" s="30">
        <v>4.767587071784897E-16</v>
      </c>
    </row>
    <row r="501" spans="1:1" x14ac:dyDescent="0.25">
      <c r="A501" s="30">
        <v>4.2908283646064075E-16</v>
      </c>
    </row>
    <row r="502" spans="1:1" x14ac:dyDescent="0.25">
      <c r="A502" s="30">
        <v>3.8617455281457667E-16</v>
      </c>
    </row>
    <row r="503" spans="1:1" x14ac:dyDescent="0.25">
      <c r="A503" s="30">
        <v>3.47557097533119E-16</v>
      </c>
    </row>
    <row r="504" spans="1:1" x14ac:dyDescent="0.25">
      <c r="A504" s="30">
        <v>3.1280138777980711E-16</v>
      </c>
    </row>
    <row r="505" spans="1:1" x14ac:dyDescent="0.25">
      <c r="A505" s="30">
        <v>2.815212490018264E-16</v>
      </c>
    </row>
    <row r="506" spans="1:1" x14ac:dyDescent="0.25">
      <c r="A506" s="30">
        <v>2.5336912410164374E-16</v>
      </c>
    </row>
    <row r="507" spans="1:1" x14ac:dyDescent="0.25">
      <c r="A507" s="30">
        <v>2.2803221169147938E-16</v>
      </c>
    </row>
    <row r="508" spans="1:1" x14ac:dyDescent="0.25">
      <c r="A508" s="30">
        <v>2.0522899052233145E-16</v>
      </c>
    </row>
    <row r="509" spans="1:1" x14ac:dyDescent="0.25">
      <c r="A509" s="30">
        <v>1.8470609147009832E-16</v>
      </c>
    </row>
    <row r="510" spans="1:1" x14ac:dyDescent="0.25">
      <c r="A510" s="30">
        <v>1.6623548232308849E-16</v>
      </c>
    </row>
    <row r="511" spans="1:1" x14ac:dyDescent="0.25">
      <c r="A511" s="30">
        <v>1.4961193409077965E-16</v>
      </c>
    </row>
    <row r="512" spans="1:1" x14ac:dyDescent="0.25">
      <c r="A512" s="30">
        <v>1.3465074068170169E-16</v>
      </c>
    </row>
    <row r="513" spans="1:1" x14ac:dyDescent="0.25">
      <c r="A513" s="30">
        <v>1.2118566661353153E-16</v>
      </c>
    </row>
    <row r="514" spans="1:1" x14ac:dyDescent="0.25">
      <c r="A514" s="30">
        <v>1.0906709995217838E-16</v>
      </c>
    </row>
    <row r="515" spans="1:1" x14ac:dyDescent="0.25">
      <c r="A515" s="30">
        <v>9.8160389956960543E-17</v>
      </c>
    </row>
    <row r="516" spans="1:1" x14ac:dyDescent="0.25">
      <c r="A516" s="30">
        <v>8.8344350961264486E-17</v>
      </c>
    </row>
    <row r="517" spans="1:1" x14ac:dyDescent="0.25">
      <c r="A517" s="30">
        <v>7.9509915865138035E-17</v>
      </c>
    </row>
    <row r="518" spans="1:1" x14ac:dyDescent="0.25">
      <c r="A518" s="30">
        <v>7.1558924278624229E-17</v>
      </c>
    </row>
    <row r="519" spans="1:1" x14ac:dyDescent="0.25">
      <c r="A519" s="30">
        <v>6.440303185076181E-17</v>
      </c>
    </row>
    <row r="520" spans="1:1" x14ac:dyDescent="0.25">
      <c r="A520" s="30">
        <v>5.7962728665685633E-17</v>
      </c>
    </row>
    <row r="521" spans="1:1" x14ac:dyDescent="0.25">
      <c r="A521" s="30">
        <v>5.2166455799117073E-17</v>
      </c>
    </row>
    <row r="522" spans="1:1" x14ac:dyDescent="0.25">
      <c r="A522" s="30">
        <v>4.6949810219205366E-17</v>
      </c>
    </row>
    <row r="523" spans="1:1" x14ac:dyDescent="0.25">
      <c r="A523" s="30">
        <v>4.2254829197284832E-17</v>
      </c>
    </row>
    <row r="524" spans="1:1" x14ac:dyDescent="0.25">
      <c r="A524" s="30">
        <v>3.8029346277556347E-17</v>
      </c>
    </row>
    <row r="525" spans="1:1" x14ac:dyDescent="0.25">
      <c r="A525" s="30">
        <v>3.4226411649800712E-17</v>
      </c>
    </row>
    <row r="526" spans="1:1" x14ac:dyDescent="0.25">
      <c r="A526" s="30">
        <v>3.0803770484820639E-17</v>
      </c>
    </row>
  </sheetData>
  <conditionalFormatting sqref="C136">
    <cfRule type="cellIs" dxfId="31" priority="1478" operator="equal">
      <formula>$U$1</formula>
    </cfRule>
    <cfRule type="cellIs" dxfId="30" priority="1479" operator="equal">
      <formula>$S$1</formula>
    </cfRule>
  </conditionalFormatting>
  <conditionalFormatting sqref="D136">
    <cfRule type="cellIs" dxfId="29" priority="1476" operator="equal">
      <formula>$S$1</formula>
    </cfRule>
    <cfRule type="cellIs" dxfId="28" priority="1477" operator="equal">
      <formula>$U$1</formula>
    </cfRule>
  </conditionalFormatting>
  <conditionalFormatting sqref="C102">
    <cfRule type="cellIs" dxfId="27" priority="1474" operator="equal">
      <formula>$U$1</formula>
    </cfRule>
    <cfRule type="cellIs" dxfId="26" priority="1475" operator="equal">
      <formula>$S$1</formula>
    </cfRule>
  </conditionalFormatting>
  <conditionalFormatting sqref="D102">
    <cfRule type="cellIs" dxfId="25" priority="1472" operator="equal">
      <formula>$S$1</formula>
    </cfRule>
    <cfRule type="cellIs" dxfId="24" priority="1473" operator="equal">
      <formula>$U$1</formula>
    </cfRule>
  </conditionalFormatting>
  <conditionalFormatting sqref="C77">
    <cfRule type="cellIs" dxfId="23" priority="1470" operator="equal">
      <formula>$U$1</formula>
    </cfRule>
    <cfRule type="cellIs" dxfId="22" priority="1471" operator="equal">
      <formula>$S$1</formula>
    </cfRule>
  </conditionalFormatting>
  <conditionalFormatting sqref="D77">
    <cfRule type="cellIs" dxfId="21" priority="1468" operator="equal">
      <formula>$S$1</formula>
    </cfRule>
    <cfRule type="cellIs" dxfId="20" priority="1469" operator="equal">
      <formula>$U$1</formula>
    </cfRule>
  </conditionalFormatting>
  <conditionalFormatting sqref="C52">
    <cfRule type="cellIs" dxfId="19" priority="1466" operator="equal">
      <formula>$U$1</formula>
    </cfRule>
    <cfRule type="cellIs" dxfId="18" priority="1467" operator="equal">
      <formula>$S$1</formula>
    </cfRule>
  </conditionalFormatting>
  <conditionalFormatting sqref="D52">
    <cfRule type="cellIs" dxfId="17" priority="1464" operator="equal">
      <formula>$S$1</formula>
    </cfRule>
    <cfRule type="cellIs" dxfId="16" priority="1465" operator="equal">
      <formula>$U$1</formula>
    </cfRule>
  </conditionalFormatting>
  <conditionalFormatting sqref="C26">
    <cfRule type="cellIs" dxfId="15" priority="1462" operator="equal">
      <formula>$U$1</formula>
    </cfRule>
    <cfRule type="cellIs" dxfId="14" priority="1463" operator="equal">
      <formula>$S$1</formula>
    </cfRule>
  </conditionalFormatting>
  <conditionalFormatting sqref="D26">
    <cfRule type="cellIs" dxfId="13" priority="1460" operator="equal">
      <formula>$S$1</formula>
    </cfRule>
    <cfRule type="cellIs" dxfId="12" priority="1461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6" t="s">
        <v>17</v>
      </c>
      <c r="C1" s="36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5.0986213091898068E-2</v>
      </c>
      <c r="F3" s="30">
        <v>7.5329858090814217E-2</v>
      </c>
      <c r="G3" s="30">
        <v>0.11686133436193799</v>
      </c>
      <c r="H3" s="25">
        <f>IF(G3="","",(3*(G3-F3))+E3)</f>
        <v>0.1755806419052694</v>
      </c>
      <c r="I3" s="7"/>
      <c r="J3" s="7">
        <f>(E3+G3)/2</f>
        <v>8.3923773726918033E-2</v>
      </c>
      <c r="K3" s="7">
        <f>H3/2</f>
        <v>8.7790320952634698E-2</v>
      </c>
      <c r="M3" s="26">
        <f>IF(OR(J3="",H3=""),"",H3/J3)</f>
        <v>2.0921442650636313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2022-01-28T01:23:40Z</dcterms:modified>
</cp:coreProperties>
</file>