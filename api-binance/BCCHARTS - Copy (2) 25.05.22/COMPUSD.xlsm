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5C7B24B-A7ED-4D59-85FD-D21FA0200D9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8" i="4"/>
  <c r="C116" i="5"/>
  <c r="C116" i="4"/>
  <c r="R765" i="1"/>
  <c r="D136" i="5"/>
  <c r="C136" i="5"/>
  <c r="C122" i="3"/>
  <c r="C133" i="3" s="1"/>
  <c r="C136" i="3" s="1"/>
  <c r="C116" i="3"/>
  <c r="D136" i="4" l="1"/>
  <c r="C138" i="4" s="1"/>
  <c r="C138" i="5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S677" i="1" l="1"/>
  <c r="T677" i="1" s="1"/>
  <c r="R676" i="1"/>
  <c r="S676" i="1" l="1"/>
  <c r="T676" i="1" s="1"/>
  <c r="R675" i="1"/>
  <c r="R674" i="1" l="1"/>
  <c r="S675" i="1"/>
  <c r="T675" i="1" s="1"/>
  <c r="S674" i="1" l="1"/>
  <c r="T674" i="1" s="1"/>
  <c r="R673" i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S608" i="1" l="1"/>
  <c r="T608" i="1" s="1"/>
  <c r="R607" i="1"/>
  <c r="R606" i="1" l="1"/>
  <c r="S607" i="1"/>
  <c r="T607" i="1" s="1"/>
  <c r="S606" i="1" l="1"/>
  <c r="T606" i="1" s="1"/>
  <c r="R605" i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<sst xmlns="http://schemas.openxmlformats.org/spreadsheetml/2006/main" count="5860" uniqueCount="34">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</sst>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120.9</c:v>
                </c:pt>
                <c:pt idx="1">
                  <c:v>125.4</c:v>
                </c:pt>
                <c:pt idx="2">
                  <c:v>126.6</c:v>
                </c:pt>
                <c:pt idx="3">
                  <c:v>124.5</c:v>
                </c:pt>
                <c:pt idx="4">
                  <c:v>128.4</c:v>
                </c:pt>
                <c:pt idx="5">
                  <c:v>123</c:v>
                </c:pt>
                <c:pt idx="6">
                  <c:v>139</c:v>
                </c:pt>
                <c:pt idx="7">
                  <c:v>161.19999999999999</c:v>
                </c:pt>
                <c:pt idx="8">
                  <c:v>168.1</c:v>
                </c:pt>
                <c:pt idx="9">
                  <c:v>180.3</c:v>
                </c:pt>
                <c:pt idx="10">
                  <c:v>181.5</c:v>
                </c:pt>
                <c:pt idx="11">
                  <c:v>191.2</c:v>
                </c:pt>
                <c:pt idx="12">
                  <c:v>190.4</c:v>
                </c:pt>
                <c:pt idx="13">
                  <c:v>190.3</c:v>
                </c:pt>
                <c:pt idx="14">
                  <c:v>186.7</c:v>
                </c:pt>
                <c:pt idx="15">
                  <c:v>196.8</c:v>
                </c:pt>
                <c:pt idx="16">
                  <c:v>189.9</c:v>
                </c:pt>
                <c:pt idx="17">
                  <c:v>183.3</c:v>
                </c:pt>
                <c:pt idx="18">
                  <c:v>194</c:v>
                </c:pt>
                <c:pt idx="19">
                  <c:v>188.1</c:v>
                </c:pt>
                <c:pt idx="20">
                  <c:v>194.6</c:v>
                </c:pt>
                <c:pt idx="21">
                  <c:v>204</c:v>
                </c:pt>
                <c:pt idx="22">
                  <c:v>204.3</c:v>
                </c:pt>
                <c:pt idx="23">
                  <c:v>222.7</c:v>
                </c:pt>
                <c:pt idx="24">
                  <c:v>220.6</c:v>
                </c:pt>
                <c:pt idx="25">
                  <c:v>210.4</c:v>
                </c:pt>
                <c:pt idx="26">
                  <c:v>210.4</c:v>
                </c:pt>
                <c:pt idx="27">
                  <c:v>199.7</c:v>
                </c:pt>
                <c:pt idx="28">
                  <c:v>199.5</c:v>
                </c:pt>
                <c:pt idx="29">
                  <c:v>198.3</c:v>
                </c:pt>
                <c:pt idx="30">
                  <c:v>209</c:v>
                </c:pt>
                <c:pt idx="31">
                  <c:v>236.1</c:v>
                </c:pt>
                <c:pt idx="32">
                  <c:v>234.8</c:v>
                </c:pt>
                <c:pt idx="33">
                  <c:v>228.1</c:v>
                </c:pt>
                <c:pt idx="34">
                  <c:v>231.6</c:v>
                </c:pt>
                <c:pt idx="35">
                  <c:v>230</c:v>
                </c:pt>
                <c:pt idx="36">
                  <c:v>207</c:v>
                </c:pt>
                <c:pt idx="37">
                  <c:v>194.7</c:v>
                </c:pt>
                <c:pt idx="38">
                  <c:v>188.9</c:v>
                </c:pt>
                <c:pt idx="39">
                  <c:v>194.8</c:v>
                </c:pt>
                <c:pt idx="40">
                  <c:v>204.7</c:v>
                </c:pt>
                <c:pt idx="41">
                  <c:v>212.8</c:v>
                </c:pt>
                <c:pt idx="42">
                  <c:v>187.2</c:v>
                </c:pt>
                <c:pt idx="43">
                  <c:v>191.5</c:v>
                </c:pt>
                <c:pt idx="44">
                  <c:v>186.4</c:v>
                </c:pt>
                <c:pt idx="45">
                  <c:v>180.8</c:v>
                </c:pt>
                <c:pt idx="46">
                  <c:v>198.6</c:v>
                </c:pt>
                <c:pt idx="47">
                  <c:v>185.2</c:v>
                </c:pt>
                <c:pt idx="48">
                  <c:v>183</c:v>
                </c:pt>
                <c:pt idx="49">
                  <c:v>192.5</c:v>
                </c:pt>
                <c:pt idx="50">
                  <c:v>219.7</c:v>
                </c:pt>
                <c:pt idx="51">
                  <c:v>223.4</c:v>
                </c:pt>
                <c:pt idx="52">
                  <c:v>222.9</c:v>
                </c:pt>
                <c:pt idx="53">
                  <c:v>211.4</c:v>
                </c:pt>
                <c:pt idx="54">
                  <c:v>221</c:v>
                </c:pt>
                <c:pt idx="55">
                  <c:v>254.2</c:v>
                </c:pt>
                <c:pt idx="56">
                  <c:v>270.3</c:v>
                </c:pt>
                <c:pt idx="57">
                  <c:v>272.10000000000002</c:v>
                </c:pt>
                <c:pt idx="58">
                  <c:v>278</c:v>
                </c:pt>
                <c:pt idx="59">
                  <c:v>289.5</c:v>
                </c:pt>
                <c:pt idx="60">
                  <c:v>287.60000000000002</c:v>
                </c:pt>
                <c:pt idx="61">
                  <c:v>270.10000000000002</c:v>
                </c:pt>
                <c:pt idx="62">
                  <c:v>261.60000000000002</c:v>
                </c:pt>
                <c:pt idx="63">
                  <c:v>288.3</c:v>
                </c:pt>
                <c:pt idx="64">
                  <c:v>282.5</c:v>
                </c:pt>
                <c:pt idx="65">
                  <c:v>291.89999999999998</c:v>
                </c:pt>
                <c:pt idx="66">
                  <c:v>287.89999999999998</c:v>
                </c:pt>
                <c:pt idx="67">
                  <c:v>304.3</c:v>
                </c:pt>
                <c:pt idx="68">
                  <c:v>314.60000000000002</c:v>
                </c:pt>
                <c:pt idx="69">
                  <c:v>308.3</c:v>
                </c:pt>
                <c:pt idx="70">
                  <c:v>294.10000000000002</c:v>
                </c:pt>
                <c:pt idx="71">
                  <c:v>321.7</c:v>
                </c:pt>
                <c:pt idx="72">
                  <c:v>312.60000000000002</c:v>
                </c:pt>
                <c:pt idx="73">
                  <c:v>332.8</c:v>
                </c:pt>
                <c:pt idx="74">
                  <c:v>346.2</c:v>
                </c:pt>
                <c:pt idx="75">
                  <c:v>354.6</c:v>
                </c:pt>
                <c:pt idx="76">
                  <c:v>326.39999999999998</c:v>
                </c:pt>
                <c:pt idx="77">
                  <c:v>335</c:v>
                </c:pt>
                <c:pt idx="78">
                  <c:v>326.89999999999998</c:v>
                </c:pt>
                <c:pt idx="79">
                  <c:v>356.3</c:v>
                </c:pt>
                <c:pt idx="80">
                  <c:v>359.9</c:v>
                </c:pt>
                <c:pt idx="81">
                  <c:v>362.6</c:v>
                </c:pt>
                <c:pt idx="82">
                  <c:v>354.8</c:v>
                </c:pt>
                <c:pt idx="83">
                  <c:v>357</c:v>
                </c:pt>
                <c:pt idx="84">
                  <c:v>366</c:v>
                </c:pt>
                <c:pt idx="85">
                  <c:v>384.1</c:v>
                </c:pt>
                <c:pt idx="86">
                  <c:v>361.6</c:v>
                </c:pt>
                <c:pt idx="87">
                  <c:v>364.4</c:v>
                </c:pt>
                <c:pt idx="88">
                  <c:v>346.2</c:v>
                </c:pt>
                <c:pt idx="89">
                  <c:v>319.10000000000002</c:v>
                </c:pt>
                <c:pt idx="90">
                  <c:v>328.7</c:v>
                </c:pt>
                <c:pt idx="91">
                  <c:v>312.5</c:v>
                </c:pt>
                <c:pt idx="92">
                  <c:v>302.39999999999998</c:v>
                </c:pt>
                <c:pt idx="93">
                  <c:v>342.2</c:v>
                </c:pt>
                <c:pt idx="94">
                  <c:v>322.2</c:v>
                </c:pt>
                <c:pt idx="95">
                  <c:v>308.39999999999998</c:v>
                </c:pt>
                <c:pt idx="96">
                  <c:v>311.8</c:v>
                </c:pt>
                <c:pt idx="97">
                  <c:v>315.7</c:v>
                </c:pt>
                <c:pt idx="98">
                  <c:v>315.7</c:v>
                </c:pt>
                <c:pt idx="99">
                  <c:v>323.3</c:v>
                </c:pt>
                <c:pt idx="100">
                  <c:v>306.3</c:v>
                </c:pt>
                <c:pt idx="101">
                  <c:v>305.3</c:v>
                </c:pt>
                <c:pt idx="102">
                  <c:v>310.7</c:v>
                </c:pt>
                <c:pt idx="103">
                  <c:v>317</c:v>
                </c:pt>
                <c:pt idx="104">
                  <c:v>316.8</c:v>
                </c:pt>
                <c:pt idx="105">
                  <c:v>315.3</c:v>
                </c:pt>
                <c:pt idx="106">
                  <c:v>304.10000000000002</c:v>
                </c:pt>
                <c:pt idx="107">
                  <c:v>306.39999999999998</c:v>
                </c:pt>
                <c:pt idx="108">
                  <c:v>302.7</c:v>
                </c:pt>
                <c:pt idx="109">
                  <c:v>303.5</c:v>
                </c:pt>
                <c:pt idx="110">
                  <c:v>330.6</c:v>
                </c:pt>
                <c:pt idx="111">
                  <c:v>313.39999999999998</c:v>
                </c:pt>
                <c:pt idx="112">
                  <c:v>316.89999999999998</c:v>
                </c:pt>
                <c:pt idx="113">
                  <c:v>305.89999999999998</c:v>
                </c:pt>
                <c:pt idx="114">
                  <c:v>309.60000000000002</c:v>
                </c:pt>
                <c:pt idx="115">
                  <c:v>313.60000000000002</c:v>
                </c:pt>
                <c:pt idx="116">
                  <c:v>326.89999999999998</c:v>
                </c:pt>
                <c:pt idx="117">
                  <c:v>337.4</c:v>
                </c:pt>
                <c:pt idx="118">
                  <c:v>326.39999999999998</c:v>
                </c:pt>
                <c:pt idx="119">
                  <c:v>317.89999999999998</c:v>
                </c:pt>
                <c:pt idx="120">
                  <c:v>307.5</c:v>
                </c:pt>
                <c:pt idx="121">
                  <c:v>319.89999999999998</c:v>
                </c:pt>
                <c:pt idx="122">
                  <c:v>338.2</c:v>
                </c:pt>
                <c:pt idx="123">
                  <c:v>355</c:v>
                </c:pt>
                <c:pt idx="124">
                  <c:v>331.2</c:v>
                </c:pt>
                <c:pt idx="125">
                  <c:v>340.8</c:v>
                </c:pt>
                <c:pt idx="126">
                  <c:v>374.1</c:v>
                </c:pt>
                <c:pt idx="127">
                  <c:v>347.4</c:v>
                </c:pt>
                <c:pt idx="128">
                  <c:v>312.5</c:v>
                </c:pt>
                <c:pt idx="129">
                  <c:v>364.8</c:v>
                </c:pt>
                <c:pt idx="130">
                  <c:v>393.1</c:v>
                </c:pt>
                <c:pt idx="131">
                  <c:v>401.5</c:v>
                </c:pt>
                <c:pt idx="132">
                  <c:v>400.2</c:v>
                </c:pt>
                <c:pt idx="133">
                  <c:v>422.2</c:v>
                </c:pt>
                <c:pt idx="134">
                  <c:v>442.5</c:v>
                </c:pt>
                <c:pt idx="135">
                  <c:v>447</c:v>
                </c:pt>
                <c:pt idx="136">
                  <c:v>385</c:v>
                </c:pt>
                <c:pt idx="137">
                  <c:v>403.7</c:v>
                </c:pt>
                <c:pt idx="138">
                  <c:v>397.3</c:v>
                </c:pt>
                <c:pt idx="139">
                  <c:v>392</c:v>
                </c:pt>
                <c:pt idx="140">
                  <c:v>411.4</c:v>
                </c:pt>
                <c:pt idx="141">
                  <c:v>409.7</c:v>
                </c:pt>
                <c:pt idx="142">
                  <c:v>413.1</c:v>
                </c:pt>
                <c:pt idx="143">
                  <c:v>509.2</c:v>
                </c:pt>
                <c:pt idx="144">
                  <c:v>510.9</c:v>
                </c:pt>
                <c:pt idx="145">
                  <c:v>471.3</c:v>
                </c:pt>
                <c:pt idx="146">
                  <c:v>466.9</c:v>
                </c:pt>
                <c:pt idx="147">
                  <c:v>462</c:v>
                </c:pt>
                <c:pt idx="148">
                  <c:v>478</c:v>
                </c:pt>
                <c:pt idx="149">
                  <c:v>442.2</c:v>
                </c:pt>
                <c:pt idx="150">
                  <c:v>419.8</c:v>
                </c:pt>
                <c:pt idx="151">
                  <c:v>418.5</c:v>
                </c:pt>
                <c:pt idx="152">
                  <c:v>413.7</c:v>
                </c:pt>
                <c:pt idx="153">
                  <c:v>421.2</c:v>
                </c:pt>
                <c:pt idx="154">
                  <c:v>405</c:v>
                </c:pt>
                <c:pt idx="155">
                  <c:v>435.49</c:v>
                </c:pt>
                <c:pt idx="156">
                  <c:v>423</c:v>
                </c:pt>
                <c:pt idx="157">
                  <c:v>465.38</c:v>
                </c:pt>
                <c:pt idx="158">
                  <c:v>467.34</c:v>
                </c:pt>
                <c:pt idx="159">
                  <c:v>462.4</c:v>
                </c:pt>
                <c:pt idx="160">
                  <c:v>479.9</c:v>
                </c:pt>
                <c:pt idx="161">
                  <c:v>457.94</c:v>
                </c:pt>
                <c:pt idx="162">
                  <c:v>435.51</c:v>
                </c:pt>
                <c:pt idx="163">
                  <c:v>447.33</c:v>
                </c:pt>
                <c:pt idx="164">
                  <c:v>469.34</c:v>
                </c:pt>
                <c:pt idx="165">
                  <c:v>488.95</c:v>
                </c:pt>
                <c:pt idx="166">
                  <c:v>477</c:v>
                </c:pt>
                <c:pt idx="167">
                  <c:v>483.69</c:v>
                </c:pt>
                <c:pt idx="168">
                  <c:v>454.01</c:v>
                </c:pt>
                <c:pt idx="169">
                  <c:v>467.7</c:v>
                </c:pt>
                <c:pt idx="170">
                  <c:v>472.58</c:v>
                </c:pt>
                <c:pt idx="171">
                  <c:v>466.99</c:v>
                </c:pt>
                <c:pt idx="172">
                  <c:v>467.09</c:v>
                </c:pt>
                <c:pt idx="173">
                  <c:v>507.89</c:v>
                </c:pt>
                <c:pt idx="174">
                  <c:v>466.65</c:v>
                </c:pt>
                <c:pt idx="175">
                  <c:v>475.65</c:v>
                </c:pt>
                <c:pt idx="176">
                  <c:v>464.42</c:v>
                </c:pt>
                <c:pt idx="177">
                  <c:v>396.65</c:v>
                </c:pt>
                <c:pt idx="178">
                  <c:v>407.26</c:v>
                </c:pt>
                <c:pt idx="179">
                  <c:v>409.03</c:v>
                </c:pt>
                <c:pt idx="180">
                  <c:v>405.81</c:v>
                </c:pt>
                <c:pt idx="181">
                  <c:v>403.98</c:v>
                </c:pt>
                <c:pt idx="182">
                  <c:v>396.49</c:v>
                </c:pt>
                <c:pt idx="183">
                  <c:v>388.49</c:v>
                </c:pt>
                <c:pt idx="184">
                  <c:v>392.64</c:v>
                </c:pt>
                <c:pt idx="185">
                  <c:v>392.09</c:v>
                </c:pt>
                <c:pt idx="186">
                  <c:v>409.31</c:v>
                </c:pt>
                <c:pt idx="187">
                  <c:v>409.31</c:v>
                </c:pt>
                <c:pt idx="188">
                  <c:v>417.56</c:v>
                </c:pt>
                <c:pt idx="189">
                  <c:v>414.2</c:v>
                </c:pt>
                <c:pt idx="190">
                  <c:v>376.89</c:v>
                </c:pt>
                <c:pt idx="191">
                  <c:v>349.56</c:v>
                </c:pt>
                <c:pt idx="192">
                  <c:v>340.04</c:v>
                </c:pt>
                <c:pt idx="193">
                  <c:v>379.37</c:v>
                </c:pt>
                <c:pt idx="194">
                  <c:v>379.1</c:v>
                </c:pt>
                <c:pt idx="195">
                  <c:v>368.09</c:v>
                </c:pt>
                <c:pt idx="196">
                  <c:v>398.79</c:v>
                </c:pt>
                <c:pt idx="197">
                  <c:v>410.51</c:v>
                </c:pt>
                <c:pt idx="198">
                  <c:v>387.31</c:v>
                </c:pt>
                <c:pt idx="199">
                  <c:v>412.34</c:v>
                </c:pt>
                <c:pt idx="200">
                  <c:v>436.65</c:v>
                </c:pt>
                <c:pt idx="201">
                  <c:v>423.35</c:v>
                </c:pt>
                <c:pt idx="202">
                  <c:v>434.18</c:v>
                </c:pt>
                <c:pt idx="203">
                  <c:v>414.83</c:v>
                </c:pt>
                <c:pt idx="204">
                  <c:v>441.47</c:v>
                </c:pt>
                <c:pt idx="205">
                  <c:v>481.55</c:v>
                </c:pt>
                <c:pt idx="206">
                  <c:v>492.32</c:v>
                </c:pt>
                <c:pt idx="207">
                  <c:v>443.98</c:v>
                </c:pt>
                <c:pt idx="208">
                  <c:v>380.61</c:v>
                </c:pt>
                <c:pt idx="209">
                  <c:v>368.5</c:v>
                </c:pt>
                <c:pt idx="210">
                  <c:v>332</c:v>
                </c:pt>
                <c:pt idx="211">
                  <c:v>338.19</c:v>
                </c:pt>
                <c:pt idx="212">
                  <c:v>310.87</c:v>
                </c:pt>
                <c:pt idx="213">
                  <c:v>311.92</c:v>
                </c:pt>
                <c:pt idx="214">
                  <c:v>257.39</c:v>
                </c:pt>
                <c:pt idx="215">
                  <c:v>225.47</c:v>
                </c:pt>
                <c:pt idx="216">
                  <c:v>222.07</c:v>
                </c:pt>
                <c:pt idx="217">
                  <c:v>256.49</c:v>
                </c:pt>
                <c:pt idx="218">
                  <c:v>241.97</c:v>
                </c:pt>
                <c:pt idx="219">
                  <c:v>235.05</c:v>
                </c:pt>
                <c:pt idx="220">
                  <c:v>222.11</c:v>
                </c:pt>
                <c:pt idx="221">
                  <c:v>293.66000000000003</c:v>
                </c:pt>
                <c:pt idx="222">
                  <c:v>272.79000000000002</c:v>
                </c:pt>
                <c:pt idx="223">
                  <c:v>278.92</c:v>
                </c:pt>
                <c:pt idx="224">
                  <c:v>306.58999999999997</c:v>
                </c:pt>
                <c:pt idx="225">
                  <c:v>305.87</c:v>
                </c:pt>
                <c:pt idx="226">
                  <c:v>325.70999999999998</c:v>
                </c:pt>
                <c:pt idx="227">
                  <c:v>336.49</c:v>
                </c:pt>
                <c:pt idx="228">
                  <c:v>324.14999999999998</c:v>
                </c:pt>
                <c:pt idx="229">
                  <c:v>295.83</c:v>
                </c:pt>
                <c:pt idx="230">
                  <c:v>295.06</c:v>
                </c:pt>
                <c:pt idx="231">
                  <c:v>327.82</c:v>
                </c:pt>
                <c:pt idx="232">
                  <c:v>363.88</c:v>
                </c:pt>
                <c:pt idx="233">
                  <c:v>350.34</c:v>
                </c:pt>
                <c:pt idx="234">
                  <c:v>343.2</c:v>
                </c:pt>
                <c:pt idx="235">
                  <c:v>388.28</c:v>
                </c:pt>
                <c:pt idx="236">
                  <c:v>387.34</c:v>
                </c:pt>
                <c:pt idx="237">
                  <c:v>401.7</c:v>
                </c:pt>
                <c:pt idx="238">
                  <c:v>449.62</c:v>
                </c:pt>
                <c:pt idx="239">
                  <c:v>434.95</c:v>
                </c:pt>
                <c:pt idx="240">
                  <c:v>426.79</c:v>
                </c:pt>
                <c:pt idx="241">
                  <c:v>435.51</c:v>
                </c:pt>
                <c:pt idx="242">
                  <c:v>406.25</c:v>
                </c:pt>
                <c:pt idx="243">
                  <c:v>354.02</c:v>
                </c:pt>
                <c:pt idx="244">
                  <c:v>377.59</c:v>
                </c:pt>
                <c:pt idx="245">
                  <c:v>423.14</c:v>
                </c:pt>
                <c:pt idx="246">
                  <c:v>464</c:v>
                </c:pt>
                <c:pt idx="247">
                  <c:v>427.06</c:v>
                </c:pt>
                <c:pt idx="248">
                  <c:v>427.02</c:v>
                </c:pt>
                <c:pt idx="249">
                  <c:v>339.79</c:v>
                </c:pt>
                <c:pt idx="250">
                  <c:v>384.44</c:v>
                </c:pt>
                <c:pt idx="251">
                  <c:v>448.24</c:v>
                </c:pt>
                <c:pt idx="252">
                  <c:v>547.65</c:v>
                </c:pt>
                <c:pt idx="253">
                  <c:v>472.47</c:v>
                </c:pt>
                <c:pt idx="254">
                  <c:v>665.43</c:v>
                </c:pt>
                <c:pt idx="255">
                  <c:v>695.53</c:v>
                </c:pt>
                <c:pt idx="256">
                  <c:v>684.05</c:v>
                </c:pt>
                <c:pt idx="257">
                  <c:v>689.9</c:v>
                </c:pt>
                <c:pt idx="258">
                  <c:v>774.77</c:v>
                </c:pt>
                <c:pt idx="259">
                  <c:v>767.48</c:v>
                </c:pt>
                <c:pt idx="260">
                  <c:v>736.83</c:v>
                </c:pt>
                <c:pt idx="261">
                  <c:v>854.27</c:v>
                </c:pt>
                <c:pt idx="262">
                  <c:v>780.59</c:v>
                </c:pt>
                <c:pt idx="263">
                  <c:v>770.7</c:v>
                </c:pt>
                <c:pt idx="264">
                  <c:v>782.93</c:v>
                </c:pt>
                <c:pt idx="265">
                  <c:v>714.5</c:v>
                </c:pt>
                <c:pt idx="266">
                  <c:v>740.76</c:v>
                </c:pt>
                <c:pt idx="267">
                  <c:v>787.22</c:v>
                </c:pt>
                <c:pt idx="268">
                  <c:v>740.94</c:v>
                </c:pt>
                <c:pt idx="269">
                  <c:v>832.19</c:v>
                </c:pt>
                <c:pt idx="270">
                  <c:v>804.74</c:v>
                </c:pt>
                <c:pt idx="271">
                  <c:v>803.13</c:v>
                </c:pt>
                <c:pt idx="272">
                  <c:v>741.65</c:v>
                </c:pt>
                <c:pt idx="273">
                  <c:v>643.16</c:v>
                </c:pt>
                <c:pt idx="274">
                  <c:v>647.79</c:v>
                </c:pt>
                <c:pt idx="275">
                  <c:v>658.6</c:v>
                </c:pt>
                <c:pt idx="276">
                  <c:v>642.41</c:v>
                </c:pt>
                <c:pt idx="277">
                  <c:v>553.46</c:v>
                </c:pt>
                <c:pt idx="278">
                  <c:v>568.91999999999996</c:v>
                </c:pt>
                <c:pt idx="279">
                  <c:v>622.65</c:v>
                </c:pt>
                <c:pt idx="280">
                  <c:v>528.49</c:v>
                </c:pt>
                <c:pt idx="281">
                  <c:v>492.49</c:v>
                </c:pt>
                <c:pt idx="282">
                  <c:v>484.7</c:v>
                </c:pt>
                <c:pt idx="283">
                  <c:v>477.99</c:v>
                </c:pt>
                <c:pt idx="284">
                  <c:v>487.73</c:v>
                </c:pt>
                <c:pt idx="285">
                  <c:v>535.49</c:v>
                </c:pt>
                <c:pt idx="286">
                  <c:v>563.88</c:v>
                </c:pt>
                <c:pt idx="287">
                  <c:v>562.05999999999995</c:v>
                </c:pt>
                <c:pt idx="288">
                  <c:v>485.94</c:v>
                </c:pt>
                <c:pt idx="289">
                  <c:v>484.39</c:v>
                </c:pt>
                <c:pt idx="290">
                  <c:v>463.72</c:v>
                </c:pt>
                <c:pt idx="291">
                  <c:v>458.84</c:v>
                </c:pt>
                <c:pt idx="292">
                  <c:v>451.08</c:v>
                </c:pt>
                <c:pt idx="293">
                  <c:v>454.02</c:v>
                </c:pt>
                <c:pt idx="294">
                  <c:v>455.79</c:v>
                </c:pt>
                <c:pt idx="295">
                  <c:v>442.13</c:v>
                </c:pt>
                <c:pt idx="296">
                  <c:v>482.05</c:v>
                </c:pt>
                <c:pt idx="297">
                  <c:v>512.94000000000005</c:v>
                </c:pt>
                <c:pt idx="298">
                  <c:v>548.13</c:v>
                </c:pt>
                <c:pt idx="299">
                  <c:v>479.48</c:v>
                </c:pt>
                <c:pt idx="300">
                  <c:v>486.08</c:v>
                </c:pt>
                <c:pt idx="301">
                  <c:v>449.75</c:v>
                </c:pt>
                <c:pt idx="302">
                  <c:v>399.12</c:v>
                </c:pt>
                <c:pt idx="303">
                  <c:v>402.37</c:v>
                </c:pt>
                <c:pt idx="304">
                  <c:v>409.91</c:v>
                </c:pt>
                <c:pt idx="305">
                  <c:v>362.24</c:v>
                </c:pt>
                <c:pt idx="306">
                  <c:v>363.23</c:v>
                </c:pt>
                <c:pt idx="307">
                  <c:v>369.06</c:v>
                </c:pt>
                <c:pt idx="308">
                  <c:v>361.01</c:v>
                </c:pt>
                <c:pt idx="309">
                  <c:v>345.35</c:v>
                </c:pt>
                <c:pt idx="310">
                  <c:v>359.3</c:v>
                </c:pt>
                <c:pt idx="311">
                  <c:v>378.69</c:v>
                </c:pt>
                <c:pt idx="312">
                  <c:v>403.3</c:v>
                </c:pt>
                <c:pt idx="313">
                  <c:v>412.09</c:v>
                </c:pt>
                <c:pt idx="314">
                  <c:v>443.23</c:v>
                </c:pt>
                <c:pt idx="315">
                  <c:v>429.26</c:v>
                </c:pt>
                <c:pt idx="316">
                  <c:v>435.99</c:v>
                </c:pt>
                <c:pt idx="317">
                  <c:v>431.79</c:v>
                </c:pt>
                <c:pt idx="318">
                  <c:v>431.41</c:v>
                </c:pt>
                <c:pt idx="319">
                  <c:v>438.13</c:v>
                </c:pt>
                <c:pt idx="320">
                  <c:v>465.63</c:v>
                </c:pt>
                <c:pt idx="321">
                  <c:v>434.2</c:v>
                </c:pt>
                <c:pt idx="322">
                  <c:v>465.84</c:v>
                </c:pt>
                <c:pt idx="323">
                  <c:v>460.43</c:v>
                </c:pt>
                <c:pt idx="324">
                  <c:v>502.28</c:v>
                </c:pt>
                <c:pt idx="325">
                  <c:v>476.46</c:v>
                </c:pt>
                <c:pt idx="326">
                  <c:v>490.35</c:v>
                </c:pt>
                <c:pt idx="327">
                  <c:v>491.37</c:v>
                </c:pt>
                <c:pt idx="328">
                  <c:v>475.41</c:v>
                </c:pt>
                <c:pt idx="329">
                  <c:v>470.34</c:v>
                </c:pt>
                <c:pt idx="330">
                  <c:v>491.15</c:v>
                </c:pt>
                <c:pt idx="331">
                  <c:v>499.42</c:v>
                </c:pt>
                <c:pt idx="332">
                  <c:v>493.56</c:v>
                </c:pt>
                <c:pt idx="333">
                  <c:v>405.12</c:v>
                </c:pt>
                <c:pt idx="334">
                  <c:v>399.49</c:v>
                </c:pt>
                <c:pt idx="335">
                  <c:v>398.09</c:v>
                </c:pt>
                <c:pt idx="336">
                  <c:v>396.48</c:v>
                </c:pt>
                <c:pt idx="337">
                  <c:v>437.24</c:v>
                </c:pt>
                <c:pt idx="338">
                  <c:v>383.79</c:v>
                </c:pt>
                <c:pt idx="339">
                  <c:v>423.19</c:v>
                </c:pt>
                <c:pt idx="340">
                  <c:v>453.06</c:v>
                </c:pt>
                <c:pt idx="341">
                  <c:v>452.82</c:v>
                </c:pt>
                <c:pt idx="342">
                  <c:v>451.15</c:v>
                </c:pt>
                <c:pt idx="343">
                  <c:v>456.63</c:v>
                </c:pt>
                <c:pt idx="344">
                  <c:v>474.18</c:v>
                </c:pt>
                <c:pt idx="345">
                  <c:v>457.31</c:v>
                </c:pt>
                <c:pt idx="346">
                  <c:v>460.75</c:v>
                </c:pt>
                <c:pt idx="347">
                  <c:v>471.27</c:v>
                </c:pt>
                <c:pt idx="348">
                  <c:v>511</c:v>
                </c:pt>
                <c:pt idx="349">
                  <c:v>536.53</c:v>
                </c:pt>
                <c:pt idx="350">
                  <c:v>501.91</c:v>
                </c:pt>
                <c:pt idx="351">
                  <c:v>473.12</c:v>
                </c:pt>
                <c:pt idx="352">
                  <c:v>489</c:v>
                </c:pt>
                <c:pt idx="353">
                  <c:v>454.98</c:v>
                </c:pt>
                <c:pt idx="354">
                  <c:v>457.41</c:v>
                </c:pt>
                <c:pt idx="355">
                  <c:v>465</c:v>
                </c:pt>
                <c:pt idx="356">
                  <c:v>531.46</c:v>
                </c:pt>
                <c:pt idx="357">
                  <c:v>455.19</c:v>
                </c:pt>
                <c:pt idx="358">
                  <c:v>389.67</c:v>
                </c:pt>
                <c:pt idx="359">
                  <c:v>356.18</c:v>
                </c:pt>
                <c:pt idx="360">
                  <c:v>362.25</c:v>
                </c:pt>
                <c:pt idx="361">
                  <c:v>347.19</c:v>
                </c:pt>
                <c:pt idx="362">
                  <c:v>338.2</c:v>
                </c:pt>
                <c:pt idx="363">
                  <c:v>295.88</c:v>
                </c:pt>
                <c:pt idx="364">
                  <c:v>252.03</c:v>
                </c:pt>
                <c:pt idx="365">
                  <c:v>219.12</c:v>
                </c:pt>
                <c:pt idx="366">
                  <c:v>237.9</c:v>
                </c:pt>
                <c:pt idx="367">
                  <c:v>212.81</c:v>
                </c:pt>
                <c:pt idx="368">
                  <c:v>250.06</c:v>
                </c:pt>
                <c:pt idx="369">
                  <c:v>206.98</c:v>
                </c:pt>
                <c:pt idx="370">
                  <c:v>199.71</c:v>
                </c:pt>
                <c:pt idx="371">
                  <c:v>176.64</c:v>
                </c:pt>
                <c:pt idx="372">
                  <c:v>212.39</c:v>
                </c:pt>
                <c:pt idx="373">
                  <c:v>211.22</c:v>
                </c:pt>
                <c:pt idx="374">
                  <c:v>225.91</c:v>
                </c:pt>
                <c:pt idx="375">
                  <c:v>216.96</c:v>
                </c:pt>
                <c:pt idx="376">
                  <c:v>207</c:v>
                </c:pt>
                <c:pt idx="377">
                  <c:v>202.56</c:v>
                </c:pt>
                <c:pt idx="378">
                  <c:v>214.5</c:v>
                </c:pt>
                <c:pt idx="379">
                  <c:v>211.04</c:v>
                </c:pt>
                <c:pt idx="380">
                  <c:v>183.8</c:v>
                </c:pt>
                <c:pt idx="381">
                  <c:v>168.59</c:v>
                </c:pt>
                <c:pt idx="382">
                  <c:v>194.39</c:v>
                </c:pt>
                <c:pt idx="383">
                  <c:v>179.95</c:v>
                </c:pt>
                <c:pt idx="384">
                  <c:v>165.75</c:v>
                </c:pt>
                <c:pt idx="385">
                  <c:v>172.45</c:v>
                </c:pt>
                <c:pt idx="386">
                  <c:v>183.98</c:v>
                </c:pt>
                <c:pt idx="387">
                  <c:v>161.47999999999999</c:v>
                </c:pt>
                <c:pt idx="388">
                  <c:v>151.24</c:v>
                </c:pt>
                <c:pt idx="389">
                  <c:v>146.9</c:v>
                </c:pt>
                <c:pt idx="390">
                  <c:v>136.71</c:v>
                </c:pt>
                <c:pt idx="391">
                  <c:v>145.54</c:v>
                </c:pt>
                <c:pt idx="392">
                  <c:v>149.02000000000001</c:v>
                </c:pt>
                <c:pt idx="393">
                  <c:v>156.81</c:v>
                </c:pt>
                <c:pt idx="394">
                  <c:v>139.36000000000001</c:v>
                </c:pt>
                <c:pt idx="395">
                  <c:v>143.69999999999999</c:v>
                </c:pt>
                <c:pt idx="396">
                  <c:v>131.15</c:v>
                </c:pt>
                <c:pt idx="397">
                  <c:v>130</c:v>
                </c:pt>
                <c:pt idx="398">
                  <c:v>137.69</c:v>
                </c:pt>
                <c:pt idx="399">
                  <c:v>136.75</c:v>
                </c:pt>
                <c:pt idx="400">
                  <c:v>129.59</c:v>
                </c:pt>
                <c:pt idx="401">
                  <c:v>145.19999999999999</c:v>
                </c:pt>
                <c:pt idx="402">
                  <c:v>141.66</c:v>
                </c:pt>
                <c:pt idx="403">
                  <c:v>153.66999999999999</c:v>
                </c:pt>
                <c:pt idx="404">
                  <c:v>155.62</c:v>
                </c:pt>
                <c:pt idx="405">
                  <c:v>160.34</c:v>
                </c:pt>
                <c:pt idx="406">
                  <c:v>177.23</c:v>
                </c:pt>
                <c:pt idx="407">
                  <c:v>155.52000000000001</c:v>
                </c:pt>
                <c:pt idx="408">
                  <c:v>150.01</c:v>
                </c:pt>
                <c:pt idx="409">
                  <c:v>153.13</c:v>
                </c:pt>
                <c:pt idx="410">
                  <c:v>147.36000000000001</c:v>
                </c:pt>
                <c:pt idx="411">
                  <c:v>144.66</c:v>
                </c:pt>
                <c:pt idx="412">
                  <c:v>142.65</c:v>
                </c:pt>
                <c:pt idx="413">
                  <c:v>149.32</c:v>
                </c:pt>
                <c:pt idx="414">
                  <c:v>164.81</c:v>
                </c:pt>
                <c:pt idx="415">
                  <c:v>155.6</c:v>
                </c:pt>
                <c:pt idx="416">
                  <c:v>149.84</c:v>
                </c:pt>
                <c:pt idx="417">
                  <c:v>137.01</c:v>
                </c:pt>
                <c:pt idx="418">
                  <c:v>143.55000000000001</c:v>
                </c:pt>
                <c:pt idx="419">
                  <c:v>127.24</c:v>
                </c:pt>
                <c:pt idx="420">
                  <c:v>131.66</c:v>
                </c:pt>
                <c:pt idx="421">
                  <c:v>113.88</c:v>
                </c:pt>
                <c:pt idx="422">
                  <c:v>105</c:v>
                </c:pt>
                <c:pt idx="423">
                  <c:v>111.96</c:v>
                </c:pt>
                <c:pt idx="424">
                  <c:v>110.49</c:v>
                </c:pt>
                <c:pt idx="425">
                  <c:v>108.1</c:v>
                </c:pt>
                <c:pt idx="426">
                  <c:v>104.49</c:v>
                </c:pt>
                <c:pt idx="427">
                  <c:v>106.91</c:v>
                </c:pt>
                <c:pt idx="428">
                  <c:v>122.73</c:v>
                </c:pt>
                <c:pt idx="429">
                  <c:v>127.82</c:v>
                </c:pt>
                <c:pt idx="430">
                  <c:v>125.6</c:v>
                </c:pt>
                <c:pt idx="431">
                  <c:v>116.88</c:v>
                </c:pt>
                <c:pt idx="432">
                  <c:v>127.38</c:v>
                </c:pt>
                <c:pt idx="433">
                  <c:v>116.23</c:v>
                </c:pt>
                <c:pt idx="434">
                  <c:v>113.32</c:v>
                </c:pt>
                <c:pt idx="435">
                  <c:v>114.13</c:v>
                </c:pt>
                <c:pt idx="436">
                  <c:v>122.66</c:v>
                </c:pt>
                <c:pt idx="437">
                  <c:v>120.07</c:v>
                </c:pt>
                <c:pt idx="438">
                  <c:v>120.2</c:v>
                </c:pt>
                <c:pt idx="439">
                  <c:v>121.6</c:v>
                </c:pt>
                <c:pt idx="440">
                  <c:v>116.42</c:v>
                </c:pt>
                <c:pt idx="441">
                  <c:v>104.35</c:v>
                </c:pt>
                <c:pt idx="442">
                  <c:v>103.18</c:v>
                </c:pt>
                <c:pt idx="443">
                  <c:v>102.57</c:v>
                </c:pt>
                <c:pt idx="444">
                  <c:v>94.78</c:v>
                </c:pt>
                <c:pt idx="445">
                  <c:v>97.13</c:v>
                </c:pt>
                <c:pt idx="446">
                  <c:v>92.41</c:v>
                </c:pt>
                <c:pt idx="447">
                  <c:v>95.86</c:v>
                </c:pt>
                <c:pt idx="448">
                  <c:v>90.91</c:v>
                </c:pt>
                <c:pt idx="449">
                  <c:v>88.71</c:v>
                </c:pt>
                <c:pt idx="450">
                  <c:v>87.47</c:v>
                </c:pt>
                <c:pt idx="451">
                  <c:v>91.44</c:v>
                </c:pt>
                <c:pt idx="452">
                  <c:v>93.84</c:v>
                </c:pt>
                <c:pt idx="453">
                  <c:v>90.83</c:v>
                </c:pt>
                <c:pt idx="454">
                  <c:v>92.05</c:v>
                </c:pt>
                <c:pt idx="455">
                  <c:v>96.97</c:v>
                </c:pt>
                <c:pt idx="456">
                  <c:v>107.82</c:v>
                </c:pt>
                <c:pt idx="457">
                  <c:v>109.02</c:v>
                </c:pt>
                <c:pt idx="458">
                  <c:v>100</c:v>
                </c:pt>
                <c:pt idx="459">
                  <c:v>101.2</c:v>
                </c:pt>
                <c:pt idx="460">
                  <c:v>105.23</c:v>
                </c:pt>
                <c:pt idx="461">
                  <c:v>103</c:v>
                </c:pt>
                <c:pt idx="462">
                  <c:v>102.43</c:v>
                </c:pt>
                <c:pt idx="463">
                  <c:v>95.35</c:v>
                </c:pt>
                <c:pt idx="464">
                  <c:v>94.85</c:v>
                </c:pt>
                <c:pt idx="465">
                  <c:v>102.78</c:v>
                </c:pt>
                <c:pt idx="466">
                  <c:v>104.89</c:v>
                </c:pt>
                <c:pt idx="467">
                  <c:v>103.09</c:v>
                </c:pt>
                <c:pt idx="468">
                  <c:v>103.41</c:v>
                </c:pt>
                <c:pt idx="469">
                  <c:v>107.02</c:v>
                </c:pt>
                <c:pt idx="470">
                  <c:v>107.22</c:v>
                </c:pt>
                <c:pt idx="471">
                  <c:v>114.03</c:v>
                </c:pt>
                <c:pt idx="472">
                  <c:v>116.77</c:v>
                </c:pt>
                <c:pt idx="473">
                  <c:v>115.55</c:v>
                </c:pt>
                <c:pt idx="474">
                  <c:v>114.13</c:v>
                </c:pt>
                <c:pt idx="475">
                  <c:v>115.32</c:v>
                </c:pt>
                <c:pt idx="476">
                  <c:v>108.1</c:v>
                </c:pt>
                <c:pt idx="477">
                  <c:v>110.47</c:v>
                </c:pt>
                <c:pt idx="478">
                  <c:v>105.76</c:v>
                </c:pt>
                <c:pt idx="479">
                  <c:v>122.04</c:v>
                </c:pt>
                <c:pt idx="480">
                  <c:v>119.46</c:v>
                </c:pt>
                <c:pt idx="481">
                  <c:v>121.18</c:v>
                </c:pt>
                <c:pt idx="482">
                  <c:v>120.36</c:v>
                </c:pt>
                <c:pt idx="483">
                  <c:v>129.19999999999999</c:v>
                </c:pt>
                <c:pt idx="484">
                  <c:v>133.43</c:v>
                </c:pt>
                <c:pt idx="485">
                  <c:v>132.99</c:v>
                </c:pt>
                <c:pt idx="486">
                  <c:v>131.55000000000001</c:v>
                </c:pt>
                <c:pt idx="487">
                  <c:v>139.08000000000001</c:v>
                </c:pt>
                <c:pt idx="488">
                  <c:v>144.16</c:v>
                </c:pt>
                <c:pt idx="489">
                  <c:v>139.07</c:v>
                </c:pt>
                <c:pt idx="490">
                  <c:v>138.68</c:v>
                </c:pt>
                <c:pt idx="491">
                  <c:v>127.24</c:v>
                </c:pt>
                <c:pt idx="492">
                  <c:v>143.88999999999999</c:v>
                </c:pt>
                <c:pt idx="493">
                  <c:v>128.31</c:v>
                </c:pt>
                <c:pt idx="494">
                  <c:v>144.62</c:v>
                </c:pt>
                <c:pt idx="495">
                  <c:v>151.97</c:v>
                </c:pt>
                <c:pt idx="496">
                  <c:v>154.16</c:v>
                </c:pt>
                <c:pt idx="497">
                  <c:v>158.11000000000001</c:v>
                </c:pt>
                <c:pt idx="498">
                  <c:v>153.38</c:v>
                </c:pt>
                <c:pt idx="499">
                  <c:v>154.80000000000001</c:v>
                </c:pt>
                <c:pt idx="500">
                  <c:v>166.06</c:v>
                </c:pt>
                <c:pt idx="501">
                  <c:v>165.09</c:v>
                </c:pt>
                <c:pt idx="502">
                  <c:v>180.26</c:v>
                </c:pt>
                <c:pt idx="503">
                  <c:v>173.15</c:v>
                </c:pt>
                <c:pt idx="504">
                  <c:v>171.45</c:v>
                </c:pt>
                <c:pt idx="505">
                  <c:v>177.79</c:v>
                </c:pt>
                <c:pt idx="506">
                  <c:v>173.29</c:v>
                </c:pt>
                <c:pt idx="507">
                  <c:v>179.4</c:v>
                </c:pt>
                <c:pt idx="508">
                  <c:v>170.85</c:v>
                </c:pt>
                <c:pt idx="509">
                  <c:v>157.88999999999999</c:v>
                </c:pt>
                <c:pt idx="510">
                  <c:v>187.23</c:v>
                </c:pt>
                <c:pt idx="511">
                  <c:v>187.13</c:v>
                </c:pt>
                <c:pt idx="512">
                  <c:v>226.77</c:v>
                </c:pt>
                <c:pt idx="513">
                  <c:v>256.89</c:v>
                </c:pt>
                <c:pt idx="514">
                  <c:v>243.14</c:v>
                </c:pt>
                <c:pt idx="515">
                  <c:v>216.72</c:v>
                </c:pt>
                <c:pt idx="516">
                  <c:v>193.19</c:v>
                </c:pt>
                <c:pt idx="517">
                  <c:v>189</c:v>
                </c:pt>
                <c:pt idx="518">
                  <c:v>171.48</c:v>
                </c:pt>
                <c:pt idx="519">
                  <c:v>179.42</c:v>
                </c:pt>
                <c:pt idx="520">
                  <c:v>165.57</c:v>
                </c:pt>
                <c:pt idx="521">
                  <c:v>180.91</c:v>
                </c:pt>
                <c:pt idx="522">
                  <c:v>169.18</c:v>
                </c:pt>
                <c:pt idx="523">
                  <c:v>173.88</c:v>
                </c:pt>
                <c:pt idx="524">
                  <c:v>169.52</c:v>
                </c:pt>
                <c:pt idx="525">
                  <c:v>179.75</c:v>
                </c:pt>
                <c:pt idx="526">
                  <c:v>182.83</c:v>
                </c:pt>
                <c:pt idx="527">
                  <c:v>187.5</c:v>
                </c:pt>
                <c:pt idx="528">
                  <c:v>184.21</c:v>
                </c:pt>
                <c:pt idx="529">
                  <c:v>201.08</c:v>
                </c:pt>
                <c:pt idx="530">
                  <c:v>196.35</c:v>
                </c:pt>
                <c:pt idx="531">
                  <c:v>196.06</c:v>
                </c:pt>
                <c:pt idx="532">
                  <c:v>205.33</c:v>
                </c:pt>
                <c:pt idx="533">
                  <c:v>218.38</c:v>
                </c:pt>
                <c:pt idx="534">
                  <c:v>195.8</c:v>
                </c:pt>
                <c:pt idx="535">
                  <c:v>176.62</c:v>
                </c:pt>
                <c:pt idx="536">
                  <c:v>170.89</c:v>
                </c:pt>
                <c:pt idx="537">
                  <c:v>152.86000000000001</c:v>
                </c:pt>
                <c:pt idx="538">
                  <c:v>154.46</c:v>
                </c:pt>
                <c:pt idx="539">
                  <c:v>136.86000000000001</c:v>
                </c:pt>
                <c:pt idx="540">
                  <c:v>134.85</c:v>
                </c:pt>
                <c:pt idx="541">
                  <c:v>131.91</c:v>
                </c:pt>
                <c:pt idx="542">
                  <c:v>127.2</c:v>
                </c:pt>
                <c:pt idx="543">
                  <c:v>127.39</c:v>
                </c:pt>
                <c:pt idx="544">
                  <c:v>137.88999999999999</c:v>
                </c:pt>
                <c:pt idx="545">
                  <c:v>134.63</c:v>
                </c:pt>
                <c:pt idx="546">
                  <c:v>133</c:v>
                </c:pt>
                <c:pt idx="547">
                  <c:v>133.18</c:v>
                </c:pt>
                <c:pt idx="548">
                  <c:v>136.69</c:v>
                </c:pt>
                <c:pt idx="549">
                  <c:v>135.78</c:v>
                </c:pt>
                <c:pt idx="550">
                  <c:v>157.44999999999999</c:v>
                </c:pt>
                <c:pt idx="551">
                  <c:v>155.82</c:v>
                </c:pt>
                <c:pt idx="552">
                  <c:v>155.33000000000001</c:v>
                </c:pt>
                <c:pt idx="553">
                  <c:v>156</c:v>
                </c:pt>
                <c:pt idx="554">
                  <c:v>157.72999999999999</c:v>
                </c:pt>
                <c:pt idx="555">
                  <c:v>159.58000000000001</c:v>
                </c:pt>
                <c:pt idx="556">
                  <c:v>157.87</c:v>
                </c:pt>
                <c:pt idx="557">
                  <c:v>163.61000000000001</c:v>
                </c:pt>
                <c:pt idx="558">
                  <c:v>163.63999999999999</c:v>
                </c:pt>
                <c:pt idx="559">
                  <c:v>167.24</c:v>
                </c:pt>
                <c:pt idx="560">
                  <c:v>154.79</c:v>
                </c:pt>
                <c:pt idx="561">
                  <c:v>160.16999999999999</c:v>
                </c:pt>
                <c:pt idx="562">
                  <c:v>164.19</c:v>
                </c:pt>
                <c:pt idx="563">
                  <c:v>166.47</c:v>
                </c:pt>
                <c:pt idx="564">
                  <c:v>176.07</c:v>
                </c:pt>
                <c:pt idx="565">
                  <c:v>178.24</c:v>
                </c:pt>
                <c:pt idx="566">
                  <c:v>175.05</c:v>
                </c:pt>
                <c:pt idx="567">
                  <c:v>179.86</c:v>
                </c:pt>
                <c:pt idx="568">
                  <c:v>184.57</c:v>
                </c:pt>
                <c:pt idx="569">
                  <c:v>187.71</c:v>
                </c:pt>
                <c:pt idx="570">
                  <c:v>194.83</c:v>
                </c:pt>
                <c:pt idx="571">
                  <c:v>201.66</c:v>
                </c:pt>
                <c:pt idx="572">
                  <c:v>180.42</c:v>
                </c:pt>
                <c:pt idx="573">
                  <c:v>171.91</c:v>
                </c:pt>
                <c:pt idx="574">
                  <c:v>180.01</c:v>
                </c:pt>
                <c:pt idx="575">
                  <c:v>201.09</c:v>
                </c:pt>
                <c:pt idx="576">
                  <c:v>216.66</c:v>
                </c:pt>
                <c:pt idx="577">
                  <c:v>233.44</c:v>
                </c:pt>
                <c:pt idx="578">
                  <c:v>245.45</c:v>
                </c:pt>
                <c:pt idx="579">
                  <c:v>231</c:v>
                </c:pt>
                <c:pt idx="580">
                  <c:v>261.73</c:v>
                </c:pt>
                <c:pt idx="58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06-4AE6-B4B3-6077181208A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9.2709131927351668E-3</c:v>
                </c:pt>
                <c:pt idx="1">
                  <c:v>9.3196205991637384E-3</c:v>
                </c:pt>
                <c:pt idx="2">
                  <c:v>9.6938985147351671E-3</c:v>
                </c:pt>
                <c:pt idx="3">
                  <c:v>9.4798860496605412E-3</c:v>
                </c:pt>
                <c:pt idx="4">
                  <c:v>8.9811126374912276E-3</c:v>
                </c:pt>
                <c:pt idx="5">
                  <c:v>8.7643234813056595E-3</c:v>
                </c:pt>
                <c:pt idx="6">
                  <c:v>8.9748121186474326E-3</c:v>
                </c:pt>
                <c:pt idx="7">
                  <c:v>9.4831596222707294E-3</c:v>
                </c:pt>
                <c:pt idx="8">
                  <c:v>9.7908497797707314E-3</c:v>
                </c:pt>
                <c:pt idx="9">
                  <c:v>1.0136525300570732E-2</c:v>
                </c:pt>
                <c:pt idx="10">
                  <c:v>1.0010631438920245E-2</c:v>
                </c:pt>
                <c:pt idx="11">
                  <c:v>1.0182954630764214E-2</c:v>
                </c:pt>
                <c:pt idx="12">
                  <c:v>9.9979007791513134E-3</c:v>
                </c:pt>
                <c:pt idx="13">
                  <c:v>1.0154186445656167E-2</c:v>
                </c:pt>
                <c:pt idx="14">
                  <c:v>1.0035870424915426E-2</c:v>
                </c:pt>
                <c:pt idx="15">
                  <c:v>1.0349155257062665E-2</c:v>
                </c:pt>
                <c:pt idx="16">
                  <c:v>1.0232594026437667E-2</c:v>
                </c:pt>
                <c:pt idx="17">
                  <c:v>1.005393637028382E-2</c:v>
                </c:pt>
                <c:pt idx="18">
                  <c:v>1.0218150301415039E-2</c:v>
                </c:pt>
                <c:pt idx="19">
                  <c:v>1.0187744007798018E-2</c:v>
                </c:pt>
                <c:pt idx="20">
                  <c:v>1.0265320631131352E-2</c:v>
                </c:pt>
                <c:pt idx="21">
                  <c:v>1.0310507620464685E-2</c:v>
                </c:pt>
                <c:pt idx="22">
                  <c:v>9.7911517057164849E-3</c:v>
                </c:pt>
                <c:pt idx="23">
                  <c:v>1.0603372675409735E-2</c:v>
                </c:pt>
                <c:pt idx="24">
                  <c:v>1.0784783589427202E-2</c:v>
                </c:pt>
                <c:pt idx="25">
                  <c:v>1.0290504984733327E-2</c:v>
                </c:pt>
                <c:pt idx="26">
                  <c:v>1.0047732004320954E-2</c:v>
                </c:pt>
                <c:pt idx="27">
                  <c:v>9.8078848346913241E-3</c:v>
                </c:pt>
                <c:pt idx="28">
                  <c:v>9.8964959353624662E-3</c:v>
                </c:pt>
                <c:pt idx="29">
                  <c:v>9.8865556741996753E-3</c:v>
                </c:pt>
                <c:pt idx="30">
                  <c:v>1.0310453566970757E-2</c:v>
                </c:pt>
                <c:pt idx="31">
                  <c:v>1.1311821409579453E-2</c:v>
                </c:pt>
                <c:pt idx="32">
                  <c:v>1.1673588298536507E-2</c:v>
                </c:pt>
                <c:pt idx="33">
                  <c:v>1.1244213273122141E-2</c:v>
                </c:pt>
                <c:pt idx="34">
                  <c:v>1.1491543818208844E-2</c:v>
                </c:pt>
                <c:pt idx="35">
                  <c:v>1.1392069857602785E-2</c:v>
                </c:pt>
                <c:pt idx="36">
                  <c:v>1.0798335389420969E-2</c:v>
                </c:pt>
                <c:pt idx="37">
                  <c:v>1.0534257969650853E-2</c:v>
                </c:pt>
                <c:pt idx="38">
                  <c:v>1.0179623321673326E-2</c:v>
                </c:pt>
                <c:pt idx="39">
                  <c:v>1.0217238099723639E-2</c:v>
                </c:pt>
                <c:pt idx="40">
                  <c:v>1.0665173838890304E-2</c:v>
                </c:pt>
                <c:pt idx="41">
                  <c:v>1.1277596127717891E-2</c:v>
                </c:pt>
                <c:pt idx="42">
                  <c:v>1.0520454364412105E-2</c:v>
                </c:pt>
                <c:pt idx="43">
                  <c:v>1.0909339119663906E-2</c:v>
                </c:pt>
                <c:pt idx="44">
                  <c:v>1.0680508156027543E-2</c:v>
                </c:pt>
                <c:pt idx="45">
                  <c:v>1.05134719611746E-2</c:v>
                </c:pt>
                <c:pt idx="46">
                  <c:v>1.0902952295014676E-2</c:v>
                </c:pt>
                <c:pt idx="47">
                  <c:v>1.0752123960140726E-2</c:v>
                </c:pt>
                <c:pt idx="48">
                  <c:v>1.0733964496390726E-2</c:v>
                </c:pt>
                <c:pt idx="49">
                  <c:v>1.1342142785481636E-2</c:v>
                </c:pt>
                <c:pt idx="50">
                  <c:v>1.2780420583076574E-2</c:v>
                </c:pt>
                <c:pt idx="51">
                  <c:v>1.2834484331258391E-2</c:v>
                </c:pt>
                <c:pt idx="52">
                  <c:v>1.2925644160284942E-2</c:v>
                </c:pt>
                <c:pt idx="53">
                  <c:v>1.2479370401220614E-2</c:v>
                </c:pt>
                <c:pt idx="54">
                  <c:v>1.2645829794373321E-2</c:v>
                </c:pt>
                <c:pt idx="55">
                  <c:v>1.2615530608844096E-2</c:v>
                </c:pt>
                <c:pt idx="56">
                  <c:v>1.2762154099464787E-2</c:v>
                </c:pt>
                <c:pt idx="57">
                  <c:v>1.2720473748332711E-2</c:v>
                </c:pt>
                <c:pt idx="58">
                  <c:v>1.2871967737694414E-2</c:v>
                </c:pt>
                <c:pt idx="59">
                  <c:v>1.3181577898694412E-2</c:v>
                </c:pt>
                <c:pt idx="60">
                  <c:v>1.2965004167373659E-2</c:v>
                </c:pt>
                <c:pt idx="61">
                  <c:v>1.2401442286802228E-2</c:v>
                </c:pt>
                <c:pt idx="62">
                  <c:v>1.2323632400535559E-2</c:v>
                </c:pt>
                <c:pt idx="63">
                  <c:v>1.2466001333362562E-2</c:v>
                </c:pt>
                <c:pt idx="64">
                  <c:v>1.216138747383875E-2</c:v>
                </c:pt>
                <c:pt idx="65">
                  <c:v>1.2267398846566023E-2</c:v>
                </c:pt>
                <c:pt idx="66">
                  <c:v>1.1758587798300487E-2</c:v>
                </c:pt>
                <c:pt idx="67">
                  <c:v>1.2157415615052628E-2</c:v>
                </c:pt>
                <c:pt idx="68">
                  <c:v>1.2421369165052628E-2</c:v>
                </c:pt>
                <c:pt idx="69">
                  <c:v>1.2222868745719293E-2</c:v>
                </c:pt>
                <c:pt idx="70">
                  <c:v>1.1851506352448263E-2</c:v>
                </c:pt>
                <c:pt idx="71">
                  <c:v>1.2227498486778158E-2</c:v>
                </c:pt>
                <c:pt idx="72">
                  <c:v>1.1890910923842835E-2</c:v>
                </c:pt>
                <c:pt idx="73">
                  <c:v>1.1949653725714491E-2</c:v>
                </c:pt>
                <c:pt idx="74">
                  <c:v>1.227862435974434E-2</c:v>
                </c:pt>
                <c:pt idx="75">
                  <c:v>1.2372979245744341E-2</c:v>
                </c:pt>
                <c:pt idx="76">
                  <c:v>1.1851156491994341E-2</c:v>
                </c:pt>
                <c:pt idx="77">
                  <c:v>1.1805263074095181E-2</c:v>
                </c:pt>
                <c:pt idx="78">
                  <c:v>1.167944886355576E-2</c:v>
                </c:pt>
                <c:pt idx="79">
                  <c:v>1.1934963585338444E-2</c:v>
                </c:pt>
                <c:pt idx="80">
                  <c:v>1.2420595674429352E-2</c:v>
                </c:pt>
                <c:pt idx="81">
                  <c:v>1.2149984567988676E-2</c:v>
                </c:pt>
                <c:pt idx="82">
                  <c:v>1.2016459736965949E-2</c:v>
                </c:pt>
                <c:pt idx="83">
                  <c:v>1.1618866931020001E-2</c:v>
                </c:pt>
                <c:pt idx="84">
                  <c:v>1.2069388286318806E-2</c:v>
                </c:pt>
                <c:pt idx="85">
                  <c:v>1.2465068711918803E-2</c:v>
                </c:pt>
                <c:pt idx="86">
                  <c:v>1.1666799620315596E-2</c:v>
                </c:pt>
                <c:pt idx="87">
                  <c:v>1.2011014230692955E-2</c:v>
                </c:pt>
                <c:pt idx="88">
                  <c:v>1.072310991338354E-2</c:v>
                </c:pt>
                <c:pt idx="89">
                  <c:v>1.019577134676285E-2</c:v>
                </c:pt>
                <c:pt idx="90">
                  <c:v>1.0270352022509976E-2</c:v>
                </c:pt>
                <c:pt idx="91">
                  <c:v>9.7559303552877553E-3</c:v>
                </c:pt>
                <c:pt idx="92">
                  <c:v>9.5616754262554983E-3</c:v>
                </c:pt>
                <c:pt idx="93">
                  <c:v>1.0670338999240817E-2</c:v>
                </c:pt>
                <c:pt idx="94">
                  <c:v>1.0557684750607909E-2</c:v>
                </c:pt>
                <c:pt idx="95">
                  <c:v>1.0124892667237121E-2</c:v>
                </c:pt>
                <c:pt idx="96">
                  <c:v>1.0173184255987122E-2</c:v>
                </c:pt>
                <c:pt idx="97">
                  <c:v>1.0146394269165419E-2</c:v>
                </c:pt>
                <c:pt idx="98">
                  <c:v>1.0390525439875477E-2</c:v>
                </c:pt>
                <c:pt idx="99">
                  <c:v>1.0855648901475478E-2</c:v>
                </c:pt>
                <c:pt idx="100">
                  <c:v>1.0485726639710771E-2</c:v>
                </c:pt>
                <c:pt idx="101">
                  <c:v>1.0400883530609646E-2</c:v>
                </c:pt>
                <c:pt idx="102">
                  <c:v>1.0468537308755341E-2</c:v>
                </c:pt>
                <c:pt idx="103">
                  <c:v>1.0508024043261779E-2</c:v>
                </c:pt>
                <c:pt idx="104">
                  <c:v>1.0832002930775903E-2</c:v>
                </c:pt>
                <c:pt idx="105">
                  <c:v>1.0576498483138108E-2</c:v>
                </c:pt>
                <c:pt idx="106">
                  <c:v>1.0442426453804773E-2</c:v>
                </c:pt>
                <c:pt idx="107">
                  <c:v>1.0304065456255104E-2</c:v>
                </c:pt>
                <c:pt idx="108">
                  <c:v>9.9221785207287885E-3</c:v>
                </c:pt>
                <c:pt idx="109">
                  <c:v>1.0085458134441869E-2</c:v>
                </c:pt>
                <c:pt idx="110">
                  <c:v>1.0532407204066443E-2</c:v>
                </c:pt>
                <c:pt idx="111">
                  <c:v>1.00655928447547E-2</c:v>
                </c:pt>
                <c:pt idx="112">
                  <c:v>1.0865182700187773E-2</c:v>
                </c:pt>
                <c:pt idx="113">
                  <c:v>1.0442467378269966E-2</c:v>
                </c:pt>
                <c:pt idx="114">
                  <c:v>1.0019942194269969E-2</c:v>
                </c:pt>
                <c:pt idx="115">
                  <c:v>1.0369803711255614E-2</c:v>
                </c:pt>
                <c:pt idx="116">
                  <c:v>1.0779845950168655E-2</c:v>
                </c:pt>
                <c:pt idx="117">
                  <c:v>1.1280786332997342E-2</c:v>
                </c:pt>
                <c:pt idx="118">
                  <c:v>1.1133322164554227E-2</c:v>
                </c:pt>
                <c:pt idx="119">
                  <c:v>1.053934550855423E-2</c:v>
                </c:pt>
                <c:pt idx="120">
                  <c:v>8.8378408926506162E-3</c:v>
                </c:pt>
                <c:pt idx="121">
                  <c:v>8.8823450698516469E-3</c:v>
                </c:pt>
                <c:pt idx="122">
                  <c:v>9.1419113666566278E-3</c:v>
                </c:pt>
                <c:pt idx="123">
                  <c:v>9.5674973703464682E-3</c:v>
                </c:pt>
                <c:pt idx="124">
                  <c:v>9.054437657675659E-3</c:v>
                </c:pt>
                <c:pt idx="125">
                  <c:v>9.2464678081781732E-3</c:v>
                </c:pt>
                <c:pt idx="126">
                  <c:v>9.3651222881781723E-3</c:v>
                </c:pt>
                <c:pt idx="127">
                  <c:v>8.9473304991036211E-3</c:v>
                </c:pt>
                <c:pt idx="128">
                  <c:v>8.3822661964586091E-3</c:v>
                </c:pt>
                <c:pt idx="129">
                  <c:v>8.7672641785141638E-3</c:v>
                </c:pt>
                <c:pt idx="130">
                  <c:v>8.9315542429909099E-3</c:v>
                </c:pt>
                <c:pt idx="131">
                  <c:v>8.934210797153069E-3</c:v>
                </c:pt>
                <c:pt idx="132">
                  <c:v>8.9988883372374585E-3</c:v>
                </c:pt>
                <c:pt idx="133">
                  <c:v>9.3108437714363532E-3</c:v>
                </c:pt>
                <c:pt idx="134">
                  <c:v>9.6373642121143181E-3</c:v>
                </c:pt>
                <c:pt idx="135">
                  <c:v>9.3211849423612339E-3</c:v>
                </c:pt>
                <c:pt idx="136">
                  <c:v>8.5500728279294148E-3</c:v>
                </c:pt>
                <c:pt idx="137">
                  <c:v>8.5287157485848062E-3</c:v>
                </c:pt>
                <c:pt idx="138">
                  <c:v>8.4632611790359333E-3</c:v>
                </c:pt>
                <c:pt idx="139">
                  <c:v>8.4915088358359335E-3</c:v>
                </c:pt>
                <c:pt idx="140">
                  <c:v>8.6729214056524492E-3</c:v>
                </c:pt>
                <c:pt idx="141">
                  <c:v>8.7112449142976115E-3</c:v>
                </c:pt>
                <c:pt idx="142">
                  <c:v>8.4677050582000497E-3</c:v>
                </c:pt>
                <c:pt idx="143">
                  <c:v>8.851454069289881E-3</c:v>
                </c:pt>
                <c:pt idx="144">
                  <c:v>8.5857679846476787E-3</c:v>
                </c:pt>
                <c:pt idx="145">
                  <c:v>8.0473914374517008E-3</c:v>
                </c:pt>
                <c:pt idx="146">
                  <c:v>8.0976541505945569E-3</c:v>
                </c:pt>
                <c:pt idx="147">
                  <c:v>8.140863031645143E-3</c:v>
                </c:pt>
                <c:pt idx="148">
                  <c:v>8.5266090282489163E-3</c:v>
                </c:pt>
                <c:pt idx="149">
                  <c:v>7.8955255760804234E-3</c:v>
                </c:pt>
                <c:pt idx="150">
                  <c:v>7.2484385628283909E-3</c:v>
                </c:pt>
                <c:pt idx="151">
                  <c:v>7.6219896439917488E-3</c:v>
                </c:pt>
                <c:pt idx="152">
                  <c:v>7.473518287586055E-3</c:v>
                </c:pt>
                <c:pt idx="153">
                  <c:v>7.6339115228735554E-3</c:v>
                </c:pt>
                <c:pt idx="154">
                  <c:v>7.2715956822121024E-3</c:v>
                </c:pt>
                <c:pt idx="155">
                  <c:v>7.5503389168829439E-3</c:v>
                </c:pt>
                <c:pt idx="156">
                  <c:v>7.2102928681042231E-3</c:v>
                </c:pt>
                <c:pt idx="157">
                  <c:v>7.744349374609885E-3</c:v>
                </c:pt>
                <c:pt idx="158">
                  <c:v>8.1366152927108415E-3</c:v>
                </c:pt>
                <c:pt idx="159">
                  <c:v>8.1269706802313928E-3</c:v>
                </c:pt>
                <c:pt idx="160">
                  <c:v>8.4884507134983904E-3</c:v>
                </c:pt>
                <c:pt idx="161">
                  <c:v>8.4904426599369063E-3</c:v>
                </c:pt>
                <c:pt idx="162">
                  <c:v>7.9372531792664697E-3</c:v>
                </c:pt>
                <c:pt idx="163">
                  <c:v>8.1252647162024568E-3</c:v>
                </c:pt>
                <c:pt idx="164">
                  <c:v>9.0485788865811937E-3</c:v>
                </c:pt>
                <c:pt idx="165">
                  <c:v>1.0237164383879088E-2</c:v>
                </c:pt>
                <c:pt idx="166">
                  <c:v>9.6000107923701582E-3</c:v>
                </c:pt>
                <c:pt idx="167">
                  <c:v>9.3535170781568373E-3</c:v>
                </c:pt>
                <c:pt idx="168">
                  <c:v>8.9605410410563465E-3</c:v>
                </c:pt>
                <c:pt idx="169">
                  <c:v>9.1884712241438737E-3</c:v>
                </c:pt>
                <c:pt idx="170">
                  <c:v>9.7308475740770888E-3</c:v>
                </c:pt>
                <c:pt idx="171">
                  <c:v>9.7187158960129159E-3</c:v>
                </c:pt>
                <c:pt idx="172">
                  <c:v>9.7163704241134078E-3</c:v>
                </c:pt>
                <c:pt idx="173">
                  <c:v>9.9689745149399607E-3</c:v>
                </c:pt>
                <c:pt idx="174">
                  <c:v>9.129088180172204E-3</c:v>
                </c:pt>
                <c:pt idx="175">
                  <c:v>9.1556169842560084E-3</c:v>
                </c:pt>
                <c:pt idx="176">
                  <c:v>8.7399350522027464E-3</c:v>
                </c:pt>
                <c:pt idx="177">
                  <c:v>7.9187776145824406E-3</c:v>
                </c:pt>
                <c:pt idx="178">
                  <c:v>7.9325289909792599E-3</c:v>
                </c:pt>
                <c:pt idx="179">
                  <c:v>8.0388879828628603E-3</c:v>
                </c:pt>
                <c:pt idx="180">
                  <c:v>8.0246670041504709E-3</c:v>
                </c:pt>
                <c:pt idx="181">
                  <c:v>7.8187086502994486E-3</c:v>
                </c:pt>
                <c:pt idx="182">
                  <c:v>7.5549064396878956E-3</c:v>
                </c:pt>
                <c:pt idx="183">
                  <c:v>7.3058374794130118E-3</c:v>
                </c:pt>
                <c:pt idx="184">
                  <c:v>7.4015160258152409E-3</c:v>
                </c:pt>
                <c:pt idx="185">
                  <c:v>7.3651513428564103E-3</c:v>
                </c:pt>
                <c:pt idx="186">
                  <c:v>8.3303638643545744E-3</c:v>
                </c:pt>
                <c:pt idx="187">
                  <c:v>8.6268256223353355E-3</c:v>
                </c:pt>
                <c:pt idx="188">
                  <c:v>8.9232873803160948E-3</c:v>
                </c:pt>
                <c:pt idx="189">
                  <c:v>8.494476712901055E-3</c:v>
                </c:pt>
                <c:pt idx="190">
                  <c:v>7.4579487931558455E-3</c:v>
                </c:pt>
                <c:pt idx="191">
                  <c:v>7.1941152971705157E-3</c:v>
                </c:pt>
                <c:pt idx="192">
                  <c:v>6.7070130163544442E-3</c:v>
                </c:pt>
                <c:pt idx="193">
                  <c:v>7.3620317885925868E-3</c:v>
                </c:pt>
                <c:pt idx="194">
                  <c:v>7.5579715304979426E-3</c:v>
                </c:pt>
                <c:pt idx="195">
                  <c:v>7.4830534599032794E-3</c:v>
                </c:pt>
                <c:pt idx="196">
                  <c:v>8.0517118030166753E-3</c:v>
                </c:pt>
                <c:pt idx="197">
                  <c:v>9.0267886284665037E-3</c:v>
                </c:pt>
                <c:pt idx="198">
                  <c:v>8.4789912723309789E-3</c:v>
                </c:pt>
                <c:pt idx="199">
                  <c:v>8.8474420119931639E-3</c:v>
                </c:pt>
                <c:pt idx="200">
                  <c:v>9.1675428807821823E-3</c:v>
                </c:pt>
                <c:pt idx="201">
                  <c:v>9.1461454426135635E-3</c:v>
                </c:pt>
                <c:pt idx="202">
                  <c:v>9.4062216097224767E-3</c:v>
                </c:pt>
                <c:pt idx="203">
                  <c:v>8.5145510427878796E-3</c:v>
                </c:pt>
                <c:pt idx="204">
                  <c:v>9.4255656741310326E-3</c:v>
                </c:pt>
                <c:pt idx="205">
                  <c:v>1.0565130599562505E-2</c:v>
                </c:pt>
                <c:pt idx="206">
                  <c:v>1.1627821115492926E-2</c:v>
                </c:pt>
                <c:pt idx="207">
                  <c:v>1.0092112261094641E-2</c:v>
                </c:pt>
                <c:pt idx="208">
                  <c:v>9.0785145316261001E-3</c:v>
                </c:pt>
                <c:pt idx="209">
                  <c:v>8.4541478533575291E-3</c:v>
                </c:pt>
                <c:pt idx="210">
                  <c:v>7.1049109192089805E-3</c:v>
                </c:pt>
                <c:pt idx="211">
                  <c:v>7.6087070936345542E-3</c:v>
                </c:pt>
                <c:pt idx="212">
                  <c:v>6.6632328018248728E-3</c:v>
                </c:pt>
                <c:pt idx="213">
                  <c:v>7.4637711937936314E-3</c:v>
                </c:pt>
                <c:pt idx="214">
                  <c:v>5.7755426066620407E-3</c:v>
                </c:pt>
                <c:pt idx="215">
                  <c:v>5.2142445929928196E-3</c:v>
                </c:pt>
                <c:pt idx="216">
                  <c:v>4.9300676440160755E-3</c:v>
                </c:pt>
                <c:pt idx="217">
                  <c:v>5.3782673238577678E-3</c:v>
                </c:pt>
                <c:pt idx="218">
                  <c:v>4.9357491978288858E-3</c:v>
                </c:pt>
                <c:pt idx="219">
                  <c:v>5.1363987774542203E-3</c:v>
                </c:pt>
                <c:pt idx="220">
                  <c:v>4.6711093796221901E-3</c:v>
                </c:pt>
                <c:pt idx="221">
                  <c:v>5.2569684101814625E-3</c:v>
                </c:pt>
                <c:pt idx="222">
                  <c:v>4.9959350194709743E-3</c:v>
                </c:pt>
                <c:pt idx="223">
                  <c:v>5.1310806529609246E-3</c:v>
                </c:pt>
                <c:pt idx="224">
                  <c:v>5.264433993955547E-3</c:v>
                </c:pt>
                <c:pt idx="225">
                  <c:v>5.3267182422484993E-3</c:v>
                </c:pt>
                <c:pt idx="226">
                  <c:v>5.5118538659924372E-3</c:v>
                </c:pt>
                <c:pt idx="227">
                  <c:v>5.7612290284934174E-3</c:v>
                </c:pt>
                <c:pt idx="228">
                  <c:v>5.5717970834061352E-3</c:v>
                </c:pt>
                <c:pt idx="229">
                  <c:v>5.3446000972798315E-3</c:v>
                </c:pt>
                <c:pt idx="230">
                  <c:v>5.2467935557664758E-3</c:v>
                </c:pt>
                <c:pt idx="231">
                  <c:v>5.4981395700975872E-3</c:v>
                </c:pt>
                <c:pt idx="232">
                  <c:v>5.8118271123130819E-3</c:v>
                </c:pt>
                <c:pt idx="233">
                  <c:v>5.610902549029342E-3</c:v>
                </c:pt>
                <c:pt idx="234">
                  <c:v>5.1472122739693957E-3</c:v>
                </c:pt>
                <c:pt idx="235">
                  <c:v>5.5025132743315146E-3</c:v>
                </c:pt>
                <c:pt idx="236">
                  <c:v>5.4559661146618777E-3</c:v>
                </c:pt>
                <c:pt idx="237">
                  <c:v>5.5927757735899355E-3</c:v>
                </c:pt>
                <c:pt idx="238">
                  <c:v>5.7936167088429493E-3</c:v>
                </c:pt>
                <c:pt idx="239">
                  <c:v>5.5564401055382536E-3</c:v>
                </c:pt>
                <c:pt idx="240">
                  <c:v>5.5738133695505451E-3</c:v>
                </c:pt>
                <c:pt idx="241">
                  <c:v>5.5011453577791854E-3</c:v>
                </c:pt>
                <c:pt idx="242">
                  <c:v>5.1048763191250176E-3</c:v>
                </c:pt>
                <c:pt idx="243">
                  <c:v>4.857538027958852E-3</c:v>
                </c:pt>
                <c:pt idx="244">
                  <c:v>5.0368499880021119E-3</c:v>
                </c:pt>
                <c:pt idx="245">
                  <c:v>5.2278114189554786E-3</c:v>
                </c:pt>
                <c:pt idx="246">
                  <c:v>5.3867151094640457E-3</c:v>
                </c:pt>
                <c:pt idx="247">
                  <c:v>4.8236907776552217E-3</c:v>
                </c:pt>
                <c:pt idx="248">
                  <c:v>4.2710026579898686E-3</c:v>
                </c:pt>
                <c:pt idx="249">
                  <c:v>3.6115415766974582E-3</c:v>
                </c:pt>
                <c:pt idx="250">
                  <c:v>3.5107200378935582E-3</c:v>
                </c:pt>
                <c:pt idx="251">
                  <c:v>4.1027004928767515E-3</c:v>
                </c:pt>
                <c:pt idx="252">
                  <c:v>4.4467254658650378E-3</c:v>
                </c:pt>
                <c:pt idx="253">
                  <c:v>3.7731650215879903E-3</c:v>
                </c:pt>
                <c:pt idx="254">
                  <c:v>4.221657043438928E-3</c:v>
                </c:pt>
                <c:pt idx="255">
                  <c:v>4.5897199081856212E-3</c:v>
                </c:pt>
                <c:pt idx="256">
                  <c:v>4.1352584052526415E-3</c:v>
                </c:pt>
                <c:pt idx="257">
                  <c:v>4.129141246305334E-3</c:v>
                </c:pt>
                <c:pt idx="258">
                  <c:v>4.5422471473708726E-3</c:v>
                </c:pt>
                <c:pt idx="259">
                  <c:v>4.6891388717990303E-3</c:v>
                </c:pt>
                <c:pt idx="260">
                  <c:v>4.392491424479214E-3</c:v>
                </c:pt>
                <c:pt idx="261">
                  <c:v>5.1231981248101516E-3</c:v>
                </c:pt>
                <c:pt idx="262">
                  <c:v>4.4010049707684388E-3</c:v>
                </c:pt>
                <c:pt idx="263">
                  <c:v>4.1440117454252402E-3</c:v>
                </c:pt>
                <c:pt idx="264">
                  <c:v>3.9824774337574248E-3</c:v>
                </c:pt>
                <c:pt idx="265">
                  <c:v>3.5890518424902774E-3</c:v>
                </c:pt>
                <c:pt idx="266">
                  <c:v>3.6638087717492896E-3</c:v>
                </c:pt>
                <c:pt idx="267">
                  <c:v>3.958076123834575E-3</c:v>
                </c:pt>
                <c:pt idx="268">
                  <c:v>3.5372700874154901E-3</c:v>
                </c:pt>
                <c:pt idx="269">
                  <c:v>4.1528653147038519E-3</c:v>
                </c:pt>
                <c:pt idx="270">
                  <c:v>3.5017875133772167E-3</c:v>
                </c:pt>
                <c:pt idx="271">
                  <c:v>4.0857064006298034E-3</c:v>
                </c:pt>
                <c:pt idx="272">
                  <c:v>3.6514578860962375E-3</c:v>
                </c:pt>
                <c:pt idx="273">
                  <c:v>2.8970609448581951E-3</c:v>
                </c:pt>
                <c:pt idx="274">
                  <c:v>3.1285847149995251E-3</c:v>
                </c:pt>
                <c:pt idx="275">
                  <c:v>3.0615991254566073E-3</c:v>
                </c:pt>
                <c:pt idx="276">
                  <c:v>3.1647861599966068E-3</c:v>
                </c:pt>
                <c:pt idx="277">
                  <c:v>2.659207209388394E-3</c:v>
                </c:pt>
                <c:pt idx="278">
                  <c:v>2.7494143407258173E-3</c:v>
                </c:pt>
                <c:pt idx="279">
                  <c:v>3.8143149077330082E-3</c:v>
                </c:pt>
                <c:pt idx="280">
                  <c:v>1.8655986188526124E-3</c:v>
                </c:pt>
                <c:pt idx="281">
                  <c:v>2.3241200379888146E-3</c:v>
                </c:pt>
                <c:pt idx="282">
                  <c:v>2.0798038719641227E-3</c:v>
                </c:pt>
                <c:pt idx="283">
                  <c:v>1.5420287581848144E-3</c:v>
                </c:pt>
                <c:pt idx="284">
                  <c:v>1.476249358973016E-3</c:v>
                </c:pt>
                <c:pt idx="285">
                  <c:v>1.2854647863649244E-3</c:v>
                </c:pt>
                <c:pt idx="286">
                  <c:v>1.7401397821704776E-3</c:v>
                </c:pt>
                <c:pt idx="287">
                  <c:v>2.2973693827799671E-3</c:v>
                </c:pt>
                <c:pt idx="288">
                  <c:v>1.808999536484526E-3</c:v>
                </c:pt>
                <c:pt idx="289">
                  <c:v>1.5263585887335658E-3</c:v>
                </c:pt>
                <c:pt idx="290">
                  <c:v>1.061156635396993E-3</c:v>
                </c:pt>
                <c:pt idx="291">
                  <c:v>7.9634746635136062E-4</c:v>
                </c:pt>
                <c:pt idx="292">
                  <c:v>5.2746055686493318E-4</c:v>
                </c:pt>
                <c:pt idx="293">
                  <c:v>4.3717560081675088E-4</c:v>
                </c:pt>
                <c:pt idx="294">
                  <c:v>5.6132296513874925E-4</c:v>
                </c:pt>
                <c:pt idx="295">
                  <c:v>6.0417156799201933E-4</c:v>
                </c:pt>
                <c:pt idx="296">
                  <c:v>1.0593783833432731E-3</c:v>
                </c:pt>
                <c:pt idx="297">
                  <c:v>1.360031254350349E-3</c:v>
                </c:pt>
                <c:pt idx="298">
                  <c:v>1.6751153824115022E-3</c:v>
                </c:pt>
                <c:pt idx="299">
                  <c:v>1.0558651380452775E-3</c:v>
                </c:pt>
                <c:pt idx="300">
                  <c:v>1.1338827944217277E-3</c:v>
                </c:pt>
                <c:pt idx="301">
                  <c:v>8.7277849705648077E-4</c:v>
                </c:pt>
                <c:pt idx="302">
                  <c:v>3.7173699765793647E-4</c:v>
                </c:pt>
                <c:pt idx="303">
                  <c:v>2.6051463311957542E-4</c:v>
                </c:pt>
                <c:pt idx="304">
                  <c:v>4.6613893546817103E-4</c:v>
                </c:pt>
                <c:pt idx="305">
                  <c:v>1.1197372850476997E-4</c:v>
                </c:pt>
                <c:pt idx="306">
                  <c:v>1.4512716038648482E-4</c:v>
                </c:pt>
                <c:pt idx="307">
                  <c:v>1.1861973053403985E-4</c:v>
                </c:pt>
                <c:pt idx="308">
                  <c:v>1.2951182340107908E-4</c:v>
                </c:pt>
                <c:pt idx="309">
                  <c:v>-8.4682212273251358E-5</c:v>
                </c:pt>
                <c:pt idx="310">
                  <c:v>9.1968970167771475E-5</c:v>
                </c:pt>
                <c:pt idx="311">
                  <c:v>4.6251267960017116E-4</c:v>
                </c:pt>
                <c:pt idx="312">
                  <c:v>8.9501421549125881E-4</c:v>
                </c:pt>
                <c:pt idx="313">
                  <c:v>1.1699160804877814E-3</c:v>
                </c:pt>
                <c:pt idx="314">
                  <c:v>1.3691907702187598E-3</c:v>
                </c:pt>
                <c:pt idx="315">
                  <c:v>1.2383637621807241E-3</c:v>
                </c:pt>
                <c:pt idx="316">
                  <c:v>1.4122393262929662E-3</c:v>
                </c:pt>
                <c:pt idx="317">
                  <c:v>1.2869126278278252E-3</c:v>
                </c:pt>
                <c:pt idx="318">
                  <c:v>1.2568744833572683E-3</c:v>
                </c:pt>
                <c:pt idx="319">
                  <c:v>1.316253795997717E-3</c:v>
                </c:pt>
                <c:pt idx="320">
                  <c:v>1.4677910794055713E-3</c:v>
                </c:pt>
                <c:pt idx="321">
                  <c:v>1.1662171464828443E-3</c:v>
                </c:pt>
                <c:pt idx="322">
                  <c:v>1.3352995243782462E-3</c:v>
                </c:pt>
                <c:pt idx="323">
                  <c:v>1.2950408790874128E-3</c:v>
                </c:pt>
                <c:pt idx="324">
                  <c:v>1.4926432571758493E-3</c:v>
                </c:pt>
                <c:pt idx="325">
                  <c:v>1.2218676359894137E-3</c:v>
                </c:pt>
                <c:pt idx="326">
                  <c:v>1.226565286190633E-3</c:v>
                </c:pt>
                <c:pt idx="327">
                  <c:v>1.1195824027929494E-3</c:v>
                </c:pt>
                <c:pt idx="328">
                  <c:v>1.1143175615524789E-3</c:v>
                </c:pt>
                <c:pt idx="329">
                  <c:v>9.8253392916559392E-4</c:v>
                </c:pt>
                <c:pt idx="330">
                  <c:v>1.0777517734767053E-3</c:v>
                </c:pt>
                <c:pt idx="331">
                  <c:v>1.3313705527978979E-3</c:v>
                </c:pt>
                <c:pt idx="332">
                  <c:v>1.575304731156369E-3</c:v>
                </c:pt>
                <c:pt idx="333">
                  <c:v>8.6629322295305572E-4</c:v>
                </c:pt>
                <c:pt idx="334">
                  <c:v>3.6036375279478814E-4</c:v>
                </c:pt>
                <c:pt idx="335">
                  <c:v>5.687451818096169E-4</c:v>
                </c:pt>
                <c:pt idx="336">
                  <c:v>3.4784139358501115E-4</c:v>
                </c:pt>
                <c:pt idx="337">
                  <c:v>7.6388492344614523E-4</c:v>
                </c:pt>
                <c:pt idx="338">
                  <c:v>4.1600635210871937E-4</c:v>
                </c:pt>
                <c:pt idx="339">
                  <c:v>2.9925670926609282E-4</c:v>
                </c:pt>
                <c:pt idx="340">
                  <c:v>2.3127050924032027E-4</c:v>
                </c:pt>
                <c:pt idx="341">
                  <c:v>2.9466536744698668E-4</c:v>
                </c:pt>
                <c:pt idx="342">
                  <c:v>5.8377766504860663E-4</c:v>
                </c:pt>
                <c:pt idx="343">
                  <c:v>7.236285818128385E-4</c:v>
                </c:pt>
                <c:pt idx="344">
                  <c:v>8.9501645900085468E-4</c:v>
                </c:pt>
                <c:pt idx="345">
                  <c:v>3.1739994839380327E-4</c:v>
                </c:pt>
                <c:pt idx="346">
                  <c:v>4.9001250854359044E-4</c:v>
                </c:pt>
                <c:pt idx="347">
                  <c:v>4.1118308332281693E-4</c:v>
                </c:pt>
                <c:pt idx="348">
                  <c:v>6.9092996488084163E-4</c:v>
                </c:pt>
                <c:pt idx="349">
                  <c:v>9.6619786714165733E-4</c:v>
                </c:pt>
                <c:pt idx="350">
                  <c:v>7.2819850334165828E-4</c:v>
                </c:pt>
                <c:pt idx="351">
                  <c:v>4.906587761507803E-4</c:v>
                </c:pt>
                <c:pt idx="352">
                  <c:v>6.6864813797046783E-4</c:v>
                </c:pt>
                <c:pt idx="353">
                  <c:v>-9.3607095850924298E-5</c:v>
                </c:pt>
                <c:pt idx="354">
                  <c:v>1.9687999979734405E-4</c:v>
                </c:pt>
                <c:pt idx="355">
                  <c:v>-9.6942472843279391E-5</c:v>
                </c:pt>
                <c:pt idx="356">
                  <c:v>3.4325157235672054E-4</c:v>
                </c:pt>
                <c:pt idx="357">
                  <c:v>-1.5806627388120377E-4</c:v>
                </c:pt>
                <c:pt idx="358">
                  <c:v>-5.2794759666223738E-4</c:v>
                </c:pt>
                <c:pt idx="359">
                  <c:v>-9.3165667818105352E-4</c:v>
                </c:pt>
                <c:pt idx="360">
                  <c:v>-1.0608051818373455E-3</c:v>
                </c:pt>
                <c:pt idx="361">
                  <c:v>-1.3498202908222854E-3</c:v>
                </c:pt>
                <c:pt idx="362">
                  <c:v>-1.9300278325085627E-3</c:v>
                </c:pt>
                <c:pt idx="363">
                  <c:v>-3.0068894951268514E-3</c:v>
                </c:pt>
                <c:pt idx="364">
                  <c:v>-3.5295849154827232E-3</c:v>
                </c:pt>
                <c:pt idx="365">
                  <c:v>-3.7484908893242988E-3</c:v>
                </c:pt>
                <c:pt idx="366">
                  <c:v>-3.6011711708393425E-3</c:v>
                </c:pt>
                <c:pt idx="367">
                  <c:v>-4.0214803596739885E-3</c:v>
                </c:pt>
                <c:pt idx="368">
                  <c:v>-3.5460015709426426E-3</c:v>
                </c:pt>
                <c:pt idx="369">
                  <c:v>-4.0659100725347983E-3</c:v>
                </c:pt>
                <c:pt idx="370">
                  <c:v>-4.1136693972911335E-3</c:v>
                </c:pt>
                <c:pt idx="371">
                  <c:v>-4.3534463007237779E-3</c:v>
                </c:pt>
                <c:pt idx="372">
                  <c:v>-3.8865350025461365E-3</c:v>
                </c:pt>
                <c:pt idx="373">
                  <c:v>-4.035811341562578E-3</c:v>
                </c:pt>
                <c:pt idx="374">
                  <c:v>-3.6669381190331286E-3</c:v>
                </c:pt>
                <c:pt idx="375">
                  <c:v>-3.751473864955075E-3</c:v>
                </c:pt>
                <c:pt idx="376">
                  <c:v>-3.8374090204129313E-3</c:v>
                </c:pt>
                <c:pt idx="377">
                  <c:v>-3.7011751850243432E-3</c:v>
                </c:pt>
                <c:pt idx="378">
                  <c:v>-3.702497729028737E-3</c:v>
                </c:pt>
                <c:pt idx="379">
                  <c:v>-3.760498104845425E-3</c:v>
                </c:pt>
                <c:pt idx="380">
                  <c:v>-4.2154297515274086E-3</c:v>
                </c:pt>
                <c:pt idx="381">
                  <c:v>-4.2808596746391021E-3</c:v>
                </c:pt>
                <c:pt idx="382">
                  <c:v>-4.1478923606752599E-3</c:v>
                </c:pt>
                <c:pt idx="383">
                  <c:v>-4.3843084178733045E-3</c:v>
                </c:pt>
                <c:pt idx="384">
                  <c:v>-4.5721221440537191E-3</c:v>
                </c:pt>
                <c:pt idx="385">
                  <c:v>-4.4991685062328955E-3</c:v>
                </c:pt>
                <c:pt idx="386">
                  <c:v>-4.0878326222014202E-3</c:v>
                </c:pt>
                <c:pt idx="387">
                  <c:v>-4.542289449345851E-3</c:v>
                </c:pt>
                <c:pt idx="388">
                  <c:v>-4.812401304707498E-3</c:v>
                </c:pt>
                <c:pt idx="389">
                  <c:v>-4.9073127868646416E-3</c:v>
                </c:pt>
                <c:pt idx="390">
                  <c:v>-5.0765218295252251E-3</c:v>
                </c:pt>
                <c:pt idx="391">
                  <c:v>-4.8701185056455451E-3</c:v>
                </c:pt>
                <c:pt idx="392">
                  <c:v>-4.6882685991353487E-3</c:v>
                </c:pt>
                <c:pt idx="393">
                  <c:v>-4.6476434630272692E-3</c:v>
                </c:pt>
                <c:pt idx="394">
                  <c:v>-5.1151703464451031E-3</c:v>
                </c:pt>
                <c:pt idx="395">
                  <c:v>-5.1947167580064305E-3</c:v>
                </c:pt>
                <c:pt idx="396">
                  <c:v>-5.4765709747436062E-3</c:v>
                </c:pt>
                <c:pt idx="397">
                  <c:v>-5.2770878285233165E-3</c:v>
                </c:pt>
                <c:pt idx="398">
                  <c:v>-5.1145025926486636E-3</c:v>
                </c:pt>
                <c:pt idx="399">
                  <c:v>-5.0755473275366633E-3</c:v>
                </c:pt>
                <c:pt idx="400">
                  <c:v>-5.2947498392669117E-3</c:v>
                </c:pt>
                <c:pt idx="401">
                  <c:v>-5.1235798237557507E-3</c:v>
                </c:pt>
                <c:pt idx="402">
                  <c:v>-5.2620370211638517E-3</c:v>
                </c:pt>
                <c:pt idx="403">
                  <c:v>-5.0408175258322783E-3</c:v>
                </c:pt>
                <c:pt idx="404">
                  <c:v>-4.7904141738744146E-3</c:v>
                </c:pt>
                <c:pt idx="405">
                  <c:v>-4.5121491607163326E-3</c:v>
                </c:pt>
                <c:pt idx="406">
                  <c:v>-4.2388584573778386E-3</c:v>
                </c:pt>
                <c:pt idx="407">
                  <c:v>-5.0256168081722168E-3</c:v>
                </c:pt>
                <c:pt idx="408">
                  <c:v>-5.3440323948022615E-3</c:v>
                </c:pt>
                <c:pt idx="409">
                  <c:v>-5.3201002055067196E-3</c:v>
                </c:pt>
                <c:pt idx="410">
                  <c:v>-5.4028993594451334E-3</c:v>
                </c:pt>
                <c:pt idx="411">
                  <c:v>-5.4340902052578801E-3</c:v>
                </c:pt>
                <c:pt idx="412">
                  <c:v>-5.2262260949599085E-3</c:v>
                </c:pt>
                <c:pt idx="413">
                  <c:v>-4.9398496437761943E-3</c:v>
                </c:pt>
                <c:pt idx="414">
                  <c:v>-4.2868573546216591E-3</c:v>
                </c:pt>
                <c:pt idx="415">
                  <c:v>-4.9896282261741821E-3</c:v>
                </c:pt>
                <c:pt idx="416">
                  <c:v>-3.6196272673274213E-3</c:v>
                </c:pt>
                <c:pt idx="417">
                  <c:v>-4.015123579168044E-3</c:v>
                </c:pt>
                <c:pt idx="418">
                  <c:v>-3.9035638907441265E-3</c:v>
                </c:pt>
                <c:pt idx="419">
                  <c:v>-4.5506803790435332E-3</c:v>
                </c:pt>
                <c:pt idx="420">
                  <c:v>-3.314974884953116E-3</c:v>
                </c:pt>
                <c:pt idx="421">
                  <c:v>-4.030857668490059E-3</c:v>
                </c:pt>
                <c:pt idx="422">
                  <c:v>-4.391603433502974E-3</c:v>
                </c:pt>
                <c:pt idx="423">
                  <c:v>-4.164278450845986E-3</c:v>
                </c:pt>
                <c:pt idx="424">
                  <c:v>-4.1502065157798477E-3</c:v>
                </c:pt>
                <c:pt idx="425">
                  <c:v>-4.2683968081488914E-3</c:v>
                </c:pt>
                <c:pt idx="426">
                  <c:v>-4.4370760517136202E-3</c:v>
                </c:pt>
                <c:pt idx="427">
                  <c:v>-4.4032438371721955E-3</c:v>
                </c:pt>
                <c:pt idx="428">
                  <c:v>-4.082954375079351E-3</c:v>
                </c:pt>
                <c:pt idx="429">
                  <c:v>-3.5435981683606455E-3</c:v>
                </c:pt>
                <c:pt idx="430">
                  <c:v>-3.5958533612232687E-3</c:v>
                </c:pt>
                <c:pt idx="431">
                  <c:v>-3.8559717736853624E-3</c:v>
                </c:pt>
                <c:pt idx="432">
                  <c:v>-3.6163924393984373E-3</c:v>
                </c:pt>
                <c:pt idx="433">
                  <c:v>-4.1682442098044089E-3</c:v>
                </c:pt>
                <c:pt idx="434">
                  <c:v>-3.9827934318827224E-3</c:v>
                </c:pt>
                <c:pt idx="435">
                  <c:v>-3.962620466289416E-3</c:v>
                </c:pt>
                <c:pt idx="436">
                  <c:v>-3.8093628627928386E-3</c:v>
                </c:pt>
                <c:pt idx="437">
                  <c:v>-3.7947587094286591E-3</c:v>
                </c:pt>
                <c:pt idx="438">
                  <c:v>-3.8229700990747902E-3</c:v>
                </c:pt>
                <c:pt idx="439">
                  <c:v>-3.6766157967694493E-3</c:v>
                </c:pt>
                <c:pt idx="440">
                  <c:v>-4.236007729428868E-3</c:v>
                </c:pt>
                <c:pt idx="441">
                  <c:v>-4.7379244486072721E-3</c:v>
                </c:pt>
                <c:pt idx="442">
                  <c:v>-4.7627678732429859E-3</c:v>
                </c:pt>
                <c:pt idx="443">
                  <c:v>-4.4885678770066398E-3</c:v>
                </c:pt>
                <c:pt idx="444">
                  <c:v>-4.644053643066361E-3</c:v>
                </c:pt>
                <c:pt idx="445">
                  <c:v>-4.4967715121189923E-3</c:v>
                </c:pt>
                <c:pt idx="446">
                  <c:v>-4.5516281394404647E-3</c:v>
                </c:pt>
                <c:pt idx="447">
                  <c:v>-4.0013891379028855E-3</c:v>
                </c:pt>
                <c:pt idx="448">
                  <c:v>-4.1773030646646628E-3</c:v>
                </c:pt>
                <c:pt idx="449">
                  <c:v>-4.3306742858829836E-3</c:v>
                </c:pt>
                <c:pt idx="450">
                  <c:v>-4.4977915929531129E-3</c:v>
                </c:pt>
                <c:pt idx="451">
                  <c:v>-4.637190301133228E-3</c:v>
                </c:pt>
                <c:pt idx="452">
                  <c:v>-4.5155911535338924E-3</c:v>
                </c:pt>
                <c:pt idx="453">
                  <c:v>-4.5714726666505369E-3</c:v>
                </c:pt>
                <c:pt idx="454">
                  <c:v>-4.4560490991996122E-3</c:v>
                </c:pt>
                <c:pt idx="455">
                  <c:v>-4.339035408641688E-3</c:v>
                </c:pt>
                <c:pt idx="456">
                  <c:v>-3.9852871830286527E-3</c:v>
                </c:pt>
                <c:pt idx="457">
                  <c:v>-3.5800726011689316E-3</c:v>
                </c:pt>
                <c:pt idx="458">
                  <c:v>-3.7706336859523589E-3</c:v>
                </c:pt>
                <c:pt idx="459">
                  <c:v>-3.6879451827293163E-3</c:v>
                </c:pt>
                <c:pt idx="460">
                  <c:v>-3.5200553897710794E-3</c:v>
                </c:pt>
                <c:pt idx="461">
                  <c:v>-3.5553816840297307E-3</c:v>
                </c:pt>
                <c:pt idx="462">
                  <c:v>-3.5591646878943462E-3</c:v>
                </c:pt>
                <c:pt idx="463">
                  <c:v>-3.7512994620770694E-3</c:v>
                </c:pt>
                <c:pt idx="464">
                  <c:v>-3.677701272805995E-3</c:v>
                </c:pt>
                <c:pt idx="465">
                  <c:v>-3.5246177809281189E-3</c:v>
                </c:pt>
                <c:pt idx="466">
                  <c:v>-3.4576642085331643E-3</c:v>
                </c:pt>
                <c:pt idx="467">
                  <c:v>-3.4321271922143799E-3</c:v>
                </c:pt>
                <c:pt idx="468">
                  <c:v>-3.3988667714062717E-3</c:v>
                </c:pt>
                <c:pt idx="469">
                  <c:v>-3.4147234578712844E-3</c:v>
                </c:pt>
                <c:pt idx="470">
                  <c:v>-3.3931128069775098E-3</c:v>
                </c:pt>
                <c:pt idx="471">
                  <c:v>-3.1659085744609552E-3</c:v>
                </c:pt>
                <c:pt idx="472">
                  <c:v>-3.0507604048198244E-3</c:v>
                </c:pt>
                <c:pt idx="473">
                  <c:v>-3.0707856177720075E-3</c:v>
                </c:pt>
                <c:pt idx="474">
                  <c:v>-3.1744741075212307E-3</c:v>
                </c:pt>
                <c:pt idx="475">
                  <c:v>-2.8454348425685787E-3</c:v>
                </c:pt>
                <c:pt idx="476">
                  <c:v>-3.2702202121186472E-3</c:v>
                </c:pt>
                <c:pt idx="477">
                  <c:v>-3.2740990992392027E-3</c:v>
                </c:pt>
                <c:pt idx="478">
                  <c:v>-3.7377266621951349E-3</c:v>
                </c:pt>
                <c:pt idx="479">
                  <c:v>-3.3420529835469603E-3</c:v>
                </c:pt>
                <c:pt idx="480">
                  <c:v>-3.4061323181715677E-3</c:v>
                </c:pt>
                <c:pt idx="481">
                  <c:v>-3.3789393330663042E-3</c:v>
                </c:pt>
                <c:pt idx="482">
                  <c:v>-3.318468281063483E-3</c:v>
                </c:pt>
                <c:pt idx="483">
                  <c:v>-3.1668805384934555E-3</c:v>
                </c:pt>
                <c:pt idx="484">
                  <c:v>-3.0451957864489508E-3</c:v>
                </c:pt>
                <c:pt idx="485">
                  <c:v>-3.0527882209290115E-3</c:v>
                </c:pt>
                <c:pt idx="486">
                  <c:v>-3.1232765096980896E-3</c:v>
                </c:pt>
                <c:pt idx="487">
                  <c:v>-2.8997966223426128E-3</c:v>
                </c:pt>
                <c:pt idx="488">
                  <c:v>-2.8534164325857022E-3</c:v>
                </c:pt>
                <c:pt idx="489">
                  <c:v>-2.9202104249161937E-3</c:v>
                </c:pt>
                <c:pt idx="490">
                  <c:v>-2.9494738575128786E-3</c:v>
                </c:pt>
                <c:pt idx="491">
                  <c:v>-3.1470885308320972E-3</c:v>
                </c:pt>
                <c:pt idx="492">
                  <c:v>-2.8120215928501948E-3</c:v>
                </c:pt>
                <c:pt idx="493">
                  <c:v>-3.1378116901530986E-3</c:v>
                </c:pt>
                <c:pt idx="494">
                  <c:v>-2.9724990090846952E-3</c:v>
                </c:pt>
                <c:pt idx="495">
                  <c:v>-2.9209010081086822E-3</c:v>
                </c:pt>
                <c:pt idx="496">
                  <c:v>-2.8237103370542713E-3</c:v>
                </c:pt>
                <c:pt idx="497">
                  <c:v>-2.5901954215624204E-3</c:v>
                </c:pt>
                <c:pt idx="498">
                  <c:v>-2.9096087327566559E-3</c:v>
                </c:pt>
                <c:pt idx="499">
                  <c:v>-3.0267987237058229E-3</c:v>
                </c:pt>
                <c:pt idx="500">
                  <c:v>-2.9038248382870554E-3</c:v>
                </c:pt>
                <c:pt idx="501">
                  <c:v>-2.9530084626149941E-3</c:v>
                </c:pt>
                <c:pt idx="502">
                  <c:v>-2.7095673697371606E-3</c:v>
                </c:pt>
                <c:pt idx="503">
                  <c:v>-2.8743047812704084E-3</c:v>
                </c:pt>
                <c:pt idx="504">
                  <c:v>-3.036449805247587E-3</c:v>
                </c:pt>
                <c:pt idx="505">
                  <c:v>-2.7246996632800378E-3</c:v>
                </c:pt>
                <c:pt idx="506">
                  <c:v>-2.8047276553509301E-3</c:v>
                </c:pt>
                <c:pt idx="507">
                  <c:v>-2.7163401914070944E-3</c:v>
                </c:pt>
                <c:pt idx="508">
                  <c:v>-3.2287136847682016E-3</c:v>
                </c:pt>
                <c:pt idx="509">
                  <c:v>-3.5082739700564819E-3</c:v>
                </c:pt>
                <c:pt idx="510">
                  <c:v>-3.091761501605362E-3</c:v>
                </c:pt>
                <c:pt idx="511">
                  <c:v>-2.8896507454392946E-3</c:v>
                </c:pt>
                <c:pt idx="512">
                  <c:v>-1.9653667427739644E-3</c:v>
                </c:pt>
                <c:pt idx="513">
                  <c:v>-1.8563419100689873E-3</c:v>
                </c:pt>
                <c:pt idx="514">
                  <c:v>-2.0052366282450858E-3</c:v>
                </c:pt>
                <c:pt idx="515">
                  <c:v>-2.479336249595121E-3</c:v>
                </c:pt>
                <c:pt idx="516">
                  <c:v>-2.8003561897319757E-3</c:v>
                </c:pt>
                <c:pt idx="517">
                  <c:v>-2.8374660130694013E-3</c:v>
                </c:pt>
                <c:pt idx="518">
                  <c:v>-2.9302438164785557E-3</c:v>
                </c:pt>
                <c:pt idx="519">
                  <c:v>-2.8981712936637163E-3</c:v>
                </c:pt>
                <c:pt idx="520">
                  <c:v>-3.1101690717949301E-3</c:v>
                </c:pt>
                <c:pt idx="521">
                  <c:v>-2.8232217874153745E-3</c:v>
                </c:pt>
                <c:pt idx="522">
                  <c:v>-2.9807593079144543E-3</c:v>
                </c:pt>
                <c:pt idx="523">
                  <c:v>-2.9321200144583177E-3</c:v>
                </c:pt>
                <c:pt idx="524">
                  <c:v>-3.2476845509733132E-3</c:v>
                </c:pt>
                <c:pt idx="525">
                  <c:v>-2.8321608433827393E-3</c:v>
                </c:pt>
                <c:pt idx="526">
                  <c:v>-2.647310473338489E-3</c:v>
                </c:pt>
                <c:pt idx="527">
                  <c:v>-1.9115585682233358E-3</c:v>
                </c:pt>
                <c:pt idx="528">
                  <c:v>-2.3724155313454153E-3</c:v>
                </c:pt>
                <c:pt idx="529">
                  <c:v>-1.8405772659978888E-3</c:v>
                </c:pt>
                <c:pt idx="530">
                  <c:v>-1.9557174330527443E-3</c:v>
                </c:pt>
                <c:pt idx="531">
                  <c:v>-1.7462887303638715E-3</c:v>
                </c:pt>
                <c:pt idx="532">
                  <c:v>-1.0498289258243359E-3</c:v>
                </c:pt>
                <c:pt idx="533">
                  <c:v>-6.4113672402791471E-4</c:v>
                </c:pt>
                <c:pt idx="534">
                  <c:v>1.6173871802588734E-4</c:v>
                </c:pt>
                <c:pt idx="535">
                  <c:v>-6.7037065211946487E-4</c:v>
                </c:pt>
                <c:pt idx="536">
                  <c:v>-6.7681873594903038E-4</c:v>
                </c:pt>
                <c:pt idx="537">
                  <c:v>-1.1010272783639188E-3</c:v>
                </c:pt>
                <c:pt idx="538">
                  <c:v>-1.0071078827639203E-3</c:v>
                </c:pt>
                <c:pt idx="539">
                  <c:v>-1.5962091573757673E-3</c:v>
                </c:pt>
                <c:pt idx="540">
                  <c:v>-1.5651980687320728E-3</c:v>
                </c:pt>
                <c:pt idx="541">
                  <c:v>-1.5427132297884969E-3</c:v>
                </c:pt>
                <c:pt idx="542">
                  <c:v>-1.636189432544944E-3</c:v>
                </c:pt>
                <c:pt idx="543">
                  <c:v>-1.5735663625692522E-3</c:v>
                </c:pt>
                <c:pt idx="544">
                  <c:v>-1.6470248592517305E-3</c:v>
                </c:pt>
                <c:pt idx="545">
                  <c:v>-1.5689265925922509E-3</c:v>
                </c:pt>
                <c:pt idx="546">
                  <c:v>-1.552105036737412E-3</c:v>
                </c:pt>
                <c:pt idx="547">
                  <c:v>-1.5253560685158803E-3</c:v>
                </c:pt>
                <c:pt idx="548">
                  <c:v>-1.4438533286415338E-3</c:v>
                </c:pt>
                <c:pt idx="549">
                  <c:v>-1.5294576155850696E-3</c:v>
                </c:pt>
                <c:pt idx="550">
                  <c:v>-1.3814257861223971E-3</c:v>
                </c:pt>
                <c:pt idx="551">
                  <c:v>-1.300113276907085E-3</c:v>
                </c:pt>
                <c:pt idx="552">
                  <c:v>-1.3093816238495257E-3</c:v>
                </c:pt>
                <c:pt idx="553">
                  <c:v>-1.24167400594255E-3</c:v>
                </c:pt>
                <c:pt idx="554">
                  <c:v>-1.0749175220200126E-3</c:v>
                </c:pt>
                <c:pt idx="555">
                  <c:v>-1.1584443128756826E-3</c:v>
                </c:pt>
                <c:pt idx="556">
                  <c:v>-1.1630119020457031E-3</c:v>
                </c:pt>
                <c:pt idx="557">
                  <c:v>-8.7678776401127218E-4</c:v>
                </c:pt>
                <c:pt idx="558">
                  <c:v>-9.36478858197418E-4</c:v>
                </c:pt>
                <c:pt idx="559">
                  <c:v>-8.8069138194884567E-4</c:v>
                </c:pt>
                <c:pt idx="560">
                  <c:v>-9.5771634868368268E-4</c:v>
                </c:pt>
                <c:pt idx="561">
                  <c:v>-8.5145387849456698E-4</c:v>
                </c:pt>
                <c:pt idx="562">
                  <c:v>-7.4852399069186097E-4</c:v>
                </c:pt>
                <c:pt idx="563">
                  <c:v>-7.6989755022924418E-4</c:v>
                </c:pt>
                <c:pt idx="564">
                  <c:v>-7.298070203954984E-4</c:v>
                </c:pt>
                <c:pt idx="565">
                  <c:v>-7.1985977515416557E-4</c:v>
                </c:pt>
                <c:pt idx="566">
                  <c:v>-6.8208316683827832E-4</c:v>
                </c:pt>
                <c:pt idx="567">
                  <c:v>-6.3733556872565061E-4</c:v>
                </c:pt>
                <c:pt idx="568">
                  <c:v>-5.6558448245653094E-4</c:v>
                </c:pt>
                <c:pt idx="569">
                  <c:v>-5.4939705033365182E-4</c:v>
                </c:pt>
                <c:pt idx="570">
                  <c:v>-4.7697964317379524E-4</c:v>
                </c:pt>
                <c:pt idx="571">
                  <c:v>-4.2594689641925032E-4</c:v>
                </c:pt>
                <c:pt idx="572">
                  <c:v>-4.7535496466156714E-4</c:v>
                </c:pt>
                <c:pt idx="573">
                  <c:v>-5.1409130672517862E-4</c:v>
                </c:pt>
                <c:pt idx="574">
                  <c:v>-3.2768278129227175E-4</c:v>
                </c:pt>
                <c:pt idx="575">
                  <c:v>-1.6193855770384771E-4</c:v>
                </c:pt>
                <c:pt idx="576">
                  <c:v>-3.2396324997990081E-5</c:v>
                </c:pt>
                <c:pt idx="577">
                  <c:v>8.5510655108676615E-5</c:v>
                </c:pt>
                <c:pt idx="578">
                  <c:v>1.5092071236864806E-4</c:v>
                </c:pt>
                <c:pt idx="579">
                  <c:v>1.052691542718139E-4</c:v>
                </c:pt>
                <c:pt idx="580">
                  <c:v>1.9922878984940335E-4</c:v>
                </c:pt>
                <c:pt idx="581">
                  <c:v>2.3903503456304496E-5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06-4AE6-B4B3-607718120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8916079"/>
        <c:axId val="1948918159"/>
      </c:lineChart>
      <c:dateAx>
        <c:axId val="19489160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918159"/>
        <c:crosses val="autoZero"/>
        <c:auto val="1"/>
        <c:lblOffset val="100"/>
        <c:baseTimeUnit val="days"/>
      </c:dateAx>
      <c:valAx>
        <c:axId val="194891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916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C57E8A2-F4A0-4582-827E-F2AE911657D4}">
  <sheetPr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8919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33C6C6-FD02-4830-86F5-9C33821F61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911</v>
      </c>
      <c r="D2" s="4">
        <f>MIN(D3:D1912)</f>
        <v>80.62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125.5</v>
      </c>
      <c r="C5">
        <v>126.3</v>
      </c>
      <c r="D5">
        <v>120.7</v>
      </c>
      <c r="E5">
        <v>120.9</v>
      </c>
      <c r="F5">
        <v>5245.4129999999996</v>
      </c>
      <c r="G5">
        <v>120.9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-0.92857142857142749</v>
      </c>
      <c r="Q5">
        <f t="shared" ref="Q5" si="1">F5*P5</f>
        <v>-4870.7406428571367</v>
      </c>
      <c r="R5">
        <f t="shared" ref="R5" si="2">R6+Q5</f>
        <v>927091.31927351665</v>
      </c>
      <c r="S5">
        <f t="shared" ref="S5" si="3">R5/100000</f>
        <v>9.2709131927351667</v>
      </c>
      <c r="T5">
        <f t="shared" ref="T5" si="4">S5/1000</f>
        <v>9.2709131927351668E-3</v>
      </c>
    </row>
    <row r="6" spans="1:20" x14ac:dyDescent="0.25">
      <c r="A6" s="5">
        <v>44587</v>
      </c>
      <c r="B6">
        <v>126.7</v>
      </c>
      <c r="C6">
        <v>136.69999999999999</v>
      </c>
      <c r="D6">
        <v>122.7</v>
      </c>
      <c r="E6">
        <v>125.4</v>
      </c>
      <c r="F6">
        <v>60928.963000000003</v>
      </c>
      <c r="G6">
        <v>125.4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-0.61428571428571344</v>
      </c>
      <c r="Q6">
        <f t="shared" ref="Q6" si="6">F6*P6</f>
        <v>-37427.791557142809</v>
      </c>
      <c r="R6">
        <f t="shared" ref="R6" si="7">R7+Q6</f>
        <v>931962.05991637381</v>
      </c>
      <c r="S6">
        <f t="shared" ref="S6" si="8">R6/100000</f>
        <v>9.3196205991637378</v>
      </c>
      <c r="T6">
        <f t="shared" ref="T6" si="9">S6/1000</f>
        <v>9.3196205991637384E-3</v>
      </c>
    </row>
    <row r="7" spans="1:20" x14ac:dyDescent="0.25">
      <c r="A7" s="5">
        <v>44586</v>
      </c>
      <c r="B7">
        <v>124.7</v>
      </c>
      <c r="C7">
        <v>128</v>
      </c>
      <c r="D7">
        <v>121.3</v>
      </c>
      <c r="E7">
        <v>126.6</v>
      </c>
      <c r="F7">
        <v>36766.243999999999</v>
      </c>
      <c r="G7">
        <v>126.6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0.58208955223880443</v>
      </c>
      <c r="Q7">
        <f t="shared" ref="Q7" si="11">F7*P7</f>
        <v>21401.246507462631</v>
      </c>
      <c r="R7">
        <f t="shared" ref="R7" si="12">R8+Q7</f>
        <v>969389.85147351667</v>
      </c>
      <c r="S7">
        <f t="shared" ref="S7" si="13">R7/100000</f>
        <v>9.6938985147351673</v>
      </c>
      <c r="T7">
        <f t="shared" ref="T7" si="14">S7/1000</f>
        <v>9.6938985147351671E-3</v>
      </c>
    </row>
    <row r="8" spans="1:20" x14ac:dyDescent="0.25">
      <c r="A8" s="5">
        <v>44585</v>
      </c>
      <c r="B8">
        <v>128.19999999999999</v>
      </c>
      <c r="C8">
        <v>128.19999999999999</v>
      </c>
      <c r="D8">
        <v>109.3</v>
      </c>
      <c r="E8">
        <v>124.5</v>
      </c>
      <c r="F8">
        <v>81972.326000000001</v>
      </c>
      <c r="G8">
        <v>124.5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0.60846560846560949</v>
      </c>
      <c r="Q8">
        <f t="shared" ref="Q8" si="16">F8*P8</f>
        <v>49877.341216931301</v>
      </c>
      <c r="R8">
        <f t="shared" ref="R8" si="17">R9+Q8</f>
        <v>947988.60496605409</v>
      </c>
      <c r="S8">
        <f t="shared" ref="S8" si="18">R8/100000</f>
        <v>9.479886049660541</v>
      </c>
      <c r="T8">
        <f t="shared" ref="T8" si="19">S8/1000</f>
        <v>9.4798860496605412E-3</v>
      </c>
    </row>
    <row r="9" spans="1:20" x14ac:dyDescent="0.25">
      <c r="A9" s="5">
        <v>44584</v>
      </c>
      <c r="B9">
        <v>123</v>
      </c>
      <c r="C9">
        <v>131</v>
      </c>
      <c r="D9">
        <v>121.3</v>
      </c>
      <c r="E9">
        <v>128.4</v>
      </c>
      <c r="F9">
        <v>46730.107000000004</v>
      </c>
      <c r="G9">
        <v>128.4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0.46391752577319723</v>
      </c>
      <c r="Q9">
        <f t="shared" ref="Q9" si="21">F9*P9</f>
        <v>21678.915618556766</v>
      </c>
      <c r="R9">
        <f t="shared" ref="R9" si="22">R10+Q9</f>
        <v>898111.26374912274</v>
      </c>
      <c r="S9">
        <f t="shared" ref="S9" si="23">R9/100000</f>
        <v>8.9811126374912273</v>
      </c>
      <c r="T9">
        <f t="shared" ref="T9" si="24">S9/1000</f>
        <v>8.9811126374912276E-3</v>
      </c>
    </row>
    <row r="10" spans="1:20" x14ac:dyDescent="0.25">
      <c r="A10" s="5">
        <v>44583</v>
      </c>
      <c r="B10">
        <v>139.1</v>
      </c>
      <c r="C10">
        <v>141.80000000000001</v>
      </c>
      <c r="D10">
        <v>110.2</v>
      </c>
      <c r="E10">
        <v>123</v>
      </c>
      <c r="F10">
        <v>110857.349</v>
      </c>
      <c r="G10">
        <v>123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-0.18987341772151939</v>
      </c>
      <c r="Q10">
        <f t="shared" ref="Q10" si="26">F10*P10</f>
        <v>-21048.863734177259</v>
      </c>
      <c r="R10">
        <f t="shared" ref="R10" si="27">R11+Q10</f>
        <v>876432.34813056595</v>
      </c>
      <c r="S10">
        <f t="shared" ref="S10" si="28">R10/100000</f>
        <v>8.7643234813056594</v>
      </c>
      <c r="T10">
        <f t="shared" ref="T10" si="29">S10/1000</f>
        <v>8.7643234813056595E-3</v>
      </c>
    </row>
    <row r="11" spans="1:20" x14ac:dyDescent="0.25">
      <c r="A11" s="5">
        <v>44582</v>
      </c>
      <c r="B11">
        <v>161.1</v>
      </c>
      <c r="C11">
        <v>162.9</v>
      </c>
      <c r="D11">
        <v>135</v>
      </c>
      <c r="E11">
        <v>139</v>
      </c>
      <c r="F11">
        <v>71270.830910000004</v>
      </c>
      <c r="G11">
        <v>139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-0.71326164874551978</v>
      </c>
      <c r="Q11">
        <f t="shared" ref="Q11" si="31">F11*P11</f>
        <v>-50834.75036232976</v>
      </c>
      <c r="R11">
        <f t="shared" ref="R11" si="32">R12+Q11</f>
        <v>897481.21186474327</v>
      </c>
      <c r="S11">
        <f t="shared" ref="S11" si="33">R11/100000</f>
        <v>8.9748121186474332</v>
      </c>
      <c r="T11">
        <f t="shared" ref="T11" si="34">S11/1000</f>
        <v>8.9748121186474326E-3</v>
      </c>
    </row>
    <row r="12" spans="1:20" x14ac:dyDescent="0.25">
      <c r="A12" s="5">
        <v>44581</v>
      </c>
      <c r="B12">
        <v>168.1</v>
      </c>
      <c r="C12">
        <v>177.3</v>
      </c>
      <c r="D12">
        <v>160.5</v>
      </c>
      <c r="E12">
        <v>161.19999999999999</v>
      </c>
      <c r="F12">
        <v>33566.199000000001</v>
      </c>
      <c r="G12">
        <v>161.19999999999999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-0.91666666666666807</v>
      </c>
      <c r="Q12">
        <f t="shared" ref="Q12" si="36">F12*P12</f>
        <v>-30769.015750000046</v>
      </c>
      <c r="R12">
        <f t="shared" ref="R12" si="37">R13+Q12</f>
        <v>948315.96222707303</v>
      </c>
      <c r="S12">
        <f t="shared" ref="S12" si="38">R12/100000</f>
        <v>9.4831596222707297</v>
      </c>
      <c r="T12">
        <f t="shared" ref="T12" si="39">S12/1000</f>
        <v>9.4831596222707294E-3</v>
      </c>
    </row>
    <row r="13" spans="1:20" x14ac:dyDescent="0.25">
      <c r="A13" s="5">
        <v>44580</v>
      </c>
      <c r="B13">
        <v>180.2</v>
      </c>
      <c r="C13">
        <v>181</v>
      </c>
      <c r="D13">
        <v>166</v>
      </c>
      <c r="E13">
        <v>168.1</v>
      </c>
      <c r="F13">
        <v>48010.489000000001</v>
      </c>
      <c r="G13">
        <v>168.1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-0.72000000000000075</v>
      </c>
      <c r="Q13">
        <f t="shared" ref="Q13" si="41">F13*P13</f>
        <v>-34567.552080000038</v>
      </c>
      <c r="R13">
        <f t="shared" ref="R13" si="42">R14+Q13</f>
        <v>979084.97797707305</v>
      </c>
      <c r="S13">
        <f t="shared" ref="S13" si="43">R13/100000</f>
        <v>9.7908497797707312</v>
      </c>
      <c r="T13">
        <f t="shared" ref="T13" si="44">S13/1000</f>
        <v>9.7908497797707314E-3</v>
      </c>
    </row>
    <row r="14" spans="1:20" x14ac:dyDescent="0.25">
      <c r="A14" s="5">
        <v>44579</v>
      </c>
      <c r="B14">
        <v>181.3</v>
      </c>
      <c r="C14">
        <v>183.7</v>
      </c>
      <c r="D14">
        <v>173.4</v>
      </c>
      <c r="E14">
        <v>180.3</v>
      </c>
      <c r="F14">
        <v>37048.764999999999</v>
      </c>
      <c r="G14">
        <v>180.3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0.33980582524272179</v>
      </c>
      <c r="Q14">
        <f t="shared" ref="Q14" si="46">F14*P14</f>
        <v>12589.386165048667</v>
      </c>
      <c r="R14">
        <f t="shared" ref="R14" si="47">R15+Q14</f>
        <v>1013652.5300570731</v>
      </c>
      <c r="S14">
        <f t="shared" ref="S14" si="48">R14/100000</f>
        <v>10.136525300570732</v>
      </c>
      <c r="T14">
        <f t="shared" ref="T14" si="49">S14/1000</f>
        <v>1.0136525300570732E-2</v>
      </c>
    </row>
    <row r="15" spans="1:20" x14ac:dyDescent="0.25">
      <c r="A15" s="5">
        <v>44578</v>
      </c>
      <c r="B15">
        <v>191.2</v>
      </c>
      <c r="C15">
        <v>191.8</v>
      </c>
      <c r="D15">
        <v>177.7</v>
      </c>
      <c r="E15">
        <v>181.5</v>
      </c>
      <c r="F15">
        <v>37380.877</v>
      </c>
      <c r="G15">
        <v>181.5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-0.46099290780141772</v>
      </c>
      <c r="Q15">
        <f t="shared" ref="Q15" si="51">F15*P15</f>
        <v>-17232.319184397136</v>
      </c>
      <c r="R15">
        <f t="shared" ref="R15" si="52">R16+Q15</f>
        <v>1001063.1438920244</v>
      </c>
      <c r="S15">
        <f t="shared" ref="S15" si="53">R15/100000</f>
        <v>10.010631438920244</v>
      </c>
      <c r="T15">
        <f t="shared" ref="T15" si="54">S15/1000</f>
        <v>1.0010631438920245E-2</v>
      </c>
    </row>
    <row r="16" spans="1:20" x14ac:dyDescent="0.25">
      <c r="A16" s="5">
        <v>44577</v>
      </c>
      <c r="B16">
        <v>190.4</v>
      </c>
      <c r="C16">
        <v>192.3</v>
      </c>
      <c r="D16">
        <v>186.1</v>
      </c>
      <c r="E16">
        <v>191.2</v>
      </c>
      <c r="F16">
        <v>28683.347000000002</v>
      </c>
      <c r="G16">
        <v>191.2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0.6451612903225743</v>
      </c>
      <c r="Q16">
        <f t="shared" ref="Q16" si="56">F16*P16</f>
        <v>18505.385161290142</v>
      </c>
      <c r="R16">
        <f t="shared" ref="R16" si="57">R17+Q16</f>
        <v>1018295.4630764215</v>
      </c>
      <c r="S16">
        <f t="shared" ref="S16" si="58">R16/100000</f>
        <v>10.182954630764215</v>
      </c>
      <c r="T16">
        <f t="shared" ref="T16" si="59">S16/1000</f>
        <v>1.0182954630764214E-2</v>
      </c>
    </row>
    <row r="17" spans="1:20" x14ac:dyDescent="0.25">
      <c r="A17" s="5">
        <v>44576</v>
      </c>
      <c r="B17">
        <v>190.3</v>
      </c>
      <c r="C17">
        <v>199.4</v>
      </c>
      <c r="D17">
        <v>189.1</v>
      </c>
      <c r="E17">
        <v>190.4</v>
      </c>
      <c r="F17">
        <v>20905.744999999999</v>
      </c>
      <c r="G17">
        <v>190.4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-0.7475728155339787</v>
      </c>
      <c r="Q17">
        <f t="shared" ref="Q17" si="61">F17*P17</f>
        <v>-15628.566650485396</v>
      </c>
      <c r="R17">
        <f t="shared" ref="R17" si="62">R18+Q17</f>
        <v>999790.07791513135</v>
      </c>
      <c r="S17">
        <f t="shared" ref="S17" si="63">R17/100000</f>
        <v>9.9979007791513137</v>
      </c>
      <c r="T17">
        <f t="shared" ref="T17" si="64">S17/1000</f>
        <v>9.9979007791513134E-3</v>
      </c>
    </row>
    <row r="18" spans="1:20" x14ac:dyDescent="0.25">
      <c r="A18" s="5">
        <v>44575</v>
      </c>
      <c r="B18">
        <v>186.7</v>
      </c>
      <c r="C18">
        <v>193.4</v>
      </c>
      <c r="D18">
        <v>182.6</v>
      </c>
      <c r="E18">
        <v>190.3</v>
      </c>
      <c r="F18">
        <v>27778.544000000002</v>
      </c>
      <c r="G18">
        <v>190.3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0.4259259259259276</v>
      </c>
      <c r="Q18">
        <f t="shared" ref="Q18" si="66">F18*P18</f>
        <v>11831.602074074121</v>
      </c>
      <c r="R18">
        <f t="shared" ref="R18" si="67">R19+Q18</f>
        <v>1015418.6445656167</v>
      </c>
      <c r="S18">
        <f t="shared" ref="S18" si="68">R18/100000</f>
        <v>10.154186445656167</v>
      </c>
      <c r="T18">
        <f t="shared" ref="T18" si="69">S18/1000</f>
        <v>1.0154186445656167E-2</v>
      </c>
    </row>
    <row r="19" spans="1:20" x14ac:dyDescent="0.25">
      <c r="A19" s="5">
        <v>44574</v>
      </c>
      <c r="B19">
        <v>196.8</v>
      </c>
      <c r="C19">
        <v>202.4</v>
      </c>
      <c r="D19">
        <v>186.1</v>
      </c>
      <c r="E19">
        <v>186.7</v>
      </c>
      <c r="F19">
        <v>33818.163999999997</v>
      </c>
      <c r="G19">
        <v>186.7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-0.92638036809816027</v>
      </c>
      <c r="Q19">
        <f t="shared" ref="Q19" si="71">F19*P19</f>
        <v>-31328.48321472395</v>
      </c>
      <c r="R19">
        <f t="shared" ref="R19" si="72">R20+Q19</f>
        <v>1003587.0424915426</v>
      </c>
      <c r="S19">
        <f t="shared" ref="S19" si="73">R19/100000</f>
        <v>10.035870424915426</v>
      </c>
      <c r="T19">
        <f t="shared" ref="T19" si="74">S19/1000</f>
        <v>1.0035870424915426E-2</v>
      </c>
    </row>
    <row r="20" spans="1:20" x14ac:dyDescent="0.25">
      <c r="A20" s="5">
        <v>44573</v>
      </c>
      <c r="B20">
        <v>189.9</v>
      </c>
      <c r="C20">
        <v>199.5</v>
      </c>
      <c r="D20">
        <v>189.9</v>
      </c>
      <c r="E20">
        <v>196.8</v>
      </c>
      <c r="F20">
        <v>26642.566999999999</v>
      </c>
      <c r="G20">
        <v>196.8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0.43750000000000205</v>
      </c>
      <c r="Q20">
        <f t="shared" ref="Q20" si="76">F20*P20</f>
        <v>11656.123062500053</v>
      </c>
      <c r="R20">
        <f t="shared" ref="R20" si="77">R21+Q20</f>
        <v>1034915.5257062666</v>
      </c>
      <c r="S20">
        <f t="shared" ref="S20" si="78">R20/100000</f>
        <v>10.349155257062666</v>
      </c>
      <c r="T20">
        <f t="shared" ref="T20" si="79">S20/1000</f>
        <v>1.0349155257062665E-2</v>
      </c>
    </row>
    <row r="21" spans="1:20" x14ac:dyDescent="0.25">
      <c r="A21" s="5">
        <v>44572</v>
      </c>
      <c r="B21">
        <v>183.3</v>
      </c>
      <c r="C21">
        <v>192.6</v>
      </c>
      <c r="D21">
        <v>180.9</v>
      </c>
      <c r="E21">
        <v>189.9</v>
      </c>
      <c r="F21">
        <v>33179.279000000002</v>
      </c>
      <c r="G21">
        <v>189.9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0.53846153846153999</v>
      </c>
      <c r="Q21">
        <f t="shared" ref="Q21" si="81">F21*P21</f>
        <v>17865.765615384666</v>
      </c>
      <c r="R21">
        <f t="shared" ref="R21" si="82">R22+Q21</f>
        <v>1023259.4026437666</v>
      </c>
      <c r="S21">
        <f t="shared" ref="S21" si="83">R21/100000</f>
        <v>10.232594026437667</v>
      </c>
      <c r="T21">
        <f t="shared" ref="T21" si="84">S21/1000</f>
        <v>1.0232594026437667E-2</v>
      </c>
    </row>
    <row r="22" spans="1:20" x14ac:dyDescent="0.25">
      <c r="A22" s="5">
        <v>44571</v>
      </c>
      <c r="B22">
        <v>193.9</v>
      </c>
      <c r="C22">
        <v>197.3</v>
      </c>
      <c r="D22">
        <v>175.2</v>
      </c>
      <c r="E22">
        <v>183.3</v>
      </c>
      <c r="F22">
        <v>61510.642</v>
      </c>
      <c r="G22">
        <v>183.3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-0.26696832579185392</v>
      </c>
      <c r="Q22">
        <f t="shared" ref="Q22" si="86">F22*P22</f>
        <v>-16421.393113122092</v>
      </c>
      <c r="R22">
        <f t="shared" ref="R22" si="87">R23+Q22</f>
        <v>1005393.6370283819</v>
      </c>
      <c r="S22">
        <f t="shared" ref="S22" si="88">R22/100000</f>
        <v>10.05393637028382</v>
      </c>
      <c r="T22">
        <f t="shared" ref="T22" si="89">S22/1000</f>
        <v>1.005393637028382E-2</v>
      </c>
    </row>
    <row r="23" spans="1:20" x14ac:dyDescent="0.25">
      <c r="A23" s="5">
        <v>44570</v>
      </c>
      <c r="B23">
        <v>188.1</v>
      </c>
      <c r="C23">
        <v>200.5</v>
      </c>
      <c r="D23">
        <v>186.4</v>
      </c>
      <c r="E23">
        <v>194</v>
      </c>
      <c r="F23">
        <v>38975.339999999997</v>
      </c>
      <c r="G23">
        <v>194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7.8014184397162747E-2</v>
      </c>
      <c r="Q23">
        <f t="shared" ref="Q23" si="91">F23*P23</f>
        <v>3040.6293617021129</v>
      </c>
      <c r="R23">
        <f t="shared" ref="R23" si="92">R24+Q23</f>
        <v>1021815.030141504</v>
      </c>
      <c r="S23">
        <f t="shared" ref="S23" si="93">R23/100000</f>
        <v>10.21815030141504</v>
      </c>
      <c r="T23">
        <f t="shared" ref="T23" si="94">S23/1000</f>
        <v>1.0218150301415039E-2</v>
      </c>
    </row>
    <row r="24" spans="1:20" x14ac:dyDescent="0.25">
      <c r="A24" s="5">
        <v>44569</v>
      </c>
      <c r="B24">
        <v>194.6</v>
      </c>
      <c r="C24">
        <v>198.6</v>
      </c>
      <c r="D24">
        <v>180.6</v>
      </c>
      <c r="E24">
        <v>188.1</v>
      </c>
      <c r="F24">
        <v>46545.974000000002</v>
      </c>
      <c r="G24">
        <v>188.1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-0.16666666666666666</v>
      </c>
      <c r="Q24">
        <f t="shared" ref="Q24" si="96">F24*P24</f>
        <v>-7757.6623333333337</v>
      </c>
      <c r="R24">
        <f t="shared" ref="R24" si="97">R25+Q24</f>
        <v>1018774.4007798019</v>
      </c>
      <c r="S24">
        <f t="shared" ref="S24" si="98">R24/100000</f>
        <v>10.187744007798019</v>
      </c>
      <c r="T24">
        <f t="shared" ref="T24" si="99">S24/1000</f>
        <v>1.0187744007798018E-2</v>
      </c>
    </row>
    <row r="25" spans="1:20" x14ac:dyDescent="0.25">
      <c r="A25" s="5">
        <v>44568</v>
      </c>
      <c r="B25">
        <v>203.9</v>
      </c>
      <c r="C25">
        <v>205</v>
      </c>
      <c r="D25">
        <v>185.5</v>
      </c>
      <c r="E25">
        <v>194.6</v>
      </c>
      <c r="F25">
        <v>67780.483999999997</v>
      </c>
      <c r="G25">
        <v>194.6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-6.6666666666667249E-2</v>
      </c>
      <c r="Q25">
        <f t="shared" ref="Q25" si="101">F25*P25</f>
        <v>-4518.6989333333722</v>
      </c>
      <c r="R25">
        <f t="shared" ref="R25" si="102">R26+Q25</f>
        <v>1026532.0631131352</v>
      </c>
      <c r="S25">
        <f t="shared" ref="S25" si="103">R25/100000</f>
        <v>10.265320631131353</v>
      </c>
      <c r="T25">
        <f t="shared" ref="T25" si="104">S25/1000</f>
        <v>1.0265320631131352E-2</v>
      </c>
    </row>
    <row r="26" spans="1:20" x14ac:dyDescent="0.25">
      <c r="A26" s="5">
        <v>44567</v>
      </c>
      <c r="B26">
        <v>204.2</v>
      </c>
      <c r="C26">
        <v>205.9</v>
      </c>
      <c r="D26">
        <v>192</v>
      </c>
      <c r="E26">
        <v>204</v>
      </c>
      <c r="F26">
        <v>71475.714999999997</v>
      </c>
      <c r="G26">
        <v>204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0.72661870503597048</v>
      </c>
      <c r="Q26">
        <f t="shared" ref="Q26" si="106">F26*P26</f>
        <v>51935.591474820088</v>
      </c>
      <c r="R26">
        <f t="shared" ref="R26" si="107">R27+Q26</f>
        <v>1031050.7620464686</v>
      </c>
      <c r="S26">
        <f t="shared" ref="S26" si="108">R26/100000</f>
        <v>10.310507620464685</v>
      </c>
      <c r="T26">
        <f t="shared" ref="T26" si="109">S26/1000</f>
        <v>1.0310507620464685E-2</v>
      </c>
    </row>
    <row r="27" spans="1:20" x14ac:dyDescent="0.25">
      <c r="A27" s="5">
        <v>44566</v>
      </c>
      <c r="B27">
        <v>222.8</v>
      </c>
      <c r="C27">
        <v>244.8</v>
      </c>
      <c r="D27">
        <v>195.9</v>
      </c>
      <c r="E27">
        <v>204.3</v>
      </c>
      <c r="F27">
        <v>123730.85799999999</v>
      </c>
      <c r="G27">
        <v>204.3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-0.65644171779141081</v>
      </c>
      <c r="Q27">
        <f t="shared" ref="Q27" si="111">F27*P27</f>
        <v>-81222.096969325125</v>
      </c>
      <c r="R27">
        <f t="shared" ref="R27" si="112">R28+Q27</f>
        <v>979115.17057164852</v>
      </c>
      <c r="S27">
        <f t="shared" ref="S27" si="113">R27/100000</f>
        <v>9.7911517057164854</v>
      </c>
      <c r="T27">
        <f t="shared" ref="T27" si="114">S27/1000</f>
        <v>9.7911517057164849E-3</v>
      </c>
    </row>
    <row r="28" spans="1:20" x14ac:dyDescent="0.25">
      <c r="A28" s="5">
        <v>44565</v>
      </c>
      <c r="B28">
        <v>220.7</v>
      </c>
      <c r="C28">
        <v>236.5</v>
      </c>
      <c r="D28">
        <v>213.6</v>
      </c>
      <c r="E28">
        <v>222.7</v>
      </c>
      <c r="F28">
        <v>88389.573000000004</v>
      </c>
      <c r="G28">
        <v>222.7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-0.20524017467248978</v>
      </c>
      <c r="Q28">
        <f t="shared" ref="Q28" si="116">F28*P28</f>
        <v>-18141.091401746788</v>
      </c>
      <c r="R28">
        <f t="shared" ref="R28" si="117">R29+Q28</f>
        <v>1060337.2675409736</v>
      </c>
      <c r="S28">
        <f t="shared" ref="S28" si="118">R28/100000</f>
        <v>10.603372675409735</v>
      </c>
      <c r="T28">
        <f t="shared" ref="T28" si="119">S28/1000</f>
        <v>1.0603372675409735E-2</v>
      </c>
    </row>
    <row r="29" spans="1:20" x14ac:dyDescent="0.25">
      <c r="A29" s="5">
        <v>44564</v>
      </c>
      <c r="B29">
        <v>210.3</v>
      </c>
      <c r="C29">
        <v>225.3</v>
      </c>
      <c r="D29">
        <v>205.7</v>
      </c>
      <c r="E29">
        <v>220.6</v>
      </c>
      <c r="F29">
        <v>94979.025999999998</v>
      </c>
      <c r="G29">
        <v>220.6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0.52040816326530492</v>
      </c>
      <c r="Q29">
        <f t="shared" ref="Q29" si="121">F29*P29</f>
        <v>49427.86046938764</v>
      </c>
      <c r="R29">
        <f t="shared" ref="R29" si="122">R30+Q29</f>
        <v>1078478.3589427203</v>
      </c>
      <c r="S29">
        <f t="shared" ref="S29" si="123">R29/100000</f>
        <v>10.784783589427203</v>
      </c>
      <c r="T29">
        <f t="shared" ref="T29" si="124">S29/1000</f>
        <v>1.0784783589427202E-2</v>
      </c>
    </row>
    <row r="30" spans="1:20" x14ac:dyDescent="0.25">
      <c r="A30" s="5">
        <v>44563</v>
      </c>
      <c r="B30">
        <v>210.6</v>
      </c>
      <c r="C30">
        <v>211.9</v>
      </c>
      <c r="D30">
        <v>202.2</v>
      </c>
      <c r="E30">
        <v>210.4</v>
      </c>
      <c r="F30">
        <v>35147.730000000003</v>
      </c>
      <c r="G30">
        <v>210.4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0.69072164948453663</v>
      </c>
      <c r="Q30">
        <f t="shared" ref="Q30" si="126">F30*P30</f>
        <v>24277.298041237136</v>
      </c>
      <c r="R30">
        <f t="shared" ref="R30" si="127">R31+Q30</f>
        <v>1029050.4984733326</v>
      </c>
      <c r="S30">
        <f t="shared" ref="S30" si="128">R30/100000</f>
        <v>10.290504984733326</v>
      </c>
      <c r="T30">
        <f t="shared" ref="T30" si="129">S30/1000</f>
        <v>1.0290504984733327E-2</v>
      </c>
    </row>
    <row r="31" spans="1:20" x14ac:dyDescent="0.25">
      <c r="A31" s="5">
        <v>44562</v>
      </c>
      <c r="B31">
        <v>199.9</v>
      </c>
      <c r="C31">
        <v>213.4</v>
      </c>
      <c r="D31">
        <v>197.2</v>
      </c>
      <c r="E31">
        <v>210.4</v>
      </c>
      <c r="F31">
        <v>38093.374000000003</v>
      </c>
      <c r="G31">
        <v>210.4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0.62962962962962998</v>
      </c>
      <c r="Q31">
        <f t="shared" ref="Q31" si="131">F31*P31</f>
        <v>23984.716962962979</v>
      </c>
      <c r="R31">
        <f t="shared" ref="R31" si="132">R32+Q31</f>
        <v>1004773.2004320954</v>
      </c>
      <c r="S31">
        <f t="shared" ref="S31" si="133">R31/100000</f>
        <v>10.047732004320954</v>
      </c>
      <c r="T31">
        <f t="shared" ref="T31" si="134">S31/1000</f>
        <v>1.0047732004320954E-2</v>
      </c>
    </row>
    <row r="32" spans="1:20" x14ac:dyDescent="0.25">
      <c r="A32" s="5">
        <v>44561</v>
      </c>
      <c r="B32">
        <v>199.4</v>
      </c>
      <c r="C32">
        <v>208.5</v>
      </c>
      <c r="D32">
        <v>193.6</v>
      </c>
      <c r="E32">
        <v>199.7</v>
      </c>
      <c r="F32">
        <v>48900.2</v>
      </c>
      <c r="G32">
        <v>199.7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-0.18120805369127624</v>
      </c>
      <c r="Q32">
        <f t="shared" ref="Q32" si="136">F32*P32</f>
        <v>-8861.1100671141467</v>
      </c>
      <c r="R32">
        <f t="shared" ref="R32" si="137">R33+Q32</f>
        <v>980788.48346913245</v>
      </c>
      <c r="S32">
        <f t="shared" ref="S32" si="138">R32/100000</f>
        <v>9.8078848346913237</v>
      </c>
      <c r="T32">
        <f t="shared" ref="T32" si="139">S32/1000</f>
        <v>9.8078848346913241E-3</v>
      </c>
    </row>
    <row r="33" spans="1:20" x14ac:dyDescent="0.25">
      <c r="A33" s="5">
        <v>44560</v>
      </c>
      <c r="B33">
        <v>198.3</v>
      </c>
      <c r="C33">
        <v>205.8</v>
      </c>
      <c r="D33">
        <v>192.9</v>
      </c>
      <c r="E33">
        <v>199.5</v>
      </c>
      <c r="F33">
        <v>42743.123</v>
      </c>
      <c r="G33">
        <v>199.5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2.325581395348704E-2</v>
      </c>
      <c r="Q33">
        <f t="shared" ref="Q33" si="141">F33*P33</f>
        <v>994.02611627901285</v>
      </c>
      <c r="R33">
        <f t="shared" ref="R33" si="142">R34+Q33</f>
        <v>989649.59353624657</v>
      </c>
      <c r="S33">
        <f t="shared" ref="S33" si="143">R33/100000</f>
        <v>9.8964959353624664</v>
      </c>
      <c r="T33">
        <f t="shared" ref="T33" si="144">S33/1000</f>
        <v>9.8964959353624662E-3</v>
      </c>
    </row>
    <row r="34" spans="1:20" x14ac:dyDescent="0.25">
      <c r="A34" s="5">
        <v>44559</v>
      </c>
      <c r="B34">
        <v>209</v>
      </c>
      <c r="C34">
        <v>212.7</v>
      </c>
      <c r="D34">
        <v>196.1</v>
      </c>
      <c r="E34">
        <v>198.3</v>
      </c>
      <c r="F34">
        <v>57677.91</v>
      </c>
      <c r="G34">
        <v>198.3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-0.73493975903614239</v>
      </c>
      <c r="Q34">
        <f t="shared" ref="Q34" si="146">F34*P34</f>
        <v>-42389.789277108313</v>
      </c>
      <c r="R34">
        <f t="shared" ref="R34" si="147">R35+Q34</f>
        <v>988655.5674199675</v>
      </c>
      <c r="S34">
        <f t="shared" ref="S34" si="148">R34/100000</f>
        <v>9.8865556741996752</v>
      </c>
      <c r="T34">
        <f t="shared" ref="T34" si="149">S34/1000</f>
        <v>9.8865556741996753E-3</v>
      </c>
    </row>
    <row r="35" spans="1:20" x14ac:dyDescent="0.25">
      <c r="A35" s="5">
        <v>44558</v>
      </c>
      <c r="B35">
        <v>236.1</v>
      </c>
      <c r="C35">
        <v>236.2</v>
      </c>
      <c r="D35">
        <v>208.6</v>
      </c>
      <c r="E35">
        <v>209</v>
      </c>
      <c r="F35">
        <v>103125.942</v>
      </c>
      <c r="G35">
        <v>209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-0.97101449275362273</v>
      </c>
      <c r="Q35">
        <f t="shared" ref="Q35" si="151">F35*P35</f>
        <v>-100136.78426086951</v>
      </c>
      <c r="R35">
        <f t="shared" ref="R35" si="152">R36+Q35</f>
        <v>1031045.3566970758</v>
      </c>
      <c r="S35">
        <f t="shared" ref="S35" si="153">R35/100000</f>
        <v>10.310453566970757</v>
      </c>
      <c r="T35">
        <f t="shared" ref="T35" si="154">S35/1000</f>
        <v>1.0310453566970757E-2</v>
      </c>
    </row>
    <row r="36" spans="1:20" x14ac:dyDescent="0.25">
      <c r="A36" s="5">
        <v>44557</v>
      </c>
      <c r="B36">
        <v>234.9</v>
      </c>
      <c r="C36">
        <v>249</v>
      </c>
      <c r="D36">
        <v>232.7</v>
      </c>
      <c r="E36">
        <v>236.1</v>
      </c>
      <c r="F36">
        <v>62071.582000000002</v>
      </c>
      <c r="G36">
        <v>236.1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-0.58282208588957019</v>
      </c>
      <c r="Q36">
        <f t="shared" ref="Q36" si="156">F36*P36</f>
        <v>-36176.688895705498</v>
      </c>
      <c r="R36">
        <f t="shared" ref="R36" si="157">R37+Q36</f>
        <v>1131182.1409579453</v>
      </c>
      <c r="S36">
        <f t="shared" ref="S36" si="158">R36/100000</f>
        <v>11.311821409579453</v>
      </c>
      <c r="T36">
        <f t="shared" ref="T36" si="159">S36/1000</f>
        <v>1.1311821409579453E-2</v>
      </c>
    </row>
    <row r="37" spans="1:20" x14ac:dyDescent="0.25">
      <c r="A37" s="5">
        <v>44556</v>
      </c>
      <c r="B37">
        <v>228.1</v>
      </c>
      <c r="C37">
        <v>236.6</v>
      </c>
      <c r="D37">
        <v>218.5</v>
      </c>
      <c r="E37">
        <v>234.8</v>
      </c>
      <c r="F37">
        <v>53597.847999999998</v>
      </c>
      <c r="G37">
        <v>234.8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0.80110497237569245</v>
      </c>
      <c r="Q37">
        <f t="shared" ref="Q37" si="161">F37*P37</f>
        <v>42937.502541436559</v>
      </c>
      <c r="R37">
        <f t="shared" ref="R37" si="162">R38+Q37</f>
        <v>1167358.8298536506</v>
      </c>
      <c r="S37">
        <f t="shared" ref="S37" si="163">R37/100000</f>
        <v>11.673588298536506</v>
      </c>
      <c r="T37">
        <f t="shared" ref="T37" si="164">S37/1000</f>
        <v>1.1673588298536507E-2</v>
      </c>
    </row>
    <row r="38" spans="1:20" x14ac:dyDescent="0.25">
      <c r="A38" s="5">
        <v>44555</v>
      </c>
      <c r="B38">
        <v>231.7</v>
      </c>
      <c r="C38">
        <v>241.5</v>
      </c>
      <c r="D38">
        <v>224.2</v>
      </c>
      <c r="E38">
        <v>228.1</v>
      </c>
      <c r="F38">
        <v>45040.194000000003</v>
      </c>
      <c r="G38">
        <v>228.1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-0.54913294797687828</v>
      </c>
      <c r="Q38">
        <f t="shared" ref="Q38" si="166">F38*P38</f>
        <v>-24733.054508670506</v>
      </c>
      <c r="R38">
        <f t="shared" ref="R38" si="167">R39+Q38</f>
        <v>1124421.3273122141</v>
      </c>
      <c r="S38">
        <f t="shared" ref="S38" si="168">R38/100000</f>
        <v>11.24421327312214</v>
      </c>
      <c r="T38">
        <f t="shared" ref="T38" si="169">S38/1000</f>
        <v>1.1244213273122141E-2</v>
      </c>
    </row>
    <row r="39" spans="1:20" x14ac:dyDescent="0.25">
      <c r="A39" s="5">
        <v>44554</v>
      </c>
      <c r="B39">
        <v>230.2</v>
      </c>
      <c r="C39">
        <v>238.6</v>
      </c>
      <c r="D39">
        <v>222.1</v>
      </c>
      <c r="E39">
        <v>231.6</v>
      </c>
      <c r="F39">
        <v>65652.813999999998</v>
      </c>
      <c r="G39">
        <v>231.6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0.15151515151515152</v>
      </c>
      <c r="Q39">
        <f t="shared" ref="Q39" si="171">F39*P39</f>
        <v>9947.3960606060609</v>
      </c>
      <c r="R39">
        <f t="shared" ref="R39" si="172">R40+Q39</f>
        <v>1149154.3818208845</v>
      </c>
      <c r="S39">
        <f t="shared" ref="S39" si="173">R39/100000</f>
        <v>11.491543818208845</v>
      </c>
      <c r="T39">
        <f t="shared" ref="T39" si="174">S39/1000</f>
        <v>1.1491543818208844E-2</v>
      </c>
    </row>
    <row r="40" spans="1:20" x14ac:dyDescent="0.25">
      <c r="A40" s="5">
        <v>44553</v>
      </c>
      <c r="B40">
        <v>207.1</v>
      </c>
      <c r="C40">
        <v>238.6</v>
      </c>
      <c r="D40">
        <v>201.2</v>
      </c>
      <c r="E40">
        <v>230</v>
      </c>
      <c r="F40">
        <v>109929.05499999999</v>
      </c>
      <c r="G40">
        <v>230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0.54010695187165814</v>
      </c>
      <c r="Q40">
        <f t="shared" ref="Q40" si="176">F40*P40</f>
        <v>59373.446818181859</v>
      </c>
      <c r="R40">
        <f t="shared" ref="R40" si="177">R41+Q40</f>
        <v>1139206.9857602785</v>
      </c>
      <c r="S40">
        <f t="shared" ref="S40" si="178">R40/100000</f>
        <v>11.392069857602785</v>
      </c>
      <c r="T40">
        <f t="shared" ref="T40" si="179">S40/1000</f>
        <v>1.1392069857602785E-2</v>
      </c>
    </row>
    <row r="41" spans="1:20" x14ac:dyDescent="0.25">
      <c r="A41" s="5">
        <v>44552</v>
      </c>
      <c r="B41">
        <v>194.7</v>
      </c>
      <c r="C41">
        <v>211</v>
      </c>
      <c r="D41">
        <v>193.6</v>
      </c>
      <c r="E41">
        <v>207</v>
      </c>
      <c r="F41">
        <v>48882.415999999997</v>
      </c>
      <c r="G41">
        <v>207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0.54022988505747138</v>
      </c>
      <c r="Q41">
        <f t="shared" ref="Q41" si="181">F41*P41</f>
        <v>26407.741977011498</v>
      </c>
      <c r="R41">
        <f t="shared" ref="R41" si="182">R42+Q41</f>
        <v>1079833.5389420968</v>
      </c>
      <c r="S41">
        <f t="shared" ref="S41" si="183">R41/100000</f>
        <v>10.798335389420968</v>
      </c>
      <c r="T41">
        <f t="shared" ref="T41" si="184">S41/1000</f>
        <v>1.0798335389420969E-2</v>
      </c>
    </row>
    <row r="42" spans="1:20" x14ac:dyDescent="0.25">
      <c r="A42" s="5">
        <v>44551</v>
      </c>
      <c r="B42">
        <v>189.1</v>
      </c>
      <c r="C42">
        <v>195.5</v>
      </c>
      <c r="D42">
        <v>186.6</v>
      </c>
      <c r="E42">
        <v>194.7</v>
      </c>
      <c r="F42">
        <v>43236.279000000002</v>
      </c>
      <c r="G42">
        <v>194.7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0.82022471910112116</v>
      </c>
      <c r="Q42">
        <f t="shared" ref="Q42" si="186">F42*P42</f>
        <v>35463.464797752706</v>
      </c>
      <c r="R42">
        <f t="shared" ref="R42" si="187">R43+Q42</f>
        <v>1053425.7969650852</v>
      </c>
      <c r="S42">
        <f t="shared" ref="S42" si="188">R42/100000</f>
        <v>10.534257969650852</v>
      </c>
      <c r="T42">
        <f t="shared" ref="T42" si="189">S42/1000</f>
        <v>1.0534257969650853E-2</v>
      </c>
    </row>
    <row r="43" spans="1:20" x14ac:dyDescent="0.25">
      <c r="A43" s="5">
        <v>44550</v>
      </c>
      <c r="B43">
        <v>194.7</v>
      </c>
      <c r="C43">
        <v>197.5</v>
      </c>
      <c r="D43">
        <v>181.6</v>
      </c>
      <c r="E43">
        <v>188.9</v>
      </c>
      <c r="F43">
        <v>46005.767</v>
      </c>
      <c r="G43">
        <v>188.9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-8.1761006289307075E-2</v>
      </c>
      <c r="Q43">
        <f t="shared" ref="Q43" si="191">F43*P43</f>
        <v>-3761.4778050313957</v>
      </c>
      <c r="R43">
        <f t="shared" ref="R43" si="192">R44+Q43</f>
        <v>1017962.3321673325</v>
      </c>
      <c r="S43">
        <f t="shared" ref="S43" si="193">R43/100000</f>
        <v>10.179623321673326</v>
      </c>
      <c r="T43">
        <f t="shared" ref="T43" si="194">S43/1000</f>
        <v>1.0179623321673326E-2</v>
      </c>
    </row>
    <row r="44" spans="1:20" x14ac:dyDescent="0.25">
      <c r="A44" s="5">
        <v>44549</v>
      </c>
      <c r="B44">
        <v>204.7</v>
      </c>
      <c r="C44">
        <v>210.9</v>
      </c>
      <c r="D44">
        <v>194.1</v>
      </c>
      <c r="E44">
        <v>194.8</v>
      </c>
      <c r="F44">
        <v>48865.716999999997</v>
      </c>
      <c r="G44">
        <v>194.8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-0.91666666666666474</v>
      </c>
      <c r="Q44">
        <f t="shared" ref="Q44" si="196">F44*P44</f>
        <v>-44793.573916666566</v>
      </c>
      <c r="R44">
        <f t="shared" ref="R44" si="197">R45+Q44</f>
        <v>1021723.8099723639</v>
      </c>
      <c r="S44">
        <f t="shared" ref="S44" si="198">R44/100000</f>
        <v>10.217238099723639</v>
      </c>
      <c r="T44">
        <f t="shared" ref="T44" si="199">S44/1000</f>
        <v>1.0217238099723639E-2</v>
      </c>
    </row>
    <row r="45" spans="1:20" x14ac:dyDescent="0.25">
      <c r="A45" s="5">
        <v>44548</v>
      </c>
      <c r="B45">
        <v>212.9</v>
      </c>
      <c r="C45">
        <v>216.1</v>
      </c>
      <c r="D45">
        <v>201.6</v>
      </c>
      <c r="E45">
        <v>204.7</v>
      </c>
      <c r="F45">
        <v>106989.436</v>
      </c>
      <c r="G45">
        <v>204.7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-0.57241379310344909</v>
      </c>
      <c r="Q45">
        <f t="shared" ref="Q45" si="201">F45*P45</f>
        <v>-61242.228882758711</v>
      </c>
      <c r="R45">
        <f t="shared" ref="R45" si="202">R46+Q45</f>
        <v>1066517.3838890304</v>
      </c>
      <c r="S45">
        <f t="shared" ref="S45" si="203">R45/100000</f>
        <v>10.665173838890304</v>
      </c>
      <c r="T45">
        <f t="shared" ref="T45" si="204">S45/1000</f>
        <v>1.0665173838890304E-2</v>
      </c>
    </row>
    <row r="46" spans="1:20" x14ac:dyDescent="0.25">
      <c r="A46" s="5">
        <v>44547</v>
      </c>
      <c r="B46">
        <v>187.2</v>
      </c>
      <c r="C46">
        <v>214</v>
      </c>
      <c r="D46">
        <v>177.7</v>
      </c>
      <c r="E46">
        <v>212.8</v>
      </c>
      <c r="F46">
        <v>81074.471999999994</v>
      </c>
      <c r="G46">
        <v>212.8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0.93388429752066182</v>
      </c>
      <c r="Q46">
        <f t="shared" ref="Q46" si="206">F46*P46</f>
        <v>75714.176330578557</v>
      </c>
      <c r="R46">
        <f t="shared" ref="R46" si="207">R47+Q46</f>
        <v>1127759.6127717891</v>
      </c>
      <c r="S46">
        <f t="shared" ref="S46" si="208">R46/100000</f>
        <v>11.27759612771789</v>
      </c>
      <c r="T46">
        <f t="shared" ref="T46" si="209">S46/1000</f>
        <v>1.1277596127717891E-2</v>
      </c>
    </row>
    <row r="47" spans="1:20" x14ac:dyDescent="0.25">
      <c r="A47" s="5">
        <v>44546</v>
      </c>
      <c r="B47">
        <v>191.6</v>
      </c>
      <c r="C47">
        <v>200.2</v>
      </c>
      <c r="D47">
        <v>186.3</v>
      </c>
      <c r="E47">
        <v>187.2</v>
      </c>
      <c r="F47">
        <v>44673.538</v>
      </c>
      <c r="G47">
        <v>187.2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-0.87050359712230518</v>
      </c>
      <c r="Q47">
        <f t="shared" ref="Q47" si="211">F47*P47</f>
        <v>-38888.475525179994</v>
      </c>
      <c r="R47">
        <f t="shared" ref="R47" si="212">R48+Q47</f>
        <v>1052045.4364412106</v>
      </c>
      <c r="S47">
        <f t="shared" ref="S47" si="213">R47/100000</f>
        <v>10.520454364412105</v>
      </c>
      <c r="T47">
        <f t="shared" ref="T47" si="214">S47/1000</f>
        <v>1.0520454364412105E-2</v>
      </c>
    </row>
    <row r="48" spans="1:20" x14ac:dyDescent="0.25">
      <c r="A48" s="5">
        <v>44545</v>
      </c>
      <c r="B48">
        <v>186.4</v>
      </c>
      <c r="C48">
        <v>197.8</v>
      </c>
      <c r="D48">
        <v>174.7</v>
      </c>
      <c r="E48">
        <v>191.5</v>
      </c>
      <c r="F48">
        <v>50342.811999999998</v>
      </c>
      <c r="G48">
        <v>191.5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0.45454545454545409</v>
      </c>
      <c r="Q48">
        <f t="shared" ref="Q48" si="216">F48*P48</f>
        <v>22883.096363636341</v>
      </c>
      <c r="R48">
        <f t="shared" ref="R48" si="217">R49+Q48</f>
        <v>1090933.9119663907</v>
      </c>
      <c r="S48">
        <f t="shared" ref="S48" si="218">R48/100000</f>
        <v>10.909339119663906</v>
      </c>
      <c r="T48">
        <f t="shared" ref="T48" si="219">S48/1000</f>
        <v>1.0909339119663906E-2</v>
      </c>
    </row>
    <row r="49" spans="1:20" x14ac:dyDescent="0.25">
      <c r="A49" s="5">
        <v>44544</v>
      </c>
      <c r="B49">
        <v>180.8</v>
      </c>
      <c r="C49">
        <v>190.7</v>
      </c>
      <c r="D49">
        <v>177.1</v>
      </c>
      <c r="E49">
        <v>186.4</v>
      </c>
      <c r="F49">
        <v>45433.845000000001</v>
      </c>
      <c r="G49">
        <v>186.4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0.36764705882353166</v>
      </c>
      <c r="Q49">
        <f t="shared" ref="Q49" si="221">F49*P49</f>
        <v>16703.619485294221</v>
      </c>
      <c r="R49">
        <f t="shared" ref="R49" si="222">R50+Q49</f>
        <v>1068050.8156027542</v>
      </c>
      <c r="S49">
        <f t="shared" ref="S49" si="223">R49/100000</f>
        <v>10.680508156027543</v>
      </c>
      <c r="T49">
        <f t="shared" ref="T49" si="224">S49/1000</f>
        <v>1.0680508156027543E-2</v>
      </c>
    </row>
    <row r="50" spans="1:20" x14ac:dyDescent="0.25">
      <c r="A50" s="5">
        <v>44543</v>
      </c>
      <c r="B50">
        <v>198.5</v>
      </c>
      <c r="C50">
        <v>200.7</v>
      </c>
      <c r="D50">
        <v>175</v>
      </c>
      <c r="E50">
        <v>180.8</v>
      </c>
      <c r="F50">
        <v>70990.387090000004</v>
      </c>
      <c r="G50">
        <v>180.8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-0.54863813229571878</v>
      </c>
      <c r="Q50">
        <f t="shared" ref="Q50" si="226">F50*P50</f>
        <v>-38948.033384007707</v>
      </c>
      <c r="R50">
        <f t="shared" ref="R50" si="227">R51+Q50</f>
        <v>1051347.19611746</v>
      </c>
      <c r="S50">
        <f t="shared" ref="S50" si="228">R50/100000</f>
        <v>10.5134719611746</v>
      </c>
      <c r="T50">
        <f t="shared" ref="T50" si="229">S50/1000</f>
        <v>1.05134719611746E-2</v>
      </c>
    </row>
    <row r="51" spans="1:20" x14ac:dyDescent="0.25">
      <c r="A51" s="5">
        <v>44542</v>
      </c>
      <c r="B51">
        <v>196.4</v>
      </c>
      <c r="C51">
        <v>201.8</v>
      </c>
      <c r="D51">
        <v>189.9</v>
      </c>
      <c r="E51">
        <v>198.6</v>
      </c>
      <c r="F51">
        <v>32633.767</v>
      </c>
      <c r="G51">
        <v>198.6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0.46218487394957725</v>
      </c>
      <c r="Q51">
        <f t="shared" ref="Q51" si="231">F51*P51</f>
        <v>15082.833487394873</v>
      </c>
      <c r="R51">
        <f t="shared" ref="R51" si="232">R52+Q51</f>
        <v>1090295.2295014677</v>
      </c>
      <c r="S51">
        <f t="shared" ref="S51" si="233">R51/100000</f>
        <v>10.902952295014677</v>
      </c>
      <c r="T51">
        <f t="shared" ref="T51" si="234">S51/1000</f>
        <v>1.0902952295014676E-2</v>
      </c>
    </row>
    <row r="52" spans="1:20" x14ac:dyDescent="0.25">
      <c r="A52" s="5">
        <v>44541</v>
      </c>
      <c r="B52">
        <v>182.7</v>
      </c>
      <c r="C52">
        <v>186.5</v>
      </c>
      <c r="D52">
        <v>180.1</v>
      </c>
      <c r="E52">
        <v>185.2</v>
      </c>
      <c r="F52">
        <v>3058.4360000000001</v>
      </c>
      <c r="G52">
        <v>185.2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0.59374999999999678</v>
      </c>
      <c r="Q52">
        <f t="shared" ref="Q52" si="236">F52*P52</f>
        <v>1815.9463749999902</v>
      </c>
      <c r="R52">
        <f t="shared" ref="R52" si="237">R53+Q52</f>
        <v>1075212.3960140727</v>
      </c>
      <c r="S52">
        <f t="shared" ref="S52" si="238">R52/100000</f>
        <v>10.752123960140727</v>
      </c>
      <c r="T52">
        <f t="shared" ref="T52" si="239">S52/1000</f>
        <v>1.0752123960140726E-2</v>
      </c>
    </row>
    <row r="53" spans="1:20" x14ac:dyDescent="0.25">
      <c r="A53" s="5">
        <v>44540</v>
      </c>
      <c r="B53">
        <v>192.4</v>
      </c>
      <c r="C53">
        <v>202.9</v>
      </c>
      <c r="D53">
        <v>182</v>
      </c>
      <c r="E53">
        <v>183</v>
      </c>
      <c r="F53">
        <v>67253.577999999994</v>
      </c>
      <c r="G53">
        <v>183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-0.90430622009569384</v>
      </c>
      <c r="Q53">
        <f t="shared" ref="Q53" si="241">F53*P53</f>
        <v>-60817.828909090909</v>
      </c>
      <c r="R53">
        <f t="shared" ref="R53" si="242">R54+Q53</f>
        <v>1073396.4496390726</v>
      </c>
      <c r="S53">
        <f t="shared" ref="S53" si="243">R53/100000</f>
        <v>10.733964496390726</v>
      </c>
      <c r="T53">
        <f t="shared" ref="T53" si="244">S53/1000</f>
        <v>1.0733964496390726E-2</v>
      </c>
    </row>
    <row r="54" spans="1:20" x14ac:dyDescent="0.25">
      <c r="A54" s="5">
        <v>44539</v>
      </c>
      <c r="B54">
        <v>219.7</v>
      </c>
      <c r="C54">
        <v>223.6</v>
      </c>
      <c r="D54">
        <v>192</v>
      </c>
      <c r="E54">
        <v>192.5</v>
      </c>
      <c r="F54">
        <v>148528.03400000001</v>
      </c>
      <c r="G54">
        <v>192.5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-0.96835443037974678</v>
      </c>
      <c r="Q54">
        <f t="shared" ref="Q54" si="246">F54*P54</f>
        <v>-143827.77975949369</v>
      </c>
      <c r="R54">
        <f t="shared" ref="R54" si="247">R55+Q54</f>
        <v>1134214.2785481636</v>
      </c>
      <c r="S54">
        <f t="shared" ref="S54" si="248">R54/100000</f>
        <v>11.342142785481636</v>
      </c>
      <c r="T54">
        <f t="shared" ref="T54" si="249">S54/1000</f>
        <v>1.1342142785481636E-2</v>
      </c>
    </row>
    <row r="55" spans="1:20" x14ac:dyDescent="0.25">
      <c r="A55" s="5">
        <v>44538</v>
      </c>
      <c r="B55">
        <v>223.6</v>
      </c>
      <c r="C55">
        <v>228.7</v>
      </c>
      <c r="D55">
        <v>212.2</v>
      </c>
      <c r="E55">
        <v>219.7</v>
      </c>
      <c r="F55">
        <v>59470.123</v>
      </c>
      <c r="G55">
        <v>219.7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-9.0909090909090912E-2</v>
      </c>
      <c r="Q55">
        <f t="shared" ref="Q55" si="251">F55*P55</f>
        <v>-5406.3748181818182</v>
      </c>
      <c r="R55">
        <f t="shared" ref="R55" si="252">R56+Q55</f>
        <v>1278042.0583076573</v>
      </c>
      <c r="S55">
        <f t="shared" ref="S55" si="253">R55/100000</f>
        <v>12.780420583076573</v>
      </c>
      <c r="T55">
        <f t="shared" ref="T55" si="254">S55/1000</f>
        <v>1.2780420583076574E-2</v>
      </c>
    </row>
    <row r="56" spans="1:20" x14ac:dyDescent="0.25">
      <c r="A56" s="5">
        <v>44537</v>
      </c>
      <c r="B56">
        <v>222.8</v>
      </c>
      <c r="C56">
        <v>230.6</v>
      </c>
      <c r="D56">
        <v>219.3</v>
      </c>
      <c r="E56">
        <v>223.4</v>
      </c>
      <c r="F56">
        <v>33229.228000000003</v>
      </c>
      <c r="G56">
        <v>223.4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-0.27433628318584063</v>
      </c>
      <c r="Q56">
        <f t="shared" ref="Q56" si="256">F56*P56</f>
        <v>-9115.982902654865</v>
      </c>
      <c r="R56">
        <f t="shared" ref="R56" si="257">R57+Q56</f>
        <v>1283448.4331258391</v>
      </c>
      <c r="S56">
        <f t="shared" ref="S56" si="258">R56/100000</f>
        <v>12.834484331258391</v>
      </c>
      <c r="T56">
        <f t="shared" ref="T56" si="259">S56/1000</f>
        <v>1.2834484331258391E-2</v>
      </c>
    </row>
    <row r="57" spans="1:20" x14ac:dyDescent="0.25">
      <c r="A57" s="5">
        <v>44536</v>
      </c>
      <c r="B57">
        <v>211.6</v>
      </c>
      <c r="C57">
        <v>227.2</v>
      </c>
      <c r="D57">
        <v>193</v>
      </c>
      <c r="E57">
        <v>222.9</v>
      </c>
      <c r="F57">
        <v>59619.385000000002</v>
      </c>
      <c r="G57">
        <v>222.9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0.74853801169590739</v>
      </c>
      <c r="Q57">
        <f t="shared" ref="Q57" si="261">F57*P57</f>
        <v>44627.375906432804</v>
      </c>
      <c r="R57">
        <f t="shared" ref="R57" si="262">R58+Q57</f>
        <v>1292564.416028494</v>
      </c>
      <c r="S57">
        <f t="shared" ref="S57" si="263">R57/100000</f>
        <v>12.925644160284941</v>
      </c>
      <c r="T57">
        <f t="shared" ref="T57" si="264">S57/1000</f>
        <v>1.2925644160284942E-2</v>
      </c>
    </row>
    <row r="58" spans="1:20" x14ac:dyDescent="0.25">
      <c r="A58" s="5">
        <v>44535</v>
      </c>
      <c r="B58">
        <v>221</v>
      </c>
      <c r="C58">
        <v>225.6</v>
      </c>
      <c r="D58">
        <v>205.3</v>
      </c>
      <c r="E58">
        <v>211.4</v>
      </c>
      <c r="F58">
        <v>41717.601000000002</v>
      </c>
      <c r="G58">
        <v>211.4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-0.39901477832512322</v>
      </c>
      <c r="Q58">
        <f t="shared" ref="Q58" si="266">F58*P58</f>
        <v>-16645.939315270938</v>
      </c>
      <c r="R58">
        <f t="shared" ref="R58" si="267">R59+Q58</f>
        <v>1247937.0401220613</v>
      </c>
      <c r="S58">
        <f t="shared" ref="S58" si="268">R58/100000</f>
        <v>12.479370401220613</v>
      </c>
      <c r="T58">
        <f t="shared" ref="T58" si="269">S58/1000</f>
        <v>1.2479370401220614E-2</v>
      </c>
    </row>
    <row r="59" spans="1:20" x14ac:dyDescent="0.25">
      <c r="A59" s="5">
        <v>44534</v>
      </c>
      <c r="B59">
        <v>254</v>
      </c>
      <c r="C59">
        <v>254.8</v>
      </c>
      <c r="D59">
        <v>185</v>
      </c>
      <c r="E59">
        <v>221</v>
      </c>
      <c r="F59">
        <v>96131.05227</v>
      </c>
      <c r="G59">
        <v>221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3.1518624641833644E-2</v>
      </c>
      <c r="Q59">
        <f t="shared" ref="Q59" si="271">F59*P59</f>
        <v>3029.9185529226202</v>
      </c>
      <c r="R59">
        <f t="shared" ref="R59" si="272">R60+Q59</f>
        <v>1264582.9794373321</v>
      </c>
      <c r="S59">
        <f t="shared" ref="S59" si="273">R59/100000</f>
        <v>12.645829794373322</v>
      </c>
      <c r="T59">
        <f t="shared" ref="T59" si="274">S59/1000</f>
        <v>1.2645829794373321E-2</v>
      </c>
    </row>
    <row r="60" spans="1:20" x14ac:dyDescent="0.25">
      <c r="A60" s="5">
        <v>44533</v>
      </c>
      <c r="B60">
        <v>270.3</v>
      </c>
      <c r="C60">
        <v>275.8</v>
      </c>
      <c r="D60">
        <v>246.8</v>
      </c>
      <c r="E60">
        <v>254.2</v>
      </c>
      <c r="F60">
        <v>29944.234</v>
      </c>
      <c r="G60">
        <v>254.2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-0.48965517241379469</v>
      </c>
      <c r="Q60">
        <f t="shared" ref="Q60" si="276">F60*P60</f>
        <v>-14662.349062069014</v>
      </c>
      <c r="R60">
        <f t="shared" ref="R60" si="277">R61+Q60</f>
        <v>1261553.0608844096</v>
      </c>
      <c r="S60">
        <f t="shared" ref="S60" si="278">R60/100000</f>
        <v>12.615530608844097</v>
      </c>
      <c r="T60">
        <f t="shared" ref="T60" si="279">S60/1000</f>
        <v>1.2615530608844096E-2</v>
      </c>
    </row>
    <row r="61" spans="1:20" x14ac:dyDescent="0.25">
      <c r="A61" s="5">
        <v>44532</v>
      </c>
      <c r="B61">
        <v>272.10000000000002</v>
      </c>
      <c r="C61">
        <v>274.5</v>
      </c>
      <c r="D61">
        <v>263.89999999999998</v>
      </c>
      <c r="E61">
        <v>270.3</v>
      </c>
      <c r="F61">
        <v>20082.350999999999</v>
      </c>
      <c r="G61">
        <v>270.3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0.20754716981132459</v>
      </c>
      <c r="Q61">
        <f t="shared" ref="Q61" si="281">F61*P61</f>
        <v>4168.0351132076239</v>
      </c>
      <c r="R61">
        <f t="shared" ref="R61" si="282">R62+Q61</f>
        <v>1276215.4099464787</v>
      </c>
      <c r="S61">
        <f t="shared" ref="S61" si="283">R61/100000</f>
        <v>12.762154099464787</v>
      </c>
      <c r="T61">
        <f t="shared" ref="T61" si="284">S61/1000</f>
        <v>1.2762154099464787E-2</v>
      </c>
    </row>
    <row r="62" spans="1:20" x14ac:dyDescent="0.25">
      <c r="A62" s="5">
        <v>44531</v>
      </c>
      <c r="B62">
        <v>278.5</v>
      </c>
      <c r="C62">
        <v>286.5</v>
      </c>
      <c r="D62">
        <v>267.7</v>
      </c>
      <c r="E62">
        <v>272.10000000000002</v>
      </c>
      <c r="F62">
        <v>28480.87</v>
      </c>
      <c r="G62">
        <v>272.10000000000002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-0.53191489361701794</v>
      </c>
      <c r="Q62">
        <f t="shared" ref="Q62" si="286">F62*P62</f>
        <v>-15149.398936170117</v>
      </c>
      <c r="R62">
        <f t="shared" ref="R62" si="287">R63+Q62</f>
        <v>1272047.3748332711</v>
      </c>
      <c r="S62">
        <f t="shared" ref="S62" si="288">R62/100000</f>
        <v>12.720473748332711</v>
      </c>
      <c r="T62">
        <f t="shared" ref="T62" si="289">S62/1000</f>
        <v>1.2720473748332711E-2</v>
      </c>
    </row>
    <row r="63" spans="1:20" x14ac:dyDescent="0.25">
      <c r="A63" s="5">
        <v>44530</v>
      </c>
      <c r="B63">
        <v>289.60000000000002</v>
      </c>
      <c r="C63">
        <v>297</v>
      </c>
      <c r="D63">
        <v>277</v>
      </c>
      <c r="E63">
        <v>278</v>
      </c>
      <c r="F63">
        <v>34401.129000000001</v>
      </c>
      <c r="G63">
        <v>278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-0.9</v>
      </c>
      <c r="Q63">
        <f t="shared" ref="Q63" si="291">F63*P63</f>
        <v>-30961.016100000001</v>
      </c>
      <c r="R63">
        <f t="shared" ref="R63" si="292">R64+Q63</f>
        <v>1287196.7737694413</v>
      </c>
      <c r="S63">
        <f t="shared" ref="S63" si="293">R63/100000</f>
        <v>12.871967737694414</v>
      </c>
      <c r="T63">
        <f t="shared" ref="T63" si="294">S63/1000</f>
        <v>1.2871967737694414E-2</v>
      </c>
    </row>
    <row r="64" spans="1:20" x14ac:dyDescent="0.25">
      <c r="A64" s="5">
        <v>44529</v>
      </c>
      <c r="B64">
        <v>287.2</v>
      </c>
      <c r="C64">
        <v>291.2</v>
      </c>
      <c r="D64">
        <v>280.60000000000002</v>
      </c>
      <c r="E64">
        <v>289.5</v>
      </c>
      <c r="F64">
        <v>31884.466</v>
      </c>
      <c r="G64">
        <v>289.5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0.67924528301886899</v>
      </c>
      <c r="Q64">
        <f t="shared" ref="Q64" si="296">F64*P64</f>
        <v>21657.373132075507</v>
      </c>
      <c r="R64">
        <f t="shared" ref="R64" si="297">R65+Q64</f>
        <v>1318157.7898694412</v>
      </c>
      <c r="S64">
        <f t="shared" ref="S64" si="298">R64/100000</f>
        <v>13.181577898694412</v>
      </c>
      <c r="T64">
        <f t="shared" ref="T64" si="299">S64/1000</f>
        <v>1.3181577898694412E-2</v>
      </c>
    </row>
    <row r="65" spans="1:20" x14ac:dyDescent="0.25">
      <c r="A65" s="5">
        <v>44528</v>
      </c>
      <c r="B65">
        <v>270</v>
      </c>
      <c r="C65">
        <v>288</v>
      </c>
      <c r="D65">
        <v>260</v>
      </c>
      <c r="E65">
        <v>287.60000000000002</v>
      </c>
      <c r="F65">
        <v>58013.722999999998</v>
      </c>
      <c r="G65">
        <v>287.60000000000002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0.97142857142857308</v>
      </c>
      <c r="Q65">
        <f t="shared" ref="Q65" si="301">F65*P65</f>
        <v>56356.18805714295</v>
      </c>
      <c r="R65">
        <f t="shared" ref="R65" si="302">R66+Q65</f>
        <v>1296500.4167373658</v>
      </c>
      <c r="S65">
        <f t="shared" ref="S65" si="303">R65/100000</f>
        <v>12.965004167373658</v>
      </c>
      <c r="T65">
        <f t="shared" ref="T65" si="304">S65/1000</f>
        <v>1.2965004167373659E-2</v>
      </c>
    </row>
    <row r="66" spans="1:20" x14ac:dyDescent="0.25">
      <c r="A66" s="5">
        <v>44527</v>
      </c>
      <c r="B66">
        <v>261.5</v>
      </c>
      <c r="C66">
        <v>275.89999999999998</v>
      </c>
      <c r="D66">
        <v>260.89999999999998</v>
      </c>
      <c r="E66">
        <v>270.10000000000002</v>
      </c>
      <c r="F66">
        <v>34327.891000000003</v>
      </c>
      <c r="G66">
        <v>270.10000000000002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0.22666666666667273</v>
      </c>
      <c r="Q66">
        <f t="shared" ref="Q66" si="306">F66*P66</f>
        <v>7780.9886266668755</v>
      </c>
      <c r="R66">
        <f t="shared" ref="R66" si="307">R67+Q66</f>
        <v>1240144.2286802228</v>
      </c>
      <c r="S66">
        <f t="shared" ref="S66" si="308">R66/100000</f>
        <v>12.401442286802228</v>
      </c>
      <c r="T66">
        <f t="shared" ref="T66" si="309">S66/1000</f>
        <v>1.2401442286802228E-2</v>
      </c>
    </row>
    <row r="67" spans="1:20" x14ac:dyDescent="0.25">
      <c r="A67" s="5">
        <v>44526</v>
      </c>
      <c r="B67">
        <v>288.3</v>
      </c>
      <c r="C67">
        <v>289.39999999999998</v>
      </c>
      <c r="D67">
        <v>242</v>
      </c>
      <c r="E67">
        <v>261.60000000000002</v>
      </c>
      <c r="F67">
        <v>82296.187999999995</v>
      </c>
      <c r="G67">
        <v>261.60000000000002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-0.17299578059071594</v>
      </c>
      <c r="Q67">
        <f t="shared" ref="Q67" si="311">F67*P67</f>
        <v>-14236.893282700308</v>
      </c>
      <c r="R67">
        <f t="shared" ref="R67" si="312">R68+Q67</f>
        <v>1232363.2400535559</v>
      </c>
      <c r="S67">
        <f t="shared" ref="S67" si="313">R67/100000</f>
        <v>12.323632400535558</v>
      </c>
      <c r="T67">
        <f t="shared" ref="T67" si="314">S67/1000</f>
        <v>1.2323632400535559E-2</v>
      </c>
    </row>
    <row r="68" spans="1:20" x14ac:dyDescent="0.25">
      <c r="A68" s="5">
        <v>44525</v>
      </c>
      <c r="B68">
        <v>277.10000000000002</v>
      </c>
      <c r="C68">
        <v>291.2</v>
      </c>
      <c r="D68">
        <v>274.39999999999998</v>
      </c>
      <c r="E68">
        <v>288.3</v>
      </c>
      <c r="F68">
        <v>46522.843999999997</v>
      </c>
      <c r="G68">
        <v>288.3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0.65476190476190765</v>
      </c>
      <c r="Q68">
        <f t="shared" ref="Q68" si="316">F68*P68</f>
        <v>30461.385952381086</v>
      </c>
      <c r="R68">
        <f t="shared" ref="R68" si="317">R69+Q68</f>
        <v>1246600.1333362563</v>
      </c>
      <c r="S68">
        <f t="shared" ref="S68" si="318">R68/100000</f>
        <v>12.466001333362563</v>
      </c>
      <c r="T68">
        <f t="shared" ref="T68" si="319">S68/1000</f>
        <v>1.2466001333362562E-2</v>
      </c>
    </row>
    <row r="69" spans="1:20" x14ac:dyDescent="0.25">
      <c r="A69" s="5">
        <v>44524</v>
      </c>
      <c r="B69">
        <v>291.8</v>
      </c>
      <c r="C69">
        <v>293.3</v>
      </c>
      <c r="D69">
        <v>280.10000000000002</v>
      </c>
      <c r="E69">
        <v>282.5</v>
      </c>
      <c r="F69">
        <v>16658.93</v>
      </c>
      <c r="G69">
        <v>282.5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-0.63636363636363946</v>
      </c>
      <c r="Q69">
        <f t="shared" ref="Q69" si="321">F69*P69</f>
        <v>-10601.137272727325</v>
      </c>
      <c r="R69">
        <f t="shared" ref="R69" si="322">R70+Q69</f>
        <v>1216138.7473838751</v>
      </c>
      <c r="S69">
        <f t="shared" ref="S69" si="323">R69/100000</f>
        <v>12.161387473838751</v>
      </c>
      <c r="T69">
        <f t="shared" ref="T69" si="324">S69/1000</f>
        <v>1.216138747383875E-2</v>
      </c>
    </row>
    <row r="70" spans="1:20" x14ac:dyDescent="0.25">
      <c r="A70" s="5">
        <v>44523</v>
      </c>
      <c r="B70">
        <v>287.8</v>
      </c>
      <c r="C70">
        <v>293</v>
      </c>
      <c r="D70">
        <v>275.3</v>
      </c>
      <c r="E70">
        <v>291.89999999999998</v>
      </c>
      <c r="F70">
        <v>58102.939059999997</v>
      </c>
      <c r="G70">
        <v>291.89999999999998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0.87570621468926291</v>
      </c>
      <c r="Q70">
        <f t="shared" ref="Q70" si="326">F70*P70</f>
        <v>50881.104826553514</v>
      </c>
      <c r="R70">
        <f t="shared" ref="R70" si="327">R71+Q70</f>
        <v>1226739.8846566023</v>
      </c>
      <c r="S70">
        <f t="shared" ref="S70" si="328">R70/100000</f>
        <v>12.267398846566023</v>
      </c>
      <c r="T70">
        <f t="shared" ref="T70" si="329">S70/1000</f>
        <v>1.2267398846566023E-2</v>
      </c>
    </row>
    <row r="71" spans="1:20" x14ac:dyDescent="0.25">
      <c r="A71" s="5">
        <v>44522</v>
      </c>
      <c r="B71">
        <v>304.3</v>
      </c>
      <c r="C71">
        <v>305.2</v>
      </c>
      <c r="D71">
        <v>281.8</v>
      </c>
      <c r="E71">
        <v>287.89999999999998</v>
      </c>
      <c r="F71">
        <v>83326.525999999998</v>
      </c>
      <c r="G71">
        <v>287.89999999999998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-0.47863247863248104</v>
      </c>
      <c r="Q71">
        <f t="shared" ref="Q71" si="331">F71*P71</f>
        <v>-39882.781675213875</v>
      </c>
      <c r="R71">
        <f t="shared" ref="R71" si="332">R72+Q71</f>
        <v>1175858.7798300488</v>
      </c>
      <c r="S71">
        <f t="shared" ref="S71" si="333">R71/100000</f>
        <v>11.758587798300487</v>
      </c>
      <c r="T71">
        <f t="shared" ref="T71" si="334">S71/1000</f>
        <v>1.1758587798300487E-2</v>
      </c>
    </row>
    <row r="72" spans="1:20" x14ac:dyDescent="0.25">
      <c r="A72" s="5">
        <v>44521</v>
      </c>
      <c r="B72">
        <v>314.89999999999998</v>
      </c>
      <c r="C72">
        <v>315.3</v>
      </c>
      <c r="D72">
        <v>303.3</v>
      </c>
      <c r="E72">
        <v>304.3</v>
      </c>
      <c r="F72">
        <v>31674.425999999999</v>
      </c>
      <c r="G72">
        <v>304.3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-0.83333333333333337</v>
      </c>
      <c r="Q72">
        <f t="shared" ref="Q72" si="336">F72*P72</f>
        <v>-26395.355</v>
      </c>
      <c r="R72">
        <f t="shared" ref="R72" si="337">R73+Q72</f>
        <v>1215741.5615052627</v>
      </c>
      <c r="S72">
        <f t="shared" ref="S72" si="338">R72/100000</f>
        <v>12.157415615052628</v>
      </c>
      <c r="T72">
        <f t="shared" ref="T72" si="339">S72/1000</f>
        <v>1.2157415615052628E-2</v>
      </c>
    </row>
    <row r="73" spans="1:20" x14ac:dyDescent="0.25">
      <c r="A73" s="5">
        <v>44520</v>
      </c>
      <c r="B73">
        <v>308.3</v>
      </c>
      <c r="C73">
        <v>317.39999999999998</v>
      </c>
      <c r="D73">
        <v>299.39999999999998</v>
      </c>
      <c r="E73">
        <v>314.60000000000002</v>
      </c>
      <c r="F73">
        <v>28814.577000000001</v>
      </c>
      <c r="G73">
        <v>314.60000000000002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0.68888888888889399</v>
      </c>
      <c r="Q73">
        <f t="shared" ref="Q73" si="341">F73*P73</f>
        <v>19850.041933333479</v>
      </c>
      <c r="R73">
        <f t="shared" ref="R73" si="342">R74+Q73</f>
        <v>1242136.9165052627</v>
      </c>
      <c r="S73">
        <f t="shared" ref="S73" si="343">R73/100000</f>
        <v>12.421369165052628</v>
      </c>
      <c r="T73">
        <f t="shared" ref="T73" si="344">S73/1000</f>
        <v>1.2421369165052628E-2</v>
      </c>
    </row>
    <row r="74" spans="1:20" x14ac:dyDescent="0.25">
      <c r="A74" s="5">
        <v>44519</v>
      </c>
      <c r="B74">
        <v>293.5</v>
      </c>
      <c r="C74">
        <v>310.2</v>
      </c>
      <c r="D74">
        <v>288.8</v>
      </c>
      <c r="E74">
        <v>308.3</v>
      </c>
      <c r="F74">
        <v>45154.290999999997</v>
      </c>
      <c r="G74">
        <v>308.3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0.82242990654205805</v>
      </c>
      <c r="Q74">
        <f t="shared" ref="Q74" si="346">F74*P74</f>
        <v>37136.239327102892</v>
      </c>
      <c r="R74">
        <f t="shared" ref="R74" si="347">R75+Q74</f>
        <v>1222286.8745719292</v>
      </c>
      <c r="S74">
        <f t="shared" ref="S74" si="348">R74/100000</f>
        <v>12.222868745719293</v>
      </c>
      <c r="T74">
        <f t="shared" ref="T74" si="349">S74/1000</f>
        <v>1.2222868745719293E-2</v>
      </c>
    </row>
    <row r="75" spans="1:20" x14ac:dyDescent="0.25">
      <c r="A75" s="5">
        <v>44518</v>
      </c>
      <c r="B75">
        <v>321.7</v>
      </c>
      <c r="C75">
        <v>324.8</v>
      </c>
      <c r="D75">
        <v>286</v>
      </c>
      <c r="E75">
        <v>294.10000000000002</v>
      </c>
      <c r="F75">
        <v>64550.862000000001</v>
      </c>
      <c r="G75">
        <v>294.10000000000002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-0.58247422680412264</v>
      </c>
      <c r="Q75">
        <f t="shared" ref="Q75" si="351">F75*P75</f>
        <v>-37599.213432989622</v>
      </c>
      <c r="R75">
        <f t="shared" ref="R75" si="352">R76+Q75</f>
        <v>1185150.6352448263</v>
      </c>
      <c r="S75">
        <f t="shared" ref="S75" si="353">R75/100000</f>
        <v>11.851506352448263</v>
      </c>
      <c r="T75">
        <f t="shared" ref="T75" si="354">S75/1000</f>
        <v>1.1851506352448263E-2</v>
      </c>
    </row>
    <row r="76" spans="1:20" x14ac:dyDescent="0.25">
      <c r="A76" s="5">
        <v>44517</v>
      </c>
      <c r="B76">
        <v>312.5</v>
      </c>
      <c r="C76">
        <v>325.39999999999998</v>
      </c>
      <c r="D76">
        <v>305.3</v>
      </c>
      <c r="E76">
        <v>321.7</v>
      </c>
      <c r="F76">
        <v>53270.945</v>
      </c>
      <c r="G76">
        <v>321.7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0.63184079601990095</v>
      </c>
      <c r="Q76">
        <f t="shared" ref="Q76" si="356">F76*P76</f>
        <v>33658.756293532366</v>
      </c>
      <c r="R76">
        <f t="shared" ref="R76" si="357">R77+Q76</f>
        <v>1222749.8486778159</v>
      </c>
      <c r="S76">
        <f t="shared" ref="S76" si="358">R76/100000</f>
        <v>12.227498486778158</v>
      </c>
      <c r="T76">
        <f t="shared" ref="T76" si="359">S76/1000</f>
        <v>1.2227498486778158E-2</v>
      </c>
    </row>
    <row r="77" spans="1:20" x14ac:dyDescent="0.25">
      <c r="A77" s="5">
        <v>44516</v>
      </c>
      <c r="B77">
        <v>332.6</v>
      </c>
      <c r="C77">
        <v>332.8</v>
      </c>
      <c r="D77">
        <v>295.39999999999998</v>
      </c>
      <c r="E77">
        <v>312.60000000000002</v>
      </c>
      <c r="F77">
        <v>73232.692999999999</v>
      </c>
      <c r="G77">
        <v>312.60000000000002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-8.0213903743313913E-2</v>
      </c>
      <c r="Q77">
        <f t="shared" ref="Q77" si="361">F77*P77</f>
        <v>-5874.2801871656584</v>
      </c>
      <c r="R77">
        <f t="shared" ref="R77" si="362">R78+Q77</f>
        <v>1189091.0923842834</v>
      </c>
      <c r="S77">
        <f t="shared" ref="S77" si="363">R77/100000</f>
        <v>11.890910923842835</v>
      </c>
      <c r="T77">
        <f t="shared" ref="T77" si="364">S77/1000</f>
        <v>1.1890910923842835E-2</v>
      </c>
    </row>
    <row r="78" spans="1:20" x14ac:dyDescent="0.25">
      <c r="A78" s="5">
        <v>44515</v>
      </c>
      <c r="B78">
        <v>346.3</v>
      </c>
      <c r="C78">
        <v>355.4</v>
      </c>
      <c r="D78">
        <v>328.6</v>
      </c>
      <c r="E78">
        <v>332.8</v>
      </c>
      <c r="F78">
        <v>47915.288</v>
      </c>
      <c r="G78">
        <v>332.8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-0.68656716417910479</v>
      </c>
      <c r="Q78">
        <f t="shared" ref="Q78" si="366">F78*P78</f>
        <v>-32897.063402985092</v>
      </c>
      <c r="R78">
        <f t="shared" ref="R78" si="367">R79+Q78</f>
        <v>1194965.372571449</v>
      </c>
      <c r="S78">
        <f t="shared" ref="S78" si="368">R78/100000</f>
        <v>11.949653725714491</v>
      </c>
      <c r="T78">
        <f t="shared" ref="T78" si="369">S78/1000</f>
        <v>1.1949653725714491E-2</v>
      </c>
    </row>
    <row r="79" spans="1:20" x14ac:dyDescent="0.25">
      <c r="A79" s="5">
        <v>44514</v>
      </c>
      <c r="B79">
        <v>354.6</v>
      </c>
      <c r="C79">
        <v>360</v>
      </c>
      <c r="D79">
        <v>337</v>
      </c>
      <c r="E79">
        <v>346.2</v>
      </c>
      <c r="F79">
        <v>47177.442999999999</v>
      </c>
      <c r="G79">
        <v>346.2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-0.20000000000000098</v>
      </c>
      <c r="Q79">
        <f t="shared" ref="Q79" si="371">F79*P79</f>
        <v>-9435.4886000000461</v>
      </c>
      <c r="R79">
        <f t="shared" ref="R79" si="372">R80+Q79</f>
        <v>1227862.435974434</v>
      </c>
      <c r="S79">
        <f t="shared" ref="S79" si="373">R79/100000</f>
        <v>12.27862435974434</v>
      </c>
      <c r="T79">
        <f t="shared" ref="T79" si="374">S79/1000</f>
        <v>1.227862435974434E-2</v>
      </c>
    </row>
    <row r="80" spans="1:20" x14ac:dyDescent="0.25">
      <c r="A80" s="5">
        <v>44513</v>
      </c>
      <c r="B80">
        <v>326.2</v>
      </c>
      <c r="C80">
        <v>354.8</v>
      </c>
      <c r="D80">
        <v>326</v>
      </c>
      <c r="E80">
        <v>354.6</v>
      </c>
      <c r="F80">
        <v>52917.237000000001</v>
      </c>
      <c r="G80">
        <v>354.6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0.98611111111111194</v>
      </c>
      <c r="Q80">
        <f t="shared" ref="Q80" si="376">F80*P80</f>
        <v>52182.275375000041</v>
      </c>
      <c r="R80">
        <f t="shared" ref="R80" si="377">R81+Q80</f>
        <v>1237297.9245744341</v>
      </c>
      <c r="S80">
        <f t="shared" ref="S80" si="378">R80/100000</f>
        <v>12.372979245744341</v>
      </c>
      <c r="T80">
        <f t="shared" ref="T80" si="379">S80/1000</f>
        <v>1.2372979245744341E-2</v>
      </c>
    </row>
    <row r="81" spans="1:20" x14ac:dyDescent="0.25">
      <c r="A81" s="5">
        <v>44512</v>
      </c>
      <c r="B81">
        <v>335</v>
      </c>
      <c r="C81">
        <v>337.4</v>
      </c>
      <c r="D81">
        <v>313.60000000000002</v>
      </c>
      <c r="E81">
        <v>326.39999999999998</v>
      </c>
      <c r="F81">
        <v>60681.296999999999</v>
      </c>
      <c r="G81">
        <v>326.39999999999998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7.5630252100838569E-2</v>
      </c>
      <c r="Q81">
        <f t="shared" ref="Q81" si="381">F81*P81</f>
        <v>4589.3417899158594</v>
      </c>
      <c r="R81">
        <f t="shared" ref="R81" si="382">R82+Q81</f>
        <v>1185115.6491994341</v>
      </c>
      <c r="S81">
        <f t="shared" ref="S81" si="383">R81/100000</f>
        <v>11.851156491994342</v>
      </c>
      <c r="T81">
        <f t="shared" ref="T81" si="384">S81/1000</f>
        <v>1.1851156491994341E-2</v>
      </c>
    </row>
    <row r="82" spans="1:20" x14ac:dyDescent="0.25">
      <c r="A82" s="5">
        <v>44511</v>
      </c>
      <c r="B82">
        <v>326.7</v>
      </c>
      <c r="C82">
        <v>344.4</v>
      </c>
      <c r="D82">
        <v>320.3</v>
      </c>
      <c r="E82">
        <v>335</v>
      </c>
      <c r="F82">
        <v>57209.858</v>
      </c>
      <c r="G82">
        <v>335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0.21991701244813355</v>
      </c>
      <c r="Q82">
        <f t="shared" ref="Q82" si="386">F82*P82</f>
        <v>12581.421053941953</v>
      </c>
      <c r="R82">
        <f t="shared" ref="R82" si="387">R83+Q82</f>
        <v>1180526.3074095182</v>
      </c>
      <c r="S82">
        <f t="shared" ref="S82" si="388">R82/100000</f>
        <v>11.805263074095182</v>
      </c>
      <c r="T82">
        <f t="shared" ref="T82" si="389">S82/1000</f>
        <v>1.1805263074095181E-2</v>
      </c>
    </row>
    <row r="83" spans="1:20" x14ac:dyDescent="0.25">
      <c r="A83" s="5">
        <v>44510</v>
      </c>
      <c r="B83">
        <v>356.3</v>
      </c>
      <c r="C83">
        <v>363.9</v>
      </c>
      <c r="D83">
        <v>305</v>
      </c>
      <c r="E83">
        <v>326.89999999999998</v>
      </c>
      <c r="F83">
        <v>99667.663</v>
      </c>
      <c r="G83">
        <v>326.89999999999998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-0.25636672325976279</v>
      </c>
      <c r="Q83">
        <f t="shared" ref="Q83" si="391">F83*P83</f>
        <v>-25551.472178268297</v>
      </c>
      <c r="R83">
        <f t="shared" ref="R83" si="392">R84+Q83</f>
        <v>1167944.8863555761</v>
      </c>
      <c r="S83">
        <f t="shared" ref="S83" si="393">R83/100000</f>
        <v>11.679448863555761</v>
      </c>
      <c r="T83">
        <f t="shared" ref="T83" si="394">S83/1000</f>
        <v>1.167944886355576E-2</v>
      </c>
    </row>
    <row r="84" spans="1:20" x14ac:dyDescent="0.25">
      <c r="A84" s="5">
        <v>44509</v>
      </c>
      <c r="B84">
        <v>359.8</v>
      </c>
      <c r="C84">
        <v>371.2</v>
      </c>
      <c r="D84">
        <v>354.7</v>
      </c>
      <c r="E84">
        <v>356.3</v>
      </c>
      <c r="F84">
        <v>60247.59</v>
      </c>
      <c r="G84">
        <v>356.3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-0.80606060606060326</v>
      </c>
      <c r="Q84">
        <f t="shared" ref="Q84" si="396">F84*P84</f>
        <v>-48563.208909090739</v>
      </c>
      <c r="R84">
        <f t="shared" ref="R84" si="397">R85+Q84</f>
        <v>1193496.3585338444</v>
      </c>
      <c r="S84">
        <f t="shared" ref="S84" si="398">R84/100000</f>
        <v>11.934963585338444</v>
      </c>
      <c r="T84">
        <f t="shared" ref="T84" si="399">S84/1000</f>
        <v>1.1934963585338444E-2</v>
      </c>
    </row>
    <row r="85" spans="1:20" x14ac:dyDescent="0.25">
      <c r="A85" s="5">
        <v>44508</v>
      </c>
      <c r="B85">
        <v>362.5</v>
      </c>
      <c r="C85">
        <v>363</v>
      </c>
      <c r="D85">
        <v>351.2</v>
      </c>
      <c r="E85">
        <v>359.9</v>
      </c>
      <c r="F85">
        <v>57021.625999999997</v>
      </c>
      <c r="G85">
        <v>359.9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0.4745762711864373</v>
      </c>
      <c r="Q85">
        <f t="shared" ref="Q85" si="401">F85*P85</f>
        <v>27061.110644067601</v>
      </c>
      <c r="R85">
        <f t="shared" ref="R85" si="402">R86+Q85</f>
        <v>1242059.5674429352</v>
      </c>
      <c r="S85">
        <f t="shared" ref="S85" si="403">R85/100000</f>
        <v>12.420595674429352</v>
      </c>
      <c r="T85">
        <f t="shared" ref="T85" si="404">S85/1000</f>
        <v>1.2420595674429352E-2</v>
      </c>
    </row>
    <row r="86" spans="1:20" x14ac:dyDescent="0.25">
      <c r="A86" s="5">
        <v>44507</v>
      </c>
      <c r="B86">
        <v>355</v>
      </c>
      <c r="C86">
        <v>368.3</v>
      </c>
      <c r="D86">
        <v>350.7</v>
      </c>
      <c r="E86">
        <v>362.6</v>
      </c>
      <c r="F86">
        <v>37903.822999999997</v>
      </c>
      <c r="G86">
        <v>362.6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0.3522727272727294</v>
      </c>
      <c r="Q86">
        <f t="shared" ref="Q86" si="406">F86*P86</f>
        <v>13352.483102272807</v>
      </c>
      <c r="R86">
        <f t="shared" ref="R86" si="407">R87+Q86</f>
        <v>1214998.4567988676</v>
      </c>
      <c r="S86">
        <f t="shared" ref="S86" si="408">R86/100000</f>
        <v>12.149984567988676</v>
      </c>
      <c r="T86">
        <f t="shared" ref="T86" si="409">S86/1000</f>
        <v>1.2149984567988676E-2</v>
      </c>
    </row>
    <row r="87" spans="1:20" x14ac:dyDescent="0.25">
      <c r="A87" s="5">
        <v>44506</v>
      </c>
      <c r="B87">
        <v>357</v>
      </c>
      <c r="C87">
        <v>357.2</v>
      </c>
      <c r="D87">
        <v>335</v>
      </c>
      <c r="E87">
        <v>354.8</v>
      </c>
      <c r="F87">
        <v>50727.358</v>
      </c>
      <c r="G87">
        <v>354.8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0.78378378378378577</v>
      </c>
      <c r="Q87">
        <f t="shared" ref="Q87" si="411">F87*P87</f>
        <v>39759.280594594697</v>
      </c>
      <c r="R87">
        <f t="shared" ref="R87" si="412">R88+Q87</f>
        <v>1201645.9736965948</v>
      </c>
      <c r="S87">
        <f t="shared" ref="S87" si="413">R87/100000</f>
        <v>12.016459736965949</v>
      </c>
      <c r="T87">
        <f t="shared" ref="T87" si="414">S87/1000</f>
        <v>1.2016459736965949E-2</v>
      </c>
    </row>
    <row r="88" spans="1:20" x14ac:dyDescent="0.25">
      <c r="A88" s="5">
        <v>44505</v>
      </c>
      <c r="B88">
        <v>366</v>
      </c>
      <c r="C88">
        <v>378.1</v>
      </c>
      <c r="D88">
        <v>353</v>
      </c>
      <c r="E88">
        <v>357</v>
      </c>
      <c r="F88">
        <v>66129.157999999996</v>
      </c>
      <c r="G88">
        <v>357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-0.68127490039840666</v>
      </c>
      <c r="Q88">
        <f t="shared" ref="Q88" si="416">F88*P88</f>
        <v>-45052.135529880492</v>
      </c>
      <c r="R88">
        <f t="shared" ref="R88" si="417">R89+Q88</f>
        <v>1161886.693102</v>
      </c>
      <c r="S88">
        <f t="shared" ref="S88" si="418">R88/100000</f>
        <v>11.618866931020001</v>
      </c>
      <c r="T88">
        <f t="shared" ref="T88" si="419">S88/1000</f>
        <v>1.1618866931020001E-2</v>
      </c>
    </row>
    <row r="89" spans="1:20" x14ac:dyDescent="0.25">
      <c r="A89" s="5">
        <v>44504</v>
      </c>
      <c r="B89">
        <v>384.3</v>
      </c>
      <c r="C89">
        <v>391.9</v>
      </c>
      <c r="D89">
        <v>356.9</v>
      </c>
      <c r="E89">
        <v>366</v>
      </c>
      <c r="F89">
        <v>82433.422000000006</v>
      </c>
      <c r="G89">
        <v>366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-0.47999999999999871</v>
      </c>
      <c r="Q89">
        <f t="shared" ref="Q89" si="421">F89*P89</f>
        <v>-39568.042559999893</v>
      </c>
      <c r="R89">
        <f t="shared" ref="R89" si="422">R90+Q89</f>
        <v>1206938.8286318805</v>
      </c>
      <c r="S89">
        <f t="shared" ref="S89" si="423">R89/100000</f>
        <v>12.069388286318805</v>
      </c>
      <c r="T89">
        <f t="shared" ref="T89" si="424">S89/1000</f>
        <v>1.2069388286318806E-2</v>
      </c>
    </row>
    <row r="90" spans="1:20" x14ac:dyDescent="0.25">
      <c r="A90" s="5">
        <v>44503</v>
      </c>
      <c r="B90">
        <v>361.6</v>
      </c>
      <c r="C90">
        <v>400</v>
      </c>
      <c r="D90">
        <v>350.1</v>
      </c>
      <c r="E90">
        <v>384.1</v>
      </c>
      <c r="F90">
        <v>220075.291</v>
      </c>
      <c r="G90">
        <v>384.1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0.36272545090180425</v>
      </c>
      <c r="Q90">
        <f t="shared" ref="Q90" si="426">F90*P90</f>
        <v>79826.909160320778</v>
      </c>
      <c r="R90">
        <f t="shared" ref="R90" si="427">R91+Q90</f>
        <v>1246506.8711918804</v>
      </c>
      <c r="S90">
        <f t="shared" ref="S90" si="428">R90/100000</f>
        <v>12.465068711918804</v>
      </c>
      <c r="T90">
        <f t="shared" ref="T90" si="429">S90/1000</f>
        <v>1.2465068711918803E-2</v>
      </c>
    </row>
    <row r="91" spans="1:20" x14ac:dyDescent="0.25">
      <c r="A91" s="5">
        <v>44502</v>
      </c>
      <c r="B91">
        <v>364.4</v>
      </c>
      <c r="C91">
        <v>376.3</v>
      </c>
      <c r="D91">
        <v>355.1</v>
      </c>
      <c r="E91">
        <v>361.6</v>
      </c>
      <c r="F91">
        <v>88992.07</v>
      </c>
      <c r="G91">
        <v>361.6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-0.38679245283018837</v>
      </c>
      <c r="Q91">
        <f t="shared" ref="Q91" si="431">F91*P91</f>
        <v>-34421.461037735826</v>
      </c>
      <c r="R91">
        <f t="shared" ref="R91" si="432">R92+Q91</f>
        <v>1166679.9620315596</v>
      </c>
      <c r="S91">
        <f t="shared" ref="S91" si="433">R91/100000</f>
        <v>11.666799620315595</v>
      </c>
      <c r="T91">
        <f t="shared" ref="T91" si="434">S91/1000</f>
        <v>1.1666799620315596E-2</v>
      </c>
    </row>
    <row r="92" spans="1:20" x14ac:dyDescent="0.25">
      <c r="A92" s="5">
        <v>44501</v>
      </c>
      <c r="B92">
        <v>346.3</v>
      </c>
      <c r="C92">
        <v>369.8</v>
      </c>
      <c r="D92">
        <v>325.2</v>
      </c>
      <c r="E92">
        <v>364.4</v>
      </c>
      <c r="F92">
        <v>169942.40400000001</v>
      </c>
      <c r="G92">
        <v>364.4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0.75784753363228563</v>
      </c>
      <c r="Q92">
        <f t="shared" ref="Q92" si="436">F92*P92</f>
        <v>128790.43173094148</v>
      </c>
      <c r="R92">
        <f t="shared" ref="R92" si="437">R93+Q92</f>
        <v>1201101.4230692955</v>
      </c>
      <c r="S92">
        <f t="shared" ref="S92" si="438">R92/100000</f>
        <v>12.011014230692954</v>
      </c>
      <c r="T92">
        <f t="shared" ref="T92" si="439">S92/1000</f>
        <v>1.2011014230692955E-2</v>
      </c>
    </row>
    <row r="93" spans="1:20" x14ac:dyDescent="0.25">
      <c r="A93" s="5">
        <v>44500</v>
      </c>
      <c r="B93">
        <v>319</v>
      </c>
      <c r="C93">
        <v>361.4</v>
      </c>
      <c r="D93">
        <v>317.89999999999998</v>
      </c>
      <c r="E93">
        <v>346.2</v>
      </c>
      <c r="F93">
        <v>175108.60800000001</v>
      </c>
      <c r="G93">
        <v>346.2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0.30114942528735683</v>
      </c>
      <c r="Q93">
        <f t="shared" ref="Q93" si="441">F93*P93</f>
        <v>52733.856662069054</v>
      </c>
      <c r="R93">
        <f t="shared" ref="R93" si="442">R94+Q93</f>
        <v>1072310.9913383541</v>
      </c>
      <c r="S93">
        <f t="shared" ref="S93" si="443">R93/100000</f>
        <v>10.72310991338354</v>
      </c>
      <c r="T93">
        <f t="shared" ref="T93" si="444">S93/1000</f>
        <v>1.072310991338354E-2</v>
      </c>
    </row>
    <row r="94" spans="1:20" x14ac:dyDescent="0.25">
      <c r="A94" s="5">
        <v>44499</v>
      </c>
      <c r="B94">
        <v>328.8</v>
      </c>
      <c r="C94">
        <v>329.1</v>
      </c>
      <c r="D94">
        <v>311.7</v>
      </c>
      <c r="E94">
        <v>319.10000000000002</v>
      </c>
      <c r="F94">
        <v>49911.682999999997</v>
      </c>
      <c r="G94">
        <v>319.10000000000002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-0.14942528735631957</v>
      </c>
      <c r="Q94">
        <f t="shared" ref="Q94" si="446">F94*P94</f>
        <v>-7458.0675747125306</v>
      </c>
      <c r="R94">
        <f t="shared" ref="R94" si="447">R95+Q94</f>
        <v>1019577.1346762851</v>
      </c>
      <c r="S94">
        <f t="shared" ref="S94" si="448">R94/100000</f>
        <v>10.19577134676285</v>
      </c>
      <c r="T94">
        <f t="shared" ref="T94" si="449">S94/1000</f>
        <v>1.019577134676285E-2</v>
      </c>
    </row>
    <row r="95" spans="1:20" x14ac:dyDescent="0.25">
      <c r="A95" s="5">
        <v>44498</v>
      </c>
      <c r="B95">
        <v>312.2</v>
      </c>
      <c r="C95">
        <v>332.6</v>
      </c>
      <c r="D95">
        <v>311</v>
      </c>
      <c r="E95">
        <v>328.7</v>
      </c>
      <c r="F95">
        <v>80518.173999999999</v>
      </c>
      <c r="G95">
        <v>328.7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0.63888888888888606</v>
      </c>
      <c r="Q95">
        <f t="shared" ref="Q95" si="451">F95*P95</f>
        <v>51442.166722221991</v>
      </c>
      <c r="R95">
        <f t="shared" ref="R95" si="452">R96+Q95</f>
        <v>1027035.2022509977</v>
      </c>
      <c r="S95">
        <f t="shared" ref="S95" si="453">R95/100000</f>
        <v>10.270352022509977</v>
      </c>
      <c r="T95">
        <f t="shared" ref="T95" si="454">S95/1000</f>
        <v>1.0270352022509976E-2</v>
      </c>
    </row>
    <row r="96" spans="1:20" x14ac:dyDescent="0.25">
      <c r="A96" s="5">
        <v>44497</v>
      </c>
      <c r="B96">
        <v>302.39999999999998</v>
      </c>
      <c r="C96">
        <v>319.39999999999998</v>
      </c>
      <c r="D96">
        <v>300.8</v>
      </c>
      <c r="E96">
        <v>312.5</v>
      </c>
      <c r="F96">
        <v>75273.785000000003</v>
      </c>
      <c r="G96">
        <v>312.5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0.25806451612903336</v>
      </c>
      <c r="Q96">
        <f t="shared" ref="Q96" si="456">F96*P96</f>
        <v>19425.492903225891</v>
      </c>
      <c r="R96">
        <f t="shared" ref="R96" si="457">R97+Q96</f>
        <v>975593.03552877565</v>
      </c>
      <c r="S96">
        <f t="shared" ref="S96" si="458">R96/100000</f>
        <v>9.7559303552877559</v>
      </c>
      <c r="T96">
        <f t="shared" ref="T96" si="459">S96/1000</f>
        <v>9.7559303552877553E-3</v>
      </c>
    </row>
    <row r="97" spans="1:20" x14ac:dyDescent="0.25">
      <c r="A97" s="5">
        <v>44496</v>
      </c>
      <c r="B97">
        <v>342.3</v>
      </c>
      <c r="C97">
        <v>352.9</v>
      </c>
      <c r="D97">
        <v>291.60000000000002</v>
      </c>
      <c r="E97">
        <v>302.39999999999998</v>
      </c>
      <c r="F97">
        <v>171186.592</v>
      </c>
      <c r="G97">
        <v>302.39999999999998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-0.64763458401305174</v>
      </c>
      <c r="Q97">
        <f t="shared" ref="Q97" si="461">F97*P97</f>
        <v>-110866.35729853202</v>
      </c>
      <c r="R97">
        <f t="shared" ref="R97" si="462">R98+Q97</f>
        <v>956167.54262554972</v>
      </c>
      <c r="S97">
        <f t="shared" ref="S97" si="463">R97/100000</f>
        <v>9.5616754262554977</v>
      </c>
      <c r="T97">
        <f t="shared" ref="T97" si="464">S97/1000</f>
        <v>9.5616754262554983E-3</v>
      </c>
    </row>
    <row r="98" spans="1:20" x14ac:dyDescent="0.25">
      <c r="A98" s="5">
        <v>44495</v>
      </c>
      <c r="B98">
        <v>322.39999999999998</v>
      </c>
      <c r="C98">
        <v>360.8</v>
      </c>
      <c r="D98">
        <v>321.3</v>
      </c>
      <c r="E98">
        <v>342.2</v>
      </c>
      <c r="F98">
        <v>193471.427</v>
      </c>
      <c r="G98">
        <v>342.2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5.8227848101264669E-2</v>
      </c>
      <c r="Q98">
        <f t="shared" ref="Q98" si="466">F98*P98</f>
        <v>11265.424863290917</v>
      </c>
      <c r="R98">
        <f t="shared" ref="R98" si="467">R99+Q98</f>
        <v>1067033.8999240818</v>
      </c>
      <c r="S98">
        <f t="shared" ref="S98" si="468">R98/100000</f>
        <v>10.670338999240817</v>
      </c>
      <c r="T98">
        <f t="shared" ref="T98" si="469">S98/1000</f>
        <v>1.0670338999240817E-2</v>
      </c>
    </row>
    <row r="99" spans="1:20" x14ac:dyDescent="0.25">
      <c r="A99" s="5">
        <v>44494</v>
      </c>
      <c r="B99">
        <v>308.60000000000002</v>
      </c>
      <c r="C99">
        <v>324</v>
      </c>
      <c r="D99">
        <v>306.2</v>
      </c>
      <c r="E99">
        <v>322.2</v>
      </c>
      <c r="F99">
        <v>54251.402000000002</v>
      </c>
      <c r="G99">
        <v>322.2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0.79775280898876288</v>
      </c>
      <c r="Q99">
        <f t="shared" ref="Q99" si="471">F99*P99</f>
        <v>43279.208337078591</v>
      </c>
      <c r="R99">
        <f t="shared" ref="R99" si="472">R100+Q99</f>
        <v>1055768.4750607908</v>
      </c>
      <c r="S99">
        <f t="shared" ref="S99" si="473">R99/100000</f>
        <v>10.557684750607908</v>
      </c>
      <c r="T99">
        <f t="shared" ref="T99" si="474">S99/1000</f>
        <v>1.0557684750607909E-2</v>
      </c>
    </row>
    <row r="100" spans="1:20" x14ac:dyDescent="0.25">
      <c r="A100" s="5">
        <v>44493</v>
      </c>
      <c r="B100">
        <v>311.8</v>
      </c>
      <c r="C100">
        <v>317</v>
      </c>
      <c r="D100">
        <v>301</v>
      </c>
      <c r="E100">
        <v>308.39999999999998</v>
      </c>
      <c r="F100">
        <v>64388.785000000003</v>
      </c>
      <c r="G100">
        <v>308.39999999999998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-7.5000000000002842E-2</v>
      </c>
      <c r="Q100">
        <f t="shared" ref="Q100" si="476">F100*P100</f>
        <v>-4829.1588750001829</v>
      </c>
      <c r="R100">
        <f t="shared" ref="R100" si="477">R101+Q100</f>
        <v>1012489.2667237121</v>
      </c>
      <c r="S100">
        <f t="shared" ref="S100" si="478">R100/100000</f>
        <v>10.124892667237122</v>
      </c>
      <c r="T100">
        <f t="shared" ref="T100" si="479">S100/1000</f>
        <v>1.0124892667237121E-2</v>
      </c>
    </row>
    <row r="101" spans="1:20" x14ac:dyDescent="0.25">
      <c r="A101" s="5">
        <v>44492</v>
      </c>
      <c r="B101">
        <v>315.8</v>
      </c>
      <c r="C101">
        <v>318</v>
      </c>
      <c r="D101">
        <v>305.10000000000002</v>
      </c>
      <c r="E101">
        <v>311.8</v>
      </c>
      <c r="F101">
        <v>69118.165999999997</v>
      </c>
      <c r="G101">
        <v>311.8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3.8759689922480689E-2</v>
      </c>
      <c r="Q101">
        <f t="shared" ref="Q101" si="481">F101*P101</f>
        <v>2678.9986821705475</v>
      </c>
      <c r="R101">
        <f t="shared" ref="R101" si="482">R102+Q101</f>
        <v>1017318.4255987123</v>
      </c>
      <c r="S101">
        <f t="shared" ref="S101" si="483">R101/100000</f>
        <v>10.173184255987122</v>
      </c>
      <c r="T101">
        <f t="shared" ref="T101" si="484">S101/1000</f>
        <v>1.0173184255987122E-2</v>
      </c>
    </row>
    <row r="102" spans="1:20" x14ac:dyDescent="0.25">
      <c r="A102" s="5">
        <v>44491</v>
      </c>
      <c r="B102">
        <v>315.89999999999998</v>
      </c>
      <c r="C102">
        <v>328.4</v>
      </c>
      <c r="D102">
        <v>311.5</v>
      </c>
      <c r="E102">
        <v>315.7</v>
      </c>
      <c r="F102">
        <v>48539.021000000001</v>
      </c>
      <c r="G102">
        <v>315.7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-0.50295857988165749</v>
      </c>
      <c r="Q102">
        <f t="shared" ref="Q102" si="486">F102*P102</f>
        <v>-24413.117071005952</v>
      </c>
      <c r="R102">
        <f t="shared" ref="R102" si="487">R103+Q102</f>
        <v>1014639.4269165418</v>
      </c>
      <c r="S102">
        <f t="shared" ref="S102" si="488">R102/100000</f>
        <v>10.146394269165418</v>
      </c>
      <c r="T102">
        <f t="shared" ref="T102" si="489">S102/1000</f>
        <v>1.0146394269165419E-2</v>
      </c>
    </row>
    <row r="103" spans="1:20" x14ac:dyDescent="0.25">
      <c r="A103" s="5">
        <v>44490</v>
      </c>
      <c r="B103">
        <v>323.3</v>
      </c>
      <c r="C103">
        <v>335.2</v>
      </c>
      <c r="D103">
        <v>310.2</v>
      </c>
      <c r="E103">
        <v>315.7</v>
      </c>
      <c r="F103">
        <v>83057.760999999999</v>
      </c>
      <c r="G103">
        <v>315.7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-0.56000000000000005</v>
      </c>
      <c r="Q103">
        <f t="shared" ref="Q103" si="491">F103*P103</f>
        <v>-46512.346160000001</v>
      </c>
      <c r="R103">
        <f t="shared" ref="R103" si="492">R104+Q103</f>
        <v>1039052.5439875477</v>
      </c>
      <c r="S103">
        <f t="shared" ref="S103" si="493">R103/100000</f>
        <v>10.390525439875477</v>
      </c>
      <c r="T103">
        <f t="shared" ref="T103" si="494">S103/1000</f>
        <v>1.0390525439875477E-2</v>
      </c>
    </row>
    <row r="104" spans="1:20" x14ac:dyDescent="0.25">
      <c r="A104" s="5">
        <v>44489</v>
      </c>
      <c r="B104">
        <v>306.3</v>
      </c>
      <c r="C104">
        <v>329.3</v>
      </c>
      <c r="D104">
        <v>303.8</v>
      </c>
      <c r="E104">
        <v>323.3</v>
      </c>
      <c r="F104">
        <v>69874.205000000002</v>
      </c>
      <c r="G104">
        <v>323.3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0.52941176470588236</v>
      </c>
      <c r="Q104">
        <f t="shared" ref="Q104" si="496">F104*P104</f>
        <v>36992.226176470591</v>
      </c>
      <c r="R104">
        <f t="shared" ref="R104" si="497">R105+Q104</f>
        <v>1085564.8901475477</v>
      </c>
      <c r="S104">
        <f t="shared" ref="S104" si="498">R104/100000</f>
        <v>10.855648901475478</v>
      </c>
      <c r="T104">
        <f t="shared" ref="T104" si="499">S104/1000</f>
        <v>1.0855648901475478E-2</v>
      </c>
    </row>
    <row r="105" spans="1:20" x14ac:dyDescent="0.25">
      <c r="A105" s="5">
        <v>44488</v>
      </c>
      <c r="B105">
        <v>305.10000000000002</v>
      </c>
      <c r="C105">
        <v>309.89999999999998</v>
      </c>
      <c r="D105">
        <v>301</v>
      </c>
      <c r="E105">
        <v>306.3</v>
      </c>
      <c r="F105">
        <v>44417.862999999998</v>
      </c>
      <c r="G105">
        <v>306.3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0.19101123595506178</v>
      </c>
      <c r="Q105">
        <f t="shared" ref="Q105" si="501">F105*P105</f>
        <v>8484.3109101126083</v>
      </c>
      <c r="R105">
        <f t="shared" ref="R105" si="502">R106+Q105</f>
        <v>1048572.6639710772</v>
      </c>
      <c r="S105">
        <f t="shared" ref="S105" si="503">R105/100000</f>
        <v>10.485726639710771</v>
      </c>
      <c r="T105">
        <f t="shared" ref="T105" si="504">S105/1000</f>
        <v>1.0485726639710771E-2</v>
      </c>
    </row>
    <row r="106" spans="1:20" x14ac:dyDescent="0.25">
      <c r="A106" s="5">
        <v>44487</v>
      </c>
      <c r="B106">
        <v>310.7</v>
      </c>
      <c r="C106">
        <v>313.8</v>
      </c>
      <c r="D106">
        <v>298.7</v>
      </c>
      <c r="E106">
        <v>305.3</v>
      </c>
      <c r="F106">
        <v>53766.95</v>
      </c>
      <c r="G106">
        <v>305.3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-0.12582781456953473</v>
      </c>
      <c r="Q106">
        <f t="shared" ref="Q106" si="506">F106*P106</f>
        <v>-6765.377814569445</v>
      </c>
      <c r="R106">
        <f t="shared" ref="R106" si="507">R107+Q106</f>
        <v>1040088.3530609646</v>
      </c>
      <c r="S106">
        <f t="shared" ref="S106" si="508">R106/100000</f>
        <v>10.400883530609645</v>
      </c>
      <c r="T106">
        <f t="shared" ref="T106" si="509">S106/1000</f>
        <v>1.0400883530609646E-2</v>
      </c>
    </row>
    <row r="107" spans="1:20" x14ac:dyDescent="0.25">
      <c r="A107" s="5">
        <v>44486</v>
      </c>
      <c r="B107">
        <v>316.89999999999998</v>
      </c>
      <c r="C107">
        <v>323.3</v>
      </c>
      <c r="D107">
        <v>300</v>
      </c>
      <c r="E107">
        <v>310.7</v>
      </c>
      <c r="F107">
        <v>48423.205999999998</v>
      </c>
      <c r="G107">
        <v>310.7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-8.1545064377683829E-2</v>
      </c>
      <c r="Q107">
        <f t="shared" ref="Q107" si="511">F107*P107</f>
        <v>-3948.6734506438456</v>
      </c>
      <c r="R107">
        <f t="shared" ref="R107" si="512">R108+Q107</f>
        <v>1046853.730875534</v>
      </c>
      <c r="S107">
        <f t="shared" ref="S107" si="513">R107/100000</f>
        <v>10.468537308755341</v>
      </c>
      <c r="T107">
        <f t="shared" ref="T107" si="514">S107/1000</f>
        <v>1.0468537308755341E-2</v>
      </c>
    </row>
    <row r="108" spans="1:20" x14ac:dyDescent="0.25">
      <c r="A108" s="5">
        <v>44485</v>
      </c>
      <c r="B108">
        <v>316.8</v>
      </c>
      <c r="C108">
        <v>330.7</v>
      </c>
      <c r="D108">
        <v>313</v>
      </c>
      <c r="E108">
        <v>317</v>
      </c>
      <c r="F108">
        <v>59117.796999999999</v>
      </c>
      <c r="G108">
        <v>317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-0.54802259887005622</v>
      </c>
      <c r="Q108">
        <f t="shared" ref="Q108" si="516">F108*P108</f>
        <v>-32397.888751412411</v>
      </c>
      <c r="R108">
        <f t="shared" ref="R108" si="517">R109+Q108</f>
        <v>1050802.4043261779</v>
      </c>
      <c r="S108">
        <f t="shared" ref="S108" si="518">R108/100000</f>
        <v>10.508024043261779</v>
      </c>
      <c r="T108">
        <f t="shared" ref="T108" si="519">S108/1000</f>
        <v>1.0508024043261779E-2</v>
      </c>
    </row>
    <row r="109" spans="1:20" x14ac:dyDescent="0.25">
      <c r="A109" s="5">
        <v>44484</v>
      </c>
      <c r="B109">
        <v>315.3</v>
      </c>
      <c r="C109">
        <v>325</v>
      </c>
      <c r="D109">
        <v>299.60000000000002</v>
      </c>
      <c r="E109">
        <v>316.8</v>
      </c>
      <c r="F109">
        <v>72109.032999999996</v>
      </c>
      <c r="G109">
        <v>316.8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0.35433070866141764</v>
      </c>
      <c r="Q109">
        <f t="shared" ref="Q109" si="521">F109*P109</f>
        <v>25550.444763779549</v>
      </c>
      <c r="R109">
        <f t="shared" ref="R109" si="522">R110+Q109</f>
        <v>1083200.2930775904</v>
      </c>
      <c r="S109">
        <f t="shared" ref="S109" si="523">R109/100000</f>
        <v>10.832002930775904</v>
      </c>
      <c r="T109">
        <f t="shared" ref="T109" si="524">S109/1000</f>
        <v>1.0832002930775903E-2</v>
      </c>
    </row>
    <row r="110" spans="1:20" x14ac:dyDescent="0.25">
      <c r="A110" s="5">
        <v>44483</v>
      </c>
      <c r="B110">
        <v>304.10000000000002</v>
      </c>
      <c r="C110">
        <v>322</v>
      </c>
      <c r="D110">
        <v>304</v>
      </c>
      <c r="E110">
        <v>315.3</v>
      </c>
      <c r="F110">
        <v>52462.968000000001</v>
      </c>
      <c r="G110">
        <v>315.3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0.25555555555555681</v>
      </c>
      <c r="Q110">
        <f t="shared" ref="Q110" si="526">F110*P110</f>
        <v>13407.202933333399</v>
      </c>
      <c r="R110">
        <f t="shared" ref="R110" si="527">R111+Q110</f>
        <v>1057649.8483138108</v>
      </c>
      <c r="S110">
        <f t="shared" ref="S110" si="528">R110/100000</f>
        <v>10.576498483138108</v>
      </c>
      <c r="T110">
        <f t="shared" ref="T110" si="529">S110/1000</f>
        <v>1.0576498483138108E-2</v>
      </c>
    </row>
    <row r="111" spans="1:20" x14ac:dyDescent="0.25">
      <c r="A111" s="5">
        <v>44482</v>
      </c>
      <c r="B111">
        <v>306.3</v>
      </c>
      <c r="C111">
        <v>309.60000000000002</v>
      </c>
      <c r="D111">
        <v>294.5</v>
      </c>
      <c r="E111">
        <v>304.10000000000002</v>
      </c>
      <c r="F111">
        <v>50957.343000000001</v>
      </c>
      <c r="G111">
        <v>304.10000000000002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0.27152317880794813</v>
      </c>
      <c r="Q111">
        <f t="shared" ref="Q111" si="531">F111*P111</f>
        <v>13836.099754966945</v>
      </c>
      <c r="R111">
        <f t="shared" ref="R111" si="532">R112+Q111</f>
        <v>1044242.6453804773</v>
      </c>
      <c r="S111">
        <f t="shared" ref="S111" si="533">R111/100000</f>
        <v>10.442426453804773</v>
      </c>
      <c r="T111">
        <f t="shared" ref="T111" si="534">S111/1000</f>
        <v>1.0442426453804773E-2</v>
      </c>
    </row>
    <row r="112" spans="1:20" x14ac:dyDescent="0.25">
      <c r="A112" s="5">
        <v>44481</v>
      </c>
      <c r="B112">
        <v>302.5</v>
      </c>
      <c r="C112">
        <v>309.89999999999998</v>
      </c>
      <c r="D112">
        <v>287.10000000000002</v>
      </c>
      <c r="E112">
        <v>306.39999999999998</v>
      </c>
      <c r="F112">
        <v>55107.735000000001</v>
      </c>
      <c r="G112">
        <v>306.39999999999998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0.69298245614035026</v>
      </c>
      <c r="Q112">
        <f t="shared" ref="Q112" si="536">F112*P112</f>
        <v>38188.693552631543</v>
      </c>
      <c r="R112">
        <f t="shared" ref="R112" si="537">R113+Q112</f>
        <v>1030406.5456255104</v>
      </c>
      <c r="S112">
        <f t="shared" ref="S112" si="538">R112/100000</f>
        <v>10.304065456255104</v>
      </c>
      <c r="T112">
        <f t="shared" ref="T112" si="539">S112/1000</f>
        <v>1.0304065456255104E-2</v>
      </c>
    </row>
    <row r="113" spans="1:20" x14ac:dyDescent="0.25">
      <c r="A113" s="5">
        <v>44480</v>
      </c>
      <c r="B113">
        <v>303.3</v>
      </c>
      <c r="C113">
        <v>318.7</v>
      </c>
      <c r="D113">
        <v>295</v>
      </c>
      <c r="E113">
        <v>302.7</v>
      </c>
      <c r="F113">
        <v>46623.214999999997</v>
      </c>
      <c r="G113">
        <v>302.7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-0.35021097046413568</v>
      </c>
      <c r="Q113">
        <f t="shared" ref="Q113" si="541">F113*P113</f>
        <v>-16327.961371308047</v>
      </c>
      <c r="R113">
        <f t="shared" ref="R113" si="542">R114+Q113</f>
        <v>992217.85207287886</v>
      </c>
      <c r="S113">
        <f t="shared" ref="S113" si="543">R113/100000</f>
        <v>9.9221785207287887</v>
      </c>
      <c r="T113">
        <f t="shared" ref="T113" si="544">S113/1000</f>
        <v>9.9221785207287885E-3</v>
      </c>
    </row>
    <row r="114" spans="1:20" x14ac:dyDescent="0.25">
      <c r="A114" s="5">
        <v>44479</v>
      </c>
      <c r="B114">
        <v>330.7</v>
      </c>
      <c r="C114">
        <v>331.5</v>
      </c>
      <c r="D114">
        <v>302.2</v>
      </c>
      <c r="E114">
        <v>303.5</v>
      </c>
      <c r="F114">
        <v>49047.22</v>
      </c>
      <c r="G114">
        <v>303.5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-0.91126279863481152</v>
      </c>
      <c r="Q114">
        <f t="shared" ref="Q114" si="546">F114*P114</f>
        <v>-44694.906962457302</v>
      </c>
      <c r="R114">
        <f t="shared" ref="R114" si="547">R115+Q114</f>
        <v>1008545.8134441869</v>
      </c>
      <c r="S114">
        <f t="shared" ref="S114" si="548">R114/100000</f>
        <v>10.08545813444187</v>
      </c>
      <c r="T114">
        <f t="shared" ref="T114" si="549">S114/1000</f>
        <v>1.0085458134441869E-2</v>
      </c>
    </row>
    <row r="115" spans="1:20" x14ac:dyDescent="0.25">
      <c r="A115" s="5">
        <v>44478</v>
      </c>
      <c r="B115">
        <v>313.60000000000002</v>
      </c>
      <c r="C115">
        <v>334.7</v>
      </c>
      <c r="D115">
        <v>310</v>
      </c>
      <c r="E115">
        <v>330.6</v>
      </c>
      <c r="F115">
        <v>69880.695000000007</v>
      </c>
      <c r="G115">
        <v>330.6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0.66801619433198645</v>
      </c>
      <c r="Q115">
        <f t="shared" ref="Q115" si="551">F115*P115</f>
        <v>46681.435931174281</v>
      </c>
      <c r="R115">
        <f t="shared" ref="R115" si="552">R116+Q115</f>
        <v>1053240.7204066443</v>
      </c>
      <c r="S115">
        <f t="shared" ref="S115" si="553">R115/100000</f>
        <v>10.532407204066443</v>
      </c>
      <c r="T115">
        <f t="shared" ref="T115" si="554">S115/1000</f>
        <v>1.0532407204066443E-2</v>
      </c>
    </row>
    <row r="116" spans="1:20" x14ac:dyDescent="0.25">
      <c r="A116" s="5">
        <v>44477</v>
      </c>
      <c r="B116">
        <v>316.89999999999998</v>
      </c>
      <c r="C116">
        <v>335.9</v>
      </c>
      <c r="D116">
        <v>310.5</v>
      </c>
      <c r="E116">
        <v>313.39999999999998</v>
      </c>
      <c r="F116">
        <v>103620.318</v>
      </c>
      <c r="G116">
        <v>313.39999999999998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-0.77165354330708824</v>
      </c>
      <c r="Q116">
        <f t="shared" ref="Q116" si="556">F116*P116</f>
        <v>-79958.985543307252</v>
      </c>
      <c r="R116">
        <f t="shared" ref="R116" si="557">R117+Q116</f>
        <v>1006559.2844754701</v>
      </c>
      <c r="S116">
        <f t="shared" ref="S116" si="558">R116/100000</f>
        <v>10.065592844754701</v>
      </c>
      <c r="T116">
        <f t="shared" ref="T116" si="559">S116/1000</f>
        <v>1.00655928447547E-2</v>
      </c>
    </row>
    <row r="117" spans="1:20" x14ac:dyDescent="0.25">
      <c r="A117" s="5">
        <v>44476</v>
      </c>
      <c r="B117">
        <v>306.10000000000002</v>
      </c>
      <c r="C117">
        <v>325.7</v>
      </c>
      <c r="D117">
        <v>296.5</v>
      </c>
      <c r="E117">
        <v>316.89999999999998</v>
      </c>
      <c r="F117">
        <v>106407.65</v>
      </c>
      <c r="G117">
        <v>316.89999999999998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0.39726027397260172</v>
      </c>
      <c r="Q117">
        <f t="shared" ref="Q117" si="561">F117*P117</f>
        <v>42271.532191780709</v>
      </c>
      <c r="R117">
        <f t="shared" ref="R117" si="562">R118+Q117</f>
        <v>1086518.2700187773</v>
      </c>
      <c r="S117">
        <f t="shared" ref="S117" si="563">R117/100000</f>
        <v>10.865182700187773</v>
      </c>
      <c r="T117">
        <f t="shared" ref="T117" si="564">S117/1000</f>
        <v>1.0865182700187773E-2</v>
      </c>
    </row>
    <row r="118" spans="1:20" x14ac:dyDescent="0.25">
      <c r="A118" s="5">
        <v>44475</v>
      </c>
      <c r="B118">
        <v>309.8</v>
      </c>
      <c r="C118">
        <v>314.3</v>
      </c>
      <c r="D118">
        <v>286.3</v>
      </c>
      <c r="E118">
        <v>305.89999999999998</v>
      </c>
      <c r="F118">
        <v>105631.296</v>
      </c>
      <c r="G118">
        <v>305.89999999999998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0.39999999999999758</v>
      </c>
      <c r="Q118">
        <f t="shared" ref="Q118" si="566">F118*P118</f>
        <v>42252.518399999746</v>
      </c>
      <c r="R118">
        <f t="shared" ref="R118" si="567">R119+Q118</f>
        <v>1044246.7378269966</v>
      </c>
      <c r="S118">
        <f t="shared" ref="S118" si="568">R118/100000</f>
        <v>10.442467378269965</v>
      </c>
      <c r="T118">
        <f t="shared" ref="T118" si="569">S118/1000</f>
        <v>1.0442467378269966E-2</v>
      </c>
    </row>
    <row r="119" spans="1:20" x14ac:dyDescent="0.25">
      <c r="A119" s="5">
        <v>44474</v>
      </c>
      <c r="B119">
        <v>313.10000000000002</v>
      </c>
      <c r="C119">
        <v>323</v>
      </c>
      <c r="D119">
        <v>302.10000000000002</v>
      </c>
      <c r="E119">
        <v>309.60000000000002</v>
      </c>
      <c r="F119">
        <v>123933.995</v>
      </c>
      <c r="G119">
        <v>309.60000000000002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-0.28229665071770255</v>
      </c>
      <c r="Q119">
        <f t="shared" ref="Q119" si="571">F119*P119</f>
        <v>-34986.151698564492</v>
      </c>
      <c r="R119">
        <f t="shared" ref="R119" si="572">R120+Q119</f>
        <v>1001994.2194269969</v>
      </c>
      <c r="S119">
        <f t="shared" ref="S119" si="573">R119/100000</f>
        <v>10.019942194269969</v>
      </c>
      <c r="T119">
        <f t="shared" ref="T119" si="574">S119/1000</f>
        <v>1.0019942194269969E-2</v>
      </c>
    </row>
    <row r="120" spans="1:20" x14ac:dyDescent="0.25">
      <c r="A120" s="5">
        <v>44473</v>
      </c>
      <c r="B120">
        <v>326.7</v>
      </c>
      <c r="C120">
        <v>326.89999999999998</v>
      </c>
      <c r="D120">
        <v>308.5</v>
      </c>
      <c r="E120">
        <v>313.60000000000002</v>
      </c>
      <c r="F120">
        <v>92009.478000000003</v>
      </c>
      <c r="G120">
        <v>313.60000000000002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-0.44565217391304029</v>
      </c>
      <c r="Q120">
        <f t="shared" ref="Q120" si="576">F120*P120</f>
        <v>-41004.223891304056</v>
      </c>
      <c r="R120">
        <f t="shared" ref="R120" si="577">R121+Q120</f>
        <v>1036980.3711255614</v>
      </c>
      <c r="S120">
        <f t="shared" ref="S120" si="578">R120/100000</f>
        <v>10.369803711255614</v>
      </c>
      <c r="T120">
        <f t="shared" ref="T120" si="579">S120/1000</f>
        <v>1.0369803711255614E-2</v>
      </c>
    </row>
    <row r="121" spans="1:20" x14ac:dyDescent="0.25">
      <c r="A121" s="5">
        <v>44472</v>
      </c>
      <c r="B121">
        <v>337.1</v>
      </c>
      <c r="C121">
        <v>346.1</v>
      </c>
      <c r="D121">
        <v>321</v>
      </c>
      <c r="E121">
        <v>326.89999999999998</v>
      </c>
      <c r="F121">
        <v>94538.373000000007</v>
      </c>
      <c r="G121">
        <v>326.89999999999998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-0.5298804780876516</v>
      </c>
      <c r="Q121">
        <f t="shared" ref="Q121" si="581">F121*P121</f>
        <v>-50094.038282868736</v>
      </c>
      <c r="R121">
        <f t="shared" ref="R121" si="582">R122+Q121</f>
        <v>1077984.5950168655</v>
      </c>
      <c r="S121">
        <f t="shared" ref="S121" si="583">R121/100000</f>
        <v>10.779845950168655</v>
      </c>
      <c r="T121">
        <f t="shared" ref="T121" si="584">S121/1000</f>
        <v>1.0779845950168655E-2</v>
      </c>
    </row>
    <row r="122" spans="1:20" x14ac:dyDescent="0.25">
      <c r="A122" s="5">
        <v>44471</v>
      </c>
      <c r="B122">
        <v>326.60000000000002</v>
      </c>
      <c r="C122">
        <v>351.4</v>
      </c>
      <c r="D122">
        <v>318</v>
      </c>
      <c r="E122">
        <v>337.4</v>
      </c>
      <c r="F122">
        <v>91209.319000000003</v>
      </c>
      <c r="G122">
        <v>337.4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0.16167664670658627</v>
      </c>
      <c r="Q122">
        <f t="shared" ref="Q122" si="586">F122*P122</f>
        <v>14746.416844311327</v>
      </c>
      <c r="R122">
        <f t="shared" ref="R122" si="587">R123+Q122</f>
        <v>1128078.6332997342</v>
      </c>
      <c r="S122">
        <f t="shared" ref="S122" si="588">R122/100000</f>
        <v>11.280786332997343</v>
      </c>
      <c r="T122">
        <f t="shared" ref="T122" si="589">S122/1000</f>
        <v>1.1280786332997342E-2</v>
      </c>
    </row>
    <row r="123" spans="1:20" x14ac:dyDescent="0.25">
      <c r="A123" s="5">
        <v>44470</v>
      </c>
      <c r="B123">
        <v>317.7</v>
      </c>
      <c r="C123">
        <v>330</v>
      </c>
      <c r="D123">
        <v>309</v>
      </c>
      <c r="E123">
        <v>326.39999999999998</v>
      </c>
      <c r="F123">
        <v>90387.751999999993</v>
      </c>
      <c r="G123">
        <v>326.39999999999998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0.65714285714285503</v>
      </c>
      <c r="Q123">
        <f t="shared" ref="Q123" si="591">F123*P123</f>
        <v>59397.665599999804</v>
      </c>
      <c r="R123">
        <f t="shared" ref="R123" si="592">R124+Q123</f>
        <v>1113332.2164554228</v>
      </c>
      <c r="S123">
        <f t="shared" ref="S123" si="593">R123/100000</f>
        <v>11.133322164554228</v>
      </c>
      <c r="T123">
        <f t="shared" ref="T123" si="594">S123/1000</f>
        <v>1.1133322164554227E-2</v>
      </c>
    </row>
    <row r="124" spans="1:20" x14ac:dyDescent="0.25">
      <c r="A124" s="5">
        <v>44469</v>
      </c>
      <c r="B124">
        <v>307.5</v>
      </c>
      <c r="C124">
        <v>319.89999999999998</v>
      </c>
      <c r="D124">
        <v>286.7</v>
      </c>
      <c r="E124">
        <v>317.89999999999998</v>
      </c>
      <c r="F124">
        <v>193458.74400000001</v>
      </c>
      <c r="G124">
        <v>317.89999999999998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0.87951807228915657</v>
      </c>
      <c r="Q124">
        <f t="shared" ref="Q124" si="596">F124*P124</f>
        <v>170150.46159036143</v>
      </c>
      <c r="R124">
        <f t="shared" ref="R124" si="597">R125+Q124</f>
        <v>1053934.5508554231</v>
      </c>
      <c r="S124">
        <f t="shared" ref="S124" si="598">R124/100000</f>
        <v>10.539345508554231</v>
      </c>
      <c r="T124">
        <f t="shared" ref="T124" si="599">S124/1000</f>
        <v>1.053934550855423E-2</v>
      </c>
    </row>
    <row r="125" spans="1:20" x14ac:dyDescent="0.25">
      <c r="A125" s="5">
        <v>44468</v>
      </c>
      <c r="B125">
        <v>319.7</v>
      </c>
      <c r="C125">
        <v>338.1</v>
      </c>
      <c r="D125">
        <v>279.89999999999998</v>
      </c>
      <c r="E125">
        <v>307.5</v>
      </c>
      <c r="F125">
        <v>86338.103770000002</v>
      </c>
      <c r="G125">
        <v>307.5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-5.1546391752577282E-2</v>
      </c>
      <c r="Q125">
        <f t="shared" ref="Q125" si="601">F125*P125</f>
        <v>-4450.4177201030898</v>
      </c>
      <c r="R125">
        <f t="shared" ref="R125" si="602">R126+Q125</f>
        <v>883784.08926506166</v>
      </c>
      <c r="S125">
        <f t="shared" ref="S125" si="603">R125/100000</f>
        <v>8.8378408926506165</v>
      </c>
      <c r="T125">
        <f t="shared" ref="T125" si="604">S125/1000</f>
        <v>8.8378408926506162E-3</v>
      </c>
    </row>
    <row r="126" spans="1:20" x14ac:dyDescent="0.25">
      <c r="A126" s="5">
        <v>44467</v>
      </c>
      <c r="B126">
        <v>338</v>
      </c>
      <c r="C126">
        <v>342.8</v>
      </c>
      <c r="D126">
        <v>318.7</v>
      </c>
      <c r="E126">
        <v>319.89999999999998</v>
      </c>
      <c r="F126">
        <v>28827.409</v>
      </c>
      <c r="G126">
        <v>319.89999999999998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-0.90041493775933712</v>
      </c>
      <c r="Q126">
        <f t="shared" ref="Q126" si="606">F126*P126</f>
        <v>-25956.629680497954</v>
      </c>
      <c r="R126">
        <f t="shared" ref="R126" si="607">R127+Q126</f>
        <v>888234.50698516471</v>
      </c>
      <c r="S126">
        <f t="shared" ref="S126" si="608">R126/100000</f>
        <v>8.8823450698516471</v>
      </c>
      <c r="T126">
        <f t="shared" ref="T126" si="609">S126/1000</f>
        <v>8.8823450698516469E-3</v>
      </c>
    </row>
    <row r="127" spans="1:20" x14ac:dyDescent="0.25">
      <c r="A127" s="5">
        <v>44466</v>
      </c>
      <c r="B127">
        <v>354.6</v>
      </c>
      <c r="C127">
        <v>375.2</v>
      </c>
      <c r="D127">
        <v>337.8</v>
      </c>
      <c r="E127">
        <v>338.2</v>
      </c>
      <c r="F127">
        <v>43488.843000000001</v>
      </c>
      <c r="G127">
        <v>338.2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-0.97860962566845044</v>
      </c>
      <c r="Q127">
        <f t="shared" ref="Q127" si="611">F127*P127</f>
        <v>-42558.600368984014</v>
      </c>
      <c r="R127">
        <f t="shared" ref="R127" si="612">R128+Q127</f>
        <v>914191.13666566263</v>
      </c>
      <c r="S127">
        <f t="shared" ref="S127" si="613">R127/100000</f>
        <v>9.1419113666566272</v>
      </c>
      <c r="T127">
        <f t="shared" ref="T127" si="614">S127/1000</f>
        <v>9.1419113666566278E-3</v>
      </c>
    </row>
    <row r="128" spans="1:20" x14ac:dyDescent="0.25">
      <c r="A128" s="5">
        <v>44465</v>
      </c>
      <c r="B128">
        <v>331</v>
      </c>
      <c r="C128">
        <v>358</v>
      </c>
      <c r="D128">
        <v>309.7</v>
      </c>
      <c r="E128">
        <v>355</v>
      </c>
      <c r="F128">
        <v>58583.413999999997</v>
      </c>
      <c r="G128">
        <v>355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0.87577639751552794</v>
      </c>
      <c r="Q128">
        <f t="shared" ref="Q128" si="616">F128*P128</f>
        <v>51305.971267080742</v>
      </c>
      <c r="R128">
        <f t="shared" ref="R128" si="617">R129+Q128</f>
        <v>956749.73703464668</v>
      </c>
      <c r="S128">
        <f t="shared" ref="S128" si="618">R128/100000</f>
        <v>9.5674973703464676</v>
      </c>
      <c r="T128">
        <f t="shared" ref="T128" si="619">S128/1000</f>
        <v>9.5674973703464682E-3</v>
      </c>
    </row>
    <row r="129" spans="1:20" x14ac:dyDescent="0.25">
      <c r="A129" s="5">
        <v>44464</v>
      </c>
      <c r="B129">
        <v>340.9</v>
      </c>
      <c r="C129">
        <v>347.1</v>
      </c>
      <c r="D129">
        <v>327.2</v>
      </c>
      <c r="E129">
        <v>331.2</v>
      </c>
      <c r="F129">
        <v>32112.605</v>
      </c>
      <c r="G129">
        <v>331.2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-0.59798994974874442</v>
      </c>
      <c r="Q129">
        <f t="shared" ref="Q129" si="621">F129*P129</f>
        <v>-19203.015050251277</v>
      </c>
      <c r="R129">
        <f t="shared" ref="R129" si="622">R130+Q129</f>
        <v>905443.76576756593</v>
      </c>
      <c r="S129">
        <f t="shared" ref="S129" si="623">R129/100000</f>
        <v>9.0544376576756598</v>
      </c>
      <c r="T129">
        <f t="shared" ref="T129" si="624">S129/1000</f>
        <v>9.054437657675659E-3</v>
      </c>
    </row>
    <row r="130" spans="1:20" x14ac:dyDescent="0.25">
      <c r="A130" s="5">
        <v>44463</v>
      </c>
      <c r="B130">
        <v>373.9</v>
      </c>
      <c r="C130">
        <v>375.9</v>
      </c>
      <c r="D130">
        <v>316.10000000000002</v>
      </c>
      <c r="E130">
        <v>340.8</v>
      </c>
      <c r="F130">
        <v>68226.326000000001</v>
      </c>
      <c r="G130">
        <v>340.8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-0.17391304347826061</v>
      </c>
      <c r="Q130">
        <f t="shared" ref="Q130" si="626">F130*P130</f>
        <v>-11865.447999999982</v>
      </c>
      <c r="R130">
        <f t="shared" ref="R130" si="627">R131+Q130</f>
        <v>924646.7808178172</v>
      </c>
      <c r="S130">
        <f t="shared" ref="S130" si="628">R130/100000</f>
        <v>9.2464678081781724</v>
      </c>
      <c r="T130">
        <f t="shared" ref="T130" si="629">S130/1000</f>
        <v>9.2464678081781732E-3</v>
      </c>
    </row>
    <row r="131" spans="1:20" x14ac:dyDescent="0.25">
      <c r="A131" s="5">
        <v>44462</v>
      </c>
      <c r="B131">
        <v>347.3</v>
      </c>
      <c r="C131">
        <v>375.3</v>
      </c>
      <c r="D131">
        <v>336.4</v>
      </c>
      <c r="E131">
        <v>374.1</v>
      </c>
      <c r="F131">
        <v>44526.303</v>
      </c>
      <c r="G131">
        <v>374.1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0.93830334190231424</v>
      </c>
      <c r="Q131">
        <f t="shared" ref="Q131" si="631">F131*P131</f>
        <v>41779.17890745504</v>
      </c>
      <c r="R131">
        <f t="shared" ref="R131" si="632">R132+Q131</f>
        <v>936512.22881781717</v>
      </c>
      <c r="S131">
        <f t="shared" ref="S131" si="633">R131/100000</f>
        <v>9.3651222881781724</v>
      </c>
      <c r="T131">
        <f t="shared" ref="T131" si="634">S131/1000</f>
        <v>9.3651222881781723E-3</v>
      </c>
    </row>
    <row r="132" spans="1:20" x14ac:dyDescent="0.25">
      <c r="A132" s="5">
        <v>44461</v>
      </c>
      <c r="B132">
        <v>312.7</v>
      </c>
      <c r="C132">
        <v>348.9</v>
      </c>
      <c r="D132">
        <v>305.8</v>
      </c>
      <c r="E132">
        <v>347.4</v>
      </c>
      <c r="F132">
        <v>60733.843999999997</v>
      </c>
      <c r="G132">
        <v>347.4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0.93039443155452428</v>
      </c>
      <c r="Q132">
        <f t="shared" ref="Q132" si="636">F132*P132</f>
        <v>56506.430264501156</v>
      </c>
      <c r="R132">
        <f t="shared" ref="R132" si="637">R133+Q132</f>
        <v>894733.04991036211</v>
      </c>
      <c r="S132">
        <f t="shared" ref="S132" si="638">R132/100000</f>
        <v>8.9473304991036215</v>
      </c>
      <c r="T132">
        <f t="shared" ref="T132" si="639">S132/1000</f>
        <v>8.9473304991036211E-3</v>
      </c>
    </row>
    <row r="133" spans="1:20" x14ac:dyDescent="0.25">
      <c r="A133" s="5">
        <v>44460</v>
      </c>
      <c r="B133">
        <v>338.1</v>
      </c>
      <c r="C133">
        <v>350.3</v>
      </c>
      <c r="D133">
        <v>301.7</v>
      </c>
      <c r="E133">
        <v>312.5</v>
      </c>
      <c r="F133">
        <v>69299.636769999997</v>
      </c>
      <c r="G133">
        <v>312.5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-0.55555555555555525</v>
      </c>
      <c r="Q133">
        <f t="shared" ref="Q133" si="641">F133*P133</f>
        <v>-38499.798205555533</v>
      </c>
      <c r="R133">
        <f t="shared" ref="R133" si="642">R134+Q133</f>
        <v>838226.61964586098</v>
      </c>
      <c r="S133">
        <f t="shared" ref="S133" si="643">R133/100000</f>
        <v>8.3822661964586089</v>
      </c>
      <c r="T133">
        <f t="shared" ref="T133" si="644">S133/1000</f>
        <v>8.3822661964586091E-3</v>
      </c>
    </row>
    <row r="134" spans="1:20" x14ac:dyDescent="0.25">
      <c r="A134" s="5">
        <v>44459</v>
      </c>
      <c r="B134">
        <v>393.2</v>
      </c>
      <c r="C134">
        <v>394.1</v>
      </c>
      <c r="D134">
        <v>359.7</v>
      </c>
      <c r="E134">
        <v>364.8</v>
      </c>
      <c r="F134">
        <v>23353.629000000001</v>
      </c>
      <c r="G134">
        <v>364.8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-0.70348837209302217</v>
      </c>
      <c r="Q134">
        <f t="shared" ref="Q134" si="646">F134*P134</f>
        <v>-16429.006447674394</v>
      </c>
      <c r="R134">
        <f t="shared" ref="R134" si="647">R135+Q134</f>
        <v>876726.41785141651</v>
      </c>
      <c r="S134">
        <f t="shared" ref="S134" si="648">R134/100000</f>
        <v>8.7672641785141643</v>
      </c>
      <c r="T134">
        <f t="shared" ref="T134" si="649">S134/1000</f>
        <v>8.7672641785141638E-3</v>
      </c>
    </row>
    <row r="135" spans="1:20" x14ac:dyDescent="0.25">
      <c r="A135" s="5">
        <v>44458</v>
      </c>
      <c r="B135">
        <v>401.4</v>
      </c>
      <c r="C135">
        <v>402.5</v>
      </c>
      <c r="D135">
        <v>384</v>
      </c>
      <c r="E135">
        <v>393.1</v>
      </c>
      <c r="F135">
        <v>16382.084000000001</v>
      </c>
      <c r="G135">
        <v>393.1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-1.6216216216213757E-2</v>
      </c>
      <c r="Q135">
        <f t="shared" ref="Q135" si="651">F135*P135</f>
        <v>-265.65541621617592</v>
      </c>
      <c r="R135">
        <f t="shared" ref="R135" si="652">R136+Q135</f>
        <v>893155.42429909087</v>
      </c>
      <c r="S135">
        <f t="shared" ref="S135" si="653">R135/100000</f>
        <v>8.9315542429909094</v>
      </c>
      <c r="T135">
        <f t="shared" ref="T135" si="654">S135/1000</f>
        <v>8.9315542429909099E-3</v>
      </c>
    </row>
    <row r="136" spans="1:20" x14ac:dyDescent="0.25">
      <c r="A136" s="5">
        <v>44457</v>
      </c>
      <c r="B136">
        <v>400.7</v>
      </c>
      <c r="C136">
        <v>416.1</v>
      </c>
      <c r="D136">
        <v>392.4</v>
      </c>
      <c r="E136">
        <v>401.5</v>
      </c>
      <c r="F136">
        <v>27870.14</v>
      </c>
      <c r="G136">
        <v>401.5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-0.23206751054852276</v>
      </c>
      <c r="Q136">
        <f t="shared" ref="Q136" si="656">F136*P136</f>
        <v>-6467.7540084388056</v>
      </c>
      <c r="R136">
        <f t="shared" ref="R136" si="657">R137+Q136</f>
        <v>893421.07971530699</v>
      </c>
      <c r="S136">
        <f t="shared" ref="S136" si="658">R136/100000</f>
        <v>8.9342107971530691</v>
      </c>
      <c r="T136">
        <f t="shared" ref="T136" si="659">S136/1000</f>
        <v>8.934210797153069E-3</v>
      </c>
    </row>
    <row r="137" spans="1:20" x14ac:dyDescent="0.25">
      <c r="A137" s="5">
        <v>44456</v>
      </c>
      <c r="B137">
        <v>422.1</v>
      </c>
      <c r="C137">
        <v>428.6</v>
      </c>
      <c r="D137">
        <v>392.4</v>
      </c>
      <c r="E137">
        <v>400.2</v>
      </c>
      <c r="F137">
        <v>54819.353000000003</v>
      </c>
      <c r="G137">
        <v>400.2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-0.56906077348066286</v>
      </c>
      <c r="Q137">
        <f t="shared" ref="Q137" si="661">F137*P137</f>
        <v>-31195.543419889498</v>
      </c>
      <c r="R137">
        <f t="shared" ref="R137" si="662">R138+Q137</f>
        <v>899888.83372374577</v>
      </c>
      <c r="S137">
        <f t="shared" ref="S137" si="663">R137/100000</f>
        <v>8.9988883372374584</v>
      </c>
      <c r="T137">
        <f t="shared" ref="T137" si="664">S137/1000</f>
        <v>8.9988883372374585E-3</v>
      </c>
    </row>
    <row r="138" spans="1:20" x14ac:dyDescent="0.25">
      <c r="A138" s="5">
        <v>44455</v>
      </c>
      <c r="B138">
        <v>442.8</v>
      </c>
      <c r="C138">
        <v>459.4</v>
      </c>
      <c r="D138">
        <v>412.2</v>
      </c>
      <c r="E138">
        <v>422.2</v>
      </c>
      <c r="F138">
        <v>56660.9</v>
      </c>
      <c r="G138">
        <v>422.2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-0.57627118644067787</v>
      </c>
      <c r="Q138">
        <f t="shared" ref="Q138" si="666">F138*P138</f>
        <v>-32652.044067796607</v>
      </c>
      <c r="R138">
        <f t="shared" ref="R138" si="667">R139+Q138</f>
        <v>931084.3771436353</v>
      </c>
      <c r="S138">
        <f t="shared" ref="S138" si="668">R138/100000</f>
        <v>9.3108437714363532</v>
      </c>
      <c r="T138">
        <f t="shared" ref="T138" si="669">S138/1000</f>
        <v>9.3108437714363532E-3</v>
      </c>
    </row>
    <row r="139" spans="1:20" x14ac:dyDescent="0.25">
      <c r="A139" s="5">
        <v>44454</v>
      </c>
      <c r="B139">
        <v>447</v>
      </c>
      <c r="C139">
        <v>450.5</v>
      </c>
      <c r="D139">
        <v>418.1</v>
      </c>
      <c r="E139">
        <v>442.5</v>
      </c>
      <c r="F139">
        <v>62464.684999999998</v>
      </c>
      <c r="G139">
        <v>442.5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0.50617283950617253</v>
      </c>
      <c r="Q139">
        <f t="shared" ref="Q139" si="671">F139*P139</f>
        <v>31617.926975308623</v>
      </c>
      <c r="R139">
        <f t="shared" ref="R139" si="672">R140+Q139</f>
        <v>963736.42121143185</v>
      </c>
      <c r="S139">
        <f t="shared" ref="S139" si="673">R139/100000</f>
        <v>9.6373642121143188</v>
      </c>
      <c r="T139">
        <f t="shared" ref="T139" si="674">S139/1000</f>
        <v>9.6373642121143181E-3</v>
      </c>
    </row>
    <row r="140" spans="1:20" x14ac:dyDescent="0.25">
      <c r="A140" s="5">
        <v>44453</v>
      </c>
      <c r="B140">
        <v>384.9</v>
      </c>
      <c r="C140">
        <v>447.5</v>
      </c>
      <c r="D140">
        <v>377.1</v>
      </c>
      <c r="E140">
        <v>447</v>
      </c>
      <c r="F140">
        <v>78222.323999999993</v>
      </c>
      <c r="G140">
        <v>447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0.98579545454545459</v>
      </c>
      <c r="Q140">
        <f t="shared" ref="Q140" si="676">F140*P140</f>
        <v>77111.211443181819</v>
      </c>
      <c r="R140">
        <f t="shared" ref="R140" si="677">R141+Q140</f>
        <v>932118.49423612328</v>
      </c>
      <c r="S140">
        <f t="shared" ref="S140" si="678">R140/100000</f>
        <v>9.3211849423612332</v>
      </c>
      <c r="T140">
        <f t="shared" ref="T140" si="679">S140/1000</f>
        <v>9.3211849423612339E-3</v>
      </c>
    </row>
    <row r="141" spans="1:20" x14ac:dyDescent="0.25">
      <c r="A141" s="5">
        <v>44452</v>
      </c>
      <c r="B141">
        <v>403.2</v>
      </c>
      <c r="C141">
        <v>407.3</v>
      </c>
      <c r="D141">
        <v>360</v>
      </c>
      <c r="E141">
        <v>385</v>
      </c>
      <c r="F141">
        <v>37414.438999999998</v>
      </c>
      <c r="G141">
        <v>385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5.7082452431289385E-2</v>
      </c>
      <c r="Q141">
        <f t="shared" ref="Q141" si="681">F141*P141</f>
        <v>2135.7079344608783</v>
      </c>
      <c r="R141">
        <f t="shared" ref="R141" si="682">R142+Q141</f>
        <v>855007.28279294143</v>
      </c>
      <c r="S141">
        <f t="shared" ref="S141" si="683">R141/100000</f>
        <v>8.550072827929414</v>
      </c>
      <c r="T141">
        <f t="shared" ref="T141" si="684">S141/1000</f>
        <v>8.5500728279294148E-3</v>
      </c>
    </row>
    <row r="142" spans="1:20" x14ac:dyDescent="0.25">
      <c r="A142" s="5">
        <v>44451</v>
      </c>
      <c r="B142">
        <v>397.4</v>
      </c>
      <c r="C142">
        <v>413.7</v>
      </c>
      <c r="D142">
        <v>387.1</v>
      </c>
      <c r="E142">
        <v>403.7</v>
      </c>
      <c r="F142">
        <v>26380.174999999999</v>
      </c>
      <c r="G142">
        <v>403.7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0.24812030075187874</v>
      </c>
      <c r="Q142">
        <f t="shared" ref="Q142" si="686">F142*P142</f>
        <v>6545.4569548871923</v>
      </c>
      <c r="R142">
        <f t="shared" ref="R142" si="687">R143+Q142</f>
        <v>852871.5748584806</v>
      </c>
      <c r="S142">
        <f t="shared" ref="S142" si="688">R142/100000</f>
        <v>8.5287157485848066</v>
      </c>
      <c r="T142">
        <f t="shared" ref="T142" si="689">S142/1000</f>
        <v>8.5287157485848062E-3</v>
      </c>
    </row>
    <row r="143" spans="1:20" x14ac:dyDescent="0.25">
      <c r="A143" s="5">
        <v>44450</v>
      </c>
      <c r="B143">
        <v>391.8</v>
      </c>
      <c r="C143">
        <v>408.5</v>
      </c>
      <c r="D143">
        <v>388.5</v>
      </c>
      <c r="E143">
        <v>397.3</v>
      </c>
      <c r="F143">
        <v>23539.714</v>
      </c>
      <c r="G143">
        <v>397.3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-0.11999999999999886</v>
      </c>
      <c r="Q143">
        <f t="shared" ref="Q143" si="691">F143*P143</f>
        <v>-2824.7656799999731</v>
      </c>
      <c r="R143">
        <f t="shared" ref="R143" si="692">R144+Q143</f>
        <v>846326.11790359346</v>
      </c>
      <c r="S143">
        <f t="shared" ref="S143" si="693">R143/100000</f>
        <v>8.4632611790359338</v>
      </c>
      <c r="T143">
        <f t="shared" ref="T143" si="694">S143/1000</f>
        <v>8.4632611790359333E-3</v>
      </c>
    </row>
    <row r="144" spans="1:20" x14ac:dyDescent="0.25">
      <c r="A144" s="5">
        <v>44449</v>
      </c>
      <c r="B144">
        <v>412</v>
      </c>
      <c r="C144">
        <v>426.7</v>
      </c>
      <c r="D144">
        <v>383.1</v>
      </c>
      <c r="E144">
        <v>392</v>
      </c>
      <c r="F144">
        <v>30657.317999999999</v>
      </c>
      <c r="G144">
        <v>392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-0.59174311926605572</v>
      </c>
      <c r="Q144">
        <f t="shared" ref="Q144" si="696">F144*P144</f>
        <v>-18141.256981651397</v>
      </c>
      <c r="R144">
        <f t="shared" ref="R144" si="697">R145+Q144</f>
        <v>849150.88358359342</v>
      </c>
      <c r="S144">
        <f t="shared" ref="S144" si="698">R144/100000</f>
        <v>8.4915088358359334</v>
      </c>
      <c r="T144">
        <f t="shared" ref="T144" si="699">S144/1000</f>
        <v>8.4915088358359335E-3</v>
      </c>
    </row>
    <row r="145" spans="1:20" x14ac:dyDescent="0.25">
      <c r="A145" s="5">
        <v>44448</v>
      </c>
      <c r="B145">
        <v>409.3</v>
      </c>
      <c r="C145">
        <v>428.5</v>
      </c>
      <c r="D145">
        <v>397.5</v>
      </c>
      <c r="E145">
        <v>411.4</v>
      </c>
      <c r="F145">
        <v>37125.898999999998</v>
      </c>
      <c r="G145">
        <v>411.4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-0.10322580645161437</v>
      </c>
      <c r="Q145">
        <f t="shared" ref="Q145" si="701">F145*P145</f>
        <v>-3832.3508645161833</v>
      </c>
      <c r="R145">
        <f t="shared" ref="R145" si="702">R146+Q145</f>
        <v>867292.14056524483</v>
      </c>
      <c r="S145">
        <f t="shared" ref="S145" si="703">R145/100000</f>
        <v>8.6729214056524491</v>
      </c>
      <c r="T145">
        <f t="shared" ref="T145" si="704">S145/1000</f>
        <v>8.6729214056524492E-3</v>
      </c>
    </row>
    <row r="146" spans="1:20" x14ac:dyDescent="0.25">
      <c r="A146" s="5">
        <v>44447</v>
      </c>
      <c r="B146">
        <v>413.5</v>
      </c>
      <c r="C146">
        <v>424.5</v>
      </c>
      <c r="D146">
        <v>379.4</v>
      </c>
      <c r="E146">
        <v>409.7</v>
      </c>
      <c r="F146">
        <v>70862.241999999998</v>
      </c>
      <c r="G146">
        <v>409.7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0.34368070953436791</v>
      </c>
      <c r="Q146">
        <f t="shared" ref="Q146" si="706">F146*P146</f>
        <v>24353.985609756084</v>
      </c>
      <c r="R146">
        <f t="shared" ref="R146" si="707">R147+Q146</f>
        <v>871124.49142976105</v>
      </c>
      <c r="S146">
        <f t="shared" ref="S146" si="708">R146/100000</f>
        <v>8.7112449142976107</v>
      </c>
      <c r="T146">
        <f t="shared" ref="T146" si="709">S146/1000</f>
        <v>8.7112449142976115E-3</v>
      </c>
    </row>
    <row r="147" spans="1:20" x14ac:dyDescent="0.25">
      <c r="A147" s="5">
        <v>44446</v>
      </c>
      <c r="B147">
        <v>509.3</v>
      </c>
      <c r="C147">
        <v>510.5</v>
      </c>
      <c r="D147">
        <v>350.2</v>
      </c>
      <c r="E147">
        <v>413.1</v>
      </c>
      <c r="F147">
        <v>178304.25065999999</v>
      </c>
      <c r="G147">
        <v>413.1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-0.2152214597629441</v>
      </c>
      <c r="Q147">
        <f t="shared" ref="Q147" si="711">F147*P147</f>
        <v>-38374.901108983089</v>
      </c>
      <c r="R147">
        <f t="shared" ref="R147" si="712">R148+Q147</f>
        <v>846770.50582000497</v>
      </c>
      <c r="S147">
        <f t="shared" ref="S147" si="713">R147/100000</f>
        <v>8.4677050582000497</v>
      </c>
      <c r="T147">
        <f t="shared" ref="T147" si="714">S147/1000</f>
        <v>8.4677050582000497E-3</v>
      </c>
    </row>
    <row r="148" spans="1:20" x14ac:dyDescent="0.25">
      <c r="A148" s="5">
        <v>44445</v>
      </c>
      <c r="B148">
        <v>511.2</v>
      </c>
      <c r="C148">
        <v>528.6</v>
      </c>
      <c r="D148">
        <v>474.1</v>
      </c>
      <c r="E148">
        <v>509.2</v>
      </c>
      <c r="F148">
        <v>92228.608999999997</v>
      </c>
      <c r="G148">
        <v>509.2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0.28807339449541158</v>
      </c>
      <c r="Q148">
        <f t="shared" ref="Q148" si="716">F148*P148</f>
        <v>26568.608464220066</v>
      </c>
      <c r="R148">
        <f t="shared" ref="R148" si="717">R149+Q148</f>
        <v>885145.40692898806</v>
      </c>
      <c r="S148">
        <f t="shared" ref="S148" si="718">R148/100000</f>
        <v>8.8514540692898809</v>
      </c>
      <c r="T148">
        <f t="shared" ref="T148" si="719">S148/1000</f>
        <v>8.851454069289881E-3</v>
      </c>
    </row>
    <row r="149" spans="1:20" x14ac:dyDescent="0.25">
      <c r="A149" s="5">
        <v>44444</v>
      </c>
      <c r="B149">
        <v>471.4</v>
      </c>
      <c r="C149">
        <v>527.5</v>
      </c>
      <c r="D149">
        <v>467.8</v>
      </c>
      <c r="E149">
        <v>510.9</v>
      </c>
      <c r="F149">
        <v>121287.09384</v>
      </c>
      <c r="G149">
        <v>510.9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0.44388609715242794</v>
      </c>
      <c r="Q149">
        <f t="shared" ref="Q149" si="721">F149*P149</f>
        <v>53837.654719597886</v>
      </c>
      <c r="R149">
        <f t="shared" ref="R149" si="722">R150+Q149</f>
        <v>858576.79846476798</v>
      </c>
      <c r="S149">
        <f t="shared" ref="S149" si="723">R149/100000</f>
        <v>8.5857679846476795</v>
      </c>
      <c r="T149">
        <f t="shared" ref="T149" si="724">S149/1000</f>
        <v>8.5857679846476787E-3</v>
      </c>
    </row>
    <row r="150" spans="1:20" x14ac:dyDescent="0.25">
      <c r="A150" s="5">
        <v>44443</v>
      </c>
      <c r="B150">
        <v>466.8</v>
      </c>
      <c r="C150">
        <v>483</v>
      </c>
      <c r="D150">
        <v>462</v>
      </c>
      <c r="E150">
        <v>471.3</v>
      </c>
      <c r="F150">
        <v>43979.874000000003</v>
      </c>
      <c r="G150">
        <v>471.3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-0.1142857142857132</v>
      </c>
      <c r="Q150">
        <f t="shared" ref="Q150" si="726">F150*P150</f>
        <v>-5026.2713142856674</v>
      </c>
      <c r="R150">
        <f t="shared" ref="R150" si="727">R151+Q150</f>
        <v>804739.14374517009</v>
      </c>
      <c r="S150">
        <f t="shared" ref="S150" si="728">R150/100000</f>
        <v>8.0473914374517008</v>
      </c>
      <c r="T150">
        <f t="shared" ref="T150" si="729">S150/1000</f>
        <v>8.0473914374517008E-3</v>
      </c>
    </row>
    <row r="151" spans="1:20" x14ac:dyDescent="0.25">
      <c r="A151" s="5">
        <v>44442</v>
      </c>
      <c r="B151">
        <v>462.2</v>
      </c>
      <c r="C151">
        <v>480.7</v>
      </c>
      <c r="D151">
        <v>455</v>
      </c>
      <c r="E151">
        <v>466.9</v>
      </c>
      <c r="F151">
        <v>58445.697</v>
      </c>
      <c r="G151">
        <v>466.9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-7.3929961089495524E-2</v>
      </c>
      <c r="Q151">
        <f t="shared" ref="Q151" si="731">F151*P151</f>
        <v>-4320.888105058445</v>
      </c>
      <c r="R151">
        <f t="shared" ref="R151" si="732">R152+Q151</f>
        <v>809765.41505945579</v>
      </c>
      <c r="S151">
        <f t="shared" ref="S151" si="733">R151/100000</f>
        <v>8.0976541505945576</v>
      </c>
      <c r="T151">
        <f t="shared" ref="T151" si="734">S151/1000</f>
        <v>8.0976541505945569E-3</v>
      </c>
    </row>
    <row r="152" spans="1:20" x14ac:dyDescent="0.25">
      <c r="A152" s="5">
        <v>44441</v>
      </c>
      <c r="B152">
        <v>478</v>
      </c>
      <c r="C152">
        <v>483</v>
      </c>
      <c r="D152">
        <v>456.5</v>
      </c>
      <c r="E152">
        <v>462</v>
      </c>
      <c r="F152">
        <v>65950.122000000003</v>
      </c>
      <c r="G152">
        <v>462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-0.58490566037735847</v>
      </c>
      <c r="Q152">
        <f t="shared" ref="Q152" si="736">F152*P152</f>
        <v>-38574.59966037736</v>
      </c>
      <c r="R152">
        <f t="shared" ref="R152" si="737">R153+Q152</f>
        <v>814086.30316451425</v>
      </c>
      <c r="S152">
        <f t="shared" ref="S152" si="738">R152/100000</f>
        <v>8.1408630316451429</v>
      </c>
      <c r="T152">
        <f t="shared" ref="T152" si="739">S152/1000</f>
        <v>8.140863031645143E-3</v>
      </c>
    </row>
    <row r="153" spans="1:20" x14ac:dyDescent="0.25">
      <c r="A153" s="5">
        <v>44440</v>
      </c>
      <c r="B153">
        <v>441.9</v>
      </c>
      <c r="C153">
        <v>485</v>
      </c>
      <c r="D153">
        <v>433.9</v>
      </c>
      <c r="E153">
        <v>478</v>
      </c>
      <c r="F153">
        <v>86922.815109999996</v>
      </c>
      <c r="G153">
        <v>478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0.7260273972602741</v>
      </c>
      <c r="Q153">
        <f t="shared" ref="Q153" si="741">F153*P153</f>
        <v>63108.345216849324</v>
      </c>
      <c r="R153">
        <f t="shared" ref="R153" si="742">R154+Q153</f>
        <v>852660.90282489161</v>
      </c>
      <c r="S153">
        <f t="shared" ref="S153" si="743">R153/100000</f>
        <v>8.5266090282489166</v>
      </c>
      <c r="T153">
        <f t="shared" ref="T153" si="744">S153/1000</f>
        <v>8.5266090282489163E-3</v>
      </c>
    </row>
    <row r="154" spans="1:20" x14ac:dyDescent="0.25">
      <c r="A154" s="5">
        <v>44439</v>
      </c>
      <c r="B154">
        <v>420.2</v>
      </c>
      <c r="C154">
        <v>448</v>
      </c>
      <c r="D154">
        <v>411.1</v>
      </c>
      <c r="E154">
        <v>442.2</v>
      </c>
      <c r="F154">
        <v>94377.513000000006</v>
      </c>
      <c r="G154">
        <v>442.2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0.68563685636856286</v>
      </c>
      <c r="Q154">
        <f t="shared" ref="Q154" si="746">F154*P154</f>
        <v>64708.701325203176</v>
      </c>
      <c r="R154">
        <f t="shared" ref="R154" si="747">R155+Q154</f>
        <v>789552.55760804226</v>
      </c>
      <c r="S154">
        <f t="shared" ref="S154" si="748">R154/100000</f>
        <v>7.8955255760804226</v>
      </c>
      <c r="T154">
        <f t="shared" ref="T154" si="749">S154/1000</f>
        <v>7.8955255760804234E-3</v>
      </c>
    </row>
    <row r="155" spans="1:20" x14ac:dyDescent="0.25">
      <c r="A155" s="5">
        <v>44438</v>
      </c>
      <c r="B155">
        <v>418.9</v>
      </c>
      <c r="C155">
        <v>453.38</v>
      </c>
      <c r="D155">
        <v>405.4</v>
      </c>
      <c r="E155">
        <v>419.8</v>
      </c>
      <c r="F155">
        <v>93446.198510000002</v>
      </c>
      <c r="G155">
        <v>419.8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-0.39974989578991127</v>
      </c>
      <c r="Q155">
        <f t="shared" ref="Q155" si="751">F155*P155</f>
        <v>-37355.108116335861</v>
      </c>
      <c r="R155">
        <f t="shared" ref="R155" si="752">R156+Q155</f>
        <v>724843.85628283909</v>
      </c>
      <c r="S155">
        <f t="shared" ref="S155" si="753">R155/100000</f>
        <v>7.2484385628283912</v>
      </c>
      <c r="T155">
        <f t="shared" ref="T155" si="754">S155/1000</f>
        <v>7.2484385628283909E-3</v>
      </c>
    </row>
    <row r="156" spans="1:20" x14ac:dyDescent="0.25">
      <c r="A156" s="5">
        <v>44437</v>
      </c>
      <c r="B156">
        <v>414</v>
      </c>
      <c r="C156">
        <v>427.3</v>
      </c>
      <c r="D156">
        <v>399.2</v>
      </c>
      <c r="E156">
        <v>418.5</v>
      </c>
      <c r="F156">
        <v>39733.762999999999</v>
      </c>
      <c r="G156">
        <v>418.5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0.37366548042704595</v>
      </c>
      <c r="Q156">
        <f t="shared" ref="Q156" si="756">F156*P156</f>
        <v>14847.135640569382</v>
      </c>
      <c r="R156">
        <f t="shared" ref="R156" si="757">R157+Q156</f>
        <v>762198.9643991749</v>
      </c>
      <c r="S156">
        <f t="shared" ref="S156" si="758">R156/100000</f>
        <v>7.6219896439917489</v>
      </c>
      <c r="T156">
        <f t="shared" ref="T156" si="759">S156/1000</f>
        <v>7.6219896439917488E-3</v>
      </c>
    </row>
    <row r="157" spans="1:20" x14ac:dyDescent="0.25">
      <c r="A157" s="5">
        <v>44436</v>
      </c>
      <c r="B157">
        <v>421.2</v>
      </c>
      <c r="C157">
        <v>426.2</v>
      </c>
      <c r="D157">
        <v>410.2</v>
      </c>
      <c r="E157">
        <v>413.7</v>
      </c>
      <c r="F157">
        <v>28514.352940000001</v>
      </c>
      <c r="G157">
        <v>413.7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-0.5625</v>
      </c>
      <c r="Q157">
        <f t="shared" ref="Q157" si="761">F157*P157</f>
        <v>-16039.323528750001</v>
      </c>
      <c r="R157">
        <f t="shared" ref="R157" si="762">R158+Q157</f>
        <v>747351.82875860552</v>
      </c>
      <c r="S157">
        <f t="shared" ref="S157" si="763">R157/100000</f>
        <v>7.4735182875860549</v>
      </c>
      <c r="T157">
        <f t="shared" ref="T157" si="764">S157/1000</f>
        <v>7.473518287586055E-3</v>
      </c>
    </row>
    <row r="158" spans="1:20" x14ac:dyDescent="0.25">
      <c r="A158" s="5">
        <v>44435</v>
      </c>
      <c r="B158">
        <v>405.2</v>
      </c>
      <c r="C158">
        <v>425.5</v>
      </c>
      <c r="D158">
        <v>389.7</v>
      </c>
      <c r="E158">
        <v>421.2</v>
      </c>
      <c r="F158">
        <v>47687.158439999999</v>
      </c>
      <c r="G158">
        <v>421.2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0.75977653631284858</v>
      </c>
      <c r="Q158">
        <f t="shared" ref="Q158" si="766">F158*P158</f>
        <v>36231.584066145224</v>
      </c>
      <c r="R158">
        <f t="shared" ref="R158" si="767">R159+Q158</f>
        <v>763391.15228735551</v>
      </c>
      <c r="S158">
        <f t="shared" ref="S158" si="768">R158/100000</f>
        <v>7.6339115228735555</v>
      </c>
      <c r="T158">
        <f t="shared" ref="T158" si="769">S158/1000</f>
        <v>7.6339115228735554E-3</v>
      </c>
    </row>
    <row r="159" spans="1:20" x14ac:dyDescent="0.25">
      <c r="A159" s="5">
        <v>44434</v>
      </c>
      <c r="B159">
        <v>435.25</v>
      </c>
      <c r="C159">
        <v>439.23</v>
      </c>
      <c r="D159">
        <v>400.1</v>
      </c>
      <c r="E159">
        <v>405</v>
      </c>
      <c r="F159">
        <v>37187.939899999998</v>
      </c>
      <c r="G159">
        <v>405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-0.7495527728085879</v>
      </c>
      <c r="Q159">
        <f t="shared" ref="Q159" si="771">F159*P159</f>
        <v>-27874.323467084119</v>
      </c>
      <c r="R159">
        <f t="shared" ref="R159" si="772">R160+Q159</f>
        <v>727159.56822121027</v>
      </c>
      <c r="S159">
        <f t="shared" ref="S159" si="773">R159/100000</f>
        <v>7.2715956822121024</v>
      </c>
      <c r="T159">
        <f t="shared" ref="T159" si="774">S159/1000</f>
        <v>7.2715956822121024E-3</v>
      </c>
    </row>
    <row r="160" spans="1:20" x14ac:dyDescent="0.25">
      <c r="A160" s="5">
        <v>44433</v>
      </c>
      <c r="B160">
        <v>422.76</v>
      </c>
      <c r="C160">
        <v>438.36</v>
      </c>
      <c r="D160">
        <v>411.01</v>
      </c>
      <c r="E160">
        <v>435.49</v>
      </c>
      <c r="F160">
        <v>43036.832179999998</v>
      </c>
      <c r="G160">
        <v>435.49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0.79012797074954277</v>
      </c>
      <c r="Q160">
        <f t="shared" ref="Q160" si="776">F160*P160</f>
        <v>34004.604877872021</v>
      </c>
      <c r="R160">
        <f t="shared" ref="R160" si="777">R161+Q160</f>
        <v>755033.89168829436</v>
      </c>
      <c r="S160">
        <f t="shared" ref="S160" si="778">R160/100000</f>
        <v>7.5503389168829438</v>
      </c>
      <c r="T160">
        <f t="shared" ref="T160" si="779">S160/1000</f>
        <v>7.5503389168829439E-3</v>
      </c>
    </row>
    <row r="161" spans="1:20" x14ac:dyDescent="0.25">
      <c r="A161" s="5">
        <v>44432</v>
      </c>
      <c r="B161">
        <v>465.41</v>
      </c>
      <c r="C161">
        <v>470.29</v>
      </c>
      <c r="D161">
        <v>412.01</v>
      </c>
      <c r="E161">
        <v>423</v>
      </c>
      <c r="F161">
        <v>85743.287049999999</v>
      </c>
      <c r="G161">
        <v>423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-0.62285518188057643</v>
      </c>
      <c r="Q161">
        <f t="shared" ref="Q161" si="781">F161*P161</f>
        <v>-53405.650650566226</v>
      </c>
      <c r="R161">
        <f t="shared" ref="R161" si="782">R162+Q161</f>
        <v>721029.28681042232</v>
      </c>
      <c r="S161">
        <f t="shared" ref="S161" si="783">R161/100000</f>
        <v>7.2102928681042231</v>
      </c>
      <c r="T161">
        <f t="shared" ref="T161" si="784">S161/1000</f>
        <v>7.2102928681042231E-3</v>
      </c>
    </row>
    <row r="162" spans="1:20" x14ac:dyDescent="0.25">
      <c r="A162" s="5">
        <v>44431</v>
      </c>
      <c r="B162">
        <v>459.71</v>
      </c>
      <c r="C162">
        <v>484.99</v>
      </c>
      <c r="D162">
        <v>455.71</v>
      </c>
      <c r="E162">
        <v>465.38</v>
      </c>
      <c r="F162">
        <v>115548.75334</v>
      </c>
      <c r="G162">
        <v>465.38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-0.33948087431693946</v>
      </c>
      <c r="Q162">
        <f t="shared" ref="Q162" si="786">F162*P162</f>
        <v>-39226.591810095575</v>
      </c>
      <c r="R162">
        <f t="shared" ref="R162" si="787">R163+Q162</f>
        <v>774434.93746098853</v>
      </c>
      <c r="S162">
        <f t="shared" ref="S162" si="788">R162/100000</f>
        <v>7.744349374609885</v>
      </c>
      <c r="T162">
        <f t="shared" ref="T162" si="789">S162/1000</f>
        <v>7.744349374609885E-3</v>
      </c>
    </row>
    <row r="163" spans="1:20" x14ac:dyDescent="0.25">
      <c r="A163" s="5">
        <v>44430</v>
      </c>
      <c r="B163">
        <v>462.4</v>
      </c>
      <c r="C163">
        <v>472.26</v>
      </c>
      <c r="D163">
        <v>461.36</v>
      </c>
      <c r="E163">
        <v>467.34</v>
      </c>
      <c r="F163">
        <v>9917.5732100000005</v>
      </c>
      <c r="G163">
        <v>467.34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9.7247706422013538E-2</v>
      </c>
      <c r="Q163">
        <f t="shared" ref="Q163" si="791">F163*P163</f>
        <v>964.46124794490652</v>
      </c>
      <c r="R163">
        <f t="shared" ref="R163" si="792">R164+Q163</f>
        <v>813661.52927108412</v>
      </c>
      <c r="S163">
        <f t="shared" ref="S163" si="793">R163/100000</f>
        <v>8.1366152927108413</v>
      </c>
      <c r="T163">
        <f t="shared" ref="T163" si="794">S163/1000</f>
        <v>8.1366152927108415E-3</v>
      </c>
    </row>
    <row r="164" spans="1:20" x14ac:dyDescent="0.25">
      <c r="A164" s="5">
        <v>44429</v>
      </c>
      <c r="B164">
        <v>479.94</v>
      </c>
      <c r="C164">
        <v>483.93</v>
      </c>
      <c r="D164">
        <v>455.63</v>
      </c>
      <c r="E164">
        <v>462.4</v>
      </c>
      <c r="F164">
        <v>69308.163560000001</v>
      </c>
      <c r="G164">
        <v>462.4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-0.52155477031802266</v>
      </c>
      <c r="Q164">
        <f t="shared" ref="Q164" si="796">F164*P164</f>
        <v>-36148.003326699749</v>
      </c>
      <c r="R164">
        <f t="shared" ref="R164" si="797">R165+Q164</f>
        <v>812697.06802313926</v>
      </c>
      <c r="S164">
        <f t="shared" ref="S164" si="798">R164/100000</f>
        <v>8.126970680231393</v>
      </c>
      <c r="T164">
        <f t="shared" ref="T164" si="799">S164/1000</f>
        <v>8.1269706802313928E-3</v>
      </c>
    </row>
    <row r="165" spans="1:20" x14ac:dyDescent="0.25">
      <c r="A165" s="5">
        <v>44428</v>
      </c>
      <c r="B165">
        <v>458.17</v>
      </c>
      <c r="C165">
        <v>507.99</v>
      </c>
      <c r="D165">
        <v>451.96</v>
      </c>
      <c r="E165">
        <v>479.9</v>
      </c>
      <c r="F165">
        <v>74405.839300000007</v>
      </c>
      <c r="G165">
        <v>479.9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-2.6771372479035163E-3</v>
      </c>
      <c r="Q165">
        <f t="shared" ref="Q165" si="801">F165*P165</f>
        <v>-199.19464385155331</v>
      </c>
      <c r="R165">
        <f t="shared" ref="R165" si="802">R166+Q165</f>
        <v>848845.07134983898</v>
      </c>
      <c r="S165">
        <f t="shared" ref="S165" si="803">R165/100000</f>
        <v>8.4884507134983895</v>
      </c>
      <c r="T165">
        <f t="shared" ref="T165" si="804">S165/1000</f>
        <v>8.4884507134983904E-3</v>
      </c>
    </row>
    <row r="166" spans="1:20" x14ac:dyDescent="0.25">
      <c r="A166" s="5">
        <v>44427</v>
      </c>
      <c r="B166">
        <v>435.73</v>
      </c>
      <c r="C166">
        <v>458.19</v>
      </c>
      <c r="D166">
        <v>419.29</v>
      </c>
      <c r="E166">
        <v>457.94</v>
      </c>
      <c r="F166">
        <v>56039.246870000003</v>
      </c>
      <c r="G166">
        <v>457.94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0.98714652956298199</v>
      </c>
      <c r="Q166">
        <f t="shared" ref="Q166" si="806">F166*P166</f>
        <v>55318.948067043704</v>
      </c>
      <c r="R166">
        <f t="shared" ref="R166" si="807">R167+Q166</f>
        <v>849044.26599369058</v>
      </c>
      <c r="S166">
        <f t="shared" ref="S166" si="808">R166/100000</f>
        <v>8.4904426599369067</v>
      </c>
      <c r="T166">
        <f t="shared" ref="T166" si="809">S166/1000</f>
        <v>8.4904426599369063E-3</v>
      </c>
    </row>
    <row r="167" spans="1:20" x14ac:dyDescent="0.25">
      <c r="A167" s="5">
        <v>44426</v>
      </c>
      <c r="B167">
        <v>447.13</v>
      </c>
      <c r="C167">
        <v>459.68</v>
      </c>
      <c r="D167">
        <v>420</v>
      </c>
      <c r="E167">
        <v>435.51</v>
      </c>
      <c r="F167">
        <v>86146.625700000004</v>
      </c>
      <c r="G167">
        <v>435.51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-0.21824596774193608</v>
      </c>
      <c r="Q167">
        <f t="shared" ref="Q167" si="811">F167*P167</f>
        <v>-18801.153693598844</v>
      </c>
      <c r="R167">
        <f t="shared" ref="R167" si="812">R168+Q167</f>
        <v>793725.31792664691</v>
      </c>
      <c r="S167">
        <f t="shared" ref="S167" si="813">R167/100000</f>
        <v>7.9372531792664693</v>
      </c>
      <c r="T167">
        <f t="shared" ref="T167" si="814">S167/1000</f>
        <v>7.9372531792664697E-3</v>
      </c>
    </row>
    <row r="168" spans="1:20" x14ac:dyDescent="0.25">
      <c r="A168" s="5">
        <v>44425</v>
      </c>
      <c r="B168">
        <v>469.38</v>
      </c>
      <c r="C168">
        <v>517.15</v>
      </c>
      <c r="D168">
        <v>441.15</v>
      </c>
      <c r="E168">
        <v>447.33</v>
      </c>
      <c r="F168">
        <v>110263.79156</v>
      </c>
      <c r="G168">
        <v>447.33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-0.83736842105263143</v>
      </c>
      <c r="Q168">
        <f t="shared" ref="Q168" si="816">F168*P168</f>
        <v>-92331.41703787366</v>
      </c>
      <c r="R168">
        <f t="shared" ref="R168" si="817">R169+Q168</f>
        <v>812526.47162024572</v>
      </c>
      <c r="S168">
        <f t="shared" ref="S168" si="818">R168/100000</f>
        <v>8.1252647162024569</v>
      </c>
      <c r="T168">
        <f t="shared" ref="T168" si="819">S168/1000</f>
        <v>8.1252647162024568E-3</v>
      </c>
    </row>
    <row r="169" spans="1:20" x14ac:dyDescent="0.25">
      <c r="A169" s="5">
        <v>44424</v>
      </c>
      <c r="B169">
        <v>488.77</v>
      </c>
      <c r="C169">
        <v>529.53</v>
      </c>
      <c r="D169">
        <v>467.77</v>
      </c>
      <c r="E169">
        <v>469.34</v>
      </c>
      <c r="F169">
        <v>125225.24789</v>
      </c>
      <c r="G169">
        <v>469.34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-0.94915803108808317</v>
      </c>
      <c r="Q169">
        <f t="shared" ref="Q169" si="821">F169*P169</f>
        <v>-118858.54972978953</v>
      </c>
      <c r="R169">
        <f t="shared" ref="R169" si="822">R170+Q169</f>
        <v>904857.88865811937</v>
      </c>
      <c r="S169">
        <f t="shared" ref="S169" si="823">R169/100000</f>
        <v>9.0485788865811934</v>
      </c>
      <c r="T169">
        <f t="shared" ref="T169" si="824">S169/1000</f>
        <v>9.0485788865811937E-3</v>
      </c>
    </row>
    <row r="170" spans="1:20" x14ac:dyDescent="0.25">
      <c r="A170" s="5">
        <v>44423</v>
      </c>
      <c r="B170">
        <v>476.97</v>
      </c>
      <c r="C170">
        <v>491.72</v>
      </c>
      <c r="D170">
        <v>446.71</v>
      </c>
      <c r="E170">
        <v>488.95</v>
      </c>
      <c r="F170">
        <v>72658.432109999994</v>
      </c>
      <c r="G170">
        <v>488.95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0.87691624083536834</v>
      </c>
      <c r="Q170">
        <f t="shared" ref="Q170" si="826">F170*P170</f>
        <v>63715.359150893019</v>
      </c>
      <c r="R170">
        <f t="shared" ref="R170" si="827">R171+Q170</f>
        <v>1023716.4383879089</v>
      </c>
      <c r="S170">
        <f t="shared" ref="S170" si="828">R170/100000</f>
        <v>10.237164383879088</v>
      </c>
      <c r="T170">
        <f t="shared" ref="T170" si="829">S170/1000</f>
        <v>1.0237164383879088E-2</v>
      </c>
    </row>
    <row r="171" spans="1:20" x14ac:dyDescent="0.25">
      <c r="A171" s="5">
        <v>44422</v>
      </c>
      <c r="B171">
        <v>483.76</v>
      </c>
      <c r="C171">
        <v>485.79</v>
      </c>
      <c r="D171">
        <v>454.71</v>
      </c>
      <c r="E171">
        <v>477</v>
      </c>
      <c r="F171">
        <v>56748.330650000004</v>
      </c>
      <c r="G171">
        <v>477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0.43436293436293377</v>
      </c>
      <c r="Q171">
        <f t="shared" ref="Q171" si="831">F171*P171</f>
        <v>24649.371421332013</v>
      </c>
      <c r="R171">
        <f t="shared" ref="R171" si="832">R172+Q171</f>
        <v>960001.0792370158</v>
      </c>
      <c r="S171">
        <f t="shared" ref="S171" si="833">R171/100000</f>
        <v>9.6000107923701581</v>
      </c>
      <c r="T171">
        <f t="shared" ref="T171" si="834">S171/1000</f>
        <v>9.6000107923701582E-3</v>
      </c>
    </row>
    <row r="172" spans="1:20" x14ac:dyDescent="0.25">
      <c r="A172" s="5">
        <v>44421</v>
      </c>
      <c r="B172">
        <v>453.84</v>
      </c>
      <c r="C172">
        <v>484.54</v>
      </c>
      <c r="D172">
        <v>450.03</v>
      </c>
      <c r="E172">
        <v>483.69</v>
      </c>
      <c r="F172">
        <v>41333.748979999997</v>
      </c>
      <c r="G172">
        <v>483.69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0.95073891625615636</v>
      </c>
      <c r="Q172">
        <f t="shared" ref="Q172" si="836">F172*P172</f>
        <v>39297.603710049203</v>
      </c>
      <c r="R172">
        <f t="shared" ref="R172" si="837">R173+Q172</f>
        <v>935351.7078156838</v>
      </c>
      <c r="S172">
        <f t="shared" ref="S172" si="838">R172/100000</f>
        <v>9.3535170781568375</v>
      </c>
      <c r="T172">
        <f t="shared" ref="T172" si="839">S172/1000</f>
        <v>9.3535170781568373E-3</v>
      </c>
    </row>
    <row r="173" spans="1:20" x14ac:dyDescent="0.25">
      <c r="A173" s="5">
        <v>44420</v>
      </c>
      <c r="B173">
        <v>467.65</v>
      </c>
      <c r="C173">
        <v>482.43</v>
      </c>
      <c r="D173">
        <v>440.18</v>
      </c>
      <c r="E173">
        <v>454.01</v>
      </c>
      <c r="F173">
        <v>66004.456720000002</v>
      </c>
      <c r="G173">
        <v>454.01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-0.34532544378698299</v>
      </c>
      <c r="Q173">
        <f t="shared" ref="Q173" si="841">F173*P173</f>
        <v>-22793.018308752711</v>
      </c>
      <c r="R173">
        <f t="shared" ref="R173" si="842">R174+Q173</f>
        <v>896054.10410563461</v>
      </c>
      <c r="S173">
        <f t="shared" ref="S173" si="843">R173/100000</f>
        <v>8.9605410410563469</v>
      </c>
      <c r="T173">
        <f t="shared" ref="T173" si="844">S173/1000</f>
        <v>8.9605410410563465E-3</v>
      </c>
    </row>
    <row r="174" spans="1:20" x14ac:dyDescent="0.25">
      <c r="A174" s="5">
        <v>44419</v>
      </c>
      <c r="B174">
        <v>472.92</v>
      </c>
      <c r="C174">
        <v>497.89</v>
      </c>
      <c r="D174">
        <v>464.23</v>
      </c>
      <c r="E174">
        <v>467.7</v>
      </c>
      <c r="F174">
        <v>68324.805160000004</v>
      </c>
      <c r="G174">
        <v>467.7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-0.7938205585264424</v>
      </c>
      <c r="Q174">
        <f t="shared" ref="Q174" si="846">F174*P174</f>
        <v>-54237.634993321553</v>
      </c>
      <c r="R174">
        <f t="shared" ref="R174" si="847">R175+Q174</f>
        <v>918847.1224143873</v>
      </c>
      <c r="S174">
        <f t="shared" ref="S174" si="848">R174/100000</f>
        <v>9.1884712241438731</v>
      </c>
      <c r="T174">
        <f t="shared" ref="T174" si="849">S174/1000</f>
        <v>9.1884712241438737E-3</v>
      </c>
    </row>
    <row r="175" spans="1:20" x14ac:dyDescent="0.25">
      <c r="A175" s="5">
        <v>44418</v>
      </c>
      <c r="B175">
        <v>466.89</v>
      </c>
      <c r="C175">
        <v>485.1</v>
      </c>
      <c r="D175">
        <v>459.31</v>
      </c>
      <c r="E175">
        <v>472.58</v>
      </c>
      <c r="F175">
        <v>41716.796970000003</v>
      </c>
      <c r="G175">
        <v>472.58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2.9081039162463844E-2</v>
      </c>
      <c r="Q175">
        <f t="shared" ref="Q175" si="851">F175*P175</f>
        <v>1213.1678064171231</v>
      </c>
      <c r="R175">
        <f t="shared" ref="R175" si="852">R176+Q175</f>
        <v>973084.75740770879</v>
      </c>
      <c r="S175">
        <f t="shared" ref="S175" si="853">R175/100000</f>
        <v>9.7308475740770888</v>
      </c>
      <c r="T175">
        <f t="shared" ref="T175" si="854">S175/1000</f>
        <v>9.7308475740770888E-3</v>
      </c>
    </row>
    <row r="176" spans="1:20" x14ac:dyDescent="0.25">
      <c r="A176" s="5">
        <v>44417</v>
      </c>
      <c r="B176">
        <v>466.99</v>
      </c>
      <c r="C176">
        <v>489.32</v>
      </c>
      <c r="D176">
        <v>444.42</v>
      </c>
      <c r="E176">
        <v>466.99</v>
      </c>
      <c r="F176">
        <v>43879.87012</v>
      </c>
      <c r="G176">
        <v>466.99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5.345211581291965E-3</v>
      </c>
      <c r="Q176">
        <f t="shared" ref="Q176" si="856">F176*P176</f>
        <v>234.54718995101123</v>
      </c>
      <c r="R176">
        <f t="shared" ref="R176" si="857">R177+Q176</f>
        <v>971871.58960129169</v>
      </c>
      <c r="S176">
        <f t="shared" ref="S176" si="858">R176/100000</f>
        <v>9.7187158960129167</v>
      </c>
      <c r="T176">
        <f t="shared" ref="T176" si="859">S176/1000</f>
        <v>9.7187158960129159E-3</v>
      </c>
    </row>
    <row r="177" spans="1:20" x14ac:dyDescent="0.25">
      <c r="A177" s="5">
        <v>44416</v>
      </c>
      <c r="B177">
        <v>507.49</v>
      </c>
      <c r="C177">
        <v>512.71</v>
      </c>
      <c r="D177">
        <v>456.67</v>
      </c>
      <c r="E177">
        <v>467.09</v>
      </c>
      <c r="F177">
        <v>40215.71946</v>
      </c>
      <c r="G177">
        <v>467.09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-0.62812276945039414</v>
      </c>
      <c r="Q177">
        <f t="shared" ref="Q177" si="861">F177*P177</f>
        <v>-25260.409082655307</v>
      </c>
      <c r="R177">
        <f t="shared" ref="R177" si="862">R178+Q177</f>
        <v>971637.04241134063</v>
      </c>
      <c r="S177">
        <f t="shared" ref="S177" si="863">R177/100000</f>
        <v>9.716370424113407</v>
      </c>
      <c r="T177">
        <f t="shared" ref="T177" si="864">S177/1000</f>
        <v>9.7163704241134078E-3</v>
      </c>
    </row>
    <row r="178" spans="1:20" x14ac:dyDescent="0.25">
      <c r="A178" s="5">
        <v>44415</v>
      </c>
      <c r="B178">
        <v>466.75</v>
      </c>
      <c r="C178">
        <v>508</v>
      </c>
      <c r="D178">
        <v>460.92</v>
      </c>
      <c r="E178">
        <v>507.89</v>
      </c>
      <c r="F178">
        <v>84382.946309999999</v>
      </c>
      <c r="G178">
        <v>507.89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0.99532710280373771</v>
      </c>
      <c r="Q178">
        <f t="shared" ref="Q178" si="866">F178*P178</f>
        <v>83988.633476775649</v>
      </c>
      <c r="R178">
        <f t="shared" ref="R178" si="867">R179+Q178</f>
        <v>996897.45149399596</v>
      </c>
      <c r="S178">
        <f t="shared" ref="S178" si="868">R178/100000</f>
        <v>9.9689745149399602</v>
      </c>
      <c r="T178">
        <f t="shared" ref="T178" si="869">S178/1000</f>
        <v>9.9689745149399607E-3</v>
      </c>
    </row>
    <row r="179" spans="1:20" x14ac:dyDescent="0.25">
      <c r="A179" s="5">
        <v>44414</v>
      </c>
      <c r="B179">
        <v>475.63</v>
      </c>
      <c r="C179">
        <v>485</v>
      </c>
      <c r="D179">
        <v>449.93</v>
      </c>
      <c r="E179">
        <v>466.65</v>
      </c>
      <c r="F179">
        <v>57077.617129999999</v>
      </c>
      <c r="G179">
        <v>466.65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-4.6478471628173729E-2</v>
      </c>
      <c r="Q179">
        <f t="shared" ref="Q179" si="871">F179*P179</f>
        <v>-2652.8804083804675</v>
      </c>
      <c r="R179">
        <f t="shared" ref="R179" si="872">R180+Q179</f>
        <v>912908.81801722036</v>
      </c>
      <c r="S179">
        <f t="shared" ref="S179" si="873">R179/100000</f>
        <v>9.1290881801722037</v>
      </c>
      <c r="T179">
        <f t="shared" ref="T179" si="874">S179/1000</f>
        <v>9.129088180172204E-3</v>
      </c>
    </row>
    <row r="180" spans="1:20" x14ac:dyDescent="0.25">
      <c r="A180" s="5">
        <v>44413</v>
      </c>
      <c r="B180">
        <v>464.5</v>
      </c>
      <c r="C180">
        <v>496</v>
      </c>
      <c r="D180">
        <v>436.69</v>
      </c>
      <c r="E180">
        <v>475.65</v>
      </c>
      <c r="F180">
        <v>132477.67538999999</v>
      </c>
      <c r="G180">
        <v>475.65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0.31377508008767419</v>
      </c>
      <c r="Q180">
        <f t="shared" ref="Q180" si="876">F180*P180</f>
        <v>41568.193205326148</v>
      </c>
      <c r="R180">
        <f t="shared" ref="R180" si="877">R181+Q180</f>
        <v>915561.69842560077</v>
      </c>
      <c r="S180">
        <f t="shared" ref="S180" si="878">R180/100000</f>
        <v>9.1556169842560085</v>
      </c>
      <c r="T180">
        <f t="shared" ref="T180" si="879">S180/1000</f>
        <v>9.1556169842560084E-3</v>
      </c>
    </row>
    <row r="181" spans="1:20" x14ac:dyDescent="0.25">
      <c r="A181" s="5">
        <v>44412</v>
      </c>
      <c r="B181">
        <v>396.65</v>
      </c>
      <c r="C181">
        <v>472.8</v>
      </c>
      <c r="D181">
        <v>391.15</v>
      </c>
      <c r="E181">
        <v>464.42</v>
      </c>
      <c r="F181">
        <v>103324.86482</v>
      </c>
      <c r="G181">
        <v>464.42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0.7947336191059402</v>
      </c>
      <c r="Q181">
        <f t="shared" ref="Q181" si="881">F181*P181</f>
        <v>82115.743762030645</v>
      </c>
      <c r="R181">
        <f t="shared" ref="R181" si="882">R182+Q181</f>
        <v>873993.50522027467</v>
      </c>
      <c r="S181">
        <f t="shared" ref="S181" si="883">R181/100000</f>
        <v>8.7399350522027461</v>
      </c>
      <c r="T181">
        <f t="shared" ref="T181" si="884">S181/1000</f>
        <v>8.7399350522027464E-3</v>
      </c>
    </row>
    <row r="182" spans="1:20" x14ac:dyDescent="0.25">
      <c r="A182" s="5">
        <v>44411</v>
      </c>
      <c r="B182">
        <v>407.4</v>
      </c>
      <c r="C182">
        <v>408.8</v>
      </c>
      <c r="D182">
        <v>385.23</v>
      </c>
      <c r="E182">
        <v>396.65</v>
      </c>
      <c r="F182">
        <v>44399.992010000002</v>
      </c>
      <c r="G182">
        <v>396.65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-3.097157403479318E-2</v>
      </c>
      <c r="Q182">
        <f t="shared" ref="Q182" si="886">F182*P182</f>
        <v>-1375.1376396819408</v>
      </c>
      <c r="R182">
        <f t="shared" ref="R182" si="887">R183+Q182</f>
        <v>791877.76145824406</v>
      </c>
      <c r="S182">
        <f t="shared" ref="S182" si="888">R182/100000</f>
        <v>7.9187776145824404</v>
      </c>
      <c r="T182">
        <f t="shared" ref="T182" si="889">S182/1000</f>
        <v>7.9187776145824406E-3</v>
      </c>
    </row>
    <row r="183" spans="1:20" x14ac:dyDescent="0.25">
      <c r="A183" s="5">
        <v>44410</v>
      </c>
      <c r="B183">
        <v>409.07</v>
      </c>
      <c r="C183">
        <v>426.86</v>
      </c>
      <c r="D183">
        <v>393.08</v>
      </c>
      <c r="E183">
        <v>407.26</v>
      </c>
      <c r="F183">
        <v>66287.947339999999</v>
      </c>
      <c r="G183">
        <v>407.26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-0.16044997039668477</v>
      </c>
      <c r="Q183">
        <f t="shared" ref="Q183" si="891">F183*P183</f>
        <v>-10635.899188359999</v>
      </c>
      <c r="R183">
        <f t="shared" ref="R183" si="892">R184+Q183</f>
        <v>793252.89909792598</v>
      </c>
      <c r="S183">
        <f t="shared" ref="S183" si="893">R183/100000</f>
        <v>7.93252899097926</v>
      </c>
      <c r="T183">
        <f t="shared" ref="T183" si="894">S183/1000</f>
        <v>7.9325289909792599E-3</v>
      </c>
    </row>
    <row r="184" spans="1:20" x14ac:dyDescent="0.25">
      <c r="A184" s="5">
        <v>44409</v>
      </c>
      <c r="B184">
        <v>405.74</v>
      </c>
      <c r="C184">
        <v>425</v>
      </c>
      <c r="D184">
        <v>392.23</v>
      </c>
      <c r="E184">
        <v>409.03</v>
      </c>
      <c r="F184">
        <v>56147.165350000003</v>
      </c>
      <c r="G184">
        <v>409.03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2.5328043942628248E-2</v>
      </c>
      <c r="Q184">
        <f t="shared" ref="Q184" si="896">F184*P184</f>
        <v>1422.0978712388142</v>
      </c>
      <c r="R184">
        <f t="shared" ref="R184" si="897">R185+Q184</f>
        <v>803888.79828628595</v>
      </c>
      <c r="S184">
        <f t="shared" ref="S184" si="898">R184/100000</f>
        <v>8.0388879828628603</v>
      </c>
      <c r="T184">
        <f t="shared" ref="T184" si="899">S184/1000</f>
        <v>8.0388879828628603E-3</v>
      </c>
    </row>
    <row r="185" spans="1:20" x14ac:dyDescent="0.25">
      <c r="A185" s="5">
        <v>44408</v>
      </c>
      <c r="B185">
        <v>404.31</v>
      </c>
      <c r="C185">
        <v>409.88</v>
      </c>
      <c r="D185">
        <v>391.79</v>
      </c>
      <c r="E185">
        <v>405.81</v>
      </c>
      <c r="F185">
        <v>37445.091670000002</v>
      </c>
      <c r="G185">
        <v>405.81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0.55002763957987855</v>
      </c>
      <c r="Q185">
        <f t="shared" ref="Q185" si="901">F185*P185</f>
        <v>20595.835385102273</v>
      </c>
      <c r="R185">
        <f t="shared" ref="R185" si="902">R186+Q185</f>
        <v>802466.70041504712</v>
      </c>
      <c r="S185">
        <f t="shared" ref="S185" si="903">R185/100000</f>
        <v>8.0246670041504711</v>
      </c>
      <c r="T185">
        <f t="shared" ref="T185" si="904">S185/1000</f>
        <v>8.0246670041504709E-3</v>
      </c>
    </row>
    <row r="186" spans="1:20" x14ac:dyDescent="0.25">
      <c r="A186" s="5">
        <v>44407</v>
      </c>
      <c r="B186">
        <v>396.69</v>
      </c>
      <c r="C186">
        <v>412.28</v>
      </c>
      <c r="D186">
        <v>381.89</v>
      </c>
      <c r="E186">
        <v>403.98</v>
      </c>
      <c r="F186">
        <v>58135.962149999999</v>
      </c>
      <c r="G186">
        <v>403.98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0.45376768673906165</v>
      </c>
      <c r="Q186">
        <f t="shared" ref="Q186" si="906">F186*P186</f>
        <v>26380.221061155145</v>
      </c>
      <c r="R186">
        <f t="shared" ref="R186" si="907">R187+Q186</f>
        <v>781870.86502994481</v>
      </c>
      <c r="S186">
        <f t="shared" ref="S186" si="908">R186/100000</f>
        <v>7.8187086502994481</v>
      </c>
      <c r="T186">
        <f t="shared" ref="T186" si="909">S186/1000</f>
        <v>7.8187086502994486E-3</v>
      </c>
    </row>
    <row r="187" spans="1:20" x14ac:dyDescent="0.25">
      <c r="A187" s="5">
        <v>44406</v>
      </c>
      <c r="B187">
        <v>388.33</v>
      </c>
      <c r="C187">
        <v>401.96</v>
      </c>
      <c r="D187">
        <v>378.39</v>
      </c>
      <c r="E187">
        <v>396.49</v>
      </c>
      <c r="F187">
        <v>46481.040330000003</v>
      </c>
      <c r="G187">
        <v>396.49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0.53585065761561546</v>
      </c>
      <c r="Q187">
        <f t="shared" ref="Q187" si="911">F187*P187</f>
        <v>24906.896027488445</v>
      </c>
      <c r="R187">
        <f t="shared" ref="R187" si="912">R188+Q187</f>
        <v>755490.64396878961</v>
      </c>
      <c r="S187">
        <f t="shared" ref="S187" si="913">R187/100000</f>
        <v>7.5549064396878958</v>
      </c>
      <c r="T187">
        <f t="shared" ref="T187" si="914">S187/1000</f>
        <v>7.5549064396878956E-3</v>
      </c>
    </row>
    <row r="188" spans="1:20" x14ac:dyDescent="0.25">
      <c r="A188" s="5">
        <v>44405</v>
      </c>
      <c r="B188">
        <v>392.52</v>
      </c>
      <c r="C188">
        <v>400</v>
      </c>
      <c r="D188">
        <v>380.71</v>
      </c>
      <c r="E188">
        <v>388.49</v>
      </c>
      <c r="F188">
        <v>49480.942629999998</v>
      </c>
      <c r="G188">
        <v>388.49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-0.19336443753239799</v>
      </c>
      <c r="Q188">
        <f t="shared" ref="Q188" si="916">F188*P188</f>
        <v>-9567.8546402228039</v>
      </c>
      <c r="R188">
        <f t="shared" ref="R188" si="917">R189+Q188</f>
        <v>730583.7479413012</v>
      </c>
      <c r="S188">
        <f t="shared" ref="S188" si="918">R188/100000</f>
        <v>7.3058374794130119</v>
      </c>
      <c r="T188">
        <f t="shared" ref="T188" si="919">S188/1000</f>
        <v>7.3058374794130118E-3</v>
      </c>
    </row>
    <row r="189" spans="1:20" x14ac:dyDescent="0.25">
      <c r="A189" s="5">
        <v>44404</v>
      </c>
      <c r="B189">
        <v>391.83</v>
      </c>
      <c r="C189">
        <v>408.2</v>
      </c>
      <c r="D189">
        <v>375.7</v>
      </c>
      <c r="E189">
        <v>392.64</v>
      </c>
      <c r="F189">
        <v>85641.463489999995</v>
      </c>
      <c r="G189">
        <v>392.64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4.2461538461538322E-2</v>
      </c>
      <c r="Q189">
        <f t="shared" ref="Q189" si="921">F189*P189</f>
        <v>3636.4682958830649</v>
      </c>
      <c r="R189">
        <f t="shared" ref="R189" si="922">R190+Q189</f>
        <v>740151.60258152406</v>
      </c>
      <c r="S189">
        <f t="shared" ref="S189" si="923">R189/100000</f>
        <v>7.4015160258152406</v>
      </c>
      <c r="T189">
        <f t="shared" ref="T189" si="924">S189/1000</f>
        <v>7.4015160258152409E-3</v>
      </c>
    </row>
    <row r="190" spans="1:20" x14ac:dyDescent="0.25">
      <c r="A190" s="5">
        <v>44403</v>
      </c>
      <c r="B190">
        <v>391.12</v>
      </c>
      <c r="C190">
        <v>438.32</v>
      </c>
      <c r="D190">
        <v>385</v>
      </c>
      <c r="E190">
        <v>392.09</v>
      </c>
      <c r="F190">
        <v>131489.86113</v>
      </c>
      <c r="G190">
        <v>392.09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-0.73405851462865812</v>
      </c>
      <c r="Q190">
        <f t="shared" ref="Q190" si="926">F190*P190</f>
        <v>-96521.252149816341</v>
      </c>
      <c r="R190">
        <f t="shared" ref="R190" si="927">R191+Q190</f>
        <v>736515.13428564102</v>
      </c>
      <c r="S190">
        <f t="shared" ref="S190" si="928">R190/100000</f>
        <v>7.3651513428564099</v>
      </c>
      <c r="T190">
        <f t="shared" ref="T190" si="929">S190/1000</f>
        <v>7.3651513428564103E-3</v>
      </c>
    </row>
    <row r="191" spans="1:20" x14ac:dyDescent="0.25">
      <c r="A191" s="5">
        <v>44402</v>
      </c>
      <c r="B191">
        <v>417.89</v>
      </c>
      <c r="C191">
        <v>428.5</v>
      </c>
      <c r="D191">
        <v>401.68</v>
      </c>
      <c r="E191">
        <v>409.31</v>
      </c>
      <c r="F191">
        <v>68781.179489999995</v>
      </c>
      <c r="G191">
        <v>409.31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-0.43102162565249835</v>
      </c>
      <c r="Q191">
        <f t="shared" ref="Q191" si="931">F191*P191</f>
        <v>-29646.175798076074</v>
      </c>
      <c r="R191">
        <f t="shared" ref="R191" si="932">R192+Q191</f>
        <v>833036.38643545739</v>
      </c>
      <c r="S191">
        <f t="shared" ref="S191" si="933">R191/100000</f>
        <v>8.3303638643545739</v>
      </c>
      <c r="T191">
        <f t="shared" ref="T191:T197" si="934">S191/1000</f>
        <v>8.3303638643545744E-3</v>
      </c>
    </row>
    <row r="192" spans="1:20" x14ac:dyDescent="0.25">
      <c r="A192" s="5">
        <v>44401</v>
      </c>
      <c r="B192">
        <v>417.89</v>
      </c>
      <c r="C192">
        <v>428.5</v>
      </c>
      <c r="D192">
        <v>401.68</v>
      </c>
      <c r="E192">
        <v>409.31</v>
      </c>
      <c r="F192">
        <v>68781.179489999995</v>
      </c>
      <c r="G192">
        <v>409.31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-0.43102162565249835</v>
      </c>
      <c r="Q192">
        <f t="shared" ref="Q192" si="936">F192*P192</f>
        <v>-29646.175798076074</v>
      </c>
      <c r="R192">
        <f t="shared" ref="R192" si="937">R193+Q192</f>
        <v>862682.56223353348</v>
      </c>
      <c r="S192">
        <f t="shared" ref="S192" si="938">R192/100000</f>
        <v>8.6268256223353355</v>
      </c>
      <c r="T192">
        <f t="shared" si="934"/>
        <v>8.6268256223353355E-3</v>
      </c>
    </row>
    <row r="193" spans="1:20" x14ac:dyDescent="0.25">
      <c r="A193" s="5">
        <v>44400</v>
      </c>
      <c r="B193">
        <v>414.05</v>
      </c>
      <c r="C193">
        <v>427</v>
      </c>
      <c r="D193">
        <v>385.78</v>
      </c>
      <c r="E193">
        <v>417.56</v>
      </c>
      <c r="F193">
        <v>79120.750719999996</v>
      </c>
      <c r="G193">
        <v>417.56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0.54196991751576951</v>
      </c>
      <c r="Q193">
        <f t="shared" ref="Q193" si="940">F193*P193</f>
        <v>42881.066741504161</v>
      </c>
      <c r="R193">
        <f t="shared" ref="R193" si="941">R194+Q193</f>
        <v>892328.73803160957</v>
      </c>
      <c r="S193">
        <f t="shared" ref="S193" si="942">R193/100000</f>
        <v>8.9232873803160953</v>
      </c>
      <c r="T193">
        <f t="shared" si="934"/>
        <v>8.9232873803160948E-3</v>
      </c>
    </row>
    <row r="194" spans="1:20" x14ac:dyDescent="0.25">
      <c r="A194" s="5">
        <v>44399</v>
      </c>
      <c r="B194">
        <v>376.94</v>
      </c>
      <c r="C194">
        <v>415.25</v>
      </c>
      <c r="D194">
        <v>368.49</v>
      </c>
      <c r="E194">
        <v>414.2</v>
      </c>
      <c r="F194">
        <v>108526.74771</v>
      </c>
      <c r="G194">
        <v>414.2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0.95508982035928092</v>
      </c>
      <c r="Q194">
        <f t="shared" ref="Q194" si="944">F194*P194</f>
        <v>103652.79197452089</v>
      </c>
      <c r="R194">
        <f t="shared" ref="R194" si="945">R195+Q194</f>
        <v>849447.67129010544</v>
      </c>
      <c r="S194">
        <f t="shared" ref="S194" si="946">R194/100000</f>
        <v>8.4944767129010543</v>
      </c>
      <c r="T194">
        <f t="shared" si="934"/>
        <v>8.494476712901055E-3</v>
      </c>
    </row>
    <row r="195" spans="1:20" x14ac:dyDescent="0.25">
      <c r="A195" s="5">
        <v>44398</v>
      </c>
      <c r="B195">
        <v>349.91</v>
      </c>
      <c r="C195">
        <v>399</v>
      </c>
      <c r="D195">
        <v>338.74</v>
      </c>
      <c r="E195">
        <v>376.89</v>
      </c>
      <c r="F195">
        <v>99118.494189999998</v>
      </c>
      <c r="G195">
        <v>376.89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0.26617988715565827</v>
      </c>
      <c r="Q195">
        <f t="shared" ref="Q195" si="948">F195*P195</f>
        <v>26383.349598532968</v>
      </c>
      <c r="R195">
        <f t="shared" ref="R195" si="949">R196+Q195</f>
        <v>745794.87931558455</v>
      </c>
      <c r="S195">
        <f t="shared" ref="S195" si="950">R195/100000</f>
        <v>7.4579487931558459</v>
      </c>
      <c r="T195">
        <f t="shared" si="934"/>
        <v>7.4579487931558455E-3</v>
      </c>
    </row>
    <row r="196" spans="1:20" x14ac:dyDescent="0.25">
      <c r="A196" s="5">
        <v>44397</v>
      </c>
      <c r="B196">
        <v>340.5</v>
      </c>
      <c r="C196">
        <v>360.9</v>
      </c>
      <c r="D196">
        <v>310</v>
      </c>
      <c r="E196">
        <v>349.56</v>
      </c>
      <c r="F196">
        <v>87857.923790000001</v>
      </c>
      <c r="G196">
        <v>349.56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0.55442043222004012</v>
      </c>
      <c r="Q196">
        <f t="shared" ref="Q196" si="952">F196*P196</f>
        <v>48710.228081607143</v>
      </c>
      <c r="R196">
        <f t="shared" ref="R196" si="953">R197+Q196</f>
        <v>719411.52971705154</v>
      </c>
      <c r="S196">
        <f t="shared" ref="S196" si="954">R196/100000</f>
        <v>7.1941152971705158</v>
      </c>
      <c r="T196">
        <f t="shared" si="934"/>
        <v>7.1941152971705157E-3</v>
      </c>
    </row>
    <row r="197" spans="1:20" x14ac:dyDescent="0.25">
      <c r="A197" s="5">
        <v>44396</v>
      </c>
      <c r="B197">
        <v>379.41</v>
      </c>
      <c r="C197">
        <v>379.93</v>
      </c>
      <c r="D197">
        <v>334.6</v>
      </c>
      <c r="E197">
        <v>340.04</v>
      </c>
      <c r="F197">
        <v>86188.681989999997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-0.75998235164350325</v>
      </c>
      <c r="Q197">
        <f t="shared" ref="Q197" si="956">F197*P197</f>
        <v>-65501.877223814256</v>
      </c>
      <c r="R197">
        <f t="shared" ref="R197" si="957">R198+Q197</f>
        <v>670701.3016354444</v>
      </c>
      <c r="S197">
        <f t="shared" ref="S197" si="958">R197/100000</f>
        <v>6.7070130163544439</v>
      </c>
      <c r="T197">
        <f t="shared" si="934"/>
        <v>6.7070130163544442E-3</v>
      </c>
    </row>
    <row r="198" spans="1:20" x14ac:dyDescent="0.25">
      <c r="A198" s="5">
        <v>44395</v>
      </c>
      <c r="B198">
        <v>378.9</v>
      </c>
      <c r="C198">
        <v>398.95</v>
      </c>
      <c r="D198">
        <v>371.32</v>
      </c>
      <c r="E198">
        <v>379.37</v>
      </c>
      <c r="F198">
        <v>46954.163650000002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-0.41730003619254341</v>
      </c>
      <c r="Q198">
        <f t="shared" ref="Q198:Q261" si="960">F198*P198</f>
        <v>-19593.974190535606</v>
      </c>
      <c r="R198">
        <f t="shared" ref="R198:R261" si="961">R199+Q198</f>
        <v>736203.17885925865</v>
      </c>
      <c r="S198">
        <f t="shared" ref="S198:S261" si="962">R198/100000</f>
        <v>7.3620317885925868</v>
      </c>
      <c r="T198">
        <f t="shared" ref="T198:T261" si="963">S198/1000</f>
        <v>7.3620317885925868E-3</v>
      </c>
    </row>
    <row r="199" spans="1:20" x14ac:dyDescent="0.25">
      <c r="A199" s="5">
        <v>44394</v>
      </c>
      <c r="B199">
        <v>368.09</v>
      </c>
      <c r="C199">
        <v>388.99</v>
      </c>
      <c r="D199">
        <v>365.2</v>
      </c>
      <c r="E199">
        <v>379.1</v>
      </c>
      <c r="F199">
        <v>44446.406470000002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0.16855821773854748</v>
      </c>
      <c r="Q199">
        <f t="shared" si="960"/>
        <v>7491.8070594662458</v>
      </c>
      <c r="R199">
        <f t="shared" si="961"/>
        <v>755797.15304979426</v>
      </c>
      <c r="S199">
        <f t="shared" si="962"/>
        <v>7.5579715304979427</v>
      </c>
      <c r="T199">
        <f t="shared" si="963"/>
        <v>7.5579715304979426E-3</v>
      </c>
    </row>
    <row r="200" spans="1:20" x14ac:dyDescent="0.25">
      <c r="A200" s="5">
        <v>44393</v>
      </c>
      <c r="B200">
        <v>398.9</v>
      </c>
      <c r="C200">
        <v>409.9</v>
      </c>
      <c r="D200">
        <v>366.67</v>
      </c>
      <c r="E200">
        <v>368.09</v>
      </c>
      <c r="F200">
        <v>60864.323279999997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-0.93430488086976815</v>
      </c>
      <c r="Q200">
        <f t="shared" si="960"/>
        <v>-56865.834311339451</v>
      </c>
      <c r="R200">
        <f t="shared" si="961"/>
        <v>748305.345990328</v>
      </c>
      <c r="S200">
        <f t="shared" si="962"/>
        <v>7.4830534599032799</v>
      </c>
      <c r="T200">
        <f t="shared" si="963"/>
        <v>7.4830534599032794E-3</v>
      </c>
    </row>
    <row r="201" spans="1:20" x14ac:dyDescent="0.25">
      <c r="A201" s="5">
        <v>44392</v>
      </c>
      <c r="B201">
        <v>410.11</v>
      </c>
      <c r="C201">
        <v>431.52</v>
      </c>
      <c r="D201">
        <v>392.65</v>
      </c>
      <c r="E201">
        <v>398.79</v>
      </c>
      <c r="F201">
        <v>142539.43664999999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-0.68407512220221034</v>
      </c>
      <c r="Q201">
        <f t="shared" si="960"/>
        <v>-97507.682544982963</v>
      </c>
      <c r="R201">
        <f t="shared" si="961"/>
        <v>805171.18030166742</v>
      </c>
      <c r="S201">
        <f t="shared" si="962"/>
        <v>8.0517118030166746</v>
      </c>
      <c r="T201">
        <f t="shared" si="963"/>
        <v>8.0517118030166753E-3</v>
      </c>
    </row>
    <row r="202" spans="1:20" x14ac:dyDescent="0.25">
      <c r="A202" s="5">
        <v>44391</v>
      </c>
      <c r="B202">
        <v>387.64</v>
      </c>
      <c r="C202">
        <v>424.66</v>
      </c>
      <c r="D202">
        <v>358.51</v>
      </c>
      <c r="E202">
        <v>410.51</v>
      </c>
      <c r="F202">
        <v>95737.899890000001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0.57218442932728564</v>
      </c>
      <c r="Q202">
        <f t="shared" si="960"/>
        <v>54779.735613552453</v>
      </c>
      <c r="R202">
        <f t="shared" si="961"/>
        <v>902678.86284665042</v>
      </c>
      <c r="S202">
        <f t="shared" si="962"/>
        <v>9.0267886284665035</v>
      </c>
      <c r="T202">
        <f t="shared" si="963"/>
        <v>9.0267886284665037E-3</v>
      </c>
    </row>
    <row r="203" spans="1:20" x14ac:dyDescent="0.25">
      <c r="A203" s="5">
        <v>44390</v>
      </c>
      <c r="B203">
        <v>412.1</v>
      </c>
      <c r="C203">
        <v>418</v>
      </c>
      <c r="D203">
        <v>381.11</v>
      </c>
      <c r="E203">
        <v>387.31</v>
      </c>
      <c r="F203">
        <v>55500.80762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-0.66386554621848792</v>
      </c>
      <c r="Q203">
        <f t="shared" si="960"/>
        <v>-36845.073966218515</v>
      </c>
      <c r="R203">
        <f t="shared" si="961"/>
        <v>847899.12723309791</v>
      </c>
      <c r="S203">
        <f t="shared" si="962"/>
        <v>8.4789912723309797</v>
      </c>
      <c r="T203">
        <f t="shared" si="963"/>
        <v>8.4789912723309789E-3</v>
      </c>
    </row>
    <row r="204" spans="1:20" x14ac:dyDescent="0.25">
      <c r="A204" s="5">
        <v>44389</v>
      </c>
      <c r="B204">
        <v>436.62</v>
      </c>
      <c r="C204">
        <v>444.52</v>
      </c>
      <c r="D204">
        <v>401.91</v>
      </c>
      <c r="E204">
        <v>412.34</v>
      </c>
      <c r="F204">
        <v>62710.335720000003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-0.51044355785027173</v>
      </c>
      <c r="Q204">
        <f t="shared" si="960"/>
        <v>-32010.086878901784</v>
      </c>
      <c r="R204">
        <f t="shared" si="961"/>
        <v>884744.20119931642</v>
      </c>
      <c r="S204">
        <f t="shared" si="962"/>
        <v>8.8474420119931647</v>
      </c>
      <c r="T204">
        <f t="shared" si="963"/>
        <v>8.8474420119931639E-3</v>
      </c>
    </row>
    <row r="205" spans="1:20" x14ac:dyDescent="0.25">
      <c r="A205" s="5">
        <v>44388</v>
      </c>
      <c r="B205">
        <v>423.1</v>
      </c>
      <c r="C205">
        <v>457.82</v>
      </c>
      <c r="D205">
        <v>414.29</v>
      </c>
      <c r="E205">
        <v>436.65</v>
      </c>
      <c r="F205">
        <v>78271.469200000007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2.7337468412587679E-2</v>
      </c>
      <c r="Q205">
        <f t="shared" si="960"/>
        <v>2139.7438168618296</v>
      </c>
      <c r="R205">
        <f t="shared" si="961"/>
        <v>916754.28807821823</v>
      </c>
      <c r="S205">
        <f t="shared" si="962"/>
        <v>9.1675428807821824</v>
      </c>
      <c r="T205">
        <f t="shared" si="963"/>
        <v>9.1675428807821823E-3</v>
      </c>
    </row>
    <row r="206" spans="1:20" x14ac:dyDescent="0.25">
      <c r="A206" s="5">
        <v>44387</v>
      </c>
      <c r="B206">
        <v>434.18</v>
      </c>
      <c r="C206">
        <v>448.96</v>
      </c>
      <c r="D206">
        <v>408.8</v>
      </c>
      <c r="E206">
        <v>423.35</v>
      </c>
      <c r="F206">
        <v>94436.336989999996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-0.27539840637450086</v>
      </c>
      <c r="Q206">
        <f t="shared" si="960"/>
        <v>-26007.616710891325</v>
      </c>
      <c r="R206">
        <f t="shared" si="961"/>
        <v>914614.54426135635</v>
      </c>
      <c r="S206">
        <f t="shared" si="962"/>
        <v>9.1461454426135642</v>
      </c>
      <c r="T206">
        <f t="shared" si="963"/>
        <v>9.1461454426135635E-3</v>
      </c>
    </row>
    <row r="207" spans="1:20" x14ac:dyDescent="0.25">
      <c r="A207" s="5">
        <v>44386</v>
      </c>
      <c r="B207">
        <v>414.67</v>
      </c>
      <c r="C207">
        <v>441.27</v>
      </c>
      <c r="D207">
        <v>386.7</v>
      </c>
      <c r="E207">
        <v>434.18</v>
      </c>
      <c r="F207">
        <v>120471.55938999999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0.74015026571376308</v>
      </c>
      <c r="Q207">
        <f t="shared" si="960"/>
        <v>89167.05669345989</v>
      </c>
      <c r="R207">
        <f t="shared" si="961"/>
        <v>940622.16097224772</v>
      </c>
      <c r="S207">
        <f t="shared" si="962"/>
        <v>9.4062216097224773</v>
      </c>
      <c r="T207">
        <f t="shared" si="963"/>
        <v>9.4062216097224767E-3</v>
      </c>
    </row>
    <row r="208" spans="1:20" x14ac:dyDescent="0.25">
      <c r="A208" s="5">
        <v>44385</v>
      </c>
      <c r="B208">
        <v>441.51</v>
      </c>
      <c r="C208">
        <v>445.74</v>
      </c>
      <c r="D208">
        <v>408.43</v>
      </c>
      <c r="E208">
        <v>414.83</v>
      </c>
      <c r="F208">
        <v>138677.91063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-0.65692843741624352</v>
      </c>
      <c r="Q208">
        <f t="shared" si="960"/>
        <v>-91101.46313431536</v>
      </c>
      <c r="R208">
        <f t="shared" si="961"/>
        <v>851455.10427878785</v>
      </c>
      <c r="S208">
        <f t="shared" si="962"/>
        <v>8.514551042787879</v>
      </c>
      <c r="T208">
        <f t="shared" si="963"/>
        <v>8.5145510427878796E-3</v>
      </c>
    </row>
    <row r="209" spans="1:20" x14ac:dyDescent="0.25">
      <c r="A209" s="5">
        <v>44384</v>
      </c>
      <c r="B209">
        <v>481.23</v>
      </c>
      <c r="C209">
        <v>493</v>
      </c>
      <c r="D209">
        <v>434.41</v>
      </c>
      <c r="E209">
        <v>441.47</v>
      </c>
      <c r="F209">
        <v>150139.6649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-0.75900324287421039</v>
      </c>
      <c r="Q209">
        <f t="shared" si="960"/>
        <v>-113956.49254314727</v>
      </c>
      <c r="R209">
        <f t="shared" si="961"/>
        <v>942556.56741310318</v>
      </c>
      <c r="S209">
        <f t="shared" si="962"/>
        <v>9.4255656741310325</v>
      </c>
      <c r="T209">
        <f t="shared" si="963"/>
        <v>9.4255656741310326E-3</v>
      </c>
    </row>
    <row r="210" spans="1:20" x14ac:dyDescent="0.25">
      <c r="A210" s="5">
        <v>44383</v>
      </c>
      <c r="B210">
        <v>492.43</v>
      </c>
      <c r="C210">
        <v>530.98</v>
      </c>
      <c r="D210">
        <v>462.51</v>
      </c>
      <c r="E210">
        <v>481.55</v>
      </c>
      <c r="F210">
        <v>239428.82404000001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-0.44384401927851574</v>
      </c>
      <c r="Q210">
        <f t="shared" si="960"/>
        <v>-106269.05159304211</v>
      </c>
      <c r="R210">
        <f t="shared" si="961"/>
        <v>1056513.0599562505</v>
      </c>
      <c r="S210">
        <f t="shared" si="962"/>
        <v>10.565130599562504</v>
      </c>
      <c r="T210">
        <f t="shared" si="963"/>
        <v>1.0565130599562505E-2</v>
      </c>
    </row>
    <row r="211" spans="1:20" x14ac:dyDescent="0.25">
      <c r="A211" s="5">
        <v>44382</v>
      </c>
      <c r="B211">
        <v>443.72</v>
      </c>
      <c r="C211">
        <v>520.25</v>
      </c>
      <c r="D211">
        <v>412.99</v>
      </c>
      <c r="E211">
        <v>492.32</v>
      </c>
      <c r="F211">
        <v>320467.18234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0.47920939772515364</v>
      </c>
      <c r="Q211">
        <f t="shared" si="960"/>
        <v>153570.88543982839</v>
      </c>
      <c r="R211">
        <f t="shared" si="961"/>
        <v>1162782.1115492927</v>
      </c>
      <c r="S211">
        <f t="shared" si="962"/>
        <v>11.627821115492926</v>
      </c>
      <c r="T211">
        <f t="shared" si="963"/>
        <v>1.1627821115492926E-2</v>
      </c>
    </row>
    <row r="212" spans="1:20" x14ac:dyDescent="0.25">
      <c r="A212" s="5">
        <v>44381</v>
      </c>
      <c r="B212">
        <v>380.87</v>
      </c>
      <c r="C212">
        <v>464.72</v>
      </c>
      <c r="D212">
        <v>368.43</v>
      </c>
      <c r="E212">
        <v>443.98</v>
      </c>
      <c r="F212">
        <v>178068.46445999999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0.56921798732994067</v>
      </c>
      <c r="Q212">
        <f t="shared" si="960"/>
        <v>101359.77294685427</v>
      </c>
      <c r="R212">
        <f t="shared" si="961"/>
        <v>1009211.2261094642</v>
      </c>
      <c r="S212">
        <f t="shared" si="962"/>
        <v>10.092112261094641</v>
      </c>
      <c r="T212">
        <f t="shared" si="963"/>
        <v>1.0092112261094641E-2</v>
      </c>
    </row>
    <row r="213" spans="1:20" x14ac:dyDescent="0.25">
      <c r="A213" s="5">
        <v>44380</v>
      </c>
      <c r="B213">
        <v>368.17</v>
      </c>
      <c r="C213">
        <v>386.91</v>
      </c>
      <c r="D213">
        <v>362.41</v>
      </c>
      <c r="E213">
        <v>380.61</v>
      </c>
      <c r="F213">
        <v>128546.08082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0.48571428571428477</v>
      </c>
      <c r="Q213">
        <f t="shared" si="960"/>
        <v>62436.667826857025</v>
      </c>
      <c r="R213">
        <f t="shared" si="961"/>
        <v>907851.45316260995</v>
      </c>
      <c r="S213">
        <f t="shared" si="962"/>
        <v>9.0785145316260998</v>
      </c>
      <c r="T213">
        <f t="shared" si="963"/>
        <v>9.0785145316261001E-3</v>
      </c>
    </row>
    <row r="214" spans="1:20" x14ac:dyDescent="0.25">
      <c r="A214" s="5">
        <v>44379</v>
      </c>
      <c r="B214">
        <v>331.95</v>
      </c>
      <c r="C214">
        <v>369.04</v>
      </c>
      <c r="D214">
        <v>307</v>
      </c>
      <c r="E214">
        <v>368.5</v>
      </c>
      <c r="F214">
        <v>137314.07381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0.98259187620889687</v>
      </c>
      <c r="Q214">
        <f t="shared" si="960"/>
        <v>134923.69341485485</v>
      </c>
      <c r="R214">
        <f t="shared" si="961"/>
        <v>845414.78533575288</v>
      </c>
      <c r="S214">
        <f t="shared" si="962"/>
        <v>8.4541478533575294</v>
      </c>
      <c r="T214">
        <f t="shared" si="963"/>
        <v>8.4541478533575291E-3</v>
      </c>
    </row>
    <row r="215" spans="1:20" x14ac:dyDescent="0.25">
      <c r="A215" s="5">
        <v>44378</v>
      </c>
      <c r="B215">
        <v>338.19</v>
      </c>
      <c r="C215">
        <v>356.96</v>
      </c>
      <c r="D215">
        <v>319.42</v>
      </c>
      <c r="E215">
        <v>332</v>
      </c>
      <c r="F215">
        <v>152766.62672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-0.32978156632924899</v>
      </c>
      <c r="Q215">
        <f t="shared" si="960"/>
        <v>-50379.617442557297</v>
      </c>
      <c r="R215">
        <f t="shared" si="961"/>
        <v>710491.09192089806</v>
      </c>
      <c r="S215">
        <f t="shared" si="962"/>
        <v>7.1049109192089803</v>
      </c>
      <c r="T215">
        <f t="shared" si="963"/>
        <v>7.1049109192089805E-3</v>
      </c>
    </row>
    <row r="216" spans="1:20" x14ac:dyDescent="0.25">
      <c r="A216" s="5">
        <v>44377</v>
      </c>
      <c r="B216">
        <v>311.02999999999997</v>
      </c>
      <c r="C216">
        <v>338.51</v>
      </c>
      <c r="D216">
        <v>285</v>
      </c>
      <c r="E216">
        <v>338.19</v>
      </c>
      <c r="F216">
        <v>95691.941279999999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0.98803961876284829</v>
      </c>
      <c r="Q216">
        <f t="shared" si="960"/>
        <v>94547.429180968058</v>
      </c>
      <c r="R216">
        <f t="shared" si="961"/>
        <v>760870.70936345542</v>
      </c>
      <c r="S216">
        <f t="shared" si="962"/>
        <v>7.6087070936345542</v>
      </c>
      <c r="T216">
        <f t="shared" si="963"/>
        <v>7.6087070936345542E-3</v>
      </c>
    </row>
    <row r="217" spans="1:20" x14ac:dyDescent="0.25">
      <c r="A217" s="5">
        <v>44376</v>
      </c>
      <c r="B217">
        <v>312.17</v>
      </c>
      <c r="C217">
        <v>330</v>
      </c>
      <c r="D217">
        <v>307.37</v>
      </c>
      <c r="E217">
        <v>310.87</v>
      </c>
      <c r="F217">
        <v>115906.48630999999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-0.69067609368095439</v>
      </c>
      <c r="Q217">
        <f t="shared" si="960"/>
        <v>-80053.839196875808</v>
      </c>
      <c r="R217">
        <f t="shared" si="961"/>
        <v>666323.28018248733</v>
      </c>
      <c r="S217">
        <f t="shared" si="962"/>
        <v>6.663232801824873</v>
      </c>
      <c r="T217">
        <f t="shared" si="963"/>
        <v>6.6632328018248728E-3</v>
      </c>
    </row>
    <row r="218" spans="1:20" x14ac:dyDescent="0.25">
      <c r="A218" s="5">
        <v>44375</v>
      </c>
      <c r="B218">
        <v>257.39999999999998</v>
      </c>
      <c r="C218">
        <v>319.32</v>
      </c>
      <c r="D218">
        <v>248.79</v>
      </c>
      <c r="E218">
        <v>311.92</v>
      </c>
      <c r="F218">
        <v>213656.49067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0.79016021551113069</v>
      </c>
      <c r="Q218">
        <f t="shared" si="960"/>
        <v>168822.85871315908</v>
      </c>
      <c r="R218">
        <f t="shared" si="961"/>
        <v>746377.11937936314</v>
      </c>
      <c r="S218">
        <f t="shared" si="962"/>
        <v>7.4637711937936313</v>
      </c>
      <c r="T218">
        <f t="shared" si="963"/>
        <v>7.4637711937936314E-3</v>
      </c>
    </row>
    <row r="219" spans="1:20" x14ac:dyDescent="0.25">
      <c r="A219" s="5">
        <v>44374</v>
      </c>
      <c r="B219">
        <v>225.35</v>
      </c>
      <c r="C219">
        <v>257.79000000000002</v>
      </c>
      <c r="D219">
        <v>223.35</v>
      </c>
      <c r="E219">
        <v>257.39</v>
      </c>
      <c r="F219">
        <v>57464.636120000003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0.97677119628338949</v>
      </c>
      <c r="Q219">
        <f t="shared" si="960"/>
        <v>56129.801366922075</v>
      </c>
      <c r="R219">
        <f t="shared" si="961"/>
        <v>577554.26066620403</v>
      </c>
      <c r="S219">
        <f t="shared" si="962"/>
        <v>5.7755426066620403</v>
      </c>
      <c r="T219">
        <f t="shared" si="963"/>
        <v>5.7755426066620407E-3</v>
      </c>
    </row>
    <row r="220" spans="1:20" x14ac:dyDescent="0.25">
      <c r="A220" s="5">
        <v>44373</v>
      </c>
      <c r="B220">
        <v>222.06</v>
      </c>
      <c r="C220">
        <v>229.4</v>
      </c>
      <c r="D220">
        <v>211.34</v>
      </c>
      <c r="E220">
        <v>225.47</v>
      </c>
      <c r="F220">
        <v>50316.036260000001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0.56478405315614544</v>
      </c>
      <c r="Q220">
        <f t="shared" si="960"/>
        <v>28417.694897674381</v>
      </c>
      <c r="R220">
        <f t="shared" si="961"/>
        <v>521424.45929928194</v>
      </c>
      <c r="S220">
        <f t="shared" si="962"/>
        <v>5.2142445929928192</v>
      </c>
      <c r="T220">
        <f t="shared" si="963"/>
        <v>5.2142445929928196E-3</v>
      </c>
    </row>
    <row r="221" spans="1:20" x14ac:dyDescent="0.25">
      <c r="A221" s="5">
        <v>44372</v>
      </c>
      <c r="B221">
        <v>256.63</v>
      </c>
      <c r="C221">
        <v>260.89</v>
      </c>
      <c r="D221">
        <v>221.17</v>
      </c>
      <c r="E221">
        <v>222.07</v>
      </c>
      <c r="F221">
        <v>46947.49811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-0.95468277945619306</v>
      </c>
      <c r="Q221">
        <f t="shared" si="960"/>
        <v>-44819.967984169169</v>
      </c>
      <c r="R221">
        <f t="shared" si="961"/>
        <v>493006.76440160756</v>
      </c>
      <c r="S221">
        <f t="shared" si="962"/>
        <v>4.9300676440160753</v>
      </c>
      <c r="T221">
        <f t="shared" si="963"/>
        <v>4.9300676440160755E-3</v>
      </c>
    </row>
    <row r="222" spans="1:20" x14ac:dyDescent="0.25">
      <c r="A222" s="5">
        <v>44371</v>
      </c>
      <c r="B222">
        <v>242.14</v>
      </c>
      <c r="C222">
        <v>260.41000000000003</v>
      </c>
      <c r="D222">
        <v>227.17</v>
      </c>
      <c r="E222">
        <v>256.49</v>
      </c>
      <c r="F222">
        <v>57910.639799999997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0.76413959085439165</v>
      </c>
      <c r="Q222">
        <f t="shared" si="960"/>
        <v>44251.812602888043</v>
      </c>
      <c r="R222">
        <f t="shared" si="961"/>
        <v>537826.7323857767</v>
      </c>
      <c r="S222">
        <f t="shared" si="962"/>
        <v>5.3782673238577674</v>
      </c>
      <c r="T222">
        <f t="shared" si="963"/>
        <v>5.3782673238577678E-3</v>
      </c>
    </row>
    <row r="223" spans="1:20" x14ac:dyDescent="0.25">
      <c r="A223" s="5">
        <v>44370</v>
      </c>
      <c r="B223">
        <v>235.05</v>
      </c>
      <c r="C223">
        <v>270.94</v>
      </c>
      <c r="D223">
        <v>224.52</v>
      </c>
      <c r="E223">
        <v>241.97</v>
      </c>
      <c r="F223">
        <v>80852.026790000004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-0.24816889271865603</v>
      </c>
      <c r="Q223">
        <f t="shared" si="960"/>
        <v>-20064.957962533415</v>
      </c>
      <c r="R223">
        <f t="shared" si="961"/>
        <v>493574.91978288861</v>
      </c>
      <c r="S223">
        <f t="shared" si="962"/>
        <v>4.9357491978288861</v>
      </c>
      <c r="T223">
        <f t="shared" si="963"/>
        <v>4.9357491978288858E-3</v>
      </c>
    </row>
    <row r="224" spans="1:20" x14ac:dyDescent="0.25">
      <c r="A224" s="5">
        <v>44369</v>
      </c>
      <c r="B224">
        <v>221.91</v>
      </c>
      <c r="C224">
        <v>247.85</v>
      </c>
      <c r="D224">
        <v>196.46</v>
      </c>
      <c r="E224">
        <v>235.05</v>
      </c>
      <c r="F224">
        <v>92715.091719999997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0.50184860867873182</v>
      </c>
      <c r="Q224">
        <f t="shared" si="960"/>
        <v>46528.939783203008</v>
      </c>
      <c r="R224">
        <f t="shared" si="961"/>
        <v>513639.87774542201</v>
      </c>
      <c r="S224">
        <f t="shared" si="962"/>
        <v>5.1363987774542199</v>
      </c>
      <c r="T224">
        <f t="shared" si="963"/>
        <v>5.1363987774542203E-3</v>
      </c>
    </row>
    <row r="225" spans="1:20" x14ac:dyDescent="0.25">
      <c r="A225" s="5">
        <v>44368</v>
      </c>
      <c r="B225">
        <v>293.66000000000003</v>
      </c>
      <c r="C225">
        <v>295.93</v>
      </c>
      <c r="D225">
        <v>220.6</v>
      </c>
      <c r="E225">
        <v>222.11</v>
      </c>
      <c r="F225">
        <v>61032.721299999997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-0.95990973051904904</v>
      </c>
      <c r="Q225">
        <f t="shared" si="960"/>
        <v>-58585.903055927221</v>
      </c>
      <c r="R225">
        <f t="shared" si="961"/>
        <v>467110.937962219</v>
      </c>
      <c r="S225">
        <f t="shared" si="962"/>
        <v>4.6711093796221901</v>
      </c>
      <c r="T225">
        <f t="shared" si="963"/>
        <v>4.6711093796221901E-3</v>
      </c>
    </row>
    <row r="226" spans="1:20" x14ac:dyDescent="0.25">
      <c r="A226" s="5">
        <v>44367</v>
      </c>
      <c r="B226">
        <v>272.70999999999998</v>
      </c>
      <c r="C226">
        <v>300</v>
      </c>
      <c r="D226">
        <v>259.57</v>
      </c>
      <c r="E226">
        <v>293.66000000000003</v>
      </c>
      <c r="F226">
        <v>38030.918870000001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0.6863715063071989</v>
      </c>
      <c r="Q226">
        <f t="shared" si="960"/>
        <v>26103.339071048777</v>
      </c>
      <c r="R226">
        <f t="shared" si="961"/>
        <v>525696.84101814625</v>
      </c>
      <c r="S226">
        <f t="shared" si="962"/>
        <v>5.2569684101814627</v>
      </c>
      <c r="T226">
        <f t="shared" si="963"/>
        <v>5.2569684101814625E-3</v>
      </c>
    </row>
    <row r="227" spans="1:20" x14ac:dyDescent="0.25">
      <c r="A227" s="5">
        <v>44366</v>
      </c>
      <c r="B227">
        <v>278.77999999999997</v>
      </c>
      <c r="C227">
        <v>287.32</v>
      </c>
      <c r="D227">
        <v>271.2</v>
      </c>
      <c r="E227">
        <v>272.79000000000002</v>
      </c>
      <c r="F227">
        <v>16835.762070000001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-0.80272952853597623</v>
      </c>
      <c r="Q227">
        <f t="shared" si="960"/>
        <v>-13514.563348994972</v>
      </c>
      <c r="R227">
        <f t="shared" si="961"/>
        <v>499593.50194709742</v>
      </c>
      <c r="S227">
        <f t="shared" si="962"/>
        <v>4.9959350194709744</v>
      </c>
      <c r="T227">
        <f t="shared" si="963"/>
        <v>4.9959350194709743E-3</v>
      </c>
    </row>
    <row r="228" spans="1:20" x14ac:dyDescent="0.25">
      <c r="A228" s="5">
        <v>44365</v>
      </c>
      <c r="B228">
        <v>306.76</v>
      </c>
      <c r="C228">
        <v>308.91000000000003</v>
      </c>
      <c r="D228">
        <v>265.02</v>
      </c>
      <c r="E228">
        <v>278.92</v>
      </c>
      <c r="F228">
        <v>36375.874060000002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-0.36659831396673409</v>
      </c>
      <c r="Q228">
        <f t="shared" si="960"/>
        <v>-13335.334099462259</v>
      </c>
      <c r="R228">
        <f t="shared" si="961"/>
        <v>513108.06529609242</v>
      </c>
      <c r="S228">
        <f t="shared" si="962"/>
        <v>5.1310806529609243</v>
      </c>
      <c r="T228">
        <f t="shared" si="963"/>
        <v>5.1310806529609246E-3</v>
      </c>
    </row>
    <row r="229" spans="1:20" x14ac:dyDescent="0.25">
      <c r="A229" s="5">
        <v>44364</v>
      </c>
      <c r="B229">
        <v>305.58</v>
      </c>
      <c r="C229">
        <v>323.95999999999998</v>
      </c>
      <c r="D229">
        <v>296.72000000000003</v>
      </c>
      <c r="E229">
        <v>306.58999999999997</v>
      </c>
      <c r="F229">
        <v>22621.63898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-0.27533039647577351</v>
      </c>
      <c r="Q229">
        <f t="shared" si="960"/>
        <v>-6228.4248292952125</v>
      </c>
      <c r="R229">
        <f t="shared" si="961"/>
        <v>526443.39939555468</v>
      </c>
      <c r="S229">
        <f t="shared" si="962"/>
        <v>5.2644339939555467</v>
      </c>
      <c r="T229">
        <f t="shared" si="963"/>
        <v>5.264433993955547E-3</v>
      </c>
    </row>
    <row r="230" spans="1:20" x14ac:dyDescent="0.25">
      <c r="A230" s="5">
        <v>44363</v>
      </c>
      <c r="B230">
        <v>325.26</v>
      </c>
      <c r="C230">
        <v>325.26</v>
      </c>
      <c r="D230">
        <v>300.93</v>
      </c>
      <c r="E230">
        <v>305.87</v>
      </c>
      <c r="F230">
        <v>31171.970420000001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-0.59391697492807227</v>
      </c>
      <c r="Q230">
        <f t="shared" si="960"/>
        <v>-18513.56237439375</v>
      </c>
      <c r="R230">
        <f t="shared" si="961"/>
        <v>532671.82422484993</v>
      </c>
      <c r="S230">
        <f t="shared" si="962"/>
        <v>5.3267182422484991</v>
      </c>
      <c r="T230">
        <f t="shared" si="963"/>
        <v>5.3267182422484993E-3</v>
      </c>
    </row>
    <row r="231" spans="1:20" x14ac:dyDescent="0.25">
      <c r="A231" s="5">
        <v>44362</v>
      </c>
      <c r="B231">
        <v>336.84</v>
      </c>
      <c r="C231">
        <v>349</v>
      </c>
      <c r="D231">
        <v>321.43</v>
      </c>
      <c r="E231">
        <v>325.70999999999998</v>
      </c>
      <c r="F231">
        <v>36166.613519999999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-0.6895175915850581</v>
      </c>
      <c r="Q231">
        <f t="shared" si="960"/>
        <v>-24937.516250098</v>
      </c>
      <c r="R231">
        <f t="shared" si="961"/>
        <v>551185.38659924373</v>
      </c>
      <c r="S231">
        <f t="shared" si="962"/>
        <v>5.5118538659924372</v>
      </c>
      <c r="T231">
        <f t="shared" si="963"/>
        <v>5.5118538659924372E-3</v>
      </c>
    </row>
    <row r="232" spans="1:20" x14ac:dyDescent="0.25">
      <c r="A232" s="5">
        <v>44361</v>
      </c>
      <c r="B232">
        <v>324.22000000000003</v>
      </c>
      <c r="C232">
        <v>343.18</v>
      </c>
      <c r="D232">
        <v>317.39</v>
      </c>
      <c r="E232">
        <v>336.49</v>
      </c>
      <c r="F232">
        <v>39367.04161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0.48119426134160587</v>
      </c>
      <c r="Q232">
        <f t="shared" si="960"/>
        <v>18943.194508728211</v>
      </c>
      <c r="R232">
        <f t="shared" si="961"/>
        <v>576122.90284934174</v>
      </c>
      <c r="S232">
        <f t="shared" si="962"/>
        <v>5.7612290284934176</v>
      </c>
      <c r="T232">
        <f t="shared" si="963"/>
        <v>5.7612290284934174E-3</v>
      </c>
    </row>
    <row r="233" spans="1:20" x14ac:dyDescent="0.25">
      <c r="A233" s="5">
        <v>44360</v>
      </c>
      <c r="B233">
        <v>296.17</v>
      </c>
      <c r="C233">
        <v>330.6</v>
      </c>
      <c r="D233">
        <v>284.60000000000002</v>
      </c>
      <c r="E233">
        <v>324.14999999999998</v>
      </c>
      <c r="F233">
        <v>31574.203509999999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0.71956521739130241</v>
      </c>
      <c r="Q233">
        <f t="shared" si="960"/>
        <v>22719.698612630375</v>
      </c>
      <c r="R233">
        <f t="shared" si="961"/>
        <v>557179.70834061352</v>
      </c>
      <c r="S233">
        <f t="shared" si="962"/>
        <v>5.5717970834061354</v>
      </c>
      <c r="T233">
        <f t="shared" si="963"/>
        <v>5.5717970834061352E-3</v>
      </c>
    </row>
    <row r="234" spans="1:20" x14ac:dyDescent="0.25">
      <c r="A234" s="5">
        <v>44359</v>
      </c>
      <c r="B234">
        <v>294.97000000000003</v>
      </c>
      <c r="C234">
        <v>306.36</v>
      </c>
      <c r="D234">
        <v>278.66000000000003</v>
      </c>
      <c r="E234">
        <v>295.83</v>
      </c>
      <c r="F234">
        <v>40801.825299999997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0.23971119133573762</v>
      </c>
      <c r="Q234">
        <f t="shared" si="960"/>
        <v>9780.6541513356387</v>
      </c>
      <c r="R234">
        <f t="shared" si="961"/>
        <v>534460.00972798315</v>
      </c>
      <c r="S234">
        <f t="shared" si="962"/>
        <v>5.3446000972798311</v>
      </c>
      <c r="T234">
        <f t="shared" si="963"/>
        <v>5.3446000972798315E-3</v>
      </c>
    </row>
    <row r="235" spans="1:20" x14ac:dyDescent="0.25">
      <c r="A235" s="5">
        <v>44358</v>
      </c>
      <c r="B235">
        <v>327.88</v>
      </c>
      <c r="C235">
        <v>331.17</v>
      </c>
      <c r="D235">
        <v>292.02</v>
      </c>
      <c r="E235">
        <v>295.06</v>
      </c>
      <c r="F235">
        <v>29755.659090000001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-0.84469987228607823</v>
      </c>
      <c r="Q235">
        <f t="shared" si="960"/>
        <v>-25134.601433111085</v>
      </c>
      <c r="R235">
        <f t="shared" si="961"/>
        <v>524679.35557664756</v>
      </c>
      <c r="S235">
        <f t="shared" si="962"/>
        <v>5.2467935557664758</v>
      </c>
      <c r="T235">
        <f t="shared" si="963"/>
        <v>5.2467935557664758E-3</v>
      </c>
    </row>
    <row r="236" spans="1:20" x14ac:dyDescent="0.25">
      <c r="A236" s="5">
        <v>44357</v>
      </c>
      <c r="B236">
        <v>363.88</v>
      </c>
      <c r="C236">
        <v>365.48</v>
      </c>
      <c r="D236">
        <v>320.56</v>
      </c>
      <c r="E236">
        <v>327.82</v>
      </c>
      <c r="F236">
        <v>46351.46183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-0.67675868210151435</v>
      </c>
      <c r="Q236">
        <f t="shared" si="960"/>
        <v>-31368.754221549447</v>
      </c>
      <c r="R236">
        <f t="shared" si="961"/>
        <v>549813.95700975868</v>
      </c>
      <c r="S236">
        <f t="shared" si="962"/>
        <v>5.498139570097587</v>
      </c>
      <c r="T236">
        <f t="shared" si="963"/>
        <v>5.4981395700975872E-3</v>
      </c>
    </row>
    <row r="237" spans="1:20" x14ac:dyDescent="0.25">
      <c r="A237" s="5">
        <v>44356</v>
      </c>
      <c r="B237">
        <v>350.34</v>
      </c>
      <c r="C237">
        <v>380</v>
      </c>
      <c r="D237">
        <v>328.77</v>
      </c>
      <c r="E237">
        <v>363.88</v>
      </c>
      <c r="F237">
        <v>54204.135739999998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0.37068124146008202</v>
      </c>
      <c r="Q237">
        <f t="shared" si="960"/>
        <v>20092.456328374003</v>
      </c>
      <c r="R237">
        <f t="shared" si="961"/>
        <v>581182.71123130817</v>
      </c>
      <c r="S237">
        <f t="shared" si="962"/>
        <v>5.8118271123130816</v>
      </c>
      <c r="T237">
        <f t="shared" si="963"/>
        <v>5.8118271123130819E-3</v>
      </c>
    </row>
    <row r="238" spans="1:20" x14ac:dyDescent="0.25">
      <c r="A238" s="5">
        <v>44355</v>
      </c>
      <c r="B238">
        <v>343</v>
      </c>
      <c r="C238">
        <v>352.09</v>
      </c>
      <c r="D238">
        <v>308</v>
      </c>
      <c r="E238">
        <v>350.34</v>
      </c>
      <c r="F238">
        <v>50367.342270000001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0.92061691993649353</v>
      </c>
      <c r="Q238">
        <f t="shared" si="960"/>
        <v>46369.027505994556</v>
      </c>
      <c r="R238">
        <f t="shared" si="961"/>
        <v>561090.25490293419</v>
      </c>
      <c r="S238">
        <f t="shared" si="962"/>
        <v>5.6109025490293423</v>
      </c>
      <c r="T238">
        <f t="shared" si="963"/>
        <v>5.610902549029342E-3</v>
      </c>
    </row>
    <row r="239" spans="1:20" x14ac:dyDescent="0.25">
      <c r="A239" s="5">
        <v>44354</v>
      </c>
      <c r="B239">
        <v>388.3</v>
      </c>
      <c r="C239">
        <v>412.38</v>
      </c>
      <c r="D239">
        <v>341</v>
      </c>
      <c r="E239">
        <v>343.2</v>
      </c>
      <c r="F239">
        <v>37864.116759999997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-0.93835808349677807</v>
      </c>
      <c r="Q239">
        <f t="shared" si="960"/>
        <v>-35530.100036211828</v>
      </c>
      <c r="R239">
        <f t="shared" si="961"/>
        <v>514721.22739693959</v>
      </c>
      <c r="S239">
        <f t="shared" si="962"/>
        <v>5.1472122739693962</v>
      </c>
      <c r="T239">
        <f t="shared" si="963"/>
        <v>5.1472122739693957E-3</v>
      </c>
    </row>
    <row r="240" spans="1:20" x14ac:dyDescent="0.25">
      <c r="A240" s="5">
        <v>44353</v>
      </c>
      <c r="B240">
        <v>387.2</v>
      </c>
      <c r="C240">
        <v>395.18</v>
      </c>
      <c r="D240">
        <v>377.23</v>
      </c>
      <c r="E240">
        <v>388.28</v>
      </c>
      <c r="F240">
        <v>20133.048579999999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0.23119777158773944</v>
      </c>
      <c r="Q240">
        <f t="shared" si="960"/>
        <v>4654.7159669637012</v>
      </c>
      <c r="R240">
        <f t="shared" si="961"/>
        <v>550251.32743315143</v>
      </c>
      <c r="S240">
        <f t="shared" si="962"/>
        <v>5.5025132743315144</v>
      </c>
      <c r="T240">
        <f t="shared" si="963"/>
        <v>5.5025132743315146E-3</v>
      </c>
    </row>
    <row r="241" spans="1:20" x14ac:dyDescent="0.25">
      <c r="A241" s="5">
        <v>44352</v>
      </c>
      <c r="B241">
        <v>401.08</v>
      </c>
      <c r="C241">
        <v>418</v>
      </c>
      <c r="D241">
        <v>376.8</v>
      </c>
      <c r="E241">
        <v>387.34</v>
      </c>
      <c r="F241">
        <v>28014.701529999998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-0.48834951456310843</v>
      </c>
      <c r="Q241">
        <f t="shared" si="960"/>
        <v>-13680.965892805871</v>
      </c>
      <c r="R241">
        <f t="shared" si="961"/>
        <v>545596.61146618775</v>
      </c>
      <c r="S241">
        <f t="shared" si="962"/>
        <v>5.4559661146618774</v>
      </c>
      <c r="T241">
        <f t="shared" si="963"/>
        <v>5.4559661146618777E-3</v>
      </c>
    </row>
    <row r="242" spans="1:20" x14ac:dyDescent="0.25">
      <c r="A242" s="5">
        <v>44351</v>
      </c>
      <c r="B242">
        <v>449.26</v>
      </c>
      <c r="C242">
        <v>449.67</v>
      </c>
      <c r="D242">
        <v>383.46</v>
      </c>
      <c r="E242">
        <v>401.7</v>
      </c>
      <c r="F242">
        <v>44728.14774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-0.44902582691436344</v>
      </c>
      <c r="Q242">
        <f t="shared" si="960"/>
        <v>-20084.093525301316</v>
      </c>
      <c r="R242">
        <f t="shared" si="961"/>
        <v>559277.57735899359</v>
      </c>
      <c r="S242">
        <f t="shared" si="962"/>
        <v>5.5927757735899357</v>
      </c>
      <c r="T242">
        <f t="shared" si="963"/>
        <v>5.5927757735899355E-3</v>
      </c>
    </row>
    <row r="243" spans="1:20" x14ac:dyDescent="0.25">
      <c r="A243" s="5">
        <v>44350</v>
      </c>
      <c r="B243">
        <v>434.06</v>
      </c>
      <c r="C243">
        <v>453.78</v>
      </c>
      <c r="D243">
        <v>425.45</v>
      </c>
      <c r="E243">
        <v>449.62</v>
      </c>
      <c r="F243">
        <v>33579.27622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0.70631839039887256</v>
      </c>
      <c r="Q243">
        <f t="shared" si="960"/>
        <v>23717.660330469538</v>
      </c>
      <c r="R243">
        <f t="shared" si="961"/>
        <v>579361.6708842949</v>
      </c>
      <c r="S243">
        <f t="shared" si="962"/>
        <v>5.7936167088429489</v>
      </c>
      <c r="T243">
        <f t="shared" si="963"/>
        <v>5.7936167088429493E-3</v>
      </c>
    </row>
    <row r="244" spans="1:20" x14ac:dyDescent="0.25">
      <c r="A244" s="5">
        <v>44349</v>
      </c>
      <c r="B244">
        <v>427.23</v>
      </c>
      <c r="C244">
        <v>459.64</v>
      </c>
      <c r="D244">
        <v>412.78</v>
      </c>
      <c r="E244">
        <v>434.95</v>
      </c>
      <c r="F244">
        <v>32305.998080000001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-5.3777208706785769E-2</v>
      </c>
      <c r="Q244">
        <f t="shared" si="960"/>
        <v>-1737.3264012291804</v>
      </c>
      <c r="R244">
        <f t="shared" si="961"/>
        <v>555644.01055382541</v>
      </c>
      <c r="S244">
        <f t="shared" si="962"/>
        <v>5.556440105538254</v>
      </c>
      <c r="T244">
        <f t="shared" si="963"/>
        <v>5.5564401055382536E-3</v>
      </c>
    </row>
    <row r="245" spans="1:20" x14ac:dyDescent="0.25">
      <c r="A245" s="5">
        <v>44348</v>
      </c>
      <c r="B245">
        <v>435.65</v>
      </c>
      <c r="C245">
        <v>439.83</v>
      </c>
      <c r="D245">
        <v>406.73</v>
      </c>
      <c r="E245">
        <v>426.79</v>
      </c>
      <c r="F245">
        <v>34263.692159999999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0.21208459214501649</v>
      </c>
      <c r="Q245">
        <f t="shared" si="960"/>
        <v>7266.8011771359988</v>
      </c>
      <c r="R245">
        <f t="shared" si="961"/>
        <v>557381.33695505455</v>
      </c>
      <c r="S245">
        <f t="shared" si="962"/>
        <v>5.5738133695505452</v>
      </c>
      <c r="T245">
        <f t="shared" si="963"/>
        <v>5.5738133695505451E-3</v>
      </c>
    </row>
    <row r="246" spans="1:20" x14ac:dyDescent="0.25">
      <c r="A246" s="5">
        <v>44347</v>
      </c>
      <c r="B246">
        <v>405.51</v>
      </c>
      <c r="C246">
        <v>437.47</v>
      </c>
      <c r="D246">
        <v>381.57</v>
      </c>
      <c r="E246">
        <v>435.51</v>
      </c>
      <c r="F246">
        <v>42615.312160000001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0.92987477638640303</v>
      </c>
      <c r="Q246">
        <f t="shared" si="960"/>
        <v>39626.90386541676</v>
      </c>
      <c r="R246">
        <f t="shared" si="961"/>
        <v>550114.53577791853</v>
      </c>
      <c r="S246">
        <f t="shared" si="962"/>
        <v>5.5011453577791851</v>
      </c>
      <c r="T246">
        <f t="shared" si="963"/>
        <v>5.5011453577791854E-3</v>
      </c>
    </row>
    <row r="247" spans="1:20" x14ac:dyDescent="0.25">
      <c r="A247" s="5">
        <v>44346</v>
      </c>
      <c r="B247">
        <v>354.01</v>
      </c>
      <c r="C247">
        <v>424.36</v>
      </c>
      <c r="D247">
        <v>333.33</v>
      </c>
      <c r="E247">
        <v>406.25</v>
      </c>
      <c r="F247">
        <v>41078.643759999999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0.60210919477095448</v>
      </c>
      <c r="Q247">
        <f t="shared" si="960"/>
        <v>24733.829116616493</v>
      </c>
      <c r="R247">
        <f t="shared" si="961"/>
        <v>510487.63191250176</v>
      </c>
      <c r="S247">
        <f t="shared" si="962"/>
        <v>5.1048763191250179</v>
      </c>
      <c r="T247">
        <f t="shared" si="963"/>
        <v>5.1048763191250176E-3</v>
      </c>
    </row>
    <row r="248" spans="1:20" x14ac:dyDescent="0.25">
      <c r="A248" s="5">
        <v>44345</v>
      </c>
      <c r="B248">
        <v>377.06</v>
      </c>
      <c r="C248">
        <v>405.27</v>
      </c>
      <c r="D248">
        <v>333.54</v>
      </c>
      <c r="E248">
        <v>354.02</v>
      </c>
      <c r="F248">
        <v>41800.607389999997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-0.42896974766485507</v>
      </c>
      <c r="Q248">
        <f t="shared" si="960"/>
        <v>-17931.196004325975</v>
      </c>
      <c r="R248">
        <f t="shared" si="961"/>
        <v>485753.80279588525</v>
      </c>
      <c r="S248">
        <f t="shared" si="962"/>
        <v>4.857538027958852</v>
      </c>
      <c r="T248">
        <f t="shared" si="963"/>
        <v>4.857538027958852E-3</v>
      </c>
    </row>
    <row r="249" spans="1:20" x14ac:dyDescent="0.25">
      <c r="A249" s="5">
        <v>44344</v>
      </c>
      <c r="B249">
        <v>423.43</v>
      </c>
      <c r="C249">
        <v>426.72</v>
      </c>
      <c r="D249">
        <v>356</v>
      </c>
      <c r="E249">
        <v>377.59</v>
      </c>
      <c r="F249">
        <v>49037.009429999998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-0.38942307692307787</v>
      </c>
      <c r="Q249">
        <f t="shared" si="960"/>
        <v>-19096.143095336585</v>
      </c>
      <c r="R249">
        <f t="shared" si="961"/>
        <v>503684.99880021124</v>
      </c>
      <c r="S249">
        <f t="shared" si="962"/>
        <v>5.0368499880021123</v>
      </c>
      <c r="T249">
        <f t="shared" si="963"/>
        <v>5.0368499880021119E-3</v>
      </c>
    </row>
    <row r="250" spans="1:20" x14ac:dyDescent="0.25">
      <c r="A250" s="5">
        <v>44343</v>
      </c>
      <c r="B250">
        <v>463.55</v>
      </c>
      <c r="C250">
        <v>464</v>
      </c>
      <c r="D250">
        <v>403.07</v>
      </c>
      <c r="E250">
        <v>423.14</v>
      </c>
      <c r="F250">
        <v>46570.475530000003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-0.34121122599704606</v>
      </c>
      <c r="Q250">
        <f t="shared" si="960"/>
        <v>-15890.369050856734</v>
      </c>
      <c r="R250">
        <f t="shared" si="961"/>
        <v>522781.1418955478</v>
      </c>
      <c r="S250">
        <f t="shared" si="962"/>
        <v>5.2278114189554783</v>
      </c>
      <c r="T250">
        <f t="shared" si="963"/>
        <v>5.2278114189554786E-3</v>
      </c>
    </row>
    <row r="251" spans="1:20" x14ac:dyDescent="0.25">
      <c r="A251" s="5">
        <v>44342</v>
      </c>
      <c r="B251">
        <v>426.66</v>
      </c>
      <c r="C251">
        <v>464.76</v>
      </c>
      <c r="D251">
        <v>413.3</v>
      </c>
      <c r="E251">
        <v>464</v>
      </c>
      <c r="F251">
        <v>58016.083530000004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0.97046249514185812</v>
      </c>
      <c r="Q251">
        <f t="shared" si="960"/>
        <v>56302.433180882261</v>
      </c>
      <c r="R251">
        <f t="shared" si="961"/>
        <v>538671.51094640454</v>
      </c>
      <c r="S251">
        <f t="shared" si="962"/>
        <v>5.3867151094640455</v>
      </c>
      <c r="T251">
        <f t="shared" si="963"/>
        <v>5.3867151094640457E-3</v>
      </c>
    </row>
    <row r="252" spans="1:20" x14ac:dyDescent="0.25">
      <c r="A252" s="5">
        <v>44341</v>
      </c>
      <c r="B252">
        <v>427.02</v>
      </c>
      <c r="C252">
        <v>440.89</v>
      </c>
      <c r="D252">
        <v>367.81</v>
      </c>
      <c r="E252">
        <v>427.06</v>
      </c>
      <c r="F252">
        <v>88926.569319999995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0.62151067323481157</v>
      </c>
      <c r="Q252">
        <f t="shared" si="960"/>
        <v>55268.811966535337</v>
      </c>
      <c r="R252">
        <f t="shared" si="961"/>
        <v>482369.07776552223</v>
      </c>
      <c r="S252">
        <f t="shared" si="962"/>
        <v>4.823690777655222</v>
      </c>
      <c r="T252">
        <f t="shared" si="963"/>
        <v>4.8236907776552217E-3</v>
      </c>
    </row>
    <row r="253" spans="1:20" x14ac:dyDescent="0.25">
      <c r="A253" s="5">
        <v>44340</v>
      </c>
      <c r="B253">
        <v>340.34</v>
      </c>
      <c r="C253">
        <v>435.44</v>
      </c>
      <c r="D253">
        <v>328.44</v>
      </c>
      <c r="E253">
        <v>427.02</v>
      </c>
      <c r="F253">
        <v>78263.460179999995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0.84261682242990621</v>
      </c>
      <c r="Q253">
        <f t="shared" si="960"/>
        <v>65946.108129241096</v>
      </c>
      <c r="R253">
        <f t="shared" si="961"/>
        <v>427100.26579898689</v>
      </c>
      <c r="S253">
        <f t="shared" si="962"/>
        <v>4.271002657989869</v>
      </c>
      <c r="T253">
        <f t="shared" si="963"/>
        <v>4.2710026579898686E-3</v>
      </c>
    </row>
    <row r="254" spans="1:20" x14ac:dyDescent="0.25">
      <c r="A254" s="5">
        <v>44339</v>
      </c>
      <c r="B254">
        <v>384.56</v>
      </c>
      <c r="C254">
        <v>401.41</v>
      </c>
      <c r="D254">
        <v>267.55</v>
      </c>
      <c r="E254">
        <v>339.79</v>
      </c>
      <c r="F254">
        <v>127080.70795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7.9336620349619025E-2</v>
      </c>
      <c r="Q254">
        <f t="shared" si="960"/>
        <v>10082.153880389962</v>
      </c>
      <c r="R254">
        <f t="shared" si="961"/>
        <v>361154.15766974579</v>
      </c>
      <c r="S254">
        <f t="shared" si="962"/>
        <v>3.6115415766974581</v>
      </c>
      <c r="T254">
        <f t="shared" si="963"/>
        <v>3.6115415766974582E-3</v>
      </c>
    </row>
    <row r="255" spans="1:20" x14ac:dyDescent="0.25">
      <c r="A255" s="5">
        <v>44338</v>
      </c>
      <c r="B255">
        <v>448.77</v>
      </c>
      <c r="C255">
        <v>455.01</v>
      </c>
      <c r="D255">
        <v>370.34</v>
      </c>
      <c r="E255">
        <v>384.44</v>
      </c>
      <c r="F255">
        <v>88760.377410000001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-0.66694224636825272</v>
      </c>
      <c r="Q255">
        <f t="shared" si="960"/>
        <v>-59198.045498319312</v>
      </c>
      <c r="R255">
        <f t="shared" si="961"/>
        <v>351072.0037893558</v>
      </c>
      <c r="S255">
        <f t="shared" si="962"/>
        <v>3.5107200378935581</v>
      </c>
      <c r="T255">
        <f t="shared" si="963"/>
        <v>3.5107200378935582E-3</v>
      </c>
    </row>
    <row r="256" spans="1:20" x14ac:dyDescent="0.25">
      <c r="A256" s="5">
        <v>44337</v>
      </c>
      <c r="B256">
        <v>547.91999999999996</v>
      </c>
      <c r="C256">
        <v>583.69000000000005</v>
      </c>
      <c r="D256">
        <v>377.77</v>
      </c>
      <c r="E256">
        <v>448.24</v>
      </c>
      <c r="F256">
        <v>109020.65626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-0.31555944055944052</v>
      </c>
      <c r="Q256">
        <f t="shared" si="960"/>
        <v>-34402.497298828668</v>
      </c>
      <c r="R256">
        <f t="shared" si="961"/>
        <v>410270.04928767512</v>
      </c>
      <c r="S256">
        <f t="shared" si="962"/>
        <v>4.1027004928767514</v>
      </c>
      <c r="T256">
        <f t="shared" si="963"/>
        <v>4.1027004928767515E-3</v>
      </c>
    </row>
    <row r="257" spans="1:20" x14ac:dyDescent="0.25">
      <c r="A257" s="5">
        <v>44336</v>
      </c>
      <c r="B257">
        <v>471.2</v>
      </c>
      <c r="C257">
        <v>571.41</v>
      </c>
      <c r="D257">
        <v>413.17</v>
      </c>
      <c r="E257">
        <v>547.65</v>
      </c>
      <c r="F257">
        <v>96264.635750000001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0.6996966632962589</v>
      </c>
      <c r="Q257">
        <f t="shared" si="960"/>
        <v>67356.044427704765</v>
      </c>
      <c r="R257">
        <f t="shared" si="961"/>
        <v>444672.5465865038</v>
      </c>
      <c r="S257">
        <f t="shared" si="962"/>
        <v>4.4467254658650379</v>
      </c>
      <c r="T257">
        <f t="shared" si="963"/>
        <v>4.4467254658650378E-3</v>
      </c>
    </row>
    <row r="258" spans="1:20" x14ac:dyDescent="0.25">
      <c r="A258" s="5">
        <v>44335</v>
      </c>
      <c r="B258">
        <v>665.75</v>
      </c>
      <c r="C258">
        <v>673.39</v>
      </c>
      <c r="D258">
        <v>355</v>
      </c>
      <c r="E258">
        <v>472.47</v>
      </c>
      <c r="F258">
        <v>171114.88896000001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-0.26209994032475875</v>
      </c>
      <c r="Q258">
        <f t="shared" si="960"/>
        <v>-44849.202185093724</v>
      </c>
      <c r="R258">
        <f t="shared" si="961"/>
        <v>377316.50215879903</v>
      </c>
      <c r="S258">
        <f t="shared" si="962"/>
        <v>3.7731650215879902</v>
      </c>
      <c r="T258">
        <f t="shared" si="963"/>
        <v>3.7731650215879903E-3</v>
      </c>
    </row>
    <row r="259" spans="1:20" x14ac:dyDescent="0.25">
      <c r="A259" s="5">
        <v>44334</v>
      </c>
      <c r="B259">
        <v>696.11</v>
      </c>
      <c r="C259">
        <v>726.37</v>
      </c>
      <c r="D259">
        <v>648.03</v>
      </c>
      <c r="E259">
        <v>665.43</v>
      </c>
      <c r="F259">
        <v>66224.264639999994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-0.55578248659688612</v>
      </c>
      <c r="Q259">
        <f t="shared" si="960"/>
        <v>-36806.286474669432</v>
      </c>
      <c r="R259">
        <f t="shared" si="961"/>
        <v>422165.70434389275</v>
      </c>
      <c r="S259">
        <f t="shared" si="962"/>
        <v>4.2216570434389276</v>
      </c>
      <c r="T259">
        <f t="shared" si="963"/>
        <v>4.221657043438928E-3</v>
      </c>
    </row>
    <row r="260" spans="1:20" x14ac:dyDescent="0.25">
      <c r="A260" s="5">
        <v>44333</v>
      </c>
      <c r="B260">
        <v>684.6</v>
      </c>
      <c r="C260">
        <v>709.91</v>
      </c>
      <c r="D260">
        <v>610.88</v>
      </c>
      <c r="E260">
        <v>695.53</v>
      </c>
      <c r="F260">
        <v>64046.28239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0.70958295466020394</v>
      </c>
      <c r="Q260">
        <f t="shared" si="960"/>
        <v>45446.150293297986</v>
      </c>
      <c r="R260">
        <f t="shared" si="961"/>
        <v>458971.99081856216</v>
      </c>
      <c r="S260">
        <f t="shared" si="962"/>
        <v>4.5897199081856215</v>
      </c>
      <c r="T260">
        <f t="shared" si="963"/>
        <v>4.5897199081856212E-3</v>
      </c>
    </row>
    <row r="261" spans="1:20" x14ac:dyDescent="0.25">
      <c r="A261" s="5">
        <v>44332</v>
      </c>
      <c r="B261">
        <v>690.12</v>
      </c>
      <c r="C261">
        <v>736.75</v>
      </c>
      <c r="D261">
        <v>630.16999999999996</v>
      </c>
      <c r="E261">
        <v>684.05</v>
      </c>
      <c r="F261">
        <v>55251.423779999997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1.1071495590166538E-2</v>
      </c>
      <c r="Q261">
        <f t="shared" si="960"/>
        <v>611.71589473069253</v>
      </c>
      <c r="R261">
        <f t="shared" si="961"/>
        <v>413525.84052526415</v>
      </c>
      <c r="S261">
        <f t="shared" si="962"/>
        <v>4.1352584052526415</v>
      </c>
      <c r="T261">
        <f t="shared" si="963"/>
        <v>4.1352584052526415E-3</v>
      </c>
    </row>
    <row r="262" spans="1:20" x14ac:dyDescent="0.25">
      <c r="A262" s="5">
        <v>44331</v>
      </c>
      <c r="B262">
        <v>775</v>
      </c>
      <c r="C262">
        <v>783.74</v>
      </c>
      <c r="D262">
        <v>685.72</v>
      </c>
      <c r="E262">
        <v>689.9</v>
      </c>
      <c r="F262">
        <v>45162.43634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-0.91471128341154961</v>
      </c>
      <c r="Q262">
        <f t="shared" ref="Q262:Q325" si="965">F262*P262</f>
        <v>-41310.590106553806</v>
      </c>
      <c r="R262">
        <f t="shared" ref="R262:R325" si="966">R263+Q262</f>
        <v>412914.12463053345</v>
      </c>
      <c r="S262">
        <f t="shared" ref="S262:S325" si="967">R262/100000</f>
        <v>4.1291412463053341</v>
      </c>
      <c r="T262">
        <f t="shared" ref="T262:T325" si="968">S262/1000</f>
        <v>4.129141246305334E-3</v>
      </c>
    </row>
    <row r="263" spans="1:20" x14ac:dyDescent="0.25">
      <c r="A263" s="5">
        <v>44330</v>
      </c>
      <c r="B263">
        <v>767.04</v>
      </c>
      <c r="C263">
        <v>821.74</v>
      </c>
      <c r="D263">
        <v>746.13</v>
      </c>
      <c r="E263">
        <v>774.77</v>
      </c>
      <c r="F263">
        <v>60591.834609999998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-0.24242825023145137</v>
      </c>
      <c r="Q263">
        <f t="shared" si="965"/>
        <v>-14689.172442815796</v>
      </c>
      <c r="R263">
        <f t="shared" si="966"/>
        <v>454224.71473708726</v>
      </c>
      <c r="S263">
        <f t="shared" si="967"/>
        <v>4.5422471473708725</v>
      </c>
      <c r="T263">
        <f t="shared" si="968"/>
        <v>4.5422471473708726E-3</v>
      </c>
    </row>
    <row r="264" spans="1:20" x14ac:dyDescent="0.25">
      <c r="A264" s="5">
        <v>44329</v>
      </c>
      <c r="B264">
        <v>734.96</v>
      </c>
      <c r="C264">
        <v>810.48</v>
      </c>
      <c r="D264">
        <v>693</v>
      </c>
      <c r="E264">
        <v>767.48</v>
      </c>
      <c r="F264">
        <v>110705.66108999999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0.2679605039155602</v>
      </c>
      <c r="Q264">
        <f t="shared" si="965"/>
        <v>29664.744731981624</v>
      </c>
      <c r="R264">
        <f t="shared" si="966"/>
        <v>468913.88717990305</v>
      </c>
      <c r="S264">
        <f t="shared" si="967"/>
        <v>4.6891388717990301</v>
      </c>
      <c r="T264">
        <f t="shared" si="968"/>
        <v>4.6891388717990303E-3</v>
      </c>
    </row>
    <row r="265" spans="1:20" x14ac:dyDescent="0.25">
      <c r="A265" s="5">
        <v>44328</v>
      </c>
      <c r="B265">
        <v>854.26</v>
      </c>
      <c r="C265">
        <v>911</v>
      </c>
      <c r="D265">
        <v>700</v>
      </c>
      <c r="E265">
        <v>736.83</v>
      </c>
      <c r="F265">
        <v>112260.89542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-0.65090047393364892</v>
      </c>
      <c r="Q265">
        <f t="shared" si="965"/>
        <v>-73070.670033093804</v>
      </c>
      <c r="R265">
        <f t="shared" si="966"/>
        <v>439249.14244792145</v>
      </c>
      <c r="S265">
        <f t="shared" si="967"/>
        <v>4.3924914244792141</v>
      </c>
      <c r="T265">
        <f t="shared" si="968"/>
        <v>4.392491424479214E-3</v>
      </c>
    </row>
    <row r="266" spans="1:20" x14ac:dyDescent="0.25">
      <c r="A266" s="5">
        <v>44327</v>
      </c>
      <c r="B266">
        <v>781.31</v>
      </c>
      <c r="C266">
        <v>871.87</v>
      </c>
      <c r="D266">
        <v>770.85</v>
      </c>
      <c r="E266">
        <v>854.27</v>
      </c>
      <c r="F266">
        <v>110841.61717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0.65155414769352549</v>
      </c>
      <c r="Q266">
        <f t="shared" si="965"/>
        <v>72219.315404171386</v>
      </c>
      <c r="R266">
        <f t="shared" si="966"/>
        <v>512319.81248101522</v>
      </c>
      <c r="S266">
        <f t="shared" si="967"/>
        <v>5.1231981248101519</v>
      </c>
      <c r="T266">
        <f t="shared" si="968"/>
        <v>5.1231981248101516E-3</v>
      </c>
    </row>
    <row r="267" spans="1:20" x14ac:dyDescent="0.25">
      <c r="A267" s="5">
        <v>44326</v>
      </c>
      <c r="B267">
        <v>771.3</v>
      </c>
      <c r="C267">
        <v>812.81</v>
      </c>
      <c r="D267">
        <v>706.83</v>
      </c>
      <c r="E267">
        <v>780.59</v>
      </c>
      <c r="F267">
        <v>65566.061679999999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0.39196074731081443</v>
      </c>
      <c r="Q267">
        <f t="shared" si="965"/>
        <v>25699.322534319752</v>
      </c>
      <c r="R267">
        <f t="shared" si="966"/>
        <v>440100.49707684387</v>
      </c>
      <c r="S267">
        <f t="shared" si="967"/>
        <v>4.4010049707684384</v>
      </c>
      <c r="T267">
        <f t="shared" si="968"/>
        <v>4.4010049707684388E-3</v>
      </c>
    </row>
    <row r="268" spans="1:20" x14ac:dyDescent="0.25">
      <c r="A268" s="5">
        <v>44325</v>
      </c>
      <c r="B268">
        <v>782.97</v>
      </c>
      <c r="C268">
        <v>785.34</v>
      </c>
      <c r="D268">
        <v>733.14</v>
      </c>
      <c r="E268">
        <v>770.7</v>
      </c>
      <c r="F268">
        <v>36789.228049999998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0.43908045977011595</v>
      </c>
      <c r="Q268">
        <f t="shared" si="965"/>
        <v>16153.431166781646</v>
      </c>
      <c r="R268">
        <f t="shared" si="966"/>
        <v>414401.1745425241</v>
      </c>
      <c r="S268">
        <f t="shared" si="967"/>
        <v>4.1440117454252405</v>
      </c>
      <c r="T268">
        <f t="shared" si="968"/>
        <v>4.1440117454252402E-3</v>
      </c>
    </row>
    <row r="269" spans="1:20" x14ac:dyDescent="0.25">
      <c r="A269" s="5">
        <v>44324</v>
      </c>
      <c r="B269">
        <v>714.63</v>
      </c>
      <c r="C269">
        <v>800.12</v>
      </c>
      <c r="D269">
        <v>701.68</v>
      </c>
      <c r="E269">
        <v>782.93</v>
      </c>
      <c r="F269">
        <v>60457.095229999999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0.65075172694026728</v>
      </c>
      <c r="Q269">
        <f t="shared" si="965"/>
        <v>39342.559126714696</v>
      </c>
      <c r="R269">
        <f t="shared" si="966"/>
        <v>398247.74337574246</v>
      </c>
      <c r="S269">
        <f t="shared" si="967"/>
        <v>3.9824774337574245</v>
      </c>
      <c r="T269">
        <f t="shared" si="968"/>
        <v>3.9824774337574248E-3</v>
      </c>
    </row>
    <row r="270" spans="1:20" x14ac:dyDescent="0.25">
      <c r="A270" s="5">
        <v>44323</v>
      </c>
      <c r="B270">
        <v>740.41</v>
      </c>
      <c r="C270">
        <v>745.19</v>
      </c>
      <c r="D270">
        <v>692.98</v>
      </c>
      <c r="E270">
        <v>714.5</v>
      </c>
      <c r="F270">
        <v>42563.350890000002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-0.17563685117793654</v>
      </c>
      <c r="Q270">
        <f t="shared" si="965"/>
        <v>-7475.6929259012231</v>
      </c>
      <c r="R270">
        <f t="shared" si="966"/>
        <v>358905.18424902775</v>
      </c>
      <c r="S270">
        <f t="shared" si="967"/>
        <v>3.5890518424902775</v>
      </c>
      <c r="T270">
        <f t="shared" si="968"/>
        <v>3.5890518424902774E-3</v>
      </c>
    </row>
    <row r="271" spans="1:20" x14ac:dyDescent="0.25">
      <c r="A271" s="5">
        <v>44322</v>
      </c>
      <c r="B271">
        <v>787.22</v>
      </c>
      <c r="C271">
        <v>809.44</v>
      </c>
      <c r="D271">
        <v>722.86</v>
      </c>
      <c r="E271">
        <v>740.76</v>
      </c>
      <c r="F271">
        <v>50172.641479999998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-0.58650958650958718</v>
      </c>
      <c r="Q271">
        <f t="shared" si="965"/>
        <v>-29426.73520852856</v>
      </c>
      <c r="R271">
        <f t="shared" si="966"/>
        <v>366380.87717492896</v>
      </c>
      <c r="S271">
        <f t="shared" si="967"/>
        <v>3.6638087717492898</v>
      </c>
      <c r="T271">
        <f t="shared" si="968"/>
        <v>3.6638087717492896E-3</v>
      </c>
    </row>
    <row r="272" spans="1:20" x14ac:dyDescent="0.25">
      <c r="A272" s="5">
        <v>44321</v>
      </c>
      <c r="B272">
        <v>740.93</v>
      </c>
      <c r="C272">
        <v>789.93</v>
      </c>
      <c r="D272">
        <v>724.85</v>
      </c>
      <c r="E272">
        <v>787.22</v>
      </c>
      <c r="F272">
        <v>45903.548190000001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0.91671788567916634</v>
      </c>
      <c r="Q272">
        <f t="shared" si="965"/>
        <v>42080.603641908521</v>
      </c>
      <c r="R272">
        <f t="shared" si="966"/>
        <v>395807.61238345754</v>
      </c>
      <c r="S272">
        <f t="shared" si="967"/>
        <v>3.9580761238345752</v>
      </c>
      <c r="T272">
        <f t="shared" si="968"/>
        <v>3.958076123834575E-3</v>
      </c>
    </row>
    <row r="273" spans="1:20" x14ac:dyDescent="0.25">
      <c r="A273" s="5">
        <v>44320</v>
      </c>
      <c r="B273">
        <v>831.59</v>
      </c>
      <c r="C273">
        <v>850</v>
      </c>
      <c r="D273">
        <v>726.1</v>
      </c>
      <c r="E273">
        <v>740.94</v>
      </c>
      <c r="F273">
        <v>80951.229739999995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-0.76045197740112935</v>
      </c>
      <c r="Q273">
        <f t="shared" si="965"/>
        <v>-61559.522728836106</v>
      </c>
      <c r="R273">
        <f t="shared" si="966"/>
        <v>353727.00874154904</v>
      </c>
      <c r="S273">
        <f t="shared" si="967"/>
        <v>3.5372700874154903</v>
      </c>
      <c r="T273">
        <f t="shared" si="968"/>
        <v>3.5372700874154901E-3</v>
      </c>
    </row>
    <row r="274" spans="1:20" x14ac:dyDescent="0.25">
      <c r="A274" s="5">
        <v>44319</v>
      </c>
      <c r="B274">
        <v>805.03</v>
      </c>
      <c r="C274">
        <v>840.61</v>
      </c>
      <c r="D274">
        <v>783.8</v>
      </c>
      <c r="E274">
        <v>832.19</v>
      </c>
      <c r="F274">
        <v>92538.728780000005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0.70357331455729799</v>
      </c>
      <c r="Q274">
        <f t="shared" si="965"/>
        <v>65107.780132663429</v>
      </c>
      <c r="R274">
        <f t="shared" si="966"/>
        <v>415286.53147038515</v>
      </c>
      <c r="S274">
        <f t="shared" si="967"/>
        <v>4.1528653147038517</v>
      </c>
      <c r="T274">
        <f t="shared" si="968"/>
        <v>4.1528653147038519E-3</v>
      </c>
    </row>
    <row r="275" spans="1:20" x14ac:dyDescent="0.25">
      <c r="A275" s="5">
        <v>44318</v>
      </c>
      <c r="B275">
        <v>803.28</v>
      </c>
      <c r="C275">
        <v>879</v>
      </c>
      <c r="D275">
        <v>785.27</v>
      </c>
      <c r="E275">
        <v>804.74</v>
      </c>
      <c r="F275">
        <v>99891.800149999995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-0.58455137095913745</v>
      </c>
      <c r="Q275">
        <f t="shared" si="965"/>
        <v>-58391.888725258672</v>
      </c>
      <c r="R275">
        <f t="shared" si="966"/>
        <v>350178.75133772171</v>
      </c>
      <c r="S275">
        <f t="shared" si="967"/>
        <v>3.5017875133772169</v>
      </c>
      <c r="T275">
        <f t="shared" si="968"/>
        <v>3.5017875133772167E-3</v>
      </c>
    </row>
    <row r="276" spans="1:20" x14ac:dyDescent="0.25">
      <c r="A276" s="5">
        <v>44317</v>
      </c>
      <c r="B276">
        <v>741.66</v>
      </c>
      <c r="C276">
        <v>831.6</v>
      </c>
      <c r="D276">
        <v>723.19</v>
      </c>
      <c r="E276">
        <v>803.13</v>
      </c>
      <c r="F276">
        <v>91464.700719999993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0.47477170002767205</v>
      </c>
      <c r="Q276">
        <f t="shared" si="965"/>
        <v>43424.851453356634</v>
      </c>
      <c r="R276">
        <f t="shared" si="966"/>
        <v>408570.64006298035</v>
      </c>
      <c r="S276">
        <f t="shared" si="967"/>
        <v>4.0857064006298032</v>
      </c>
      <c r="T276">
        <f t="shared" si="968"/>
        <v>4.0857064006298034E-3</v>
      </c>
    </row>
    <row r="277" spans="1:20" x14ac:dyDescent="0.25">
      <c r="A277" s="5">
        <v>44316</v>
      </c>
      <c r="B277">
        <v>643.19000000000005</v>
      </c>
      <c r="C277">
        <v>743.44</v>
      </c>
      <c r="D277">
        <v>636.72</v>
      </c>
      <c r="E277">
        <v>741.65</v>
      </c>
      <c r="F277">
        <v>78058.213659999994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0.96645427286356678</v>
      </c>
      <c r="Q277">
        <f t="shared" si="965"/>
        <v>75439.694123804235</v>
      </c>
      <c r="R277">
        <f t="shared" si="966"/>
        <v>365145.78860962373</v>
      </c>
      <c r="S277">
        <f t="shared" si="967"/>
        <v>3.6514578860962374</v>
      </c>
      <c r="T277">
        <f t="shared" si="968"/>
        <v>3.6514578860962375E-3</v>
      </c>
    </row>
    <row r="278" spans="1:20" x14ac:dyDescent="0.25">
      <c r="A278" s="5">
        <v>44315</v>
      </c>
      <c r="B278">
        <v>647.29</v>
      </c>
      <c r="C278">
        <v>684.52</v>
      </c>
      <c r="D278">
        <v>628.99</v>
      </c>
      <c r="E278">
        <v>643.16</v>
      </c>
      <c r="F278">
        <v>47283.982920000002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-0.48964523680893335</v>
      </c>
      <c r="Q278">
        <f t="shared" si="965"/>
        <v>-23152.377014132962</v>
      </c>
      <c r="R278">
        <f t="shared" si="966"/>
        <v>289706.09448581951</v>
      </c>
      <c r="S278">
        <f t="shared" si="967"/>
        <v>2.897060944858195</v>
      </c>
      <c r="T278">
        <f t="shared" si="968"/>
        <v>2.8970609448581951E-3</v>
      </c>
    </row>
    <row r="279" spans="1:20" x14ac:dyDescent="0.25">
      <c r="A279" s="5">
        <v>44314</v>
      </c>
      <c r="B279">
        <v>658.6</v>
      </c>
      <c r="C279">
        <v>681</v>
      </c>
      <c r="D279">
        <v>607</v>
      </c>
      <c r="E279">
        <v>647.79</v>
      </c>
      <c r="F279">
        <v>65394.902719999998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0.10243243243243146</v>
      </c>
      <c r="Q279">
        <f t="shared" si="965"/>
        <v>6698.5589542918278</v>
      </c>
      <c r="R279">
        <f t="shared" si="966"/>
        <v>312858.47149995249</v>
      </c>
      <c r="S279">
        <f t="shared" si="967"/>
        <v>3.128584714999525</v>
      </c>
      <c r="T279">
        <f t="shared" si="968"/>
        <v>3.1285847149995251E-3</v>
      </c>
    </row>
    <row r="280" spans="1:20" x14ac:dyDescent="0.25">
      <c r="A280" s="5">
        <v>44313</v>
      </c>
      <c r="B280">
        <v>642.13</v>
      </c>
      <c r="C280">
        <v>689.24</v>
      </c>
      <c r="D280">
        <v>635.34</v>
      </c>
      <c r="E280">
        <v>658.6</v>
      </c>
      <c r="F280">
        <v>75362.888370000001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-0.13692022263450832</v>
      </c>
      <c r="Q280">
        <f t="shared" si="965"/>
        <v>-10318.703453999997</v>
      </c>
      <c r="R280">
        <f t="shared" si="966"/>
        <v>306159.91254566069</v>
      </c>
      <c r="S280">
        <f t="shared" si="967"/>
        <v>3.0615991254566071</v>
      </c>
      <c r="T280">
        <f t="shared" si="968"/>
        <v>3.0615991254566073E-3</v>
      </c>
    </row>
    <row r="281" spans="1:20" x14ac:dyDescent="0.25">
      <c r="A281" s="5">
        <v>44312</v>
      </c>
      <c r="B281">
        <v>553.95000000000005</v>
      </c>
      <c r="C281">
        <v>671.52</v>
      </c>
      <c r="D281">
        <v>550</v>
      </c>
      <c r="E281">
        <v>642.41</v>
      </c>
      <c r="F281">
        <v>97058.379270000005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0.52090190915075674</v>
      </c>
      <c r="Q281">
        <f t="shared" si="965"/>
        <v>50557.895060821233</v>
      </c>
      <c r="R281">
        <f t="shared" si="966"/>
        <v>316478.61599966069</v>
      </c>
      <c r="S281">
        <f t="shared" si="967"/>
        <v>3.164786159996607</v>
      </c>
      <c r="T281">
        <f t="shared" si="968"/>
        <v>3.1647861599966068E-3</v>
      </c>
    </row>
    <row r="282" spans="1:20" x14ac:dyDescent="0.25">
      <c r="A282" s="5">
        <v>44311</v>
      </c>
      <c r="B282">
        <v>568.9</v>
      </c>
      <c r="C282">
        <v>593.72</v>
      </c>
      <c r="D282">
        <v>522</v>
      </c>
      <c r="E282">
        <v>553.46</v>
      </c>
      <c r="F282">
        <v>73518.812040000004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-0.1226993865030668</v>
      </c>
      <c r="Q282">
        <f t="shared" si="965"/>
        <v>-9020.7131337422816</v>
      </c>
      <c r="R282">
        <f t="shared" si="966"/>
        <v>265920.72093883943</v>
      </c>
      <c r="S282">
        <f t="shared" si="967"/>
        <v>2.6592072093883941</v>
      </c>
      <c r="T282">
        <f t="shared" si="968"/>
        <v>2.659207209388394E-3</v>
      </c>
    </row>
    <row r="283" spans="1:20" x14ac:dyDescent="0.25">
      <c r="A283" s="5">
        <v>44310</v>
      </c>
      <c r="B283">
        <v>622.65</v>
      </c>
      <c r="C283">
        <v>665.69</v>
      </c>
      <c r="D283">
        <v>543.02</v>
      </c>
      <c r="E283">
        <v>568.91999999999996</v>
      </c>
      <c r="F283">
        <v>184325.31756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-0.57772886606342277</v>
      </c>
      <c r="Q283">
        <f t="shared" si="965"/>
        <v>-106490.05670071911</v>
      </c>
      <c r="R283">
        <f t="shared" si="966"/>
        <v>274941.4340725817</v>
      </c>
      <c r="S283">
        <f t="shared" si="967"/>
        <v>2.7494143407258171</v>
      </c>
      <c r="T283">
        <f t="shared" si="968"/>
        <v>2.7494143407258173E-3</v>
      </c>
    </row>
    <row r="284" spans="1:20" x14ac:dyDescent="0.25">
      <c r="A284" s="5">
        <v>44309</v>
      </c>
      <c r="B284">
        <v>528.48</v>
      </c>
      <c r="C284">
        <v>647.33000000000004</v>
      </c>
      <c r="D284">
        <v>437.97</v>
      </c>
      <c r="E284">
        <v>622.65</v>
      </c>
      <c r="F284">
        <v>254989.5264</v>
      </c>
      <c r="G284">
        <v>0</v>
      </c>
      <c r="L284" t="s">
        <v>8</v>
      </c>
      <c r="M284" t="s">
        <v>8</v>
      </c>
      <c r="N284" t="s">
        <v>7</v>
      </c>
      <c r="P284">
        <f t="shared" si="964"/>
        <v>0.76423385555980072</v>
      </c>
      <c r="Q284">
        <f t="shared" si="965"/>
        <v>194871.62888803959</v>
      </c>
      <c r="R284">
        <f t="shared" si="966"/>
        <v>381431.49077330081</v>
      </c>
      <c r="S284">
        <f t="shared" si="967"/>
        <v>3.8143149077330083</v>
      </c>
      <c r="T284">
        <f t="shared" si="968"/>
        <v>3.8143149077330082E-3</v>
      </c>
    </row>
    <row r="285" spans="1:20" x14ac:dyDescent="0.25">
      <c r="A285" s="5">
        <v>44308</v>
      </c>
      <c r="B285">
        <v>493.02</v>
      </c>
      <c r="C285">
        <v>597</v>
      </c>
      <c r="D285">
        <v>488.25</v>
      </c>
      <c r="E285">
        <v>528.49</v>
      </c>
      <c r="F285">
        <v>176385.58306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-0.25995402298850556</v>
      </c>
      <c r="Q285">
        <f t="shared" si="965"/>
        <v>-45852.141913620195</v>
      </c>
      <c r="R285">
        <f t="shared" si="966"/>
        <v>186559.86188526123</v>
      </c>
      <c r="S285">
        <f t="shared" si="967"/>
        <v>1.8655986188526124</v>
      </c>
      <c r="T285">
        <f t="shared" si="968"/>
        <v>1.8655986188526124E-3</v>
      </c>
    </row>
    <row r="286" spans="1:20" x14ac:dyDescent="0.25">
      <c r="A286" s="5">
        <v>44307</v>
      </c>
      <c r="B286">
        <v>485.04</v>
      </c>
      <c r="C286">
        <v>508.12</v>
      </c>
      <c r="D286">
        <v>444.94</v>
      </c>
      <c r="E286">
        <v>492.49</v>
      </c>
      <c r="F286">
        <v>48358.068200000002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0.50522317188983878</v>
      </c>
      <c r="Q286">
        <f t="shared" si="965"/>
        <v>24431.616602469148</v>
      </c>
      <c r="R286">
        <f t="shared" si="966"/>
        <v>232412.00379888143</v>
      </c>
      <c r="S286">
        <f t="shared" si="967"/>
        <v>2.3241200379888145</v>
      </c>
      <c r="T286">
        <f t="shared" si="968"/>
        <v>2.3241200379888146E-3</v>
      </c>
    </row>
    <row r="287" spans="1:20" x14ac:dyDescent="0.25">
      <c r="A287" s="5">
        <v>44306</v>
      </c>
      <c r="B287">
        <v>478.07</v>
      </c>
      <c r="C287">
        <v>498.88</v>
      </c>
      <c r="D287">
        <v>423.39</v>
      </c>
      <c r="E287">
        <v>484.7</v>
      </c>
      <c r="F287">
        <v>86137.584000000003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0.62432110213273273</v>
      </c>
      <c r="Q287">
        <f t="shared" si="965"/>
        <v>53777.511377930845</v>
      </c>
      <c r="R287">
        <f t="shared" si="966"/>
        <v>207980.38719641228</v>
      </c>
      <c r="S287">
        <f t="shared" si="967"/>
        <v>2.0798038719641228</v>
      </c>
      <c r="T287">
        <f t="shared" si="968"/>
        <v>2.0798038719641227E-3</v>
      </c>
    </row>
    <row r="288" spans="1:20" x14ac:dyDescent="0.25">
      <c r="A288" s="5">
        <v>44305</v>
      </c>
      <c r="B288">
        <v>487.71</v>
      </c>
      <c r="C288">
        <v>516.28</v>
      </c>
      <c r="D288">
        <v>432.45</v>
      </c>
      <c r="E288">
        <v>477.99</v>
      </c>
      <c r="F288">
        <v>76059.131529999999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8.6484552069665488E-2</v>
      </c>
      <c r="Q288">
        <f t="shared" si="965"/>
        <v>6577.9399211798209</v>
      </c>
      <c r="R288">
        <f t="shared" si="966"/>
        <v>154202.87581848144</v>
      </c>
      <c r="S288">
        <f t="shared" si="967"/>
        <v>1.5420287581848144</v>
      </c>
      <c r="T288">
        <f t="shared" si="968"/>
        <v>1.5420287581848144E-3</v>
      </c>
    </row>
    <row r="289" spans="1:20" x14ac:dyDescent="0.25">
      <c r="A289" s="5">
        <v>44304</v>
      </c>
      <c r="B289">
        <v>535.70000000000005</v>
      </c>
      <c r="C289">
        <v>539.04</v>
      </c>
      <c r="D289">
        <v>411.37</v>
      </c>
      <c r="E289">
        <v>487.73</v>
      </c>
      <c r="F289">
        <v>97235.394750000007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0.19620897626693878</v>
      </c>
      <c r="Q289">
        <f t="shared" si="965"/>
        <v>19078.457260809177</v>
      </c>
      <c r="R289">
        <f t="shared" si="966"/>
        <v>147624.93589730162</v>
      </c>
      <c r="S289">
        <f t="shared" si="967"/>
        <v>1.4762493589730161</v>
      </c>
      <c r="T289">
        <f t="shared" si="968"/>
        <v>1.476249358973016E-3</v>
      </c>
    </row>
    <row r="290" spans="1:20" x14ac:dyDescent="0.25">
      <c r="A290" s="5">
        <v>44303</v>
      </c>
      <c r="B290">
        <v>564.05999999999995</v>
      </c>
      <c r="C290">
        <v>594.42999999999995</v>
      </c>
      <c r="D290">
        <v>532.84</v>
      </c>
      <c r="E290">
        <v>535.49</v>
      </c>
      <c r="F290">
        <v>49748.504159999997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-0.91394706932943726</v>
      </c>
      <c r="Q290">
        <f t="shared" si="965"/>
        <v>-45467.499580555312</v>
      </c>
      <c r="R290">
        <f t="shared" si="966"/>
        <v>128546.47863649245</v>
      </c>
      <c r="S290">
        <f t="shared" si="967"/>
        <v>1.2854647863649244</v>
      </c>
      <c r="T290">
        <f t="shared" si="968"/>
        <v>1.2854647863649244E-3</v>
      </c>
    </row>
    <row r="291" spans="1:20" x14ac:dyDescent="0.25">
      <c r="A291" s="5">
        <v>44302</v>
      </c>
      <c r="B291">
        <v>562.05999999999995</v>
      </c>
      <c r="C291">
        <v>619</v>
      </c>
      <c r="D291">
        <v>540.59</v>
      </c>
      <c r="E291">
        <v>563.88</v>
      </c>
      <c r="F291">
        <v>137267.9013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-0.40594311950006445</v>
      </c>
      <c r="Q291">
        <f t="shared" si="965"/>
        <v>-55722.96006094895</v>
      </c>
      <c r="R291">
        <f t="shared" si="966"/>
        <v>174013.97821704776</v>
      </c>
      <c r="S291">
        <f t="shared" si="967"/>
        <v>1.7401397821704776</v>
      </c>
      <c r="T291">
        <f t="shared" si="968"/>
        <v>1.7401397821704776E-3</v>
      </c>
    </row>
    <row r="292" spans="1:20" x14ac:dyDescent="0.25">
      <c r="A292" s="5">
        <v>44301</v>
      </c>
      <c r="B292">
        <v>486.06</v>
      </c>
      <c r="C292">
        <v>593.89</v>
      </c>
      <c r="D292">
        <v>484.63</v>
      </c>
      <c r="E292">
        <v>562.05999999999995</v>
      </c>
      <c r="F292">
        <v>117015.98553999999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0.41735310269082843</v>
      </c>
      <c r="Q292">
        <f t="shared" si="965"/>
        <v>48836.984629544109</v>
      </c>
      <c r="R292">
        <f t="shared" si="966"/>
        <v>229736.9382779967</v>
      </c>
      <c r="S292">
        <f t="shared" si="967"/>
        <v>2.2973693827799671</v>
      </c>
      <c r="T292">
        <f t="shared" si="968"/>
        <v>2.2973693827799671E-3</v>
      </c>
    </row>
    <row r="293" spans="1:20" x14ac:dyDescent="0.25">
      <c r="A293" s="5">
        <v>44300</v>
      </c>
      <c r="B293">
        <v>484.39</v>
      </c>
      <c r="C293">
        <v>496.86</v>
      </c>
      <c r="D293">
        <v>450</v>
      </c>
      <c r="E293">
        <v>485.94</v>
      </c>
      <c r="F293">
        <v>52935.87055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0.53393085787451933</v>
      </c>
      <c r="Q293">
        <f t="shared" si="965"/>
        <v>28264.094775096004</v>
      </c>
      <c r="R293">
        <f t="shared" si="966"/>
        <v>180899.95364845259</v>
      </c>
      <c r="S293">
        <f t="shared" si="967"/>
        <v>1.8089995364845259</v>
      </c>
      <c r="T293">
        <f t="shared" si="968"/>
        <v>1.808999536484526E-3</v>
      </c>
    </row>
    <row r="294" spans="1:20" x14ac:dyDescent="0.25">
      <c r="A294" s="5">
        <v>44299</v>
      </c>
      <c r="B294">
        <v>463.72</v>
      </c>
      <c r="C294">
        <v>486.49</v>
      </c>
      <c r="D294">
        <v>444</v>
      </c>
      <c r="E294">
        <v>484.39</v>
      </c>
      <c r="F294">
        <v>51622.958989999999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0.901153212520592</v>
      </c>
      <c r="Q294">
        <f t="shared" si="965"/>
        <v>46520.195333657277</v>
      </c>
      <c r="R294">
        <f t="shared" si="966"/>
        <v>152635.85887335657</v>
      </c>
      <c r="S294">
        <f t="shared" si="967"/>
        <v>1.5263585887335658</v>
      </c>
      <c r="T294">
        <f t="shared" si="968"/>
        <v>1.5263585887335658E-3</v>
      </c>
    </row>
    <row r="295" spans="1:20" x14ac:dyDescent="0.25">
      <c r="A295" s="5">
        <v>44298</v>
      </c>
      <c r="B295">
        <v>458.89</v>
      </c>
      <c r="C295">
        <v>470.94</v>
      </c>
      <c r="D295">
        <v>435</v>
      </c>
      <c r="E295">
        <v>463.72</v>
      </c>
      <c r="F295">
        <v>44266.239699999998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0.59821925431274503</v>
      </c>
      <c r="Q295">
        <f t="shared" si="965"/>
        <v>26480.91690456323</v>
      </c>
      <c r="R295">
        <f t="shared" si="966"/>
        <v>106115.66353969929</v>
      </c>
      <c r="S295">
        <f t="shared" si="967"/>
        <v>1.061156635396993</v>
      </c>
      <c r="T295">
        <f t="shared" si="968"/>
        <v>1.061156635396993E-3</v>
      </c>
    </row>
    <row r="296" spans="1:20" x14ac:dyDescent="0.25">
      <c r="A296" s="5">
        <v>44297</v>
      </c>
      <c r="B296">
        <v>451.52</v>
      </c>
      <c r="C296">
        <v>461.74</v>
      </c>
      <c r="D296">
        <v>438.53</v>
      </c>
      <c r="E296">
        <v>458.84</v>
      </c>
      <c r="F296">
        <v>35846.4398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0.75010771219301775</v>
      </c>
      <c r="Q296">
        <f t="shared" si="965"/>
        <v>26888.690948642736</v>
      </c>
      <c r="R296">
        <f t="shared" si="966"/>
        <v>79634.746635136064</v>
      </c>
      <c r="S296">
        <f t="shared" si="967"/>
        <v>0.79634746635136067</v>
      </c>
      <c r="T296">
        <f t="shared" si="968"/>
        <v>7.9634746635136062E-4</v>
      </c>
    </row>
    <row r="297" spans="1:20" x14ac:dyDescent="0.25">
      <c r="A297" s="5">
        <v>44296</v>
      </c>
      <c r="B297">
        <v>454.16</v>
      </c>
      <c r="C297">
        <v>461.69</v>
      </c>
      <c r="D297">
        <v>435</v>
      </c>
      <c r="E297">
        <v>451.08</v>
      </c>
      <c r="F297">
        <v>44053.116580000002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0.20494567253652946</v>
      </c>
      <c r="Q297">
        <f t="shared" si="965"/>
        <v>9028.4956048182376</v>
      </c>
      <c r="R297">
        <f t="shared" si="966"/>
        <v>52746.055686493324</v>
      </c>
      <c r="S297">
        <f t="shared" si="967"/>
        <v>0.52746055686493321</v>
      </c>
      <c r="T297">
        <f t="shared" si="968"/>
        <v>5.2746055686493318E-4</v>
      </c>
    </row>
    <row r="298" spans="1:20" x14ac:dyDescent="0.25">
      <c r="A298" s="5">
        <v>44295</v>
      </c>
      <c r="B298">
        <v>456.11</v>
      </c>
      <c r="C298">
        <v>467.89</v>
      </c>
      <c r="D298">
        <v>447.07</v>
      </c>
      <c r="E298">
        <v>454.02</v>
      </c>
      <c r="F298">
        <v>37351.851519999997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-0.33237271853986639</v>
      </c>
      <c r="Q298">
        <f t="shared" si="965"/>
        <v>-12414.736432199839</v>
      </c>
      <c r="R298">
        <f t="shared" si="966"/>
        <v>43717.560081675088</v>
      </c>
      <c r="S298">
        <f t="shared" si="967"/>
        <v>0.43717560081675089</v>
      </c>
      <c r="T298">
        <f t="shared" si="968"/>
        <v>4.3717560081675088E-4</v>
      </c>
    </row>
    <row r="299" spans="1:20" x14ac:dyDescent="0.25">
      <c r="A299" s="5">
        <v>44294</v>
      </c>
      <c r="B299">
        <v>441.74</v>
      </c>
      <c r="C299">
        <v>477.88</v>
      </c>
      <c r="D299">
        <v>437.67</v>
      </c>
      <c r="E299">
        <v>455.79</v>
      </c>
      <c r="F299">
        <v>43399.050900000002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-9.8731658791344754E-2</v>
      </c>
      <c r="Q299">
        <f t="shared" si="965"/>
        <v>-4284.860285327004</v>
      </c>
      <c r="R299">
        <f t="shared" si="966"/>
        <v>56132.296513874928</v>
      </c>
      <c r="S299">
        <f t="shared" si="967"/>
        <v>0.56132296513874924</v>
      </c>
      <c r="T299">
        <f t="shared" si="968"/>
        <v>5.6132296513874925E-4</v>
      </c>
    </row>
    <row r="300" spans="1:20" x14ac:dyDescent="0.25">
      <c r="A300" s="5">
        <v>44293</v>
      </c>
      <c r="B300">
        <v>482.03</v>
      </c>
      <c r="C300">
        <v>495.3</v>
      </c>
      <c r="D300">
        <v>434.66</v>
      </c>
      <c r="E300">
        <v>442.13</v>
      </c>
      <c r="F300">
        <v>60402.059699999998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-0.75362796833773182</v>
      </c>
      <c r="Q300">
        <f t="shared" si="965"/>
        <v>-45520.681535125383</v>
      </c>
      <c r="R300">
        <f t="shared" si="966"/>
        <v>60417.156799201934</v>
      </c>
      <c r="S300">
        <f t="shared" si="967"/>
        <v>0.60417156799201932</v>
      </c>
      <c r="T300">
        <f t="shared" si="968"/>
        <v>6.0417156799201933E-4</v>
      </c>
    </row>
    <row r="301" spans="1:20" x14ac:dyDescent="0.25">
      <c r="A301" s="5">
        <v>44292</v>
      </c>
      <c r="B301">
        <v>512.97</v>
      </c>
      <c r="C301">
        <v>526.9</v>
      </c>
      <c r="D301">
        <v>475.74</v>
      </c>
      <c r="E301">
        <v>482.05</v>
      </c>
      <c r="F301">
        <v>39910.225429999999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-0.75332290852228279</v>
      </c>
      <c r="Q301">
        <f t="shared" si="965"/>
        <v>-30065.287100707574</v>
      </c>
      <c r="R301">
        <f t="shared" si="966"/>
        <v>105937.83833432732</v>
      </c>
      <c r="S301">
        <f t="shared" si="967"/>
        <v>1.0593783833432731</v>
      </c>
      <c r="T301">
        <f t="shared" si="968"/>
        <v>1.0593783833432731E-3</v>
      </c>
    </row>
    <row r="302" spans="1:20" x14ac:dyDescent="0.25">
      <c r="A302" s="5">
        <v>44291</v>
      </c>
      <c r="B302">
        <v>548.44000000000005</v>
      </c>
      <c r="C302">
        <v>556</v>
      </c>
      <c r="D302">
        <v>501.94</v>
      </c>
      <c r="E302">
        <v>512.94000000000005</v>
      </c>
      <c r="F302">
        <v>53129.906309999998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-0.59304476507583959</v>
      </c>
      <c r="Q302">
        <f t="shared" si="965"/>
        <v>-31508.412806115317</v>
      </c>
      <c r="R302">
        <f t="shared" si="966"/>
        <v>136003.12543503489</v>
      </c>
      <c r="S302">
        <f t="shared" si="967"/>
        <v>1.360031254350349</v>
      </c>
      <c r="T302">
        <f t="shared" si="968"/>
        <v>1.360031254350349E-3</v>
      </c>
    </row>
    <row r="303" spans="1:20" x14ac:dyDescent="0.25">
      <c r="A303" s="5">
        <v>44290</v>
      </c>
      <c r="B303">
        <v>479.11</v>
      </c>
      <c r="C303">
        <v>562.85</v>
      </c>
      <c r="D303">
        <v>469.23</v>
      </c>
      <c r="E303">
        <v>548.13</v>
      </c>
      <c r="F303">
        <v>90330.644870000004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0.68553727835932432</v>
      </c>
      <c r="Q303">
        <f t="shared" si="965"/>
        <v>61925.024436622465</v>
      </c>
      <c r="R303">
        <f t="shared" si="966"/>
        <v>167511.53824115021</v>
      </c>
      <c r="S303">
        <f t="shared" si="967"/>
        <v>1.6751153824115022</v>
      </c>
      <c r="T303">
        <f t="shared" si="968"/>
        <v>1.6751153824115022E-3</v>
      </c>
    </row>
    <row r="304" spans="1:20" x14ac:dyDescent="0.25">
      <c r="A304" s="5">
        <v>44289</v>
      </c>
      <c r="B304">
        <v>486.04</v>
      </c>
      <c r="C304">
        <v>500.5</v>
      </c>
      <c r="D304">
        <v>465</v>
      </c>
      <c r="E304">
        <v>479.48</v>
      </c>
      <c r="F304">
        <v>42349.033660000001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-0.18422535211267504</v>
      </c>
      <c r="Q304">
        <f t="shared" si="965"/>
        <v>-7801.7656376450277</v>
      </c>
      <c r="R304">
        <f t="shared" si="966"/>
        <v>105586.51380452776</v>
      </c>
      <c r="S304">
        <f t="shared" si="967"/>
        <v>1.0558651380452775</v>
      </c>
      <c r="T304">
        <f t="shared" si="968"/>
        <v>1.0558651380452775E-3</v>
      </c>
    </row>
    <row r="305" spans="1:20" x14ac:dyDescent="0.25">
      <c r="A305" s="5">
        <v>44288</v>
      </c>
      <c r="B305">
        <v>449.99</v>
      </c>
      <c r="C305">
        <v>492.31</v>
      </c>
      <c r="D305">
        <v>445.81</v>
      </c>
      <c r="E305">
        <v>486.08</v>
      </c>
      <c r="F305">
        <v>35667.890209999998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0.73204301075268741</v>
      </c>
      <c r="Q305">
        <f t="shared" si="965"/>
        <v>26110.429736524704</v>
      </c>
      <c r="R305">
        <f t="shared" si="966"/>
        <v>113388.27944217279</v>
      </c>
      <c r="S305">
        <f t="shared" si="967"/>
        <v>1.1338827944217278</v>
      </c>
      <c r="T305">
        <f t="shared" si="968"/>
        <v>1.1338827944217277E-3</v>
      </c>
    </row>
    <row r="306" spans="1:20" x14ac:dyDescent="0.25">
      <c r="A306" s="5">
        <v>44287</v>
      </c>
      <c r="B306">
        <v>399.44</v>
      </c>
      <c r="C306">
        <v>464.04</v>
      </c>
      <c r="D306">
        <v>399.44</v>
      </c>
      <c r="E306">
        <v>449.75</v>
      </c>
      <c r="F306">
        <v>89859.191730000006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0.55758513931888498</v>
      </c>
      <c r="Q306">
        <f t="shared" si="965"/>
        <v>50104.149939854447</v>
      </c>
      <c r="R306">
        <f t="shared" si="966"/>
        <v>87277.849705648085</v>
      </c>
      <c r="S306">
        <f t="shared" si="967"/>
        <v>0.87277849705648081</v>
      </c>
      <c r="T306">
        <f t="shared" si="968"/>
        <v>8.7277849705648077E-4</v>
      </c>
    </row>
    <row r="307" spans="1:20" x14ac:dyDescent="0.25">
      <c r="A307" s="5">
        <v>44286</v>
      </c>
      <c r="B307">
        <v>402.27</v>
      </c>
      <c r="C307">
        <v>404.94</v>
      </c>
      <c r="D307">
        <v>382</v>
      </c>
      <c r="E307">
        <v>399.12</v>
      </c>
      <c r="F307">
        <v>22579.12427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0.49258936355710603</v>
      </c>
      <c r="Q307">
        <f t="shared" si="965"/>
        <v>11122.236453836107</v>
      </c>
      <c r="R307">
        <f t="shared" si="966"/>
        <v>37173.699765793644</v>
      </c>
      <c r="S307">
        <f t="shared" si="967"/>
        <v>0.37173699765793644</v>
      </c>
      <c r="T307">
        <f t="shared" si="968"/>
        <v>3.7173699765793647E-4</v>
      </c>
    </row>
    <row r="308" spans="1:20" x14ac:dyDescent="0.25">
      <c r="A308" s="5">
        <v>44285</v>
      </c>
      <c r="B308">
        <v>409.92</v>
      </c>
      <c r="C308">
        <v>422</v>
      </c>
      <c r="D308">
        <v>398.5</v>
      </c>
      <c r="E308">
        <v>402.37</v>
      </c>
      <c r="F308">
        <v>30660.98417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-0.67063829787234008</v>
      </c>
      <c r="Q308">
        <f t="shared" si="965"/>
        <v>-20562.430234859563</v>
      </c>
      <c r="R308">
        <f t="shared" si="966"/>
        <v>26051.463311957541</v>
      </c>
      <c r="S308">
        <f t="shared" si="967"/>
        <v>0.2605146331195754</v>
      </c>
      <c r="T308">
        <f t="shared" si="968"/>
        <v>2.6051463311957542E-4</v>
      </c>
    </row>
    <row r="309" spans="1:20" x14ac:dyDescent="0.25">
      <c r="A309" s="5">
        <v>44284</v>
      </c>
      <c r="B309">
        <v>362.23</v>
      </c>
      <c r="C309">
        <v>410</v>
      </c>
      <c r="D309">
        <v>357.54</v>
      </c>
      <c r="E309">
        <v>409.91</v>
      </c>
      <c r="F309">
        <v>35538.459750000002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0.99656881433473221</v>
      </c>
      <c r="Q309">
        <f t="shared" si="965"/>
        <v>35416.520696340107</v>
      </c>
      <c r="R309">
        <f t="shared" si="966"/>
        <v>46613.893546817104</v>
      </c>
      <c r="S309">
        <f t="shared" si="967"/>
        <v>0.46613893546817103</v>
      </c>
      <c r="T309">
        <f t="shared" si="968"/>
        <v>4.6613893546817103E-4</v>
      </c>
    </row>
    <row r="310" spans="1:20" x14ac:dyDescent="0.25">
      <c r="A310" s="5">
        <v>44283</v>
      </c>
      <c r="B310">
        <v>363.36</v>
      </c>
      <c r="C310">
        <v>372.61</v>
      </c>
      <c r="D310">
        <v>355</v>
      </c>
      <c r="E310">
        <v>362.24</v>
      </c>
      <c r="F310">
        <v>18652.77749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-0.17773992049971568</v>
      </c>
      <c r="Q310">
        <f t="shared" si="965"/>
        <v>-3315.3431881714864</v>
      </c>
      <c r="R310">
        <f t="shared" si="966"/>
        <v>11197.372850476997</v>
      </c>
      <c r="S310">
        <f t="shared" si="967"/>
        <v>0.11197372850476997</v>
      </c>
      <c r="T310">
        <f t="shared" si="968"/>
        <v>1.1197372850476997E-4</v>
      </c>
    </row>
    <row r="311" spans="1:20" x14ac:dyDescent="0.25">
      <c r="A311" s="5">
        <v>44282</v>
      </c>
      <c r="B311">
        <v>369.21</v>
      </c>
      <c r="C311">
        <v>373.38</v>
      </c>
      <c r="D311">
        <v>350.88</v>
      </c>
      <c r="E311">
        <v>363.23</v>
      </c>
      <c r="F311">
        <v>27109.871439999999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9.7777777777779795E-2</v>
      </c>
      <c r="Q311">
        <f t="shared" si="965"/>
        <v>2650.7429852444989</v>
      </c>
      <c r="R311">
        <f t="shared" si="966"/>
        <v>14512.716038648483</v>
      </c>
      <c r="S311">
        <f t="shared" si="967"/>
        <v>0.14512716038648482</v>
      </c>
      <c r="T311">
        <f t="shared" si="968"/>
        <v>1.4512716038648482E-4</v>
      </c>
    </row>
    <row r="312" spans="1:20" x14ac:dyDescent="0.25">
      <c r="A312" s="5">
        <v>44281</v>
      </c>
      <c r="B312">
        <v>361.04</v>
      </c>
      <c r="C312">
        <v>378.41</v>
      </c>
      <c r="D312">
        <v>360.51</v>
      </c>
      <c r="E312">
        <v>369.06</v>
      </c>
      <c r="F312">
        <v>24371.057789999999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-4.4692737430168147E-2</v>
      </c>
      <c r="Q312">
        <f t="shared" si="965"/>
        <v>-1089.2092867039239</v>
      </c>
      <c r="R312">
        <f t="shared" si="966"/>
        <v>11861.973053403985</v>
      </c>
      <c r="S312">
        <f t="shared" si="967"/>
        <v>0.11861973053403985</v>
      </c>
      <c r="T312">
        <f t="shared" si="968"/>
        <v>1.1861973053403985E-4</v>
      </c>
    </row>
    <row r="313" spans="1:20" x14ac:dyDescent="0.25">
      <c r="A313" s="5">
        <v>44280</v>
      </c>
      <c r="B313">
        <v>345.05</v>
      </c>
      <c r="C313">
        <v>369.23</v>
      </c>
      <c r="D313">
        <v>330</v>
      </c>
      <c r="E313">
        <v>361.01</v>
      </c>
      <c r="F313">
        <v>36870.697760000003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0.58093295946979229</v>
      </c>
      <c r="Q313">
        <f t="shared" si="965"/>
        <v>21419.403567433044</v>
      </c>
      <c r="R313">
        <f t="shared" si="966"/>
        <v>12951.182340107909</v>
      </c>
      <c r="S313">
        <f t="shared" si="967"/>
        <v>0.12951182340107908</v>
      </c>
      <c r="T313">
        <f t="shared" si="968"/>
        <v>1.2951182340107908E-4</v>
      </c>
    </row>
    <row r="314" spans="1:20" x14ac:dyDescent="0.25">
      <c r="A314" s="5">
        <v>44279</v>
      </c>
      <c r="B314">
        <v>359.27</v>
      </c>
      <c r="C314">
        <v>387.2</v>
      </c>
      <c r="D314">
        <v>333.45</v>
      </c>
      <c r="E314">
        <v>345.35</v>
      </c>
      <c r="F314">
        <v>31702.84159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-0.55720930232558008</v>
      </c>
      <c r="Q314">
        <f t="shared" si="965"/>
        <v>-17665.118244102283</v>
      </c>
      <c r="R314">
        <f t="shared" si="966"/>
        <v>-8468.2212273251353</v>
      </c>
      <c r="S314">
        <f t="shared" si="967"/>
        <v>-8.4682212273251359E-2</v>
      </c>
      <c r="T314">
        <f t="shared" si="968"/>
        <v>-8.4682212273251358E-5</v>
      </c>
    </row>
    <row r="315" spans="1:20" x14ac:dyDescent="0.25">
      <c r="A315" s="5">
        <v>44278</v>
      </c>
      <c r="B315">
        <v>378.67</v>
      </c>
      <c r="C315">
        <v>394.64</v>
      </c>
      <c r="D315">
        <v>359.27</v>
      </c>
      <c r="E315">
        <v>359.3</v>
      </c>
      <c r="F315">
        <v>37117.335039999998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-0.99830364715860731</v>
      </c>
      <c r="Q315">
        <f t="shared" si="965"/>
        <v>-37054.37094323997</v>
      </c>
      <c r="R315">
        <f t="shared" si="966"/>
        <v>9196.8970167771477</v>
      </c>
      <c r="S315">
        <f t="shared" si="967"/>
        <v>9.1968970167771474E-2</v>
      </c>
      <c r="T315">
        <f t="shared" si="968"/>
        <v>9.1968970167771475E-5</v>
      </c>
    </row>
    <row r="316" spans="1:20" x14ac:dyDescent="0.25">
      <c r="A316" s="5">
        <v>44277</v>
      </c>
      <c r="B316">
        <v>403.43</v>
      </c>
      <c r="C316">
        <v>424.24</v>
      </c>
      <c r="D316">
        <v>372.4</v>
      </c>
      <c r="E316">
        <v>378.69</v>
      </c>
      <c r="F316">
        <v>57108.710189999998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-0.75733024691357964</v>
      </c>
      <c r="Q316">
        <f t="shared" si="965"/>
        <v>-43250.153589108762</v>
      </c>
      <c r="R316">
        <f t="shared" si="966"/>
        <v>46251.267960017118</v>
      </c>
      <c r="S316">
        <f t="shared" si="967"/>
        <v>0.46251267960017117</v>
      </c>
      <c r="T316">
        <f t="shared" si="968"/>
        <v>4.6251267960017116E-4</v>
      </c>
    </row>
    <row r="317" spans="1:20" x14ac:dyDescent="0.25">
      <c r="A317" s="5">
        <v>44276</v>
      </c>
      <c r="B317">
        <v>411.83</v>
      </c>
      <c r="C317">
        <v>428.47</v>
      </c>
      <c r="D317">
        <v>400</v>
      </c>
      <c r="E317">
        <v>403.3</v>
      </c>
      <c r="F317">
        <v>35786.264730000003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-0.76817702845100044</v>
      </c>
      <c r="Q317">
        <f t="shared" si="965"/>
        <v>-27490.186499652245</v>
      </c>
      <c r="R317">
        <f t="shared" si="966"/>
        <v>89501.42154912588</v>
      </c>
      <c r="S317">
        <f t="shared" si="967"/>
        <v>0.89501421549125881</v>
      </c>
      <c r="T317">
        <f t="shared" si="968"/>
        <v>8.9501421549125881E-4</v>
      </c>
    </row>
    <row r="318" spans="1:20" x14ac:dyDescent="0.25">
      <c r="A318" s="5">
        <v>44275</v>
      </c>
      <c r="B318">
        <v>443.45</v>
      </c>
      <c r="C318">
        <v>447.18</v>
      </c>
      <c r="D318">
        <v>405.57</v>
      </c>
      <c r="E318">
        <v>412.09</v>
      </c>
      <c r="F318">
        <v>29022.82058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-0.68661379476087581</v>
      </c>
      <c r="Q318">
        <f t="shared" si="965"/>
        <v>-19927.468973097843</v>
      </c>
      <c r="R318">
        <f t="shared" si="966"/>
        <v>116991.60804877813</v>
      </c>
      <c r="S318">
        <f t="shared" si="967"/>
        <v>1.1699160804877813</v>
      </c>
      <c r="T318">
        <f t="shared" si="968"/>
        <v>1.1699160804877814E-3</v>
      </c>
    </row>
    <row r="319" spans="1:20" x14ac:dyDescent="0.25">
      <c r="A319" s="5">
        <v>44274</v>
      </c>
      <c r="B319">
        <v>429.31</v>
      </c>
      <c r="C319">
        <v>446.22</v>
      </c>
      <c r="D319">
        <v>420.56</v>
      </c>
      <c r="E319">
        <v>443.23</v>
      </c>
      <c r="F319">
        <v>17058.033670000001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0.76695245518316402</v>
      </c>
      <c r="Q319">
        <f t="shared" si="965"/>
        <v>13082.700803803578</v>
      </c>
      <c r="R319">
        <f t="shared" si="966"/>
        <v>136919.07702187597</v>
      </c>
      <c r="S319">
        <f t="shared" si="967"/>
        <v>1.3691907702187598</v>
      </c>
      <c r="T319">
        <f t="shared" si="968"/>
        <v>1.3691907702187598E-3</v>
      </c>
    </row>
    <row r="320" spans="1:20" x14ac:dyDescent="0.25">
      <c r="A320" s="5">
        <v>44273</v>
      </c>
      <c r="B320">
        <v>435.99</v>
      </c>
      <c r="C320">
        <v>451.79</v>
      </c>
      <c r="D320">
        <v>429</v>
      </c>
      <c r="E320">
        <v>429.26</v>
      </c>
      <c r="F320">
        <v>17793.552339999998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-0.97718297498903106</v>
      </c>
      <c r="Q320">
        <f t="shared" si="965"/>
        <v>-17387.556411224232</v>
      </c>
      <c r="R320">
        <f t="shared" si="966"/>
        <v>123836.37621807239</v>
      </c>
      <c r="S320">
        <f t="shared" si="967"/>
        <v>1.238363762180724</v>
      </c>
      <c r="T320">
        <f t="shared" si="968"/>
        <v>1.2383637621807241E-3</v>
      </c>
    </row>
    <row r="321" spans="1:20" x14ac:dyDescent="0.25">
      <c r="A321" s="5">
        <v>44272</v>
      </c>
      <c r="B321">
        <v>432.24</v>
      </c>
      <c r="C321">
        <v>440.06</v>
      </c>
      <c r="D321">
        <v>419.09</v>
      </c>
      <c r="E321">
        <v>435.99</v>
      </c>
      <c r="F321">
        <v>20484.028579999998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0.61182641869337262</v>
      </c>
      <c r="Q321">
        <f t="shared" si="965"/>
        <v>12532.669846514091</v>
      </c>
      <c r="R321">
        <f t="shared" si="966"/>
        <v>141223.93262929661</v>
      </c>
      <c r="S321">
        <f t="shared" si="967"/>
        <v>1.4122393262929662</v>
      </c>
      <c r="T321">
        <f t="shared" si="968"/>
        <v>1.4122393262929662E-3</v>
      </c>
    </row>
    <row r="322" spans="1:20" x14ac:dyDescent="0.25">
      <c r="A322" s="5">
        <v>44271</v>
      </c>
      <c r="B322">
        <v>431.99</v>
      </c>
      <c r="C322">
        <v>442.57</v>
      </c>
      <c r="D322">
        <v>416.35</v>
      </c>
      <c r="E322">
        <v>431.79</v>
      </c>
      <c r="F322">
        <v>16901.290730000001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0.17772692601068002</v>
      </c>
      <c r="Q322">
        <f t="shared" si="965"/>
        <v>3003.8144470557022</v>
      </c>
      <c r="R322">
        <f t="shared" si="966"/>
        <v>128691.26278278252</v>
      </c>
      <c r="S322">
        <f t="shared" si="967"/>
        <v>1.2869126278278251</v>
      </c>
      <c r="T322">
        <f t="shared" si="968"/>
        <v>1.2869126278278252E-3</v>
      </c>
    </row>
    <row r="323" spans="1:20" x14ac:dyDescent="0.25">
      <c r="A323" s="5">
        <v>44270</v>
      </c>
      <c r="B323">
        <v>437.89</v>
      </c>
      <c r="C323">
        <v>451.82</v>
      </c>
      <c r="D323">
        <v>419.78</v>
      </c>
      <c r="E323">
        <v>431.41</v>
      </c>
      <c r="F323">
        <v>21668.715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-0.27403245942571502</v>
      </c>
      <c r="Q323">
        <f t="shared" si="965"/>
        <v>-5937.9312640448825</v>
      </c>
      <c r="R323">
        <f t="shared" si="966"/>
        <v>125687.44833572682</v>
      </c>
      <c r="S323">
        <f t="shared" si="967"/>
        <v>1.2568744833572683</v>
      </c>
      <c r="T323">
        <f t="shared" si="968"/>
        <v>1.2568744833572683E-3</v>
      </c>
    </row>
    <row r="324" spans="1:20" x14ac:dyDescent="0.25">
      <c r="A324" s="5">
        <v>44269</v>
      </c>
      <c r="B324">
        <v>465.7</v>
      </c>
      <c r="C324">
        <v>470.64</v>
      </c>
      <c r="D324">
        <v>435.5</v>
      </c>
      <c r="E324">
        <v>438.13</v>
      </c>
      <c r="F324">
        <v>17821.35254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-0.85031303357996602</v>
      </c>
      <c r="Q324">
        <f t="shared" si="965"/>
        <v>-15153.728340785432</v>
      </c>
      <c r="R324">
        <f t="shared" si="966"/>
        <v>131625.3795997717</v>
      </c>
      <c r="S324">
        <f t="shared" si="967"/>
        <v>1.316253795997717</v>
      </c>
      <c r="T324">
        <f t="shared" si="968"/>
        <v>1.316253795997717E-3</v>
      </c>
    </row>
    <row r="325" spans="1:20" x14ac:dyDescent="0.25">
      <c r="A325" s="5">
        <v>44268</v>
      </c>
      <c r="B325">
        <v>434.28</v>
      </c>
      <c r="C325">
        <v>469.47</v>
      </c>
      <c r="D325">
        <v>413.15</v>
      </c>
      <c r="E325">
        <v>465.63</v>
      </c>
      <c r="F325">
        <v>34919.086969999997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0.86363636363636265</v>
      </c>
      <c r="Q325">
        <f t="shared" si="965"/>
        <v>30157.393292272689</v>
      </c>
      <c r="R325">
        <f t="shared" si="966"/>
        <v>146779.10794055712</v>
      </c>
      <c r="S325">
        <f t="shared" si="967"/>
        <v>1.4677910794055713</v>
      </c>
      <c r="T325">
        <f t="shared" si="968"/>
        <v>1.4677910794055713E-3</v>
      </c>
    </row>
    <row r="326" spans="1:20" x14ac:dyDescent="0.25">
      <c r="A326" s="5">
        <v>44267</v>
      </c>
      <c r="B326">
        <v>466.06</v>
      </c>
      <c r="C326">
        <v>468.19</v>
      </c>
      <c r="D326">
        <v>426</v>
      </c>
      <c r="E326">
        <v>434.2</v>
      </c>
      <c r="F326">
        <v>27660.277330000001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-0.61128229438255566</v>
      </c>
      <c r="Q326">
        <f t="shared" ref="Q326:Q389" si="970">F326*P326</f>
        <v>-16908.237789540191</v>
      </c>
      <c r="R326">
        <f t="shared" ref="R326:R389" si="971">R327+Q326</f>
        <v>116621.71464828444</v>
      </c>
      <c r="S326">
        <f t="shared" ref="S326:S389" si="972">R326/100000</f>
        <v>1.1662171464828444</v>
      </c>
      <c r="T326">
        <f t="shared" ref="T326:T389" si="973">S326/1000</f>
        <v>1.1662171464828443E-3</v>
      </c>
    </row>
    <row r="327" spans="1:20" x14ac:dyDescent="0.25">
      <c r="A327" s="5">
        <v>44266</v>
      </c>
      <c r="B327">
        <v>461.05</v>
      </c>
      <c r="C327">
        <v>477.71</v>
      </c>
      <c r="D327">
        <v>450</v>
      </c>
      <c r="E327">
        <v>465.84</v>
      </c>
      <c r="F327">
        <v>28099.92597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0.14326957776975724</v>
      </c>
      <c r="Q327">
        <f t="shared" si="970"/>
        <v>4025.864529083336</v>
      </c>
      <c r="R327">
        <f t="shared" si="971"/>
        <v>133529.95243782463</v>
      </c>
      <c r="S327">
        <f t="shared" si="972"/>
        <v>1.3352995243782462</v>
      </c>
      <c r="T327">
        <f t="shared" si="973"/>
        <v>1.3352995243782462E-3</v>
      </c>
    </row>
    <row r="328" spans="1:20" x14ac:dyDescent="0.25">
      <c r="A328" s="5">
        <v>44265</v>
      </c>
      <c r="B328">
        <v>501.4</v>
      </c>
      <c r="C328">
        <v>505.52</v>
      </c>
      <c r="D328">
        <v>450</v>
      </c>
      <c r="E328">
        <v>460.43</v>
      </c>
      <c r="F328">
        <v>31652.86795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-0.62427953890489873</v>
      </c>
      <c r="Q328">
        <f t="shared" si="970"/>
        <v>-19760.237808843645</v>
      </c>
      <c r="R328">
        <f t="shared" si="971"/>
        <v>129504.08790874129</v>
      </c>
      <c r="S328">
        <f t="shared" si="972"/>
        <v>1.2950408790874128</v>
      </c>
      <c r="T328">
        <f t="shared" si="973"/>
        <v>1.2950408790874128E-3</v>
      </c>
    </row>
    <row r="329" spans="1:20" x14ac:dyDescent="0.25">
      <c r="A329" s="5">
        <v>44264</v>
      </c>
      <c r="B329">
        <v>477.28</v>
      </c>
      <c r="C329">
        <v>503.91</v>
      </c>
      <c r="D329">
        <v>470.29</v>
      </c>
      <c r="E329">
        <v>502.28</v>
      </c>
      <c r="F329">
        <v>29985.10008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0.90303390838786124</v>
      </c>
      <c r="Q329">
        <f t="shared" si="970"/>
        <v>27077.562118643571</v>
      </c>
      <c r="R329">
        <f t="shared" si="971"/>
        <v>149264.32571758493</v>
      </c>
      <c r="S329">
        <f t="shared" si="972"/>
        <v>1.4926432571758492</v>
      </c>
      <c r="T329">
        <f t="shared" si="973"/>
        <v>1.4926432571758493E-3</v>
      </c>
    </row>
    <row r="330" spans="1:20" x14ac:dyDescent="0.25">
      <c r="A330" s="5">
        <v>44263</v>
      </c>
      <c r="B330">
        <v>490.77</v>
      </c>
      <c r="C330">
        <v>491.52</v>
      </c>
      <c r="D330">
        <v>462</v>
      </c>
      <c r="E330">
        <v>476.46</v>
      </c>
      <c r="F330">
        <v>23112.438989999999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-2.0325203252033304E-2</v>
      </c>
      <c r="Q330">
        <f t="shared" si="970"/>
        <v>-469.76502012196931</v>
      </c>
      <c r="R330">
        <f t="shared" si="971"/>
        <v>122186.76359894135</v>
      </c>
      <c r="S330">
        <f t="shared" si="972"/>
        <v>1.2218676359894136</v>
      </c>
      <c r="T330">
        <f t="shared" si="973"/>
        <v>1.2218676359894137E-3</v>
      </c>
    </row>
    <row r="331" spans="1:20" x14ac:dyDescent="0.25">
      <c r="A331" s="5">
        <v>44262</v>
      </c>
      <c r="B331">
        <v>492.24</v>
      </c>
      <c r="C331">
        <v>495.3</v>
      </c>
      <c r="D331">
        <v>469.4</v>
      </c>
      <c r="E331">
        <v>490.35</v>
      </c>
      <c r="F331">
        <v>17317.85425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0.61776061776061919</v>
      </c>
      <c r="Q331">
        <f t="shared" si="970"/>
        <v>10698.288339768365</v>
      </c>
      <c r="R331">
        <f t="shared" si="971"/>
        <v>122656.52861906332</v>
      </c>
      <c r="S331">
        <f t="shared" si="972"/>
        <v>1.2265652861906331</v>
      </c>
      <c r="T331">
        <f t="shared" si="973"/>
        <v>1.226565286190633E-3</v>
      </c>
    </row>
    <row r="332" spans="1:20" x14ac:dyDescent="0.25">
      <c r="A332" s="5">
        <v>44261</v>
      </c>
      <c r="B332">
        <v>475.07</v>
      </c>
      <c r="C332">
        <v>513.94000000000005</v>
      </c>
      <c r="D332">
        <v>468.08</v>
      </c>
      <c r="E332">
        <v>491.37</v>
      </c>
      <c r="F332">
        <v>33534.113790000003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1.569995638900936E-2</v>
      </c>
      <c r="Q332">
        <f t="shared" si="970"/>
        <v>526.48412404707744</v>
      </c>
      <c r="R332">
        <f t="shared" si="971"/>
        <v>111958.24027929496</v>
      </c>
      <c r="S332">
        <f t="shared" si="972"/>
        <v>1.1195824027929495</v>
      </c>
      <c r="T332">
        <f t="shared" si="973"/>
        <v>1.1195824027929494E-3</v>
      </c>
    </row>
    <row r="333" spans="1:20" x14ac:dyDescent="0.25">
      <c r="A333" s="5">
        <v>44260</v>
      </c>
      <c r="B333">
        <v>470.34</v>
      </c>
      <c r="C333">
        <v>484.54</v>
      </c>
      <c r="D333">
        <v>444.51</v>
      </c>
      <c r="E333">
        <v>475.41</v>
      </c>
      <c r="F333">
        <v>24231.965110000001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0.54384211841119212</v>
      </c>
      <c r="Q333">
        <f t="shared" si="970"/>
        <v>13178.363238688496</v>
      </c>
      <c r="R333">
        <f t="shared" si="971"/>
        <v>111431.75615524789</v>
      </c>
      <c r="S333">
        <f t="shared" si="972"/>
        <v>1.114317561552479</v>
      </c>
      <c r="T333">
        <f t="shared" si="973"/>
        <v>1.1143175615524789E-3</v>
      </c>
    </row>
    <row r="334" spans="1:20" x14ac:dyDescent="0.25">
      <c r="A334" s="5">
        <v>44259</v>
      </c>
      <c r="B334">
        <v>491.98</v>
      </c>
      <c r="C334">
        <v>503.93</v>
      </c>
      <c r="D334">
        <v>455.87</v>
      </c>
      <c r="E334">
        <v>470.34</v>
      </c>
      <c r="F334">
        <v>23933.941409999999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-0.39783603828547776</v>
      </c>
      <c r="Q334">
        <f t="shared" si="970"/>
        <v>-9521.7844311111421</v>
      </c>
      <c r="R334">
        <f t="shared" si="971"/>
        <v>98253.392916559387</v>
      </c>
      <c r="S334">
        <f t="shared" si="972"/>
        <v>0.9825339291655939</v>
      </c>
      <c r="T334">
        <f t="shared" si="973"/>
        <v>9.8253392916559392E-4</v>
      </c>
    </row>
    <row r="335" spans="1:20" x14ac:dyDescent="0.25">
      <c r="A335" s="5">
        <v>44258</v>
      </c>
      <c r="B335">
        <v>499.92</v>
      </c>
      <c r="C335">
        <v>518.69000000000005</v>
      </c>
      <c r="D335">
        <v>490</v>
      </c>
      <c r="E335">
        <v>491.15</v>
      </c>
      <c r="F335">
        <v>27572.27275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-0.91983269431857961</v>
      </c>
      <c r="Q335">
        <f t="shared" si="970"/>
        <v>-25361.877932119252</v>
      </c>
      <c r="R335">
        <f t="shared" si="971"/>
        <v>107775.17734767053</v>
      </c>
      <c r="S335">
        <f t="shared" si="972"/>
        <v>1.0777517734767053</v>
      </c>
      <c r="T335">
        <f t="shared" si="973"/>
        <v>1.0777517734767053E-3</v>
      </c>
    </row>
    <row r="336" spans="1:20" x14ac:dyDescent="0.25">
      <c r="A336" s="5">
        <v>44257</v>
      </c>
      <c r="B336">
        <v>493.78</v>
      </c>
      <c r="C336">
        <v>536.20000000000005</v>
      </c>
      <c r="D336">
        <v>478.12</v>
      </c>
      <c r="E336">
        <v>499.42</v>
      </c>
      <c r="F336">
        <v>91522.590949999998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-0.26652892561983482</v>
      </c>
      <c r="Q336">
        <f t="shared" si="970"/>
        <v>-24393.417835847118</v>
      </c>
      <c r="R336">
        <f t="shared" si="971"/>
        <v>133137.05527978978</v>
      </c>
      <c r="S336">
        <f t="shared" si="972"/>
        <v>1.3313705527978978</v>
      </c>
      <c r="T336">
        <f t="shared" si="973"/>
        <v>1.3313705527978979E-3</v>
      </c>
    </row>
    <row r="337" spans="1:20" x14ac:dyDescent="0.25">
      <c r="A337" s="5">
        <v>44256</v>
      </c>
      <c r="B337">
        <v>404.86</v>
      </c>
      <c r="C337">
        <v>499</v>
      </c>
      <c r="D337">
        <v>404.83</v>
      </c>
      <c r="E337">
        <v>493.56</v>
      </c>
      <c r="F337">
        <v>80162.82114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0.88446426675161949</v>
      </c>
      <c r="Q337">
        <f t="shared" si="970"/>
        <v>70901.150820331328</v>
      </c>
      <c r="R337">
        <f t="shared" si="971"/>
        <v>157530.47311563691</v>
      </c>
      <c r="S337">
        <f t="shared" si="972"/>
        <v>1.575304731156369</v>
      </c>
      <c r="T337">
        <f t="shared" si="973"/>
        <v>1.575304731156369E-3</v>
      </c>
    </row>
    <row r="338" spans="1:20" x14ac:dyDescent="0.25">
      <c r="A338" s="5">
        <v>44255</v>
      </c>
      <c r="B338">
        <v>399.62</v>
      </c>
      <c r="C338">
        <v>409.87</v>
      </c>
      <c r="D338">
        <v>348.91</v>
      </c>
      <c r="E338">
        <v>405.12</v>
      </c>
      <c r="F338">
        <v>59932.880879999997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0.84416010498687655</v>
      </c>
      <c r="Q338">
        <f t="shared" si="970"/>
        <v>50592.947015826765</v>
      </c>
      <c r="R338">
        <f t="shared" si="971"/>
        <v>86629.322295305581</v>
      </c>
      <c r="S338">
        <f t="shared" si="972"/>
        <v>0.86629322295305577</v>
      </c>
      <c r="T338">
        <f t="shared" si="973"/>
        <v>8.6629322295305572E-4</v>
      </c>
    </row>
    <row r="339" spans="1:20" x14ac:dyDescent="0.25">
      <c r="A339" s="5">
        <v>44254</v>
      </c>
      <c r="B339">
        <v>397.83</v>
      </c>
      <c r="C339">
        <v>432.66</v>
      </c>
      <c r="D339">
        <v>389.23</v>
      </c>
      <c r="E339">
        <v>399.49</v>
      </c>
      <c r="F339">
        <v>39502.42454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-0.52751554225190012</v>
      </c>
      <c r="Q339">
        <f t="shared" si="970"/>
        <v>-20838.142901482865</v>
      </c>
      <c r="R339">
        <f t="shared" si="971"/>
        <v>36036.375279478816</v>
      </c>
      <c r="S339">
        <f t="shared" si="972"/>
        <v>0.36036375279478816</v>
      </c>
      <c r="T339">
        <f t="shared" si="973"/>
        <v>3.6036375279478814E-4</v>
      </c>
    </row>
    <row r="340" spans="1:20" x14ac:dyDescent="0.25">
      <c r="A340" s="5">
        <v>44253</v>
      </c>
      <c r="B340">
        <v>397.33</v>
      </c>
      <c r="C340">
        <v>422.76</v>
      </c>
      <c r="D340">
        <v>361.72</v>
      </c>
      <c r="E340">
        <v>398.09</v>
      </c>
      <c r="F340">
        <v>115247.58319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0.19167758846657829</v>
      </c>
      <c r="Q340">
        <f t="shared" si="970"/>
        <v>22090.378822460567</v>
      </c>
      <c r="R340">
        <f t="shared" si="971"/>
        <v>56874.518180961684</v>
      </c>
      <c r="S340">
        <f t="shared" si="972"/>
        <v>0.56874518180961686</v>
      </c>
      <c r="T340">
        <f t="shared" si="973"/>
        <v>5.687451818096169E-4</v>
      </c>
    </row>
    <row r="341" spans="1:20" x14ac:dyDescent="0.25">
      <c r="A341" s="5">
        <v>44252</v>
      </c>
      <c r="B341">
        <v>437.65</v>
      </c>
      <c r="C341">
        <v>459</v>
      </c>
      <c r="D341">
        <v>392</v>
      </c>
      <c r="E341">
        <v>396.48</v>
      </c>
      <c r="F341">
        <v>48027.078739999997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-0.8662686567164174</v>
      </c>
      <c r="Q341">
        <f t="shared" si="970"/>
        <v>-41604.352986113408</v>
      </c>
      <c r="R341">
        <f t="shared" si="971"/>
        <v>34784.139358501117</v>
      </c>
      <c r="S341">
        <f t="shared" si="972"/>
        <v>0.34784139358501115</v>
      </c>
      <c r="T341">
        <f t="shared" si="973"/>
        <v>3.4784139358501115E-4</v>
      </c>
    </row>
    <row r="342" spans="1:20" x14ac:dyDescent="0.25">
      <c r="A342" s="5">
        <v>44251</v>
      </c>
      <c r="B342">
        <v>383.47</v>
      </c>
      <c r="C342">
        <v>461.06</v>
      </c>
      <c r="D342">
        <v>368.29</v>
      </c>
      <c r="E342">
        <v>437.24</v>
      </c>
      <c r="F342">
        <v>71510.514209999994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0.48647191980166005</v>
      </c>
      <c r="Q342">
        <f t="shared" si="970"/>
        <v>34787.857133742589</v>
      </c>
      <c r="R342">
        <f t="shared" si="971"/>
        <v>76388.492344614526</v>
      </c>
      <c r="S342">
        <f t="shared" si="972"/>
        <v>0.76388492344614523</v>
      </c>
      <c r="T342">
        <f t="shared" si="973"/>
        <v>7.6388492344614523E-4</v>
      </c>
    </row>
    <row r="343" spans="1:20" x14ac:dyDescent="0.25">
      <c r="A343" s="5">
        <v>44250</v>
      </c>
      <c r="B343">
        <v>424.01</v>
      </c>
      <c r="C343">
        <v>431.66</v>
      </c>
      <c r="D343">
        <v>322.14999999999998</v>
      </c>
      <c r="E343">
        <v>383.79</v>
      </c>
      <c r="F343">
        <v>92848.608479999995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0.12574194137521719</v>
      </c>
      <c r="Q343">
        <f t="shared" si="970"/>
        <v>11674.964284262653</v>
      </c>
      <c r="R343">
        <f t="shared" si="971"/>
        <v>41600.635210871937</v>
      </c>
      <c r="S343">
        <f t="shared" si="972"/>
        <v>0.41600635210871939</v>
      </c>
      <c r="T343">
        <f t="shared" si="973"/>
        <v>4.1600635210871937E-4</v>
      </c>
    </row>
    <row r="344" spans="1:20" x14ac:dyDescent="0.25">
      <c r="A344" s="5">
        <v>44249</v>
      </c>
      <c r="B344">
        <v>453.51</v>
      </c>
      <c r="C344">
        <v>470.7</v>
      </c>
      <c r="D344">
        <v>367.8</v>
      </c>
      <c r="E344">
        <v>423.19</v>
      </c>
      <c r="F344">
        <v>88778.933789999995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7.6579203109815322E-2</v>
      </c>
      <c r="Q344">
        <f t="shared" si="970"/>
        <v>6798.6200025772559</v>
      </c>
      <c r="R344">
        <f t="shared" si="971"/>
        <v>29925.670926609284</v>
      </c>
      <c r="S344">
        <f t="shared" si="972"/>
        <v>0.29925670926609282</v>
      </c>
      <c r="T344">
        <f t="shared" si="973"/>
        <v>2.9925670926609282E-4</v>
      </c>
    </row>
    <row r="345" spans="1:20" x14ac:dyDescent="0.25">
      <c r="A345" s="5">
        <v>44248</v>
      </c>
      <c r="B345">
        <v>452.84</v>
      </c>
      <c r="C345">
        <v>469.77</v>
      </c>
      <c r="D345">
        <v>442.32</v>
      </c>
      <c r="E345">
        <v>453.06</v>
      </c>
      <c r="F345">
        <v>29148.892090000001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-0.21748633879781323</v>
      </c>
      <c r="Q345">
        <f t="shared" si="970"/>
        <v>-6339.4858206666386</v>
      </c>
      <c r="R345">
        <f t="shared" si="971"/>
        <v>23127.050924032028</v>
      </c>
      <c r="S345">
        <f t="shared" si="972"/>
        <v>0.23127050924032028</v>
      </c>
      <c r="T345">
        <f t="shared" si="973"/>
        <v>2.3127050924032027E-4</v>
      </c>
    </row>
    <row r="346" spans="1:20" x14ac:dyDescent="0.25">
      <c r="A346" s="5">
        <v>44247</v>
      </c>
      <c r="B346">
        <v>451.15</v>
      </c>
      <c r="C346">
        <v>506.26</v>
      </c>
      <c r="D346">
        <v>427.22</v>
      </c>
      <c r="E346">
        <v>452.82</v>
      </c>
      <c r="F346">
        <v>82081.307480000003</v>
      </c>
      <c r="G346">
        <v>0</v>
      </c>
      <c r="L346" t="s">
        <v>7</v>
      </c>
      <c r="M346" t="s">
        <v>8</v>
      </c>
      <c r="N346" t="s">
        <v>7</v>
      </c>
      <c r="P346">
        <f t="shared" si="969"/>
        <v>-0.35222672064777383</v>
      </c>
      <c r="Q346">
        <f t="shared" si="970"/>
        <v>-28911.22976016199</v>
      </c>
      <c r="R346">
        <f t="shared" si="971"/>
        <v>29466.536744698667</v>
      </c>
      <c r="S346">
        <f t="shared" si="972"/>
        <v>0.29466536744698668</v>
      </c>
      <c r="T346">
        <f t="shared" si="973"/>
        <v>2.9466536744698668E-4</v>
      </c>
    </row>
    <row r="347" spans="1:20" x14ac:dyDescent="0.25">
      <c r="A347" s="5">
        <v>44246</v>
      </c>
      <c r="B347">
        <v>456.69</v>
      </c>
      <c r="C347">
        <v>482</v>
      </c>
      <c r="D347">
        <v>435.59</v>
      </c>
      <c r="E347">
        <v>451.15</v>
      </c>
      <c r="F347">
        <v>42449.189319999998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-0.32945485886662385</v>
      </c>
      <c r="Q347">
        <f t="shared" si="970"/>
        <v>-13985.091676423195</v>
      </c>
      <c r="R347">
        <f t="shared" si="971"/>
        <v>58377.766504860658</v>
      </c>
      <c r="S347">
        <f t="shared" si="972"/>
        <v>0.58377766504860662</v>
      </c>
      <c r="T347">
        <f t="shared" si="973"/>
        <v>5.8377766504860663E-4</v>
      </c>
    </row>
    <row r="348" spans="1:20" x14ac:dyDescent="0.25">
      <c r="A348" s="5">
        <v>44245</v>
      </c>
      <c r="B348">
        <v>473.91</v>
      </c>
      <c r="C348">
        <v>480.97</v>
      </c>
      <c r="D348">
        <v>450.68</v>
      </c>
      <c r="E348">
        <v>456.63</v>
      </c>
      <c r="F348">
        <v>28229.139749999998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-0.6071310663585352</v>
      </c>
      <c r="Q348">
        <f t="shared" si="970"/>
        <v>-17138.787718801614</v>
      </c>
      <c r="R348">
        <f t="shared" si="971"/>
        <v>72362.858181283853</v>
      </c>
      <c r="S348">
        <f t="shared" si="972"/>
        <v>0.72362858181283851</v>
      </c>
      <c r="T348">
        <f t="shared" si="973"/>
        <v>7.236285818128385E-4</v>
      </c>
    </row>
    <row r="349" spans="1:20" x14ac:dyDescent="0.25">
      <c r="A349" s="5">
        <v>44244</v>
      </c>
      <c r="B349">
        <v>457.49</v>
      </c>
      <c r="C349">
        <v>475</v>
      </c>
      <c r="D349">
        <v>412.6</v>
      </c>
      <c r="E349">
        <v>474.18</v>
      </c>
      <c r="F349">
        <v>59320.721299999997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0.97371794871794892</v>
      </c>
      <c r="Q349">
        <f t="shared" si="970"/>
        <v>57761.651060705139</v>
      </c>
      <c r="R349">
        <f t="shared" si="971"/>
        <v>89501.645900085467</v>
      </c>
      <c r="S349">
        <f t="shared" si="972"/>
        <v>0.89501645900085469</v>
      </c>
      <c r="T349">
        <f t="shared" si="973"/>
        <v>8.9501645900085468E-4</v>
      </c>
    </row>
    <row r="350" spans="1:20" x14ac:dyDescent="0.25">
      <c r="A350" s="5">
        <v>44243</v>
      </c>
      <c r="B350">
        <v>460.47</v>
      </c>
      <c r="C350">
        <v>506</v>
      </c>
      <c r="D350">
        <v>435.5</v>
      </c>
      <c r="E350">
        <v>457.31</v>
      </c>
      <c r="F350">
        <v>45272.267449999999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-0.38127659574468081</v>
      </c>
      <c r="Q350">
        <f t="shared" si="970"/>
        <v>-17261.25601497872</v>
      </c>
      <c r="R350">
        <f t="shared" si="971"/>
        <v>31739.994839380324</v>
      </c>
      <c r="S350">
        <f t="shared" si="972"/>
        <v>0.31739994839380326</v>
      </c>
      <c r="T350">
        <f t="shared" si="973"/>
        <v>3.1739994839380327E-4</v>
      </c>
    </row>
    <row r="351" spans="1:20" x14ac:dyDescent="0.25">
      <c r="A351" s="5">
        <v>44242</v>
      </c>
      <c r="B351">
        <v>471.31</v>
      </c>
      <c r="C351">
        <v>508.39</v>
      </c>
      <c r="D351">
        <v>399.79</v>
      </c>
      <c r="E351">
        <v>460.75</v>
      </c>
      <c r="F351">
        <v>64270.837679999997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0.12265193370165743</v>
      </c>
      <c r="Q351">
        <f t="shared" si="970"/>
        <v>7882.9425220773455</v>
      </c>
      <c r="R351">
        <f t="shared" si="971"/>
        <v>49001.250854359045</v>
      </c>
      <c r="S351">
        <f t="shared" si="972"/>
        <v>0.49001250854359046</v>
      </c>
      <c r="T351">
        <f t="shared" si="973"/>
        <v>4.9001250854359044E-4</v>
      </c>
    </row>
    <row r="352" spans="1:20" x14ac:dyDescent="0.25">
      <c r="A352" s="5">
        <v>44241</v>
      </c>
      <c r="B352">
        <v>511.76</v>
      </c>
      <c r="C352">
        <v>528.76</v>
      </c>
      <c r="D352">
        <v>459.72</v>
      </c>
      <c r="E352">
        <v>471.27</v>
      </c>
      <c r="F352">
        <v>42041.194389999997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-0.66541135573580645</v>
      </c>
      <c r="Q352">
        <f t="shared" si="970"/>
        <v>-27974.68815580248</v>
      </c>
      <c r="R352">
        <f t="shared" si="971"/>
        <v>41118.308332281696</v>
      </c>
      <c r="S352">
        <f t="shared" si="972"/>
        <v>0.41118308332281694</v>
      </c>
      <c r="T352">
        <f t="shared" si="973"/>
        <v>4.1118308332281693E-4</v>
      </c>
    </row>
    <row r="353" spans="1:20" x14ac:dyDescent="0.25">
      <c r="A353" s="5">
        <v>44240</v>
      </c>
      <c r="B353">
        <v>536.54999999999995</v>
      </c>
      <c r="C353">
        <v>558</v>
      </c>
      <c r="D353">
        <v>497.16</v>
      </c>
      <c r="E353">
        <v>511</v>
      </c>
      <c r="F353">
        <v>50504.521030000004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-0.54503616042077641</v>
      </c>
      <c r="Q353">
        <f t="shared" si="970"/>
        <v>-27526.790226081557</v>
      </c>
      <c r="R353">
        <f t="shared" si="971"/>
        <v>69092.996488084173</v>
      </c>
      <c r="S353">
        <f t="shared" si="972"/>
        <v>0.69092996488084168</v>
      </c>
      <c r="T353">
        <f t="shared" si="973"/>
        <v>6.9092996488084163E-4</v>
      </c>
    </row>
    <row r="354" spans="1:20" x14ac:dyDescent="0.25">
      <c r="A354" s="5">
        <v>44239</v>
      </c>
      <c r="B354">
        <v>501.69</v>
      </c>
      <c r="C354">
        <v>573</v>
      </c>
      <c r="D354">
        <v>479.22</v>
      </c>
      <c r="E354">
        <v>536.53</v>
      </c>
      <c r="F354">
        <v>107099.71371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0.2222222222222214</v>
      </c>
      <c r="Q354">
        <f t="shared" si="970"/>
        <v>23799.936379999912</v>
      </c>
      <c r="R354">
        <f t="shared" si="971"/>
        <v>96619.786714165733</v>
      </c>
      <c r="S354">
        <f t="shared" si="972"/>
        <v>0.96619786714165734</v>
      </c>
      <c r="T354">
        <f t="shared" si="973"/>
        <v>9.6619786714165733E-4</v>
      </c>
    </row>
    <row r="355" spans="1:20" x14ac:dyDescent="0.25">
      <c r="A355" s="5">
        <v>44238</v>
      </c>
      <c r="B355">
        <v>473.12</v>
      </c>
      <c r="C355">
        <v>525.34</v>
      </c>
      <c r="D355">
        <v>455.29</v>
      </c>
      <c r="E355">
        <v>501.91</v>
      </c>
      <c r="F355">
        <v>71753.591589999996</v>
      </c>
      <c r="G355">
        <v>0</v>
      </c>
      <c r="L355" t="s">
        <v>7</v>
      </c>
      <c r="M355" t="s">
        <v>8</v>
      </c>
      <c r="N355" t="s">
        <v>7</v>
      </c>
      <c r="P355">
        <f t="shared" si="969"/>
        <v>0.3310492505353318</v>
      </c>
      <c r="Q355">
        <f t="shared" si="970"/>
        <v>23753.972719087786</v>
      </c>
      <c r="R355">
        <f t="shared" si="971"/>
        <v>72819.850334165822</v>
      </c>
      <c r="S355">
        <f t="shared" si="972"/>
        <v>0.72819850334165825</v>
      </c>
      <c r="T355">
        <f t="shared" si="973"/>
        <v>7.2819850334165828E-4</v>
      </c>
    </row>
    <row r="356" spans="1:20" x14ac:dyDescent="0.25">
      <c r="A356" s="5">
        <v>44237</v>
      </c>
      <c r="B356">
        <v>489.59</v>
      </c>
      <c r="C356">
        <v>528.41</v>
      </c>
      <c r="D356">
        <v>437.49</v>
      </c>
      <c r="E356">
        <v>473.12</v>
      </c>
      <c r="F356">
        <v>82313.289810000002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-0.2162340519137701</v>
      </c>
      <c r="Q356">
        <f t="shared" si="970"/>
        <v>-17798.936181968744</v>
      </c>
      <c r="R356">
        <f t="shared" si="971"/>
        <v>49065.877615078032</v>
      </c>
      <c r="S356">
        <f t="shared" si="972"/>
        <v>0.4906587761507803</v>
      </c>
      <c r="T356">
        <f t="shared" si="973"/>
        <v>4.906587761507803E-4</v>
      </c>
    </row>
    <row r="357" spans="1:20" x14ac:dyDescent="0.25">
      <c r="A357" s="5">
        <v>44236</v>
      </c>
      <c r="B357">
        <v>455</v>
      </c>
      <c r="C357">
        <v>490.33</v>
      </c>
      <c r="D357">
        <v>436.01</v>
      </c>
      <c r="E357">
        <v>489</v>
      </c>
      <c r="F357">
        <v>80150.414829999994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0.95103092783505216</v>
      </c>
      <c r="Q357">
        <f t="shared" si="970"/>
        <v>76225.523382139218</v>
      </c>
      <c r="R357">
        <f t="shared" si="971"/>
        <v>66864.81379704678</v>
      </c>
      <c r="S357">
        <f t="shared" si="972"/>
        <v>0.66864813797046785</v>
      </c>
      <c r="T357">
        <f t="shared" si="973"/>
        <v>6.6864813797046783E-4</v>
      </c>
    </row>
    <row r="358" spans="1:20" x14ac:dyDescent="0.25">
      <c r="A358" s="5">
        <v>44235</v>
      </c>
      <c r="B358">
        <v>457.41</v>
      </c>
      <c r="C358">
        <v>497</v>
      </c>
      <c r="D358">
        <v>441.83</v>
      </c>
      <c r="E358">
        <v>454.98</v>
      </c>
      <c r="F358">
        <v>55511.510450000002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-0.52329164400942429</v>
      </c>
      <c r="Q358">
        <f t="shared" si="970"/>
        <v>-29048.709564826837</v>
      </c>
      <c r="R358">
        <f t="shared" si="971"/>
        <v>-9360.7095850924306</v>
      </c>
      <c r="S358">
        <f t="shared" si="972"/>
        <v>-9.3607095850924305E-2</v>
      </c>
      <c r="T358">
        <f t="shared" si="973"/>
        <v>-9.3607095850924298E-5</v>
      </c>
    </row>
    <row r="359" spans="1:20" x14ac:dyDescent="0.25">
      <c r="A359" s="5">
        <v>44234</v>
      </c>
      <c r="B359">
        <v>464.82</v>
      </c>
      <c r="C359">
        <v>479</v>
      </c>
      <c r="D359">
        <v>392.67</v>
      </c>
      <c r="E359">
        <v>457.41</v>
      </c>
      <c r="F359">
        <v>58784.922509999997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0.49982624811768844</v>
      </c>
      <c r="Q359">
        <f t="shared" si="970"/>
        <v>29382.247264062345</v>
      </c>
      <c r="R359">
        <f t="shared" si="971"/>
        <v>19687.999979734406</v>
      </c>
      <c r="S359">
        <f t="shared" si="972"/>
        <v>0.19687999979734405</v>
      </c>
      <c r="T359">
        <f t="shared" si="973"/>
        <v>1.9687999979734405E-4</v>
      </c>
    </row>
    <row r="360" spans="1:20" x14ac:dyDescent="0.25">
      <c r="A360" s="5">
        <v>44233</v>
      </c>
      <c r="B360">
        <v>531.91</v>
      </c>
      <c r="C360">
        <v>550</v>
      </c>
      <c r="D360">
        <v>440</v>
      </c>
      <c r="E360">
        <v>465</v>
      </c>
      <c r="F360">
        <v>80702.241620000001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-0.54545454545454541</v>
      </c>
      <c r="Q360">
        <f t="shared" si="970"/>
        <v>-44019.404519999996</v>
      </c>
      <c r="R360">
        <f t="shared" si="971"/>
        <v>-9694.2472843279393</v>
      </c>
      <c r="S360">
        <f t="shared" si="972"/>
        <v>-9.6942472843279393E-2</v>
      </c>
      <c r="T360">
        <f t="shared" si="973"/>
        <v>-9.6942472843279391E-5</v>
      </c>
    </row>
    <row r="361" spans="1:20" x14ac:dyDescent="0.25">
      <c r="A361" s="5">
        <v>44232</v>
      </c>
      <c r="B361">
        <v>455.04</v>
      </c>
      <c r="C361">
        <v>553.99</v>
      </c>
      <c r="D361">
        <v>454</v>
      </c>
      <c r="E361">
        <v>531.46</v>
      </c>
      <c r="F361">
        <v>91255.728099999993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0.54935493549354997</v>
      </c>
      <c r="Q361">
        <f t="shared" si="970"/>
        <v>50131.784623792431</v>
      </c>
      <c r="R361">
        <f t="shared" si="971"/>
        <v>34325.157235672057</v>
      </c>
      <c r="S361">
        <f t="shared" si="972"/>
        <v>0.34325157235672055</v>
      </c>
      <c r="T361">
        <f t="shared" si="973"/>
        <v>3.4325157235672054E-4</v>
      </c>
    </row>
    <row r="362" spans="1:20" x14ac:dyDescent="0.25">
      <c r="A362" s="5">
        <v>44231</v>
      </c>
      <c r="B362">
        <v>389.67</v>
      </c>
      <c r="C362">
        <v>498</v>
      </c>
      <c r="D362">
        <v>379.79</v>
      </c>
      <c r="E362">
        <v>455.19</v>
      </c>
      <c r="F362">
        <v>134162.84494000001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0.27569579561796786</v>
      </c>
      <c r="Q362">
        <f t="shared" si="970"/>
        <v>36988.13227810336</v>
      </c>
      <c r="R362">
        <f t="shared" si="971"/>
        <v>-15806.627388120374</v>
      </c>
      <c r="S362">
        <f t="shared" si="972"/>
        <v>-0.15806627388120376</v>
      </c>
      <c r="T362">
        <f t="shared" si="973"/>
        <v>-1.5806627388120377E-4</v>
      </c>
    </row>
    <row r="363" spans="1:20" x14ac:dyDescent="0.25">
      <c r="A363" s="5">
        <v>44230</v>
      </c>
      <c r="B363">
        <v>356.22</v>
      </c>
      <c r="C363">
        <v>390.12</v>
      </c>
      <c r="D363">
        <v>342.82</v>
      </c>
      <c r="E363">
        <v>389.67</v>
      </c>
      <c r="F363">
        <v>41153.96456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0.98097251585623724</v>
      </c>
      <c r="Q363">
        <f t="shared" si="970"/>
        <v>40370.908151881624</v>
      </c>
      <c r="R363">
        <f t="shared" si="971"/>
        <v>-52794.759666223734</v>
      </c>
      <c r="S363">
        <f t="shared" si="972"/>
        <v>-0.52794759666223734</v>
      </c>
      <c r="T363">
        <f t="shared" si="973"/>
        <v>-5.2794759666223738E-4</v>
      </c>
    </row>
    <row r="364" spans="1:20" x14ac:dyDescent="0.25">
      <c r="A364" s="5">
        <v>44229</v>
      </c>
      <c r="B364">
        <v>361.97</v>
      </c>
      <c r="C364">
        <v>365.97</v>
      </c>
      <c r="D364">
        <v>336.09</v>
      </c>
      <c r="E364">
        <v>356.18</v>
      </c>
      <c r="F364">
        <v>37465.604749999999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0.34471218206157944</v>
      </c>
      <c r="Q364">
        <f t="shared" si="970"/>
        <v>12914.850365629176</v>
      </c>
      <c r="R364">
        <f t="shared" si="971"/>
        <v>-93165.667818105358</v>
      </c>
      <c r="S364">
        <f t="shared" si="972"/>
        <v>-0.93165667818105358</v>
      </c>
      <c r="T364">
        <f t="shared" si="973"/>
        <v>-9.3165667818105352E-4</v>
      </c>
    </row>
    <row r="365" spans="1:20" x14ac:dyDescent="0.25">
      <c r="A365" s="5">
        <v>44228</v>
      </c>
      <c r="B365">
        <v>347.46</v>
      </c>
      <c r="C365">
        <v>377</v>
      </c>
      <c r="D365">
        <v>330.85</v>
      </c>
      <c r="E365">
        <v>362.25</v>
      </c>
      <c r="F365">
        <v>80108.392070000002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0.36078006500541682</v>
      </c>
      <c r="Q365">
        <f t="shared" si="970"/>
        <v>28901.510898494016</v>
      </c>
      <c r="R365">
        <f t="shared" si="971"/>
        <v>-106080.51818373453</v>
      </c>
      <c r="S365">
        <f t="shared" si="972"/>
        <v>-1.0608051818373454</v>
      </c>
      <c r="T365">
        <f t="shared" si="973"/>
        <v>-1.0608051818373455E-3</v>
      </c>
    </row>
    <row r="366" spans="1:20" x14ac:dyDescent="0.25">
      <c r="A366" s="5">
        <v>44227</v>
      </c>
      <c r="B366">
        <v>338.36</v>
      </c>
      <c r="C366">
        <v>349</v>
      </c>
      <c r="D366">
        <v>304.83999999999997</v>
      </c>
      <c r="E366">
        <v>347.19</v>
      </c>
      <c r="F366">
        <v>63201.689789999997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0.91802536231884058</v>
      </c>
      <c r="Q366">
        <f t="shared" si="970"/>
        <v>58020.754168627711</v>
      </c>
      <c r="R366">
        <f t="shared" si="971"/>
        <v>-134982.02908222855</v>
      </c>
      <c r="S366">
        <f t="shared" si="972"/>
        <v>-1.3498202908222854</v>
      </c>
      <c r="T366">
        <f t="shared" si="973"/>
        <v>-1.3498202908222854E-3</v>
      </c>
    </row>
    <row r="367" spans="1:20" x14ac:dyDescent="0.25">
      <c r="A367" s="5">
        <v>44226</v>
      </c>
      <c r="B367">
        <v>295.17</v>
      </c>
      <c r="C367">
        <v>340</v>
      </c>
      <c r="D367">
        <v>278.98</v>
      </c>
      <c r="E367">
        <v>338.2</v>
      </c>
      <c r="F367">
        <v>114437.65003999999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0.94100294985250699</v>
      </c>
      <c r="Q367">
        <f t="shared" si="970"/>
        <v>107686.16626182885</v>
      </c>
      <c r="R367">
        <f t="shared" si="971"/>
        <v>-193002.78325085627</v>
      </c>
      <c r="S367">
        <f t="shared" si="972"/>
        <v>-1.9300278325085627</v>
      </c>
      <c r="T367">
        <f t="shared" si="973"/>
        <v>-1.9300278325085627E-3</v>
      </c>
    </row>
    <row r="368" spans="1:20" x14ac:dyDescent="0.25">
      <c r="A368" s="5">
        <v>44225</v>
      </c>
      <c r="B368">
        <v>251.52</v>
      </c>
      <c r="C368">
        <v>304</v>
      </c>
      <c r="D368">
        <v>236.56</v>
      </c>
      <c r="E368">
        <v>295.88</v>
      </c>
      <c r="F368">
        <v>68848.787400000001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0.75919335705812563</v>
      </c>
      <c r="Q368">
        <f t="shared" si="970"/>
        <v>52269.542035587183</v>
      </c>
      <c r="R368">
        <f t="shared" si="971"/>
        <v>-300688.94951268513</v>
      </c>
      <c r="S368">
        <f t="shared" si="972"/>
        <v>-3.0068894951268512</v>
      </c>
      <c r="T368">
        <f t="shared" si="973"/>
        <v>-3.0068894951268514E-3</v>
      </c>
    </row>
    <row r="369" spans="1:20" x14ac:dyDescent="0.25">
      <c r="A369" s="5">
        <v>44224</v>
      </c>
      <c r="B369">
        <v>218.83</v>
      </c>
      <c r="C369">
        <v>268</v>
      </c>
      <c r="D369">
        <v>213.81</v>
      </c>
      <c r="E369">
        <v>252.03</v>
      </c>
      <c r="F369">
        <v>53314.672910000001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0.41059236021406165</v>
      </c>
      <c r="Q369">
        <f t="shared" si="970"/>
        <v>21890.597384157594</v>
      </c>
      <c r="R369">
        <f t="shared" si="971"/>
        <v>-352958.49154827232</v>
      </c>
      <c r="S369">
        <f t="shared" si="972"/>
        <v>-3.5295849154827232</v>
      </c>
      <c r="T369">
        <f t="shared" si="973"/>
        <v>-3.5295849154827232E-3</v>
      </c>
    </row>
    <row r="370" spans="1:20" x14ac:dyDescent="0.25">
      <c r="A370" s="5">
        <v>44223</v>
      </c>
      <c r="B370">
        <v>237.91</v>
      </c>
      <c r="C370">
        <v>239.84</v>
      </c>
      <c r="D370">
        <v>209.66</v>
      </c>
      <c r="E370">
        <v>219.12</v>
      </c>
      <c r="F370">
        <v>39485.87126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-0.37309476474486375</v>
      </c>
      <c r="Q370">
        <f t="shared" si="970"/>
        <v>-14731.971848495677</v>
      </c>
      <c r="R370">
        <f t="shared" si="971"/>
        <v>-374849.08893242991</v>
      </c>
      <c r="S370">
        <f t="shared" si="972"/>
        <v>-3.748490889324299</v>
      </c>
      <c r="T370">
        <f t="shared" si="973"/>
        <v>-3.7484908893242988E-3</v>
      </c>
    </row>
    <row r="371" spans="1:20" x14ac:dyDescent="0.25">
      <c r="A371" s="5">
        <v>44222</v>
      </c>
      <c r="B371">
        <v>212.75</v>
      </c>
      <c r="C371">
        <v>241.99</v>
      </c>
      <c r="D371">
        <v>205.16</v>
      </c>
      <c r="E371">
        <v>237.9</v>
      </c>
      <c r="F371">
        <v>54031.369720000002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0.77789845234862876</v>
      </c>
      <c r="Q371">
        <f t="shared" si="970"/>
        <v>42030.918883464561</v>
      </c>
      <c r="R371">
        <f t="shared" si="971"/>
        <v>-360117.11708393425</v>
      </c>
      <c r="S371">
        <f t="shared" si="972"/>
        <v>-3.6011711708393426</v>
      </c>
      <c r="T371">
        <f t="shared" si="973"/>
        <v>-3.6011711708393425E-3</v>
      </c>
    </row>
    <row r="372" spans="1:20" x14ac:dyDescent="0.25">
      <c r="A372" s="5">
        <v>44221</v>
      </c>
      <c r="B372">
        <v>250.38</v>
      </c>
      <c r="C372">
        <v>258.82</v>
      </c>
      <c r="D372">
        <v>206.15</v>
      </c>
      <c r="E372">
        <v>212.81</v>
      </c>
      <c r="F372">
        <v>63642.86608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-0.74710461363204872</v>
      </c>
      <c r="Q372">
        <f t="shared" si="970"/>
        <v>-47547.878873134621</v>
      </c>
      <c r="R372">
        <f t="shared" si="971"/>
        <v>-402148.03596739884</v>
      </c>
      <c r="S372">
        <f t="shared" si="972"/>
        <v>-4.0214803596739888</v>
      </c>
      <c r="T372">
        <f t="shared" si="973"/>
        <v>-4.0214803596739885E-3</v>
      </c>
    </row>
    <row r="373" spans="1:20" x14ac:dyDescent="0.25">
      <c r="A373" s="5">
        <v>44220</v>
      </c>
      <c r="B373">
        <v>206.97</v>
      </c>
      <c r="C373">
        <v>253.04</v>
      </c>
      <c r="D373">
        <v>205.11</v>
      </c>
      <c r="E373">
        <v>250.06</v>
      </c>
      <c r="F373">
        <v>59373.872960000001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0.8756519924890469</v>
      </c>
      <c r="Q373">
        <f t="shared" si="970"/>
        <v>51990.850159215544</v>
      </c>
      <c r="R373">
        <f t="shared" si="971"/>
        <v>-354600.15709426423</v>
      </c>
      <c r="S373">
        <f t="shared" si="972"/>
        <v>-3.5460015709426425</v>
      </c>
      <c r="T373">
        <f t="shared" si="973"/>
        <v>-3.5460015709426426E-3</v>
      </c>
    </row>
    <row r="374" spans="1:20" x14ac:dyDescent="0.25">
      <c r="A374" s="5">
        <v>44219</v>
      </c>
      <c r="B374">
        <v>199.49</v>
      </c>
      <c r="C374">
        <v>213.55</v>
      </c>
      <c r="D374">
        <v>196.74</v>
      </c>
      <c r="E374">
        <v>206.98</v>
      </c>
      <c r="F374">
        <v>21875.592619999999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0.21832242712670782</v>
      </c>
      <c r="Q374">
        <f t="shared" si="970"/>
        <v>4775.9324756334972</v>
      </c>
      <c r="R374">
        <f t="shared" si="971"/>
        <v>-406591.00725347979</v>
      </c>
      <c r="S374">
        <f t="shared" si="972"/>
        <v>-4.0659100725347983</v>
      </c>
      <c r="T374">
        <f t="shared" si="973"/>
        <v>-4.0659100725347983E-3</v>
      </c>
    </row>
    <row r="375" spans="1:20" x14ac:dyDescent="0.25">
      <c r="A375" s="5">
        <v>44218</v>
      </c>
      <c r="B375">
        <v>176.33</v>
      </c>
      <c r="C375">
        <v>209.09</v>
      </c>
      <c r="D375">
        <v>165.47</v>
      </c>
      <c r="E375">
        <v>199.71</v>
      </c>
      <c r="F375">
        <v>42071.876620000003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0.5699220541036224</v>
      </c>
      <c r="Q375">
        <f t="shared" si="970"/>
        <v>23977.690343264567</v>
      </c>
      <c r="R375">
        <f t="shared" si="971"/>
        <v>-411366.93972911331</v>
      </c>
      <c r="S375">
        <f t="shared" si="972"/>
        <v>-4.1136693972911331</v>
      </c>
      <c r="T375">
        <f t="shared" si="973"/>
        <v>-4.1136693972911335E-3</v>
      </c>
    </row>
    <row r="376" spans="1:20" x14ac:dyDescent="0.25">
      <c r="A376" s="5">
        <v>44217</v>
      </c>
      <c r="B376">
        <v>212.77</v>
      </c>
      <c r="C376">
        <v>213.71</v>
      </c>
      <c r="D376">
        <v>174.53</v>
      </c>
      <c r="E376">
        <v>176.64</v>
      </c>
      <c r="F376">
        <v>52327.187250000003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-0.89229198570699408</v>
      </c>
      <c r="Q376">
        <f t="shared" si="970"/>
        <v>-46691.129817764202</v>
      </c>
      <c r="R376">
        <f t="shared" si="971"/>
        <v>-435344.63007237785</v>
      </c>
      <c r="S376">
        <f t="shared" si="972"/>
        <v>-4.3534463007237783</v>
      </c>
      <c r="T376">
        <f t="shared" si="973"/>
        <v>-4.3534463007237779E-3</v>
      </c>
    </row>
    <row r="377" spans="1:20" x14ac:dyDescent="0.25">
      <c r="A377" s="5">
        <v>44216</v>
      </c>
      <c r="B377">
        <v>211.41</v>
      </c>
      <c r="C377">
        <v>218.35</v>
      </c>
      <c r="D377">
        <v>198.28</v>
      </c>
      <c r="E377">
        <v>212.39</v>
      </c>
      <c r="F377">
        <v>36760.443240000001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0.40607872446437371</v>
      </c>
      <c r="Q377">
        <f t="shared" si="970"/>
        <v>14927.633901644209</v>
      </c>
      <c r="R377">
        <f t="shared" si="971"/>
        <v>-388653.50025461364</v>
      </c>
      <c r="S377">
        <f t="shared" si="972"/>
        <v>-3.8865350025461365</v>
      </c>
      <c r="T377">
        <f t="shared" si="973"/>
        <v>-3.8865350025461365E-3</v>
      </c>
    </row>
    <row r="378" spans="1:20" x14ac:dyDescent="0.25">
      <c r="A378" s="5">
        <v>44215</v>
      </c>
      <c r="B378">
        <v>226.21</v>
      </c>
      <c r="C378">
        <v>234.9</v>
      </c>
      <c r="D378">
        <v>210.18</v>
      </c>
      <c r="E378">
        <v>211.22</v>
      </c>
      <c r="F378">
        <v>40276.26352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-0.91585760517799419</v>
      </c>
      <c r="Q378">
        <f t="shared" si="970"/>
        <v>-36887.322252945014</v>
      </c>
      <c r="R378">
        <f t="shared" si="971"/>
        <v>-403581.13415625785</v>
      </c>
      <c r="S378">
        <f t="shared" si="972"/>
        <v>-4.035811341562578</v>
      </c>
      <c r="T378">
        <f t="shared" si="973"/>
        <v>-4.035811341562578E-3</v>
      </c>
    </row>
    <row r="379" spans="1:20" x14ac:dyDescent="0.25">
      <c r="A379" s="5">
        <v>44214</v>
      </c>
      <c r="B379">
        <v>217.14</v>
      </c>
      <c r="C379">
        <v>238.99</v>
      </c>
      <c r="D379">
        <v>207.14</v>
      </c>
      <c r="E379">
        <v>225.91</v>
      </c>
      <c r="F379">
        <v>47319.218059999999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0.17864992150706416</v>
      </c>
      <c r="Q379">
        <f t="shared" si="970"/>
        <v>8453.5745921946527</v>
      </c>
      <c r="R379">
        <f t="shared" si="971"/>
        <v>-366693.81190331286</v>
      </c>
      <c r="S379">
        <f t="shared" si="972"/>
        <v>-3.6669381190331287</v>
      </c>
      <c r="T379">
        <f t="shared" si="973"/>
        <v>-3.6669381190331286E-3</v>
      </c>
    </row>
    <row r="380" spans="1:20" x14ac:dyDescent="0.25">
      <c r="A380" s="5">
        <v>44213</v>
      </c>
      <c r="B380">
        <v>207</v>
      </c>
      <c r="C380">
        <v>229</v>
      </c>
      <c r="D380">
        <v>200.17</v>
      </c>
      <c r="E380">
        <v>216.96</v>
      </c>
      <c r="F380">
        <v>52158.116459999997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0.16475893166840189</v>
      </c>
      <c r="Q380">
        <f t="shared" si="970"/>
        <v>8593.5155457856872</v>
      </c>
      <c r="R380">
        <f t="shared" si="971"/>
        <v>-375147.3864955075</v>
      </c>
      <c r="S380">
        <f t="shared" si="972"/>
        <v>-3.751473864955075</v>
      </c>
      <c r="T380">
        <f t="shared" si="973"/>
        <v>-3.751473864955075E-3</v>
      </c>
    </row>
    <row r="381" spans="1:20" x14ac:dyDescent="0.25">
      <c r="A381" s="5">
        <v>44212</v>
      </c>
      <c r="B381">
        <v>203.09</v>
      </c>
      <c r="C381">
        <v>219.95</v>
      </c>
      <c r="D381">
        <v>200.32</v>
      </c>
      <c r="E381">
        <v>207</v>
      </c>
      <c r="F381">
        <v>42651.837140000003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-0.31940906775343775</v>
      </c>
      <c r="Q381">
        <f t="shared" si="970"/>
        <v>-13623.383538858854</v>
      </c>
      <c r="R381">
        <f t="shared" si="971"/>
        <v>-383740.90204129316</v>
      </c>
      <c r="S381">
        <f t="shared" si="972"/>
        <v>-3.8374090204129314</v>
      </c>
      <c r="T381">
        <f t="shared" si="973"/>
        <v>-3.8374090204129313E-3</v>
      </c>
    </row>
    <row r="382" spans="1:20" x14ac:dyDescent="0.25">
      <c r="A382" s="5">
        <v>44211</v>
      </c>
      <c r="B382">
        <v>214.68</v>
      </c>
      <c r="C382">
        <v>218</v>
      </c>
      <c r="D382">
        <v>187.05</v>
      </c>
      <c r="E382">
        <v>202.56</v>
      </c>
      <c r="F382">
        <v>58475.338479999999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2.2617124394181971E-3</v>
      </c>
      <c r="Q382">
        <f t="shared" si="970"/>
        <v>132.25440043940557</v>
      </c>
      <c r="R382">
        <f t="shared" si="971"/>
        <v>-370117.51850243431</v>
      </c>
      <c r="S382">
        <f t="shared" si="972"/>
        <v>-3.7011751850243431</v>
      </c>
      <c r="T382">
        <f t="shared" si="973"/>
        <v>-3.7011751850243432E-3</v>
      </c>
    </row>
    <row r="383" spans="1:20" x14ac:dyDescent="0.25">
      <c r="A383" s="5">
        <v>44210</v>
      </c>
      <c r="B383">
        <v>210.97</v>
      </c>
      <c r="C383">
        <v>225</v>
      </c>
      <c r="D383">
        <v>201.81</v>
      </c>
      <c r="E383">
        <v>214.5</v>
      </c>
      <c r="F383">
        <v>61416.836309999999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9.4437257438551012E-2</v>
      </c>
      <c r="Q383">
        <f t="shared" si="970"/>
        <v>5800.0375816688174</v>
      </c>
      <c r="R383">
        <f t="shared" si="971"/>
        <v>-370249.77290287369</v>
      </c>
      <c r="S383">
        <f t="shared" si="972"/>
        <v>-3.7024977290287371</v>
      </c>
      <c r="T383">
        <f t="shared" si="973"/>
        <v>-3.702497729028737E-3</v>
      </c>
    </row>
    <row r="384" spans="1:20" x14ac:dyDescent="0.25">
      <c r="A384" s="5">
        <v>44209</v>
      </c>
      <c r="B384">
        <v>183.78</v>
      </c>
      <c r="C384">
        <v>219.07</v>
      </c>
      <c r="D384">
        <v>174.5</v>
      </c>
      <c r="E384">
        <v>211.04</v>
      </c>
      <c r="F384">
        <v>71119.970159999997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0.63966793807493816</v>
      </c>
      <c r="Q384">
        <f t="shared" si="970"/>
        <v>45493.164668198326</v>
      </c>
      <c r="R384">
        <f t="shared" si="971"/>
        <v>-376049.81048454251</v>
      </c>
      <c r="S384">
        <f t="shared" si="972"/>
        <v>-3.7604981048454249</v>
      </c>
      <c r="T384">
        <f t="shared" si="973"/>
        <v>-3.760498104845425E-3</v>
      </c>
    </row>
    <row r="385" spans="1:20" x14ac:dyDescent="0.25">
      <c r="A385" s="5">
        <v>44208</v>
      </c>
      <c r="B385">
        <v>168.58</v>
      </c>
      <c r="C385">
        <v>201.86</v>
      </c>
      <c r="D385">
        <v>162.01</v>
      </c>
      <c r="E385">
        <v>183.8</v>
      </c>
      <c r="F385">
        <v>69903.014370000004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9.3601003764115842E-2</v>
      </c>
      <c r="Q385">
        <f t="shared" si="970"/>
        <v>6542.9923111694143</v>
      </c>
      <c r="R385">
        <f t="shared" si="971"/>
        <v>-421542.97515274084</v>
      </c>
      <c r="S385">
        <f t="shared" si="972"/>
        <v>-4.2154297515274086</v>
      </c>
      <c r="T385">
        <f t="shared" si="973"/>
        <v>-4.2154297515274086E-3</v>
      </c>
    </row>
    <row r="386" spans="1:20" x14ac:dyDescent="0.25">
      <c r="A386" s="5">
        <v>44207</v>
      </c>
      <c r="B386">
        <v>194.55</v>
      </c>
      <c r="C386">
        <v>196.85</v>
      </c>
      <c r="D386">
        <v>147.51</v>
      </c>
      <c r="E386">
        <v>168.59</v>
      </c>
      <c r="F386">
        <v>91373.360320000007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-0.14552087555735665</v>
      </c>
      <c r="Q386">
        <f t="shared" si="970"/>
        <v>-13296.731396384232</v>
      </c>
      <c r="R386">
        <f t="shared" si="971"/>
        <v>-428085.96746391023</v>
      </c>
      <c r="S386">
        <f t="shared" si="972"/>
        <v>-4.2808596746391023</v>
      </c>
      <c r="T386">
        <f t="shared" si="973"/>
        <v>-4.2808596746391021E-3</v>
      </c>
    </row>
    <row r="387" spans="1:20" x14ac:dyDescent="0.25">
      <c r="A387" s="5">
        <v>44206</v>
      </c>
      <c r="B387">
        <v>180.01</v>
      </c>
      <c r="C387">
        <v>208.97</v>
      </c>
      <c r="D387">
        <v>169.56</v>
      </c>
      <c r="E387">
        <v>194.39</v>
      </c>
      <c r="F387">
        <v>90899.09087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0.26008627251966437</v>
      </c>
      <c r="Q387">
        <f t="shared" si="970"/>
        <v>23641.605719804556</v>
      </c>
      <c r="R387">
        <f t="shared" si="971"/>
        <v>-414789.23606752598</v>
      </c>
      <c r="S387">
        <f t="shared" si="972"/>
        <v>-4.14789236067526</v>
      </c>
      <c r="T387">
        <f t="shared" si="973"/>
        <v>-4.1478923606752599E-3</v>
      </c>
    </row>
    <row r="388" spans="1:20" x14ac:dyDescent="0.25">
      <c r="A388" s="5">
        <v>44205</v>
      </c>
      <c r="B388">
        <v>165.66</v>
      </c>
      <c r="C388">
        <v>186.29</v>
      </c>
      <c r="D388">
        <v>161.16999999999999</v>
      </c>
      <c r="E388">
        <v>179.95</v>
      </c>
      <c r="F388">
        <v>37925.08683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0.49522292993630557</v>
      </c>
      <c r="Q388">
        <f t="shared" si="970"/>
        <v>18781.372618041394</v>
      </c>
      <c r="R388">
        <f t="shared" si="971"/>
        <v>-438430.84178733052</v>
      </c>
      <c r="S388">
        <f t="shared" si="972"/>
        <v>-4.3843084178733047</v>
      </c>
      <c r="T388">
        <f t="shared" si="973"/>
        <v>-4.3843084178733045E-3</v>
      </c>
    </row>
    <row r="389" spans="1:20" x14ac:dyDescent="0.25">
      <c r="A389" s="5">
        <v>44204</v>
      </c>
      <c r="B389">
        <v>172.58</v>
      </c>
      <c r="C389">
        <v>181.55</v>
      </c>
      <c r="D389">
        <v>153.12</v>
      </c>
      <c r="E389">
        <v>165.75</v>
      </c>
      <c r="F389">
        <v>65428.136380000004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-0.11150193457615248</v>
      </c>
      <c r="Q389">
        <f t="shared" si="970"/>
        <v>-7295.3637820823424</v>
      </c>
      <c r="R389">
        <f t="shared" si="971"/>
        <v>-457212.21440537192</v>
      </c>
      <c r="S389">
        <f t="shared" si="972"/>
        <v>-4.5721221440537194</v>
      </c>
      <c r="T389">
        <f t="shared" si="973"/>
        <v>-4.5721221440537191E-3</v>
      </c>
    </row>
    <row r="390" spans="1:20" x14ac:dyDescent="0.25">
      <c r="A390" s="5">
        <v>44203</v>
      </c>
      <c r="B390">
        <v>184.27</v>
      </c>
      <c r="C390">
        <v>191.94</v>
      </c>
      <c r="D390">
        <v>165.38</v>
      </c>
      <c r="E390">
        <v>172.45</v>
      </c>
      <c r="F390">
        <v>87963.615779999993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-0.46762048192771138</v>
      </c>
      <c r="Q390">
        <f t="shared" ref="Q390:Q453" si="975">F390*P390</f>
        <v>-41133.588403147638</v>
      </c>
      <c r="R390">
        <f t="shared" ref="R390:R453" si="976">R391+Q390</f>
        <v>-449916.85062328959</v>
      </c>
      <c r="S390">
        <f t="shared" ref="S390:S453" si="977">R390/100000</f>
        <v>-4.4991685062328957</v>
      </c>
      <c r="T390">
        <f t="shared" ref="T390:T453" si="978">S390/1000</f>
        <v>-4.4991685062328955E-3</v>
      </c>
    </row>
    <row r="391" spans="1:20" x14ac:dyDescent="0.25">
      <c r="A391" s="5">
        <v>44202</v>
      </c>
      <c r="B391">
        <v>161.44</v>
      </c>
      <c r="C391">
        <v>187</v>
      </c>
      <c r="D391">
        <v>159.43</v>
      </c>
      <c r="E391">
        <v>183.98</v>
      </c>
      <c r="F391">
        <v>58194.959239999996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0.78092129125861365</v>
      </c>
      <c r="Q391">
        <f t="shared" si="975"/>
        <v>45445.682714443188</v>
      </c>
      <c r="R391">
        <f t="shared" si="976"/>
        <v>-408783.26222014194</v>
      </c>
      <c r="S391">
        <f t="shared" si="977"/>
        <v>-4.0878326222014199</v>
      </c>
      <c r="T391">
        <f t="shared" si="978"/>
        <v>-4.0878326222014202E-3</v>
      </c>
    </row>
    <row r="392" spans="1:20" x14ac:dyDescent="0.25">
      <c r="A392" s="5">
        <v>44201</v>
      </c>
      <c r="B392">
        <v>151.25</v>
      </c>
      <c r="C392">
        <v>166.31</v>
      </c>
      <c r="D392">
        <v>146.52000000000001</v>
      </c>
      <c r="E392">
        <v>161.47999999999999</v>
      </c>
      <c r="F392">
        <v>52769.137390000004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0.51187468418392978</v>
      </c>
      <c r="Q392">
        <f t="shared" si="975"/>
        <v>27011.185536164652</v>
      </c>
      <c r="R392">
        <f t="shared" si="976"/>
        <v>-454228.94493458513</v>
      </c>
      <c r="S392">
        <f t="shared" si="977"/>
        <v>-4.5422894493458514</v>
      </c>
      <c r="T392">
        <f t="shared" si="978"/>
        <v>-4.542289449345851E-3</v>
      </c>
    </row>
    <row r="393" spans="1:20" x14ac:dyDescent="0.25">
      <c r="A393" s="5">
        <v>44200</v>
      </c>
      <c r="B393">
        <v>146.91999999999999</v>
      </c>
      <c r="C393">
        <v>161.91999999999999</v>
      </c>
      <c r="D393">
        <v>137</v>
      </c>
      <c r="E393">
        <v>151.24</v>
      </c>
      <c r="F393">
        <v>66438.037509999995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0.14285714285714415</v>
      </c>
      <c r="Q393">
        <f t="shared" si="975"/>
        <v>9491.148215714371</v>
      </c>
      <c r="R393">
        <f t="shared" si="976"/>
        <v>-481240.13047074981</v>
      </c>
      <c r="S393">
        <f t="shared" si="977"/>
        <v>-4.8124013047074978</v>
      </c>
      <c r="T393">
        <f t="shared" si="978"/>
        <v>-4.812401304707498E-3</v>
      </c>
    </row>
    <row r="394" spans="1:20" x14ac:dyDescent="0.25">
      <c r="A394" s="5">
        <v>44199</v>
      </c>
      <c r="B394">
        <v>136.6</v>
      </c>
      <c r="C394">
        <v>151.69</v>
      </c>
      <c r="D394">
        <v>135.58000000000001</v>
      </c>
      <c r="E394">
        <v>146.9</v>
      </c>
      <c r="F394">
        <v>41745.14054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0.40533829919304826</v>
      </c>
      <c r="Q394">
        <f t="shared" si="975"/>
        <v>16920.904266058369</v>
      </c>
      <c r="R394">
        <f t="shared" si="976"/>
        <v>-490731.27868646418</v>
      </c>
      <c r="S394">
        <f t="shared" si="977"/>
        <v>-4.907312786864642</v>
      </c>
      <c r="T394">
        <f t="shared" si="978"/>
        <v>-4.9073127868646416E-3</v>
      </c>
    </row>
    <row r="395" spans="1:20" x14ac:dyDescent="0.25">
      <c r="A395" s="5">
        <v>44198</v>
      </c>
      <c r="B395">
        <v>145.56</v>
      </c>
      <c r="C395">
        <v>147.66999999999999</v>
      </c>
      <c r="D395">
        <v>134.47999999999999</v>
      </c>
      <c r="E395">
        <v>136.71</v>
      </c>
      <c r="F395">
        <v>31185.10701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-0.66186504927975454</v>
      </c>
      <c r="Q395">
        <f t="shared" si="975"/>
        <v>-20640.332387968068</v>
      </c>
      <c r="R395">
        <f t="shared" si="976"/>
        <v>-507652.18295252253</v>
      </c>
      <c r="S395">
        <f t="shared" si="977"/>
        <v>-5.076521829525225</v>
      </c>
      <c r="T395">
        <f t="shared" si="978"/>
        <v>-5.0765218295252251E-3</v>
      </c>
    </row>
    <row r="396" spans="1:20" x14ac:dyDescent="0.25">
      <c r="A396" s="5">
        <v>44197</v>
      </c>
      <c r="B396">
        <v>149.03</v>
      </c>
      <c r="C396">
        <v>155</v>
      </c>
      <c r="D396">
        <v>139.69999999999999</v>
      </c>
      <c r="E396">
        <v>145.54</v>
      </c>
      <c r="F396">
        <v>76859.214630000002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-0.23660130718954261</v>
      </c>
      <c r="Q396">
        <f t="shared" si="975"/>
        <v>-18184.99065101962</v>
      </c>
      <c r="R396">
        <f t="shared" si="976"/>
        <v>-487011.85056455445</v>
      </c>
      <c r="S396">
        <f t="shared" si="977"/>
        <v>-4.8701185056455447</v>
      </c>
      <c r="T396">
        <f t="shared" si="978"/>
        <v>-4.8701185056455451E-3</v>
      </c>
    </row>
    <row r="397" spans="1:20" x14ac:dyDescent="0.25">
      <c r="A397" s="5">
        <v>44196</v>
      </c>
      <c r="B397">
        <v>156.84</v>
      </c>
      <c r="C397">
        <v>157.13</v>
      </c>
      <c r="D397">
        <v>142.03</v>
      </c>
      <c r="E397">
        <v>149.02000000000001</v>
      </c>
      <c r="F397">
        <v>54771.388859999999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-7.4172185430462029E-2</v>
      </c>
      <c r="Q397">
        <f t="shared" si="975"/>
        <v>-4062.5136108078623</v>
      </c>
      <c r="R397">
        <f t="shared" si="976"/>
        <v>-468826.85991353483</v>
      </c>
      <c r="S397">
        <f t="shared" si="977"/>
        <v>-4.6882685991353483</v>
      </c>
      <c r="T397">
        <f t="shared" si="978"/>
        <v>-4.6882685991353487E-3</v>
      </c>
    </row>
    <row r="398" spans="1:20" x14ac:dyDescent="0.25">
      <c r="A398" s="5">
        <v>44195</v>
      </c>
      <c r="B398">
        <v>139.55000000000001</v>
      </c>
      <c r="C398">
        <v>159</v>
      </c>
      <c r="D398">
        <v>138.13999999999999</v>
      </c>
      <c r="E398">
        <v>156.81</v>
      </c>
      <c r="F398">
        <v>59178.463519999998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0.79002876318312598</v>
      </c>
      <c r="Q398">
        <f t="shared" si="975"/>
        <v>46752.688341783338</v>
      </c>
      <c r="R398">
        <f t="shared" si="976"/>
        <v>-464764.34630272695</v>
      </c>
      <c r="S398">
        <f t="shared" si="977"/>
        <v>-4.6476434630272694</v>
      </c>
      <c r="T398">
        <f t="shared" si="978"/>
        <v>-4.6476434630272692E-3</v>
      </c>
    </row>
    <row r="399" spans="1:20" x14ac:dyDescent="0.25">
      <c r="A399" s="5">
        <v>44194</v>
      </c>
      <c r="B399">
        <v>143.57</v>
      </c>
      <c r="C399">
        <v>146.38999999999999</v>
      </c>
      <c r="D399">
        <v>130.1</v>
      </c>
      <c r="E399">
        <v>139.36000000000001</v>
      </c>
      <c r="F399">
        <v>58108.118580000002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0.13689379987722822</v>
      </c>
      <c r="Q399">
        <f t="shared" si="975"/>
        <v>7954.6411561327668</v>
      </c>
      <c r="R399">
        <f t="shared" si="976"/>
        <v>-511517.03464451031</v>
      </c>
      <c r="S399">
        <f t="shared" si="977"/>
        <v>-5.1151703464451028</v>
      </c>
      <c r="T399">
        <f t="shared" si="978"/>
        <v>-5.1151703464451031E-3</v>
      </c>
    </row>
    <row r="400" spans="1:20" x14ac:dyDescent="0.25">
      <c r="A400" s="5">
        <v>44193</v>
      </c>
      <c r="B400">
        <v>131.46</v>
      </c>
      <c r="C400">
        <v>143.72</v>
      </c>
      <c r="D400">
        <v>129.84</v>
      </c>
      <c r="E400">
        <v>143.69999999999999</v>
      </c>
      <c r="F400">
        <v>28266.882430000001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0.99711815561959505</v>
      </c>
      <c r="Q400">
        <f t="shared" si="975"/>
        <v>28185.421673717537</v>
      </c>
      <c r="R400">
        <f t="shared" si="976"/>
        <v>-519471.67580064305</v>
      </c>
      <c r="S400">
        <f t="shared" si="977"/>
        <v>-5.1947167580064306</v>
      </c>
      <c r="T400">
        <f t="shared" si="978"/>
        <v>-5.1947167580064305E-3</v>
      </c>
    </row>
    <row r="401" spans="1:20" x14ac:dyDescent="0.25">
      <c r="A401" s="5">
        <v>44192</v>
      </c>
      <c r="B401">
        <v>129.93</v>
      </c>
      <c r="C401">
        <v>140.41999999999999</v>
      </c>
      <c r="D401">
        <v>128</v>
      </c>
      <c r="E401">
        <v>131.15</v>
      </c>
      <c r="F401">
        <v>40483.344380000002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-0.49275362318840438</v>
      </c>
      <c r="Q401">
        <f t="shared" si="975"/>
        <v>-19948.314622028931</v>
      </c>
      <c r="R401">
        <f t="shared" si="976"/>
        <v>-547657.09747436061</v>
      </c>
      <c r="S401">
        <f t="shared" si="977"/>
        <v>-5.4765709747436064</v>
      </c>
      <c r="T401">
        <f t="shared" si="978"/>
        <v>-5.4765709747436062E-3</v>
      </c>
    </row>
    <row r="402" spans="1:20" x14ac:dyDescent="0.25">
      <c r="A402" s="5">
        <v>44191</v>
      </c>
      <c r="B402">
        <v>137.54</v>
      </c>
      <c r="C402">
        <v>138.66</v>
      </c>
      <c r="D402">
        <v>127.85</v>
      </c>
      <c r="E402">
        <v>130</v>
      </c>
      <c r="F402">
        <v>26997.64055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-0.60222016651248744</v>
      </c>
      <c r="Q402">
        <f t="shared" si="975"/>
        <v>-16258.523587465283</v>
      </c>
      <c r="R402">
        <f t="shared" si="976"/>
        <v>-527708.78285233164</v>
      </c>
      <c r="S402">
        <f t="shared" si="977"/>
        <v>-5.2770878285233165</v>
      </c>
      <c r="T402">
        <f t="shared" si="978"/>
        <v>-5.2770878285233165E-3</v>
      </c>
    </row>
    <row r="403" spans="1:20" x14ac:dyDescent="0.25">
      <c r="A403" s="5">
        <v>44190</v>
      </c>
      <c r="B403">
        <v>136.75</v>
      </c>
      <c r="C403">
        <v>143.71</v>
      </c>
      <c r="D403">
        <v>133.96</v>
      </c>
      <c r="E403">
        <v>137.69</v>
      </c>
      <c r="F403">
        <v>16585.756979999998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-0.23487179487179696</v>
      </c>
      <c r="Q403">
        <f t="shared" si="975"/>
        <v>-3895.5265112000343</v>
      </c>
      <c r="R403">
        <f t="shared" si="976"/>
        <v>-511450.25926486636</v>
      </c>
      <c r="S403">
        <f t="shared" si="977"/>
        <v>-5.1145025926486634</v>
      </c>
      <c r="T403">
        <f t="shared" si="978"/>
        <v>-5.1145025926486636E-3</v>
      </c>
    </row>
    <row r="404" spans="1:20" x14ac:dyDescent="0.25">
      <c r="A404" s="5">
        <v>44189</v>
      </c>
      <c r="B404">
        <v>129.66999999999999</v>
      </c>
      <c r="C404">
        <v>137.76</v>
      </c>
      <c r="D404">
        <v>125.66</v>
      </c>
      <c r="E404">
        <v>136.75</v>
      </c>
      <c r="F404">
        <v>26312.999919999998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0.8330578512396708</v>
      </c>
      <c r="Q404">
        <f t="shared" si="975"/>
        <v>21920.25117302483</v>
      </c>
      <c r="R404">
        <f t="shared" si="976"/>
        <v>-507554.73275366629</v>
      </c>
      <c r="S404">
        <f t="shared" si="977"/>
        <v>-5.0755473275366629</v>
      </c>
      <c r="T404">
        <f t="shared" si="978"/>
        <v>-5.0755473275366633E-3</v>
      </c>
    </row>
    <row r="405" spans="1:20" x14ac:dyDescent="0.25">
      <c r="A405" s="5">
        <v>44188</v>
      </c>
      <c r="B405">
        <v>145.36000000000001</v>
      </c>
      <c r="C405">
        <v>148.88</v>
      </c>
      <c r="D405">
        <v>122</v>
      </c>
      <c r="E405">
        <v>129.59</v>
      </c>
      <c r="F405">
        <v>39325.213819999997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-0.43526785714285682</v>
      </c>
      <c r="Q405">
        <f t="shared" si="975"/>
        <v>-17117.001551116056</v>
      </c>
      <c r="R405">
        <f t="shared" si="976"/>
        <v>-529474.98392669111</v>
      </c>
      <c r="S405">
        <f t="shared" si="977"/>
        <v>-5.2947498392669115</v>
      </c>
      <c r="T405">
        <f t="shared" si="978"/>
        <v>-5.2947498392669117E-3</v>
      </c>
    </row>
    <row r="406" spans="1:20" x14ac:dyDescent="0.25">
      <c r="A406" s="5">
        <v>44187</v>
      </c>
      <c r="B406">
        <v>141.81</v>
      </c>
      <c r="C406">
        <v>148.91</v>
      </c>
      <c r="D406">
        <v>135.69999999999999</v>
      </c>
      <c r="E406">
        <v>145.19999999999999</v>
      </c>
      <c r="F406">
        <v>31589.284589999999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0.43830431491294386</v>
      </c>
      <c r="Q406">
        <f t="shared" si="975"/>
        <v>13845.719740809964</v>
      </c>
      <c r="R406">
        <f t="shared" si="976"/>
        <v>-512357.98237557511</v>
      </c>
      <c r="S406">
        <f t="shared" si="977"/>
        <v>-5.1235798237557511</v>
      </c>
      <c r="T406">
        <f t="shared" si="978"/>
        <v>-5.1235798237557507E-3</v>
      </c>
    </row>
    <row r="407" spans="1:20" x14ac:dyDescent="0.25">
      <c r="A407" s="5">
        <v>44186</v>
      </c>
      <c r="B407">
        <v>153.53</v>
      </c>
      <c r="C407">
        <v>155.57</v>
      </c>
      <c r="D407">
        <v>139.29</v>
      </c>
      <c r="E407">
        <v>141.66</v>
      </c>
      <c r="F407">
        <v>31208.434870000001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-0.7088452088452083</v>
      </c>
      <c r="Q407">
        <f t="shared" si="975"/>
        <v>-22121.949533157233</v>
      </c>
      <c r="R407">
        <f t="shared" si="976"/>
        <v>-526203.7021163851</v>
      </c>
      <c r="S407">
        <f t="shared" si="977"/>
        <v>-5.2620370211638514</v>
      </c>
      <c r="T407">
        <f t="shared" si="978"/>
        <v>-5.2620370211638517E-3</v>
      </c>
    </row>
    <row r="408" spans="1:20" x14ac:dyDescent="0.25">
      <c r="A408" s="5">
        <v>44185</v>
      </c>
      <c r="B408">
        <v>155.76</v>
      </c>
      <c r="C408">
        <v>163.16999999999999</v>
      </c>
      <c r="D408">
        <v>151.28</v>
      </c>
      <c r="E408">
        <v>153.66999999999999</v>
      </c>
      <c r="F408">
        <v>41874.765890000002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-0.59798149705635173</v>
      </c>
      <c r="Q408">
        <f t="shared" si="975"/>
        <v>-25040.335195786454</v>
      </c>
      <c r="R408">
        <f t="shared" si="976"/>
        <v>-504081.75258322788</v>
      </c>
      <c r="S408">
        <f t="shared" si="977"/>
        <v>-5.0408175258322787</v>
      </c>
      <c r="T408">
        <f t="shared" si="978"/>
        <v>-5.0408175258322783E-3</v>
      </c>
    </row>
    <row r="409" spans="1:20" x14ac:dyDescent="0.25">
      <c r="A409" s="5">
        <v>44184</v>
      </c>
      <c r="B409">
        <v>160.41</v>
      </c>
      <c r="C409">
        <v>165.15</v>
      </c>
      <c r="D409">
        <v>154.51</v>
      </c>
      <c r="E409">
        <v>155.62</v>
      </c>
      <c r="F409">
        <v>35163.179810000001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-0.79135338345864437</v>
      </c>
      <c r="Q409">
        <f t="shared" si="975"/>
        <v>-27826.501315808193</v>
      </c>
      <c r="R409">
        <f t="shared" si="976"/>
        <v>-479041.41738744144</v>
      </c>
      <c r="S409">
        <f t="shared" si="977"/>
        <v>-4.7904141738744146</v>
      </c>
      <c r="T409">
        <f t="shared" si="978"/>
        <v>-4.7904141738744146E-3</v>
      </c>
    </row>
    <row r="410" spans="1:20" x14ac:dyDescent="0.25">
      <c r="A410" s="5">
        <v>44183</v>
      </c>
      <c r="B410">
        <v>177.39</v>
      </c>
      <c r="C410">
        <v>177.94</v>
      </c>
      <c r="D410">
        <v>150.16999999999999</v>
      </c>
      <c r="E410">
        <v>160.34</v>
      </c>
      <c r="F410">
        <v>102143.7797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-0.26755491537630449</v>
      </c>
      <c r="Q410">
        <f t="shared" si="975"/>
        <v>-27329.070333849388</v>
      </c>
      <c r="R410">
        <f t="shared" si="976"/>
        <v>-451214.91607163323</v>
      </c>
      <c r="S410">
        <f t="shared" si="977"/>
        <v>-4.5121491607163327</v>
      </c>
      <c r="T410">
        <f t="shared" si="978"/>
        <v>-4.5121491607163326E-3</v>
      </c>
    </row>
    <row r="411" spans="1:20" x14ac:dyDescent="0.25">
      <c r="A411" s="5">
        <v>44182</v>
      </c>
      <c r="B411">
        <v>155.51</v>
      </c>
      <c r="C411">
        <v>178.99</v>
      </c>
      <c r="D411">
        <v>150.88</v>
      </c>
      <c r="E411">
        <v>177.23</v>
      </c>
      <c r="F411">
        <v>89938.093699999998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0.87477765919601436</v>
      </c>
      <c r="Q411">
        <f t="shared" si="975"/>
        <v>78675.835079437806</v>
      </c>
      <c r="R411">
        <f t="shared" si="976"/>
        <v>-423885.84573778382</v>
      </c>
      <c r="S411">
        <f t="shared" si="977"/>
        <v>-4.2388584573778383</v>
      </c>
      <c r="T411">
        <f t="shared" si="978"/>
        <v>-4.2388584573778386E-3</v>
      </c>
    </row>
    <row r="412" spans="1:20" x14ac:dyDescent="0.25">
      <c r="A412" s="5">
        <v>44181</v>
      </c>
      <c r="B412">
        <v>150.01</v>
      </c>
      <c r="C412">
        <v>157.5</v>
      </c>
      <c r="D412">
        <v>144.12</v>
      </c>
      <c r="E412">
        <v>155.52000000000001</v>
      </c>
      <c r="F412">
        <v>45227.182050000003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0.70403587443946336</v>
      </c>
      <c r="Q412">
        <f t="shared" si="975"/>
        <v>31841.558663004555</v>
      </c>
      <c r="R412">
        <f t="shared" si="976"/>
        <v>-502561.68081722164</v>
      </c>
      <c r="S412">
        <f t="shared" si="977"/>
        <v>-5.0256168081722166</v>
      </c>
      <c r="T412">
        <f t="shared" si="978"/>
        <v>-5.0256168081722168E-3</v>
      </c>
    </row>
    <row r="413" spans="1:20" x14ac:dyDescent="0.25">
      <c r="A413" s="5">
        <v>44180</v>
      </c>
      <c r="B413">
        <v>153.09</v>
      </c>
      <c r="C413">
        <v>154.16</v>
      </c>
      <c r="D413">
        <v>146.31</v>
      </c>
      <c r="E413">
        <v>150.01</v>
      </c>
      <c r="F413">
        <v>41748.374660000001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-5.7324840764333425E-2</v>
      </c>
      <c r="Q413">
        <f t="shared" si="975"/>
        <v>-2393.2189295542325</v>
      </c>
      <c r="R413">
        <f t="shared" si="976"/>
        <v>-534403.23948022618</v>
      </c>
      <c r="S413">
        <f t="shared" si="977"/>
        <v>-5.3440323948022614</v>
      </c>
      <c r="T413">
        <f t="shared" si="978"/>
        <v>-5.3440323948022615E-3</v>
      </c>
    </row>
    <row r="414" spans="1:20" x14ac:dyDescent="0.25">
      <c r="A414" s="5">
        <v>44179</v>
      </c>
      <c r="B414">
        <v>147.12</v>
      </c>
      <c r="C414">
        <v>159.94</v>
      </c>
      <c r="D414">
        <v>143.54</v>
      </c>
      <c r="E414">
        <v>153.13</v>
      </c>
      <c r="F414">
        <v>48845.544049999997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0.16951219512195123</v>
      </c>
      <c r="Q414">
        <f t="shared" si="975"/>
        <v>8279.9153938414638</v>
      </c>
      <c r="R414">
        <f t="shared" si="976"/>
        <v>-532010.02055067196</v>
      </c>
      <c r="S414">
        <f t="shared" si="977"/>
        <v>-5.3201002055067192</v>
      </c>
      <c r="T414">
        <f t="shared" si="978"/>
        <v>-5.3201002055067196E-3</v>
      </c>
    </row>
    <row r="415" spans="1:20" x14ac:dyDescent="0.25">
      <c r="A415" s="5">
        <v>44178</v>
      </c>
      <c r="B415">
        <v>144.63</v>
      </c>
      <c r="C415">
        <v>153.33000000000001</v>
      </c>
      <c r="D415">
        <v>140.15</v>
      </c>
      <c r="E415">
        <v>147.36000000000001</v>
      </c>
      <c r="F415">
        <v>33152.850630000001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9.4081942336874697E-2</v>
      </c>
      <c r="Q415">
        <f t="shared" si="975"/>
        <v>3119.0845812746802</v>
      </c>
      <c r="R415">
        <f t="shared" si="976"/>
        <v>-540289.93594451342</v>
      </c>
      <c r="S415">
        <f t="shared" si="977"/>
        <v>-5.4028993594451338</v>
      </c>
      <c r="T415">
        <f t="shared" si="978"/>
        <v>-5.4028993594451334E-3</v>
      </c>
    </row>
    <row r="416" spans="1:20" x14ac:dyDescent="0.25">
      <c r="A416" s="5">
        <v>44177</v>
      </c>
      <c r="B416">
        <v>142.58000000000001</v>
      </c>
      <c r="C416">
        <v>153.80000000000001</v>
      </c>
      <c r="D416">
        <v>140</v>
      </c>
      <c r="E416">
        <v>144.66</v>
      </c>
      <c r="F416">
        <v>64029.569689999997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-0.32463768115942132</v>
      </c>
      <c r="Q416">
        <f t="shared" si="975"/>
        <v>-20786.411029797167</v>
      </c>
      <c r="R416">
        <f t="shared" si="976"/>
        <v>-543409.02052578807</v>
      </c>
      <c r="S416">
        <f t="shared" si="977"/>
        <v>-5.4340902052578803</v>
      </c>
      <c r="T416">
        <f t="shared" si="978"/>
        <v>-5.4340902052578801E-3</v>
      </c>
    </row>
    <row r="417" spans="1:20" x14ac:dyDescent="0.25">
      <c r="A417" s="5">
        <v>44176</v>
      </c>
      <c r="B417">
        <v>149.4</v>
      </c>
      <c r="C417">
        <v>153.22</v>
      </c>
      <c r="D417">
        <v>137.5</v>
      </c>
      <c r="E417">
        <v>142.65</v>
      </c>
      <c r="F417">
        <v>83059.738240000006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-0.34478371501272187</v>
      </c>
      <c r="Q417">
        <f t="shared" si="975"/>
        <v>-28637.645118371438</v>
      </c>
      <c r="R417">
        <f t="shared" si="976"/>
        <v>-522622.60949599091</v>
      </c>
      <c r="S417">
        <f t="shared" si="977"/>
        <v>-5.2262260949599089</v>
      </c>
      <c r="T417">
        <f t="shared" si="978"/>
        <v>-5.2262260949599085E-3</v>
      </c>
    </row>
    <row r="418" spans="1:20" x14ac:dyDescent="0.25">
      <c r="A418" s="5">
        <v>44175</v>
      </c>
      <c r="B418">
        <v>164.81</v>
      </c>
      <c r="C418">
        <v>166.15</v>
      </c>
      <c r="D418">
        <v>148.29</v>
      </c>
      <c r="E418">
        <v>149.32</v>
      </c>
      <c r="F418">
        <v>73812.92585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-0.88465845464725645</v>
      </c>
      <c r="Q418">
        <f t="shared" si="975"/>
        <v>-65299.228915453525</v>
      </c>
      <c r="R418">
        <f t="shared" si="976"/>
        <v>-493984.9643776195</v>
      </c>
      <c r="S418">
        <f t="shared" si="977"/>
        <v>-4.9398496437761947</v>
      </c>
      <c r="T418">
        <f t="shared" si="978"/>
        <v>-4.9398496437761943E-3</v>
      </c>
    </row>
    <row r="419" spans="1:20" x14ac:dyDescent="0.25">
      <c r="A419" s="5">
        <v>44174</v>
      </c>
      <c r="B419">
        <v>155.6</v>
      </c>
      <c r="C419">
        <v>171.62</v>
      </c>
      <c r="D419">
        <v>145.46</v>
      </c>
      <c r="E419">
        <v>164.81</v>
      </c>
      <c r="F419">
        <v>146606.74640999999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0.47935779816513735</v>
      </c>
      <c r="Q419">
        <f t="shared" si="975"/>
        <v>70277.087155252244</v>
      </c>
      <c r="R419">
        <f t="shared" si="976"/>
        <v>-428685.73546216596</v>
      </c>
      <c r="S419">
        <f t="shared" si="977"/>
        <v>-4.2868573546216595</v>
      </c>
      <c r="T419">
        <f t="shared" si="978"/>
        <v>-4.2868573546216591E-3</v>
      </c>
    </row>
    <row r="420" spans="1:20" x14ac:dyDescent="0.25">
      <c r="A420" s="5">
        <v>44173</v>
      </c>
      <c r="B420">
        <v>149.84</v>
      </c>
      <c r="C420">
        <v>179.48</v>
      </c>
      <c r="D420">
        <v>148</v>
      </c>
      <c r="E420">
        <v>155.6</v>
      </c>
      <c r="F420">
        <v>264911.73332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-0.51715374841169015</v>
      </c>
      <c r="Q420">
        <f t="shared" si="975"/>
        <v>-137000.09588467603</v>
      </c>
      <c r="R420">
        <f t="shared" si="976"/>
        <v>-498962.82261741819</v>
      </c>
      <c r="S420">
        <f t="shared" si="977"/>
        <v>-4.9896282261741822</v>
      </c>
      <c r="T420">
        <f t="shared" si="978"/>
        <v>-4.9896282261741821E-3</v>
      </c>
    </row>
    <row r="421" spans="1:20" x14ac:dyDescent="0.25">
      <c r="A421" s="5">
        <v>44172</v>
      </c>
      <c r="B421">
        <v>137.16</v>
      </c>
      <c r="C421">
        <v>151.05000000000001</v>
      </c>
      <c r="D421">
        <v>135</v>
      </c>
      <c r="E421">
        <v>149.84</v>
      </c>
      <c r="F421">
        <v>46571.649340000004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0.84922118380062217</v>
      </c>
      <c r="Q421">
        <f t="shared" si="975"/>
        <v>39549.631184062266</v>
      </c>
      <c r="R421">
        <f t="shared" si="976"/>
        <v>-361962.72673274216</v>
      </c>
      <c r="S421">
        <f t="shared" si="977"/>
        <v>-3.6196272673274215</v>
      </c>
      <c r="T421">
        <f t="shared" si="978"/>
        <v>-3.6196272673274213E-3</v>
      </c>
    </row>
    <row r="422" spans="1:20" x14ac:dyDescent="0.25">
      <c r="A422" s="5">
        <v>44171</v>
      </c>
      <c r="B422">
        <v>143.6</v>
      </c>
      <c r="C422">
        <v>144.25</v>
      </c>
      <c r="D422">
        <v>132.71</v>
      </c>
      <c r="E422">
        <v>137.01</v>
      </c>
      <c r="F422">
        <v>43789.074979999998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-0.25476603119584301</v>
      </c>
      <c r="Q422">
        <f t="shared" si="975"/>
        <v>-11155.968842391789</v>
      </c>
      <c r="R422">
        <f t="shared" si="976"/>
        <v>-401512.35791680444</v>
      </c>
      <c r="S422">
        <f t="shared" si="977"/>
        <v>-4.0151235791680442</v>
      </c>
      <c r="T422">
        <f t="shared" si="978"/>
        <v>-4.015123579168044E-3</v>
      </c>
    </row>
    <row r="423" spans="1:20" x14ac:dyDescent="0.25">
      <c r="A423" s="5">
        <v>44170</v>
      </c>
      <c r="B423">
        <v>127.1</v>
      </c>
      <c r="C423">
        <v>145.21</v>
      </c>
      <c r="D423">
        <v>125</v>
      </c>
      <c r="E423">
        <v>143.55000000000001</v>
      </c>
      <c r="F423">
        <v>77431.759789999996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0.83572488866897621</v>
      </c>
      <c r="Q423">
        <f t="shared" si="975"/>
        <v>64711.648829940656</v>
      </c>
      <c r="R423">
        <f t="shared" si="976"/>
        <v>-390356.38907441264</v>
      </c>
      <c r="S423">
        <f t="shared" si="977"/>
        <v>-3.9035638907441266</v>
      </c>
      <c r="T423">
        <f t="shared" si="978"/>
        <v>-3.9035638907441265E-3</v>
      </c>
    </row>
    <row r="424" spans="1:20" x14ac:dyDescent="0.25">
      <c r="A424" s="5">
        <v>44169</v>
      </c>
      <c r="B424">
        <v>131.66</v>
      </c>
      <c r="C424">
        <v>147.76</v>
      </c>
      <c r="D424">
        <v>124.49</v>
      </c>
      <c r="E424">
        <v>127.24</v>
      </c>
      <c r="F424">
        <v>161816.92092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-0.76364417705199827</v>
      </c>
      <c r="Q424">
        <f t="shared" si="975"/>
        <v>-123570.54940904169</v>
      </c>
      <c r="R424">
        <f t="shared" si="976"/>
        <v>-455068.03790435329</v>
      </c>
      <c r="S424">
        <f t="shared" si="977"/>
        <v>-4.5506803790435333</v>
      </c>
      <c r="T424">
        <f t="shared" si="978"/>
        <v>-4.5506803790435332E-3</v>
      </c>
    </row>
    <row r="425" spans="1:20" x14ac:dyDescent="0.25">
      <c r="A425" s="5">
        <v>44168</v>
      </c>
      <c r="B425">
        <v>113.63</v>
      </c>
      <c r="C425">
        <v>137.91999999999999</v>
      </c>
      <c r="D425">
        <v>112.61</v>
      </c>
      <c r="E425">
        <v>131.66</v>
      </c>
      <c r="F425">
        <v>141665.31080000001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0.50533386013433479</v>
      </c>
      <c r="Q425">
        <f t="shared" si="975"/>
        <v>71588.278353694273</v>
      </c>
      <c r="R425">
        <f t="shared" si="976"/>
        <v>-331497.48849531158</v>
      </c>
      <c r="S425">
        <f t="shared" si="977"/>
        <v>-3.314974884953116</v>
      </c>
      <c r="T425">
        <f t="shared" si="978"/>
        <v>-3.314974884953116E-3</v>
      </c>
    </row>
    <row r="426" spans="1:20" x14ac:dyDescent="0.25">
      <c r="A426" s="5">
        <v>44167</v>
      </c>
      <c r="B426">
        <v>104.99</v>
      </c>
      <c r="C426">
        <v>114.95</v>
      </c>
      <c r="D426">
        <v>104.11</v>
      </c>
      <c r="E426">
        <v>113.88</v>
      </c>
      <c r="F426">
        <v>44948.09302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0.80258302583025698</v>
      </c>
      <c r="Q426">
        <f t="shared" si="975"/>
        <v>36074.576501291456</v>
      </c>
      <c r="R426">
        <f t="shared" si="976"/>
        <v>-403085.76684900589</v>
      </c>
      <c r="S426">
        <f t="shared" si="977"/>
        <v>-4.030857668490059</v>
      </c>
      <c r="T426">
        <f t="shared" si="978"/>
        <v>-4.030857668490059E-3</v>
      </c>
    </row>
    <row r="427" spans="1:20" x14ac:dyDescent="0.25">
      <c r="A427" s="5">
        <v>44166</v>
      </c>
      <c r="B427">
        <v>112.16</v>
      </c>
      <c r="C427">
        <v>117.85</v>
      </c>
      <c r="D427">
        <v>100.32</v>
      </c>
      <c r="E427">
        <v>105</v>
      </c>
      <c r="F427">
        <v>48776.094810000002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-0.46605818596691312</v>
      </c>
      <c r="Q427">
        <f t="shared" si="975"/>
        <v>-22732.498265698767</v>
      </c>
      <c r="R427">
        <f t="shared" si="976"/>
        <v>-439160.34335029736</v>
      </c>
      <c r="S427">
        <f t="shared" si="977"/>
        <v>-4.3916034335029739</v>
      </c>
      <c r="T427">
        <f t="shared" si="978"/>
        <v>-4.391603433502974E-3</v>
      </c>
    </row>
    <row r="428" spans="1:20" x14ac:dyDescent="0.25">
      <c r="A428" s="5">
        <v>44165</v>
      </c>
      <c r="B428">
        <v>110.62</v>
      </c>
      <c r="C428">
        <v>114.94</v>
      </c>
      <c r="D428">
        <v>109.27</v>
      </c>
      <c r="E428">
        <v>111.96</v>
      </c>
      <c r="F428">
        <v>27513.059249999998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-5.11463844797189E-2</v>
      </c>
      <c r="Q428">
        <f t="shared" si="975"/>
        <v>-1407.1935066137864</v>
      </c>
      <c r="R428">
        <f t="shared" si="976"/>
        <v>-416427.84508459858</v>
      </c>
      <c r="S428">
        <f t="shared" si="977"/>
        <v>-4.1642784508459858</v>
      </c>
      <c r="T428">
        <f t="shared" si="978"/>
        <v>-4.164278450845986E-3</v>
      </c>
    </row>
    <row r="429" spans="1:20" x14ac:dyDescent="0.25">
      <c r="A429" s="5">
        <v>44164</v>
      </c>
      <c r="B429">
        <v>108.1</v>
      </c>
      <c r="C429">
        <v>111.5</v>
      </c>
      <c r="D429">
        <v>105.75</v>
      </c>
      <c r="E429">
        <v>110.49</v>
      </c>
      <c r="F429">
        <v>18219.683140000001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0.64869565217391123</v>
      </c>
      <c r="Q429">
        <f t="shared" si="975"/>
        <v>11819.029236904316</v>
      </c>
      <c r="R429">
        <f t="shared" si="976"/>
        <v>-415020.6515779848</v>
      </c>
      <c r="S429">
        <f t="shared" si="977"/>
        <v>-4.150206515779848</v>
      </c>
      <c r="T429">
        <f t="shared" si="978"/>
        <v>-4.1502065157798477E-3</v>
      </c>
    </row>
    <row r="430" spans="1:20" x14ac:dyDescent="0.25">
      <c r="A430" s="5">
        <v>44163</v>
      </c>
      <c r="B430">
        <v>104.6</v>
      </c>
      <c r="C430">
        <v>109.66</v>
      </c>
      <c r="D430">
        <v>102.09</v>
      </c>
      <c r="E430">
        <v>108.1</v>
      </c>
      <c r="F430">
        <v>28694.424129999999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0.58784676354028964</v>
      </c>
      <c r="Q430">
        <f t="shared" si="975"/>
        <v>16867.924356472889</v>
      </c>
      <c r="R430">
        <f t="shared" si="976"/>
        <v>-426839.68081488909</v>
      </c>
      <c r="S430">
        <f t="shared" si="977"/>
        <v>-4.268396808148891</v>
      </c>
      <c r="T430">
        <f t="shared" si="978"/>
        <v>-4.2683968081488914E-3</v>
      </c>
    </row>
    <row r="431" spans="1:20" x14ac:dyDescent="0.25">
      <c r="A431" s="5">
        <v>44162</v>
      </c>
      <c r="B431">
        <v>106.93</v>
      </c>
      <c r="C431">
        <v>109.97</v>
      </c>
      <c r="D431">
        <v>100</v>
      </c>
      <c r="E431">
        <v>104.49</v>
      </c>
      <c r="F431">
        <v>34071.432220000002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-9.9297893681044053E-2</v>
      </c>
      <c r="Q431">
        <f t="shared" si="975"/>
        <v>-3383.2214541424592</v>
      </c>
      <c r="R431">
        <f t="shared" si="976"/>
        <v>-443707.605171362</v>
      </c>
      <c r="S431">
        <f t="shared" si="977"/>
        <v>-4.4370760517136203</v>
      </c>
      <c r="T431">
        <f t="shared" si="978"/>
        <v>-4.4370760517136202E-3</v>
      </c>
    </row>
    <row r="432" spans="1:20" x14ac:dyDescent="0.25">
      <c r="A432" s="5">
        <v>44161</v>
      </c>
      <c r="B432">
        <v>122.63</v>
      </c>
      <c r="C432">
        <v>125.75</v>
      </c>
      <c r="D432">
        <v>98.5</v>
      </c>
      <c r="E432">
        <v>106.91</v>
      </c>
      <c r="F432">
        <v>83680.612099999998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-0.38275229357798191</v>
      </c>
      <c r="Q432">
        <f t="shared" si="975"/>
        <v>-32028.946209284426</v>
      </c>
      <c r="R432">
        <f t="shared" si="976"/>
        <v>-440324.38371721952</v>
      </c>
      <c r="S432">
        <f t="shared" si="977"/>
        <v>-4.4032438371721954</v>
      </c>
      <c r="T432">
        <f t="shared" si="978"/>
        <v>-4.4032438371721955E-3</v>
      </c>
    </row>
    <row r="433" spans="1:20" x14ac:dyDescent="0.25">
      <c r="A433" s="5">
        <v>44160</v>
      </c>
      <c r="B433">
        <v>127.85</v>
      </c>
      <c r="C433">
        <v>139.78</v>
      </c>
      <c r="D433">
        <v>120</v>
      </c>
      <c r="E433">
        <v>122.73</v>
      </c>
      <c r="F433">
        <v>74500.459279999995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-0.72396359959555068</v>
      </c>
      <c r="Q433">
        <f t="shared" si="975"/>
        <v>-53935.620671870543</v>
      </c>
      <c r="R433">
        <f t="shared" si="976"/>
        <v>-408295.4375079351</v>
      </c>
      <c r="S433">
        <f t="shared" si="977"/>
        <v>-4.0829543750793507</v>
      </c>
      <c r="T433">
        <f t="shared" si="978"/>
        <v>-4.082954375079351E-3</v>
      </c>
    </row>
    <row r="434" spans="1:20" x14ac:dyDescent="0.25">
      <c r="A434" s="5">
        <v>44159</v>
      </c>
      <c r="B434">
        <v>125.71</v>
      </c>
      <c r="C434">
        <v>133.44999999999999</v>
      </c>
      <c r="D434">
        <v>121.25</v>
      </c>
      <c r="E434">
        <v>127.82</v>
      </c>
      <c r="F434">
        <v>67820.569459999999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7.7049180327868741E-2</v>
      </c>
      <c r="Q434">
        <f t="shared" si="975"/>
        <v>5225.5192862622871</v>
      </c>
      <c r="R434">
        <f t="shared" si="976"/>
        <v>-354359.81683606456</v>
      </c>
      <c r="S434">
        <f t="shared" si="977"/>
        <v>-3.5435981683606457</v>
      </c>
      <c r="T434">
        <f t="shared" si="978"/>
        <v>-3.5435981683606455E-3</v>
      </c>
    </row>
    <row r="435" spans="1:20" x14ac:dyDescent="0.25">
      <c r="A435" s="5">
        <v>44158</v>
      </c>
      <c r="B435">
        <v>116.95</v>
      </c>
      <c r="C435">
        <v>129.44999999999999</v>
      </c>
      <c r="D435">
        <v>115.6</v>
      </c>
      <c r="E435">
        <v>125.6</v>
      </c>
      <c r="F435">
        <v>58579.5124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0.44404332129963958</v>
      </c>
      <c r="Q435">
        <f t="shared" si="975"/>
        <v>26011.84124620942</v>
      </c>
      <c r="R435">
        <f t="shared" si="976"/>
        <v>-359585.33612232684</v>
      </c>
      <c r="S435">
        <f t="shared" si="977"/>
        <v>-3.5958533612232686</v>
      </c>
      <c r="T435">
        <f t="shared" si="978"/>
        <v>-3.5958533612232687E-3</v>
      </c>
    </row>
    <row r="436" spans="1:20" x14ac:dyDescent="0.25">
      <c r="A436" s="5">
        <v>44157</v>
      </c>
      <c r="B436">
        <v>127.38</v>
      </c>
      <c r="C436">
        <v>129</v>
      </c>
      <c r="D436">
        <v>112.48</v>
      </c>
      <c r="E436">
        <v>116.88</v>
      </c>
      <c r="F436">
        <v>51267.494850000003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-0.46731234866828175</v>
      </c>
      <c r="Q436">
        <f t="shared" si="975"/>
        <v>-23957.93342869254</v>
      </c>
      <c r="R436">
        <f t="shared" si="976"/>
        <v>-385597.17736853624</v>
      </c>
      <c r="S436">
        <f t="shared" si="977"/>
        <v>-3.8559717736853623</v>
      </c>
      <c r="T436">
        <f t="shared" si="978"/>
        <v>-3.8559717736853624E-3</v>
      </c>
    </row>
    <row r="437" spans="1:20" x14ac:dyDescent="0.25">
      <c r="A437" s="5">
        <v>44156</v>
      </c>
      <c r="B437">
        <v>116.09</v>
      </c>
      <c r="C437">
        <v>128.4</v>
      </c>
      <c r="D437">
        <v>112.66</v>
      </c>
      <c r="E437">
        <v>127.38</v>
      </c>
      <c r="F437">
        <v>63402.531869999999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0.87039390088945234</v>
      </c>
      <c r="Q437">
        <f t="shared" si="975"/>
        <v>55185.177040597126</v>
      </c>
      <c r="R437">
        <f t="shared" si="976"/>
        <v>-361639.24393984373</v>
      </c>
      <c r="S437">
        <f t="shared" si="977"/>
        <v>-3.6163924393984375</v>
      </c>
      <c r="T437">
        <f t="shared" si="978"/>
        <v>-3.6163924393984373E-3</v>
      </c>
    </row>
    <row r="438" spans="1:20" x14ac:dyDescent="0.25">
      <c r="A438" s="5">
        <v>44155</v>
      </c>
      <c r="B438">
        <v>113.38</v>
      </c>
      <c r="C438">
        <v>124</v>
      </c>
      <c r="D438">
        <v>113.21</v>
      </c>
      <c r="E438">
        <v>116.23</v>
      </c>
      <c r="F438">
        <v>42126.608289999996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-0.44022242817423385</v>
      </c>
      <c r="Q438">
        <f t="shared" si="975"/>
        <v>-18545.077792168609</v>
      </c>
      <c r="R438">
        <f t="shared" si="976"/>
        <v>-416824.42098044086</v>
      </c>
      <c r="S438">
        <f t="shared" si="977"/>
        <v>-4.168244209804409</v>
      </c>
      <c r="T438">
        <f t="shared" si="978"/>
        <v>-4.1682442098044089E-3</v>
      </c>
    </row>
    <row r="439" spans="1:20" x14ac:dyDescent="0.25">
      <c r="A439" s="5">
        <v>44154</v>
      </c>
      <c r="B439">
        <v>114.35</v>
      </c>
      <c r="C439">
        <v>118.5</v>
      </c>
      <c r="D439">
        <v>108.64</v>
      </c>
      <c r="E439">
        <v>113.32</v>
      </c>
      <c r="F439">
        <v>39781.088150000003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-5.0709939148074465E-2</v>
      </c>
      <c r="Q439">
        <f t="shared" si="975"/>
        <v>-2017.2965593306863</v>
      </c>
      <c r="R439">
        <f t="shared" si="976"/>
        <v>-398279.34318827227</v>
      </c>
      <c r="S439">
        <f t="shared" si="977"/>
        <v>-3.9827934318827225</v>
      </c>
      <c r="T439">
        <f t="shared" si="978"/>
        <v>-3.9827934318827224E-3</v>
      </c>
    </row>
    <row r="440" spans="1:20" x14ac:dyDescent="0.25">
      <c r="A440" s="5">
        <v>44153</v>
      </c>
      <c r="B440">
        <v>122.67</v>
      </c>
      <c r="C440">
        <v>126</v>
      </c>
      <c r="D440">
        <v>107.01</v>
      </c>
      <c r="E440">
        <v>114.13</v>
      </c>
      <c r="F440">
        <v>61270.776639999996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-0.25013164823591444</v>
      </c>
      <c r="Q440">
        <f t="shared" si="975"/>
        <v>-15325.760349657763</v>
      </c>
      <c r="R440">
        <f t="shared" si="976"/>
        <v>-396262.04662894161</v>
      </c>
      <c r="S440">
        <f t="shared" si="977"/>
        <v>-3.9626204662894162</v>
      </c>
      <c r="T440">
        <f t="shared" si="978"/>
        <v>-3.962620466289416E-3</v>
      </c>
    </row>
    <row r="441" spans="1:20" x14ac:dyDescent="0.25">
      <c r="A441" s="5">
        <v>44152</v>
      </c>
      <c r="B441">
        <v>120.27</v>
      </c>
      <c r="C441">
        <v>127.54</v>
      </c>
      <c r="D441">
        <v>118.16</v>
      </c>
      <c r="E441">
        <v>122.66</v>
      </c>
      <c r="F441">
        <v>36049.199619999999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-4.0511727078892244E-2</v>
      </c>
      <c r="Q441">
        <f t="shared" si="975"/>
        <v>-1460.415336417946</v>
      </c>
      <c r="R441">
        <f t="shared" si="976"/>
        <v>-380936.28627928387</v>
      </c>
      <c r="S441">
        <f t="shared" si="977"/>
        <v>-3.8093628627928386</v>
      </c>
      <c r="T441">
        <f t="shared" si="978"/>
        <v>-3.8093628627928386E-3</v>
      </c>
    </row>
    <row r="442" spans="1:20" x14ac:dyDescent="0.25">
      <c r="A442" s="5">
        <v>44151</v>
      </c>
      <c r="B442">
        <v>119.86</v>
      </c>
      <c r="C442">
        <v>124.88</v>
      </c>
      <c r="D442">
        <v>114.41</v>
      </c>
      <c r="E442">
        <v>120.07</v>
      </c>
      <c r="F442">
        <v>34749.794070000004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8.1184336198662319E-2</v>
      </c>
      <c r="Q442">
        <f t="shared" si="975"/>
        <v>2821.1389646131624</v>
      </c>
      <c r="R442">
        <f t="shared" si="976"/>
        <v>-379475.87094286591</v>
      </c>
      <c r="S442">
        <f t="shared" si="977"/>
        <v>-3.7947587094286592</v>
      </c>
      <c r="T442">
        <f t="shared" si="978"/>
        <v>-3.7947587094286591E-3</v>
      </c>
    </row>
    <row r="443" spans="1:20" x14ac:dyDescent="0.25">
      <c r="A443" s="5">
        <v>44150</v>
      </c>
      <c r="B443">
        <v>121.62</v>
      </c>
      <c r="C443">
        <v>130.4</v>
      </c>
      <c r="D443">
        <v>113.55</v>
      </c>
      <c r="E443">
        <v>120.2</v>
      </c>
      <c r="F443">
        <v>69466.760389999996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-0.2106824925816021</v>
      </c>
      <c r="Q443">
        <f t="shared" si="975"/>
        <v>-14635.430230534104</v>
      </c>
      <c r="R443">
        <f t="shared" si="976"/>
        <v>-382297.00990747905</v>
      </c>
      <c r="S443">
        <f t="shared" si="977"/>
        <v>-3.8229700990747904</v>
      </c>
      <c r="T443">
        <f t="shared" si="978"/>
        <v>-3.8229700990747902E-3</v>
      </c>
    </row>
    <row r="444" spans="1:20" x14ac:dyDescent="0.25">
      <c r="A444" s="5">
        <v>44149</v>
      </c>
      <c r="B444">
        <v>116.55</v>
      </c>
      <c r="C444">
        <v>124.41</v>
      </c>
      <c r="D444">
        <v>107.21</v>
      </c>
      <c r="E444">
        <v>121.6</v>
      </c>
      <c r="F444">
        <v>83087.575490000003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0.67325581395348821</v>
      </c>
      <c r="Q444">
        <f t="shared" si="975"/>
        <v>55939.193265941853</v>
      </c>
      <c r="R444">
        <f t="shared" si="976"/>
        <v>-367661.57967694494</v>
      </c>
      <c r="S444">
        <f t="shared" si="977"/>
        <v>-3.6766157967694495</v>
      </c>
      <c r="T444">
        <f t="shared" si="978"/>
        <v>-3.6766157967694493E-3</v>
      </c>
    </row>
    <row r="445" spans="1:20" x14ac:dyDescent="0.25">
      <c r="A445" s="5">
        <v>44148</v>
      </c>
      <c r="B445">
        <v>104.32</v>
      </c>
      <c r="C445">
        <v>118</v>
      </c>
      <c r="D445">
        <v>103.09</v>
      </c>
      <c r="E445">
        <v>116.42</v>
      </c>
      <c r="F445">
        <v>63690.02794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0.78806170355466143</v>
      </c>
      <c r="Q445">
        <f t="shared" si="975"/>
        <v>50191.671917840387</v>
      </c>
      <c r="R445">
        <f t="shared" si="976"/>
        <v>-423600.7729428868</v>
      </c>
      <c r="S445">
        <f t="shared" si="977"/>
        <v>-4.2360077294288683</v>
      </c>
      <c r="T445">
        <f t="shared" si="978"/>
        <v>-4.236007729428868E-3</v>
      </c>
    </row>
    <row r="446" spans="1:20" x14ac:dyDescent="0.25">
      <c r="A446" s="5">
        <v>44147</v>
      </c>
      <c r="B446">
        <v>103.2</v>
      </c>
      <c r="C446">
        <v>108.77</v>
      </c>
      <c r="D446">
        <v>99.25</v>
      </c>
      <c r="E446">
        <v>104.35</v>
      </c>
      <c r="F446">
        <v>34780.79449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7.1428571428570689E-2</v>
      </c>
      <c r="Q446">
        <f t="shared" si="975"/>
        <v>2484.3424635714027</v>
      </c>
      <c r="R446">
        <f t="shared" si="976"/>
        <v>-473792.44486072718</v>
      </c>
      <c r="S446">
        <f t="shared" si="977"/>
        <v>-4.7379244486072718</v>
      </c>
      <c r="T446">
        <f t="shared" si="978"/>
        <v>-4.7379244486072721E-3</v>
      </c>
    </row>
    <row r="447" spans="1:20" x14ac:dyDescent="0.25">
      <c r="A447" s="5">
        <v>44146</v>
      </c>
      <c r="B447">
        <v>102.65</v>
      </c>
      <c r="C447">
        <v>114.63</v>
      </c>
      <c r="D447">
        <v>98.7</v>
      </c>
      <c r="E447">
        <v>103.18</v>
      </c>
      <c r="F447">
        <v>62668.664850000001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-0.43753923414940288</v>
      </c>
      <c r="Q447">
        <f t="shared" si="975"/>
        <v>-27419.999623634605</v>
      </c>
      <c r="R447">
        <f t="shared" si="976"/>
        <v>-476276.78732429858</v>
      </c>
      <c r="S447">
        <f t="shared" si="977"/>
        <v>-4.7627678732429857</v>
      </c>
      <c r="T447">
        <f t="shared" si="978"/>
        <v>-4.7627678732429859E-3</v>
      </c>
    </row>
    <row r="448" spans="1:20" x14ac:dyDescent="0.25">
      <c r="A448" s="5">
        <v>44145</v>
      </c>
      <c r="B448">
        <v>94.97</v>
      </c>
      <c r="C448">
        <v>105.47</v>
      </c>
      <c r="D448">
        <v>94</v>
      </c>
      <c r="E448">
        <v>102.57</v>
      </c>
      <c r="F448">
        <v>31453.64615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0.49433304272013845</v>
      </c>
      <c r="Q448">
        <f t="shared" si="975"/>
        <v>15548.576605972068</v>
      </c>
      <c r="R448">
        <f t="shared" si="976"/>
        <v>-448856.78770066396</v>
      </c>
      <c r="S448">
        <f t="shared" si="977"/>
        <v>-4.4885678770066395</v>
      </c>
      <c r="T448">
        <f t="shared" si="978"/>
        <v>-4.4885678770066398E-3</v>
      </c>
    </row>
    <row r="449" spans="1:20" x14ac:dyDescent="0.25">
      <c r="A449" s="5">
        <v>44144</v>
      </c>
      <c r="B449">
        <v>97.07</v>
      </c>
      <c r="C449">
        <v>100.29</v>
      </c>
      <c r="D449">
        <v>93.07</v>
      </c>
      <c r="E449">
        <v>94.78</v>
      </c>
      <c r="F449">
        <v>27983.604879999999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-0.52631578947368285</v>
      </c>
      <c r="Q449">
        <f t="shared" si="975"/>
        <v>-14728.213094736804</v>
      </c>
      <c r="R449">
        <f t="shared" si="976"/>
        <v>-464405.36430663604</v>
      </c>
      <c r="S449">
        <f t="shared" si="977"/>
        <v>-4.6440536430663606</v>
      </c>
      <c r="T449">
        <f t="shared" si="978"/>
        <v>-4.644053643066361E-3</v>
      </c>
    </row>
    <row r="450" spans="1:20" x14ac:dyDescent="0.25">
      <c r="A450" s="5">
        <v>44143</v>
      </c>
      <c r="B450">
        <v>92.41</v>
      </c>
      <c r="C450">
        <v>101</v>
      </c>
      <c r="D450">
        <v>91.22</v>
      </c>
      <c r="E450">
        <v>97.13</v>
      </c>
      <c r="F450">
        <v>26298.912509999998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0.20858895705521388</v>
      </c>
      <c r="Q450">
        <f t="shared" si="975"/>
        <v>5485.662732147217</v>
      </c>
      <c r="R450">
        <f t="shared" si="976"/>
        <v>-449677.15121189924</v>
      </c>
      <c r="S450">
        <f t="shared" si="977"/>
        <v>-4.4967715121189924</v>
      </c>
      <c r="T450">
        <f t="shared" si="978"/>
        <v>-4.4967715121189923E-3</v>
      </c>
    </row>
    <row r="451" spans="1:20" x14ac:dyDescent="0.25">
      <c r="A451" s="5">
        <v>44142</v>
      </c>
      <c r="B451">
        <v>95.84</v>
      </c>
      <c r="C451">
        <v>111.8</v>
      </c>
      <c r="D451">
        <v>89.5</v>
      </c>
      <c r="E451">
        <v>92.41</v>
      </c>
      <c r="F451">
        <v>74455.884309999994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-0.73901345291479847</v>
      </c>
      <c r="Q451">
        <f t="shared" si="975"/>
        <v>-55023.900153757866</v>
      </c>
      <c r="R451">
        <f t="shared" si="976"/>
        <v>-455162.81394404644</v>
      </c>
      <c r="S451">
        <f t="shared" si="977"/>
        <v>-4.5516281394404645</v>
      </c>
      <c r="T451">
        <f t="shared" si="978"/>
        <v>-4.5516281394404647E-3</v>
      </c>
    </row>
    <row r="452" spans="1:20" x14ac:dyDescent="0.25">
      <c r="A452" s="5">
        <v>44141</v>
      </c>
      <c r="B452">
        <v>90.9</v>
      </c>
      <c r="C452">
        <v>99.81</v>
      </c>
      <c r="D452">
        <v>88.56</v>
      </c>
      <c r="E452">
        <v>95.86</v>
      </c>
      <c r="F452">
        <v>59075.572419999997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0.29777777777777725</v>
      </c>
      <c r="Q452">
        <f t="shared" si="975"/>
        <v>17591.392676177747</v>
      </c>
      <c r="R452">
        <f t="shared" si="976"/>
        <v>-400138.91379028856</v>
      </c>
      <c r="S452">
        <f t="shared" si="977"/>
        <v>-4.0013891379028852</v>
      </c>
      <c r="T452">
        <f t="shared" si="978"/>
        <v>-4.0013891379028855E-3</v>
      </c>
    </row>
    <row r="453" spans="1:20" x14ac:dyDescent="0.25">
      <c r="A453" s="5">
        <v>44140</v>
      </c>
      <c r="B453">
        <v>88.94</v>
      </c>
      <c r="C453">
        <v>93.69</v>
      </c>
      <c r="D453">
        <v>83.21</v>
      </c>
      <c r="E453">
        <v>90.91</v>
      </c>
      <c r="F453">
        <v>32669.317040000002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0.46946564885496184</v>
      </c>
      <c r="Q453">
        <f t="shared" si="975"/>
        <v>15337.122121832062</v>
      </c>
      <c r="R453">
        <f t="shared" si="976"/>
        <v>-417730.30646646628</v>
      </c>
      <c r="S453">
        <f t="shared" si="977"/>
        <v>-4.1773030646646632</v>
      </c>
      <c r="T453">
        <f t="shared" si="978"/>
        <v>-4.1773030646646628E-3</v>
      </c>
    </row>
    <row r="454" spans="1:20" x14ac:dyDescent="0.25">
      <c r="A454" s="5">
        <v>44139</v>
      </c>
      <c r="B454">
        <v>87.58</v>
      </c>
      <c r="C454">
        <v>89.08</v>
      </c>
      <c r="D454">
        <v>81.38</v>
      </c>
      <c r="E454">
        <v>88.71</v>
      </c>
      <c r="F454">
        <v>18488.552650000001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0.90389610389610275</v>
      </c>
      <c r="Q454">
        <f t="shared" ref="Q454:Q517" si="980">F454*P454</f>
        <v>16711.730707012968</v>
      </c>
      <c r="R454">
        <f t="shared" ref="R454:R517" si="981">R455+Q454</f>
        <v>-433067.42858829832</v>
      </c>
      <c r="S454">
        <f t="shared" ref="S454:S517" si="982">R454/100000</f>
        <v>-4.3306742858829832</v>
      </c>
      <c r="T454">
        <f t="shared" ref="T454:T517" si="983">S454/1000</f>
        <v>-4.3306742858829836E-3</v>
      </c>
    </row>
    <row r="455" spans="1:20" x14ac:dyDescent="0.25">
      <c r="A455" s="5">
        <v>44138</v>
      </c>
      <c r="B455">
        <v>91.08</v>
      </c>
      <c r="C455">
        <v>91.08</v>
      </c>
      <c r="D455">
        <v>80.62</v>
      </c>
      <c r="E455">
        <v>87.47</v>
      </c>
      <c r="F455">
        <v>45003.410109999997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0.30975143403441652</v>
      </c>
      <c r="Q455">
        <f t="shared" si="980"/>
        <v>13939.870818011457</v>
      </c>
      <c r="R455">
        <f t="shared" si="981"/>
        <v>-449779.15929531131</v>
      </c>
      <c r="S455">
        <f t="shared" si="982"/>
        <v>-4.4977915929531127</v>
      </c>
      <c r="T455">
        <f t="shared" si="983"/>
        <v>-4.4977915929531129E-3</v>
      </c>
    </row>
    <row r="456" spans="1:20" x14ac:dyDescent="0.25">
      <c r="A456" s="5">
        <v>44137</v>
      </c>
      <c r="B456">
        <v>93.97</v>
      </c>
      <c r="C456">
        <v>99.18</v>
      </c>
      <c r="D456">
        <v>90.16</v>
      </c>
      <c r="E456">
        <v>91.44</v>
      </c>
      <c r="F456">
        <v>16978.70451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-0.71618625277161874</v>
      </c>
      <c r="Q456">
        <f t="shared" si="980"/>
        <v>-12159.914759933483</v>
      </c>
      <c r="R456">
        <f t="shared" si="981"/>
        <v>-463719.03011332278</v>
      </c>
      <c r="S456">
        <f t="shared" si="982"/>
        <v>-4.6371903011332281</v>
      </c>
      <c r="T456">
        <f t="shared" si="983"/>
        <v>-4.637190301133228E-3</v>
      </c>
    </row>
    <row r="457" spans="1:20" x14ac:dyDescent="0.25">
      <c r="A457" s="5">
        <v>44136</v>
      </c>
      <c r="B457">
        <v>90.76</v>
      </c>
      <c r="C457">
        <v>96.32</v>
      </c>
      <c r="D457">
        <v>89.35</v>
      </c>
      <c r="E457">
        <v>93.84</v>
      </c>
      <c r="F457">
        <v>19377.818230000001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0.28837876614060542</v>
      </c>
      <c r="Q457">
        <f t="shared" si="980"/>
        <v>5588.1513116643309</v>
      </c>
      <c r="R457">
        <f t="shared" si="981"/>
        <v>-451559.11535338929</v>
      </c>
      <c r="S457">
        <f t="shared" si="982"/>
        <v>-4.5155911535338928</v>
      </c>
      <c r="T457">
        <f t="shared" si="983"/>
        <v>-4.5155911535338924E-3</v>
      </c>
    </row>
    <row r="458" spans="1:20" x14ac:dyDescent="0.25">
      <c r="A458" s="5">
        <v>44135</v>
      </c>
      <c r="B458">
        <v>92</v>
      </c>
      <c r="C458">
        <v>94.97</v>
      </c>
      <c r="D458">
        <v>89.02</v>
      </c>
      <c r="E458">
        <v>90.83</v>
      </c>
      <c r="F458">
        <v>29475.117010000002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-0.39159663865546174</v>
      </c>
      <c r="Q458">
        <f t="shared" si="980"/>
        <v>-11542.356745092424</v>
      </c>
      <c r="R458">
        <f t="shared" si="981"/>
        <v>-457147.26666505361</v>
      </c>
      <c r="S458">
        <f t="shared" si="982"/>
        <v>-4.5714726666505365</v>
      </c>
      <c r="T458">
        <f t="shared" si="983"/>
        <v>-4.5714726666505369E-3</v>
      </c>
    </row>
    <row r="459" spans="1:20" x14ac:dyDescent="0.25">
      <c r="A459" s="5">
        <v>44134</v>
      </c>
      <c r="B459">
        <v>96.86</v>
      </c>
      <c r="C459">
        <v>99.27</v>
      </c>
      <c r="D459">
        <v>88.29</v>
      </c>
      <c r="E459">
        <v>92.05</v>
      </c>
      <c r="F459">
        <v>37133.246310000002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-0.31511839708561123</v>
      </c>
      <c r="Q459">
        <f t="shared" si="980"/>
        <v>-11701.369055792389</v>
      </c>
      <c r="R459">
        <f t="shared" si="981"/>
        <v>-445604.90991996118</v>
      </c>
      <c r="S459">
        <f t="shared" si="982"/>
        <v>-4.4560490991996122</v>
      </c>
      <c r="T459">
        <f t="shared" si="983"/>
        <v>-4.4560490991996122E-3</v>
      </c>
    </row>
    <row r="460" spans="1:20" x14ac:dyDescent="0.25">
      <c r="A460" s="5">
        <v>44133</v>
      </c>
      <c r="B460">
        <v>107.76</v>
      </c>
      <c r="C460">
        <v>111.91</v>
      </c>
      <c r="D460">
        <v>93.96</v>
      </c>
      <c r="E460">
        <v>96.97</v>
      </c>
      <c r="F460">
        <v>53225.319779999998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-0.66462395543175434</v>
      </c>
      <c r="Q460">
        <f t="shared" si="980"/>
        <v>-35374.82256130359</v>
      </c>
      <c r="R460">
        <f t="shared" si="981"/>
        <v>-433903.54086416878</v>
      </c>
      <c r="S460">
        <f t="shared" si="982"/>
        <v>-4.3390354086416876</v>
      </c>
      <c r="T460">
        <f t="shared" si="983"/>
        <v>-4.339035408641688E-3</v>
      </c>
    </row>
    <row r="461" spans="1:20" x14ac:dyDescent="0.25">
      <c r="A461" s="5">
        <v>44132</v>
      </c>
      <c r="B461">
        <v>109.02</v>
      </c>
      <c r="C461">
        <v>120.89</v>
      </c>
      <c r="D461">
        <v>104.48</v>
      </c>
      <c r="E461">
        <v>107.82</v>
      </c>
      <c r="F461">
        <v>68340.917660000006</v>
      </c>
      <c r="G461">
        <v>0</v>
      </c>
      <c r="L461" t="s">
        <v>8</v>
      </c>
      <c r="M461" t="s">
        <v>8</v>
      </c>
      <c r="N461" t="s">
        <v>7</v>
      </c>
      <c r="P461">
        <f t="shared" si="979"/>
        <v>-0.59293113954905674</v>
      </c>
      <c r="Q461">
        <f t="shared" si="980"/>
        <v>-40521.458185972057</v>
      </c>
      <c r="R461">
        <f t="shared" si="981"/>
        <v>-398528.71830286522</v>
      </c>
      <c r="S461">
        <f t="shared" si="982"/>
        <v>-3.9852871830286523</v>
      </c>
      <c r="T461">
        <f t="shared" si="983"/>
        <v>-3.9852871830286527E-3</v>
      </c>
    </row>
    <row r="462" spans="1:20" x14ac:dyDescent="0.25">
      <c r="A462" s="5">
        <v>44131</v>
      </c>
      <c r="B462">
        <v>100</v>
      </c>
      <c r="C462">
        <v>113.71</v>
      </c>
      <c r="D462">
        <v>99.59</v>
      </c>
      <c r="E462">
        <v>109.02</v>
      </c>
      <c r="F462">
        <v>56766.297830000003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0.33569405099150129</v>
      </c>
      <c r="Q462">
        <f t="shared" si="980"/>
        <v>19056.108478342769</v>
      </c>
      <c r="R462">
        <f t="shared" si="981"/>
        <v>-358007.26011689316</v>
      </c>
      <c r="S462">
        <f t="shared" si="982"/>
        <v>-3.5800726011689314</v>
      </c>
      <c r="T462">
        <f t="shared" si="983"/>
        <v>-3.5800726011689316E-3</v>
      </c>
    </row>
    <row r="463" spans="1:20" x14ac:dyDescent="0.25">
      <c r="A463" s="5">
        <v>44130</v>
      </c>
      <c r="B463">
        <v>101.2</v>
      </c>
      <c r="C463">
        <v>104.53</v>
      </c>
      <c r="D463">
        <v>97.76</v>
      </c>
      <c r="E463">
        <v>100</v>
      </c>
      <c r="F463">
        <v>24445.465800000002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-0.33825701624815474</v>
      </c>
      <c r="Q463">
        <f t="shared" si="980"/>
        <v>-8268.8503223043117</v>
      </c>
      <c r="R463">
        <f t="shared" si="981"/>
        <v>-377063.36859523592</v>
      </c>
      <c r="S463">
        <f t="shared" si="982"/>
        <v>-3.770633685952359</v>
      </c>
      <c r="T463">
        <f t="shared" si="983"/>
        <v>-3.7706336859523589E-3</v>
      </c>
    </row>
    <row r="464" spans="1:20" x14ac:dyDescent="0.25">
      <c r="A464" s="5">
        <v>44129</v>
      </c>
      <c r="B464">
        <v>105.2</v>
      </c>
      <c r="C464">
        <v>105.48</v>
      </c>
      <c r="D464">
        <v>101.17</v>
      </c>
      <c r="E464">
        <v>101.2</v>
      </c>
      <c r="F464">
        <v>17026.000179999999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-0.98607888631090435</v>
      </c>
      <c r="Q464">
        <f t="shared" si="980"/>
        <v>-16788.979295823658</v>
      </c>
      <c r="R464">
        <f t="shared" si="981"/>
        <v>-368794.51827293163</v>
      </c>
      <c r="S464">
        <f t="shared" si="982"/>
        <v>-3.6879451827293162</v>
      </c>
      <c r="T464">
        <f t="shared" si="983"/>
        <v>-3.6879451827293163E-3</v>
      </c>
    </row>
    <row r="465" spans="1:20" x14ac:dyDescent="0.25">
      <c r="A465" s="5">
        <v>44128</v>
      </c>
      <c r="B465">
        <v>102.93</v>
      </c>
      <c r="C465">
        <v>107.82</v>
      </c>
      <c r="D465">
        <v>101</v>
      </c>
      <c r="E465">
        <v>105.23</v>
      </c>
      <c r="F465">
        <v>14690.56871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0.24046920821114609</v>
      </c>
      <c r="Q465">
        <f t="shared" si="980"/>
        <v>3532.6294258651378</v>
      </c>
      <c r="R465">
        <f t="shared" si="981"/>
        <v>-352005.53897710796</v>
      </c>
      <c r="S465">
        <f t="shared" si="982"/>
        <v>-3.5200553897710796</v>
      </c>
      <c r="T465">
        <f t="shared" si="983"/>
        <v>-3.5200553897710794E-3</v>
      </c>
    </row>
    <row r="466" spans="1:20" x14ac:dyDescent="0.25">
      <c r="A466" s="5">
        <v>44127</v>
      </c>
      <c r="B466">
        <v>102.3</v>
      </c>
      <c r="C466">
        <v>106.52</v>
      </c>
      <c r="D466">
        <v>99.37</v>
      </c>
      <c r="E466">
        <v>103</v>
      </c>
      <c r="F466">
        <v>24589.525119999998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1.5384615384615323E-2</v>
      </c>
      <c r="Q466">
        <f t="shared" si="980"/>
        <v>378.3003864615369</v>
      </c>
      <c r="R466">
        <f t="shared" si="981"/>
        <v>-355538.1684029731</v>
      </c>
      <c r="S466">
        <f t="shared" si="982"/>
        <v>-3.5553816840297308</v>
      </c>
      <c r="T466">
        <f t="shared" si="983"/>
        <v>-3.5553816840297307E-3</v>
      </c>
    </row>
    <row r="467" spans="1:20" x14ac:dyDescent="0.25">
      <c r="A467" s="5">
        <v>44126</v>
      </c>
      <c r="B467">
        <v>95.39</v>
      </c>
      <c r="C467">
        <v>103.03</v>
      </c>
      <c r="D467">
        <v>95.39</v>
      </c>
      <c r="E467">
        <v>102.43</v>
      </c>
      <c r="F467">
        <v>22793.628489999999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0.84293193717277637</v>
      </c>
      <c r="Q467">
        <f t="shared" si="980"/>
        <v>19213.477418272283</v>
      </c>
      <c r="R467">
        <f t="shared" si="981"/>
        <v>-355916.46878943464</v>
      </c>
      <c r="S467">
        <f t="shared" si="982"/>
        <v>-3.5591646878943464</v>
      </c>
      <c r="T467">
        <f t="shared" si="983"/>
        <v>-3.5591646878943462E-3</v>
      </c>
    </row>
    <row r="468" spans="1:20" x14ac:dyDescent="0.25">
      <c r="A468" s="5">
        <v>44125</v>
      </c>
      <c r="B468">
        <v>94.95</v>
      </c>
      <c r="C468">
        <v>100</v>
      </c>
      <c r="D468">
        <v>92.74</v>
      </c>
      <c r="E468">
        <v>95.35</v>
      </c>
      <c r="F468">
        <v>26192.296770000001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-0.28099173553719076</v>
      </c>
      <c r="Q468">
        <f t="shared" si="980"/>
        <v>-7359.8189271074561</v>
      </c>
      <c r="R468">
        <f t="shared" si="981"/>
        <v>-375129.94620770693</v>
      </c>
      <c r="S468">
        <f t="shared" si="982"/>
        <v>-3.7512994620770694</v>
      </c>
      <c r="T468">
        <f t="shared" si="983"/>
        <v>-3.7512994620770694E-3</v>
      </c>
    </row>
    <row r="469" spans="1:20" x14ac:dyDescent="0.25">
      <c r="A469" s="5">
        <v>44124</v>
      </c>
      <c r="B469">
        <v>102.8</v>
      </c>
      <c r="C469">
        <v>102.89</v>
      </c>
      <c r="D469">
        <v>92.72</v>
      </c>
      <c r="E469">
        <v>94.85</v>
      </c>
      <c r="F469">
        <v>26342.79378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-0.58112094395280334</v>
      </c>
      <c r="Q469">
        <f t="shared" si="980"/>
        <v>-15308.349187787637</v>
      </c>
      <c r="R469">
        <f t="shared" si="981"/>
        <v>-367770.1272805995</v>
      </c>
      <c r="S469">
        <f t="shared" si="982"/>
        <v>-3.677701272805995</v>
      </c>
      <c r="T469">
        <f t="shared" si="983"/>
        <v>-3.677701272805995E-3</v>
      </c>
    </row>
    <row r="470" spans="1:20" x14ac:dyDescent="0.25">
      <c r="A470" s="5">
        <v>44123</v>
      </c>
      <c r="B470">
        <v>104.74</v>
      </c>
      <c r="C470">
        <v>105.73</v>
      </c>
      <c r="D470">
        <v>101.37</v>
      </c>
      <c r="E470">
        <v>102.78</v>
      </c>
      <c r="F470">
        <v>18955.686730000001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-0.35321100917431342</v>
      </c>
      <c r="Q470">
        <f t="shared" si="980"/>
        <v>-6695.3572394954417</v>
      </c>
      <c r="R470">
        <f t="shared" si="981"/>
        <v>-352461.77809281187</v>
      </c>
      <c r="S470">
        <f t="shared" si="982"/>
        <v>-3.5246177809281187</v>
      </c>
      <c r="T470">
        <f t="shared" si="983"/>
        <v>-3.5246177809281189E-3</v>
      </c>
    </row>
    <row r="471" spans="1:20" x14ac:dyDescent="0.25">
      <c r="A471" s="5">
        <v>44122</v>
      </c>
      <c r="B471">
        <v>103.09</v>
      </c>
      <c r="C471">
        <v>107.92</v>
      </c>
      <c r="D471">
        <v>102.49</v>
      </c>
      <c r="E471">
        <v>104.89</v>
      </c>
      <c r="F471">
        <v>22010.47597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-0.11602209944751282</v>
      </c>
      <c r="Q471">
        <f t="shared" si="980"/>
        <v>-2553.7016318784313</v>
      </c>
      <c r="R471">
        <f t="shared" si="981"/>
        <v>-345766.42085331643</v>
      </c>
      <c r="S471">
        <f t="shared" si="982"/>
        <v>-3.4576642085331644</v>
      </c>
      <c r="T471">
        <f t="shared" si="983"/>
        <v>-3.4576642085331643E-3</v>
      </c>
    </row>
    <row r="472" spans="1:20" x14ac:dyDescent="0.25">
      <c r="A472" s="5">
        <v>44121</v>
      </c>
      <c r="B472">
        <v>103.54</v>
      </c>
      <c r="C472">
        <v>105.97</v>
      </c>
      <c r="D472">
        <v>101.53</v>
      </c>
      <c r="E472">
        <v>103.09</v>
      </c>
      <c r="F472">
        <v>11187.596089999999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-0.29729729729729593</v>
      </c>
      <c r="Q472">
        <f t="shared" si="980"/>
        <v>-3326.0420808107951</v>
      </c>
      <c r="R472">
        <f t="shared" si="981"/>
        <v>-343212.71922143799</v>
      </c>
      <c r="S472">
        <f t="shared" si="982"/>
        <v>-3.4321271922143799</v>
      </c>
      <c r="T472">
        <f t="shared" si="983"/>
        <v>-3.4321271922143799E-3</v>
      </c>
    </row>
    <row r="473" spans="1:20" x14ac:dyDescent="0.25">
      <c r="A473" s="5">
        <v>44120</v>
      </c>
      <c r="B473">
        <v>106.9</v>
      </c>
      <c r="C473">
        <v>107.01</v>
      </c>
      <c r="D473">
        <v>99.35</v>
      </c>
      <c r="E473">
        <v>103.41</v>
      </c>
      <c r="F473">
        <v>26404.83007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6.0052219321147925E-2</v>
      </c>
      <c r="Q473">
        <f t="shared" si="980"/>
        <v>1585.6686465012817</v>
      </c>
      <c r="R473">
        <f t="shared" si="981"/>
        <v>-339886.67714062717</v>
      </c>
      <c r="S473">
        <f t="shared" si="982"/>
        <v>-3.3988667714062717</v>
      </c>
      <c r="T473">
        <f t="shared" si="983"/>
        <v>-3.3988667714062717E-3</v>
      </c>
    </row>
    <row r="474" spans="1:20" x14ac:dyDescent="0.25">
      <c r="A474" s="5">
        <v>44119</v>
      </c>
      <c r="B474">
        <v>107.19</v>
      </c>
      <c r="C474">
        <v>109.82</v>
      </c>
      <c r="D474">
        <v>104.68</v>
      </c>
      <c r="E474">
        <v>107.02</v>
      </c>
      <c r="F474">
        <v>24147.553390000001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-8.9494163424126305E-2</v>
      </c>
      <c r="Q474">
        <f t="shared" si="980"/>
        <v>-2161.065089377475</v>
      </c>
      <c r="R474">
        <f t="shared" si="981"/>
        <v>-341472.34578712843</v>
      </c>
      <c r="S474">
        <f t="shared" si="982"/>
        <v>-3.4147234578712844</v>
      </c>
      <c r="T474">
        <f t="shared" si="983"/>
        <v>-3.4147234578712844E-3</v>
      </c>
    </row>
    <row r="475" spans="1:20" x14ac:dyDescent="0.25">
      <c r="A475" s="5">
        <v>44118</v>
      </c>
      <c r="B475">
        <v>113.89</v>
      </c>
      <c r="C475">
        <v>115.78</v>
      </c>
      <c r="D475">
        <v>105.39</v>
      </c>
      <c r="E475">
        <v>107.22</v>
      </c>
      <c r="F475">
        <v>35076.552389999997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-0.64773820981713226</v>
      </c>
      <c r="Q475">
        <f t="shared" si="980"/>
        <v>-22720.423251655451</v>
      </c>
      <c r="R475">
        <f t="shared" si="981"/>
        <v>-339311.28069775098</v>
      </c>
      <c r="S475">
        <f t="shared" si="982"/>
        <v>-3.3931128069775096</v>
      </c>
      <c r="T475">
        <f t="shared" si="983"/>
        <v>-3.3931128069775098E-3</v>
      </c>
    </row>
    <row r="476" spans="1:20" x14ac:dyDescent="0.25">
      <c r="A476" s="5">
        <v>44117</v>
      </c>
      <c r="B476">
        <v>116.77</v>
      </c>
      <c r="C476">
        <v>119.5</v>
      </c>
      <c r="D476">
        <v>111.72</v>
      </c>
      <c r="E476">
        <v>114.03</v>
      </c>
      <c r="F476">
        <v>28349.77088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-0.40616966580976815</v>
      </c>
      <c r="Q476">
        <f t="shared" si="980"/>
        <v>-11514.816964113097</v>
      </c>
      <c r="R476">
        <f t="shared" si="981"/>
        <v>-316590.8574460955</v>
      </c>
      <c r="S476">
        <f t="shared" si="982"/>
        <v>-3.1659085744609552</v>
      </c>
      <c r="T476">
        <f t="shared" si="983"/>
        <v>-3.1659085744609552E-3</v>
      </c>
    </row>
    <row r="477" spans="1:20" x14ac:dyDescent="0.25">
      <c r="A477" s="5">
        <v>44116</v>
      </c>
      <c r="B477">
        <v>115.79</v>
      </c>
      <c r="C477">
        <v>120.86</v>
      </c>
      <c r="D477">
        <v>112.16</v>
      </c>
      <c r="E477">
        <v>116.77</v>
      </c>
      <c r="F477">
        <v>33503.721669999999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5.9770114942528256E-2</v>
      </c>
      <c r="Q477">
        <f t="shared" si="980"/>
        <v>2002.5212952183747</v>
      </c>
      <c r="R477">
        <f t="shared" si="981"/>
        <v>-305076.0404819824</v>
      </c>
      <c r="S477">
        <f t="shared" si="982"/>
        <v>-3.0507604048198242</v>
      </c>
      <c r="T477">
        <f t="shared" si="983"/>
        <v>-3.0507604048198244E-3</v>
      </c>
    </row>
    <row r="478" spans="1:20" x14ac:dyDescent="0.25">
      <c r="A478" s="5">
        <v>44115</v>
      </c>
      <c r="B478">
        <v>113.89</v>
      </c>
      <c r="C478">
        <v>117</v>
      </c>
      <c r="D478">
        <v>111.21</v>
      </c>
      <c r="E478">
        <v>115.55</v>
      </c>
      <c r="F478">
        <v>20773.57632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0.49913644214162306</v>
      </c>
      <c r="Q478">
        <f t="shared" si="980"/>
        <v>10368.848974922272</v>
      </c>
      <c r="R478">
        <f t="shared" si="981"/>
        <v>-307078.56177720078</v>
      </c>
      <c r="S478">
        <f t="shared" si="982"/>
        <v>-3.0707856177720076</v>
      </c>
      <c r="T478">
        <f t="shared" si="983"/>
        <v>-3.0707856177720075E-3</v>
      </c>
    </row>
    <row r="479" spans="1:20" x14ac:dyDescent="0.25">
      <c r="A479" s="5">
        <v>44114</v>
      </c>
      <c r="B479">
        <v>115.27</v>
      </c>
      <c r="C479">
        <v>123.4</v>
      </c>
      <c r="D479">
        <v>112.65</v>
      </c>
      <c r="E479">
        <v>114.13</v>
      </c>
      <c r="F479">
        <v>45406.573790000002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-0.72465116279069963</v>
      </c>
      <c r="Q479">
        <f t="shared" si="980"/>
        <v>-32903.926495265208</v>
      </c>
      <c r="R479">
        <f t="shared" si="981"/>
        <v>-317447.41075212305</v>
      </c>
      <c r="S479">
        <f t="shared" si="982"/>
        <v>-3.1744741075212306</v>
      </c>
      <c r="T479">
        <f t="shared" si="983"/>
        <v>-3.1744741075212307E-3</v>
      </c>
    </row>
    <row r="480" spans="1:20" x14ac:dyDescent="0.25">
      <c r="A480" s="5">
        <v>44113</v>
      </c>
      <c r="B480">
        <v>108.33</v>
      </c>
      <c r="C480">
        <v>117.85</v>
      </c>
      <c r="D480">
        <v>103.43</v>
      </c>
      <c r="E480">
        <v>115.32</v>
      </c>
      <c r="F480">
        <v>65442.361420000001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0.64909847434119228</v>
      </c>
      <c r="Q480">
        <f t="shared" si="980"/>
        <v>42478.536955006901</v>
      </c>
      <c r="R480">
        <f t="shared" si="981"/>
        <v>-284543.48425685783</v>
      </c>
      <c r="S480">
        <f t="shared" si="982"/>
        <v>-2.8454348425685785</v>
      </c>
      <c r="T480">
        <f t="shared" si="983"/>
        <v>-2.8454348425685787E-3</v>
      </c>
    </row>
    <row r="481" spans="1:20" x14ac:dyDescent="0.25">
      <c r="A481" s="5">
        <v>44112</v>
      </c>
      <c r="B481">
        <v>110.52</v>
      </c>
      <c r="C481">
        <v>114</v>
      </c>
      <c r="D481">
        <v>102.13</v>
      </c>
      <c r="E481">
        <v>108.1</v>
      </c>
      <c r="F481">
        <v>65774.843030000004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5.8972198820550258E-3</v>
      </c>
      <c r="Q481">
        <f t="shared" si="980"/>
        <v>387.88871205556444</v>
      </c>
      <c r="R481">
        <f t="shared" si="981"/>
        <v>-327022.02121186472</v>
      </c>
      <c r="S481">
        <f t="shared" si="982"/>
        <v>-3.2702202121186472</v>
      </c>
      <c r="T481">
        <f t="shared" si="983"/>
        <v>-3.2702202121186472E-3</v>
      </c>
    </row>
    <row r="482" spans="1:20" x14ac:dyDescent="0.25">
      <c r="A482" s="5">
        <v>44111</v>
      </c>
      <c r="B482">
        <v>105.79</v>
      </c>
      <c r="C482">
        <v>111.94</v>
      </c>
      <c r="D482">
        <v>101.32</v>
      </c>
      <c r="E482">
        <v>110.47</v>
      </c>
      <c r="F482">
        <v>64110.998939999998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0.72316384180790994</v>
      </c>
      <c r="Q482">
        <f t="shared" si="980"/>
        <v>46362.756295593237</v>
      </c>
      <c r="R482">
        <f t="shared" si="981"/>
        <v>-327409.90992392029</v>
      </c>
      <c r="S482">
        <f t="shared" si="982"/>
        <v>-3.2740990992392027</v>
      </c>
      <c r="T482">
        <f t="shared" si="983"/>
        <v>-3.2740990992392027E-3</v>
      </c>
    </row>
    <row r="483" spans="1:20" x14ac:dyDescent="0.25">
      <c r="A483" s="5">
        <v>44110</v>
      </c>
      <c r="B483">
        <v>122.17</v>
      </c>
      <c r="C483">
        <v>123.08</v>
      </c>
      <c r="D483">
        <v>101.16</v>
      </c>
      <c r="E483">
        <v>105.76</v>
      </c>
      <c r="F483">
        <v>68185.275439999998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-0.58029197080291894</v>
      </c>
      <c r="Q483">
        <f t="shared" si="980"/>
        <v>-39567.367864817468</v>
      </c>
      <c r="R483">
        <f t="shared" si="981"/>
        <v>-373772.66621951351</v>
      </c>
      <c r="S483">
        <f t="shared" si="982"/>
        <v>-3.7377266621951351</v>
      </c>
      <c r="T483">
        <f t="shared" si="983"/>
        <v>-3.7377266621951349E-3</v>
      </c>
    </row>
    <row r="484" spans="1:20" x14ac:dyDescent="0.25">
      <c r="A484" s="5">
        <v>44109</v>
      </c>
      <c r="B484">
        <v>119.39</v>
      </c>
      <c r="C484">
        <v>125</v>
      </c>
      <c r="D484">
        <v>117.36</v>
      </c>
      <c r="E484">
        <v>122.04</v>
      </c>
      <c r="F484">
        <v>28463.14631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0.2251308900523577</v>
      </c>
      <c r="Q484">
        <f t="shared" si="980"/>
        <v>6407.9334624607809</v>
      </c>
      <c r="R484">
        <f t="shared" si="981"/>
        <v>-334205.29835469602</v>
      </c>
      <c r="S484">
        <f t="shared" si="982"/>
        <v>-3.3420529835469601</v>
      </c>
      <c r="T484">
        <f t="shared" si="983"/>
        <v>-3.3420529835469603E-3</v>
      </c>
    </row>
    <row r="485" spans="1:20" x14ac:dyDescent="0.25">
      <c r="A485" s="5">
        <v>44108</v>
      </c>
      <c r="B485">
        <v>121.3</v>
      </c>
      <c r="C485">
        <v>122.89</v>
      </c>
      <c r="D485">
        <v>117</v>
      </c>
      <c r="E485">
        <v>119.46</v>
      </c>
      <c r="F485">
        <v>16512.0291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-0.16468590831918725</v>
      </c>
      <c r="Q485">
        <f t="shared" si="980"/>
        <v>-2719.2985105263519</v>
      </c>
      <c r="R485">
        <f t="shared" si="981"/>
        <v>-340613.23181715677</v>
      </c>
      <c r="S485">
        <f t="shared" si="982"/>
        <v>-3.4061323181715677</v>
      </c>
      <c r="T485">
        <f t="shared" si="983"/>
        <v>-3.4061323181715677E-3</v>
      </c>
    </row>
    <row r="486" spans="1:20" x14ac:dyDescent="0.25">
      <c r="A486" s="5">
        <v>44107</v>
      </c>
      <c r="B486">
        <v>120.37</v>
      </c>
      <c r="C486">
        <v>125.55</v>
      </c>
      <c r="D486">
        <v>119.88</v>
      </c>
      <c r="E486">
        <v>121.18</v>
      </c>
      <c r="F486">
        <v>11168.43208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-0.54144620811287092</v>
      </c>
      <c r="Q486">
        <f t="shared" si="980"/>
        <v>-6047.1052002821443</v>
      </c>
      <c r="R486">
        <f t="shared" si="981"/>
        <v>-337893.93330663041</v>
      </c>
      <c r="S486">
        <f t="shared" si="982"/>
        <v>-3.3789393330663042</v>
      </c>
      <c r="T486">
        <f t="shared" si="983"/>
        <v>-3.3789393330663042E-3</v>
      </c>
    </row>
    <row r="487" spans="1:20" x14ac:dyDescent="0.25">
      <c r="A487" s="5">
        <v>44106</v>
      </c>
      <c r="B487">
        <v>129.15</v>
      </c>
      <c r="C487">
        <v>130.85</v>
      </c>
      <c r="D487">
        <v>116.57</v>
      </c>
      <c r="E487">
        <v>120.36</v>
      </c>
      <c r="F487">
        <v>32308.5517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-0.46918767507002718</v>
      </c>
      <c r="Q487">
        <f t="shared" si="980"/>
        <v>-15158.774257002775</v>
      </c>
      <c r="R487">
        <f t="shared" si="981"/>
        <v>-331846.82810634829</v>
      </c>
      <c r="S487">
        <f t="shared" si="982"/>
        <v>-3.3184682810634829</v>
      </c>
      <c r="T487">
        <f t="shared" si="983"/>
        <v>-3.318468281063483E-3</v>
      </c>
    </row>
    <row r="488" spans="1:20" x14ac:dyDescent="0.25">
      <c r="A488" s="5">
        <v>44105</v>
      </c>
      <c r="B488">
        <v>133.80000000000001</v>
      </c>
      <c r="C488">
        <v>140.11000000000001</v>
      </c>
      <c r="D488">
        <v>125.01</v>
      </c>
      <c r="E488">
        <v>129.19999999999999</v>
      </c>
      <c r="F488">
        <v>27342.853510000001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-0.44503311258278394</v>
      </c>
      <c r="Q488">
        <f t="shared" si="980"/>
        <v>-12168.4752044504</v>
      </c>
      <c r="R488">
        <f t="shared" si="981"/>
        <v>-316688.05384934554</v>
      </c>
      <c r="S488">
        <f t="shared" si="982"/>
        <v>-3.1668805384934555</v>
      </c>
      <c r="T488">
        <f t="shared" si="983"/>
        <v>-3.1668805384934555E-3</v>
      </c>
    </row>
    <row r="489" spans="1:20" x14ac:dyDescent="0.25">
      <c r="A489" s="5">
        <v>44104</v>
      </c>
      <c r="B489">
        <v>132.80000000000001</v>
      </c>
      <c r="C489">
        <v>136.65</v>
      </c>
      <c r="D489">
        <v>130.03</v>
      </c>
      <c r="E489">
        <v>133.43</v>
      </c>
      <c r="F489">
        <v>27923.286810000001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2.7190332326285E-2</v>
      </c>
      <c r="Q489">
        <f t="shared" si="980"/>
        <v>759.24344800607059</v>
      </c>
      <c r="R489">
        <f t="shared" si="981"/>
        <v>-304519.57864489511</v>
      </c>
      <c r="S489">
        <f t="shared" si="982"/>
        <v>-3.0451957864489509</v>
      </c>
      <c r="T489">
        <f t="shared" si="983"/>
        <v>-3.0451957864489508E-3</v>
      </c>
    </row>
    <row r="490" spans="1:20" x14ac:dyDescent="0.25">
      <c r="A490" s="5">
        <v>44103</v>
      </c>
      <c r="B490">
        <v>131.41999999999999</v>
      </c>
      <c r="C490">
        <v>134.66</v>
      </c>
      <c r="D490">
        <v>127.61</v>
      </c>
      <c r="E490">
        <v>132.99</v>
      </c>
      <c r="F490">
        <v>13394.67482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0.52624113475177636</v>
      </c>
      <c r="Q490">
        <f t="shared" si="980"/>
        <v>7048.8288769078463</v>
      </c>
      <c r="R490">
        <f t="shared" si="981"/>
        <v>-305278.82209290116</v>
      </c>
      <c r="S490">
        <f t="shared" si="982"/>
        <v>-3.0527882209290116</v>
      </c>
      <c r="T490">
        <f t="shared" si="983"/>
        <v>-3.0527882209290115E-3</v>
      </c>
    </row>
    <row r="491" spans="1:20" x14ac:dyDescent="0.25">
      <c r="A491" s="5">
        <v>44102</v>
      </c>
      <c r="B491">
        <v>139.29</v>
      </c>
      <c r="C491">
        <v>141.53</v>
      </c>
      <c r="D491">
        <v>130.21</v>
      </c>
      <c r="E491">
        <v>131.55000000000001</v>
      </c>
      <c r="F491">
        <v>29280.00376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-0.76325088339222535</v>
      </c>
      <c r="Q491">
        <f t="shared" si="980"/>
        <v>-22347.988735547679</v>
      </c>
      <c r="R491">
        <f t="shared" si="981"/>
        <v>-312327.65096980898</v>
      </c>
      <c r="S491">
        <f t="shared" si="982"/>
        <v>-3.1232765096980897</v>
      </c>
      <c r="T491">
        <f t="shared" si="983"/>
        <v>-3.1232765096980896E-3</v>
      </c>
    </row>
    <row r="492" spans="1:20" x14ac:dyDescent="0.25">
      <c r="A492" s="5">
        <v>44101</v>
      </c>
      <c r="B492">
        <v>144.15</v>
      </c>
      <c r="C492">
        <v>147.76</v>
      </c>
      <c r="D492">
        <v>135.46</v>
      </c>
      <c r="E492">
        <v>139.08000000000001</v>
      </c>
      <c r="F492">
        <v>11274.235849999999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-0.41138211382113665</v>
      </c>
      <c r="Q492">
        <f t="shared" si="980"/>
        <v>-4638.0189756910386</v>
      </c>
      <c r="R492">
        <f t="shared" si="981"/>
        <v>-289979.66223426128</v>
      </c>
      <c r="S492">
        <f t="shared" si="982"/>
        <v>-2.8997966223426128</v>
      </c>
      <c r="T492">
        <f t="shared" si="983"/>
        <v>-2.8997966223426128E-3</v>
      </c>
    </row>
    <row r="493" spans="1:20" x14ac:dyDescent="0.25">
      <c r="A493" s="5">
        <v>44100</v>
      </c>
      <c r="B493">
        <v>139.31</v>
      </c>
      <c r="C493">
        <v>147.57</v>
      </c>
      <c r="D493">
        <v>136.78</v>
      </c>
      <c r="E493">
        <v>144.16</v>
      </c>
      <c r="F493">
        <v>18153.833180000001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0.36793327154772953</v>
      </c>
      <c r="Q493">
        <f t="shared" si="980"/>
        <v>6679.3992330491228</v>
      </c>
      <c r="R493">
        <f t="shared" si="981"/>
        <v>-285341.64325857023</v>
      </c>
      <c r="S493">
        <f t="shared" si="982"/>
        <v>-2.8534164325857021</v>
      </c>
      <c r="T493">
        <f t="shared" si="983"/>
        <v>-2.8534164325857022E-3</v>
      </c>
    </row>
    <row r="494" spans="1:20" x14ac:dyDescent="0.25">
      <c r="A494" s="5">
        <v>44099</v>
      </c>
      <c r="B494">
        <v>138.79</v>
      </c>
      <c r="C494">
        <v>143.9</v>
      </c>
      <c r="D494">
        <v>133.04</v>
      </c>
      <c r="E494">
        <v>139.07</v>
      </c>
      <c r="F494">
        <v>26483.406500000001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0.11049723756905959</v>
      </c>
      <c r="Q494">
        <f t="shared" si="980"/>
        <v>2926.343259668477</v>
      </c>
      <c r="R494">
        <f t="shared" si="981"/>
        <v>-292021.04249161936</v>
      </c>
      <c r="S494">
        <f t="shared" si="982"/>
        <v>-2.9202104249161938</v>
      </c>
      <c r="T494">
        <f t="shared" si="983"/>
        <v>-2.9202104249161937E-3</v>
      </c>
    </row>
    <row r="495" spans="1:20" x14ac:dyDescent="0.25">
      <c r="A495" s="5">
        <v>44098</v>
      </c>
      <c r="B495">
        <v>127.48</v>
      </c>
      <c r="C495">
        <v>141.26</v>
      </c>
      <c r="D495">
        <v>125.91</v>
      </c>
      <c r="E495">
        <v>138.68</v>
      </c>
      <c r="F495">
        <v>29768.255499999999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0.66384364820847097</v>
      </c>
      <c r="Q495">
        <f t="shared" si="980"/>
        <v>19761.467331921882</v>
      </c>
      <c r="R495">
        <f t="shared" si="981"/>
        <v>-294947.38575128786</v>
      </c>
      <c r="S495">
        <f t="shared" si="982"/>
        <v>-2.9494738575128787</v>
      </c>
      <c r="T495">
        <f t="shared" si="983"/>
        <v>-2.9494738575128786E-3</v>
      </c>
    </row>
    <row r="496" spans="1:20" x14ac:dyDescent="0.25">
      <c r="A496" s="5">
        <v>44097</v>
      </c>
      <c r="B496">
        <v>143.9</v>
      </c>
      <c r="C496">
        <v>147.08000000000001</v>
      </c>
      <c r="D496">
        <v>124.15</v>
      </c>
      <c r="E496">
        <v>127.24</v>
      </c>
      <c r="F496">
        <v>45869.163509999998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-0.73048408198866221</v>
      </c>
      <c r="Q496">
        <f t="shared" si="980"/>
        <v>-33506.693798190194</v>
      </c>
      <c r="R496">
        <f t="shared" si="981"/>
        <v>-314708.85308320972</v>
      </c>
      <c r="S496">
        <f t="shared" si="982"/>
        <v>-3.1470885308320971</v>
      </c>
      <c r="T496">
        <f t="shared" si="983"/>
        <v>-3.1470885308320972E-3</v>
      </c>
    </row>
    <row r="497" spans="1:20" x14ac:dyDescent="0.25">
      <c r="A497" s="5">
        <v>44096</v>
      </c>
      <c r="B497">
        <v>128.72999999999999</v>
      </c>
      <c r="C497">
        <v>146.28</v>
      </c>
      <c r="D497">
        <v>127</v>
      </c>
      <c r="E497">
        <v>143.88999999999999</v>
      </c>
      <c r="F497">
        <v>43318.8488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0.75207468879667894</v>
      </c>
      <c r="Q497">
        <f t="shared" si="980"/>
        <v>32579.009730290389</v>
      </c>
      <c r="R497">
        <f t="shared" si="981"/>
        <v>-281202.1592850195</v>
      </c>
      <c r="S497">
        <f t="shared" si="982"/>
        <v>-2.8120215928501948</v>
      </c>
      <c r="T497">
        <f t="shared" si="983"/>
        <v>-2.8120215928501948E-3</v>
      </c>
    </row>
    <row r="498" spans="1:20" x14ac:dyDescent="0.25">
      <c r="A498" s="5">
        <v>44095</v>
      </c>
      <c r="B498">
        <v>144.55000000000001</v>
      </c>
      <c r="C498">
        <v>146</v>
      </c>
      <c r="D498">
        <v>124.51</v>
      </c>
      <c r="E498">
        <v>128.31</v>
      </c>
      <c r="F498">
        <v>25576.454399999999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-0.64634713820381595</v>
      </c>
      <c r="Q498">
        <f t="shared" si="980"/>
        <v>-16531.268106840394</v>
      </c>
      <c r="R498">
        <f t="shared" si="981"/>
        <v>-313781.16901530989</v>
      </c>
      <c r="S498">
        <f t="shared" si="982"/>
        <v>-3.1378116901530988</v>
      </c>
      <c r="T498">
        <f t="shared" si="983"/>
        <v>-3.1378116901530986E-3</v>
      </c>
    </row>
    <row r="499" spans="1:20" x14ac:dyDescent="0.25">
      <c r="A499" s="5">
        <v>44094</v>
      </c>
      <c r="B499">
        <v>152.13</v>
      </c>
      <c r="C499">
        <v>152.91999999999999</v>
      </c>
      <c r="D499">
        <v>140.33000000000001</v>
      </c>
      <c r="E499">
        <v>144.62</v>
      </c>
      <c r="F499">
        <v>16199.970880000001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-0.31850675138999196</v>
      </c>
      <c r="Q499">
        <f t="shared" si="980"/>
        <v>-5159.80009760127</v>
      </c>
      <c r="R499">
        <f t="shared" si="981"/>
        <v>-297249.90090846951</v>
      </c>
      <c r="S499">
        <f t="shared" si="982"/>
        <v>-2.9724990090846952</v>
      </c>
      <c r="T499">
        <f t="shared" si="983"/>
        <v>-2.9724990090846952E-3</v>
      </c>
    </row>
    <row r="500" spans="1:20" x14ac:dyDescent="0.25">
      <c r="A500" s="5">
        <v>44093</v>
      </c>
      <c r="B500">
        <v>154.11000000000001</v>
      </c>
      <c r="C500">
        <v>156.33000000000001</v>
      </c>
      <c r="D500">
        <v>150.88999999999999</v>
      </c>
      <c r="E500">
        <v>151.97</v>
      </c>
      <c r="F500">
        <v>16119.42837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-0.60294117647058554</v>
      </c>
      <c r="Q500">
        <f t="shared" si="980"/>
        <v>-9719.0671054411323</v>
      </c>
      <c r="R500">
        <f t="shared" si="981"/>
        <v>-292090.10081086826</v>
      </c>
      <c r="S500">
        <f t="shared" si="982"/>
        <v>-2.9209010081086824</v>
      </c>
      <c r="T500">
        <f t="shared" si="983"/>
        <v>-2.9209010081086822E-3</v>
      </c>
    </row>
    <row r="501" spans="1:20" x14ac:dyDescent="0.25">
      <c r="A501" s="5">
        <v>44092</v>
      </c>
      <c r="B501">
        <v>158.11000000000001</v>
      </c>
      <c r="C501">
        <v>167.9</v>
      </c>
      <c r="D501">
        <v>150.72</v>
      </c>
      <c r="E501">
        <v>154.16</v>
      </c>
      <c r="F501">
        <v>38949.381050000004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-0.59953434225844049</v>
      </c>
      <c r="Q501">
        <f t="shared" si="980"/>
        <v>-23351.491549185117</v>
      </c>
      <c r="R501">
        <f t="shared" si="981"/>
        <v>-282371.03370542714</v>
      </c>
      <c r="S501">
        <f t="shared" si="982"/>
        <v>-2.8237103370542713</v>
      </c>
      <c r="T501">
        <f t="shared" si="983"/>
        <v>-2.8237103370542713E-3</v>
      </c>
    </row>
    <row r="502" spans="1:20" x14ac:dyDescent="0.25">
      <c r="A502" s="5">
        <v>44091</v>
      </c>
      <c r="B502">
        <v>153.36000000000001</v>
      </c>
      <c r="C502">
        <v>161.09</v>
      </c>
      <c r="D502">
        <v>146</v>
      </c>
      <c r="E502">
        <v>158.11000000000001</v>
      </c>
      <c r="F502">
        <v>52792.408170000002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0.6050364479787953</v>
      </c>
      <c r="Q502">
        <f t="shared" si="980"/>
        <v>31941.331119423536</v>
      </c>
      <c r="R502">
        <f t="shared" si="981"/>
        <v>-259019.54215624204</v>
      </c>
      <c r="S502">
        <f t="shared" si="982"/>
        <v>-2.5901954215624206</v>
      </c>
      <c r="T502">
        <f t="shared" si="983"/>
        <v>-2.5901954215624204E-3</v>
      </c>
    </row>
    <row r="503" spans="1:20" x14ac:dyDescent="0.25">
      <c r="A503" s="5">
        <v>44090</v>
      </c>
      <c r="B503">
        <v>154.57</v>
      </c>
      <c r="C503">
        <v>155</v>
      </c>
      <c r="D503">
        <v>147.19</v>
      </c>
      <c r="E503">
        <v>153.38</v>
      </c>
      <c r="F503">
        <v>20027.436089999999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0.58514724711907706</v>
      </c>
      <c r="Q503">
        <f t="shared" si="980"/>
        <v>11718.999094916751</v>
      </c>
      <c r="R503">
        <f t="shared" si="981"/>
        <v>-290960.87327566557</v>
      </c>
      <c r="S503">
        <f t="shared" si="982"/>
        <v>-2.9096087327566558</v>
      </c>
      <c r="T503">
        <f t="shared" si="983"/>
        <v>-2.9096087327566559E-3</v>
      </c>
    </row>
    <row r="504" spans="1:20" x14ac:dyDescent="0.25">
      <c r="A504" s="5">
        <v>44089</v>
      </c>
      <c r="B504">
        <v>165.99</v>
      </c>
      <c r="C504">
        <v>169.78</v>
      </c>
      <c r="D504">
        <v>152.25</v>
      </c>
      <c r="E504">
        <v>154.80000000000001</v>
      </c>
      <c r="F504">
        <v>17342.978370000001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-0.70907016543068901</v>
      </c>
      <c r="Q504">
        <f t="shared" si="980"/>
        <v>-12297.388541876762</v>
      </c>
      <c r="R504">
        <f t="shared" si="981"/>
        <v>-302679.87237058231</v>
      </c>
      <c r="S504">
        <f t="shared" si="982"/>
        <v>-3.0267987237058231</v>
      </c>
      <c r="T504">
        <f t="shared" si="983"/>
        <v>-3.0267987237058229E-3</v>
      </c>
    </row>
    <row r="505" spans="1:20" x14ac:dyDescent="0.25">
      <c r="A505" s="5">
        <v>44088</v>
      </c>
      <c r="B505">
        <v>165.01</v>
      </c>
      <c r="C505">
        <v>170.74</v>
      </c>
      <c r="D505">
        <v>159</v>
      </c>
      <c r="E505">
        <v>166.06</v>
      </c>
      <c r="F505">
        <v>24261.165949999999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0.20272572402044239</v>
      </c>
      <c r="Q505">
        <f t="shared" si="980"/>
        <v>4918.3624327938542</v>
      </c>
      <c r="R505">
        <f t="shared" si="981"/>
        <v>-290382.48382870556</v>
      </c>
      <c r="S505">
        <f t="shared" si="982"/>
        <v>-2.9038248382870555</v>
      </c>
      <c r="T505">
        <f t="shared" si="983"/>
        <v>-2.9038248382870554E-3</v>
      </c>
    </row>
    <row r="506" spans="1:20" x14ac:dyDescent="0.25">
      <c r="A506" s="5">
        <v>44087</v>
      </c>
      <c r="B506">
        <v>180.27</v>
      </c>
      <c r="C506">
        <v>184.95</v>
      </c>
      <c r="D506">
        <v>161.13</v>
      </c>
      <c r="E506">
        <v>165.09</v>
      </c>
      <c r="F506">
        <v>36470.231650000002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-0.66750629722921839</v>
      </c>
      <c r="Q506">
        <f t="shared" si="980"/>
        <v>-24344.109287783351</v>
      </c>
      <c r="R506">
        <f t="shared" si="981"/>
        <v>-295300.84626149939</v>
      </c>
      <c r="S506">
        <f t="shared" si="982"/>
        <v>-2.9530084626149939</v>
      </c>
      <c r="T506">
        <f t="shared" si="983"/>
        <v>-2.9530084626149941E-3</v>
      </c>
    </row>
    <row r="507" spans="1:20" x14ac:dyDescent="0.25">
      <c r="A507" s="5">
        <v>44086</v>
      </c>
      <c r="B507">
        <v>173.15</v>
      </c>
      <c r="C507">
        <v>181.1</v>
      </c>
      <c r="D507">
        <v>169.37</v>
      </c>
      <c r="E507">
        <v>180.26</v>
      </c>
      <c r="F507">
        <v>19227.560570000001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0.85677749360613742</v>
      </c>
      <c r="Q507">
        <f t="shared" si="980"/>
        <v>16473.741153324798</v>
      </c>
      <c r="R507">
        <f t="shared" si="981"/>
        <v>-270956.73697371606</v>
      </c>
      <c r="S507">
        <f t="shared" si="982"/>
        <v>-2.7095673697371607</v>
      </c>
      <c r="T507">
        <f t="shared" si="983"/>
        <v>-2.7095673697371606E-3</v>
      </c>
    </row>
    <row r="508" spans="1:20" x14ac:dyDescent="0.25">
      <c r="A508" s="5">
        <v>44085</v>
      </c>
      <c r="B508">
        <v>171.6</v>
      </c>
      <c r="C508">
        <v>177.81</v>
      </c>
      <c r="D508">
        <v>160.94</v>
      </c>
      <c r="E508">
        <v>173.15</v>
      </c>
      <c r="F508">
        <v>36230.285490000002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0.44754001185536513</v>
      </c>
      <c r="Q508">
        <f t="shared" si="980"/>
        <v>16214.502397717864</v>
      </c>
      <c r="R508">
        <f t="shared" si="981"/>
        <v>-287430.47812704084</v>
      </c>
      <c r="S508">
        <f t="shared" si="982"/>
        <v>-2.8743047812704083</v>
      </c>
      <c r="T508">
        <f t="shared" si="983"/>
        <v>-2.8743047812704084E-3</v>
      </c>
    </row>
    <row r="509" spans="1:20" x14ac:dyDescent="0.25">
      <c r="A509" s="5">
        <v>44084</v>
      </c>
      <c r="B509">
        <v>177.74</v>
      </c>
      <c r="C509">
        <v>186.82</v>
      </c>
      <c r="D509">
        <v>170.18</v>
      </c>
      <c r="E509">
        <v>171.45</v>
      </c>
      <c r="F509">
        <v>36790.938739999998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-0.84735576923077127</v>
      </c>
      <c r="Q509">
        <f t="shared" si="980"/>
        <v>-31175.014196754881</v>
      </c>
      <c r="R509">
        <f t="shared" si="981"/>
        <v>-303644.98052475869</v>
      </c>
      <c r="S509">
        <f t="shared" si="982"/>
        <v>-3.036449805247587</v>
      </c>
      <c r="T509">
        <f t="shared" si="983"/>
        <v>-3.036449805247587E-3</v>
      </c>
    </row>
    <row r="510" spans="1:20" x14ac:dyDescent="0.25">
      <c r="A510" s="5">
        <v>44083</v>
      </c>
      <c r="B510">
        <v>173.69</v>
      </c>
      <c r="C510">
        <v>184.84</v>
      </c>
      <c r="D510">
        <v>167.25</v>
      </c>
      <c r="E510">
        <v>177.79</v>
      </c>
      <c r="F510">
        <v>40335.025229999999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0.19840818646958386</v>
      </c>
      <c r="Q510">
        <f t="shared" si="980"/>
        <v>8002.7992070892096</v>
      </c>
      <c r="R510">
        <f t="shared" si="981"/>
        <v>-272469.96632800379</v>
      </c>
      <c r="S510">
        <f t="shared" si="982"/>
        <v>-2.7246996632800378</v>
      </c>
      <c r="T510">
        <f t="shared" si="983"/>
        <v>-2.7246996632800378E-3</v>
      </c>
    </row>
    <row r="511" spans="1:20" x14ac:dyDescent="0.25">
      <c r="A511" s="5">
        <v>44082</v>
      </c>
      <c r="B511">
        <v>179.39</v>
      </c>
      <c r="C511">
        <v>184.74</v>
      </c>
      <c r="D511">
        <v>167.22</v>
      </c>
      <c r="E511">
        <v>173.29</v>
      </c>
      <c r="F511">
        <v>28783.426920000002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-0.30707762557077745</v>
      </c>
      <c r="Q511">
        <f t="shared" si="980"/>
        <v>-8838.7463943835955</v>
      </c>
      <c r="R511">
        <f t="shared" si="981"/>
        <v>-280472.76553509303</v>
      </c>
      <c r="S511">
        <f t="shared" si="982"/>
        <v>-2.8047276553509302</v>
      </c>
      <c r="T511">
        <f t="shared" si="983"/>
        <v>-2.8047276553509301E-3</v>
      </c>
    </row>
    <row r="512" spans="1:20" x14ac:dyDescent="0.25">
      <c r="A512" s="5">
        <v>44081</v>
      </c>
      <c r="B512">
        <v>170.85</v>
      </c>
      <c r="C512">
        <v>180.1</v>
      </c>
      <c r="D512">
        <v>153.72</v>
      </c>
      <c r="E512">
        <v>179.4</v>
      </c>
      <c r="F512">
        <v>54108.938170000001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0.94692949203942467</v>
      </c>
      <c r="Q512">
        <f t="shared" si="980"/>
        <v>51237.349336110739</v>
      </c>
      <c r="R512">
        <f t="shared" si="981"/>
        <v>-271634.01914070942</v>
      </c>
      <c r="S512">
        <f t="shared" si="982"/>
        <v>-2.7163401914070944</v>
      </c>
      <c r="T512">
        <f t="shared" si="983"/>
        <v>-2.7163401914070944E-3</v>
      </c>
    </row>
    <row r="513" spans="1:20" x14ac:dyDescent="0.25">
      <c r="A513" s="5">
        <v>44080</v>
      </c>
      <c r="B513">
        <v>157.88999999999999</v>
      </c>
      <c r="C513">
        <v>178.39</v>
      </c>
      <c r="D513">
        <v>145.19999999999999</v>
      </c>
      <c r="E513">
        <v>170.85</v>
      </c>
      <c r="F513">
        <v>51234.70938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0.5456462789996992</v>
      </c>
      <c r="Q513">
        <f t="shared" si="980"/>
        <v>27956.028528827985</v>
      </c>
      <c r="R513">
        <f t="shared" si="981"/>
        <v>-322871.36847682018</v>
      </c>
      <c r="S513">
        <f t="shared" si="982"/>
        <v>-3.2287136847682016</v>
      </c>
      <c r="T513">
        <f t="shared" si="983"/>
        <v>-3.2287136847682016E-3</v>
      </c>
    </row>
    <row r="514" spans="1:20" x14ac:dyDescent="0.25">
      <c r="A514" s="5">
        <v>44079</v>
      </c>
      <c r="B514">
        <v>186.91</v>
      </c>
      <c r="C514">
        <v>198</v>
      </c>
      <c r="D514">
        <v>145.72999999999999</v>
      </c>
      <c r="E514">
        <v>157.88999999999999</v>
      </c>
      <c r="F514">
        <v>77893.047319999998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-0.53472355079395473</v>
      </c>
      <c r="Q514">
        <f t="shared" si="980"/>
        <v>-41651.246845111935</v>
      </c>
      <c r="R514">
        <f t="shared" si="981"/>
        <v>-350827.39700564818</v>
      </c>
      <c r="S514">
        <f t="shared" si="982"/>
        <v>-3.5082739700564818</v>
      </c>
      <c r="T514">
        <f t="shared" si="983"/>
        <v>-3.5082739700564819E-3</v>
      </c>
    </row>
    <row r="515" spans="1:20" x14ac:dyDescent="0.25">
      <c r="A515" s="5">
        <v>44078</v>
      </c>
      <c r="B515">
        <v>186.83</v>
      </c>
      <c r="C515">
        <v>201.84</v>
      </c>
      <c r="D515">
        <v>178.5</v>
      </c>
      <c r="E515">
        <v>187.23</v>
      </c>
      <c r="F515">
        <v>80225.59607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-0.25192802056555369</v>
      </c>
      <c r="Q515">
        <f t="shared" si="980"/>
        <v>-20211.075616606762</v>
      </c>
      <c r="R515">
        <f t="shared" si="981"/>
        <v>-309176.15016053623</v>
      </c>
      <c r="S515">
        <f t="shared" si="982"/>
        <v>-3.0917615016053621</v>
      </c>
      <c r="T515">
        <f t="shared" si="983"/>
        <v>-3.091761501605362E-3</v>
      </c>
    </row>
    <row r="516" spans="1:20" x14ac:dyDescent="0.25">
      <c r="A516" s="5">
        <v>44077</v>
      </c>
      <c r="B516">
        <v>227.13</v>
      </c>
      <c r="C516">
        <v>244.49</v>
      </c>
      <c r="D516">
        <v>181.38</v>
      </c>
      <c r="E516">
        <v>187.13</v>
      </c>
      <c r="F516">
        <v>113023.76169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-0.8177784820155285</v>
      </c>
      <c r="Q516">
        <f t="shared" si="980"/>
        <v>-92428.400266533048</v>
      </c>
      <c r="R516">
        <f t="shared" si="981"/>
        <v>-288965.07454392948</v>
      </c>
      <c r="S516">
        <f t="shared" si="982"/>
        <v>-2.8896507454392948</v>
      </c>
      <c r="T516">
        <f t="shared" si="983"/>
        <v>-2.8896507454392946E-3</v>
      </c>
    </row>
    <row r="517" spans="1:20" x14ac:dyDescent="0.25">
      <c r="A517" s="5">
        <v>44076</v>
      </c>
      <c r="B517">
        <v>256.91000000000003</v>
      </c>
      <c r="C517">
        <v>258.13</v>
      </c>
      <c r="D517">
        <v>203.28</v>
      </c>
      <c r="E517">
        <v>226.77</v>
      </c>
      <c r="F517">
        <v>75984.905639999997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-0.14348222424794854</v>
      </c>
      <c r="Q517">
        <f t="shared" si="980"/>
        <v>-10902.483270497689</v>
      </c>
      <c r="R517">
        <f t="shared" si="981"/>
        <v>-196536.67427739644</v>
      </c>
      <c r="S517">
        <f t="shared" si="982"/>
        <v>-1.9653667427739643</v>
      </c>
      <c r="T517">
        <f t="shared" si="983"/>
        <v>-1.9653667427739644E-3</v>
      </c>
    </row>
    <row r="518" spans="1:20" x14ac:dyDescent="0.25">
      <c r="A518" s="5">
        <v>44075</v>
      </c>
      <c r="B518">
        <v>242.81</v>
      </c>
      <c r="C518">
        <v>272.61</v>
      </c>
      <c r="D518">
        <v>236</v>
      </c>
      <c r="E518">
        <v>256.89</v>
      </c>
      <c r="F518">
        <v>105435.89231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0.1412182463807691</v>
      </c>
      <c r="Q518">
        <f t="shared" ref="Q518:Q581" si="985">F518*P518</f>
        <v>14889.471817609818</v>
      </c>
      <c r="R518">
        <f t="shared" ref="R518:R581" si="986">R519+Q518</f>
        <v>-185634.19100689873</v>
      </c>
      <c r="S518">
        <f t="shared" ref="S518:S581" si="987">R518/100000</f>
        <v>-1.8563419100689873</v>
      </c>
      <c r="T518">
        <f t="shared" ref="T518:T581" si="988">S518/1000</f>
        <v>-1.8563419100689873E-3</v>
      </c>
    </row>
    <row r="519" spans="1:20" x14ac:dyDescent="0.25">
      <c r="A519" s="5">
        <v>44074</v>
      </c>
      <c r="B519">
        <v>216.6</v>
      </c>
      <c r="C519">
        <v>250.41</v>
      </c>
      <c r="D519">
        <v>208.46</v>
      </c>
      <c r="E519">
        <v>243.14</v>
      </c>
      <c r="F519">
        <v>72559.208740000002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0.65339690107270498</v>
      </c>
      <c r="Q519">
        <f t="shared" si="985"/>
        <v>47409.96213500353</v>
      </c>
      <c r="R519">
        <f t="shared" si="986"/>
        <v>-200523.66282450856</v>
      </c>
      <c r="S519">
        <f t="shared" si="987"/>
        <v>-2.0052366282450858</v>
      </c>
      <c r="T519">
        <f t="shared" si="988"/>
        <v>-2.0052366282450858E-3</v>
      </c>
    </row>
    <row r="520" spans="1:20" x14ac:dyDescent="0.25">
      <c r="A520" s="5">
        <v>44073</v>
      </c>
      <c r="B520">
        <v>193.14</v>
      </c>
      <c r="C520">
        <v>224.66</v>
      </c>
      <c r="D520">
        <v>191.91</v>
      </c>
      <c r="E520">
        <v>216.72</v>
      </c>
      <c r="F520">
        <v>62320.112860000001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0.51511450381679402</v>
      </c>
      <c r="Q520">
        <f t="shared" si="985"/>
        <v>32101.994013685504</v>
      </c>
      <c r="R520">
        <f t="shared" si="986"/>
        <v>-247933.62495951209</v>
      </c>
      <c r="S520">
        <f t="shared" si="987"/>
        <v>-2.479336249595121</v>
      </c>
      <c r="T520">
        <f t="shared" si="988"/>
        <v>-2.479336249595121E-3</v>
      </c>
    </row>
    <row r="521" spans="1:20" x14ac:dyDescent="0.25">
      <c r="A521" s="5">
        <v>44072</v>
      </c>
      <c r="B521">
        <v>188.99</v>
      </c>
      <c r="C521">
        <v>200</v>
      </c>
      <c r="D521">
        <v>184.85</v>
      </c>
      <c r="E521">
        <v>193.19</v>
      </c>
      <c r="F521">
        <v>36746.001539999997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0.10099009900990102</v>
      </c>
      <c r="Q521">
        <f t="shared" si="985"/>
        <v>3710.9823337425751</v>
      </c>
      <c r="R521">
        <f t="shared" si="986"/>
        <v>-280035.61897319759</v>
      </c>
      <c r="S521">
        <f t="shared" si="987"/>
        <v>-2.8003561897319758</v>
      </c>
      <c r="T521">
        <f t="shared" si="988"/>
        <v>-2.8003561897319757E-3</v>
      </c>
    </row>
    <row r="522" spans="1:20" x14ac:dyDescent="0.25">
      <c r="A522" s="5">
        <v>44071</v>
      </c>
      <c r="B522">
        <v>171.47</v>
      </c>
      <c r="C522">
        <v>204.07</v>
      </c>
      <c r="D522">
        <v>169.44</v>
      </c>
      <c r="E522">
        <v>189</v>
      </c>
      <c r="F522">
        <v>71556.688909999997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0.12965636731157984</v>
      </c>
      <c r="Q522">
        <f t="shared" si="985"/>
        <v>9277.7803409154112</v>
      </c>
      <c r="R522">
        <f t="shared" si="986"/>
        <v>-283746.60130694014</v>
      </c>
      <c r="S522">
        <f t="shared" si="987"/>
        <v>-2.8374660130694012</v>
      </c>
      <c r="T522">
        <f t="shared" si="988"/>
        <v>-2.8374660130694013E-3</v>
      </c>
    </row>
    <row r="523" spans="1:20" x14ac:dyDescent="0.25">
      <c r="A523" s="5">
        <v>44070</v>
      </c>
      <c r="B523">
        <v>179.56</v>
      </c>
      <c r="C523">
        <v>180</v>
      </c>
      <c r="D523">
        <v>164.5</v>
      </c>
      <c r="E523">
        <v>171.48</v>
      </c>
      <c r="F523">
        <v>32280.785950000001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-9.9354838709678733E-2</v>
      </c>
      <c r="Q523">
        <f t="shared" si="985"/>
        <v>-3207.2522814839135</v>
      </c>
      <c r="R523">
        <f t="shared" si="986"/>
        <v>-293024.38164785557</v>
      </c>
      <c r="S523">
        <f t="shared" si="987"/>
        <v>-2.9302438164785558</v>
      </c>
      <c r="T523">
        <f t="shared" si="988"/>
        <v>-2.9302438164785557E-3</v>
      </c>
    </row>
    <row r="524" spans="1:20" x14ac:dyDescent="0.25">
      <c r="A524" s="5">
        <v>44069</v>
      </c>
      <c r="B524">
        <v>165.29</v>
      </c>
      <c r="C524">
        <v>185.95</v>
      </c>
      <c r="D524">
        <v>162.05000000000001</v>
      </c>
      <c r="E524">
        <v>179.42</v>
      </c>
      <c r="F524">
        <v>46741.207540000003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0.45355648535564791</v>
      </c>
      <c r="Q524">
        <f t="shared" si="985"/>
        <v>21199.777813121313</v>
      </c>
      <c r="R524">
        <f t="shared" si="986"/>
        <v>-289817.12936637166</v>
      </c>
      <c r="S524">
        <f t="shared" si="987"/>
        <v>-2.8981712936637165</v>
      </c>
      <c r="T524">
        <f t="shared" si="988"/>
        <v>-2.8981712936637163E-3</v>
      </c>
    </row>
    <row r="525" spans="1:20" x14ac:dyDescent="0.25">
      <c r="A525" s="5">
        <v>44068</v>
      </c>
      <c r="B525">
        <v>180.87</v>
      </c>
      <c r="C525">
        <v>188</v>
      </c>
      <c r="D525">
        <v>161</v>
      </c>
      <c r="E525">
        <v>165.57</v>
      </c>
      <c r="F525">
        <v>43379.488680000002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-0.661481481481482</v>
      </c>
      <c r="Q525">
        <f t="shared" si="985"/>
        <v>-28694.728437955579</v>
      </c>
      <c r="R525">
        <f t="shared" si="986"/>
        <v>-311016.90717949299</v>
      </c>
      <c r="S525">
        <f t="shared" si="987"/>
        <v>-3.11016907179493</v>
      </c>
      <c r="T525">
        <f t="shared" si="988"/>
        <v>-3.1101690717949301E-3</v>
      </c>
    </row>
    <row r="526" spans="1:20" x14ac:dyDescent="0.25">
      <c r="A526" s="5">
        <v>44067</v>
      </c>
      <c r="B526">
        <v>169.29</v>
      </c>
      <c r="C526">
        <v>188.09</v>
      </c>
      <c r="D526">
        <v>166.35</v>
      </c>
      <c r="E526">
        <v>180.91</v>
      </c>
      <c r="F526">
        <v>46407.394249999998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0.33946642134314592</v>
      </c>
      <c r="Q526">
        <f t="shared" si="985"/>
        <v>15753.752049907986</v>
      </c>
      <c r="R526">
        <f t="shared" si="986"/>
        <v>-282322.17874153744</v>
      </c>
      <c r="S526">
        <f t="shared" si="987"/>
        <v>-2.8232217874153744</v>
      </c>
      <c r="T526">
        <f t="shared" si="988"/>
        <v>-2.8232217874153745E-3</v>
      </c>
    </row>
    <row r="527" spans="1:20" x14ac:dyDescent="0.25">
      <c r="A527" s="5">
        <v>44066</v>
      </c>
      <c r="B527">
        <v>174.15</v>
      </c>
      <c r="C527">
        <v>175.94</v>
      </c>
      <c r="D527">
        <v>164.29</v>
      </c>
      <c r="E527">
        <v>169.18</v>
      </c>
      <c r="F527">
        <v>30302.01972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-0.16051502145922533</v>
      </c>
      <c r="Q527">
        <f t="shared" si="985"/>
        <v>-4863.9293456136693</v>
      </c>
      <c r="R527">
        <f t="shared" si="986"/>
        <v>-298075.93079144543</v>
      </c>
      <c r="S527">
        <f t="shared" si="987"/>
        <v>-2.9807593079144543</v>
      </c>
      <c r="T527">
        <f t="shared" si="988"/>
        <v>-2.9807593079144543E-3</v>
      </c>
    </row>
    <row r="528" spans="1:20" x14ac:dyDescent="0.25">
      <c r="A528" s="5">
        <v>44065</v>
      </c>
      <c r="B528">
        <v>169.52</v>
      </c>
      <c r="C528">
        <v>175.21</v>
      </c>
      <c r="D528">
        <v>160.34</v>
      </c>
      <c r="E528">
        <v>173.88</v>
      </c>
      <c r="F528">
        <v>38431.160179999999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0.82111634162743619</v>
      </c>
      <c r="Q528">
        <f t="shared" si="985"/>
        <v>31556.4536514996</v>
      </c>
      <c r="R528">
        <f t="shared" si="986"/>
        <v>-293212.00144583173</v>
      </c>
      <c r="S528">
        <f t="shared" si="987"/>
        <v>-2.9321200144583175</v>
      </c>
      <c r="T528">
        <f t="shared" si="988"/>
        <v>-2.9321200144583177E-3</v>
      </c>
    </row>
    <row r="529" spans="1:20" x14ac:dyDescent="0.25">
      <c r="A529" s="5">
        <v>44064</v>
      </c>
      <c r="B529">
        <v>179.96</v>
      </c>
      <c r="C529">
        <v>190</v>
      </c>
      <c r="D529">
        <v>162.84</v>
      </c>
      <c r="E529">
        <v>169.52</v>
      </c>
      <c r="F529">
        <v>81779.883319999994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-0.50810014727540442</v>
      </c>
      <c r="Q529">
        <f t="shared" si="985"/>
        <v>-41552.370759057383</v>
      </c>
      <c r="R529">
        <f t="shared" si="986"/>
        <v>-324768.45509733132</v>
      </c>
      <c r="S529">
        <f t="shared" si="987"/>
        <v>-3.2476845509733132</v>
      </c>
      <c r="T529">
        <f t="shared" si="988"/>
        <v>-3.2476845509733132E-3</v>
      </c>
    </row>
    <row r="530" spans="1:20" x14ac:dyDescent="0.25">
      <c r="A530" s="5">
        <v>44063</v>
      </c>
      <c r="B530">
        <v>182.71</v>
      </c>
      <c r="C530">
        <v>187.75</v>
      </c>
      <c r="D530">
        <v>176.36</v>
      </c>
      <c r="E530">
        <v>179.75</v>
      </c>
      <c r="F530">
        <v>45671.273639999999</v>
      </c>
      <c r="G530">
        <v>0</v>
      </c>
      <c r="L530" t="s">
        <v>7</v>
      </c>
      <c r="M530" t="s">
        <v>8</v>
      </c>
      <c r="N530" t="s">
        <v>7</v>
      </c>
      <c r="P530">
        <f t="shared" si="984"/>
        <v>-0.40474100087796483</v>
      </c>
      <c r="Q530">
        <f t="shared" si="985"/>
        <v>-18485.037004425012</v>
      </c>
      <c r="R530">
        <f t="shared" si="986"/>
        <v>-283216.08433827391</v>
      </c>
      <c r="S530">
        <f t="shared" si="987"/>
        <v>-2.8321608433827392</v>
      </c>
      <c r="T530">
        <f t="shared" si="988"/>
        <v>-2.8321608433827393E-3</v>
      </c>
    </row>
    <row r="531" spans="1:20" x14ac:dyDescent="0.25">
      <c r="A531" s="5">
        <v>44062</v>
      </c>
      <c r="B531">
        <v>187.42</v>
      </c>
      <c r="C531">
        <v>211.6</v>
      </c>
      <c r="D531">
        <v>175.57</v>
      </c>
      <c r="E531">
        <v>182.83</v>
      </c>
      <c r="F531">
        <v>123241.00949</v>
      </c>
      <c r="G531">
        <v>0</v>
      </c>
      <c r="L531" t="s">
        <v>8</v>
      </c>
      <c r="M531" t="s">
        <v>8</v>
      </c>
      <c r="N531" t="s">
        <v>7</v>
      </c>
      <c r="P531">
        <f t="shared" si="984"/>
        <v>-0.59700249791840032</v>
      </c>
      <c r="Q531">
        <f t="shared" si="985"/>
        <v>-73575.190511515277</v>
      </c>
      <c r="R531">
        <f t="shared" si="986"/>
        <v>-264731.0473338489</v>
      </c>
      <c r="S531">
        <f t="shared" si="987"/>
        <v>-2.6473104733384889</v>
      </c>
      <c r="T531">
        <f t="shared" si="988"/>
        <v>-2.647310473338489E-3</v>
      </c>
    </row>
    <row r="532" spans="1:20" x14ac:dyDescent="0.25">
      <c r="A532" s="5">
        <v>44061</v>
      </c>
      <c r="B532">
        <v>184.76</v>
      </c>
      <c r="C532">
        <v>190.66</v>
      </c>
      <c r="D532">
        <v>172</v>
      </c>
      <c r="E532">
        <v>187.5</v>
      </c>
      <c r="F532">
        <v>69688.743369999997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0.66130760986066484</v>
      </c>
      <c r="Q532">
        <f t="shared" si="985"/>
        <v>46085.696312207954</v>
      </c>
      <c r="R532">
        <f t="shared" si="986"/>
        <v>-191155.85682233359</v>
      </c>
      <c r="S532">
        <f t="shared" si="987"/>
        <v>-1.9115585682233358</v>
      </c>
      <c r="T532">
        <f t="shared" si="988"/>
        <v>-1.9115585682233358E-3</v>
      </c>
    </row>
    <row r="533" spans="1:20" x14ac:dyDescent="0.25">
      <c r="A533" s="5">
        <v>44060</v>
      </c>
      <c r="B533">
        <v>201.4</v>
      </c>
      <c r="C533">
        <v>202.54</v>
      </c>
      <c r="D533">
        <v>182.93</v>
      </c>
      <c r="E533">
        <v>184.21</v>
      </c>
      <c r="F533">
        <v>61169.198729999996</v>
      </c>
      <c r="G533">
        <v>0</v>
      </c>
      <c r="L533" t="s">
        <v>7</v>
      </c>
      <c r="M533" t="s">
        <v>7</v>
      </c>
      <c r="N533" t="s">
        <v>7</v>
      </c>
      <c r="P533">
        <f t="shared" si="984"/>
        <v>-0.86945436002039755</v>
      </c>
      <c r="Q533">
        <f t="shared" si="985"/>
        <v>-53183.826534752661</v>
      </c>
      <c r="R533">
        <f t="shared" si="986"/>
        <v>-237241.55313454155</v>
      </c>
      <c r="S533">
        <f t="shared" si="987"/>
        <v>-2.3724155313454154</v>
      </c>
      <c r="T533">
        <f t="shared" si="988"/>
        <v>-2.3724155313454153E-3</v>
      </c>
    </row>
    <row r="534" spans="1:20" x14ac:dyDescent="0.25">
      <c r="A534" s="5">
        <v>44059</v>
      </c>
      <c r="B534">
        <v>196.36</v>
      </c>
      <c r="C534">
        <v>207.4</v>
      </c>
      <c r="D534">
        <v>191.23</v>
      </c>
      <c r="E534">
        <v>201.08</v>
      </c>
      <c r="F534">
        <v>52742.677089999997</v>
      </c>
      <c r="G534">
        <v>0</v>
      </c>
      <c r="L534" t="s">
        <v>8</v>
      </c>
      <c r="M534" t="s">
        <v>8</v>
      </c>
      <c r="N534" t="s">
        <v>7</v>
      </c>
      <c r="P534">
        <f t="shared" si="984"/>
        <v>0.21830550401979135</v>
      </c>
      <c r="Q534">
        <f t="shared" si="985"/>
        <v>11514.016705485552</v>
      </c>
      <c r="R534">
        <f t="shared" si="986"/>
        <v>-184057.72659978888</v>
      </c>
      <c r="S534">
        <f t="shared" si="987"/>
        <v>-1.8405772659978887</v>
      </c>
      <c r="T534">
        <f t="shared" si="988"/>
        <v>-1.8405772659978888E-3</v>
      </c>
    </row>
    <row r="535" spans="1:20" x14ac:dyDescent="0.25">
      <c r="A535" s="5">
        <v>44058</v>
      </c>
      <c r="B535">
        <v>196.32</v>
      </c>
      <c r="C535">
        <v>213</v>
      </c>
      <c r="D535">
        <v>186.58</v>
      </c>
      <c r="E535">
        <v>196.35</v>
      </c>
      <c r="F535">
        <v>80423.057050000003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-0.2604087812263447</v>
      </c>
      <c r="Q535">
        <f t="shared" si="985"/>
        <v>-20942.870268887291</v>
      </c>
      <c r="R535">
        <f t="shared" si="986"/>
        <v>-195571.74330527443</v>
      </c>
      <c r="S535">
        <f t="shared" si="987"/>
        <v>-1.9557174330527443</v>
      </c>
      <c r="T535">
        <f t="shared" si="988"/>
        <v>-1.9557174330527443E-3</v>
      </c>
    </row>
    <row r="536" spans="1:20" x14ac:dyDescent="0.25">
      <c r="A536" s="5">
        <v>44057</v>
      </c>
      <c r="B536">
        <v>205.02</v>
      </c>
      <c r="C536">
        <v>217</v>
      </c>
      <c r="D536">
        <v>192.39</v>
      </c>
      <c r="E536">
        <v>196.06</v>
      </c>
      <c r="F536">
        <v>99246.530339999998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-0.70174725721251408</v>
      </c>
      <c r="Q536">
        <f t="shared" si="985"/>
        <v>-69645.980453953554</v>
      </c>
      <c r="R536">
        <f t="shared" si="986"/>
        <v>-174628.87303638714</v>
      </c>
      <c r="S536">
        <f t="shared" si="987"/>
        <v>-1.7462887303638714</v>
      </c>
      <c r="T536">
        <f t="shared" si="988"/>
        <v>-1.7462887303638715E-3</v>
      </c>
    </row>
    <row r="537" spans="1:20" x14ac:dyDescent="0.25">
      <c r="A537" s="5">
        <v>44056</v>
      </c>
      <c r="B537">
        <v>218.38</v>
      </c>
      <c r="C537">
        <v>234.76</v>
      </c>
      <c r="D537">
        <v>185</v>
      </c>
      <c r="E537">
        <v>205.33</v>
      </c>
      <c r="F537">
        <v>223478.28529</v>
      </c>
      <c r="G537">
        <v>0</v>
      </c>
      <c r="L537" t="s">
        <v>7</v>
      </c>
      <c r="M537" t="s">
        <v>7</v>
      </c>
      <c r="N537" t="s">
        <v>7</v>
      </c>
      <c r="P537">
        <f t="shared" si="984"/>
        <v>-0.18287781350482249</v>
      </c>
      <c r="Q537">
        <f t="shared" si="985"/>
        <v>-40869.220179642136</v>
      </c>
      <c r="R537">
        <f t="shared" si="986"/>
        <v>-104982.89258243359</v>
      </c>
      <c r="S537">
        <f t="shared" si="987"/>
        <v>-1.0498289258243358</v>
      </c>
      <c r="T537">
        <f t="shared" si="988"/>
        <v>-1.0498289258243359E-3</v>
      </c>
    </row>
    <row r="538" spans="1:20" x14ac:dyDescent="0.25">
      <c r="A538" s="5">
        <v>44055</v>
      </c>
      <c r="B538">
        <v>196</v>
      </c>
      <c r="C538">
        <v>267.5</v>
      </c>
      <c r="D538">
        <v>190.55</v>
      </c>
      <c r="E538">
        <v>218.38</v>
      </c>
      <c r="F538">
        <v>290189.12760000001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-0.27667316439246292</v>
      </c>
      <c r="Q538">
        <f t="shared" si="985"/>
        <v>-80287.544205380196</v>
      </c>
      <c r="R538">
        <f t="shared" si="986"/>
        <v>-64113.672402791461</v>
      </c>
      <c r="S538">
        <f t="shared" si="987"/>
        <v>-0.64113672402791466</v>
      </c>
      <c r="T538">
        <f t="shared" si="988"/>
        <v>-6.4113672402791471E-4</v>
      </c>
    </row>
    <row r="539" spans="1:20" x14ac:dyDescent="0.25">
      <c r="A539" s="5">
        <v>44054</v>
      </c>
      <c r="B539">
        <v>176.58</v>
      </c>
      <c r="C539">
        <v>198.55</v>
      </c>
      <c r="D539">
        <v>153.26</v>
      </c>
      <c r="E539">
        <v>195.8</v>
      </c>
      <c r="F539">
        <v>94712.825769999996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0.87856038860675656</v>
      </c>
      <c r="Q539">
        <f t="shared" si="985"/>
        <v>83210.93701453523</v>
      </c>
      <c r="R539">
        <f t="shared" si="986"/>
        <v>16173.871802588736</v>
      </c>
      <c r="S539">
        <f t="shared" si="987"/>
        <v>0.16173871802588735</v>
      </c>
      <c r="T539">
        <f t="shared" si="988"/>
        <v>1.6173871802588734E-4</v>
      </c>
    </row>
    <row r="540" spans="1:20" x14ac:dyDescent="0.25">
      <c r="A540" s="5">
        <v>44053</v>
      </c>
      <c r="B540">
        <v>170.91</v>
      </c>
      <c r="C540">
        <v>188</v>
      </c>
      <c r="D540">
        <v>165</v>
      </c>
      <c r="E540">
        <v>176.62</v>
      </c>
      <c r="F540">
        <v>61794.136700000003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1.0434782608696047E-2</v>
      </c>
      <c r="Q540">
        <f t="shared" si="985"/>
        <v>644.8083829565461</v>
      </c>
      <c r="R540">
        <f t="shared" si="986"/>
        <v>-67037.065211946494</v>
      </c>
      <c r="S540">
        <f t="shared" si="987"/>
        <v>-0.67037065211946489</v>
      </c>
      <c r="T540">
        <f t="shared" si="988"/>
        <v>-6.7037065211946487E-4</v>
      </c>
    </row>
    <row r="541" spans="1:20" x14ac:dyDescent="0.25">
      <c r="A541" s="5">
        <v>44052</v>
      </c>
      <c r="B541">
        <v>152.63999999999999</v>
      </c>
      <c r="C541">
        <v>175</v>
      </c>
      <c r="D541">
        <v>148</v>
      </c>
      <c r="E541">
        <v>170.89</v>
      </c>
      <c r="F541">
        <v>60988.44859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0.69555555555555459</v>
      </c>
      <c r="Q541">
        <f t="shared" si="985"/>
        <v>42420.854241488829</v>
      </c>
      <c r="R541">
        <f t="shared" si="986"/>
        <v>-67681.873594903038</v>
      </c>
      <c r="S541">
        <f t="shared" si="987"/>
        <v>-0.67681873594903041</v>
      </c>
      <c r="T541">
        <f t="shared" si="988"/>
        <v>-6.7681873594903038E-4</v>
      </c>
    </row>
    <row r="542" spans="1:20" x14ac:dyDescent="0.25">
      <c r="A542" s="5">
        <v>44051</v>
      </c>
      <c r="B542">
        <v>154.68</v>
      </c>
      <c r="C542">
        <v>160.66</v>
      </c>
      <c r="D542">
        <v>147.6</v>
      </c>
      <c r="E542">
        <v>152.86000000000001</v>
      </c>
      <c r="F542">
        <v>48290.838839999997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-0.19448698315466792</v>
      </c>
      <c r="Q542">
        <f t="shared" si="985"/>
        <v>-9391.9395599998625</v>
      </c>
      <c r="R542">
        <f t="shared" si="986"/>
        <v>-110102.72783639187</v>
      </c>
      <c r="S542">
        <f t="shared" si="987"/>
        <v>-1.1010272783639188</v>
      </c>
      <c r="T542">
        <f t="shared" si="988"/>
        <v>-1.1010272783639188E-3</v>
      </c>
    </row>
    <row r="543" spans="1:20" x14ac:dyDescent="0.25">
      <c r="A543" s="5">
        <v>44050</v>
      </c>
      <c r="B543">
        <v>136.69999999999999</v>
      </c>
      <c r="C543">
        <v>156.34</v>
      </c>
      <c r="D543">
        <v>136.25</v>
      </c>
      <c r="E543">
        <v>154.46</v>
      </c>
      <c r="F543">
        <v>72474.247440000006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0.8128422100547541</v>
      </c>
      <c r="Q543">
        <f t="shared" si="985"/>
        <v>58910.127461184711</v>
      </c>
      <c r="R543">
        <f t="shared" si="986"/>
        <v>-100710.78827639201</v>
      </c>
      <c r="S543">
        <f t="shared" si="987"/>
        <v>-1.0071078827639202</v>
      </c>
      <c r="T543">
        <f t="shared" si="988"/>
        <v>-1.0071078827639203E-3</v>
      </c>
    </row>
    <row r="544" spans="1:20" x14ac:dyDescent="0.25">
      <c r="A544" s="5">
        <v>44049</v>
      </c>
      <c r="B544">
        <v>134.72</v>
      </c>
      <c r="C544">
        <v>142.5</v>
      </c>
      <c r="D544">
        <v>132.27000000000001</v>
      </c>
      <c r="E544">
        <v>136.86000000000001</v>
      </c>
      <c r="F544">
        <v>30213.660650000002</v>
      </c>
      <c r="G544">
        <v>0</v>
      </c>
      <c r="L544" t="s">
        <v>7</v>
      </c>
      <c r="M544" t="s">
        <v>8</v>
      </c>
      <c r="N544" t="s">
        <v>7</v>
      </c>
      <c r="P544">
        <f t="shared" si="984"/>
        <v>-0.10263929618768172</v>
      </c>
      <c r="Q544">
        <f t="shared" si="985"/>
        <v>-3101.1088643694543</v>
      </c>
      <c r="R544">
        <f t="shared" si="986"/>
        <v>-159620.91573757672</v>
      </c>
      <c r="S544">
        <f t="shared" si="987"/>
        <v>-1.5962091573757673</v>
      </c>
      <c r="T544">
        <f t="shared" si="988"/>
        <v>-1.5962091573757673E-3</v>
      </c>
    </row>
    <row r="545" spans="1:20" x14ac:dyDescent="0.25">
      <c r="A545" s="5">
        <v>44048</v>
      </c>
      <c r="B545">
        <v>132.19</v>
      </c>
      <c r="C545">
        <v>141.5</v>
      </c>
      <c r="D545">
        <v>128.97</v>
      </c>
      <c r="E545">
        <v>134.85</v>
      </c>
      <c r="F545">
        <v>36588.965190000003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-6.1452513966481256E-2</v>
      </c>
      <c r="Q545">
        <f t="shared" si="985"/>
        <v>-2248.4838943575719</v>
      </c>
      <c r="R545">
        <f t="shared" si="986"/>
        <v>-156519.80687320727</v>
      </c>
      <c r="S545">
        <f t="shared" si="987"/>
        <v>-1.5651980687320728</v>
      </c>
      <c r="T545">
        <f t="shared" si="988"/>
        <v>-1.5651980687320728E-3</v>
      </c>
    </row>
    <row r="546" spans="1:20" x14ac:dyDescent="0.25">
      <c r="A546" s="5">
        <v>44047</v>
      </c>
      <c r="B546">
        <v>126.99</v>
      </c>
      <c r="C546">
        <v>133.6</v>
      </c>
      <c r="D546">
        <v>126.62</v>
      </c>
      <c r="E546">
        <v>131.91</v>
      </c>
      <c r="F546">
        <v>18123.997090000001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0.51575931232091687</v>
      </c>
      <c r="Q546">
        <f t="shared" si="985"/>
        <v>9347.6202756446983</v>
      </c>
      <c r="R546">
        <f t="shared" si="986"/>
        <v>-154271.3229788497</v>
      </c>
      <c r="S546">
        <f t="shared" si="987"/>
        <v>-1.5427132297884969</v>
      </c>
      <c r="T546">
        <f t="shared" si="988"/>
        <v>-1.5427132297884969E-3</v>
      </c>
    </row>
    <row r="547" spans="1:20" x14ac:dyDescent="0.25">
      <c r="A547" s="5">
        <v>44046</v>
      </c>
      <c r="B547">
        <v>127.48</v>
      </c>
      <c r="C547">
        <v>133</v>
      </c>
      <c r="D547">
        <v>124.69</v>
      </c>
      <c r="E547">
        <v>127.2</v>
      </c>
      <c r="F547">
        <v>15817.55962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-0.3959085439229833</v>
      </c>
      <c r="Q547">
        <f t="shared" si="985"/>
        <v>-6262.3069975691769</v>
      </c>
      <c r="R547">
        <f t="shared" si="986"/>
        <v>-163618.9432544944</v>
      </c>
      <c r="S547">
        <f t="shared" si="987"/>
        <v>-1.636189432544944</v>
      </c>
      <c r="T547">
        <f t="shared" si="988"/>
        <v>-1.636189432544944E-3</v>
      </c>
    </row>
    <row r="548" spans="1:20" x14ac:dyDescent="0.25">
      <c r="A548" s="5">
        <v>44045</v>
      </c>
      <c r="B548">
        <v>137.88999999999999</v>
      </c>
      <c r="C548">
        <v>139.05000000000001</v>
      </c>
      <c r="D548">
        <v>110</v>
      </c>
      <c r="E548">
        <v>127.39</v>
      </c>
      <c r="F548">
        <v>37242.047619999998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0.19724612736660888</v>
      </c>
      <c r="Q548">
        <f t="shared" si="985"/>
        <v>7345.8496682478326</v>
      </c>
      <c r="R548">
        <f t="shared" si="986"/>
        <v>-157356.63625692521</v>
      </c>
      <c r="S548">
        <f t="shared" si="987"/>
        <v>-1.5735663625692522</v>
      </c>
      <c r="T548">
        <f t="shared" si="988"/>
        <v>-1.5735663625692522E-3</v>
      </c>
    </row>
    <row r="549" spans="1:20" x14ac:dyDescent="0.25">
      <c r="A549" s="5">
        <v>44044</v>
      </c>
      <c r="B549">
        <v>134.6</v>
      </c>
      <c r="C549">
        <v>143.97</v>
      </c>
      <c r="D549">
        <v>134</v>
      </c>
      <c r="E549">
        <v>137.88999999999999</v>
      </c>
      <c r="F549">
        <v>35554.325049999999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-0.21965897693079503</v>
      </c>
      <c r="Q549">
        <f t="shared" si="985"/>
        <v>-7809.8266659479377</v>
      </c>
      <c r="R549">
        <f t="shared" si="986"/>
        <v>-164702.48592517304</v>
      </c>
      <c r="S549">
        <f t="shared" si="987"/>
        <v>-1.6470248592517305</v>
      </c>
      <c r="T549">
        <f t="shared" si="988"/>
        <v>-1.6470248592517305E-3</v>
      </c>
    </row>
    <row r="550" spans="1:20" x14ac:dyDescent="0.25">
      <c r="A550" s="5">
        <v>44043</v>
      </c>
      <c r="B550">
        <v>133.04</v>
      </c>
      <c r="C550">
        <v>141</v>
      </c>
      <c r="D550">
        <v>128.91</v>
      </c>
      <c r="E550">
        <v>134.63</v>
      </c>
      <c r="F550">
        <v>31288.09389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-5.3763440860215506E-2</v>
      </c>
      <c r="Q550">
        <f t="shared" si="985"/>
        <v>-1682.155585483885</v>
      </c>
      <c r="R550">
        <f t="shared" si="986"/>
        <v>-156892.6592592251</v>
      </c>
      <c r="S550">
        <f t="shared" si="987"/>
        <v>-1.5689265925922509</v>
      </c>
      <c r="T550">
        <f t="shared" si="988"/>
        <v>-1.5689265925922509E-3</v>
      </c>
    </row>
    <row r="551" spans="1:20" x14ac:dyDescent="0.25">
      <c r="A551" s="5">
        <v>44042</v>
      </c>
      <c r="B551">
        <v>133.19999999999999</v>
      </c>
      <c r="C551">
        <v>135.88999999999999</v>
      </c>
      <c r="D551">
        <v>131.06</v>
      </c>
      <c r="E551">
        <v>133</v>
      </c>
      <c r="F551">
        <v>13599.738579999999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-0.19668737060041239</v>
      </c>
      <c r="Q551">
        <f t="shared" si="985"/>
        <v>-2674.8968221531859</v>
      </c>
      <c r="R551">
        <f t="shared" si="986"/>
        <v>-155210.50367374122</v>
      </c>
      <c r="S551">
        <f t="shared" si="987"/>
        <v>-1.5521050367374121</v>
      </c>
      <c r="T551">
        <f t="shared" si="988"/>
        <v>-1.552105036737412E-3</v>
      </c>
    </row>
    <row r="552" spans="1:20" x14ac:dyDescent="0.25">
      <c r="A552" s="5">
        <v>44041</v>
      </c>
      <c r="B552">
        <v>136.5</v>
      </c>
      <c r="C552">
        <v>139.97999999999999</v>
      </c>
      <c r="D552">
        <v>131.16999999999999</v>
      </c>
      <c r="E552">
        <v>133.18</v>
      </c>
      <c r="F552">
        <v>14990.37867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-0.54370034052212968</v>
      </c>
      <c r="Q552">
        <f t="shared" si="985"/>
        <v>-8150.2739874346698</v>
      </c>
      <c r="R552">
        <f t="shared" si="986"/>
        <v>-152535.60685158803</v>
      </c>
      <c r="S552">
        <f t="shared" si="987"/>
        <v>-1.5253560685158802</v>
      </c>
      <c r="T552">
        <f t="shared" si="988"/>
        <v>-1.5253560685158803E-3</v>
      </c>
    </row>
    <row r="553" spans="1:20" x14ac:dyDescent="0.25">
      <c r="A553" s="5">
        <v>44040</v>
      </c>
      <c r="B553">
        <v>135.74</v>
      </c>
      <c r="C553">
        <v>140.66999999999999</v>
      </c>
      <c r="D553">
        <v>129.30000000000001</v>
      </c>
      <c r="E553">
        <v>136.69</v>
      </c>
      <c r="F553">
        <v>28543.130280000001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0.29991204925241899</v>
      </c>
      <c r="Q553">
        <f t="shared" si="985"/>
        <v>8560.4286943535717</v>
      </c>
      <c r="R553">
        <f t="shared" si="986"/>
        <v>-144385.33286415337</v>
      </c>
      <c r="S553">
        <f t="shared" si="987"/>
        <v>-1.4438533286415338</v>
      </c>
      <c r="T553">
        <f t="shared" si="988"/>
        <v>-1.4438533286415338E-3</v>
      </c>
    </row>
    <row r="554" spans="1:20" x14ac:dyDescent="0.25">
      <c r="A554" s="5">
        <v>44039</v>
      </c>
      <c r="B554">
        <v>157.47</v>
      </c>
      <c r="C554">
        <v>158.52000000000001</v>
      </c>
      <c r="D554">
        <v>121.55</v>
      </c>
      <c r="E554">
        <v>135.78</v>
      </c>
      <c r="F554">
        <v>64309.479850000003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-0.23018663781444421</v>
      </c>
      <c r="Q554">
        <f t="shared" si="985"/>
        <v>-14803.182946267249</v>
      </c>
      <c r="R554">
        <f t="shared" si="986"/>
        <v>-152945.76155850696</v>
      </c>
      <c r="S554">
        <f t="shared" si="987"/>
        <v>-1.5294576155850697</v>
      </c>
      <c r="T554">
        <f t="shared" si="988"/>
        <v>-1.5294576155850696E-3</v>
      </c>
    </row>
    <row r="555" spans="1:20" x14ac:dyDescent="0.25">
      <c r="A555" s="5">
        <v>44038</v>
      </c>
      <c r="B555">
        <v>155.82</v>
      </c>
      <c r="C555">
        <v>164</v>
      </c>
      <c r="D555">
        <v>153.55000000000001</v>
      </c>
      <c r="E555">
        <v>157.44999999999999</v>
      </c>
      <c r="F555">
        <v>32064.744200000001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-0.25358851674641503</v>
      </c>
      <c r="Q555">
        <f t="shared" si="985"/>
        <v>-8131.2509215312148</v>
      </c>
      <c r="R555">
        <f t="shared" si="986"/>
        <v>-138142.57861223971</v>
      </c>
      <c r="S555">
        <f t="shared" si="987"/>
        <v>-1.3814257861223971</v>
      </c>
      <c r="T555">
        <f t="shared" si="988"/>
        <v>-1.3814257861223971E-3</v>
      </c>
    </row>
    <row r="556" spans="1:20" x14ac:dyDescent="0.25">
      <c r="A556" s="5">
        <v>44037</v>
      </c>
      <c r="B556">
        <v>155.16</v>
      </c>
      <c r="C556">
        <v>157.43</v>
      </c>
      <c r="D556">
        <v>153.99</v>
      </c>
      <c r="E556">
        <v>155.82</v>
      </c>
      <c r="F556">
        <v>14492.32431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6.3953488372084477E-2</v>
      </c>
      <c r="Q556">
        <f t="shared" si="985"/>
        <v>926.83469424406223</v>
      </c>
      <c r="R556">
        <f t="shared" si="986"/>
        <v>-130011.32769070851</v>
      </c>
      <c r="S556">
        <f t="shared" si="987"/>
        <v>-1.3001132769070851</v>
      </c>
      <c r="T556">
        <f t="shared" si="988"/>
        <v>-1.300113276907085E-3</v>
      </c>
    </row>
    <row r="557" spans="1:20" x14ac:dyDescent="0.25">
      <c r="A557" s="5">
        <v>44036</v>
      </c>
      <c r="B557">
        <v>156.25</v>
      </c>
      <c r="C557">
        <v>158</v>
      </c>
      <c r="D557">
        <v>154.56</v>
      </c>
      <c r="E557">
        <v>155.33000000000001</v>
      </c>
      <c r="F557">
        <v>12258.642400000001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-0.5523255813953426</v>
      </c>
      <c r="Q557">
        <f t="shared" si="985"/>
        <v>-6770.7617906975984</v>
      </c>
      <c r="R557">
        <f t="shared" si="986"/>
        <v>-130938.16238495258</v>
      </c>
      <c r="S557">
        <f t="shared" si="987"/>
        <v>-1.3093816238495257</v>
      </c>
      <c r="T557">
        <f t="shared" si="988"/>
        <v>-1.3093816238495257E-3</v>
      </c>
    </row>
    <row r="558" spans="1:20" x14ac:dyDescent="0.25">
      <c r="A558" s="5">
        <v>44035</v>
      </c>
      <c r="B558">
        <v>157.49</v>
      </c>
      <c r="C558">
        <v>162.41</v>
      </c>
      <c r="D558">
        <v>155</v>
      </c>
      <c r="E558">
        <v>156</v>
      </c>
      <c r="F558">
        <v>22840.398260000002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-0.7300944669365721</v>
      </c>
      <c r="Q558">
        <f t="shared" si="985"/>
        <v>-16675.648392253712</v>
      </c>
      <c r="R558">
        <f t="shared" si="986"/>
        <v>-124167.40059425498</v>
      </c>
      <c r="S558">
        <f t="shared" si="987"/>
        <v>-1.24167400594255</v>
      </c>
      <c r="T558">
        <f t="shared" si="988"/>
        <v>-1.24167400594255E-3</v>
      </c>
    </row>
    <row r="559" spans="1:20" x14ac:dyDescent="0.25">
      <c r="A559" s="5">
        <v>44034</v>
      </c>
      <c r="B559">
        <v>159.79</v>
      </c>
      <c r="C559">
        <v>159.94999999999999</v>
      </c>
      <c r="D559">
        <v>153.16</v>
      </c>
      <c r="E559">
        <v>157.72999999999999</v>
      </c>
      <c r="F559">
        <v>24133.911059999999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0.34609720176730441</v>
      </c>
      <c r="Q559">
        <f t="shared" si="985"/>
        <v>8352.6790855669988</v>
      </c>
      <c r="R559">
        <f t="shared" si="986"/>
        <v>-107491.75220200127</v>
      </c>
      <c r="S559">
        <f t="shared" si="987"/>
        <v>-1.0749175220200127</v>
      </c>
      <c r="T559">
        <f t="shared" si="988"/>
        <v>-1.0749175220200126E-3</v>
      </c>
    </row>
    <row r="560" spans="1:20" x14ac:dyDescent="0.25">
      <c r="A560" s="5">
        <v>44033</v>
      </c>
      <c r="B560">
        <v>157.80000000000001</v>
      </c>
      <c r="C560">
        <v>161.99</v>
      </c>
      <c r="D560">
        <v>157.02000000000001</v>
      </c>
      <c r="E560">
        <v>159.58000000000001</v>
      </c>
      <c r="F560">
        <v>15133.945449999999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3.018108651911584E-2</v>
      </c>
      <c r="Q560">
        <f t="shared" si="985"/>
        <v>456.75891700202948</v>
      </c>
      <c r="R560">
        <f t="shared" si="986"/>
        <v>-115844.43128756827</v>
      </c>
      <c r="S560">
        <f t="shared" si="987"/>
        <v>-1.1584443128756827</v>
      </c>
      <c r="T560">
        <f t="shared" si="988"/>
        <v>-1.1584443128756826E-3</v>
      </c>
    </row>
    <row r="561" spans="1:104" x14ac:dyDescent="0.25">
      <c r="A561" s="5">
        <v>44032</v>
      </c>
      <c r="B561">
        <v>163.6</v>
      </c>
      <c r="C561">
        <v>174.04</v>
      </c>
      <c r="D561">
        <v>154</v>
      </c>
      <c r="E561">
        <v>157.87</v>
      </c>
      <c r="F561">
        <v>46633.591269999997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-0.6137724550898197</v>
      </c>
      <c r="Q561">
        <f t="shared" si="985"/>
        <v>-28622.41380344308</v>
      </c>
      <c r="R561">
        <f t="shared" si="986"/>
        <v>-116301.1902045703</v>
      </c>
      <c r="S561">
        <f t="shared" si="987"/>
        <v>-1.163011902045703</v>
      </c>
      <c r="T561">
        <f t="shared" si="988"/>
        <v>-1.1630119020457031E-3</v>
      </c>
      <c r="CZ561" t="s">
        <v>7</v>
      </c>
    </row>
    <row r="562" spans="1:104" x14ac:dyDescent="0.25">
      <c r="A562" s="5">
        <v>44031</v>
      </c>
      <c r="B562">
        <v>163.80000000000001</v>
      </c>
      <c r="C562">
        <v>164.99</v>
      </c>
      <c r="D562">
        <v>159.36000000000001</v>
      </c>
      <c r="E562">
        <v>163.61000000000001</v>
      </c>
      <c r="F562">
        <v>11709.43764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0.50976909413854476</v>
      </c>
      <c r="Q562">
        <f t="shared" si="985"/>
        <v>5969.1094186145792</v>
      </c>
      <c r="R562">
        <f t="shared" si="986"/>
        <v>-87678.776401127223</v>
      </c>
      <c r="S562">
        <f t="shared" si="987"/>
        <v>-0.87678776401127223</v>
      </c>
      <c r="T562">
        <f t="shared" si="988"/>
        <v>-8.7678776401127218E-4</v>
      </c>
      <c r="CZ562" t="s">
        <v>7</v>
      </c>
    </row>
    <row r="563" spans="1:104" x14ac:dyDescent="0.25">
      <c r="A563" s="5">
        <v>44030</v>
      </c>
      <c r="B563">
        <v>167.04</v>
      </c>
      <c r="C563">
        <v>168</v>
      </c>
      <c r="D563">
        <v>161</v>
      </c>
      <c r="E563">
        <v>163.63999999999999</v>
      </c>
      <c r="F563">
        <v>22704.205450000001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-0.2457142857142896</v>
      </c>
      <c r="Q563">
        <f t="shared" si="985"/>
        <v>-5578.7476248572311</v>
      </c>
      <c r="R563">
        <f t="shared" si="986"/>
        <v>-93647.885819741801</v>
      </c>
      <c r="S563">
        <f t="shared" si="987"/>
        <v>-0.93647885819741805</v>
      </c>
      <c r="T563">
        <f t="shared" si="988"/>
        <v>-9.36478858197418E-4</v>
      </c>
      <c r="CZ563" t="s">
        <v>7</v>
      </c>
    </row>
    <row r="564" spans="1:104" x14ac:dyDescent="0.25">
      <c r="A564" s="5">
        <v>44029</v>
      </c>
      <c r="B564">
        <v>154.79</v>
      </c>
      <c r="C564">
        <v>176.5</v>
      </c>
      <c r="D564">
        <v>154.11000000000001</v>
      </c>
      <c r="E564">
        <v>167.24</v>
      </c>
      <c r="F564">
        <v>44563.023390000002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0.17284502009825847</v>
      </c>
      <c r="Q564">
        <f t="shared" si="985"/>
        <v>7702.4966734837126</v>
      </c>
      <c r="R564">
        <f t="shared" si="986"/>
        <v>-88069.138194884566</v>
      </c>
      <c r="S564">
        <f t="shared" si="987"/>
        <v>-0.88069138194884566</v>
      </c>
      <c r="T564">
        <f t="shared" si="988"/>
        <v>-8.8069138194884567E-4</v>
      </c>
    </row>
    <row r="565" spans="1:104" x14ac:dyDescent="0.25">
      <c r="A565" s="5">
        <v>44028</v>
      </c>
      <c r="B565">
        <v>160.4</v>
      </c>
      <c r="C565">
        <v>163.99</v>
      </c>
      <c r="D565">
        <v>152.22999999999999</v>
      </c>
      <c r="E565">
        <v>154.79</v>
      </c>
      <c r="F565">
        <v>18819.979660000001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-0.56462585034013635</v>
      </c>
      <c r="Q565">
        <f t="shared" si="985"/>
        <v>-10626.24701891157</v>
      </c>
      <c r="R565">
        <f t="shared" si="986"/>
        <v>-95771.634868368274</v>
      </c>
      <c r="S565">
        <f t="shared" si="987"/>
        <v>-0.95771634868368272</v>
      </c>
      <c r="T565">
        <f t="shared" si="988"/>
        <v>-9.5771634868368268E-4</v>
      </c>
    </row>
    <row r="566" spans="1:104" x14ac:dyDescent="0.25">
      <c r="A566" s="5">
        <v>44027</v>
      </c>
      <c r="B566">
        <v>164.17</v>
      </c>
      <c r="C566">
        <v>167.8</v>
      </c>
      <c r="D566">
        <v>159.66999999999999</v>
      </c>
      <c r="E566">
        <v>160.16999999999999</v>
      </c>
      <c r="F566">
        <v>11736.60572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-0.87699876998770021</v>
      </c>
      <c r="Q566">
        <f t="shared" si="985"/>
        <v>-10292.988780270607</v>
      </c>
      <c r="R566">
        <f t="shared" si="986"/>
        <v>-85145.387849456703</v>
      </c>
      <c r="S566">
        <f t="shared" si="987"/>
        <v>-0.851453878494567</v>
      </c>
      <c r="T566">
        <f t="shared" si="988"/>
        <v>-8.5145387849456698E-4</v>
      </c>
    </row>
    <row r="567" spans="1:104" x14ac:dyDescent="0.25">
      <c r="A567" s="5">
        <v>44026</v>
      </c>
      <c r="B567">
        <v>166.27</v>
      </c>
      <c r="C567">
        <v>167.5</v>
      </c>
      <c r="D567">
        <v>160.01</v>
      </c>
      <c r="E567">
        <v>164.19</v>
      </c>
      <c r="F567">
        <v>18400.91505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0.11615487316421942</v>
      </c>
      <c r="Q567">
        <f t="shared" si="985"/>
        <v>2137.3559537383262</v>
      </c>
      <c r="R567">
        <f t="shared" si="986"/>
        <v>-74852.399069186096</v>
      </c>
      <c r="S567">
        <f t="shared" si="987"/>
        <v>-0.74852399069186093</v>
      </c>
      <c r="T567">
        <f t="shared" si="988"/>
        <v>-7.4852399069186097E-4</v>
      </c>
    </row>
    <row r="568" spans="1:104" x14ac:dyDescent="0.25">
      <c r="A568" s="5">
        <v>44025</v>
      </c>
      <c r="B568">
        <v>176.07</v>
      </c>
      <c r="C568">
        <v>178.8</v>
      </c>
      <c r="D568">
        <v>158.59</v>
      </c>
      <c r="E568">
        <v>166.47</v>
      </c>
      <c r="F568">
        <v>18207.406920000001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-0.22018802572983748</v>
      </c>
      <c r="Q568">
        <f t="shared" si="985"/>
        <v>-4009.0529833745813</v>
      </c>
      <c r="R568">
        <f t="shared" si="986"/>
        <v>-76989.755022924423</v>
      </c>
      <c r="S568">
        <f t="shared" si="987"/>
        <v>-0.76989755022924422</v>
      </c>
      <c r="T568">
        <f t="shared" si="988"/>
        <v>-7.6989755022924418E-4</v>
      </c>
    </row>
    <row r="569" spans="1:104" x14ac:dyDescent="0.25">
      <c r="A569" s="5">
        <v>44024</v>
      </c>
      <c r="B569">
        <v>177.95</v>
      </c>
      <c r="C569">
        <v>186.21</v>
      </c>
      <c r="D569">
        <v>167</v>
      </c>
      <c r="E569">
        <v>176.07</v>
      </c>
      <c r="F569">
        <v>17858.558980000002</v>
      </c>
      <c r="G569">
        <v>0</v>
      </c>
      <c r="L569" t="s">
        <v>7</v>
      </c>
      <c r="M569" t="s">
        <v>7</v>
      </c>
      <c r="N569" t="s">
        <v>7</v>
      </c>
      <c r="P569">
        <f t="shared" si="984"/>
        <v>-5.5700156168663258E-2</v>
      </c>
      <c r="Q569">
        <f t="shared" si="985"/>
        <v>-994.72452413328369</v>
      </c>
      <c r="R569">
        <f t="shared" si="986"/>
        <v>-72980.70203954984</v>
      </c>
      <c r="S569">
        <f t="shared" si="987"/>
        <v>-0.72980702039549838</v>
      </c>
      <c r="T569">
        <f t="shared" si="988"/>
        <v>-7.298070203954984E-4</v>
      </c>
    </row>
    <row r="570" spans="1:104" x14ac:dyDescent="0.25">
      <c r="A570" s="5">
        <v>44023</v>
      </c>
      <c r="B570">
        <v>175.43</v>
      </c>
      <c r="C570">
        <v>184.64</v>
      </c>
      <c r="D570">
        <v>173.94</v>
      </c>
      <c r="E570">
        <v>178.24</v>
      </c>
      <c r="F570">
        <v>19248.08138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-0.19626168224298768</v>
      </c>
      <c r="Q570">
        <f t="shared" si="985"/>
        <v>-3777.6608315887279</v>
      </c>
      <c r="R570">
        <f t="shared" si="986"/>
        <v>-71985.977515416555</v>
      </c>
      <c r="S570">
        <f t="shared" si="987"/>
        <v>-0.71985977515416555</v>
      </c>
      <c r="T570">
        <f t="shared" si="988"/>
        <v>-7.1985977515416557E-4</v>
      </c>
    </row>
    <row r="571" spans="1:104" x14ac:dyDescent="0.25">
      <c r="A571" s="5">
        <v>44022</v>
      </c>
      <c r="B571">
        <v>180.13</v>
      </c>
      <c r="C571">
        <v>180.94</v>
      </c>
      <c r="D571">
        <v>172.15</v>
      </c>
      <c r="E571">
        <v>175.05</v>
      </c>
      <c r="F571">
        <v>13154.8959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-0.34015927189988432</v>
      </c>
      <c r="Q571">
        <f t="shared" si="985"/>
        <v>-4474.7598112627729</v>
      </c>
      <c r="R571">
        <f t="shared" si="986"/>
        <v>-68208.316683827827</v>
      </c>
      <c r="S571">
        <f t="shared" si="987"/>
        <v>-0.6820831668382783</v>
      </c>
      <c r="T571">
        <f t="shared" si="988"/>
        <v>-6.8208316683827832E-4</v>
      </c>
    </row>
    <row r="572" spans="1:104" x14ac:dyDescent="0.25">
      <c r="A572" s="5">
        <v>44021</v>
      </c>
      <c r="B572">
        <v>184.91</v>
      </c>
      <c r="C572">
        <v>188.5</v>
      </c>
      <c r="D572">
        <v>176</v>
      </c>
      <c r="E572">
        <v>179.86</v>
      </c>
      <c r="F572">
        <v>18763.359380000002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-0.3823999999999978</v>
      </c>
      <c r="Q572">
        <f t="shared" si="985"/>
        <v>-7175.1086269119596</v>
      </c>
      <c r="R572">
        <f t="shared" si="986"/>
        <v>-63733.556872565059</v>
      </c>
      <c r="S572">
        <f t="shared" si="987"/>
        <v>-0.63733556872565056</v>
      </c>
      <c r="T572">
        <f t="shared" si="988"/>
        <v>-6.3733556872565061E-4</v>
      </c>
    </row>
    <row r="573" spans="1:104" x14ac:dyDescent="0.25">
      <c r="A573" s="5">
        <v>44020</v>
      </c>
      <c r="B573">
        <v>187.71</v>
      </c>
      <c r="C573">
        <v>188.9</v>
      </c>
      <c r="D573">
        <v>180.77</v>
      </c>
      <c r="E573">
        <v>184.57</v>
      </c>
      <c r="F573">
        <v>24830.910029999999</v>
      </c>
      <c r="G573">
        <v>0</v>
      </c>
      <c r="L573" t="s">
        <v>7</v>
      </c>
      <c r="M573" t="s">
        <v>7</v>
      </c>
      <c r="N573" t="s">
        <v>7</v>
      </c>
      <c r="P573">
        <f t="shared" si="984"/>
        <v>-6.5190651906522734E-2</v>
      </c>
      <c r="Q573">
        <f t="shared" si="985"/>
        <v>-1618.7432122879138</v>
      </c>
      <c r="R573">
        <f t="shared" si="986"/>
        <v>-56558.448245653097</v>
      </c>
      <c r="S573">
        <f t="shared" si="987"/>
        <v>-0.56558448245653092</v>
      </c>
      <c r="T573">
        <f t="shared" si="988"/>
        <v>-5.6558448245653094E-4</v>
      </c>
    </row>
    <row r="574" spans="1:104" x14ac:dyDescent="0.25">
      <c r="A574" s="5">
        <v>44019</v>
      </c>
      <c r="B574">
        <v>194.92</v>
      </c>
      <c r="C574">
        <v>197</v>
      </c>
      <c r="D574">
        <v>183.05</v>
      </c>
      <c r="E574">
        <v>187.71</v>
      </c>
      <c r="F574">
        <v>21819.067599999998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-0.33189964157706087</v>
      </c>
      <c r="Q574">
        <f t="shared" si="985"/>
        <v>-7241.7407159856612</v>
      </c>
      <c r="R574">
        <f t="shared" si="986"/>
        <v>-54939.705033365186</v>
      </c>
      <c r="S574">
        <f t="shared" si="987"/>
        <v>-0.54939705033365183</v>
      </c>
      <c r="T574">
        <f t="shared" si="988"/>
        <v>-5.4939705033365182E-4</v>
      </c>
    </row>
    <row r="575" spans="1:104" x14ac:dyDescent="0.25">
      <c r="A575" s="5">
        <v>44018</v>
      </c>
      <c r="B575">
        <v>200.85</v>
      </c>
      <c r="C575">
        <v>204.23</v>
      </c>
      <c r="D575">
        <v>188.5</v>
      </c>
      <c r="E575">
        <v>194.83</v>
      </c>
      <c r="F575">
        <v>26148.049070000001</v>
      </c>
      <c r="G575">
        <v>0</v>
      </c>
      <c r="L575" t="s">
        <v>7</v>
      </c>
      <c r="M575" t="s">
        <v>8</v>
      </c>
      <c r="N575" t="s">
        <v>7</v>
      </c>
      <c r="P575">
        <f t="shared" si="984"/>
        <v>-0.19516846789573852</v>
      </c>
      <c r="Q575">
        <f t="shared" si="985"/>
        <v>-5103.2746754544905</v>
      </c>
      <c r="R575">
        <f t="shared" si="986"/>
        <v>-47697.964317379527</v>
      </c>
      <c r="S575">
        <f t="shared" si="987"/>
        <v>-0.47697964317379526</v>
      </c>
      <c r="T575">
        <f t="shared" si="988"/>
        <v>-4.7697964317379524E-4</v>
      </c>
    </row>
    <row r="576" spans="1:104" x14ac:dyDescent="0.25">
      <c r="A576" s="5">
        <v>44017</v>
      </c>
      <c r="B576">
        <v>180.5</v>
      </c>
      <c r="C576">
        <v>220</v>
      </c>
      <c r="D576">
        <v>177.7</v>
      </c>
      <c r="E576">
        <v>201.66</v>
      </c>
      <c r="F576">
        <v>37187.92325</v>
      </c>
      <c r="G576">
        <v>0</v>
      </c>
      <c r="L576" t="s">
        <v>8</v>
      </c>
      <c r="M576" t="s">
        <v>8</v>
      </c>
      <c r="N576" t="s">
        <v>7</v>
      </c>
      <c r="P576">
        <f t="shared" si="984"/>
        <v>0.13286052009456273</v>
      </c>
      <c r="Q576">
        <f t="shared" si="985"/>
        <v>4940.8068242316813</v>
      </c>
      <c r="R576">
        <f t="shared" si="986"/>
        <v>-42594.689641925033</v>
      </c>
      <c r="S576">
        <f t="shared" si="987"/>
        <v>-0.42594689641925032</v>
      </c>
      <c r="T576">
        <f t="shared" si="988"/>
        <v>-4.2594689641925032E-4</v>
      </c>
    </row>
    <row r="577" spans="1:20" x14ac:dyDescent="0.25">
      <c r="A577" s="5">
        <v>44016</v>
      </c>
      <c r="B577">
        <v>171.62</v>
      </c>
      <c r="C577">
        <v>193</v>
      </c>
      <c r="D577">
        <v>163.43</v>
      </c>
      <c r="E577">
        <v>180.42</v>
      </c>
      <c r="F577">
        <v>25973.551810000001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0.14913763949949169</v>
      </c>
      <c r="Q577">
        <f t="shared" si="985"/>
        <v>3873.6342063611501</v>
      </c>
      <c r="R577">
        <f t="shared" si="986"/>
        <v>-47535.496466156714</v>
      </c>
      <c r="S577">
        <f t="shared" si="987"/>
        <v>-0.47535496466156713</v>
      </c>
      <c r="T577">
        <f t="shared" si="988"/>
        <v>-4.7535496466156714E-4</v>
      </c>
    </row>
    <row r="578" spans="1:20" x14ac:dyDescent="0.25">
      <c r="A578" s="5">
        <v>44015</v>
      </c>
      <c r="B578">
        <v>180.21</v>
      </c>
      <c r="C578">
        <v>193.88</v>
      </c>
      <c r="D578">
        <v>170.42</v>
      </c>
      <c r="E578">
        <v>171.91</v>
      </c>
      <c r="F578">
        <v>21353.24222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-0.8729752770673479</v>
      </c>
      <c r="Q578">
        <f t="shared" si="985"/>
        <v>-18640.85254329069</v>
      </c>
      <c r="R578">
        <f t="shared" si="986"/>
        <v>-51409.130672517866</v>
      </c>
      <c r="S578">
        <f t="shared" si="987"/>
        <v>-0.51409130672517867</v>
      </c>
      <c r="T578">
        <f t="shared" si="988"/>
        <v>-5.1409130672517862E-4</v>
      </c>
    </row>
    <row r="579" spans="1:20" x14ac:dyDescent="0.25">
      <c r="A579" s="5">
        <v>44014</v>
      </c>
      <c r="B579">
        <v>200.56</v>
      </c>
      <c r="C579">
        <v>204.77</v>
      </c>
      <c r="D579">
        <v>172.98</v>
      </c>
      <c r="E579">
        <v>180.01</v>
      </c>
      <c r="F579">
        <v>29718.042119999998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-0.55772255426234685</v>
      </c>
      <c r="Q579">
        <f t="shared" si="985"/>
        <v>-16574.422358842407</v>
      </c>
      <c r="R579">
        <f t="shared" si="986"/>
        <v>-32768.278129227176</v>
      </c>
      <c r="S579">
        <f t="shared" si="987"/>
        <v>-0.32768278129227174</v>
      </c>
      <c r="T579">
        <f t="shared" si="988"/>
        <v>-3.2768278129227175E-4</v>
      </c>
    </row>
    <row r="580" spans="1:20" x14ac:dyDescent="0.25">
      <c r="A580" s="5">
        <v>44013</v>
      </c>
      <c r="B580">
        <v>216.59</v>
      </c>
      <c r="C580">
        <v>219</v>
      </c>
      <c r="D580">
        <v>200.05</v>
      </c>
      <c r="E580">
        <v>201.09</v>
      </c>
      <c r="F580">
        <v>14551.42448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-0.8902374670184704</v>
      </c>
      <c r="Q580">
        <f t="shared" si="985"/>
        <v>-12954.223270585762</v>
      </c>
      <c r="R580">
        <f t="shared" si="986"/>
        <v>-16193.855770384771</v>
      </c>
      <c r="S580">
        <f t="shared" si="987"/>
        <v>-0.16193855770384771</v>
      </c>
      <c r="T580">
        <f t="shared" si="988"/>
        <v>-1.6193855770384771E-4</v>
      </c>
    </row>
    <row r="581" spans="1:20" x14ac:dyDescent="0.25">
      <c r="A581" s="5">
        <v>44012</v>
      </c>
      <c r="B581">
        <v>233.54</v>
      </c>
      <c r="C581">
        <v>240.45</v>
      </c>
      <c r="D581">
        <v>213</v>
      </c>
      <c r="E581">
        <v>216.66</v>
      </c>
      <c r="F581">
        <v>16078.224560000001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-0.7333333333333335</v>
      </c>
      <c r="Q581">
        <f t="shared" si="985"/>
        <v>-11790.698010666671</v>
      </c>
      <c r="R581">
        <f t="shared" si="986"/>
        <v>-3239.6324997990087</v>
      </c>
      <c r="S581">
        <f t="shared" si="987"/>
        <v>-3.2396324997990084E-2</v>
      </c>
      <c r="T581">
        <f t="shared" si="988"/>
        <v>-3.2396324997990081E-5</v>
      </c>
    </row>
    <row r="582" spans="1:20" x14ac:dyDescent="0.25">
      <c r="A582" s="5">
        <v>44011</v>
      </c>
      <c r="B582">
        <v>245.3</v>
      </c>
      <c r="C582">
        <v>245.99</v>
      </c>
      <c r="D582">
        <v>232</v>
      </c>
      <c r="E582">
        <v>233.44</v>
      </c>
      <c r="F582">
        <v>8236.6039700000001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-0.79413867047891396</v>
      </c>
      <c r="Q582">
        <f t="shared" ref="Q582:Q645" si="990">F582*P582</f>
        <v>-6541.0057259971445</v>
      </c>
      <c r="R582">
        <f t="shared" ref="R582:R645" si="991">R583+Q582</f>
        <v>8551.0655108676619</v>
      </c>
      <c r="S582">
        <f t="shared" ref="S582:S645" si="992">R582/100000</f>
        <v>8.5510655108676614E-2</v>
      </c>
      <c r="T582">
        <f t="shared" ref="T582:T645" si="993">S582/1000</f>
        <v>8.5510655108676615E-5</v>
      </c>
    </row>
    <row r="583" spans="1:20" x14ac:dyDescent="0.25">
      <c r="A583" s="5">
        <v>44010</v>
      </c>
      <c r="B583">
        <v>231.1</v>
      </c>
      <c r="C583">
        <v>253</v>
      </c>
      <c r="D583">
        <v>226.15</v>
      </c>
      <c r="E583">
        <v>245.45</v>
      </c>
      <c r="F583">
        <v>10431.866679999999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0.43761638733705677</v>
      </c>
      <c r="Q583">
        <f t="shared" si="990"/>
        <v>4565.155809683416</v>
      </c>
      <c r="R583">
        <f t="shared" si="991"/>
        <v>15092.071236864806</v>
      </c>
      <c r="S583">
        <f t="shared" si="992"/>
        <v>0.15092071236864807</v>
      </c>
      <c r="T583">
        <f t="shared" si="993"/>
        <v>1.5092071236864806E-4</v>
      </c>
    </row>
    <row r="584" spans="1:20" x14ac:dyDescent="0.25">
      <c r="A584" s="5">
        <v>44009</v>
      </c>
      <c r="B584">
        <v>262.04000000000002</v>
      </c>
      <c r="C584">
        <v>264.76</v>
      </c>
      <c r="D584">
        <v>222.28</v>
      </c>
      <c r="E584">
        <v>231</v>
      </c>
      <c r="F584">
        <v>15940.11709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-0.58945386064030125</v>
      </c>
      <c r="Q584">
        <f t="shared" si="990"/>
        <v>-9395.9635577589434</v>
      </c>
      <c r="R584">
        <f t="shared" si="991"/>
        <v>10526.91542718139</v>
      </c>
      <c r="S584">
        <f t="shared" si="992"/>
        <v>0.10526915427181389</v>
      </c>
      <c r="T584">
        <f t="shared" si="993"/>
        <v>1.052691542718139E-4</v>
      </c>
    </row>
    <row r="585" spans="1:20" x14ac:dyDescent="0.25">
      <c r="A585" s="5">
        <v>44008</v>
      </c>
      <c r="B585">
        <v>227.54</v>
      </c>
      <c r="C585">
        <v>269</v>
      </c>
      <c r="D585">
        <v>226.11</v>
      </c>
      <c r="E585">
        <v>261.73</v>
      </c>
      <c r="F585">
        <v>26524.520400000001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0.66099323851713765</v>
      </c>
      <c r="Q585">
        <f t="shared" si="990"/>
        <v>17532.528639309883</v>
      </c>
      <c r="R585">
        <f t="shared" si="991"/>
        <v>19922.878984940333</v>
      </c>
      <c r="S585">
        <f t="shared" si="992"/>
        <v>0.19922878984940334</v>
      </c>
      <c r="T585">
        <f t="shared" si="993"/>
        <v>1.9922878984940335E-4</v>
      </c>
    </row>
    <row r="586" spans="1:20" x14ac:dyDescent="0.25">
      <c r="A586" s="5">
        <v>44007</v>
      </c>
      <c r="B586">
        <v>209.18</v>
      </c>
      <c r="C586">
        <v>250</v>
      </c>
      <c r="D586">
        <v>202.97</v>
      </c>
      <c r="E586">
        <v>228</v>
      </c>
      <c r="F586">
        <v>37101.708500000001</v>
      </c>
      <c r="G586">
        <v>0</v>
      </c>
      <c r="P586">
        <f t="shared" si="989"/>
        <v>6.4426961513927308E-2</v>
      </c>
      <c r="Q586">
        <f t="shared" si="990"/>
        <v>2390.3503456304497</v>
      </c>
      <c r="R586">
        <f t="shared" si="991"/>
        <v>2390.3503456304497</v>
      </c>
      <c r="S586">
        <f t="shared" si="992"/>
        <v>2.3903503456304497E-2</v>
      </c>
      <c r="T586">
        <f t="shared" si="993"/>
        <v>2.3903503456304496E-5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N344" sqref="JN34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$A$343</v>
      </c>
      <c r="D111" s="1" t="str">
        <f>ADDRESS(C121-1,D121,1,1)</f>
        <v>$JN$343</v>
      </c>
      <c r="E111"/>
    </row>
    <row r="112" spans="1:5" x14ac:dyDescent="0.25">
      <c r="A112" s="7">
        <v>12164.144957890772</v>
      </c>
      <c r="C112" s="1" t="str">
        <f>ADDRESS(C121,1,1,1)</f>
        <v>$A$344</v>
      </c>
      <c r="D112" s="1" t="str">
        <f>ADDRESS(C121,D121-1,1,1)</f>
        <v>$JM$344</v>
      </c>
      <c r="E112"/>
    </row>
    <row r="113" spans="1:5" x14ac:dyDescent="0.25">
      <c r="A113" s="7">
        <v>11925.63231165762</v>
      </c>
      <c r="C113" s="1" t="str">
        <f>ADDRESS(C121+1,1,1,1)</f>
        <v>$A$345</v>
      </c>
      <c r="D113" s="1" t="str">
        <f>ADDRESS(C121-1,D121+1,1,1)</f>
        <v>$JO$343</v>
      </c>
    </row>
    <row r="114" spans="1:5" x14ac:dyDescent="0.25">
      <c r="A114" s="7">
        <v>11691.796383978059</v>
      </c>
      <c r="C114" s="1" t="str">
        <f>ADDRESS(C121,D121,1,1)</f>
        <v>$JN$344</v>
      </c>
      <c r="D114" s="1" t="str">
        <f>ADDRESS(C121+1,D121+1,1,1)</f>
        <v>$JO$345</v>
      </c>
    </row>
    <row r="115" spans="1:5" x14ac:dyDescent="0.25">
      <c r="A115" s="7">
        <v>11462.545474488292</v>
      </c>
      <c r="C115" s="1" t="str">
        <f>ADDRESS(C121+1,D121,1,1)</f>
        <v>$JN$345</v>
      </c>
    </row>
    <row r="116" spans="1:5" x14ac:dyDescent="0.25">
      <c r="A116" s="7">
        <v>11237.789680870874</v>
      </c>
      <c r="C116" s="1">
        <f>C117-1</f>
        <v>343</v>
      </c>
    </row>
    <row r="117" spans="1:5" x14ac:dyDescent="0.25">
      <c r="A117" s="7">
        <v>11017.440863598895</v>
      </c>
      <c r="C117" s="1">
        <f>C121</f>
        <v>344</v>
      </c>
      <c r="D117" s="1">
        <f>D121</f>
        <v>274</v>
      </c>
    </row>
    <row r="118" spans="1:5" x14ac:dyDescent="0.25">
      <c r="A118" s="7">
        <v>10801.412611371465</v>
      </c>
      <c r="C118" s="1">
        <f>C117+1</f>
        <v>345</v>
      </c>
      <c r="D118" s="1">
        <f>D117+1</f>
        <v>275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344</v>
      </c>
      <c r="D121" s="19">
        <v>274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R344</v>
      </c>
      <c r="D123" s="1" t="str">
        <f>"C"&amp;D121</f>
        <v>C274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122.98205285418567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166" x14ac:dyDescent="0.25">
      <c r="A241" s="7">
        <v>945.49542036807316</v>
      </c>
      <c r="B241"/>
      <c r="C241"/>
      <c r="D241"/>
      <c r="E241"/>
    </row>
    <row r="242" spans="1:166" x14ac:dyDescent="0.25">
      <c r="A242" s="7">
        <v>926.95629447850308</v>
      </c>
      <c r="B242"/>
      <c r="C242"/>
      <c r="D242"/>
      <c r="E242"/>
    </row>
    <row r="243" spans="1:166" x14ac:dyDescent="0.25">
      <c r="A243" s="7">
        <v>908.78068086127746</v>
      </c>
      <c r="B243"/>
      <c r="C243"/>
      <c r="D243"/>
      <c r="E243"/>
      <c r="FE243" s="27" t="s">
        <v>8</v>
      </c>
    </row>
    <row r="244" spans="1:166" x14ac:dyDescent="0.25">
      <c r="A244" s="7">
        <v>890.96145182478176</v>
      </c>
      <c r="B244"/>
      <c r="C244"/>
      <c r="D244"/>
      <c r="E244"/>
      <c r="FE244" s="27" t="s">
        <v>8</v>
      </c>
      <c r="FF244" s="27" t="s">
        <v>7</v>
      </c>
    </row>
    <row r="245" spans="1:166" x14ac:dyDescent="0.25">
      <c r="A245" s="7">
        <v>873.49161943606055</v>
      </c>
      <c r="B245"/>
      <c r="C245"/>
      <c r="D245"/>
      <c r="E245"/>
      <c r="EY245" s="27" t="s">
        <v>8</v>
      </c>
      <c r="FE245" s="27" t="s">
        <v>8</v>
      </c>
      <c r="FF245" s="27" t="s">
        <v>7</v>
      </c>
    </row>
    <row r="246" spans="1:166" x14ac:dyDescent="0.25">
      <c r="A246" s="7">
        <v>856.36433278045149</v>
      </c>
      <c r="B246"/>
      <c r="C246"/>
      <c r="D246"/>
      <c r="E246"/>
      <c r="EY246" s="27" t="s">
        <v>8</v>
      </c>
      <c r="EZ246" s="27" t="s">
        <v>7</v>
      </c>
      <c r="FE246" s="27" t="s">
        <v>8</v>
      </c>
      <c r="FF246" s="27" t="s">
        <v>7</v>
      </c>
    </row>
    <row r="247" spans="1:166" x14ac:dyDescent="0.25">
      <c r="A247" s="7">
        <v>839.57287527495248</v>
      </c>
      <c r="B247"/>
      <c r="C247"/>
      <c r="D247"/>
      <c r="E247"/>
      <c r="EY247" s="27" t="s">
        <v>8</v>
      </c>
      <c r="EZ247" s="27" t="s">
        <v>7</v>
      </c>
      <c r="FE247" s="27" t="s">
        <v>8</v>
      </c>
      <c r="FF247" s="27" t="s">
        <v>7</v>
      </c>
    </row>
    <row r="248" spans="1:166" x14ac:dyDescent="0.25">
      <c r="A248" s="7">
        <v>823.11066203426708</v>
      </c>
      <c r="B248"/>
      <c r="C248"/>
      <c r="D248"/>
      <c r="E248"/>
      <c r="EY248" s="27" t="s">
        <v>8</v>
      </c>
      <c r="EZ248" s="27" t="s">
        <v>7</v>
      </c>
      <c r="FE248" s="27" t="s">
        <v>8</v>
      </c>
      <c r="FF248" s="27" t="s">
        <v>7</v>
      </c>
    </row>
    <row r="249" spans="1:166" x14ac:dyDescent="0.25">
      <c r="A249" s="7">
        <v>806.97123728849715</v>
      </c>
      <c r="B249"/>
      <c r="C249"/>
      <c r="D249"/>
      <c r="E249"/>
      <c r="EY249" s="27" t="s">
        <v>8</v>
      </c>
      <c r="EZ249" s="27" t="s">
        <v>7</v>
      </c>
      <c r="FA249" s="27" t="s">
        <v>8</v>
      </c>
      <c r="FE249" s="27" t="s">
        <v>8</v>
      </c>
      <c r="FF249" s="27" t="s">
        <v>7</v>
      </c>
      <c r="FG249" s="27" t="s">
        <v>8</v>
      </c>
    </row>
    <row r="250" spans="1:166" x14ac:dyDescent="0.25">
      <c r="A250" s="7">
        <v>791.14827185146783</v>
      </c>
      <c r="B250"/>
      <c r="C250"/>
      <c r="D250"/>
      <c r="E250"/>
      <c r="EY250" s="27" t="s">
        <v>8</v>
      </c>
      <c r="EZ250" s="27" t="s">
        <v>7</v>
      </c>
      <c r="FA250" s="27" t="s">
        <v>8</v>
      </c>
      <c r="FB250" s="27" t="s">
        <v>7</v>
      </c>
      <c r="FC250" s="27" t="s">
        <v>8</v>
      </c>
      <c r="FE250" s="27" t="s">
        <v>8</v>
      </c>
      <c r="FF250" s="27" t="s">
        <v>7</v>
      </c>
      <c r="FG250" s="27" t="s">
        <v>8</v>
      </c>
      <c r="FH250" s="27" t="s">
        <v>7</v>
      </c>
    </row>
    <row r="251" spans="1:166" x14ac:dyDescent="0.25">
      <c r="A251" s="7">
        <v>775.63556063869396</v>
      </c>
      <c r="B251"/>
      <c r="C251"/>
      <c r="D251"/>
      <c r="E251"/>
      <c r="EY251" s="27" t="s">
        <v>8</v>
      </c>
      <c r="EZ251" s="27" t="s">
        <v>7</v>
      </c>
      <c r="FA251" s="27" t="s">
        <v>8</v>
      </c>
      <c r="FB251" s="27" t="s">
        <v>7</v>
      </c>
      <c r="FC251" s="27" t="s">
        <v>8</v>
      </c>
      <c r="FD251" s="27" t="s">
        <v>7</v>
      </c>
      <c r="FE251" s="27" t="s">
        <v>8</v>
      </c>
      <c r="FF251" s="27" t="s">
        <v>7</v>
      </c>
      <c r="FG251" s="27" t="s">
        <v>8</v>
      </c>
      <c r="FH251" s="27" t="s">
        <v>7</v>
      </c>
    </row>
    <row r="252" spans="1:166" x14ac:dyDescent="0.25">
      <c r="A252" s="7">
        <v>760.42702023401364</v>
      </c>
      <c r="B252"/>
      <c r="C252"/>
      <c r="D252"/>
      <c r="E252"/>
      <c r="EY252" s="27" t="s">
        <v>8</v>
      </c>
      <c r="EZ252" s="27" t="s">
        <v>7</v>
      </c>
      <c r="FA252" s="27" t="s">
        <v>8</v>
      </c>
      <c r="FB252" s="27" t="s">
        <v>7</v>
      </c>
      <c r="FC252" s="27" t="s">
        <v>8</v>
      </c>
      <c r="FD252" s="27" t="s">
        <v>7</v>
      </c>
      <c r="FE252" s="27" t="s">
        <v>8</v>
      </c>
      <c r="FF252" s="27" t="s">
        <v>7</v>
      </c>
      <c r="FG252" s="27" t="s">
        <v>8</v>
      </c>
      <c r="FH252" s="27" t="s">
        <v>7</v>
      </c>
    </row>
    <row r="253" spans="1:166" x14ac:dyDescent="0.25">
      <c r="A253" s="7">
        <v>745.51668650393492</v>
      </c>
      <c r="B253"/>
      <c r="C253"/>
      <c r="D253"/>
      <c r="E253"/>
      <c r="EY253" s="27" t="s">
        <v>8</v>
      </c>
      <c r="EZ253" s="27" t="s">
        <v>7</v>
      </c>
      <c r="FA253" s="27" t="s">
        <v>8</v>
      </c>
      <c r="FB253" s="27" t="s">
        <v>7</v>
      </c>
      <c r="FC253" s="27" t="s">
        <v>8</v>
      </c>
      <c r="FD253" s="27" t="s">
        <v>7</v>
      </c>
      <c r="FE253" s="27" t="s">
        <v>8</v>
      </c>
      <c r="FF253" s="27" t="s">
        <v>7</v>
      </c>
      <c r="FG253" s="27" t="s">
        <v>8</v>
      </c>
      <c r="FH253" s="27" t="s">
        <v>7</v>
      </c>
    </row>
    <row r="254" spans="1:166" x14ac:dyDescent="0.25">
      <c r="A254" s="7">
        <v>730.8987122587597</v>
      </c>
      <c r="B254"/>
      <c r="C254"/>
      <c r="D254"/>
      <c r="E254"/>
      <c r="EY254" s="27" t="s">
        <v>8</v>
      </c>
      <c r="EZ254" s="27" t="s">
        <v>7</v>
      </c>
      <c r="FB254" s="27" t="s">
        <v>7</v>
      </c>
      <c r="FC254" s="27" t="s">
        <v>8</v>
      </c>
      <c r="FD254" s="27" t="s">
        <v>7</v>
      </c>
      <c r="FE254" s="27" t="s">
        <v>8</v>
      </c>
      <c r="FF254" s="27" t="s">
        <v>7</v>
      </c>
      <c r="FG254" s="27" t="s">
        <v>8</v>
      </c>
      <c r="FH254" s="27" t="s">
        <v>7</v>
      </c>
    </row>
    <row r="255" spans="1:166" x14ac:dyDescent="0.25">
      <c r="A255" s="7">
        <v>716.56736495956829</v>
      </c>
      <c r="B255"/>
      <c r="C255"/>
      <c r="D255"/>
      <c r="E255"/>
      <c r="EY255" s="27" t="s">
        <v>8</v>
      </c>
      <c r="FB255" s="27" t="s">
        <v>7</v>
      </c>
      <c r="FC255" s="27" t="s">
        <v>8</v>
      </c>
      <c r="FD255" s="27" t="s">
        <v>7</v>
      </c>
      <c r="FF255" s="27" t="s">
        <v>7</v>
      </c>
      <c r="FG255" s="27" t="s">
        <v>8</v>
      </c>
      <c r="FH255" s="27" t="s">
        <v>7</v>
      </c>
      <c r="FI255" s="27" t="s">
        <v>8</v>
      </c>
    </row>
    <row r="256" spans="1:166" x14ac:dyDescent="0.25">
      <c r="A256" s="7">
        <v>702.51702447016498</v>
      </c>
      <c r="B256"/>
      <c r="C256"/>
      <c r="D256"/>
      <c r="E256"/>
      <c r="EY256" s="27" t="s">
        <v>8</v>
      </c>
      <c r="FB256" s="27" t="s">
        <v>7</v>
      </c>
      <c r="FF256" s="27" t="s">
        <v>7</v>
      </c>
      <c r="FH256" s="27" t="s">
        <v>7</v>
      </c>
      <c r="FI256" s="27" t="s">
        <v>8</v>
      </c>
      <c r="FJ256" s="27" t="s">
        <v>7</v>
      </c>
    </row>
    <row r="257" spans="1:210" x14ac:dyDescent="0.25">
      <c r="A257" s="7">
        <v>688.74218085310292</v>
      </c>
      <c r="B257"/>
      <c r="C257"/>
      <c r="D257"/>
      <c r="E257"/>
      <c r="EW257" s="27" t="s">
        <v>8</v>
      </c>
      <c r="EY257" s="27" t="s">
        <v>8</v>
      </c>
      <c r="FH257" s="27" t="s">
        <v>7</v>
      </c>
      <c r="FI257" s="27" t="s">
        <v>8</v>
      </c>
      <c r="FJ257" s="27" t="s">
        <v>7</v>
      </c>
    </row>
    <row r="258" spans="1:210" x14ac:dyDescent="0.25">
      <c r="A258" s="7">
        <v>675.23743220892447</v>
      </c>
      <c r="B258"/>
      <c r="C258"/>
      <c r="D258"/>
      <c r="E258"/>
      <c r="EW258" s="27" t="s">
        <v>8</v>
      </c>
      <c r="EX258" s="27" t="s">
        <v>7</v>
      </c>
      <c r="EY258" s="27" t="s">
        <v>8</v>
      </c>
      <c r="FH258" s="27" t="s">
        <v>7</v>
      </c>
      <c r="FI258" s="27" t="s">
        <v>8</v>
      </c>
      <c r="FJ258" s="27" t="s">
        <v>7</v>
      </c>
    </row>
    <row r="259" spans="1:210" x14ac:dyDescent="0.25">
      <c r="A259" s="7">
        <v>661.9974825577691</v>
      </c>
      <c r="B259"/>
      <c r="C259"/>
      <c r="D259"/>
      <c r="E259"/>
      <c r="EU259" s="27" t="s">
        <v>8</v>
      </c>
      <c r="EW259" s="27" t="s">
        <v>8</v>
      </c>
      <c r="EX259" s="27" t="s">
        <v>7</v>
      </c>
      <c r="EY259" s="27" t="s">
        <v>8</v>
      </c>
      <c r="FH259" s="27" t="s">
        <v>7</v>
      </c>
      <c r="FI259" s="27" t="s">
        <v>8</v>
      </c>
      <c r="FJ259" s="27" t="s">
        <v>7</v>
      </c>
    </row>
    <row r="260" spans="1:210" x14ac:dyDescent="0.25">
      <c r="A260" s="7">
        <v>649.0171397625187</v>
      </c>
      <c r="B260"/>
      <c r="C260"/>
      <c r="D260"/>
      <c r="E260"/>
      <c r="EU260" s="27" t="s">
        <v>8</v>
      </c>
      <c r="EV260" s="27" t="s">
        <v>7</v>
      </c>
      <c r="EW260" s="27" t="s">
        <v>8</v>
      </c>
      <c r="EX260" s="27" t="s">
        <v>7</v>
      </c>
      <c r="EY260" s="27" t="s">
        <v>8</v>
      </c>
      <c r="FH260" s="27" t="s">
        <v>7</v>
      </c>
      <c r="FI260" s="27" t="s">
        <v>8</v>
      </c>
      <c r="FJ260" s="27" t="s">
        <v>7</v>
      </c>
    </row>
    <row r="261" spans="1:210" x14ac:dyDescent="0.25">
      <c r="A261" s="7">
        <v>636.29131349266538</v>
      </c>
      <c r="B261"/>
      <c r="C261"/>
      <c r="D261"/>
      <c r="E261"/>
      <c r="EU261" s="27" t="s">
        <v>8</v>
      </c>
      <c r="EV261" s="27" t="s">
        <v>7</v>
      </c>
      <c r="EW261" s="27" t="s">
        <v>8</v>
      </c>
      <c r="EX261" s="27" t="s">
        <v>7</v>
      </c>
      <c r="EY261" s="27" t="s">
        <v>8</v>
      </c>
      <c r="FH261" s="27" t="s">
        <v>7</v>
      </c>
      <c r="FI261" s="27" t="s">
        <v>8</v>
      </c>
      <c r="FJ261" s="27" t="s">
        <v>7</v>
      </c>
    </row>
    <row r="262" spans="1:210" x14ac:dyDescent="0.25">
      <c r="A262" s="7">
        <v>623.81501322810334</v>
      </c>
      <c r="B262"/>
      <c r="C262"/>
      <c r="D262"/>
      <c r="E262"/>
      <c r="EU262" s="27" t="s">
        <v>8</v>
      </c>
      <c r="EV262" s="27" t="s">
        <v>7</v>
      </c>
      <c r="EW262" s="27" t="s">
        <v>8</v>
      </c>
      <c r="EX262" s="27" t="s">
        <v>7</v>
      </c>
      <c r="EY262" s="27" t="s">
        <v>8</v>
      </c>
      <c r="FH262" s="27" t="s">
        <v>7</v>
      </c>
      <c r="FI262" s="27" t="s">
        <v>8</v>
      </c>
      <c r="FJ262" s="27" t="s">
        <v>7</v>
      </c>
    </row>
    <row r="263" spans="1:210" x14ac:dyDescent="0.25">
      <c r="A263" s="7">
        <v>611.58334630206207</v>
      </c>
      <c r="B263"/>
      <c r="C263"/>
      <c r="D263"/>
      <c r="E263"/>
      <c r="EQ263" s="27" t="s">
        <v>8</v>
      </c>
      <c r="EU263" s="27" t="s">
        <v>8</v>
      </c>
      <c r="EV263" s="27" t="s">
        <v>7</v>
      </c>
      <c r="EW263" s="27" t="s">
        <v>8</v>
      </c>
      <c r="EX263" s="27" t="s">
        <v>7</v>
      </c>
      <c r="FH263" s="27" t="s">
        <v>7</v>
      </c>
      <c r="FJ263" s="27" t="s">
        <v>7</v>
      </c>
    </row>
    <row r="264" spans="1:210" x14ac:dyDescent="0.25">
      <c r="A264" s="7">
        <v>599.59151598241374</v>
      </c>
      <c r="B264"/>
      <c r="C264"/>
      <c r="D264"/>
      <c r="E264"/>
      <c r="EQ264" s="27" t="s">
        <v>8</v>
      </c>
      <c r="ER264" s="27" t="s">
        <v>7</v>
      </c>
      <c r="EU264" s="27" t="s">
        <v>8</v>
      </c>
      <c r="EV264" s="27" t="s">
        <v>7</v>
      </c>
      <c r="EW264" s="27" t="s">
        <v>8</v>
      </c>
      <c r="FJ264" s="27" t="s">
        <v>7</v>
      </c>
    </row>
    <row r="265" spans="1:210" x14ac:dyDescent="0.25">
      <c r="A265" s="7">
        <v>587.83481959060168</v>
      </c>
      <c r="B265"/>
      <c r="C265"/>
      <c r="D265"/>
      <c r="E265"/>
      <c r="EQ265" s="27" t="s">
        <v>8</v>
      </c>
      <c r="ER265" s="27" t="s">
        <v>7</v>
      </c>
      <c r="EU265" s="27" t="s">
        <v>8</v>
      </c>
      <c r="EV265" s="27" t="s">
        <v>7</v>
      </c>
      <c r="EW265" s="27" t="s">
        <v>8</v>
      </c>
      <c r="FJ265" s="27" t="s">
        <v>7</v>
      </c>
    </row>
    <row r="266" spans="1:210" x14ac:dyDescent="0.25">
      <c r="A266" s="7">
        <v>576.30864665745264</v>
      </c>
      <c r="B266"/>
      <c r="C266"/>
      <c r="D266"/>
      <c r="E266"/>
      <c r="EQ266" s="27" t="s">
        <v>8</v>
      </c>
      <c r="ER266" s="27" t="s">
        <v>7</v>
      </c>
      <c r="EU266" s="27" t="s">
        <v>8</v>
      </c>
      <c r="EV266" s="27" t="s">
        <v>7</v>
      </c>
      <c r="EW266" s="27" t="s">
        <v>8</v>
      </c>
      <c r="FJ266" s="27" t="s">
        <v>7</v>
      </c>
      <c r="FK266" s="27" t="s">
        <v>8</v>
      </c>
    </row>
    <row r="267" spans="1:210" x14ac:dyDescent="0.25">
      <c r="A267" s="7">
        <v>565.00847711514962</v>
      </c>
      <c r="B267"/>
      <c r="C267"/>
      <c r="D267"/>
      <c r="E267"/>
      <c r="DM267" s="27" t="s">
        <v>8</v>
      </c>
      <c r="EQ267" s="27" t="s">
        <v>8</v>
      </c>
      <c r="ER267" s="27" t="s">
        <v>7</v>
      </c>
      <c r="EU267" s="27" t="s">
        <v>8</v>
      </c>
      <c r="EV267" s="27" t="s">
        <v>7</v>
      </c>
      <c r="EW267" s="27" t="s">
        <v>8</v>
      </c>
      <c r="FJ267" s="27" t="s">
        <v>7</v>
      </c>
      <c r="FK267" s="27" t="s">
        <v>8</v>
      </c>
      <c r="FL267" s="27" t="s">
        <v>7</v>
      </c>
    </row>
    <row r="268" spans="1:210" x14ac:dyDescent="0.25">
      <c r="A268" s="7">
        <v>553.92987952465649</v>
      </c>
      <c r="B268"/>
      <c r="C268"/>
      <c r="D268"/>
      <c r="E268"/>
      <c r="DG268" s="27" t="s">
        <v>8</v>
      </c>
      <c r="DM268" s="27" t="s">
        <v>8</v>
      </c>
      <c r="DN268" s="27" t="s">
        <v>7</v>
      </c>
      <c r="EM268" s="27" t="s">
        <v>8</v>
      </c>
      <c r="EQ268" s="27" t="s">
        <v>8</v>
      </c>
      <c r="ER268" s="27" t="s">
        <v>7</v>
      </c>
      <c r="EU268" s="27" t="s">
        <v>8</v>
      </c>
      <c r="EV268" s="27" t="s">
        <v>7</v>
      </c>
      <c r="EW268" s="27" t="s">
        <v>8</v>
      </c>
      <c r="FJ268" s="27" t="s">
        <v>7</v>
      </c>
      <c r="FK268" s="27" t="s">
        <v>8</v>
      </c>
      <c r="FL268" s="27" t="s">
        <v>7</v>
      </c>
    </row>
    <row r="269" spans="1:210" x14ac:dyDescent="0.25">
      <c r="A269" s="7">
        <v>543.06850933789849</v>
      </c>
      <c r="B269"/>
      <c r="C269"/>
      <c r="D269"/>
      <c r="E269"/>
      <c r="DG269" s="27" t="s">
        <v>8</v>
      </c>
      <c r="DH269" s="27" t="s">
        <v>7</v>
      </c>
      <c r="DM269" s="27" t="s">
        <v>8</v>
      </c>
      <c r="DN269" s="27" t="s">
        <v>7</v>
      </c>
      <c r="EM269" s="27" t="s">
        <v>8</v>
      </c>
      <c r="EN269" s="27" t="s">
        <v>7</v>
      </c>
      <c r="EQ269" s="27" t="s">
        <v>8</v>
      </c>
      <c r="ER269" s="27" t="s">
        <v>7</v>
      </c>
      <c r="EU269" s="27" t="s">
        <v>8</v>
      </c>
      <c r="EV269" s="27" t="s">
        <v>7</v>
      </c>
      <c r="EW269" s="27" t="s">
        <v>8</v>
      </c>
      <c r="FJ269" s="27" t="s">
        <v>7</v>
      </c>
      <c r="FK269" s="27" t="s">
        <v>8</v>
      </c>
      <c r="FL269" s="27" t="s">
        <v>7</v>
      </c>
    </row>
    <row r="270" spans="1:210" x14ac:dyDescent="0.25">
      <c r="A270" s="7">
        <v>532.4201071940181</v>
      </c>
      <c r="B270"/>
      <c r="C270"/>
      <c r="D270"/>
      <c r="E270"/>
      <c r="DG270" s="27" t="s">
        <v>8</v>
      </c>
      <c r="DH270" s="27" t="s">
        <v>7</v>
      </c>
      <c r="DM270" s="27" t="s">
        <v>8</v>
      </c>
      <c r="DN270" s="27" t="s">
        <v>7</v>
      </c>
      <c r="DY270" s="27" t="s">
        <v>8</v>
      </c>
      <c r="EM270" s="27" t="s">
        <v>8</v>
      </c>
      <c r="EN270" s="27" t="s">
        <v>7</v>
      </c>
      <c r="EQ270" s="27" t="s">
        <v>8</v>
      </c>
      <c r="ER270" s="27" t="s">
        <v>7</v>
      </c>
      <c r="EU270" s="27" t="s">
        <v>8</v>
      </c>
      <c r="EV270" s="27" t="s">
        <v>7</v>
      </c>
      <c r="FJ270" s="27" t="s">
        <v>7</v>
      </c>
      <c r="FK270" s="27" t="s">
        <v>8</v>
      </c>
      <c r="FL270" s="27" t="s">
        <v>7</v>
      </c>
    </row>
    <row r="271" spans="1:210" x14ac:dyDescent="0.25">
      <c r="A271" s="7">
        <v>521.9804972490374</v>
      </c>
      <c r="B271"/>
      <c r="C271"/>
      <c r="D271"/>
      <c r="E271"/>
      <c r="DG271" s="27" t="s">
        <v>8</v>
      </c>
      <c r="DH271" s="27" t="s">
        <v>7</v>
      </c>
      <c r="DK271" s="27" t="s">
        <v>8</v>
      </c>
      <c r="DM271" s="27" t="s">
        <v>8</v>
      </c>
      <c r="DN271" s="27" t="s">
        <v>7</v>
      </c>
      <c r="DY271" s="27" t="s">
        <v>8</v>
      </c>
      <c r="DZ271" s="27" t="s">
        <v>7</v>
      </c>
      <c r="EM271" s="27" t="s">
        <v>8</v>
      </c>
      <c r="EN271" s="27" t="s">
        <v>7</v>
      </c>
      <c r="EQ271" s="27" t="s">
        <v>8</v>
      </c>
      <c r="ER271" s="27" t="s">
        <v>7</v>
      </c>
      <c r="EU271" s="27" t="s">
        <v>8</v>
      </c>
      <c r="FJ271" s="27" t="s">
        <v>7</v>
      </c>
      <c r="FK271" s="27" t="s">
        <v>8</v>
      </c>
      <c r="FL271" s="27" t="s">
        <v>7</v>
      </c>
      <c r="GA271" s="27" t="s">
        <v>8</v>
      </c>
      <c r="GU271" s="27" t="s">
        <v>8</v>
      </c>
      <c r="HA271" s="27" t="s">
        <v>8</v>
      </c>
    </row>
    <row r="272" spans="1:210" x14ac:dyDescent="0.25">
      <c r="A272" s="7">
        <v>511.74558553827194</v>
      </c>
      <c r="B272"/>
      <c r="C272"/>
      <c r="D272"/>
      <c r="E272"/>
      <c r="DG272" s="27" t="s">
        <v>8</v>
      </c>
      <c r="DH272" s="27" t="s">
        <v>7</v>
      </c>
      <c r="DK272" s="27" t="s">
        <v>8</v>
      </c>
      <c r="DL272" s="27" t="s">
        <v>7</v>
      </c>
      <c r="DM272" s="27" t="s">
        <v>8</v>
      </c>
      <c r="DN272" s="27" t="s">
        <v>7</v>
      </c>
      <c r="DY272" s="27" t="s">
        <v>8</v>
      </c>
      <c r="DZ272" s="27" t="s">
        <v>7</v>
      </c>
      <c r="EA272" s="27" t="s">
        <v>8</v>
      </c>
      <c r="EM272" s="27" t="s">
        <v>8</v>
      </c>
      <c r="EN272" s="27" t="s">
        <v>7</v>
      </c>
      <c r="EQ272" s="27" t="s">
        <v>8</v>
      </c>
      <c r="ER272" s="27" t="s">
        <v>7</v>
      </c>
      <c r="ES272" s="27" t="s">
        <v>8</v>
      </c>
      <c r="EU272" s="27" t="s">
        <v>8</v>
      </c>
      <c r="FJ272" s="27" t="s">
        <v>7</v>
      </c>
      <c r="FK272" s="27" t="s">
        <v>8</v>
      </c>
      <c r="FL272" s="27" t="s">
        <v>7</v>
      </c>
      <c r="GA272" s="27" t="s">
        <v>8</v>
      </c>
      <c r="GB272" s="27" t="s">
        <v>7</v>
      </c>
      <c r="GO272" s="27" t="s">
        <v>8</v>
      </c>
      <c r="GU272" s="27" t="s">
        <v>8</v>
      </c>
      <c r="GV272" s="27" t="s">
        <v>7</v>
      </c>
      <c r="HA272" s="27" t="s">
        <v>8</v>
      </c>
      <c r="HB272" s="27" t="s">
        <v>7</v>
      </c>
    </row>
    <row r="273" spans="1:236" x14ac:dyDescent="0.25">
      <c r="A273" s="7">
        <v>501.71135837085484</v>
      </c>
      <c r="B273"/>
      <c r="C273"/>
      <c r="D273"/>
      <c r="E273"/>
      <c r="DG273" s="27" t="s">
        <v>8</v>
      </c>
      <c r="DH273" s="27" t="s">
        <v>7</v>
      </c>
      <c r="DK273" s="27" t="s">
        <v>8</v>
      </c>
      <c r="DL273" s="27" t="s">
        <v>7</v>
      </c>
      <c r="DM273" s="27" t="s">
        <v>8</v>
      </c>
      <c r="DN273" s="27" t="s">
        <v>7</v>
      </c>
      <c r="DO273" s="27" t="s">
        <v>8</v>
      </c>
      <c r="DY273" s="27" t="s">
        <v>8</v>
      </c>
      <c r="DZ273" s="27" t="s">
        <v>7</v>
      </c>
      <c r="EA273" s="27" t="s">
        <v>8</v>
      </c>
      <c r="EB273" s="27" t="s">
        <v>7</v>
      </c>
      <c r="EC273" s="27" t="s">
        <v>8</v>
      </c>
      <c r="EM273" s="27" t="s">
        <v>8</v>
      </c>
      <c r="EN273" s="27" t="s">
        <v>7</v>
      </c>
      <c r="EQ273" s="27" t="s">
        <v>8</v>
      </c>
      <c r="ER273" s="27" t="s">
        <v>7</v>
      </c>
      <c r="ES273" s="27" t="s">
        <v>8</v>
      </c>
      <c r="ET273" s="27" t="s">
        <v>7</v>
      </c>
      <c r="EU273" s="27" t="s">
        <v>8</v>
      </c>
      <c r="FJ273" s="27" t="s">
        <v>7</v>
      </c>
      <c r="FK273" s="27" t="s">
        <v>8</v>
      </c>
      <c r="FL273" s="27" t="s">
        <v>7</v>
      </c>
      <c r="GA273" s="27" t="s">
        <v>8</v>
      </c>
      <c r="GB273" s="27" t="s">
        <v>7</v>
      </c>
      <c r="GO273" s="27" t="s">
        <v>8</v>
      </c>
      <c r="GP273" s="27" t="s">
        <v>7</v>
      </c>
      <c r="GU273" s="27" t="s">
        <v>8</v>
      </c>
      <c r="GV273" s="27" t="s">
        <v>7</v>
      </c>
      <c r="GW273" s="27" t="s">
        <v>8</v>
      </c>
      <c r="HA273" s="27" t="s">
        <v>8</v>
      </c>
      <c r="HB273" s="27" t="s">
        <v>7</v>
      </c>
    </row>
    <row r="274" spans="1:236" x14ac:dyDescent="0.25">
      <c r="A274" s="7">
        <v>491.87388075574</v>
      </c>
      <c r="B274"/>
      <c r="C274"/>
      <c r="D274"/>
      <c r="E274"/>
      <c r="DG274" s="27" t="s">
        <v>8</v>
      </c>
      <c r="DH274" s="27" t="s">
        <v>7</v>
      </c>
      <c r="DI274" s="27" t="s">
        <v>8</v>
      </c>
      <c r="DK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Y274" s="27" t="s">
        <v>8</v>
      </c>
      <c r="DZ274" s="27" t="s">
        <v>7</v>
      </c>
      <c r="EA274" s="27" t="s">
        <v>8</v>
      </c>
      <c r="EB274" s="27" t="s">
        <v>7</v>
      </c>
      <c r="EC274" s="27" t="s">
        <v>8</v>
      </c>
      <c r="ED274" s="27" t="s">
        <v>7</v>
      </c>
      <c r="EM274" s="27" t="s">
        <v>8</v>
      </c>
      <c r="EN274" s="27" t="s">
        <v>7</v>
      </c>
      <c r="EQ274" s="27" t="s">
        <v>8</v>
      </c>
      <c r="ER274" s="27" t="s">
        <v>7</v>
      </c>
      <c r="ES274" s="27" t="s">
        <v>8</v>
      </c>
      <c r="ET274" s="27" t="s">
        <v>7</v>
      </c>
      <c r="EU274" s="27" t="s">
        <v>8</v>
      </c>
      <c r="FJ274" s="27" t="s">
        <v>7</v>
      </c>
      <c r="FK274" s="27" t="s">
        <v>8</v>
      </c>
      <c r="FL274" s="27" t="s">
        <v>7</v>
      </c>
      <c r="GA274" s="27" t="s">
        <v>8</v>
      </c>
      <c r="GB274" s="27" t="s">
        <v>7</v>
      </c>
      <c r="GM274" s="27" t="s">
        <v>8</v>
      </c>
      <c r="GO274" s="27" t="s">
        <v>8</v>
      </c>
      <c r="GP274" s="27" t="s">
        <v>7</v>
      </c>
      <c r="GQ274" s="27" t="s">
        <v>8</v>
      </c>
      <c r="GU274" s="27" t="s">
        <v>8</v>
      </c>
      <c r="GV274" s="27" t="s">
        <v>7</v>
      </c>
      <c r="GW274" s="27" t="s">
        <v>8</v>
      </c>
      <c r="GX274" s="27" t="s">
        <v>7</v>
      </c>
      <c r="HA274" s="27" t="s">
        <v>8</v>
      </c>
      <c r="HB274" s="27" t="s">
        <v>7</v>
      </c>
    </row>
    <row r="275" spans="1:236" x14ac:dyDescent="0.25">
      <c r="A275" s="7">
        <v>482.22929485856861</v>
      </c>
      <c r="B275"/>
      <c r="C275"/>
      <c r="D275"/>
      <c r="E275"/>
      <c r="DG275" s="27" t="s">
        <v>8</v>
      </c>
      <c r="DH275" s="27" t="s">
        <v>7</v>
      </c>
      <c r="DI275" s="27" t="s">
        <v>8</v>
      </c>
      <c r="DJ275" s="27" t="s">
        <v>7</v>
      </c>
      <c r="DK275" s="27" t="s">
        <v>8</v>
      </c>
      <c r="DL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  <c r="DY275" s="27" t="s">
        <v>8</v>
      </c>
      <c r="DZ275" s="27" t="s">
        <v>7</v>
      </c>
      <c r="EA275" s="27" t="s">
        <v>8</v>
      </c>
      <c r="EB275" s="27" t="s">
        <v>7</v>
      </c>
      <c r="EC275" s="27" t="s">
        <v>8</v>
      </c>
      <c r="ED275" s="27" t="s">
        <v>7</v>
      </c>
      <c r="EM275" s="27" t="s">
        <v>8</v>
      </c>
      <c r="EN275" s="27" t="s">
        <v>7</v>
      </c>
      <c r="EQ275" s="27" t="s">
        <v>8</v>
      </c>
      <c r="ER275" s="27" t="s">
        <v>7</v>
      </c>
      <c r="ES275" s="27" t="s">
        <v>8</v>
      </c>
      <c r="ET275" s="27" t="s">
        <v>7</v>
      </c>
      <c r="EU275" s="27" t="s">
        <v>8</v>
      </c>
      <c r="FJ275" s="27" t="s">
        <v>7</v>
      </c>
      <c r="FK275" s="27" t="s">
        <v>8</v>
      </c>
      <c r="FL275" s="27" t="s">
        <v>7</v>
      </c>
      <c r="GA275" s="27" t="s">
        <v>8</v>
      </c>
      <c r="GB275" s="27" t="s">
        <v>7</v>
      </c>
      <c r="GM275" s="27" t="s">
        <v>8</v>
      </c>
      <c r="GN275" s="27" t="s">
        <v>7</v>
      </c>
      <c r="GO275" s="27" t="s">
        <v>8</v>
      </c>
      <c r="GP275" s="27" t="s">
        <v>7</v>
      </c>
      <c r="GQ275" s="27" t="s">
        <v>8</v>
      </c>
      <c r="GR275" s="27" t="s">
        <v>7</v>
      </c>
      <c r="GS275" s="27" t="s">
        <v>8</v>
      </c>
      <c r="GU275" s="27" t="s">
        <v>8</v>
      </c>
      <c r="GV275" s="27" t="s">
        <v>7</v>
      </c>
      <c r="GW275" s="27" t="s">
        <v>8</v>
      </c>
      <c r="GX275" s="27" t="s">
        <v>7</v>
      </c>
      <c r="HA275" s="27" t="s">
        <v>8</v>
      </c>
      <c r="HB275" s="27" t="s">
        <v>7</v>
      </c>
    </row>
    <row r="276" spans="1:236" x14ac:dyDescent="0.25">
      <c r="A276" s="7">
        <v>472.77381848879276</v>
      </c>
      <c r="B276"/>
      <c r="C276"/>
      <c r="D276"/>
      <c r="E276"/>
      <c r="DG276" s="27" t="s">
        <v>8</v>
      </c>
      <c r="DH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  <c r="DM276" s="27" t="s">
        <v>8</v>
      </c>
      <c r="DN276" s="27" t="s">
        <v>7</v>
      </c>
      <c r="DO276" s="27" t="s">
        <v>8</v>
      </c>
      <c r="DP276" s="27" t="s">
        <v>7</v>
      </c>
      <c r="DQ276" s="27" t="s">
        <v>8</v>
      </c>
      <c r="DY276" s="27" t="s">
        <v>8</v>
      </c>
      <c r="DZ276" s="27" t="s">
        <v>7</v>
      </c>
      <c r="EA276" s="27" t="s">
        <v>8</v>
      </c>
      <c r="EB276" s="27" t="s">
        <v>7</v>
      </c>
      <c r="EC276" s="27" t="s">
        <v>8</v>
      </c>
      <c r="ED276" s="27" t="s">
        <v>7</v>
      </c>
      <c r="EM276" s="27" t="s">
        <v>8</v>
      </c>
      <c r="EN276" s="27" t="s">
        <v>7</v>
      </c>
      <c r="EO276" s="27" t="s">
        <v>8</v>
      </c>
      <c r="EQ276" s="27" t="s">
        <v>8</v>
      </c>
      <c r="ER276" s="27" t="s">
        <v>7</v>
      </c>
      <c r="ES276" s="27" t="s">
        <v>8</v>
      </c>
      <c r="ET276" s="27" t="s">
        <v>7</v>
      </c>
      <c r="EU276" s="27" t="s">
        <v>8</v>
      </c>
      <c r="FJ276" s="27" t="s">
        <v>7</v>
      </c>
      <c r="FK276" s="27" t="s">
        <v>8</v>
      </c>
      <c r="FL276" s="27" t="s">
        <v>7</v>
      </c>
      <c r="GA276" s="27" t="s">
        <v>8</v>
      </c>
      <c r="GB276" s="27" t="s">
        <v>7</v>
      </c>
      <c r="GM276" s="27" t="s">
        <v>8</v>
      </c>
      <c r="GN276" s="27" t="s">
        <v>7</v>
      </c>
      <c r="GO276" s="27" t="s">
        <v>8</v>
      </c>
      <c r="GP276" s="27" t="s">
        <v>7</v>
      </c>
      <c r="GQ276" s="27" t="s">
        <v>8</v>
      </c>
      <c r="GR276" s="27" t="s">
        <v>7</v>
      </c>
      <c r="GS276" s="27" t="s">
        <v>8</v>
      </c>
      <c r="GT276" s="27" t="s">
        <v>7</v>
      </c>
      <c r="GU276" s="27" t="s">
        <v>8</v>
      </c>
      <c r="GV276" s="27" t="s">
        <v>7</v>
      </c>
      <c r="GW276" s="27" t="s">
        <v>8</v>
      </c>
      <c r="GX276" s="27" t="s">
        <v>7</v>
      </c>
      <c r="HA276" s="27" t="s">
        <v>8</v>
      </c>
      <c r="HB276" s="27" t="s">
        <v>7</v>
      </c>
    </row>
    <row r="277" spans="1:236" x14ac:dyDescent="0.25">
      <c r="A277" s="7">
        <v>463.50374361646345</v>
      </c>
      <c r="B277"/>
      <c r="C277"/>
      <c r="D277"/>
      <c r="E277"/>
      <c r="DG277" s="27" t="s">
        <v>8</v>
      </c>
      <c r="DH277" s="27" t="s">
        <v>7</v>
      </c>
      <c r="DI277" s="27" t="s">
        <v>8</v>
      </c>
      <c r="DJ277" s="27" t="s">
        <v>7</v>
      </c>
      <c r="DK277" s="27" t="s">
        <v>8</v>
      </c>
      <c r="DL277" s="27" t="s">
        <v>7</v>
      </c>
      <c r="DN277" s="27" t="s">
        <v>7</v>
      </c>
      <c r="DO277" s="27" t="s">
        <v>8</v>
      </c>
      <c r="DP277" s="27" t="s">
        <v>7</v>
      </c>
      <c r="DQ277" s="27" t="s">
        <v>8</v>
      </c>
      <c r="DR277" s="27" t="s">
        <v>7</v>
      </c>
      <c r="DS277" s="27" t="s">
        <v>8</v>
      </c>
      <c r="DY277" s="27" t="s">
        <v>8</v>
      </c>
      <c r="DZ277" s="27" t="s">
        <v>7</v>
      </c>
      <c r="EA277" s="27" t="s">
        <v>8</v>
      </c>
      <c r="EB277" s="27" t="s">
        <v>7</v>
      </c>
      <c r="ED277" s="27" t="s">
        <v>7</v>
      </c>
      <c r="EE277" s="27" t="s">
        <v>8</v>
      </c>
      <c r="EM277" s="27" t="s">
        <v>8</v>
      </c>
      <c r="EN277" s="27" t="s">
        <v>7</v>
      </c>
      <c r="EO277" s="27" t="s">
        <v>8</v>
      </c>
      <c r="EP277" s="27" t="s">
        <v>7</v>
      </c>
      <c r="EQ277" s="27" t="s">
        <v>8</v>
      </c>
      <c r="ER277" s="27" t="s">
        <v>7</v>
      </c>
      <c r="ES277" s="27" t="s">
        <v>8</v>
      </c>
      <c r="ET277" s="27" t="s">
        <v>7</v>
      </c>
      <c r="EU277" s="27" t="s">
        <v>8</v>
      </c>
      <c r="FJ277" s="27" t="s">
        <v>7</v>
      </c>
      <c r="FK277" s="27" t="s">
        <v>8</v>
      </c>
      <c r="FL277" s="27" t="s">
        <v>7</v>
      </c>
      <c r="FM277" s="27" t="s">
        <v>8</v>
      </c>
      <c r="GA277" s="27" t="s">
        <v>8</v>
      </c>
      <c r="GB277" s="27" t="s">
        <v>7</v>
      </c>
      <c r="GM277" s="27" t="s">
        <v>8</v>
      </c>
      <c r="GN277" s="27" t="s">
        <v>7</v>
      </c>
      <c r="GO277" s="27" t="s">
        <v>8</v>
      </c>
      <c r="GP277" s="27" t="s">
        <v>7</v>
      </c>
      <c r="GQ277" s="27" t="s">
        <v>8</v>
      </c>
      <c r="GR277" s="27" t="s">
        <v>7</v>
      </c>
      <c r="GS277" s="27" t="s">
        <v>8</v>
      </c>
      <c r="GT277" s="27" t="s">
        <v>7</v>
      </c>
      <c r="GU277" s="27" t="s">
        <v>8</v>
      </c>
      <c r="GV277" s="27" t="s">
        <v>7</v>
      </c>
      <c r="GW277" s="27" t="s">
        <v>8</v>
      </c>
      <c r="GX277" s="27" t="s">
        <v>7</v>
      </c>
      <c r="HA277" s="27" t="s">
        <v>8</v>
      </c>
      <c r="HB277" s="27" t="s">
        <v>7</v>
      </c>
    </row>
    <row r="278" spans="1:236" x14ac:dyDescent="0.25">
      <c r="A278" s="7">
        <v>454.41543491810143</v>
      </c>
      <c r="B278"/>
      <c r="C278"/>
      <c r="D278"/>
      <c r="E278"/>
      <c r="DG278" s="27" t="s">
        <v>8</v>
      </c>
      <c r="DH278" s="27" t="s">
        <v>7</v>
      </c>
      <c r="DI278" s="27" t="s">
        <v>8</v>
      </c>
      <c r="DJ278" s="27" t="s">
        <v>7</v>
      </c>
      <c r="DK278" s="27" t="s">
        <v>8</v>
      </c>
      <c r="DN278" s="27" t="s">
        <v>7</v>
      </c>
      <c r="DO278" s="27" t="s">
        <v>8</v>
      </c>
      <c r="DP278" s="27" t="s">
        <v>7</v>
      </c>
      <c r="DQ278" s="27" t="s">
        <v>8</v>
      </c>
      <c r="DR278" s="27" t="s">
        <v>7</v>
      </c>
      <c r="DS278" s="27" t="s">
        <v>8</v>
      </c>
      <c r="DT278" s="27" t="s">
        <v>7</v>
      </c>
      <c r="DU278" s="27" t="s">
        <v>8</v>
      </c>
      <c r="DY278" s="27" t="s">
        <v>8</v>
      </c>
      <c r="DZ278" s="27" t="s">
        <v>7</v>
      </c>
      <c r="EA278" s="27" t="s">
        <v>8</v>
      </c>
      <c r="ED278" s="27" t="s">
        <v>7</v>
      </c>
      <c r="EE278" s="27" t="s">
        <v>8</v>
      </c>
      <c r="EF278" s="27" t="s">
        <v>7</v>
      </c>
      <c r="EM278" s="27" t="s">
        <v>8</v>
      </c>
      <c r="EN278" s="27" t="s">
        <v>7</v>
      </c>
      <c r="EO278" s="27" t="s">
        <v>8</v>
      </c>
      <c r="EP278" s="27" t="s">
        <v>7</v>
      </c>
      <c r="EQ278" s="27" t="s">
        <v>8</v>
      </c>
      <c r="ER278" s="27" t="s">
        <v>7</v>
      </c>
      <c r="ES278" s="27" t="s">
        <v>8</v>
      </c>
      <c r="ET278" s="27" t="s">
        <v>7</v>
      </c>
      <c r="EU278" s="27" t="s">
        <v>8</v>
      </c>
      <c r="FJ278" s="27" t="s">
        <v>7</v>
      </c>
      <c r="FK278" s="27" t="s">
        <v>8</v>
      </c>
      <c r="FL278" s="27" t="s">
        <v>7</v>
      </c>
      <c r="FM278" s="27" t="s">
        <v>8</v>
      </c>
      <c r="FN278" s="27" t="s">
        <v>7</v>
      </c>
      <c r="FQ278" s="27" t="s">
        <v>8</v>
      </c>
      <c r="GA278" s="27" t="s">
        <v>8</v>
      </c>
      <c r="GB278" s="27" t="s">
        <v>7</v>
      </c>
      <c r="GC278" s="27" t="s">
        <v>8</v>
      </c>
      <c r="GM278" s="27" t="s">
        <v>8</v>
      </c>
      <c r="GN278" s="27" t="s">
        <v>7</v>
      </c>
      <c r="GP278" s="27" t="s">
        <v>7</v>
      </c>
      <c r="GQ278" s="27" t="s">
        <v>8</v>
      </c>
      <c r="GR278" s="27" t="s">
        <v>7</v>
      </c>
      <c r="GS278" s="27" t="s">
        <v>8</v>
      </c>
      <c r="GT278" s="27" t="s">
        <v>7</v>
      </c>
      <c r="GV278" s="27" t="s">
        <v>7</v>
      </c>
      <c r="GW278" s="27" t="s">
        <v>8</v>
      </c>
      <c r="GX278" s="27" t="s">
        <v>7</v>
      </c>
      <c r="HA278" s="27" t="s">
        <v>8</v>
      </c>
      <c r="HB278" s="27" t="s">
        <v>7</v>
      </c>
      <c r="HI278" s="27" t="s">
        <v>8</v>
      </c>
    </row>
    <row r="279" spans="1:236" x14ac:dyDescent="0.25">
      <c r="A279" s="7">
        <v>445.50532835107981</v>
      </c>
      <c r="B279"/>
      <c r="C279"/>
      <c r="D279"/>
      <c r="E279"/>
      <c r="DG279" s="27" t="s">
        <v>8</v>
      </c>
      <c r="DH279" s="27" t="s">
        <v>7</v>
      </c>
      <c r="DI279" s="27" t="s">
        <v>8</v>
      </c>
      <c r="DJ279" s="27" t="s">
        <v>7</v>
      </c>
      <c r="DK279" s="27" t="s">
        <v>8</v>
      </c>
      <c r="DN279" s="27" t="s">
        <v>7</v>
      </c>
      <c r="DO279" s="27" t="s">
        <v>8</v>
      </c>
      <c r="DP279" s="27" t="s">
        <v>7</v>
      </c>
      <c r="DQ279" s="27" t="s">
        <v>8</v>
      </c>
      <c r="DR279" s="27" t="s">
        <v>7</v>
      </c>
      <c r="DS279" s="27" t="s">
        <v>8</v>
      </c>
      <c r="DT279" s="27" t="s">
        <v>7</v>
      </c>
      <c r="DU279" s="27" t="s">
        <v>8</v>
      </c>
      <c r="DV279" s="27" t="s">
        <v>7</v>
      </c>
      <c r="DY279" s="27" t="s">
        <v>8</v>
      </c>
      <c r="DZ279" s="27" t="s">
        <v>7</v>
      </c>
      <c r="ED279" s="27" t="s">
        <v>7</v>
      </c>
      <c r="EE279" s="27" t="s">
        <v>8</v>
      </c>
      <c r="EF279" s="27" t="s">
        <v>7</v>
      </c>
      <c r="EG279" s="27" t="s">
        <v>8</v>
      </c>
      <c r="EM279" s="27" t="s">
        <v>8</v>
      </c>
      <c r="EN279" s="27" t="s">
        <v>7</v>
      </c>
      <c r="EO279" s="27" t="s">
        <v>8</v>
      </c>
      <c r="EP279" s="27" t="s">
        <v>7</v>
      </c>
      <c r="EQ279" s="27" t="s">
        <v>8</v>
      </c>
      <c r="ER279" s="27" t="s">
        <v>7</v>
      </c>
      <c r="ES279" s="27" t="s">
        <v>8</v>
      </c>
      <c r="ET279" s="27" t="s">
        <v>7</v>
      </c>
      <c r="EU279" s="27" t="s">
        <v>8</v>
      </c>
      <c r="FJ279" s="27" t="s">
        <v>7</v>
      </c>
      <c r="FK279" s="27" t="s">
        <v>8</v>
      </c>
      <c r="FL279" s="27" t="s">
        <v>7</v>
      </c>
      <c r="FM279" s="27" t="s">
        <v>8</v>
      </c>
      <c r="FN279" s="27" t="s">
        <v>7</v>
      </c>
      <c r="FQ279" s="27" t="s">
        <v>8</v>
      </c>
      <c r="FR279" s="27" t="s">
        <v>7</v>
      </c>
      <c r="GA279" s="27" t="s">
        <v>8</v>
      </c>
      <c r="GB279" s="27" t="s">
        <v>7</v>
      </c>
      <c r="GC279" s="27" t="s">
        <v>8</v>
      </c>
      <c r="GD279" s="27" t="s">
        <v>7</v>
      </c>
      <c r="GM279" s="27" t="s">
        <v>8</v>
      </c>
      <c r="GP279" s="27" t="s">
        <v>7</v>
      </c>
      <c r="GR279" s="27" t="s">
        <v>7</v>
      </c>
      <c r="GV279" s="27" t="s">
        <v>7</v>
      </c>
      <c r="GW279" s="27" t="s">
        <v>8</v>
      </c>
      <c r="GX279" s="27" t="s">
        <v>7</v>
      </c>
      <c r="GY279" s="27" t="s">
        <v>8</v>
      </c>
      <c r="HA279" s="27" t="s">
        <v>8</v>
      </c>
      <c r="HB279" s="27" t="s">
        <v>7</v>
      </c>
      <c r="HG279" s="27" t="s">
        <v>8</v>
      </c>
      <c r="HI279" s="27" t="s">
        <v>8</v>
      </c>
      <c r="HJ279" s="27" t="s">
        <v>7</v>
      </c>
    </row>
    <row r="280" spans="1:236" x14ac:dyDescent="0.25">
      <c r="A280" s="7">
        <v>436.76992975596062</v>
      </c>
      <c r="B280"/>
      <c r="C280"/>
      <c r="D280"/>
      <c r="E280"/>
      <c r="DG280" s="27" t="s">
        <v>8</v>
      </c>
      <c r="DH280" s="27" t="s">
        <v>7</v>
      </c>
      <c r="DI280" s="27" t="s">
        <v>8</v>
      </c>
      <c r="DJ280" s="27" t="s">
        <v>7</v>
      </c>
      <c r="DN280" s="27" t="s">
        <v>7</v>
      </c>
      <c r="DO280" s="27" t="s">
        <v>8</v>
      </c>
      <c r="DP280" s="27" t="s">
        <v>7</v>
      </c>
      <c r="DQ280" s="27" t="s">
        <v>8</v>
      </c>
      <c r="DR280" s="27" t="s">
        <v>7</v>
      </c>
      <c r="DS280" s="27" t="s">
        <v>8</v>
      </c>
      <c r="DT280" s="27" t="s">
        <v>7</v>
      </c>
      <c r="DU280" s="27" t="s">
        <v>8</v>
      </c>
      <c r="DV280" s="27" t="s">
        <v>7</v>
      </c>
      <c r="DY280" s="27" t="s">
        <v>8</v>
      </c>
      <c r="ED280" s="27" t="s">
        <v>7</v>
      </c>
      <c r="EE280" s="27" t="s">
        <v>8</v>
      </c>
      <c r="EF280" s="27" t="s">
        <v>7</v>
      </c>
      <c r="EG280" s="27" t="s">
        <v>8</v>
      </c>
      <c r="EH280" s="27" t="s">
        <v>7</v>
      </c>
      <c r="EM280" s="27" t="s">
        <v>8</v>
      </c>
      <c r="EN280" s="27" t="s">
        <v>7</v>
      </c>
      <c r="EP280" s="27" t="s">
        <v>7</v>
      </c>
      <c r="ER280" s="27" t="s">
        <v>7</v>
      </c>
      <c r="ES280" s="27" t="s">
        <v>8</v>
      </c>
      <c r="ET280" s="27" t="s">
        <v>7</v>
      </c>
      <c r="EU280" s="27" t="s">
        <v>8</v>
      </c>
      <c r="FJ280" s="27" t="s">
        <v>7</v>
      </c>
      <c r="FK280" s="27" t="s">
        <v>8</v>
      </c>
      <c r="FL280" s="27" t="s">
        <v>7</v>
      </c>
      <c r="FM280" s="27" t="s">
        <v>8</v>
      </c>
      <c r="FN280" s="27" t="s">
        <v>7</v>
      </c>
      <c r="FO280" s="27" t="s">
        <v>8</v>
      </c>
      <c r="FQ280" s="27" t="s">
        <v>8</v>
      </c>
      <c r="FR280" s="27" t="s">
        <v>7</v>
      </c>
      <c r="GA280" s="27" t="s">
        <v>8</v>
      </c>
      <c r="GB280" s="27" t="s">
        <v>7</v>
      </c>
      <c r="GC280" s="27" t="s">
        <v>8</v>
      </c>
      <c r="GD280" s="27" t="s">
        <v>7</v>
      </c>
      <c r="GM280" s="27" t="s">
        <v>8</v>
      </c>
      <c r="GV280" s="27" t="s">
        <v>7</v>
      </c>
      <c r="GW280" s="27" t="s">
        <v>8</v>
      </c>
      <c r="GX280" s="27" t="s">
        <v>7</v>
      </c>
      <c r="GY280" s="27" t="s">
        <v>8</v>
      </c>
      <c r="GZ280" s="27" t="s">
        <v>7</v>
      </c>
      <c r="HA280" s="27" t="s">
        <v>8</v>
      </c>
      <c r="HB280" s="27" t="s">
        <v>7</v>
      </c>
      <c r="HG280" s="27" t="s">
        <v>8</v>
      </c>
      <c r="HH280" s="27" t="s">
        <v>7</v>
      </c>
      <c r="HI280" s="27" t="s">
        <v>8</v>
      </c>
      <c r="HJ280" s="27" t="s">
        <v>7</v>
      </c>
    </row>
    <row r="281" spans="1:236" x14ac:dyDescent="0.25">
      <c r="A281" s="7">
        <v>428.20581348623591</v>
      </c>
      <c r="B281"/>
      <c r="C281"/>
      <c r="D281"/>
      <c r="E281"/>
      <c r="DG281" s="27" t="s">
        <v>8</v>
      </c>
      <c r="DH281" s="27" t="s">
        <v>7</v>
      </c>
      <c r="DI281" s="27" t="s">
        <v>8</v>
      </c>
      <c r="DN281" s="27" t="s">
        <v>7</v>
      </c>
      <c r="DO281" s="27" t="s">
        <v>8</v>
      </c>
      <c r="DP281" s="27" t="s">
        <v>7</v>
      </c>
      <c r="DQ281" s="27" t="s">
        <v>8</v>
      </c>
      <c r="DR281" s="27" t="s">
        <v>7</v>
      </c>
      <c r="DT281" s="27" t="s">
        <v>7</v>
      </c>
      <c r="DU281" s="27" t="s">
        <v>8</v>
      </c>
      <c r="DV281" s="27" t="s">
        <v>7</v>
      </c>
      <c r="DW281" s="27" t="s">
        <v>8</v>
      </c>
      <c r="DY281" s="27" t="s">
        <v>8</v>
      </c>
      <c r="ED281" s="27" t="s">
        <v>7</v>
      </c>
      <c r="EE281" s="27" t="s">
        <v>8</v>
      </c>
      <c r="EF281" s="27" t="s">
        <v>7</v>
      </c>
      <c r="EG281" s="27" t="s">
        <v>8</v>
      </c>
      <c r="EH281" s="27" t="s">
        <v>7</v>
      </c>
      <c r="EM281" s="27" t="s">
        <v>8</v>
      </c>
      <c r="ER281" s="27" t="s">
        <v>7</v>
      </c>
      <c r="ES281" s="27" t="s">
        <v>8</v>
      </c>
      <c r="ET281" s="27" t="s">
        <v>7</v>
      </c>
      <c r="FJ281" s="27" t="s">
        <v>7</v>
      </c>
      <c r="FK281" s="27" t="s">
        <v>8</v>
      </c>
      <c r="FL281" s="27" t="s">
        <v>7</v>
      </c>
      <c r="FM281" s="27" t="s">
        <v>8</v>
      </c>
      <c r="FN281" s="27" t="s">
        <v>7</v>
      </c>
      <c r="FO281" s="27" t="s">
        <v>8</v>
      </c>
      <c r="FP281" s="27" t="s">
        <v>7</v>
      </c>
      <c r="FQ281" s="27" t="s">
        <v>8</v>
      </c>
      <c r="FR281" s="27" t="s">
        <v>7</v>
      </c>
      <c r="GA281" s="27" t="s">
        <v>8</v>
      </c>
      <c r="GB281" s="27" t="s">
        <v>7</v>
      </c>
      <c r="GC281" s="27" t="s">
        <v>8</v>
      </c>
      <c r="GD281" s="27" t="s">
        <v>7</v>
      </c>
      <c r="GE281" s="27" t="s">
        <v>8</v>
      </c>
      <c r="GI281" s="27" t="s">
        <v>8</v>
      </c>
      <c r="GM281" s="27" t="s">
        <v>8</v>
      </c>
      <c r="GV281" s="27" t="s">
        <v>7</v>
      </c>
      <c r="GW281" s="27" t="s">
        <v>8</v>
      </c>
      <c r="GX281" s="27" t="s">
        <v>7</v>
      </c>
      <c r="GY281" s="27" t="s">
        <v>8</v>
      </c>
      <c r="GZ281" s="27" t="s">
        <v>7</v>
      </c>
      <c r="HA281" s="27" t="s">
        <v>8</v>
      </c>
      <c r="HB281" s="27" t="s">
        <v>7</v>
      </c>
      <c r="HC281" s="27" t="s">
        <v>8</v>
      </c>
      <c r="HG281" s="27" t="s">
        <v>8</v>
      </c>
      <c r="HH281" s="27" t="s">
        <v>7</v>
      </c>
      <c r="HI281" s="27" t="s">
        <v>8</v>
      </c>
      <c r="HJ281" s="27" t="s">
        <v>7</v>
      </c>
    </row>
    <row r="282" spans="1:236" x14ac:dyDescent="0.25">
      <c r="A282" s="7">
        <v>419.80962106493718</v>
      </c>
      <c r="B282"/>
      <c r="C282"/>
      <c r="D282"/>
      <c r="E282"/>
      <c r="DG282" s="27" t="s">
        <v>8</v>
      </c>
      <c r="DH282" s="27" t="s">
        <v>7</v>
      </c>
      <c r="DI282" s="27" t="s">
        <v>8</v>
      </c>
      <c r="DN282" s="27" t="s">
        <v>7</v>
      </c>
      <c r="DO282" s="27" t="s">
        <v>8</v>
      </c>
      <c r="DP282" s="27" t="s">
        <v>7</v>
      </c>
      <c r="DT282" s="27" t="s">
        <v>7</v>
      </c>
      <c r="DU282" s="27" t="s">
        <v>8</v>
      </c>
      <c r="DV282" s="27" t="s">
        <v>7</v>
      </c>
      <c r="DW282" s="27" t="s">
        <v>8</v>
      </c>
      <c r="DX282" s="27" t="s">
        <v>7</v>
      </c>
      <c r="DY282" s="27" t="s">
        <v>8</v>
      </c>
      <c r="ED282" s="27" t="s">
        <v>7</v>
      </c>
      <c r="EF282" s="27" t="s">
        <v>7</v>
      </c>
      <c r="EH282" s="27" t="s">
        <v>7</v>
      </c>
      <c r="EK282" s="27" t="s">
        <v>8</v>
      </c>
      <c r="EM282" s="27" t="s">
        <v>8</v>
      </c>
      <c r="ER282" s="27" t="s">
        <v>7</v>
      </c>
      <c r="ES282" s="27" t="s">
        <v>8</v>
      </c>
      <c r="FJ282" s="27" t="s">
        <v>7</v>
      </c>
      <c r="FK282" s="27" t="s">
        <v>8</v>
      </c>
      <c r="FL282" s="27" t="s">
        <v>7</v>
      </c>
      <c r="FM282" s="27" t="s">
        <v>8</v>
      </c>
      <c r="FN282" s="27" t="s">
        <v>7</v>
      </c>
      <c r="FO282" s="27" t="s">
        <v>8</v>
      </c>
      <c r="FP282" s="27" t="s">
        <v>7</v>
      </c>
      <c r="FQ282" s="27" t="s">
        <v>8</v>
      </c>
      <c r="FR282" s="27" t="s">
        <v>7</v>
      </c>
      <c r="GA282" s="27" t="s">
        <v>8</v>
      </c>
      <c r="GB282" s="27" t="s">
        <v>7</v>
      </c>
      <c r="GC282" s="27" t="s">
        <v>8</v>
      </c>
      <c r="GD282" s="27" t="s">
        <v>7</v>
      </c>
      <c r="GE282" s="27" t="s">
        <v>8</v>
      </c>
      <c r="GF282" s="27" t="s">
        <v>7</v>
      </c>
      <c r="GI282" s="27" t="s">
        <v>8</v>
      </c>
      <c r="GJ282" s="27" t="s">
        <v>7</v>
      </c>
      <c r="GK282" s="27" t="s">
        <v>8</v>
      </c>
      <c r="GM282" s="27" t="s">
        <v>8</v>
      </c>
      <c r="GV282" s="27" t="s">
        <v>7</v>
      </c>
      <c r="GX282" s="27" t="s">
        <v>7</v>
      </c>
      <c r="GY282" s="27" t="s">
        <v>8</v>
      </c>
      <c r="GZ282" s="27" t="s">
        <v>7</v>
      </c>
      <c r="HA282" s="27" t="s">
        <v>8</v>
      </c>
      <c r="HB282" s="27" t="s">
        <v>7</v>
      </c>
      <c r="HC282" s="27" t="s">
        <v>8</v>
      </c>
      <c r="HD282" s="27" t="s">
        <v>7</v>
      </c>
      <c r="HG282" s="27" t="s">
        <v>8</v>
      </c>
      <c r="HH282" s="27" t="s">
        <v>7</v>
      </c>
      <c r="HJ282" s="27" t="s">
        <v>7</v>
      </c>
    </row>
    <row r="283" spans="1:236" x14ac:dyDescent="0.25">
      <c r="A283" s="7">
        <v>411.57805986758547</v>
      </c>
      <c r="B283"/>
      <c r="C283"/>
      <c r="D283"/>
      <c r="E283"/>
      <c r="DG283" s="27" t="s">
        <v>8</v>
      </c>
      <c r="DH283" s="27" t="s">
        <v>7</v>
      </c>
      <c r="DI283" s="27" t="s">
        <v>8</v>
      </c>
      <c r="DN283" s="27" t="s">
        <v>7</v>
      </c>
      <c r="DO283" s="27" t="s">
        <v>8</v>
      </c>
      <c r="DT283" s="27" t="s">
        <v>7</v>
      </c>
      <c r="DU283" s="27" t="s">
        <v>8</v>
      </c>
      <c r="DV283" s="27" t="s">
        <v>7</v>
      </c>
      <c r="DW283" s="27" t="s">
        <v>8</v>
      </c>
      <c r="DX283" s="27" t="s">
        <v>7</v>
      </c>
      <c r="DY283" s="27" t="s">
        <v>8</v>
      </c>
      <c r="EH283" s="27" t="s">
        <v>7</v>
      </c>
      <c r="EK283" s="27" t="s">
        <v>8</v>
      </c>
      <c r="EL283" s="27" t="s">
        <v>7</v>
      </c>
      <c r="EM283" s="27" t="s">
        <v>8</v>
      </c>
      <c r="ER283" s="27" t="s">
        <v>7</v>
      </c>
      <c r="FJ283" s="27" t="s">
        <v>7</v>
      </c>
      <c r="FK283" s="27" t="s">
        <v>8</v>
      </c>
      <c r="FL283" s="27" t="s">
        <v>7</v>
      </c>
      <c r="FM283" s="27" t="s">
        <v>8</v>
      </c>
      <c r="FN283" s="27" t="s">
        <v>7</v>
      </c>
      <c r="FO283" s="27" t="s">
        <v>8</v>
      </c>
      <c r="FP283" s="27" t="s">
        <v>7</v>
      </c>
      <c r="FR283" s="27" t="s">
        <v>7</v>
      </c>
      <c r="GA283" s="27" t="s">
        <v>8</v>
      </c>
      <c r="GB283" s="27" t="s">
        <v>7</v>
      </c>
      <c r="GC283" s="27" t="s">
        <v>8</v>
      </c>
      <c r="GD283" s="27" t="s">
        <v>7</v>
      </c>
      <c r="GE283" s="27" t="s">
        <v>8</v>
      </c>
      <c r="GF283" s="27" t="s">
        <v>7</v>
      </c>
      <c r="GI283" s="27" t="s">
        <v>8</v>
      </c>
      <c r="GJ283" s="27" t="s">
        <v>7</v>
      </c>
      <c r="GK283" s="27" t="s">
        <v>8</v>
      </c>
      <c r="GL283" s="27" t="s">
        <v>7</v>
      </c>
      <c r="GM283" s="27" t="s">
        <v>8</v>
      </c>
      <c r="GX283" s="27" t="s">
        <v>7</v>
      </c>
      <c r="GY283" s="27" t="s">
        <v>8</v>
      </c>
      <c r="GZ283" s="27" t="s">
        <v>7</v>
      </c>
      <c r="HB283" s="27" t="s">
        <v>7</v>
      </c>
      <c r="HC283" s="27" t="s">
        <v>8</v>
      </c>
      <c r="HD283" s="27" t="s">
        <v>7</v>
      </c>
      <c r="HE283" s="27" t="s">
        <v>8</v>
      </c>
      <c r="HG283" s="27" t="s">
        <v>8</v>
      </c>
      <c r="HJ283" s="27" t="s">
        <v>7</v>
      </c>
    </row>
    <row r="284" spans="1:236" x14ac:dyDescent="0.25">
      <c r="A284" s="7">
        <v>403.50790183096615</v>
      </c>
      <c r="B284"/>
      <c r="C284"/>
      <c r="D284"/>
      <c r="E284"/>
      <c r="DG284" s="27" t="s">
        <v>8</v>
      </c>
      <c r="DH284" s="27" t="s">
        <v>7</v>
      </c>
      <c r="DI284" s="27" t="s">
        <v>8</v>
      </c>
      <c r="DN284" s="27" t="s">
        <v>7</v>
      </c>
      <c r="DT284" s="27" t="s">
        <v>7</v>
      </c>
      <c r="DU284" s="27" t="s">
        <v>8</v>
      </c>
      <c r="DV284" s="27" t="s">
        <v>7</v>
      </c>
      <c r="DW284" s="27" t="s">
        <v>8</v>
      </c>
      <c r="DX284" s="27" t="s">
        <v>7</v>
      </c>
      <c r="DY284" s="27" t="s">
        <v>8</v>
      </c>
      <c r="EH284" s="27" t="s">
        <v>7</v>
      </c>
      <c r="EK284" s="27" t="s">
        <v>8</v>
      </c>
      <c r="EL284" s="27" t="s">
        <v>7</v>
      </c>
      <c r="EM284" s="27" t="s">
        <v>8</v>
      </c>
      <c r="FJ284" s="27" t="s">
        <v>7</v>
      </c>
      <c r="FK284" s="27" t="s">
        <v>8</v>
      </c>
      <c r="FL284" s="27" t="s">
        <v>7</v>
      </c>
      <c r="FM284" s="27" t="s">
        <v>8</v>
      </c>
      <c r="FN284" s="27" t="s">
        <v>7</v>
      </c>
      <c r="FO284" s="27" t="s">
        <v>8</v>
      </c>
      <c r="FR284" s="27" t="s">
        <v>7</v>
      </c>
      <c r="GA284" s="27" t="s">
        <v>8</v>
      </c>
      <c r="GB284" s="27" t="s">
        <v>7</v>
      </c>
      <c r="GC284" s="27" t="s">
        <v>8</v>
      </c>
      <c r="GD284" s="27" t="s">
        <v>7</v>
      </c>
      <c r="GE284" s="27" t="s">
        <v>8</v>
      </c>
      <c r="GF284" s="27" t="s">
        <v>7</v>
      </c>
      <c r="GI284" s="27" t="s">
        <v>8</v>
      </c>
      <c r="GJ284" s="27" t="s">
        <v>7</v>
      </c>
      <c r="GK284" s="27" t="s">
        <v>8</v>
      </c>
      <c r="GL284" s="27" t="s">
        <v>7</v>
      </c>
      <c r="GM284" s="27" t="s">
        <v>8</v>
      </c>
      <c r="GX284" s="27" t="s">
        <v>7</v>
      </c>
      <c r="GY284" s="27" t="s">
        <v>8</v>
      </c>
      <c r="HB284" s="27" t="s">
        <v>7</v>
      </c>
      <c r="HC284" s="27" t="s">
        <v>8</v>
      </c>
      <c r="HD284" s="27" t="s">
        <v>7</v>
      </c>
      <c r="HE284" s="27" t="s">
        <v>8</v>
      </c>
      <c r="HF284" s="27" t="s">
        <v>7</v>
      </c>
      <c r="HG284" s="27" t="s">
        <v>8</v>
      </c>
      <c r="HJ284" s="27" t="s">
        <v>7</v>
      </c>
    </row>
    <row r="285" spans="1:236" x14ac:dyDescent="0.25">
      <c r="A285" s="7">
        <v>395.59598218722169</v>
      </c>
      <c r="B285"/>
      <c r="C285"/>
      <c r="D285"/>
      <c r="E285"/>
      <c r="DG285" s="27" t="s">
        <v>8</v>
      </c>
      <c r="DH285" s="27" t="s">
        <v>7</v>
      </c>
      <c r="DT285" s="27" t="s">
        <v>7</v>
      </c>
      <c r="DU285" s="27" t="s">
        <v>8</v>
      </c>
      <c r="DV285" s="27" t="s">
        <v>7</v>
      </c>
      <c r="DW285" s="27" t="s">
        <v>8</v>
      </c>
      <c r="DX285" s="27" t="s">
        <v>7</v>
      </c>
      <c r="DY285" s="27" t="s">
        <v>8</v>
      </c>
      <c r="EH285" s="27" t="s">
        <v>7</v>
      </c>
      <c r="EK285" s="27" t="s">
        <v>8</v>
      </c>
      <c r="EL285" s="27" t="s">
        <v>7</v>
      </c>
      <c r="EM285" s="27" t="s">
        <v>8</v>
      </c>
      <c r="FJ285" s="27" t="s">
        <v>7</v>
      </c>
      <c r="FK285" s="27" t="s">
        <v>8</v>
      </c>
      <c r="FL285" s="27" t="s">
        <v>7</v>
      </c>
      <c r="FM285" s="27" t="s">
        <v>8</v>
      </c>
      <c r="FN285" s="27" t="s">
        <v>7</v>
      </c>
      <c r="FO285" s="27" t="s">
        <v>8</v>
      </c>
      <c r="FR285" s="27" t="s">
        <v>7</v>
      </c>
      <c r="GA285" s="27" t="s">
        <v>8</v>
      </c>
      <c r="GB285" s="27" t="s">
        <v>7</v>
      </c>
      <c r="GC285" s="27" t="s">
        <v>8</v>
      </c>
      <c r="GD285" s="27" t="s">
        <v>7</v>
      </c>
      <c r="GE285" s="27" t="s">
        <v>8</v>
      </c>
      <c r="GF285" s="27" t="s">
        <v>7</v>
      </c>
      <c r="GG285" s="27" t="s">
        <v>8</v>
      </c>
      <c r="GI285" s="27" t="s">
        <v>8</v>
      </c>
      <c r="GJ285" s="27" t="s">
        <v>7</v>
      </c>
      <c r="GK285" s="27" t="s">
        <v>8</v>
      </c>
      <c r="GL285" s="27" t="s">
        <v>7</v>
      </c>
      <c r="GM285" s="27" t="s">
        <v>8</v>
      </c>
      <c r="GX285" s="27" t="s">
        <v>7</v>
      </c>
      <c r="HB285" s="27" t="s">
        <v>7</v>
      </c>
      <c r="HC285" s="27" t="s">
        <v>8</v>
      </c>
      <c r="HD285" s="27" t="s">
        <v>7</v>
      </c>
      <c r="HE285" s="27" t="s">
        <v>8</v>
      </c>
      <c r="HF285" s="27" t="s">
        <v>7</v>
      </c>
      <c r="HG285" s="27" t="s">
        <v>8</v>
      </c>
      <c r="HJ285" s="27" t="s">
        <v>7</v>
      </c>
      <c r="IA285" s="27" t="s">
        <v>8</v>
      </c>
    </row>
    <row r="286" spans="1:236" x14ac:dyDescent="0.25">
      <c r="A286" s="7">
        <v>387.83919822276636</v>
      </c>
      <c r="B286"/>
      <c r="C286"/>
      <c r="D286"/>
      <c r="E286"/>
      <c r="DG286" s="27" t="s">
        <v>8</v>
      </c>
      <c r="DT286" s="27" t="s">
        <v>7</v>
      </c>
      <c r="DU286" s="27" t="s">
        <v>8</v>
      </c>
      <c r="DV286" s="27" t="s">
        <v>7</v>
      </c>
      <c r="DW286" s="27" t="s">
        <v>8</v>
      </c>
      <c r="DX286" s="27" t="s">
        <v>7</v>
      </c>
      <c r="DY286" s="27" t="s">
        <v>8</v>
      </c>
      <c r="EH286" s="27" t="s">
        <v>7</v>
      </c>
      <c r="EK286" s="27" t="s">
        <v>8</v>
      </c>
      <c r="EL286" s="27" t="s">
        <v>7</v>
      </c>
      <c r="FJ286" s="27" t="s">
        <v>7</v>
      </c>
      <c r="FK286" s="27" t="s">
        <v>8</v>
      </c>
      <c r="FL286" s="27" t="s">
        <v>7</v>
      </c>
      <c r="FM286" s="27" t="s">
        <v>8</v>
      </c>
      <c r="FN286" s="27" t="s">
        <v>7</v>
      </c>
      <c r="FO286" s="27" t="s">
        <v>8</v>
      </c>
      <c r="FR286" s="27" t="s">
        <v>7</v>
      </c>
      <c r="GA286" s="27" t="s">
        <v>8</v>
      </c>
      <c r="GB286" s="27" t="s">
        <v>7</v>
      </c>
      <c r="GD286" s="27" t="s">
        <v>7</v>
      </c>
      <c r="GE286" s="27" t="s">
        <v>8</v>
      </c>
      <c r="GF286" s="27" t="s">
        <v>7</v>
      </c>
      <c r="GG286" s="27" t="s">
        <v>8</v>
      </c>
      <c r="GH286" s="27" t="s">
        <v>7</v>
      </c>
      <c r="GI286" s="27" t="s">
        <v>8</v>
      </c>
      <c r="GJ286" s="27" t="s">
        <v>7</v>
      </c>
      <c r="GK286" s="27" t="s">
        <v>8</v>
      </c>
      <c r="GL286" s="27" t="s">
        <v>7</v>
      </c>
      <c r="HB286" s="27" t="s">
        <v>7</v>
      </c>
      <c r="HC286" s="27" t="s">
        <v>8</v>
      </c>
      <c r="HD286" s="27" t="s">
        <v>7</v>
      </c>
      <c r="HF286" s="27" t="s">
        <v>7</v>
      </c>
      <c r="HG286" s="27" t="s">
        <v>8</v>
      </c>
      <c r="HJ286" s="27" t="s">
        <v>7</v>
      </c>
      <c r="IA286" s="27" t="s">
        <v>8</v>
      </c>
      <c r="IB286" s="27" t="s">
        <v>7</v>
      </c>
    </row>
    <row r="287" spans="1:236" x14ac:dyDescent="0.25">
      <c r="A287" s="7">
        <v>380.23450806153562</v>
      </c>
      <c r="B287"/>
      <c r="C287"/>
      <c r="D287"/>
      <c r="E287"/>
      <c r="DG287" s="27" t="s">
        <v>8</v>
      </c>
      <c r="DT287" s="27" t="s">
        <v>7</v>
      </c>
      <c r="DU287" s="27" t="s">
        <v>8</v>
      </c>
      <c r="DV287" s="27" t="s">
        <v>7</v>
      </c>
      <c r="DW287" s="27" t="s">
        <v>8</v>
      </c>
      <c r="DX287" s="27" t="s">
        <v>7</v>
      </c>
      <c r="DY287" s="27" t="s">
        <v>8</v>
      </c>
      <c r="EH287" s="27" t="s">
        <v>7</v>
      </c>
      <c r="EK287" s="27" t="s">
        <v>8</v>
      </c>
      <c r="FJ287" s="27" t="s">
        <v>7</v>
      </c>
      <c r="FK287" s="27" t="s">
        <v>8</v>
      </c>
      <c r="FL287" s="27" t="s">
        <v>7</v>
      </c>
      <c r="FM287" s="27" t="s">
        <v>8</v>
      </c>
      <c r="FN287" s="27" t="s">
        <v>7</v>
      </c>
      <c r="FO287" s="27" t="s">
        <v>8</v>
      </c>
      <c r="FR287" s="27" t="s">
        <v>7</v>
      </c>
      <c r="GA287" s="27" t="s">
        <v>8</v>
      </c>
      <c r="GD287" s="27" t="s">
        <v>7</v>
      </c>
      <c r="GE287" s="27" t="s">
        <v>8</v>
      </c>
      <c r="GF287" s="27" t="s">
        <v>7</v>
      </c>
      <c r="GG287" s="27" t="s">
        <v>8</v>
      </c>
      <c r="GH287" s="27" t="s">
        <v>7</v>
      </c>
      <c r="GI287" s="27" t="s">
        <v>8</v>
      </c>
      <c r="GJ287" s="27" t="s">
        <v>7</v>
      </c>
      <c r="HB287" s="27" t="s">
        <v>7</v>
      </c>
      <c r="HC287" s="27" t="s">
        <v>8</v>
      </c>
      <c r="HF287" s="27" t="s">
        <v>7</v>
      </c>
      <c r="HG287" s="27" t="s">
        <v>8</v>
      </c>
      <c r="HJ287" s="27" t="s">
        <v>7</v>
      </c>
      <c r="IA287" s="27" t="s">
        <v>8</v>
      </c>
      <c r="IB287" s="27" t="s">
        <v>7</v>
      </c>
    </row>
    <row r="288" spans="1:236" x14ac:dyDescent="0.25">
      <c r="A288" s="7">
        <v>372.77892947209375</v>
      </c>
      <c r="B288"/>
      <c r="C288"/>
      <c r="D288"/>
      <c r="E288"/>
      <c r="DE288" s="27" t="s">
        <v>8</v>
      </c>
      <c r="DG288" s="27" t="s">
        <v>8</v>
      </c>
      <c r="DT288" s="27" t="s">
        <v>7</v>
      </c>
      <c r="DU288" s="27" t="s">
        <v>8</v>
      </c>
      <c r="DV288" s="27" t="s">
        <v>7</v>
      </c>
      <c r="DW288" s="27" t="s">
        <v>8</v>
      </c>
      <c r="DX288" s="27" t="s">
        <v>7</v>
      </c>
      <c r="DY288" s="27" t="s">
        <v>8</v>
      </c>
      <c r="EH288" s="27" t="s">
        <v>7</v>
      </c>
      <c r="EI288" s="27" t="s">
        <v>8</v>
      </c>
      <c r="EK288" s="27" t="s">
        <v>8</v>
      </c>
      <c r="FJ288" s="27" t="s">
        <v>7</v>
      </c>
      <c r="FK288" s="27" t="s">
        <v>8</v>
      </c>
      <c r="FL288" s="27" t="s">
        <v>7</v>
      </c>
      <c r="FM288" s="27" t="s">
        <v>8</v>
      </c>
      <c r="FN288" s="27" t="s">
        <v>7</v>
      </c>
      <c r="FO288" s="27" t="s">
        <v>8</v>
      </c>
      <c r="FR288" s="27" t="s">
        <v>7</v>
      </c>
      <c r="FS288" s="27" t="s">
        <v>8</v>
      </c>
      <c r="GA288" s="27" t="s">
        <v>8</v>
      </c>
      <c r="GD288" s="27" t="s">
        <v>7</v>
      </c>
      <c r="GE288" s="27" t="s">
        <v>8</v>
      </c>
      <c r="GF288" s="27" t="s">
        <v>7</v>
      </c>
      <c r="GG288" s="27" t="s">
        <v>8</v>
      </c>
      <c r="GH288" s="27" t="s">
        <v>7</v>
      </c>
      <c r="GI288" s="27" t="s">
        <v>8</v>
      </c>
      <c r="HB288" s="27" t="s">
        <v>7</v>
      </c>
      <c r="HC288" s="27" t="s">
        <v>8</v>
      </c>
      <c r="HF288" s="27" t="s">
        <v>7</v>
      </c>
      <c r="HG288" s="27" t="s">
        <v>8</v>
      </c>
      <c r="HJ288" s="27" t="s">
        <v>7</v>
      </c>
      <c r="HK288" s="27" t="s">
        <v>8</v>
      </c>
      <c r="HM288" s="27" t="s">
        <v>8</v>
      </c>
      <c r="IA288" s="27" t="s">
        <v>8</v>
      </c>
      <c r="IB288" s="27" t="s">
        <v>7</v>
      </c>
    </row>
    <row r="289" spans="1:248" x14ac:dyDescent="0.25">
      <c r="A289" s="7">
        <v>365.46953869813115</v>
      </c>
      <c r="B289"/>
      <c r="C289"/>
      <c r="D289"/>
      <c r="E289"/>
      <c r="DE289" s="27" t="s">
        <v>8</v>
      </c>
      <c r="DF289" s="27" t="s">
        <v>7</v>
      </c>
      <c r="DG289" s="27" t="s">
        <v>8</v>
      </c>
      <c r="DT289" s="27" t="s">
        <v>7</v>
      </c>
      <c r="DU289" s="27" t="s">
        <v>8</v>
      </c>
      <c r="DV289" s="27" t="s">
        <v>7</v>
      </c>
      <c r="DX289" s="27" t="s">
        <v>7</v>
      </c>
      <c r="DY289" s="27" t="s">
        <v>8</v>
      </c>
      <c r="EH289" s="27" t="s">
        <v>7</v>
      </c>
      <c r="EI289" s="27" t="s">
        <v>8</v>
      </c>
      <c r="EJ289" s="27" t="s">
        <v>7</v>
      </c>
      <c r="EK289" s="27" t="s">
        <v>8</v>
      </c>
      <c r="FJ289" s="27" t="s">
        <v>7</v>
      </c>
      <c r="FK289" s="27" t="s">
        <v>8</v>
      </c>
      <c r="FL289" s="27" t="s">
        <v>7</v>
      </c>
      <c r="FM289" s="27" t="s">
        <v>8</v>
      </c>
      <c r="FN289" s="27" t="s">
        <v>7</v>
      </c>
      <c r="FO289" s="27" t="s">
        <v>8</v>
      </c>
      <c r="FR289" s="27" t="s">
        <v>7</v>
      </c>
      <c r="FS289" s="27" t="s">
        <v>8</v>
      </c>
      <c r="FT289" s="27" t="s">
        <v>7</v>
      </c>
      <c r="GA289" s="27" t="s">
        <v>8</v>
      </c>
      <c r="GD289" s="27" t="s">
        <v>7</v>
      </c>
      <c r="GF289" s="27" t="s">
        <v>7</v>
      </c>
      <c r="GH289" s="27" t="s">
        <v>7</v>
      </c>
      <c r="GI289" s="27" t="s">
        <v>8</v>
      </c>
      <c r="HB289" s="27" t="s">
        <v>7</v>
      </c>
      <c r="HC289" s="27" t="s">
        <v>8</v>
      </c>
      <c r="HF289" s="27" t="s">
        <v>7</v>
      </c>
      <c r="HJ289" s="27" t="s">
        <v>7</v>
      </c>
      <c r="HK289" s="27" t="s">
        <v>8</v>
      </c>
      <c r="HL289" s="27" t="s">
        <v>7</v>
      </c>
      <c r="HM289" s="27" t="s">
        <v>8</v>
      </c>
      <c r="HN289" s="27" t="s">
        <v>7</v>
      </c>
      <c r="IA289" s="27" t="s">
        <v>8</v>
      </c>
      <c r="IB289" s="27" t="s">
        <v>7</v>
      </c>
      <c r="IC289" s="27" t="s">
        <v>8</v>
      </c>
    </row>
    <row r="290" spans="1:248" x14ac:dyDescent="0.25">
      <c r="A290" s="7">
        <v>358.30346931189325</v>
      </c>
      <c r="B290"/>
      <c r="C290"/>
      <c r="D290"/>
      <c r="E290"/>
      <c r="DE290" s="27" t="s">
        <v>8</v>
      </c>
      <c r="DF290" s="27" t="s">
        <v>7</v>
      </c>
      <c r="DG290" s="27" t="s">
        <v>8</v>
      </c>
      <c r="DT290" s="27" t="s">
        <v>7</v>
      </c>
      <c r="DU290" s="27" t="s">
        <v>8</v>
      </c>
      <c r="DX290" s="27" t="s">
        <v>7</v>
      </c>
      <c r="DY290" s="27" t="s">
        <v>8</v>
      </c>
      <c r="EH290" s="27" t="s">
        <v>7</v>
      </c>
      <c r="EI290" s="27" t="s">
        <v>8</v>
      </c>
      <c r="EJ290" s="27" t="s">
        <v>7</v>
      </c>
      <c r="EK290" s="27" t="s">
        <v>8</v>
      </c>
      <c r="FJ290" s="27" t="s">
        <v>7</v>
      </c>
      <c r="FL290" s="27" t="s">
        <v>7</v>
      </c>
      <c r="FM290" s="27" t="s">
        <v>8</v>
      </c>
      <c r="FN290" s="27" t="s">
        <v>7</v>
      </c>
      <c r="FO290" s="27" t="s">
        <v>8</v>
      </c>
      <c r="FR290" s="27" t="s">
        <v>7</v>
      </c>
      <c r="FS290" s="27" t="s">
        <v>8</v>
      </c>
      <c r="FT290" s="27" t="s">
        <v>7</v>
      </c>
      <c r="GA290" s="27" t="s">
        <v>8</v>
      </c>
      <c r="GH290" s="27" t="s">
        <v>7</v>
      </c>
      <c r="GI290" s="27" t="s">
        <v>8</v>
      </c>
      <c r="HB290" s="27" t="s">
        <v>7</v>
      </c>
      <c r="HC290" s="27" t="s">
        <v>8</v>
      </c>
      <c r="HJ290" s="27" t="s">
        <v>7</v>
      </c>
      <c r="HK290" s="27" t="s">
        <v>8</v>
      </c>
      <c r="HL290" s="27" t="s">
        <v>7</v>
      </c>
      <c r="HM290" s="27" t="s">
        <v>8</v>
      </c>
      <c r="HN290" s="27" t="s">
        <v>7</v>
      </c>
      <c r="HW290" s="27" t="s">
        <v>8</v>
      </c>
      <c r="IA290" s="27" t="s">
        <v>8</v>
      </c>
      <c r="IB290" s="27" t="s">
        <v>7</v>
      </c>
      <c r="IC290" s="27" t="s">
        <v>8</v>
      </c>
      <c r="ID290" s="27" t="s">
        <v>7</v>
      </c>
      <c r="IG290" s="27" t="s">
        <v>8</v>
      </c>
    </row>
    <row r="291" spans="1:248" x14ac:dyDescent="0.25">
      <c r="A291" s="7">
        <v>351.27791109009144</v>
      </c>
      <c r="B291"/>
      <c r="C291"/>
      <c r="D291"/>
      <c r="E291"/>
      <c r="DE291" s="27" t="s">
        <v>8</v>
      </c>
      <c r="DF291" s="27" t="s">
        <v>7</v>
      </c>
      <c r="DG291" s="27" t="s">
        <v>8</v>
      </c>
      <c r="DT291" s="27" t="s">
        <v>7</v>
      </c>
      <c r="DU291" s="27" t="s">
        <v>8</v>
      </c>
      <c r="DX291" s="27" t="s">
        <v>7</v>
      </c>
      <c r="EH291" s="27" t="s">
        <v>7</v>
      </c>
      <c r="EI291" s="27" t="s">
        <v>8</v>
      </c>
      <c r="EJ291" s="27" t="s">
        <v>7</v>
      </c>
      <c r="FL291" s="27" t="s">
        <v>7</v>
      </c>
      <c r="FM291" s="27" t="s">
        <v>8</v>
      </c>
      <c r="FN291" s="27" t="s">
        <v>7</v>
      </c>
      <c r="FO291" s="27" t="s">
        <v>8</v>
      </c>
      <c r="FR291" s="27" t="s">
        <v>7</v>
      </c>
      <c r="FS291" s="27" t="s">
        <v>8</v>
      </c>
      <c r="FT291" s="27" t="s">
        <v>7</v>
      </c>
      <c r="GA291" s="27" t="s">
        <v>8</v>
      </c>
      <c r="GH291" s="27" t="s">
        <v>7</v>
      </c>
      <c r="GI291" s="27" t="s">
        <v>8</v>
      </c>
      <c r="HB291" s="27" t="s">
        <v>7</v>
      </c>
      <c r="HJ291" s="27" t="s">
        <v>7</v>
      </c>
      <c r="HK291" s="27" t="s">
        <v>8</v>
      </c>
      <c r="HL291" s="27" t="s">
        <v>7</v>
      </c>
      <c r="HM291" s="27" t="s">
        <v>8</v>
      </c>
      <c r="HN291" s="27" t="s">
        <v>7</v>
      </c>
      <c r="HO291" s="27" t="s">
        <v>8</v>
      </c>
      <c r="HW291" s="27" t="s">
        <v>8</v>
      </c>
      <c r="HX291" s="27" t="s">
        <v>7</v>
      </c>
      <c r="IA291" s="27" t="s">
        <v>8</v>
      </c>
      <c r="IB291" s="27" t="s">
        <v>7</v>
      </c>
      <c r="IC291" s="27" t="s">
        <v>8</v>
      </c>
      <c r="ID291" s="27" t="s">
        <v>7</v>
      </c>
      <c r="IG291" s="27" t="s">
        <v>8</v>
      </c>
      <c r="IH291" s="27" t="s">
        <v>7</v>
      </c>
    </row>
    <row r="292" spans="1:248" x14ac:dyDescent="0.25">
      <c r="A292" s="7">
        <v>344.39010891185433</v>
      </c>
      <c r="B292"/>
      <c r="C292"/>
      <c r="D292"/>
      <c r="E292"/>
      <c r="DE292" s="27" t="s">
        <v>8</v>
      </c>
      <c r="DF292" s="27" t="s">
        <v>7</v>
      </c>
      <c r="DG292" s="27" t="s">
        <v>8</v>
      </c>
      <c r="DT292" s="27" t="s">
        <v>7</v>
      </c>
      <c r="DU292" s="27" t="s">
        <v>8</v>
      </c>
      <c r="EH292" s="27" t="s">
        <v>7</v>
      </c>
      <c r="EI292" s="27" t="s">
        <v>8</v>
      </c>
      <c r="FL292" s="27" t="s">
        <v>7</v>
      </c>
      <c r="FM292" s="27" t="s">
        <v>8</v>
      </c>
      <c r="FN292" s="27" t="s">
        <v>7</v>
      </c>
      <c r="FO292" s="27" t="s">
        <v>8</v>
      </c>
      <c r="FR292" s="27" t="s">
        <v>7</v>
      </c>
      <c r="FS292" s="27" t="s">
        <v>8</v>
      </c>
      <c r="FT292" s="27" t="s">
        <v>7</v>
      </c>
      <c r="FU292" s="27" t="s">
        <v>8</v>
      </c>
      <c r="GA292" s="27" t="s">
        <v>8</v>
      </c>
      <c r="GH292" s="27" t="s">
        <v>7</v>
      </c>
      <c r="GI292" s="27" t="s">
        <v>8</v>
      </c>
      <c r="HJ292" s="27" t="s">
        <v>7</v>
      </c>
      <c r="HK292" s="27" t="s">
        <v>8</v>
      </c>
      <c r="HL292" s="27" t="s">
        <v>7</v>
      </c>
      <c r="HM292" s="27" t="s">
        <v>8</v>
      </c>
      <c r="HN292" s="27" t="s">
        <v>7</v>
      </c>
      <c r="HO292" s="27" t="s">
        <v>8</v>
      </c>
      <c r="HP292" s="27" t="s">
        <v>7</v>
      </c>
      <c r="HW292" s="27" t="s">
        <v>8</v>
      </c>
      <c r="HX292" s="27" t="s">
        <v>7</v>
      </c>
      <c r="IA292" s="27" t="s">
        <v>8</v>
      </c>
      <c r="IB292" s="27" t="s">
        <v>7</v>
      </c>
      <c r="IC292" s="27" t="s">
        <v>8</v>
      </c>
      <c r="ID292" s="27" t="s">
        <v>7</v>
      </c>
      <c r="IE292" s="27" t="s">
        <v>8</v>
      </c>
      <c r="IG292" s="27" t="s">
        <v>8</v>
      </c>
      <c r="IH292" s="27" t="s">
        <v>7</v>
      </c>
    </row>
    <row r="293" spans="1:248" x14ac:dyDescent="0.25">
      <c r="A293" s="7">
        <v>337.63736167828853</v>
      </c>
      <c r="B293"/>
      <c r="C293"/>
      <c r="D293"/>
      <c r="E293"/>
      <c r="DE293" s="27" t="s">
        <v>8</v>
      </c>
      <c r="DF293" s="27" t="s">
        <v>7</v>
      </c>
      <c r="DT293" s="27" t="s">
        <v>7</v>
      </c>
      <c r="DU293" s="27" t="s">
        <v>8</v>
      </c>
      <c r="EH293" s="27" t="s">
        <v>7</v>
      </c>
      <c r="EI293" s="27" t="s">
        <v>8</v>
      </c>
      <c r="FL293" s="27" t="s">
        <v>7</v>
      </c>
      <c r="FM293" s="27" t="s">
        <v>8</v>
      </c>
      <c r="FN293" s="27" t="s">
        <v>7</v>
      </c>
      <c r="FR293" s="27" t="s">
        <v>7</v>
      </c>
      <c r="FS293" s="27" t="s">
        <v>8</v>
      </c>
      <c r="FT293" s="27" t="s">
        <v>7</v>
      </c>
      <c r="FU293" s="27" t="s">
        <v>8</v>
      </c>
      <c r="FV293" s="27" t="s">
        <v>7</v>
      </c>
      <c r="GA293" s="27" t="s">
        <v>8</v>
      </c>
      <c r="GH293" s="18" t="s">
        <v>7</v>
      </c>
      <c r="GI293" s="27" t="s">
        <v>8</v>
      </c>
      <c r="HJ293" s="27" t="s">
        <v>7</v>
      </c>
      <c r="HK293" s="27" t="s">
        <v>8</v>
      </c>
      <c r="HL293" s="27" t="s">
        <v>7</v>
      </c>
      <c r="HM293" s="27" t="s">
        <v>8</v>
      </c>
      <c r="HN293" s="27" t="s">
        <v>7</v>
      </c>
      <c r="HO293" s="27" t="s">
        <v>8</v>
      </c>
      <c r="HP293" s="27" t="s">
        <v>7</v>
      </c>
      <c r="HW293" s="27" t="s">
        <v>8</v>
      </c>
      <c r="HX293" s="27" t="s">
        <v>7</v>
      </c>
      <c r="IA293" s="27" t="s">
        <v>8</v>
      </c>
      <c r="IB293" s="27" t="s">
        <v>7</v>
      </c>
      <c r="ID293" s="27" t="s">
        <v>7</v>
      </c>
      <c r="IE293" s="27" t="s">
        <v>8</v>
      </c>
      <c r="IF293" s="27" t="s">
        <v>7</v>
      </c>
      <c r="IG293" s="27" t="s">
        <v>8</v>
      </c>
      <c r="IH293" s="27" t="s">
        <v>7</v>
      </c>
    </row>
    <row r="294" spans="1:248" x14ac:dyDescent="0.25">
      <c r="A294" s="7">
        <v>331.01702125322402</v>
      </c>
      <c r="B294"/>
      <c r="C294"/>
      <c r="D294"/>
      <c r="E294"/>
      <c r="DE294" s="27" t="s">
        <v>8</v>
      </c>
      <c r="DT294" s="27" t="s">
        <v>7</v>
      </c>
      <c r="DU294" s="27" t="s">
        <v>8</v>
      </c>
      <c r="EH294" s="27" t="s">
        <v>7</v>
      </c>
      <c r="FL294" s="27" t="s">
        <v>7</v>
      </c>
      <c r="FM294" s="27" t="s">
        <v>8</v>
      </c>
      <c r="FR294" s="27" t="s">
        <v>7</v>
      </c>
      <c r="FS294" s="27" t="s">
        <v>8</v>
      </c>
      <c r="FT294" s="27" t="s">
        <v>7</v>
      </c>
      <c r="FU294" s="27" t="s">
        <v>8</v>
      </c>
      <c r="FV294" s="27" t="s">
        <v>7</v>
      </c>
      <c r="GA294" s="27" t="s">
        <v>8</v>
      </c>
      <c r="GH294" s="27" t="s">
        <v>7</v>
      </c>
      <c r="GI294" s="27" t="s">
        <v>8</v>
      </c>
      <c r="HJ294" s="27" t="s">
        <v>7</v>
      </c>
      <c r="HK294" s="27" t="s">
        <v>8</v>
      </c>
      <c r="HL294" s="27" t="s">
        <v>7</v>
      </c>
      <c r="HM294" s="27" t="s">
        <v>8</v>
      </c>
      <c r="HN294" s="27" t="s">
        <v>7</v>
      </c>
      <c r="HO294" s="27" t="s">
        <v>8</v>
      </c>
      <c r="HP294" s="27" t="s">
        <v>7</v>
      </c>
      <c r="HQ294" s="27" t="s">
        <v>8</v>
      </c>
      <c r="HU294" s="27" t="s">
        <v>8</v>
      </c>
      <c r="HW294" s="27" t="s">
        <v>8</v>
      </c>
      <c r="HX294" s="27" t="s">
        <v>7</v>
      </c>
      <c r="HY294" s="27" t="s">
        <v>8</v>
      </c>
      <c r="IA294" s="27" t="s">
        <v>8</v>
      </c>
      <c r="ID294" s="27" t="s">
        <v>7</v>
      </c>
      <c r="IE294" s="27" t="s">
        <v>8</v>
      </c>
      <c r="IF294" s="27" t="s">
        <v>7</v>
      </c>
      <c r="IG294" s="27" t="s">
        <v>8</v>
      </c>
      <c r="IH294" s="27" t="s">
        <v>7</v>
      </c>
    </row>
    <row r="295" spans="1:248" x14ac:dyDescent="0.25">
      <c r="A295" s="7">
        <v>324.52649142472944</v>
      </c>
      <c r="B295"/>
      <c r="C295"/>
      <c r="D295"/>
      <c r="E295"/>
      <c r="DE295" s="27" t="s">
        <v>8</v>
      </c>
      <c r="DT295" s="27" t="s">
        <v>7</v>
      </c>
      <c r="FL295" s="27" t="s">
        <v>7</v>
      </c>
      <c r="FM295" s="27" t="s">
        <v>8</v>
      </c>
      <c r="FR295" s="27" t="s">
        <v>7</v>
      </c>
      <c r="FS295" s="27" t="s">
        <v>8</v>
      </c>
      <c r="FT295" s="27" t="s">
        <v>7</v>
      </c>
      <c r="FU295" s="27" t="s">
        <v>8</v>
      </c>
      <c r="FV295" s="27" t="s">
        <v>7</v>
      </c>
      <c r="GA295" s="27" t="s">
        <v>8</v>
      </c>
      <c r="GH295" s="27" t="s">
        <v>7</v>
      </c>
      <c r="GI295" s="27" t="s">
        <v>8</v>
      </c>
      <c r="HJ295" s="27" t="s">
        <v>7</v>
      </c>
      <c r="HK295" s="27" t="s">
        <v>8</v>
      </c>
      <c r="HL295" s="27" t="s">
        <v>7</v>
      </c>
      <c r="HM295" s="27" t="s">
        <v>8</v>
      </c>
      <c r="HN295" s="27" t="s">
        <v>7</v>
      </c>
      <c r="HO295" s="27" t="s">
        <v>8</v>
      </c>
      <c r="HP295" s="27" t="s">
        <v>7</v>
      </c>
      <c r="HQ295" s="27" t="s">
        <v>8</v>
      </c>
      <c r="HR295" s="27" t="s">
        <v>7</v>
      </c>
      <c r="HS295" s="27" t="s">
        <v>8</v>
      </c>
      <c r="HU295" s="27" t="s">
        <v>8</v>
      </c>
      <c r="HV295" s="27" t="s">
        <v>7</v>
      </c>
      <c r="HW295" s="27" t="s">
        <v>8</v>
      </c>
      <c r="HX295" s="27" t="s">
        <v>7</v>
      </c>
      <c r="HY295" s="27" t="s">
        <v>8</v>
      </c>
      <c r="HZ295" s="27" t="s">
        <v>7</v>
      </c>
      <c r="IA295" s="27" t="s">
        <v>8</v>
      </c>
      <c r="ID295" s="27" t="s">
        <v>7</v>
      </c>
      <c r="IE295" s="27" t="s">
        <v>8</v>
      </c>
      <c r="IF295" s="27" t="s">
        <v>7</v>
      </c>
      <c r="IG295" s="27" t="s">
        <v>8</v>
      </c>
      <c r="IH295" s="27" t="s">
        <v>7</v>
      </c>
      <c r="II295" s="27" t="s">
        <v>8</v>
      </c>
    </row>
    <row r="296" spans="1:248" x14ac:dyDescent="0.25">
      <c r="A296" s="7">
        <v>318.16322688698966</v>
      </c>
      <c r="B296"/>
      <c r="C296"/>
      <c r="D296"/>
      <c r="E296"/>
      <c r="DE296" s="27" t="s">
        <v>8</v>
      </c>
      <c r="FL296" s="27" t="s">
        <v>7</v>
      </c>
      <c r="FM296" s="27" t="s">
        <v>8</v>
      </c>
      <c r="FR296" s="27" t="s">
        <v>7</v>
      </c>
      <c r="FS296" s="27" t="s">
        <v>8</v>
      </c>
      <c r="FT296" s="27" t="s">
        <v>7</v>
      </c>
      <c r="FU296" s="27" t="s">
        <v>8</v>
      </c>
      <c r="FV296" s="27" t="s">
        <v>7</v>
      </c>
      <c r="GA296" s="27" t="s">
        <v>8</v>
      </c>
      <c r="GH296" s="27" t="s">
        <v>7</v>
      </c>
      <c r="GI296" s="27" t="s">
        <v>8</v>
      </c>
      <c r="HJ296" s="27" t="s">
        <v>7</v>
      </c>
      <c r="HK296" s="27" t="s">
        <v>8</v>
      </c>
      <c r="HL296" s="27" t="s">
        <v>7</v>
      </c>
      <c r="HN296" s="27" t="s">
        <v>7</v>
      </c>
      <c r="HO296" s="27" t="s">
        <v>8</v>
      </c>
      <c r="HP296" s="27" t="s">
        <v>7</v>
      </c>
      <c r="HQ296" s="27" t="s">
        <v>8</v>
      </c>
      <c r="HR296" s="27" t="s">
        <v>7</v>
      </c>
      <c r="HS296" s="27" t="s">
        <v>8</v>
      </c>
      <c r="HT296" s="27" t="s">
        <v>7</v>
      </c>
      <c r="HU296" s="27" t="s">
        <v>8</v>
      </c>
      <c r="HV296" s="27" t="s">
        <v>7</v>
      </c>
      <c r="HW296" s="27" t="s">
        <v>8</v>
      </c>
      <c r="HX296" s="27" t="s">
        <v>7</v>
      </c>
      <c r="HY296" s="27" t="s">
        <v>8</v>
      </c>
      <c r="HZ296" s="27" t="s">
        <v>7</v>
      </c>
      <c r="IA296" s="27" t="s">
        <v>8</v>
      </c>
      <c r="ID296" s="27" t="s">
        <v>7</v>
      </c>
      <c r="IE296" s="27" t="s">
        <v>8</v>
      </c>
      <c r="IF296" s="27" t="s">
        <v>7</v>
      </c>
      <c r="IH296" s="27" t="s">
        <v>7</v>
      </c>
      <c r="II296" s="27" t="s">
        <v>8</v>
      </c>
      <c r="IJ296" s="27" t="s">
        <v>7</v>
      </c>
    </row>
    <row r="297" spans="1:248" x14ac:dyDescent="0.25">
      <c r="A297" s="7">
        <v>311.92473224214672</v>
      </c>
      <c r="B297"/>
      <c r="C297"/>
      <c r="D297"/>
      <c r="E297"/>
      <c r="DE297" s="27" t="s">
        <v>8</v>
      </c>
      <c r="FL297" s="27" t="s">
        <v>7</v>
      </c>
      <c r="FM297" s="27" t="s">
        <v>8</v>
      </c>
      <c r="FR297" s="27" t="s">
        <v>7</v>
      </c>
      <c r="FT297" s="27" t="s">
        <v>7</v>
      </c>
      <c r="FU297" s="27" t="s">
        <v>8</v>
      </c>
      <c r="FV297" s="27" t="s">
        <v>7</v>
      </c>
      <c r="GA297" s="27" t="s">
        <v>8</v>
      </c>
      <c r="GH297" s="27" t="s">
        <v>7</v>
      </c>
      <c r="HJ297" s="27" t="s">
        <v>7</v>
      </c>
      <c r="HK297" s="27" t="s">
        <v>8</v>
      </c>
      <c r="HN297" s="27" t="s">
        <v>7</v>
      </c>
      <c r="HO297" s="27" t="s">
        <v>8</v>
      </c>
      <c r="HP297" s="27" t="s">
        <v>7</v>
      </c>
      <c r="HQ297" s="27" t="s">
        <v>8</v>
      </c>
      <c r="HR297" s="27" t="s">
        <v>7</v>
      </c>
      <c r="HS297" s="27" t="s">
        <v>8</v>
      </c>
      <c r="HT297" s="27" t="s">
        <v>7</v>
      </c>
      <c r="HU297" s="27" t="s">
        <v>8</v>
      </c>
      <c r="HV297" s="27" t="s">
        <v>7</v>
      </c>
      <c r="HW297" s="27" t="s">
        <v>8</v>
      </c>
      <c r="HX297" s="27" t="s">
        <v>7</v>
      </c>
      <c r="HY297" s="27" t="s">
        <v>8</v>
      </c>
      <c r="HZ297" s="27" t="s">
        <v>7</v>
      </c>
      <c r="ID297" s="27" t="s">
        <v>7</v>
      </c>
      <c r="IE297" s="27" t="s">
        <v>8</v>
      </c>
      <c r="IH297" s="27" t="s">
        <v>7</v>
      </c>
      <c r="II297" s="27" t="s">
        <v>8</v>
      </c>
      <c r="IJ297" s="27" t="s">
        <v>7</v>
      </c>
      <c r="IK297" s="27" t="s">
        <v>8</v>
      </c>
    </row>
    <row r="298" spans="1:248" x14ac:dyDescent="0.25">
      <c r="A298" s="7">
        <v>305.80856102171248</v>
      </c>
      <c r="B298"/>
      <c r="C298"/>
      <c r="D298"/>
      <c r="E298"/>
      <c r="DE298" s="27" t="s">
        <v>8</v>
      </c>
      <c r="FL298" s="27" t="s">
        <v>7</v>
      </c>
      <c r="FM298" s="27" t="s">
        <v>8</v>
      </c>
      <c r="FT298" s="27" t="s">
        <v>7</v>
      </c>
      <c r="FU298" s="27" t="s">
        <v>8</v>
      </c>
      <c r="FV298" s="27" t="s">
        <v>7</v>
      </c>
      <c r="GA298" s="27" t="s">
        <v>8</v>
      </c>
      <c r="HJ298" s="27" t="s">
        <v>7</v>
      </c>
      <c r="HN298" s="27" t="s">
        <v>7</v>
      </c>
      <c r="HO298" s="27" t="s">
        <v>8</v>
      </c>
      <c r="HP298" s="27" t="s">
        <v>7</v>
      </c>
      <c r="HQ298" s="27" t="s">
        <v>8</v>
      </c>
      <c r="HR298" s="27" t="s">
        <v>7</v>
      </c>
      <c r="HS298" s="27" t="s">
        <v>8</v>
      </c>
      <c r="HT298" s="27" t="s">
        <v>7</v>
      </c>
      <c r="HU298" s="27" t="s">
        <v>8</v>
      </c>
      <c r="HV298" s="27" t="s">
        <v>7</v>
      </c>
      <c r="HX298" s="27" t="s">
        <v>7</v>
      </c>
      <c r="HY298" s="27" t="s">
        <v>8</v>
      </c>
      <c r="ID298" s="27" t="s">
        <v>7</v>
      </c>
      <c r="IH298" s="27" t="s">
        <v>7</v>
      </c>
      <c r="II298" s="27" t="s">
        <v>8</v>
      </c>
      <c r="IJ298" s="27" t="s">
        <v>7</v>
      </c>
      <c r="IK298" s="27" t="s">
        <v>8</v>
      </c>
      <c r="IL298" s="27" t="s">
        <v>7</v>
      </c>
    </row>
    <row r="299" spans="1:248" x14ac:dyDescent="0.25">
      <c r="A299" s="7">
        <v>299.81231472716911</v>
      </c>
      <c r="B299"/>
      <c r="C299"/>
      <c r="D299"/>
      <c r="E299"/>
      <c r="DE299" s="27" t="s">
        <v>8</v>
      </c>
      <c r="FL299" s="27" t="s">
        <v>7</v>
      </c>
      <c r="FM299" s="27" t="s">
        <v>8</v>
      </c>
      <c r="FT299" s="27" t="s">
        <v>7</v>
      </c>
      <c r="FU299" s="27" t="s">
        <v>8</v>
      </c>
      <c r="FV299" s="27" t="s">
        <v>7</v>
      </c>
      <c r="FW299" s="27" t="s">
        <v>8</v>
      </c>
      <c r="GA299" s="27" t="s">
        <v>8</v>
      </c>
      <c r="HN299" s="27" t="s">
        <v>7</v>
      </c>
      <c r="HO299" s="27" t="s">
        <v>8</v>
      </c>
      <c r="HP299" s="27" t="s">
        <v>7</v>
      </c>
      <c r="HQ299" s="27" t="s">
        <v>8</v>
      </c>
      <c r="HR299" s="27" t="s">
        <v>7</v>
      </c>
      <c r="HS299" s="27" t="s">
        <v>8</v>
      </c>
      <c r="HT299" s="27" t="s">
        <v>7</v>
      </c>
      <c r="HX299" s="27" t="s">
        <v>7</v>
      </c>
      <c r="HY299" s="27" t="s">
        <v>8</v>
      </c>
      <c r="IH299" s="27" t="s">
        <v>7</v>
      </c>
      <c r="IJ299" s="27" t="s">
        <v>7</v>
      </c>
      <c r="IK299" s="27" t="s">
        <v>8</v>
      </c>
      <c r="IL299" s="27" t="s">
        <v>7</v>
      </c>
    </row>
    <row r="300" spans="1:248" x14ac:dyDescent="0.25">
      <c r="A300" s="7">
        <v>293.93364188938148</v>
      </c>
      <c r="B300"/>
      <c r="C300"/>
      <c r="D300"/>
      <c r="E300"/>
      <c r="DE300" s="27" t="s">
        <v>8</v>
      </c>
      <c r="FL300" s="27" t="s">
        <v>7</v>
      </c>
      <c r="FM300" s="27" t="s">
        <v>8</v>
      </c>
      <c r="FT300" s="27" t="s">
        <v>7</v>
      </c>
      <c r="FU300" s="27" t="s">
        <v>8</v>
      </c>
      <c r="FV300" s="27" t="s">
        <v>7</v>
      </c>
      <c r="FW300" s="27" t="s">
        <v>8</v>
      </c>
      <c r="FX300" s="27" t="s">
        <v>7</v>
      </c>
      <c r="GA300" s="27" t="s">
        <v>8</v>
      </c>
      <c r="HN300" s="27" t="s">
        <v>7</v>
      </c>
      <c r="HO300" s="27" t="s">
        <v>8</v>
      </c>
      <c r="HP300" s="27" t="s">
        <v>7</v>
      </c>
      <c r="HQ300" s="27" t="s">
        <v>8</v>
      </c>
      <c r="HR300" s="27" t="s">
        <v>7</v>
      </c>
      <c r="HS300" s="27" t="s">
        <v>8</v>
      </c>
      <c r="HX300" s="27" t="s">
        <v>7</v>
      </c>
      <c r="IJ300" s="27" t="s">
        <v>7</v>
      </c>
      <c r="IK300" s="27" t="s">
        <v>8</v>
      </c>
      <c r="IL300" s="27" t="s">
        <v>7</v>
      </c>
      <c r="IM300" s="27" t="s">
        <v>8</v>
      </c>
    </row>
    <row r="301" spans="1:248" x14ac:dyDescent="0.25">
      <c r="A301" s="7">
        <v>288.17023714645245</v>
      </c>
      <c r="B301"/>
      <c r="C301"/>
      <c r="D301"/>
      <c r="E301"/>
      <c r="DE301" s="27" t="s">
        <v>8</v>
      </c>
      <c r="FL301" s="27" t="s">
        <v>7</v>
      </c>
      <c r="FM301" s="27" t="s">
        <v>8</v>
      </c>
      <c r="FT301" s="27" t="s">
        <v>7</v>
      </c>
      <c r="FU301" s="27" t="s">
        <v>8</v>
      </c>
      <c r="FV301" s="27" t="s">
        <v>7</v>
      </c>
      <c r="FW301" s="27" t="s">
        <v>8</v>
      </c>
      <c r="FX301" s="27" t="s">
        <v>7</v>
      </c>
      <c r="GA301" s="27" t="s">
        <v>8</v>
      </c>
      <c r="HN301" s="27" t="s">
        <v>7</v>
      </c>
      <c r="HO301" s="27" t="s">
        <v>8</v>
      </c>
      <c r="HP301" s="27" t="s">
        <v>7</v>
      </c>
      <c r="HR301" s="27" t="s">
        <v>7</v>
      </c>
      <c r="IJ301" s="27" t="s">
        <v>7</v>
      </c>
      <c r="IL301" s="27" t="s">
        <v>7</v>
      </c>
      <c r="IM301" s="27" t="s">
        <v>8</v>
      </c>
      <c r="IN301" s="27" t="s">
        <v>7</v>
      </c>
    </row>
    <row r="302" spans="1:248" x14ac:dyDescent="0.25">
      <c r="A302" s="7">
        <v>282.51984033965925</v>
      </c>
      <c r="B302"/>
      <c r="C302"/>
      <c r="D302"/>
      <c r="E302"/>
      <c r="DE302" s="27" t="s">
        <v>8</v>
      </c>
      <c r="FL302" s="27" t="s">
        <v>7</v>
      </c>
      <c r="FM302" s="27" t="s">
        <v>8</v>
      </c>
      <c r="FT302" s="27" t="s">
        <v>7</v>
      </c>
      <c r="FV302" s="27" t="s">
        <v>7</v>
      </c>
      <c r="FW302" s="27" t="s">
        <v>8</v>
      </c>
      <c r="FX302" s="27" t="s">
        <v>7</v>
      </c>
      <c r="GA302" s="27" t="s">
        <v>8</v>
      </c>
      <c r="HN302" s="27" t="s">
        <v>7</v>
      </c>
      <c r="IL302" s="27" t="s">
        <v>7</v>
      </c>
      <c r="IM302" s="27" t="s">
        <v>8</v>
      </c>
      <c r="IN302" s="27" t="s">
        <v>7</v>
      </c>
    </row>
    <row r="303" spans="1:248" x14ac:dyDescent="0.25">
      <c r="A303" s="7">
        <v>276.98023562711688</v>
      </c>
      <c r="B303"/>
      <c r="C303"/>
      <c r="D303"/>
      <c r="E303"/>
      <c r="DE303" s="27" t="s">
        <v>8</v>
      </c>
      <c r="FL303" s="27" t="s">
        <v>7</v>
      </c>
      <c r="FM303" s="27" t="s">
        <v>8</v>
      </c>
      <c r="FV303" s="27" t="s">
        <v>7</v>
      </c>
      <c r="FW303" s="27" t="s">
        <v>8</v>
      </c>
      <c r="FX303" s="27" t="s">
        <v>7</v>
      </c>
      <c r="GA303" s="27" t="s">
        <v>8</v>
      </c>
      <c r="IL303" s="27" t="s">
        <v>7</v>
      </c>
      <c r="IM303" s="27" t="s">
        <v>8</v>
      </c>
      <c r="IN303" s="27" t="s">
        <v>7</v>
      </c>
    </row>
    <row r="304" spans="1:248" x14ac:dyDescent="0.25">
      <c r="A304" s="7">
        <v>271.54925061482049</v>
      </c>
      <c r="B304"/>
      <c r="C304"/>
      <c r="D304"/>
      <c r="E304"/>
      <c r="AI304" s="27" t="s">
        <v>8</v>
      </c>
      <c r="DE304" s="27" t="s">
        <v>8</v>
      </c>
      <c r="FL304" s="27" t="s">
        <v>7</v>
      </c>
      <c r="FV304" s="27" t="s">
        <v>7</v>
      </c>
      <c r="FW304" s="27" t="s">
        <v>8</v>
      </c>
      <c r="FX304" s="27" t="s">
        <v>7</v>
      </c>
      <c r="GA304" s="27" t="s">
        <v>8</v>
      </c>
      <c r="IL304" s="27" t="s">
        <v>7</v>
      </c>
      <c r="IM304" s="27" t="s">
        <v>8</v>
      </c>
      <c r="IN304" s="27" t="s">
        <v>7</v>
      </c>
    </row>
    <row r="305" spans="1:269" x14ac:dyDescent="0.25">
      <c r="A305" s="7">
        <v>266.22475550472598</v>
      </c>
      <c r="B305"/>
      <c r="C305"/>
      <c r="D305"/>
      <c r="E305" t="s">
        <v>8</v>
      </c>
      <c r="U305" s="27" t="s">
        <v>8</v>
      </c>
      <c r="AI305" s="27" t="s">
        <v>8</v>
      </c>
      <c r="AJ305" s="27" t="s">
        <v>7</v>
      </c>
      <c r="DE305" s="27" t="s">
        <v>8</v>
      </c>
      <c r="FV305" s="27" t="s">
        <v>7</v>
      </c>
      <c r="FX305" s="27" t="s">
        <v>7</v>
      </c>
      <c r="FY305" s="27" t="s">
        <v>8</v>
      </c>
      <c r="GA305" s="27" t="s">
        <v>8</v>
      </c>
      <c r="IL305" s="27" t="s">
        <v>7</v>
      </c>
      <c r="IM305" s="27" t="s">
        <v>8</v>
      </c>
      <c r="IN305" s="27" t="s">
        <v>7</v>
      </c>
    </row>
    <row r="306" spans="1:269" x14ac:dyDescent="0.25">
      <c r="A306" s="7">
        <v>261.00466225953528</v>
      </c>
      <c r="B306"/>
      <c r="C306"/>
      <c r="D306"/>
      <c r="E306" t="s">
        <v>8</v>
      </c>
      <c r="F306" s="27" t="s">
        <v>7</v>
      </c>
      <c r="U306" s="27" t="s">
        <v>8</v>
      </c>
      <c r="V306" s="27" t="s">
        <v>7</v>
      </c>
      <c r="AI306" s="27" t="s">
        <v>8</v>
      </c>
      <c r="AJ306" s="27" t="s">
        <v>7</v>
      </c>
      <c r="DE306" s="27" t="s">
        <v>8</v>
      </c>
      <c r="FX306" s="27" t="s">
        <v>7</v>
      </c>
      <c r="FY306" s="27" t="s">
        <v>8</v>
      </c>
      <c r="FZ306" s="27" t="s">
        <v>7</v>
      </c>
      <c r="GA306" s="27" t="s">
        <v>8</v>
      </c>
      <c r="IL306" s="27" t="s">
        <v>7</v>
      </c>
      <c r="IM306" s="27" t="s">
        <v>8</v>
      </c>
      <c r="IN306" s="27" t="s">
        <v>7</v>
      </c>
    </row>
    <row r="307" spans="1:269" x14ac:dyDescent="0.25">
      <c r="A307" s="7">
        <v>255.88692378385809</v>
      </c>
      <c r="B307"/>
      <c r="C307"/>
      <c r="D307"/>
      <c r="E307" t="s">
        <v>8</v>
      </c>
      <c r="F307" s="27" t="s">
        <v>7</v>
      </c>
      <c r="U307" s="27" t="s">
        <v>8</v>
      </c>
      <c r="V307" s="27" t="s">
        <v>7</v>
      </c>
      <c r="AI307" s="27" t="s">
        <v>8</v>
      </c>
      <c r="AJ307" s="27" t="s">
        <v>7</v>
      </c>
      <c r="DC307" s="27" t="s">
        <v>8</v>
      </c>
      <c r="DE307" s="27" t="s">
        <v>8</v>
      </c>
      <c r="FX307" s="27" t="s">
        <v>7</v>
      </c>
      <c r="FY307" s="27" t="s">
        <v>8</v>
      </c>
      <c r="FZ307" s="27" t="s">
        <v>7</v>
      </c>
      <c r="GA307" s="27" t="s">
        <v>8</v>
      </c>
      <c r="IL307" s="27" t="s">
        <v>7</v>
      </c>
      <c r="IM307" s="27" t="s">
        <v>8</v>
      </c>
      <c r="IN307" s="27" t="s">
        <v>7</v>
      </c>
    </row>
    <row r="308" spans="1:269" x14ac:dyDescent="0.25">
      <c r="A308" s="7">
        <v>250.8695331214295</v>
      </c>
      <c r="B308"/>
      <c r="C308"/>
      <c r="D308"/>
      <c r="E308" t="s">
        <v>8</v>
      </c>
      <c r="F308" s="27" t="s">
        <v>7</v>
      </c>
      <c r="G308" s="27" t="s">
        <v>8</v>
      </c>
      <c r="U308" s="27" t="s">
        <v>8</v>
      </c>
      <c r="V308" s="27" t="s">
        <v>7</v>
      </c>
      <c r="AI308" s="27" t="s">
        <v>8</v>
      </c>
      <c r="AJ308" s="27" t="s">
        <v>7</v>
      </c>
      <c r="DC308" s="27" t="s">
        <v>8</v>
      </c>
      <c r="DD308" s="27" t="s">
        <v>7</v>
      </c>
      <c r="DE308" s="27" t="s">
        <v>8</v>
      </c>
      <c r="FX308" s="27" t="s">
        <v>7</v>
      </c>
      <c r="FY308" s="27" t="s">
        <v>8</v>
      </c>
      <c r="FZ308" s="27" t="s">
        <v>7</v>
      </c>
      <c r="GA308" s="27" t="s">
        <v>8</v>
      </c>
      <c r="IL308" s="27" t="s">
        <v>7</v>
      </c>
      <c r="IM308" s="27" t="s">
        <v>8</v>
      </c>
      <c r="IN308" s="27" t="s">
        <v>7</v>
      </c>
    </row>
    <row r="309" spans="1:269" x14ac:dyDescent="0.25">
      <c r="A309" s="7">
        <v>245.95052266806812</v>
      </c>
      <c r="B309"/>
      <c r="C309"/>
      <c r="D309"/>
      <c r="E309" t="s">
        <v>8</v>
      </c>
      <c r="F309" s="27" t="s">
        <v>7</v>
      </c>
      <c r="G309" s="27" t="s">
        <v>8</v>
      </c>
      <c r="H309" s="27" t="s">
        <v>7</v>
      </c>
      <c r="U309" s="27" t="s">
        <v>8</v>
      </c>
      <c r="V309" s="27" t="s">
        <v>7</v>
      </c>
      <c r="AI309" s="27" t="s">
        <v>8</v>
      </c>
      <c r="AJ309" s="27" t="s">
        <v>7</v>
      </c>
      <c r="DC309" s="27" t="s">
        <v>8</v>
      </c>
      <c r="DD309" s="27" t="s">
        <v>7</v>
      </c>
      <c r="DE309" s="27" t="s">
        <v>8</v>
      </c>
      <c r="FX309" s="27" t="s">
        <v>7</v>
      </c>
      <c r="FY309" s="27" t="s">
        <v>8</v>
      </c>
      <c r="FZ309" s="27" t="s">
        <v>7</v>
      </c>
      <c r="GA309" s="27" t="s">
        <v>8</v>
      </c>
      <c r="IL309" s="27" t="s">
        <v>7</v>
      </c>
      <c r="IN309" s="27" t="s">
        <v>7</v>
      </c>
      <c r="JA309" s="27" t="s">
        <v>8</v>
      </c>
    </row>
    <row r="310" spans="1:269" x14ac:dyDescent="0.25">
      <c r="A310" s="7">
        <v>241.12796340006679</v>
      </c>
      <c r="B310"/>
      <c r="C310"/>
      <c r="D310"/>
      <c r="E310" t="s">
        <v>8</v>
      </c>
      <c r="F310" s="27" t="s">
        <v>7</v>
      </c>
      <c r="G310" s="27" t="s">
        <v>8</v>
      </c>
      <c r="H310" s="27" t="s">
        <v>7</v>
      </c>
      <c r="U310" s="27" t="s">
        <v>8</v>
      </c>
      <c r="V310" s="27" t="s">
        <v>7</v>
      </c>
      <c r="AI310" s="27" t="s">
        <v>8</v>
      </c>
      <c r="AJ310" s="27" t="s">
        <v>7</v>
      </c>
      <c r="DC310" s="27" t="s">
        <v>8</v>
      </c>
      <c r="DD310" s="27" t="s">
        <v>7</v>
      </c>
      <c r="DE310" s="27" t="s">
        <v>8</v>
      </c>
      <c r="FX310" s="27" t="s">
        <v>7</v>
      </c>
      <c r="FY310" s="27" t="s">
        <v>8</v>
      </c>
      <c r="FZ310" s="27" t="s">
        <v>7</v>
      </c>
      <c r="GA310" s="27" t="s">
        <v>8</v>
      </c>
      <c r="IN310" s="27" t="s">
        <v>7</v>
      </c>
      <c r="IY310" s="27" t="s">
        <v>8</v>
      </c>
      <c r="JA310" s="27" t="s">
        <v>8</v>
      </c>
      <c r="JB310" s="27" t="s">
        <v>7</v>
      </c>
      <c r="JC310" s="27" t="s">
        <v>8</v>
      </c>
    </row>
    <row r="311" spans="1:269" x14ac:dyDescent="0.25">
      <c r="A311" s="7">
        <v>236.39996411771253</v>
      </c>
      <c r="B311"/>
      <c r="C311"/>
      <c r="D311"/>
      <c r="E311" t="s">
        <v>8</v>
      </c>
      <c r="F311" s="27" t="s">
        <v>7</v>
      </c>
      <c r="G311" s="27" t="s">
        <v>8</v>
      </c>
      <c r="H311" s="27" t="s">
        <v>7</v>
      </c>
      <c r="U311" s="27" t="s">
        <v>8</v>
      </c>
      <c r="V311" s="27" t="s">
        <v>7</v>
      </c>
      <c r="AI311" s="27" t="s">
        <v>8</v>
      </c>
      <c r="AJ311" s="27" t="s">
        <v>7</v>
      </c>
      <c r="DA311" s="27" t="s">
        <v>8</v>
      </c>
      <c r="DC311" s="27" t="s">
        <v>8</v>
      </c>
      <c r="DD311" s="27" t="s">
        <v>7</v>
      </c>
      <c r="DE311" s="27" t="s">
        <v>8</v>
      </c>
      <c r="FX311" s="27" t="s">
        <v>7</v>
      </c>
      <c r="FY311" s="27" t="s">
        <v>8</v>
      </c>
      <c r="FZ311" s="27" t="s">
        <v>7</v>
      </c>
      <c r="GA311" s="27" t="s">
        <v>8</v>
      </c>
      <c r="IN311" s="27" t="s">
        <v>7</v>
      </c>
      <c r="IW311" s="27" t="s">
        <v>8</v>
      </c>
      <c r="IY311" s="27" t="s">
        <v>8</v>
      </c>
      <c r="IZ311" s="27" t="s">
        <v>7</v>
      </c>
      <c r="JA311" s="27" t="s">
        <v>8</v>
      </c>
      <c r="JB311" s="27" t="s">
        <v>7</v>
      </c>
      <c r="JC311" s="27" t="s">
        <v>8</v>
      </c>
      <c r="JD311" s="27" t="s">
        <v>7</v>
      </c>
    </row>
    <row r="312" spans="1:269" x14ac:dyDescent="0.25">
      <c r="A312" s="7">
        <v>231.76467070363972</v>
      </c>
      <c r="B312"/>
      <c r="C312"/>
      <c r="D312"/>
      <c r="E312" t="s">
        <v>8</v>
      </c>
      <c r="F312" s="27" t="s">
        <v>7</v>
      </c>
      <c r="G312" s="27" t="s">
        <v>8</v>
      </c>
      <c r="H312" s="27" t="s">
        <v>7</v>
      </c>
      <c r="U312" s="27" t="s">
        <v>8</v>
      </c>
      <c r="V312" s="27" t="s">
        <v>7</v>
      </c>
      <c r="AI312" s="27" t="s">
        <v>8</v>
      </c>
      <c r="AJ312" s="27" t="s">
        <v>7</v>
      </c>
      <c r="DA312" s="27" t="s">
        <v>8</v>
      </c>
      <c r="DB312" s="27" t="s">
        <v>7</v>
      </c>
      <c r="DC312" s="27" t="s">
        <v>8</v>
      </c>
      <c r="DD312" s="27" t="s">
        <v>7</v>
      </c>
      <c r="DE312" s="27" t="s">
        <v>8</v>
      </c>
      <c r="FX312" s="27" t="s">
        <v>7</v>
      </c>
      <c r="FY312" s="27" t="s">
        <v>8</v>
      </c>
      <c r="FZ312" s="27" t="s">
        <v>7</v>
      </c>
      <c r="GA312" s="27" t="s">
        <v>8</v>
      </c>
      <c r="IN312" s="27" t="s">
        <v>7</v>
      </c>
      <c r="IW312" s="27" t="s">
        <v>8</v>
      </c>
      <c r="IX312" s="27" t="s">
        <v>7</v>
      </c>
      <c r="IY312" s="27" t="s">
        <v>8</v>
      </c>
      <c r="IZ312" s="27" t="s">
        <v>7</v>
      </c>
      <c r="JA312" s="27" t="s">
        <v>8</v>
      </c>
      <c r="JB312" s="27" t="s">
        <v>7</v>
      </c>
      <c r="JC312" s="27" t="s">
        <v>8</v>
      </c>
      <c r="JD312" s="27" t="s">
        <v>7</v>
      </c>
    </row>
    <row r="313" spans="1:269" x14ac:dyDescent="0.25">
      <c r="A313" s="7">
        <v>227.22026539572522</v>
      </c>
      <c r="B313"/>
      <c r="C313"/>
      <c r="D313"/>
      <c r="E313" t="s">
        <v>8</v>
      </c>
      <c r="F313" s="27" t="s">
        <v>7</v>
      </c>
      <c r="G313" s="27" t="s">
        <v>8</v>
      </c>
      <c r="H313" s="27" t="s">
        <v>7</v>
      </c>
      <c r="U313" s="27" t="s">
        <v>8</v>
      </c>
      <c r="V313" s="27" t="s">
        <v>7</v>
      </c>
      <c r="AI313" s="27" t="s">
        <v>8</v>
      </c>
      <c r="AJ313" s="27" t="s">
        <v>7</v>
      </c>
      <c r="DA313" s="27" t="s">
        <v>8</v>
      </c>
      <c r="DB313" s="27" t="s">
        <v>7</v>
      </c>
      <c r="DC313" s="27" t="s">
        <v>8</v>
      </c>
      <c r="DD313" s="27" t="s">
        <v>7</v>
      </c>
      <c r="DE313" s="27" t="s">
        <v>8</v>
      </c>
      <c r="FX313" s="27" t="s">
        <v>7</v>
      </c>
      <c r="FY313" s="27" t="s">
        <v>8</v>
      </c>
      <c r="FZ313" s="27" t="s">
        <v>7</v>
      </c>
      <c r="GA313" s="27" t="s">
        <v>8</v>
      </c>
      <c r="IN313" s="27" t="s">
        <v>7</v>
      </c>
      <c r="IQ313" s="27" t="s">
        <v>8</v>
      </c>
      <c r="IW313" s="27" t="s">
        <v>8</v>
      </c>
      <c r="IX313" s="27" t="s">
        <v>7</v>
      </c>
      <c r="IY313" s="27" t="s">
        <v>8</v>
      </c>
      <c r="IZ313" s="27" t="s">
        <v>7</v>
      </c>
      <c r="JA313" s="27" t="s">
        <v>8</v>
      </c>
      <c r="JB313" s="27" t="s">
        <v>7</v>
      </c>
      <c r="JC313" s="27" t="s">
        <v>8</v>
      </c>
      <c r="JD313" s="27" t="s">
        <v>7</v>
      </c>
    </row>
    <row r="314" spans="1:269" x14ac:dyDescent="0.25">
      <c r="A314" s="7">
        <v>222.76496607424042</v>
      </c>
      <c r="B314"/>
      <c r="C314"/>
      <c r="D314"/>
      <c r="E314" t="s">
        <v>8</v>
      </c>
      <c r="F314" s="27" t="s">
        <v>7</v>
      </c>
      <c r="H314" s="27" t="s">
        <v>7</v>
      </c>
      <c r="U314" s="27" t="s">
        <v>8</v>
      </c>
      <c r="V314" s="27" t="s">
        <v>7</v>
      </c>
      <c r="AI314" s="27" t="s">
        <v>8</v>
      </c>
      <c r="AJ314" s="27" t="s">
        <v>7</v>
      </c>
      <c r="CY314" s="27" t="s">
        <v>8</v>
      </c>
      <c r="DA314" s="27" t="s">
        <v>8</v>
      </c>
      <c r="DB314" s="27" t="s">
        <v>7</v>
      </c>
      <c r="DC314" s="27" t="s">
        <v>8</v>
      </c>
      <c r="DD314" s="27" t="s">
        <v>7</v>
      </c>
      <c r="DE314" s="27" t="s">
        <v>8</v>
      </c>
      <c r="FX314" s="27" t="s">
        <v>7</v>
      </c>
      <c r="FY314" s="27" t="s">
        <v>8</v>
      </c>
      <c r="FZ314" s="27" t="s">
        <v>7</v>
      </c>
      <c r="GA314" s="27" t="s">
        <v>8</v>
      </c>
      <c r="IN314" s="27" t="s">
        <v>7</v>
      </c>
      <c r="IO314" s="27" t="s">
        <v>8</v>
      </c>
      <c r="IQ314" s="27" t="s">
        <v>8</v>
      </c>
      <c r="IR314" s="27" t="s">
        <v>7</v>
      </c>
      <c r="IW314" s="27" t="s">
        <v>8</v>
      </c>
      <c r="IX314" s="27" t="s">
        <v>7</v>
      </c>
      <c r="IZ314" s="27" t="s">
        <v>7</v>
      </c>
      <c r="JB314" s="27" t="s">
        <v>7</v>
      </c>
      <c r="JC314" s="27" t="s">
        <v>8</v>
      </c>
      <c r="JD314" s="27" t="s">
        <v>7</v>
      </c>
    </row>
    <row r="315" spans="1:269" x14ac:dyDescent="0.25">
      <c r="A315" s="7">
        <v>218.39702556298079</v>
      </c>
      <c r="B315"/>
      <c r="C315"/>
      <c r="D315"/>
      <c r="E315" t="s">
        <v>8</v>
      </c>
      <c r="H315" s="27" t="s">
        <v>7</v>
      </c>
      <c r="I315" s="27" t="s">
        <v>8</v>
      </c>
      <c r="U315" s="27" t="s">
        <v>8</v>
      </c>
      <c r="V315" s="27" t="s">
        <v>7</v>
      </c>
      <c r="AI315" s="27" t="s">
        <v>8</v>
      </c>
      <c r="AJ315" s="27" t="s">
        <v>7</v>
      </c>
      <c r="CY315" s="27" t="s">
        <v>8</v>
      </c>
      <c r="CZ315" s="27" t="s">
        <v>7</v>
      </c>
      <c r="DA315" s="27" t="s">
        <v>8</v>
      </c>
      <c r="DB315" s="27" t="s">
        <v>7</v>
      </c>
      <c r="DC315" s="27" t="s">
        <v>8</v>
      </c>
      <c r="DD315" s="27" t="s">
        <v>7</v>
      </c>
      <c r="DE315" s="27" t="s">
        <v>8</v>
      </c>
      <c r="FX315" s="27" t="s">
        <v>7</v>
      </c>
      <c r="FY315" s="27" t="s">
        <v>8</v>
      </c>
      <c r="FZ315" s="27" t="s">
        <v>7</v>
      </c>
      <c r="GA315" s="27" t="s">
        <v>8</v>
      </c>
      <c r="IN315" s="27" t="s">
        <v>7</v>
      </c>
      <c r="IO315" s="27" t="s">
        <v>8</v>
      </c>
      <c r="IP315" s="27" t="s">
        <v>7</v>
      </c>
      <c r="IQ315" s="27" t="s">
        <v>8</v>
      </c>
      <c r="IR315" s="27" t="s">
        <v>7</v>
      </c>
      <c r="IW315" s="27" t="s">
        <v>8</v>
      </c>
      <c r="JB315" s="27" t="s">
        <v>7</v>
      </c>
      <c r="JC315" s="27" t="s">
        <v>8</v>
      </c>
      <c r="JD315" s="27" t="s">
        <v>7</v>
      </c>
    </row>
    <row r="316" spans="1:269" x14ac:dyDescent="0.25">
      <c r="A316" s="7">
        <v>214.1147309440988</v>
      </c>
      <c r="B316"/>
      <c r="C316"/>
      <c r="D316"/>
      <c r="E316" t="s">
        <v>8</v>
      </c>
      <c r="H316" s="27" t="s">
        <v>7</v>
      </c>
      <c r="I316" s="27" t="s">
        <v>8</v>
      </c>
      <c r="J316" s="27" t="s">
        <v>7</v>
      </c>
      <c r="U316" s="27" t="s">
        <v>8</v>
      </c>
      <c r="V316" s="27" t="s">
        <v>7</v>
      </c>
      <c r="W316" s="27" t="s">
        <v>8</v>
      </c>
      <c r="AI316" s="27" t="s">
        <v>8</v>
      </c>
      <c r="AJ316" s="27" t="s">
        <v>7</v>
      </c>
      <c r="CY316" s="27" t="s">
        <v>8</v>
      </c>
      <c r="CZ316" s="27" t="s">
        <v>7</v>
      </c>
      <c r="DA316" s="27" t="s">
        <v>8</v>
      </c>
      <c r="DB316" s="27" t="s">
        <v>7</v>
      </c>
      <c r="DC316" s="27" t="s">
        <v>8</v>
      </c>
      <c r="DD316" s="27" t="s">
        <v>7</v>
      </c>
      <c r="DE316" s="27" t="s">
        <v>8</v>
      </c>
      <c r="FX316" s="27" t="s">
        <v>7</v>
      </c>
      <c r="FY316" s="27" t="s">
        <v>8</v>
      </c>
      <c r="FZ316" s="27" t="s">
        <v>7</v>
      </c>
      <c r="IN316" s="27" t="s">
        <v>7</v>
      </c>
      <c r="IO316" s="27" t="s">
        <v>8</v>
      </c>
      <c r="IP316" s="27" t="s">
        <v>7</v>
      </c>
      <c r="IQ316" s="27" t="s">
        <v>8</v>
      </c>
      <c r="IR316" s="27" t="s">
        <v>7</v>
      </c>
      <c r="IU316" s="27" t="s">
        <v>8</v>
      </c>
      <c r="IW316" s="27" t="s">
        <v>8</v>
      </c>
      <c r="JB316" s="27" t="s">
        <v>7</v>
      </c>
      <c r="JC316" s="27" t="s">
        <v>8</v>
      </c>
      <c r="JD316" s="27" t="s">
        <v>7</v>
      </c>
    </row>
    <row r="317" spans="1:269" x14ac:dyDescent="0.25">
      <c r="A317" s="7">
        <v>209.91640288637137</v>
      </c>
      <c r="B317"/>
      <c r="C317"/>
      <c r="D317"/>
      <c r="E317" t="s">
        <v>8</v>
      </c>
      <c r="H317" s="27" t="s">
        <v>7</v>
      </c>
      <c r="I317" s="27" t="s">
        <v>8</v>
      </c>
      <c r="J317" s="27" t="s">
        <v>7</v>
      </c>
      <c r="U317" s="27" t="s">
        <v>8</v>
      </c>
      <c r="V317" s="27" t="s">
        <v>7</v>
      </c>
      <c r="W317" s="27" t="s">
        <v>8</v>
      </c>
      <c r="X317" s="27" t="s">
        <v>7</v>
      </c>
      <c r="AA317" s="27" t="s">
        <v>8</v>
      </c>
      <c r="AI317" s="27" t="s">
        <v>8</v>
      </c>
      <c r="AJ317" s="27" t="s">
        <v>7</v>
      </c>
      <c r="CY317" s="27" t="s">
        <v>8</v>
      </c>
      <c r="CZ317" s="27" t="s">
        <v>7</v>
      </c>
      <c r="DA317" s="27" t="s">
        <v>8</v>
      </c>
      <c r="DB317" s="27" t="s">
        <v>7</v>
      </c>
      <c r="DC317" s="27" t="s">
        <v>8</v>
      </c>
      <c r="DD317" s="27" t="s">
        <v>7</v>
      </c>
      <c r="DE317" s="27" t="s">
        <v>8</v>
      </c>
      <c r="FX317" s="27" t="s">
        <v>7</v>
      </c>
      <c r="FY317" s="27" t="s">
        <v>8</v>
      </c>
      <c r="IN317" s="27" t="s">
        <v>7</v>
      </c>
      <c r="IO317" s="27" t="s">
        <v>8</v>
      </c>
      <c r="IP317" s="27" t="s">
        <v>7</v>
      </c>
      <c r="IQ317" s="27" t="s">
        <v>8</v>
      </c>
      <c r="IR317" s="27" t="s">
        <v>7</v>
      </c>
      <c r="IU317" s="27" t="s">
        <v>8</v>
      </c>
      <c r="IV317" s="27" t="s">
        <v>7</v>
      </c>
      <c r="IW317" s="27" t="s">
        <v>8</v>
      </c>
      <c r="JB317" s="27" t="s">
        <v>7</v>
      </c>
      <c r="JC317" s="27" t="s">
        <v>8</v>
      </c>
      <c r="JD317" s="27" t="s">
        <v>7</v>
      </c>
    </row>
    <row r="318" spans="1:269" x14ac:dyDescent="0.25">
      <c r="A318" s="7">
        <v>205.80039498663859</v>
      </c>
      <c r="B318"/>
      <c r="C318"/>
      <c r="D318"/>
      <c r="E318" t="s">
        <v>8</v>
      </c>
      <c r="H318" s="27" t="s">
        <v>7</v>
      </c>
      <c r="I318" s="27" t="s">
        <v>8</v>
      </c>
      <c r="J318" s="27" t="s">
        <v>7</v>
      </c>
      <c r="U318" s="27" t="s">
        <v>8</v>
      </c>
      <c r="V318" s="27" t="s">
        <v>7</v>
      </c>
      <c r="W318" s="27" t="s">
        <v>8</v>
      </c>
      <c r="X318" s="27" t="s">
        <v>7</v>
      </c>
      <c r="Y318" s="27" t="s">
        <v>8</v>
      </c>
      <c r="AA318" s="27" t="s">
        <v>8</v>
      </c>
      <c r="AB318" s="27" t="s">
        <v>7</v>
      </c>
      <c r="AI318" s="27" t="s">
        <v>8</v>
      </c>
      <c r="AJ318" s="27" t="s">
        <v>7</v>
      </c>
      <c r="CW318" s="27" t="s">
        <v>8</v>
      </c>
      <c r="CY318" s="27" t="s">
        <v>8</v>
      </c>
      <c r="CZ318" s="27" t="s">
        <v>7</v>
      </c>
      <c r="DA318" s="27" t="s">
        <v>8</v>
      </c>
      <c r="DB318" s="27" t="s">
        <v>7</v>
      </c>
      <c r="DC318" s="27" t="s">
        <v>8</v>
      </c>
      <c r="DD318" s="27" t="s">
        <v>7</v>
      </c>
      <c r="FX318" s="27" t="s">
        <v>7</v>
      </c>
      <c r="FY318" s="27" t="s">
        <v>8</v>
      </c>
      <c r="IN318" s="27" t="s">
        <v>7</v>
      </c>
      <c r="IO318" s="27" t="s">
        <v>8</v>
      </c>
      <c r="IP318" s="27" t="s">
        <v>7</v>
      </c>
      <c r="IQ318" s="27" t="s">
        <v>8</v>
      </c>
      <c r="IR318" s="27" t="s">
        <v>7</v>
      </c>
      <c r="IU318" s="27" t="s">
        <v>8</v>
      </c>
      <c r="IV318" s="27" t="s">
        <v>7</v>
      </c>
      <c r="IW318" s="27" t="s">
        <v>8</v>
      </c>
      <c r="JB318" s="27" t="s">
        <v>7</v>
      </c>
      <c r="JC318" s="27" t="s">
        <v>8</v>
      </c>
      <c r="JD318" s="27" t="s">
        <v>7</v>
      </c>
    </row>
    <row r="319" spans="1:269" x14ac:dyDescent="0.25">
      <c r="A319" s="7">
        <v>201.76509312415547</v>
      </c>
      <c r="B319"/>
      <c r="C319"/>
      <c r="D319"/>
      <c r="E319" t="s">
        <v>8</v>
      </c>
      <c r="H319" s="27" t="s">
        <v>7</v>
      </c>
      <c r="I319" s="27" t="s">
        <v>8</v>
      </c>
      <c r="J319" s="27" t="s">
        <v>7</v>
      </c>
      <c r="U319" s="27" t="s">
        <v>8</v>
      </c>
      <c r="V319" s="27" t="s">
        <v>7</v>
      </c>
      <c r="W319" s="27" t="s">
        <v>8</v>
      </c>
      <c r="X319" s="27" t="s">
        <v>7</v>
      </c>
      <c r="Y319" s="27" t="s">
        <v>8</v>
      </c>
      <c r="Z319" s="27" t="s">
        <v>7</v>
      </c>
      <c r="AA319" s="27" t="s">
        <v>8</v>
      </c>
      <c r="AB319" s="27" t="s">
        <v>7</v>
      </c>
      <c r="AG319" s="27" t="s">
        <v>8</v>
      </c>
      <c r="AI319" s="27" t="s">
        <v>8</v>
      </c>
      <c r="AJ319" s="27" t="s">
        <v>7</v>
      </c>
      <c r="CW319" s="27" t="s">
        <v>8</v>
      </c>
      <c r="CX319" s="27" t="s">
        <v>7</v>
      </c>
      <c r="CY319" s="27" t="s">
        <v>8</v>
      </c>
      <c r="CZ319" s="27" t="s">
        <v>7</v>
      </c>
      <c r="DA319" s="27" t="s">
        <v>8</v>
      </c>
      <c r="DB319" s="27" t="s">
        <v>7</v>
      </c>
      <c r="DC319" s="27" t="s">
        <v>8</v>
      </c>
      <c r="FX319" s="27" t="s">
        <v>7</v>
      </c>
      <c r="FY319" s="27" t="s">
        <v>8</v>
      </c>
      <c r="IN319" s="27" t="s">
        <v>7</v>
      </c>
      <c r="IO319" s="27" t="s">
        <v>8</v>
      </c>
      <c r="IP319" s="27" t="s">
        <v>7</v>
      </c>
      <c r="IQ319" s="27" t="s">
        <v>8</v>
      </c>
      <c r="IR319" s="27" t="s">
        <v>7</v>
      </c>
      <c r="IS319" s="27" t="s">
        <v>8</v>
      </c>
      <c r="IU319" s="27" t="s">
        <v>8</v>
      </c>
      <c r="IV319" s="27" t="s">
        <v>7</v>
      </c>
      <c r="IW319" s="27" t="s">
        <v>8</v>
      </c>
      <c r="JB319" s="27" t="s">
        <v>7</v>
      </c>
      <c r="JC319" s="27" t="s">
        <v>8</v>
      </c>
      <c r="JD319" s="27" t="s">
        <v>7</v>
      </c>
      <c r="JG319" s="27" t="s">
        <v>8</v>
      </c>
    </row>
    <row r="320" spans="1:269" x14ac:dyDescent="0.25">
      <c r="A320" s="7">
        <v>197.80891482760339</v>
      </c>
      <c r="B320"/>
      <c r="C320"/>
      <c r="D320"/>
      <c r="E320" t="s">
        <v>8</v>
      </c>
      <c r="H320" s="27" t="s">
        <v>7</v>
      </c>
      <c r="I320" s="27" t="s">
        <v>8</v>
      </c>
      <c r="J320" s="27" t="s">
        <v>7</v>
      </c>
      <c r="U320" s="27" t="s">
        <v>8</v>
      </c>
      <c r="V320" s="27" t="s">
        <v>7</v>
      </c>
      <c r="W320" s="27" t="s">
        <v>8</v>
      </c>
      <c r="X320" s="27" t="s">
        <v>7</v>
      </c>
      <c r="Y320" s="27" t="s">
        <v>8</v>
      </c>
      <c r="Z320" s="27" t="s">
        <v>7</v>
      </c>
      <c r="AA320" s="27" t="s">
        <v>8</v>
      </c>
      <c r="AB320" s="27" t="s">
        <v>7</v>
      </c>
      <c r="AG320" s="27" t="s">
        <v>8</v>
      </c>
      <c r="AH320" s="27" t="s">
        <v>7</v>
      </c>
      <c r="AI320" s="27" t="s">
        <v>8</v>
      </c>
      <c r="AJ320" s="27" t="s">
        <v>7</v>
      </c>
      <c r="CW320" s="27" t="s">
        <v>8</v>
      </c>
      <c r="CX320" s="27" t="s">
        <v>7</v>
      </c>
      <c r="CY320" s="27" t="s">
        <v>8</v>
      </c>
      <c r="CZ320" s="27" t="s">
        <v>7</v>
      </c>
      <c r="DA320" s="27" t="s">
        <v>8</v>
      </c>
      <c r="DB320" s="27" t="s">
        <v>7</v>
      </c>
      <c r="DC320" s="27" t="s">
        <v>8</v>
      </c>
      <c r="FX320" s="27" t="s">
        <v>7</v>
      </c>
      <c r="IN320" s="27" t="s">
        <v>7</v>
      </c>
      <c r="IO320" s="27" t="s">
        <v>8</v>
      </c>
      <c r="IP320" s="27" t="s">
        <v>7</v>
      </c>
      <c r="IQ320" s="27" t="s">
        <v>8</v>
      </c>
      <c r="IR320" s="27" t="s">
        <v>7</v>
      </c>
      <c r="IS320" s="27" t="s">
        <v>8</v>
      </c>
      <c r="IT320" s="27" t="s">
        <v>7</v>
      </c>
      <c r="IU320" s="27" t="s">
        <v>8</v>
      </c>
      <c r="IV320" s="27" t="s">
        <v>7</v>
      </c>
      <c r="IW320" s="27" t="s">
        <v>8</v>
      </c>
      <c r="JB320" s="27" t="s">
        <v>7</v>
      </c>
      <c r="JC320" s="27" t="s">
        <v>8</v>
      </c>
      <c r="JD320" s="27" t="s">
        <v>7</v>
      </c>
      <c r="JE320" s="27" t="s">
        <v>8</v>
      </c>
      <c r="JG320" s="27" t="s">
        <v>8</v>
      </c>
      <c r="JH320" s="27" t="s">
        <v>7</v>
      </c>
      <c r="JI320" s="27" t="s">
        <v>8</v>
      </c>
    </row>
    <row r="321" spans="1:270" x14ac:dyDescent="0.25">
      <c r="A321" s="7">
        <v>193.93030865451311</v>
      </c>
      <c r="B321"/>
      <c r="C321"/>
      <c r="D321"/>
      <c r="E321" t="s">
        <v>8</v>
      </c>
      <c r="H321" s="27" t="s">
        <v>7</v>
      </c>
      <c r="I321" s="27" t="s">
        <v>8</v>
      </c>
      <c r="J321" s="27" t="s">
        <v>7</v>
      </c>
      <c r="U321" s="27" t="s">
        <v>8</v>
      </c>
      <c r="V321" s="27" t="s">
        <v>7</v>
      </c>
      <c r="W321" s="27" t="s">
        <v>8</v>
      </c>
      <c r="X321" s="27" t="s">
        <v>7</v>
      </c>
      <c r="Y321" s="27" t="s">
        <v>8</v>
      </c>
      <c r="Z321" s="27" t="s">
        <v>7</v>
      </c>
      <c r="AA321" s="27" t="s">
        <v>8</v>
      </c>
      <c r="AB321" s="27" t="s">
        <v>7</v>
      </c>
      <c r="AG321" s="27" t="s">
        <v>8</v>
      </c>
      <c r="AH321" s="27" t="s">
        <v>7</v>
      </c>
      <c r="AI321" s="27" t="s">
        <v>8</v>
      </c>
      <c r="AJ321" s="27" t="s">
        <v>7</v>
      </c>
      <c r="CW321" s="27" t="s">
        <v>8</v>
      </c>
      <c r="CX321" s="27" t="s">
        <v>7</v>
      </c>
      <c r="CY321" s="27" t="s">
        <v>8</v>
      </c>
      <c r="CZ321" s="27" t="s">
        <v>7</v>
      </c>
      <c r="DA321" s="27" t="s">
        <v>8</v>
      </c>
      <c r="DB321" s="27" t="s">
        <v>7</v>
      </c>
      <c r="DC321" s="27" t="s">
        <v>8</v>
      </c>
      <c r="IN321" s="27" t="s">
        <v>7</v>
      </c>
      <c r="IO321" s="27" t="s">
        <v>8</v>
      </c>
      <c r="IP321" s="27" t="s">
        <v>7</v>
      </c>
      <c r="IR321" s="27" t="s">
        <v>7</v>
      </c>
      <c r="IS321" s="27" t="s">
        <v>8</v>
      </c>
      <c r="IT321" s="27" t="s">
        <v>7</v>
      </c>
      <c r="IU321" s="27" t="s">
        <v>8</v>
      </c>
      <c r="IV321" s="27" t="s">
        <v>7</v>
      </c>
      <c r="IW321" s="27" t="s">
        <v>8</v>
      </c>
      <c r="JB321" s="27" t="s">
        <v>7</v>
      </c>
      <c r="JD321" s="27" t="s">
        <v>7</v>
      </c>
      <c r="JE321" s="27" t="s">
        <v>8</v>
      </c>
      <c r="JF321" s="27" t="s">
        <v>7</v>
      </c>
      <c r="JG321" s="27" t="s">
        <v>8</v>
      </c>
      <c r="JH321" s="27" t="s">
        <v>7</v>
      </c>
      <c r="JI321" s="27" t="s">
        <v>8</v>
      </c>
      <c r="JJ321" s="27" t="s">
        <v>7</v>
      </c>
    </row>
    <row r="322" spans="1:270" x14ac:dyDescent="0.25">
      <c r="A322" s="7">
        <v>190.127753582856</v>
      </c>
      <c r="B322"/>
      <c r="C322"/>
      <c r="D322"/>
      <c r="E322" t="s">
        <v>8</v>
      </c>
      <c r="H322" s="27" t="s">
        <v>7</v>
      </c>
      <c r="I322" s="27" t="s">
        <v>8</v>
      </c>
      <c r="J322" s="27" t="s">
        <v>7</v>
      </c>
      <c r="U322" s="27" t="s">
        <v>8</v>
      </c>
      <c r="V322" s="27" t="s">
        <v>7</v>
      </c>
      <c r="W322" s="27" t="s">
        <v>8</v>
      </c>
      <c r="X322" s="27" t="s">
        <v>7</v>
      </c>
      <c r="Z322" s="27" t="s">
        <v>7</v>
      </c>
      <c r="AA322" s="27" t="s">
        <v>8</v>
      </c>
      <c r="AB322" s="27" t="s">
        <v>7</v>
      </c>
      <c r="AG322" s="27" t="s">
        <v>8</v>
      </c>
      <c r="AH322" s="27" t="s">
        <v>7</v>
      </c>
      <c r="AI322" s="27" t="s">
        <v>8</v>
      </c>
      <c r="AJ322" s="27" t="s">
        <v>7</v>
      </c>
      <c r="CU322" s="27" t="s">
        <v>8</v>
      </c>
      <c r="CW322" s="27" t="s">
        <v>8</v>
      </c>
      <c r="CX322" s="27" t="s">
        <v>7</v>
      </c>
      <c r="CY322" s="27" t="s">
        <v>8</v>
      </c>
      <c r="CZ322" s="27" t="s">
        <v>7</v>
      </c>
      <c r="DB322" s="27" t="s">
        <v>7</v>
      </c>
      <c r="DC322" s="27" t="s">
        <v>8</v>
      </c>
      <c r="IN322" s="27" t="s">
        <v>7</v>
      </c>
      <c r="IO322" s="27" t="s">
        <v>8</v>
      </c>
      <c r="IR322" s="27" t="s">
        <v>7</v>
      </c>
      <c r="IS322" s="27" t="s">
        <v>8</v>
      </c>
      <c r="IT322" s="27" t="s">
        <v>7</v>
      </c>
      <c r="IU322" s="27" t="s">
        <v>8</v>
      </c>
      <c r="IV322" s="27" t="s">
        <v>7</v>
      </c>
      <c r="IW322" s="27" t="s">
        <v>8</v>
      </c>
      <c r="JD322" s="27" t="s">
        <v>7</v>
      </c>
      <c r="JE322" s="27" t="s">
        <v>8</v>
      </c>
      <c r="JF322" s="27" t="s">
        <v>7</v>
      </c>
      <c r="JG322" s="27" t="s">
        <v>8</v>
      </c>
      <c r="JH322" s="27" t="s">
        <v>7</v>
      </c>
      <c r="JI322" s="27" t="s">
        <v>8</v>
      </c>
      <c r="JJ322" s="27" t="s">
        <v>7</v>
      </c>
    </row>
    <row r="323" spans="1:270" x14ac:dyDescent="0.25">
      <c r="A323" s="7">
        <v>186.3997584145647</v>
      </c>
      <c r="B323"/>
      <c r="C323"/>
      <c r="D323"/>
      <c r="E323" t="s">
        <v>8</v>
      </c>
      <c r="H323" s="27" t="s">
        <v>7</v>
      </c>
      <c r="I323" s="27" t="s">
        <v>8</v>
      </c>
      <c r="J323" s="27" t="s">
        <v>7</v>
      </c>
      <c r="U323" s="27" t="s">
        <v>8</v>
      </c>
      <c r="V323" s="27" t="s">
        <v>7</v>
      </c>
      <c r="Z323" s="27" t="s">
        <v>7</v>
      </c>
      <c r="AA323" s="27" t="s">
        <v>8</v>
      </c>
      <c r="AB323" s="27" t="s">
        <v>7</v>
      </c>
      <c r="AC323" s="27" t="s">
        <v>8</v>
      </c>
      <c r="AG323" s="27" t="s">
        <v>8</v>
      </c>
      <c r="AH323" s="27" t="s">
        <v>7</v>
      </c>
      <c r="AJ323" s="27" t="s">
        <v>7</v>
      </c>
      <c r="AM323" s="27" t="s">
        <v>8</v>
      </c>
      <c r="CU323" s="27" t="s">
        <v>8</v>
      </c>
      <c r="CV323" s="27" t="s">
        <v>7</v>
      </c>
      <c r="CW323" s="27" t="s">
        <v>8</v>
      </c>
      <c r="CX323" s="27" t="s">
        <v>7</v>
      </c>
      <c r="CY323" s="27" t="s">
        <v>8</v>
      </c>
      <c r="DB323" s="27" t="s">
        <v>7</v>
      </c>
      <c r="DC323" s="27" t="s">
        <v>8</v>
      </c>
      <c r="IN323" s="27" t="s">
        <v>7</v>
      </c>
      <c r="IR323" s="27" t="s">
        <v>7</v>
      </c>
      <c r="IS323" s="27" t="s">
        <v>8</v>
      </c>
      <c r="IT323" s="27" t="s">
        <v>7</v>
      </c>
      <c r="IU323" s="27" t="s">
        <v>8</v>
      </c>
      <c r="IV323" s="27" t="s">
        <v>7</v>
      </c>
      <c r="IW323" s="27" t="s">
        <v>8</v>
      </c>
      <c r="JD323" s="27" t="s">
        <v>7</v>
      </c>
      <c r="JE323" s="27" t="s">
        <v>8</v>
      </c>
      <c r="JF323" s="27" t="s">
        <v>7</v>
      </c>
      <c r="JG323" s="27" t="s">
        <v>8</v>
      </c>
      <c r="JH323" s="27" t="s">
        <v>7</v>
      </c>
      <c r="JI323" s="27" t="s">
        <v>8</v>
      </c>
      <c r="JJ323" s="27" t="s">
        <v>7</v>
      </c>
    </row>
    <row r="324" spans="1:270" x14ac:dyDescent="0.25">
      <c r="A324" s="7">
        <v>182.7448611907497</v>
      </c>
      <c r="B324"/>
      <c r="C324"/>
      <c r="D324"/>
      <c r="E324" t="s">
        <v>8</v>
      </c>
      <c r="H324" s="27" t="s">
        <v>7</v>
      </c>
      <c r="I324" s="27" t="s">
        <v>8</v>
      </c>
      <c r="J324" s="27" t="s">
        <v>7</v>
      </c>
      <c r="K324" s="27" t="s">
        <v>8</v>
      </c>
      <c r="U324" s="27" t="s">
        <v>8</v>
      </c>
      <c r="Z324" s="27" t="s">
        <v>7</v>
      </c>
      <c r="AA324" s="27" t="s">
        <v>8</v>
      </c>
      <c r="AB324" s="27" t="s">
        <v>7</v>
      </c>
      <c r="AC324" s="27" t="s">
        <v>8</v>
      </c>
      <c r="AD324" s="27" t="s">
        <v>7</v>
      </c>
      <c r="AE324" s="27" t="s">
        <v>8</v>
      </c>
      <c r="AG324" s="27" t="s">
        <v>8</v>
      </c>
      <c r="AJ324" s="27" t="s">
        <v>7</v>
      </c>
      <c r="AK324" s="27" t="s">
        <v>8</v>
      </c>
      <c r="AM324" s="27" t="s">
        <v>8</v>
      </c>
      <c r="AN324" s="27" t="s">
        <v>7</v>
      </c>
      <c r="AO324" s="27" t="s">
        <v>8</v>
      </c>
      <c r="CU324" s="27" t="s">
        <v>8</v>
      </c>
      <c r="CV324" s="27" t="s">
        <v>7</v>
      </c>
      <c r="CW324" s="27" t="s">
        <v>8</v>
      </c>
      <c r="CX324" s="27" t="s">
        <v>7</v>
      </c>
      <c r="CY324" s="27" t="s">
        <v>8</v>
      </c>
      <c r="DB324" s="27" t="s">
        <v>7</v>
      </c>
      <c r="DC324" s="27" t="s">
        <v>8</v>
      </c>
      <c r="IR324" s="27" t="s">
        <v>7</v>
      </c>
      <c r="IT324" s="27" t="s">
        <v>7</v>
      </c>
      <c r="IU324" s="27" t="s">
        <v>8</v>
      </c>
      <c r="IV324" s="27" t="s">
        <v>7</v>
      </c>
      <c r="JD324" s="27" t="s">
        <v>7</v>
      </c>
      <c r="JF324" s="27" t="s">
        <v>7</v>
      </c>
      <c r="JG324" s="27" t="s">
        <v>8</v>
      </c>
      <c r="JH324" s="27" t="s">
        <v>7</v>
      </c>
      <c r="JJ324" s="27" t="s">
        <v>7</v>
      </c>
    </row>
    <row r="325" spans="1:270" x14ac:dyDescent="0.25">
      <c r="A325" s="7">
        <v>179.16162861838205</v>
      </c>
      <c r="B325"/>
      <c r="C325"/>
      <c r="D325"/>
      <c r="E325" t="s">
        <v>8</v>
      </c>
      <c r="H325" s="27" t="s">
        <v>7</v>
      </c>
      <c r="I325" s="27" t="s">
        <v>8</v>
      </c>
      <c r="J325" s="27" t="s">
        <v>7</v>
      </c>
      <c r="K325" s="27" t="s">
        <v>8</v>
      </c>
      <c r="L325" s="27" t="s">
        <v>7</v>
      </c>
      <c r="U325" s="27" t="s">
        <v>8</v>
      </c>
      <c r="Z325" s="27" t="s">
        <v>7</v>
      </c>
      <c r="AA325" s="27" t="s">
        <v>8</v>
      </c>
      <c r="AB325" s="27" t="s">
        <v>7</v>
      </c>
      <c r="AC325" s="27" t="s">
        <v>8</v>
      </c>
      <c r="AD325" s="27" t="s">
        <v>7</v>
      </c>
      <c r="AE325" s="27" t="s">
        <v>8</v>
      </c>
      <c r="AF325" s="27" t="s">
        <v>7</v>
      </c>
      <c r="AG325" s="27" t="s">
        <v>8</v>
      </c>
      <c r="AJ325" s="27" t="s">
        <v>7</v>
      </c>
      <c r="AK325" s="27" t="s">
        <v>8</v>
      </c>
      <c r="AL325" s="27" t="s">
        <v>7</v>
      </c>
      <c r="AM325" s="27" t="s">
        <v>8</v>
      </c>
      <c r="AN325" s="27" t="s">
        <v>7</v>
      </c>
      <c r="AO325" s="27" t="s">
        <v>8</v>
      </c>
      <c r="AP325" s="27" t="s">
        <v>7</v>
      </c>
      <c r="CE325" s="27" t="s">
        <v>8</v>
      </c>
      <c r="CU325" s="27" t="s">
        <v>8</v>
      </c>
      <c r="CV325" s="27" t="s">
        <v>7</v>
      </c>
      <c r="CW325" s="27" t="s">
        <v>8</v>
      </c>
      <c r="CX325" s="27" t="s">
        <v>7</v>
      </c>
      <c r="CY325" s="27" t="s">
        <v>8</v>
      </c>
      <c r="DB325" s="27" t="s">
        <v>7</v>
      </c>
      <c r="DC325" s="27" t="s">
        <v>8</v>
      </c>
      <c r="IT325" s="27" t="s">
        <v>7</v>
      </c>
      <c r="IU325" s="27" t="s">
        <v>8</v>
      </c>
      <c r="JF325" s="27" t="s">
        <v>7</v>
      </c>
      <c r="JG325" s="27" t="s">
        <v>8</v>
      </c>
      <c r="JJ325" s="27" t="s">
        <v>7</v>
      </c>
    </row>
    <row r="326" spans="1:270" x14ac:dyDescent="0.25">
      <c r="A326" s="7">
        <v>175.6486555082177</v>
      </c>
      <c r="B326"/>
      <c r="C326"/>
      <c r="D326"/>
      <c r="E326" t="s">
        <v>8</v>
      </c>
      <c r="H326" s="27" t="s">
        <v>7</v>
      </c>
      <c r="I326" s="27" t="s">
        <v>8</v>
      </c>
      <c r="J326" s="27" t="s">
        <v>7</v>
      </c>
      <c r="K326" s="27" t="s">
        <v>8</v>
      </c>
      <c r="L326" s="27" t="s">
        <v>7</v>
      </c>
      <c r="M326" s="27" t="s">
        <v>8</v>
      </c>
      <c r="U326" s="27" t="s">
        <v>8</v>
      </c>
      <c r="Z326" s="27" t="s">
        <v>7</v>
      </c>
      <c r="AA326" s="27" t="s">
        <v>8</v>
      </c>
      <c r="AB326" s="27" t="s">
        <v>7</v>
      </c>
      <c r="AC326" s="27" t="s">
        <v>8</v>
      </c>
      <c r="AD326" s="27" t="s">
        <v>7</v>
      </c>
      <c r="AE326" s="27" t="s">
        <v>8</v>
      </c>
      <c r="AF326" s="27" t="s">
        <v>7</v>
      </c>
      <c r="AG326" s="27" t="s">
        <v>8</v>
      </c>
      <c r="AJ326" s="27" t="s">
        <v>7</v>
      </c>
      <c r="AK326" s="27" t="s">
        <v>8</v>
      </c>
      <c r="AL326" s="27" t="s">
        <v>7</v>
      </c>
      <c r="AM326" s="27" t="s">
        <v>8</v>
      </c>
      <c r="AN326" s="27" t="s">
        <v>7</v>
      </c>
      <c r="AO326" s="27" t="s">
        <v>8</v>
      </c>
      <c r="AP326" s="27" t="s">
        <v>7</v>
      </c>
      <c r="CE326" s="27" t="s">
        <v>8</v>
      </c>
      <c r="CF326" s="27" t="s">
        <v>7</v>
      </c>
      <c r="CM326" s="27" t="s">
        <v>8</v>
      </c>
      <c r="CU326" s="27" t="s">
        <v>8</v>
      </c>
      <c r="CV326" s="27" t="s">
        <v>7</v>
      </c>
      <c r="CW326" s="27" t="s">
        <v>8</v>
      </c>
      <c r="CX326" s="27" t="s">
        <v>7</v>
      </c>
      <c r="CY326" s="27" t="s">
        <v>8</v>
      </c>
      <c r="DB326" s="27" t="s">
        <v>7</v>
      </c>
      <c r="DC326" s="27" t="s">
        <v>8</v>
      </c>
      <c r="IT326" s="27" t="s">
        <v>7</v>
      </c>
      <c r="JF326" s="27" t="s">
        <v>7</v>
      </c>
      <c r="JJ326" s="27" t="s">
        <v>7</v>
      </c>
    </row>
    <row r="327" spans="1:270" x14ac:dyDescent="0.25">
      <c r="A327" s="7">
        <v>172.20456422374284</v>
      </c>
      <c r="B327"/>
      <c r="C327"/>
      <c r="D327"/>
      <c r="E327" t="s">
        <v>8</v>
      </c>
      <c r="H327" s="27" t="s">
        <v>7</v>
      </c>
      <c r="I327" s="27" t="s">
        <v>8</v>
      </c>
      <c r="J327" s="27" t="s">
        <v>7</v>
      </c>
      <c r="L327" s="27" t="s">
        <v>7</v>
      </c>
      <c r="M327" s="27" t="s">
        <v>8</v>
      </c>
      <c r="N327" s="27" t="s">
        <v>7</v>
      </c>
      <c r="U327" s="27" t="s">
        <v>8</v>
      </c>
      <c r="Z327" s="27" t="s">
        <v>7</v>
      </c>
      <c r="AB327" s="27" t="s">
        <v>7</v>
      </c>
      <c r="AC327" s="27" t="s">
        <v>8</v>
      </c>
      <c r="AD327" s="27" t="s">
        <v>7</v>
      </c>
      <c r="AE327" s="27" t="s">
        <v>8</v>
      </c>
      <c r="AF327" s="27" t="s">
        <v>7</v>
      </c>
      <c r="AG327" s="27" t="s">
        <v>8</v>
      </c>
      <c r="AJ327" s="27" t="s">
        <v>7</v>
      </c>
      <c r="AK327" s="27" t="s">
        <v>8</v>
      </c>
      <c r="AL327" s="27" t="s">
        <v>7</v>
      </c>
      <c r="AM327" s="27" t="s">
        <v>8</v>
      </c>
      <c r="AN327" s="27" t="s">
        <v>7</v>
      </c>
      <c r="AO327" s="27" t="s">
        <v>8</v>
      </c>
      <c r="AP327" s="27" t="s">
        <v>7</v>
      </c>
      <c r="CE327" s="27" t="s">
        <v>8</v>
      </c>
      <c r="CF327" s="27" t="s">
        <v>7</v>
      </c>
      <c r="CM327" s="27" t="s">
        <v>8</v>
      </c>
      <c r="CN327" s="27" t="s">
        <v>7</v>
      </c>
      <c r="CU327" s="27" t="s">
        <v>8</v>
      </c>
      <c r="CV327" s="27" t="s">
        <v>7</v>
      </c>
      <c r="CW327" s="27" t="s">
        <v>8</v>
      </c>
      <c r="CX327" s="27" t="s">
        <v>7</v>
      </c>
      <c r="CY327" s="27" t="s">
        <v>8</v>
      </c>
      <c r="DB327" s="27" t="s">
        <v>7</v>
      </c>
      <c r="DC327" s="27" t="s">
        <v>8</v>
      </c>
      <c r="JJ327" s="27" t="s">
        <v>7</v>
      </c>
    </row>
    <row r="328" spans="1:270" x14ac:dyDescent="0.25">
      <c r="A328" s="7">
        <v>168.82800414092435</v>
      </c>
      <c r="B328"/>
      <c r="C328"/>
      <c r="D328"/>
      <c r="E328" t="s">
        <v>8</v>
      </c>
      <c r="H328" s="27" t="s">
        <v>7</v>
      </c>
      <c r="I328" s="27" t="s">
        <v>8</v>
      </c>
      <c r="L328" s="27" t="s">
        <v>7</v>
      </c>
      <c r="M328" s="27" t="s">
        <v>8</v>
      </c>
      <c r="N328" s="27" t="s">
        <v>7</v>
      </c>
      <c r="U328" s="27" t="s">
        <v>8</v>
      </c>
      <c r="AB328" s="27" t="s">
        <v>7</v>
      </c>
      <c r="AC328" s="27" t="s">
        <v>8</v>
      </c>
      <c r="AD328" s="27" t="s">
        <v>7</v>
      </c>
      <c r="AE328" s="27" t="s">
        <v>8</v>
      </c>
      <c r="AF328" s="27" t="s">
        <v>7</v>
      </c>
      <c r="AG328" s="27" t="s">
        <v>8</v>
      </c>
      <c r="AJ328" s="27" t="s">
        <v>7</v>
      </c>
      <c r="AK328" s="27" t="s">
        <v>8</v>
      </c>
      <c r="AL328" s="27" t="s">
        <v>7</v>
      </c>
      <c r="AN328" s="27" t="s">
        <v>7</v>
      </c>
      <c r="AO328" s="27" t="s">
        <v>8</v>
      </c>
      <c r="AP328" s="27" t="s">
        <v>7</v>
      </c>
      <c r="CE328" s="27" t="s">
        <v>8</v>
      </c>
      <c r="CF328" s="27" t="s">
        <v>7</v>
      </c>
      <c r="CM328" s="27" t="s">
        <v>8</v>
      </c>
      <c r="CN328" s="27" t="s">
        <v>7</v>
      </c>
      <c r="CU328" s="27" t="s">
        <v>8</v>
      </c>
      <c r="CV328" s="27" t="s">
        <v>7</v>
      </c>
      <c r="CW328" s="27" t="s">
        <v>8</v>
      </c>
      <c r="CX328" s="27" t="s">
        <v>7</v>
      </c>
      <c r="CY328" s="27" t="s">
        <v>8</v>
      </c>
      <c r="DB328" s="27" t="s">
        <v>7</v>
      </c>
      <c r="DC328" s="27" t="s">
        <v>8</v>
      </c>
      <c r="JJ328" s="27" t="s">
        <v>7</v>
      </c>
    </row>
    <row r="329" spans="1:270" x14ac:dyDescent="0.25">
      <c r="A329" s="7">
        <v>165.51765111855329</v>
      </c>
      <c r="B329"/>
      <c r="C329"/>
      <c r="D329"/>
      <c r="E329" t="s">
        <v>8</v>
      </c>
      <c r="H329" s="27" t="s">
        <v>7</v>
      </c>
      <c r="L329" s="27" t="s">
        <v>7</v>
      </c>
      <c r="M329" s="27" t="s">
        <v>8</v>
      </c>
      <c r="N329" s="27" t="s">
        <v>7</v>
      </c>
      <c r="U329" s="27" t="s">
        <v>8</v>
      </c>
      <c r="AB329" s="27" t="s">
        <v>7</v>
      </c>
      <c r="AC329" s="27" t="s">
        <v>8</v>
      </c>
      <c r="AD329" s="27" t="s">
        <v>7</v>
      </c>
      <c r="AE329" s="27" t="s">
        <v>8</v>
      </c>
      <c r="AF329" s="27" t="s">
        <v>7</v>
      </c>
      <c r="AJ329" s="27" t="s">
        <v>7</v>
      </c>
      <c r="AK329" s="27" t="s">
        <v>8</v>
      </c>
      <c r="AN329" s="27" t="s">
        <v>7</v>
      </c>
      <c r="AO329" s="27" t="s">
        <v>8</v>
      </c>
      <c r="AP329" s="27" t="s">
        <v>7</v>
      </c>
      <c r="AQ329" s="27" t="s">
        <v>8</v>
      </c>
      <c r="CE329" s="27" t="s">
        <v>8</v>
      </c>
      <c r="CF329" s="27" t="s">
        <v>7</v>
      </c>
      <c r="CG329" s="27" t="s">
        <v>8</v>
      </c>
      <c r="CM329" s="27" t="s">
        <v>8</v>
      </c>
      <c r="CN329" s="27" t="s">
        <v>7</v>
      </c>
      <c r="CU329" s="27" t="s">
        <v>8</v>
      </c>
      <c r="CV329" s="27" t="s">
        <v>7</v>
      </c>
      <c r="CW329" s="27" t="s">
        <v>8</v>
      </c>
      <c r="CX329" s="27" t="s">
        <v>7</v>
      </c>
      <c r="CY329" s="27" t="s">
        <v>8</v>
      </c>
      <c r="DB329" s="27" t="s">
        <v>7</v>
      </c>
      <c r="JJ329" s="27" t="s">
        <v>7</v>
      </c>
    </row>
    <row r="330" spans="1:270" x14ac:dyDescent="0.25">
      <c r="A330" s="7">
        <v>162.2722069789738</v>
      </c>
      <c r="B330"/>
      <c r="C330"/>
      <c r="D330"/>
      <c r="E330" t="s">
        <v>8</v>
      </c>
      <c r="L330" s="27" t="s">
        <v>7</v>
      </c>
      <c r="M330" s="27" t="s">
        <v>8</v>
      </c>
      <c r="N330" s="27" t="s">
        <v>7</v>
      </c>
      <c r="U330" s="27" t="s">
        <v>8</v>
      </c>
      <c r="AB330" s="27" t="s">
        <v>7</v>
      </c>
      <c r="AD330" s="27" t="s">
        <v>7</v>
      </c>
      <c r="AJ330" s="27" t="s">
        <v>7</v>
      </c>
      <c r="AK330" s="27" t="s">
        <v>8</v>
      </c>
      <c r="AN330" s="27" t="s">
        <v>7</v>
      </c>
      <c r="AP330" s="27" t="s">
        <v>7</v>
      </c>
      <c r="AQ330" s="27" t="s">
        <v>8</v>
      </c>
      <c r="AR330" s="27" t="s">
        <v>7</v>
      </c>
      <c r="CE330" s="27" t="s">
        <v>8</v>
      </c>
      <c r="CF330" s="27" t="s">
        <v>7</v>
      </c>
      <c r="CG330" s="27" t="s">
        <v>8</v>
      </c>
      <c r="CH330" s="27" t="s">
        <v>7</v>
      </c>
      <c r="CM330" s="27" t="s">
        <v>8</v>
      </c>
      <c r="CN330" s="27" t="s">
        <v>7</v>
      </c>
      <c r="CO330" s="27" t="s">
        <v>8</v>
      </c>
      <c r="CU330" s="27" t="s">
        <v>8</v>
      </c>
      <c r="CV330" s="27" t="s">
        <v>7</v>
      </c>
      <c r="CW330" s="27" t="s">
        <v>8</v>
      </c>
      <c r="CX330" s="27" t="s">
        <v>7</v>
      </c>
      <c r="CY330" s="27" t="s">
        <v>8</v>
      </c>
      <c r="JJ330" s="27" t="s">
        <v>7</v>
      </c>
    </row>
    <row r="331" spans="1:270" x14ac:dyDescent="0.25">
      <c r="A331" s="7">
        <v>159.09039899899392</v>
      </c>
      <c r="B331"/>
      <c r="C331"/>
      <c r="D331"/>
      <c r="E331" t="s">
        <v>8</v>
      </c>
      <c r="L331" s="27" t="s">
        <v>7</v>
      </c>
      <c r="M331" s="27" t="s">
        <v>8</v>
      </c>
      <c r="N331" s="27" t="s">
        <v>7</v>
      </c>
      <c r="U331" s="27" t="s">
        <v>8</v>
      </c>
      <c r="AJ331" s="27" t="s">
        <v>7</v>
      </c>
      <c r="AK331" s="27" t="s">
        <v>8</v>
      </c>
      <c r="AP331" s="27" t="s">
        <v>7</v>
      </c>
      <c r="AQ331" s="27" t="s">
        <v>8</v>
      </c>
      <c r="AR331" s="27" t="s">
        <v>7</v>
      </c>
      <c r="CE331" s="27" t="s">
        <v>8</v>
      </c>
      <c r="CF331" s="27" t="s">
        <v>7</v>
      </c>
      <c r="CG331" s="27" t="s">
        <v>8</v>
      </c>
      <c r="CH331" s="27" t="s">
        <v>7</v>
      </c>
      <c r="CK331" s="27" t="s">
        <v>8</v>
      </c>
      <c r="CM331" s="27" t="s">
        <v>8</v>
      </c>
      <c r="CN331" s="27" t="s">
        <v>7</v>
      </c>
      <c r="CO331" s="27" t="s">
        <v>8</v>
      </c>
      <c r="CP331" s="27" t="s">
        <v>7</v>
      </c>
      <c r="CU331" s="27" t="s">
        <v>8</v>
      </c>
      <c r="CV331" s="27" t="s">
        <v>7</v>
      </c>
      <c r="CW331" s="27" t="s">
        <v>8</v>
      </c>
      <c r="CX331" s="27" t="s">
        <v>7</v>
      </c>
      <c r="CY331" s="27" t="s">
        <v>8</v>
      </c>
      <c r="JJ331" s="27" t="s">
        <v>7</v>
      </c>
    </row>
    <row r="332" spans="1:270" x14ac:dyDescent="0.25">
      <c r="A332" s="7">
        <v>155.97097941077834</v>
      </c>
      <c r="B332"/>
      <c r="C332"/>
      <c r="D332"/>
      <c r="E332" t="s">
        <v>8</v>
      </c>
      <c r="L332" s="27" t="s">
        <v>7</v>
      </c>
      <c r="M332" s="27" t="s">
        <v>8</v>
      </c>
      <c r="N332" s="27" t="s">
        <v>7</v>
      </c>
      <c r="U332" s="27" t="s">
        <v>8</v>
      </c>
      <c r="AJ332" s="27" t="s">
        <v>7</v>
      </c>
      <c r="AK332" s="27" t="s">
        <v>8</v>
      </c>
      <c r="AP332" s="27" t="s">
        <v>7</v>
      </c>
      <c r="AQ332" s="27" t="s">
        <v>8</v>
      </c>
      <c r="AR332" s="27" t="s">
        <v>7</v>
      </c>
      <c r="CE332" s="27" t="s">
        <v>8</v>
      </c>
      <c r="CF332" s="27" t="s">
        <v>7</v>
      </c>
      <c r="CG332" s="27" t="s">
        <v>8</v>
      </c>
      <c r="CH332" s="27" t="s">
        <v>7</v>
      </c>
      <c r="CK332" s="27" t="s">
        <v>8</v>
      </c>
      <c r="CL332" s="27" t="s">
        <v>7</v>
      </c>
      <c r="CM332" s="27" t="s">
        <v>8</v>
      </c>
      <c r="CN332" s="27" t="s">
        <v>7</v>
      </c>
      <c r="CO332" s="27" t="s">
        <v>8</v>
      </c>
      <c r="CP332" s="27" t="s">
        <v>7</v>
      </c>
      <c r="CS332" s="27" t="s">
        <v>8</v>
      </c>
      <c r="CU332" s="27" t="s">
        <v>8</v>
      </c>
      <c r="CV332" s="27" t="s">
        <v>7</v>
      </c>
      <c r="CX332" s="27" t="s">
        <v>7</v>
      </c>
      <c r="CY332" s="27" t="s">
        <v>8</v>
      </c>
      <c r="JJ332" s="27" t="s">
        <v>7</v>
      </c>
    </row>
    <row r="333" spans="1:270" x14ac:dyDescent="0.25">
      <c r="A333" s="7">
        <v>152.91272491252778</v>
      </c>
      <c r="B333"/>
      <c r="C333"/>
      <c r="D333"/>
      <c r="E333" t="s">
        <v>8</v>
      </c>
      <c r="L333" s="27" t="s">
        <v>7</v>
      </c>
      <c r="N333" s="27" t="s">
        <v>7</v>
      </c>
      <c r="U333" s="27" t="s">
        <v>8</v>
      </c>
      <c r="AJ333" s="27" t="s">
        <v>7</v>
      </c>
      <c r="AK333" s="27" t="s">
        <v>8</v>
      </c>
      <c r="AP333" s="27" t="s">
        <v>7</v>
      </c>
      <c r="AQ333" s="27" t="s">
        <v>8</v>
      </c>
      <c r="AR333" s="27" t="s">
        <v>7</v>
      </c>
      <c r="CE333" s="27" t="s">
        <v>8</v>
      </c>
      <c r="CF333" s="27" t="s">
        <v>7</v>
      </c>
      <c r="CG333" s="27" t="s">
        <v>8</v>
      </c>
      <c r="CH333" s="27" t="s">
        <v>7</v>
      </c>
      <c r="CI333" s="27" t="s">
        <v>8</v>
      </c>
      <c r="CK333" s="27" t="s">
        <v>8</v>
      </c>
      <c r="CL333" s="27" t="s">
        <v>7</v>
      </c>
      <c r="CM333" s="27" t="s">
        <v>8</v>
      </c>
      <c r="CN333" s="27" t="s">
        <v>7</v>
      </c>
      <c r="CP333" s="27" t="s">
        <v>7</v>
      </c>
      <c r="CS333" s="27" t="s">
        <v>8</v>
      </c>
      <c r="CT333" s="27" t="s">
        <v>7</v>
      </c>
      <c r="CU333" s="27" t="s">
        <v>8</v>
      </c>
      <c r="CX333" s="27" t="s">
        <v>7</v>
      </c>
      <c r="CY333" s="27" t="s">
        <v>8</v>
      </c>
      <c r="JJ333" s="27" t="s">
        <v>7</v>
      </c>
    </row>
    <row r="334" spans="1:270" x14ac:dyDescent="0.25">
      <c r="A334" s="7">
        <v>149.91443618875272</v>
      </c>
      <c r="B334"/>
      <c r="C334"/>
      <c r="D334"/>
      <c r="E334" t="s">
        <v>8</v>
      </c>
      <c r="N334" s="27" t="s">
        <v>7</v>
      </c>
      <c r="U334" s="27" t="s">
        <v>8</v>
      </c>
      <c r="AJ334" s="27" t="s">
        <v>7</v>
      </c>
      <c r="AK334" s="27" t="s">
        <v>8</v>
      </c>
      <c r="AP334" s="27" t="s">
        <v>7</v>
      </c>
      <c r="AQ334" s="27" t="s">
        <v>8</v>
      </c>
      <c r="AR334" s="27" t="s">
        <v>7</v>
      </c>
      <c r="CE334" s="27" t="s">
        <v>8</v>
      </c>
      <c r="CF334" s="27" t="s">
        <v>7</v>
      </c>
      <c r="CG334" s="27" t="s">
        <v>8</v>
      </c>
      <c r="CH334" s="27" t="s">
        <v>7</v>
      </c>
      <c r="CI334" s="27" t="s">
        <v>8</v>
      </c>
      <c r="CJ334" s="27" t="s">
        <v>7</v>
      </c>
      <c r="CK334" s="27" t="s">
        <v>8</v>
      </c>
      <c r="CL334" s="27" t="s">
        <v>7</v>
      </c>
      <c r="CM334" s="27" t="s">
        <v>8</v>
      </c>
      <c r="CP334" s="27" t="s">
        <v>7</v>
      </c>
      <c r="CS334" s="27" t="s">
        <v>8</v>
      </c>
      <c r="CT334" s="27" t="s">
        <v>7</v>
      </c>
      <c r="CU334" s="27" t="s">
        <v>8</v>
      </c>
      <c r="CX334" s="27" t="s">
        <v>7</v>
      </c>
      <c r="JJ334" s="27" t="s">
        <v>7</v>
      </c>
    </row>
    <row r="335" spans="1:270" x14ac:dyDescent="0.25">
      <c r="A335" s="7">
        <v>146.97493743995364</v>
      </c>
      <c r="B335"/>
      <c r="C335"/>
      <c r="D335"/>
      <c r="E335" t="s">
        <v>8</v>
      </c>
      <c r="N335" s="27" t="s">
        <v>7</v>
      </c>
      <c r="U335" s="27" t="s">
        <v>8</v>
      </c>
      <c r="AJ335" s="27" t="s">
        <v>7</v>
      </c>
      <c r="AP335" s="27" t="s">
        <v>7</v>
      </c>
      <c r="AR335" s="27" t="s">
        <v>7</v>
      </c>
      <c r="AS335" s="27" t="s">
        <v>8</v>
      </c>
      <c r="AU335" s="27" t="s">
        <v>8</v>
      </c>
      <c r="CC335" s="27" t="s">
        <v>8</v>
      </c>
      <c r="CE335" s="27" t="s">
        <v>8</v>
      </c>
      <c r="CF335" s="27" t="s">
        <v>7</v>
      </c>
      <c r="CH335" s="27" t="s">
        <v>7</v>
      </c>
      <c r="CI335" s="27" t="s">
        <v>8</v>
      </c>
      <c r="CJ335" s="27" t="s">
        <v>7</v>
      </c>
      <c r="CK335" s="27" t="s">
        <v>8</v>
      </c>
      <c r="CL335" s="27" t="s">
        <v>7</v>
      </c>
      <c r="CP335" s="27" t="s">
        <v>7</v>
      </c>
      <c r="CS335" s="27" t="s">
        <v>8</v>
      </c>
      <c r="CT335" s="27" t="s">
        <v>7</v>
      </c>
      <c r="CU335" s="27" t="s">
        <v>8</v>
      </c>
      <c r="JJ335" s="27" t="s">
        <v>7</v>
      </c>
    </row>
    <row r="336" spans="1:270" x14ac:dyDescent="0.25">
      <c r="A336" s="7">
        <v>144.09307592152317</v>
      </c>
      <c r="B336"/>
      <c r="C336"/>
      <c r="D336"/>
      <c r="E336" t="s">
        <v>8</v>
      </c>
      <c r="N336" s="27" t="s">
        <v>7</v>
      </c>
      <c r="U336" s="27" t="s">
        <v>8</v>
      </c>
      <c r="AR336" s="27" t="s">
        <v>7</v>
      </c>
      <c r="AS336" s="27" t="s">
        <v>8</v>
      </c>
      <c r="AT336" s="27" t="s">
        <v>7</v>
      </c>
      <c r="AU336" s="27" t="s">
        <v>8</v>
      </c>
      <c r="AV336" s="27" t="s">
        <v>7</v>
      </c>
      <c r="CC336" s="27" t="s">
        <v>8</v>
      </c>
      <c r="CD336" s="27" t="s">
        <v>7</v>
      </c>
      <c r="CE336" s="27" t="s">
        <v>8</v>
      </c>
      <c r="CH336" s="27" t="s">
        <v>7</v>
      </c>
      <c r="CI336" s="27" t="s">
        <v>8</v>
      </c>
      <c r="CJ336" s="27" t="s">
        <v>7</v>
      </c>
      <c r="CK336" s="27" t="s">
        <v>8</v>
      </c>
      <c r="CP336" s="27" t="s">
        <v>7</v>
      </c>
      <c r="CS336" s="27" t="s">
        <v>8</v>
      </c>
      <c r="CT336" s="27" t="s">
        <v>7</v>
      </c>
      <c r="CU336" s="27" t="s">
        <v>8</v>
      </c>
      <c r="JJ336" s="27" t="s">
        <v>7</v>
      </c>
    </row>
    <row r="337" spans="1:274" x14ac:dyDescent="0.25">
      <c r="A337" s="7">
        <v>141.26772149168937</v>
      </c>
      <c r="B337"/>
      <c r="C337"/>
      <c r="D337"/>
      <c r="E337" t="s">
        <v>8</v>
      </c>
      <c r="N337" s="27" t="s">
        <v>7</v>
      </c>
      <c r="Q337" s="27" t="s">
        <v>8</v>
      </c>
      <c r="S337" s="27" t="s">
        <v>8</v>
      </c>
      <c r="U337" s="27" t="s">
        <v>8</v>
      </c>
      <c r="AR337" s="27" t="s">
        <v>7</v>
      </c>
      <c r="AS337" s="27" t="s">
        <v>8</v>
      </c>
      <c r="AT337" s="27" t="s">
        <v>7</v>
      </c>
      <c r="AU337" s="27" t="s">
        <v>8</v>
      </c>
      <c r="AV337" s="27" t="s">
        <v>7</v>
      </c>
      <c r="CC337" s="27" t="s">
        <v>8</v>
      </c>
      <c r="CD337" s="27" t="s">
        <v>7</v>
      </c>
      <c r="CE337" s="27" t="s">
        <v>8</v>
      </c>
      <c r="CH337" s="27" t="s">
        <v>7</v>
      </c>
      <c r="CI337" s="27" t="s">
        <v>8</v>
      </c>
      <c r="CJ337" s="27" t="s">
        <v>7</v>
      </c>
      <c r="CP337" s="27" t="s">
        <v>7</v>
      </c>
      <c r="CQ337" s="27" t="s">
        <v>8</v>
      </c>
      <c r="CS337" s="27" t="s">
        <v>8</v>
      </c>
      <c r="CT337" s="27" t="s">
        <v>7</v>
      </c>
      <c r="CU337" s="27" t="s">
        <v>8</v>
      </c>
      <c r="JJ337" s="27" t="s">
        <v>7</v>
      </c>
    </row>
    <row r="338" spans="1:274" x14ac:dyDescent="0.25">
      <c r="A338" s="7">
        <v>138.4977661683229</v>
      </c>
      <c r="B338"/>
      <c r="C338"/>
      <c r="D338"/>
      <c r="E338" t="s">
        <v>8</v>
      </c>
      <c r="N338" s="27" t="s">
        <v>7</v>
      </c>
      <c r="O338" s="27" t="s">
        <v>8</v>
      </c>
      <c r="Q338" s="27" t="s">
        <v>8</v>
      </c>
      <c r="R338" s="27" t="s">
        <v>7</v>
      </c>
      <c r="S338" s="27" t="s">
        <v>8</v>
      </c>
      <c r="T338" s="27" t="s">
        <v>7</v>
      </c>
      <c r="U338" s="27" t="s">
        <v>8</v>
      </c>
      <c r="AR338" s="27" t="s">
        <v>7</v>
      </c>
      <c r="AS338" s="27" t="s">
        <v>8</v>
      </c>
      <c r="AT338" s="27" t="s">
        <v>7</v>
      </c>
      <c r="AU338" s="27" t="s">
        <v>8</v>
      </c>
      <c r="AV338" s="27" t="s">
        <v>7</v>
      </c>
      <c r="AW338" s="27" t="s">
        <v>8</v>
      </c>
      <c r="BW338" s="27" t="s">
        <v>8</v>
      </c>
      <c r="CC338" s="27" t="s">
        <v>8</v>
      </c>
      <c r="CD338" s="27" t="s">
        <v>7</v>
      </c>
      <c r="CE338" s="27" t="s">
        <v>8</v>
      </c>
      <c r="CH338" s="27" t="s">
        <v>7</v>
      </c>
      <c r="CP338" s="27" t="s">
        <v>7</v>
      </c>
      <c r="CQ338" s="27" t="s">
        <v>8</v>
      </c>
      <c r="CR338" s="27" t="s">
        <v>7</v>
      </c>
      <c r="CS338" s="27" t="s">
        <v>8</v>
      </c>
      <c r="CT338" s="27" t="s">
        <v>7</v>
      </c>
      <c r="CU338" s="27" t="s">
        <v>8</v>
      </c>
      <c r="JJ338" s="27" t="s">
        <v>7</v>
      </c>
    </row>
    <row r="339" spans="1:274" x14ac:dyDescent="0.25">
      <c r="A339" s="7">
        <v>135.7821236944342</v>
      </c>
      <c r="B339"/>
      <c r="C339"/>
      <c r="D339"/>
      <c r="E339" t="s">
        <v>8</v>
      </c>
      <c r="N339" s="27" t="s">
        <v>7</v>
      </c>
      <c r="O339" s="27" t="s">
        <v>8</v>
      </c>
      <c r="P339" s="27" t="s">
        <v>7</v>
      </c>
      <c r="Q339" s="27" t="s">
        <v>8</v>
      </c>
      <c r="R339" s="27" t="s">
        <v>7</v>
      </c>
      <c r="S339" s="27" t="s">
        <v>8</v>
      </c>
      <c r="T339" s="27" t="s">
        <v>7</v>
      </c>
      <c r="U339" s="27" t="s">
        <v>8</v>
      </c>
      <c r="AR339" s="27" t="s">
        <v>7</v>
      </c>
      <c r="AS339" s="27" t="s">
        <v>8</v>
      </c>
      <c r="AT339" s="27" t="s">
        <v>7</v>
      </c>
      <c r="AU339" s="27" t="s">
        <v>8</v>
      </c>
      <c r="AV339" s="27" t="s">
        <v>7</v>
      </c>
      <c r="AW339" s="27" t="s">
        <v>8</v>
      </c>
      <c r="AX339" s="27" t="s">
        <v>7</v>
      </c>
      <c r="BW339" s="27" t="s">
        <v>8</v>
      </c>
      <c r="BX339" s="27" t="s">
        <v>7</v>
      </c>
      <c r="CC339" s="27" t="s">
        <v>8</v>
      </c>
      <c r="CD339" s="27" t="s">
        <v>7</v>
      </c>
      <c r="CE339" s="27" t="s">
        <v>8</v>
      </c>
      <c r="CP339" s="27" t="s">
        <v>7</v>
      </c>
      <c r="CQ339" s="27" t="s">
        <v>8</v>
      </c>
      <c r="CR339" s="27" t="s">
        <v>7</v>
      </c>
      <c r="CS339" s="27" t="s">
        <v>8</v>
      </c>
      <c r="CT339" s="27" t="s">
        <v>7</v>
      </c>
      <c r="JJ339" s="27" t="s">
        <v>7</v>
      </c>
      <c r="JM339" s="27" t="s">
        <v>8</v>
      </c>
    </row>
    <row r="340" spans="1:274" x14ac:dyDescent="0.25">
      <c r="A340" s="7">
        <v>133.11972911219038</v>
      </c>
      <c r="B340"/>
      <c r="C340"/>
      <c r="D340"/>
      <c r="E340" t="s">
        <v>8</v>
      </c>
      <c r="N340" s="27" t="s">
        <v>7</v>
      </c>
      <c r="O340" s="27" t="s">
        <v>8</v>
      </c>
      <c r="P340" s="27" t="s">
        <v>7</v>
      </c>
      <c r="Q340" s="27" t="s">
        <v>8</v>
      </c>
      <c r="R340" s="27" t="s">
        <v>7</v>
      </c>
      <c r="S340" s="27" t="s">
        <v>8</v>
      </c>
      <c r="T340" s="27" t="s">
        <v>7</v>
      </c>
      <c r="AR340" s="27" t="s">
        <v>7</v>
      </c>
      <c r="AS340" s="27" t="s">
        <v>8</v>
      </c>
      <c r="AT340" s="27" t="s">
        <v>7</v>
      </c>
      <c r="AU340" s="27" t="s">
        <v>8</v>
      </c>
      <c r="AV340" s="27" t="s">
        <v>7</v>
      </c>
      <c r="AW340" s="27" t="s">
        <v>8</v>
      </c>
      <c r="AX340" s="27" t="s">
        <v>7</v>
      </c>
      <c r="BW340" s="27" t="s">
        <v>8</v>
      </c>
      <c r="BX340" s="27" t="s">
        <v>7</v>
      </c>
      <c r="CC340" s="27" t="s">
        <v>8</v>
      </c>
      <c r="CD340" s="27" t="s">
        <v>7</v>
      </c>
      <c r="CE340" s="27" t="s">
        <v>8</v>
      </c>
      <c r="CP340" s="27" t="s">
        <v>7</v>
      </c>
      <c r="CQ340" s="27" t="s">
        <v>8</v>
      </c>
      <c r="CR340" s="27" t="s">
        <v>7</v>
      </c>
      <c r="CS340" s="27" t="s">
        <v>8</v>
      </c>
      <c r="JJ340" s="27" t="s">
        <v>7</v>
      </c>
      <c r="JM340" s="27" t="s">
        <v>8</v>
      </c>
      <c r="JN340" s="27" t="s">
        <v>7</v>
      </c>
    </row>
    <row r="341" spans="1:274" x14ac:dyDescent="0.25">
      <c r="A341" s="7">
        <v>130.50953834528468</v>
      </c>
      <c r="B341"/>
      <c r="C341"/>
      <c r="D341"/>
      <c r="E341" t="s">
        <v>8</v>
      </c>
      <c r="N341" s="27" t="s">
        <v>7</v>
      </c>
      <c r="O341" s="27" t="s">
        <v>8</v>
      </c>
      <c r="P341" s="27" t="s">
        <v>7</v>
      </c>
      <c r="R341" s="27" t="s">
        <v>7</v>
      </c>
      <c r="S341" s="27" t="s">
        <v>8</v>
      </c>
      <c r="AR341" s="27" t="s">
        <v>7</v>
      </c>
      <c r="AS341" s="27" t="s">
        <v>8</v>
      </c>
      <c r="AT341" s="27" t="s">
        <v>7</v>
      </c>
      <c r="AU341" s="27" t="s">
        <v>8</v>
      </c>
      <c r="AV341" s="27" t="s">
        <v>7</v>
      </c>
      <c r="AW341" s="27" t="s">
        <v>8</v>
      </c>
      <c r="AX341" s="27" t="s">
        <v>7</v>
      </c>
      <c r="BW341" s="27" t="s">
        <v>8</v>
      </c>
      <c r="BX341" s="27" t="s">
        <v>7</v>
      </c>
      <c r="CC341" s="27" t="s">
        <v>8</v>
      </c>
      <c r="CD341" s="27" t="s">
        <v>7</v>
      </c>
      <c r="CE341" s="27" t="s">
        <v>8</v>
      </c>
      <c r="CP341" s="27" t="s">
        <v>7</v>
      </c>
      <c r="CQ341" s="27" t="s">
        <v>8</v>
      </c>
      <c r="CR341" s="27" t="s">
        <v>7</v>
      </c>
      <c r="CS341" s="27" t="s">
        <v>8</v>
      </c>
      <c r="JJ341" s="27" t="s">
        <v>7</v>
      </c>
      <c r="JK341" s="27" t="s">
        <v>8</v>
      </c>
      <c r="JM341" s="27" t="s">
        <v>8</v>
      </c>
      <c r="JN341" s="27" t="s">
        <v>7</v>
      </c>
    </row>
    <row r="342" spans="1:274" x14ac:dyDescent="0.25">
      <c r="A342" s="7">
        <v>127.95052778949477</v>
      </c>
      <c r="B342"/>
      <c r="C342"/>
      <c r="D342"/>
      <c r="E342" t="s">
        <v>8</v>
      </c>
      <c r="N342" s="27" t="s">
        <v>7</v>
      </c>
      <c r="O342" s="27" t="s">
        <v>8</v>
      </c>
      <c r="R342" s="27" t="s">
        <v>7</v>
      </c>
      <c r="S342" s="27" t="s">
        <v>8</v>
      </c>
      <c r="AR342" s="27" t="s">
        <v>7</v>
      </c>
      <c r="AS342" s="27" t="s">
        <v>8</v>
      </c>
      <c r="AT342" s="27" t="s">
        <v>7</v>
      </c>
      <c r="AV342" s="27" t="s">
        <v>7</v>
      </c>
      <c r="AX342" s="27" t="s">
        <v>7</v>
      </c>
      <c r="BQ342" s="27" t="s">
        <v>8</v>
      </c>
      <c r="BU342" s="27" t="s">
        <v>8</v>
      </c>
      <c r="BW342" s="27" t="s">
        <v>8</v>
      </c>
      <c r="BX342" s="27" t="s">
        <v>7</v>
      </c>
      <c r="CC342" s="27" t="s">
        <v>8</v>
      </c>
      <c r="CD342" s="27" t="s">
        <v>7</v>
      </c>
      <c r="CE342" s="27" t="s">
        <v>8</v>
      </c>
      <c r="CP342" s="27" t="s">
        <v>7</v>
      </c>
      <c r="CQ342" s="27" t="s">
        <v>8</v>
      </c>
      <c r="CR342" s="27" t="s">
        <v>7</v>
      </c>
      <c r="JJ342" s="27" t="s">
        <v>7</v>
      </c>
      <c r="JK342" s="27" t="s">
        <v>8</v>
      </c>
      <c r="JL342" s="27" t="s">
        <v>7</v>
      </c>
      <c r="JM342" s="27" t="s">
        <v>8</v>
      </c>
      <c r="JN342" s="27" t="s">
        <v>7</v>
      </c>
    </row>
    <row r="343" spans="1:274" x14ac:dyDescent="0.25">
      <c r="A343" s="7">
        <v>125.44169391126938</v>
      </c>
      <c r="B343"/>
      <c r="C343"/>
      <c r="D343"/>
      <c r="E343" t="s">
        <v>8</v>
      </c>
      <c r="N343" s="27" t="s">
        <v>7</v>
      </c>
      <c r="O343" s="27" t="s">
        <v>8</v>
      </c>
      <c r="R343" s="27" t="s">
        <v>7</v>
      </c>
      <c r="S343" s="27" t="s">
        <v>8</v>
      </c>
      <c r="AR343" s="27" t="s">
        <v>7</v>
      </c>
      <c r="AX343" s="27" t="s">
        <v>7</v>
      </c>
      <c r="AY343" s="27" t="s">
        <v>8</v>
      </c>
      <c r="BQ343" s="27" t="s">
        <v>8</v>
      </c>
      <c r="BR343" s="27" t="s">
        <v>7</v>
      </c>
      <c r="BS343" s="27" t="s">
        <v>8</v>
      </c>
      <c r="BU343" s="27" t="s">
        <v>8</v>
      </c>
      <c r="BV343" s="27" t="s">
        <v>7</v>
      </c>
      <c r="BW343" s="27" t="s">
        <v>8</v>
      </c>
      <c r="BX343" s="27" t="s">
        <v>7</v>
      </c>
      <c r="CC343" s="27" t="s">
        <v>8</v>
      </c>
      <c r="CD343" s="27" t="s">
        <v>7</v>
      </c>
      <c r="CP343" s="27" t="s">
        <v>7</v>
      </c>
      <c r="CQ343" s="27" t="s">
        <v>8</v>
      </c>
      <c r="JJ343" s="27" t="s">
        <v>7</v>
      </c>
      <c r="JK343" s="27" t="s">
        <v>8</v>
      </c>
      <c r="JL343" s="27" t="s">
        <v>7</v>
      </c>
      <c r="JM343" s="27" t="s">
        <v>8</v>
      </c>
      <c r="JN343" s="27" t="s">
        <v>7</v>
      </c>
    </row>
    <row r="344" spans="1:274" x14ac:dyDescent="0.25">
      <c r="A344" s="7">
        <v>122.98205285418567</v>
      </c>
      <c r="B344"/>
      <c r="C344"/>
      <c r="D344"/>
      <c r="E344" t="s">
        <v>8</v>
      </c>
      <c r="N344" s="27" t="s">
        <v>7</v>
      </c>
      <c r="R344" s="27" t="s">
        <v>7</v>
      </c>
      <c r="S344" s="27" t="s">
        <v>8</v>
      </c>
      <c r="AX344" s="27" t="s">
        <v>7</v>
      </c>
      <c r="AY344" s="27" t="s">
        <v>8</v>
      </c>
      <c r="AZ344" s="27" t="s">
        <v>7</v>
      </c>
      <c r="BA344" s="27" t="s">
        <v>8</v>
      </c>
      <c r="BQ344" s="27" t="s">
        <v>8</v>
      </c>
      <c r="BR344" s="27" t="s">
        <v>7</v>
      </c>
      <c r="BS344" s="27" t="s">
        <v>8</v>
      </c>
      <c r="BT344" s="27" t="s">
        <v>7</v>
      </c>
      <c r="BU344" s="27" t="s">
        <v>8</v>
      </c>
      <c r="BV344" s="27" t="s">
        <v>7</v>
      </c>
      <c r="BW344" s="27" t="s">
        <v>8</v>
      </c>
      <c r="BX344" s="27" t="s">
        <v>7</v>
      </c>
      <c r="CC344" s="27" t="s">
        <v>8</v>
      </c>
      <c r="CP344" s="27" t="s">
        <v>7</v>
      </c>
      <c r="JJ344" s="27" t="s">
        <v>7</v>
      </c>
      <c r="JK344" s="27" t="s">
        <v>8</v>
      </c>
      <c r="JL344" s="27" t="s">
        <v>7</v>
      </c>
      <c r="JM344" s="27" t="s">
        <v>8</v>
      </c>
      <c r="JN344" s="27" t="s">
        <v>7</v>
      </c>
    </row>
    <row r="345" spans="1:274" x14ac:dyDescent="0.25">
      <c r="A345" s="7">
        <v>120.5706400531232</v>
      </c>
      <c r="B345"/>
      <c r="C345"/>
      <c r="D345"/>
      <c r="E345" t="s">
        <v>8</v>
      </c>
      <c r="R345" s="27" t="s">
        <v>7</v>
      </c>
      <c r="S345" s="27" t="s">
        <v>8</v>
      </c>
      <c r="AX345" s="27" t="s">
        <v>7</v>
      </c>
      <c r="AY345" s="27" t="s">
        <v>8</v>
      </c>
      <c r="AZ345" s="27" t="s">
        <v>7</v>
      </c>
      <c r="BA345" s="27" t="s">
        <v>8</v>
      </c>
      <c r="BB345" s="27" t="s">
        <v>7</v>
      </c>
      <c r="BC345" s="27" t="s">
        <v>8</v>
      </c>
      <c r="BI345" s="27" t="s">
        <v>8</v>
      </c>
      <c r="BQ345" s="27" t="s">
        <v>8</v>
      </c>
      <c r="BR345" s="27" t="s">
        <v>7</v>
      </c>
      <c r="BS345" s="27" t="s">
        <v>8</v>
      </c>
      <c r="BT345" s="27" t="s">
        <v>7</v>
      </c>
      <c r="BU345" s="27" t="s">
        <v>8</v>
      </c>
      <c r="BV345" s="27" t="s">
        <v>7</v>
      </c>
      <c r="BW345" s="27" t="s">
        <v>8</v>
      </c>
      <c r="BX345" s="27" t="s">
        <v>7</v>
      </c>
      <c r="CC345" s="27" t="s">
        <v>8</v>
      </c>
      <c r="JJ345" s="27" t="s">
        <v>7</v>
      </c>
      <c r="JK345" s="27" t="s">
        <v>8</v>
      </c>
      <c r="JL345" s="27" t="s">
        <v>7</v>
      </c>
      <c r="JM345" s="27" t="s">
        <v>8</v>
      </c>
    </row>
    <row r="346" spans="1:274" x14ac:dyDescent="0.25">
      <c r="A346" s="7">
        <v>118.20650985600314</v>
      </c>
      <c r="B346"/>
      <c r="C346"/>
      <c r="D346"/>
      <c r="E346" t="s">
        <v>8</v>
      </c>
      <c r="R346" s="27" t="s">
        <v>7</v>
      </c>
      <c r="S346" s="27" t="s">
        <v>8</v>
      </c>
      <c r="AX346" s="27" t="s">
        <v>7</v>
      </c>
      <c r="AZ346" s="27" t="s">
        <v>7</v>
      </c>
      <c r="BA346" s="27" t="s">
        <v>8</v>
      </c>
      <c r="BB346" s="27" t="s">
        <v>7</v>
      </c>
      <c r="BC346" s="27" t="s">
        <v>8</v>
      </c>
      <c r="BD346" s="27" t="s">
        <v>7</v>
      </c>
      <c r="BI346" s="27" t="s">
        <v>8</v>
      </c>
      <c r="BJ346" s="27" t="s">
        <v>7</v>
      </c>
      <c r="BQ346" s="27" t="s">
        <v>8</v>
      </c>
      <c r="BR346" s="27" t="s">
        <v>7</v>
      </c>
      <c r="BS346" s="27" t="s">
        <v>8</v>
      </c>
      <c r="BT346" s="27" t="s">
        <v>7</v>
      </c>
      <c r="BU346" s="27" t="s">
        <v>8</v>
      </c>
      <c r="BV346" s="27" t="s">
        <v>7</v>
      </c>
      <c r="BW346" s="27" t="s">
        <v>8</v>
      </c>
      <c r="BX346" s="27" t="s">
        <v>7</v>
      </c>
      <c r="CC346" s="27" t="s">
        <v>8</v>
      </c>
      <c r="JJ346" s="27" t="s">
        <v>7</v>
      </c>
      <c r="JK346" s="27" t="s">
        <v>8</v>
      </c>
      <c r="JL346" s="27" t="s">
        <v>7</v>
      </c>
      <c r="JM346" s="27" t="s">
        <v>8</v>
      </c>
    </row>
    <row r="347" spans="1:274" x14ac:dyDescent="0.25">
      <c r="A347" s="7">
        <v>115.88873515294425</v>
      </c>
      <c r="B347"/>
      <c r="C347"/>
      <c r="D347"/>
      <c r="E347" t="s">
        <v>8</v>
      </c>
      <c r="R347" s="27" t="s">
        <v>7</v>
      </c>
      <c r="S347" s="27" t="s">
        <v>8</v>
      </c>
      <c r="AZ347" s="27" t="s">
        <v>7</v>
      </c>
      <c r="BA347" s="27" t="s">
        <v>8</v>
      </c>
      <c r="BB347" s="27" t="s">
        <v>7</v>
      </c>
      <c r="BC347" s="27" t="s">
        <v>8</v>
      </c>
      <c r="BD347" s="27" t="s">
        <v>7</v>
      </c>
      <c r="BI347" s="27" t="s">
        <v>8</v>
      </c>
      <c r="BJ347" s="27" t="s">
        <v>7</v>
      </c>
      <c r="BQ347" s="27" t="s">
        <v>8</v>
      </c>
      <c r="BR347" s="27" t="s">
        <v>7</v>
      </c>
      <c r="BT347" s="27" t="s">
        <v>7</v>
      </c>
      <c r="BU347" s="27" t="s">
        <v>8</v>
      </c>
      <c r="BV347" s="27" t="s">
        <v>7</v>
      </c>
      <c r="BW347" s="27" t="s">
        <v>8</v>
      </c>
      <c r="BX347" s="27" t="s">
        <v>7</v>
      </c>
      <c r="CA347" s="27" t="s">
        <v>8</v>
      </c>
      <c r="CC347" s="27" t="s">
        <v>8</v>
      </c>
      <c r="JJ347" s="27" t="s">
        <v>7</v>
      </c>
      <c r="JK347" s="27" t="s">
        <v>8</v>
      </c>
      <c r="JL347" s="27" t="s">
        <v>7</v>
      </c>
      <c r="JM347" s="27" t="s">
        <v>8</v>
      </c>
    </row>
    <row r="348" spans="1:274" x14ac:dyDescent="0.25">
      <c r="A348" s="7">
        <v>113.61640701269044</v>
      </c>
      <c r="B348"/>
      <c r="C348"/>
      <c r="D348"/>
      <c r="E348" t="s">
        <v>8</v>
      </c>
      <c r="R348" s="27" t="s">
        <v>7</v>
      </c>
      <c r="S348" s="27" t="s">
        <v>8</v>
      </c>
      <c r="AZ348" s="27" t="s">
        <v>7</v>
      </c>
      <c r="BA348" s="27" t="s">
        <v>8</v>
      </c>
      <c r="BB348" s="27" t="s">
        <v>7</v>
      </c>
      <c r="BC348" s="27" t="s">
        <v>8</v>
      </c>
      <c r="BD348" s="27" t="s">
        <v>7</v>
      </c>
      <c r="BI348" s="27" t="s">
        <v>8</v>
      </c>
      <c r="BJ348" s="27" t="s">
        <v>7</v>
      </c>
      <c r="BO348" s="27" t="s">
        <v>8</v>
      </c>
      <c r="BQ348" s="27" t="s">
        <v>8</v>
      </c>
      <c r="BT348" s="27" t="s">
        <v>7</v>
      </c>
      <c r="BU348" s="27" t="s">
        <v>8</v>
      </c>
      <c r="BV348" s="27" t="s">
        <v>7</v>
      </c>
      <c r="BX348" s="27" t="s">
        <v>7</v>
      </c>
      <c r="CA348" s="27" t="s">
        <v>8</v>
      </c>
      <c r="CB348" s="27" t="s">
        <v>7</v>
      </c>
      <c r="CC348" s="27" t="s">
        <v>8</v>
      </c>
      <c r="JJ348" s="27" t="s">
        <v>7</v>
      </c>
      <c r="JK348" s="27" t="s">
        <v>8</v>
      </c>
      <c r="JL348" s="27" t="s">
        <v>7</v>
      </c>
      <c r="JM348" s="27" t="s">
        <v>8</v>
      </c>
    </row>
    <row r="349" spans="1:274" x14ac:dyDescent="0.25">
      <c r="A349" s="7">
        <v>111.38863432616711</v>
      </c>
      <c r="B349"/>
      <c r="C349"/>
      <c r="D349"/>
      <c r="E349" t="s">
        <v>8</v>
      </c>
      <c r="R349" s="27" t="s">
        <v>7</v>
      </c>
      <c r="AZ349" s="27" t="s">
        <v>7</v>
      </c>
      <c r="BA349" s="27" t="s">
        <v>8</v>
      </c>
      <c r="BB349" s="27" t="s">
        <v>7</v>
      </c>
      <c r="BD349" s="27" t="s">
        <v>7</v>
      </c>
      <c r="BI349" s="27" t="s">
        <v>8</v>
      </c>
      <c r="BJ349" s="27" t="s">
        <v>7</v>
      </c>
      <c r="BM349" s="27" t="s">
        <v>8</v>
      </c>
      <c r="BO349" s="27" t="s">
        <v>8</v>
      </c>
      <c r="BP349" s="27" t="s">
        <v>7</v>
      </c>
      <c r="BQ349" s="27" t="s">
        <v>8</v>
      </c>
      <c r="BT349" s="27" t="s">
        <v>7</v>
      </c>
      <c r="BU349" s="27" t="s">
        <v>8</v>
      </c>
      <c r="BX349" s="27" t="s">
        <v>7</v>
      </c>
      <c r="CA349" s="27" t="s">
        <v>8</v>
      </c>
      <c r="CB349" s="27" t="s">
        <v>7</v>
      </c>
      <c r="CC349" s="27" t="s">
        <v>8</v>
      </c>
      <c r="JJ349" s="27" t="s">
        <v>7</v>
      </c>
      <c r="JL349" s="27" t="s">
        <v>7</v>
      </c>
    </row>
    <row r="350" spans="1:274" x14ac:dyDescent="0.25">
      <c r="A350" s="7">
        <v>109.20454345702657</v>
      </c>
      <c r="B350"/>
      <c r="C350"/>
      <c r="D350"/>
      <c r="E350" t="s">
        <v>8</v>
      </c>
      <c r="AZ350" s="27" t="s">
        <v>7</v>
      </c>
      <c r="BA350" s="27" t="s">
        <v>8</v>
      </c>
      <c r="BD350" s="27" t="s">
        <v>7</v>
      </c>
      <c r="BI350" s="27" t="s">
        <v>8</v>
      </c>
      <c r="BJ350" s="27" t="s">
        <v>7</v>
      </c>
      <c r="BM350" s="27" t="s">
        <v>8</v>
      </c>
      <c r="BN350" s="27" t="s">
        <v>7</v>
      </c>
      <c r="BO350" s="27" t="s">
        <v>8</v>
      </c>
      <c r="BP350" s="27" t="s">
        <v>7</v>
      </c>
      <c r="BQ350" s="27" t="s">
        <v>8</v>
      </c>
      <c r="BT350" s="27" t="s">
        <v>7</v>
      </c>
      <c r="BU350" s="27" t="s">
        <v>8</v>
      </c>
      <c r="BX350" s="27" t="s">
        <v>7</v>
      </c>
      <c r="BY350" s="27" t="s">
        <v>8</v>
      </c>
      <c r="CA350" s="27" t="s">
        <v>8</v>
      </c>
      <c r="CB350" s="27" t="s">
        <v>7</v>
      </c>
      <c r="CC350" s="27" t="s">
        <v>8</v>
      </c>
    </row>
    <row r="351" spans="1:274" x14ac:dyDescent="0.25">
      <c r="A351" s="7">
        <v>107.06327789904566</v>
      </c>
      <c r="B351"/>
      <c r="C351"/>
      <c r="D351"/>
      <c r="E351" t="s">
        <v>8</v>
      </c>
      <c r="AZ351" s="27" t="s">
        <v>7</v>
      </c>
      <c r="BA351" s="27" t="s">
        <v>8</v>
      </c>
      <c r="BD351" s="27" t="s">
        <v>7</v>
      </c>
      <c r="BE351" s="27" t="s">
        <v>8</v>
      </c>
      <c r="BG351" s="27" t="s">
        <v>8</v>
      </c>
      <c r="BI351" s="27" t="s">
        <v>8</v>
      </c>
      <c r="BJ351" s="27" t="s">
        <v>7</v>
      </c>
      <c r="BM351" s="27" t="s">
        <v>8</v>
      </c>
      <c r="BN351" s="27" t="s">
        <v>7</v>
      </c>
      <c r="BO351" s="27" t="s">
        <v>8</v>
      </c>
      <c r="BP351" s="27" t="s">
        <v>7</v>
      </c>
      <c r="BQ351" s="27" t="s">
        <v>8</v>
      </c>
      <c r="BT351" s="27" t="s">
        <v>7</v>
      </c>
      <c r="BX351" s="27" t="s">
        <v>7</v>
      </c>
      <c r="BY351" s="27" t="s">
        <v>8</v>
      </c>
      <c r="BZ351" s="27" t="s">
        <v>7</v>
      </c>
      <c r="CA351" s="27" t="s">
        <v>8</v>
      </c>
      <c r="CB351" s="27" t="s">
        <v>7</v>
      </c>
      <c r="CC351" s="27" t="s">
        <v>8</v>
      </c>
    </row>
    <row r="352" spans="1:274" x14ac:dyDescent="0.25">
      <c r="A352" s="7">
        <v>104.96399794024084</v>
      </c>
      <c r="B352"/>
      <c r="C352"/>
      <c r="D352"/>
      <c r="E352" t="s">
        <v>8</v>
      </c>
      <c r="AZ352" s="27" t="s">
        <v>7</v>
      </c>
      <c r="BA352" s="27" t="s">
        <v>8</v>
      </c>
      <c r="BD352" s="27" t="s">
        <v>7</v>
      </c>
      <c r="BE352" s="27" t="s">
        <v>8</v>
      </c>
      <c r="BF352" s="27" t="s">
        <v>7</v>
      </c>
      <c r="BG352" s="27" t="s">
        <v>8</v>
      </c>
      <c r="BH352" s="27" t="s">
        <v>7</v>
      </c>
      <c r="BI352" s="27" t="s">
        <v>8</v>
      </c>
      <c r="BJ352" s="27" t="s">
        <v>7</v>
      </c>
      <c r="BM352" s="27" t="s">
        <v>8</v>
      </c>
      <c r="BN352" s="27" t="s">
        <v>7</v>
      </c>
      <c r="BO352" s="27" t="s">
        <v>8</v>
      </c>
      <c r="BP352" s="27" t="s">
        <v>7</v>
      </c>
      <c r="BQ352" s="27" t="s">
        <v>8</v>
      </c>
      <c r="BX352" s="27" t="s">
        <v>7</v>
      </c>
      <c r="BY352" s="27" t="s">
        <v>8</v>
      </c>
      <c r="BZ352" s="27" t="s">
        <v>7</v>
      </c>
      <c r="CA352" s="27" t="s">
        <v>8</v>
      </c>
      <c r="CB352" s="27" t="s">
        <v>7</v>
      </c>
    </row>
    <row r="353" spans="1:78" x14ac:dyDescent="0.25">
      <c r="A353" s="7">
        <v>102.90588033356946</v>
      </c>
      <c r="B353"/>
      <c r="C353"/>
      <c r="D353"/>
      <c r="E353" t="s">
        <v>8</v>
      </c>
      <c r="AZ353" s="27" t="s">
        <v>7</v>
      </c>
      <c r="BD353" s="27" t="s">
        <v>7</v>
      </c>
      <c r="BE353" s="27" t="s">
        <v>8</v>
      </c>
      <c r="BF353" s="27" t="s">
        <v>7</v>
      </c>
      <c r="BG353" s="27" t="s">
        <v>8</v>
      </c>
      <c r="BH353" s="27" t="s">
        <v>7</v>
      </c>
      <c r="BI353" s="27" t="s">
        <v>8</v>
      </c>
      <c r="BJ353" s="27" t="s">
        <v>7</v>
      </c>
      <c r="BM353" s="27" t="s">
        <v>8</v>
      </c>
      <c r="BN353" s="27" t="s">
        <v>7</v>
      </c>
      <c r="BO353" s="27" t="s">
        <v>8</v>
      </c>
      <c r="BP353" s="27" t="s">
        <v>7</v>
      </c>
      <c r="BQ353" s="27" t="s">
        <v>8</v>
      </c>
      <c r="BX353" s="27" t="s">
        <v>7</v>
      </c>
      <c r="BY353" s="27" t="s">
        <v>8</v>
      </c>
      <c r="BZ353" s="27" t="s">
        <v>7</v>
      </c>
    </row>
    <row r="354" spans="1:78" x14ac:dyDescent="0.25">
      <c r="A354" s="7">
        <v>100.88811797408771</v>
      </c>
      <c r="B354"/>
      <c r="C354"/>
      <c r="D354"/>
      <c r="E354" t="s">
        <v>8</v>
      </c>
      <c r="BD354" s="27" t="s">
        <v>7</v>
      </c>
      <c r="BF354" s="27" t="s">
        <v>7</v>
      </c>
      <c r="BG354" s="27" t="s">
        <v>8</v>
      </c>
      <c r="BH354" s="27" t="s">
        <v>7</v>
      </c>
      <c r="BI354" s="27" t="s">
        <v>8</v>
      </c>
      <c r="BJ354" s="27" t="s">
        <v>7</v>
      </c>
      <c r="BM354" s="27" t="s">
        <v>8</v>
      </c>
      <c r="BN354" s="27" t="s">
        <v>7</v>
      </c>
      <c r="BO354" s="27" t="s">
        <v>8</v>
      </c>
      <c r="BP354" s="27" t="s">
        <v>7</v>
      </c>
      <c r="BX354" s="27" t="s">
        <v>7</v>
      </c>
      <c r="BY354" s="27" t="s">
        <v>8</v>
      </c>
    </row>
    <row r="355" spans="1:78" x14ac:dyDescent="0.25">
      <c r="A355" s="7">
        <v>98.909919582438931</v>
      </c>
      <c r="B355"/>
      <c r="C355"/>
      <c r="D355"/>
      <c r="E355" t="s">
        <v>8</v>
      </c>
      <c r="BF355" s="27" t="s">
        <v>7</v>
      </c>
      <c r="BG355" s="27" t="s">
        <v>8</v>
      </c>
      <c r="BH355" s="27" t="s">
        <v>7</v>
      </c>
      <c r="BJ355" s="27" t="s">
        <v>7</v>
      </c>
      <c r="BK355" s="27" t="s">
        <v>8</v>
      </c>
      <c r="BM355" s="27" t="s">
        <v>8</v>
      </c>
      <c r="BN355" s="27" t="s">
        <v>7</v>
      </c>
      <c r="BO355" s="27" t="s">
        <v>8</v>
      </c>
      <c r="BX355" s="27" t="s">
        <v>7</v>
      </c>
    </row>
    <row r="356" spans="1:78" x14ac:dyDescent="0.25">
      <c r="A356" s="7">
        <v>96.970509394547975</v>
      </c>
      <c r="B356"/>
      <c r="C356"/>
      <c r="D356"/>
      <c r="E356" t="s">
        <v>8</v>
      </c>
      <c r="BF356" s="27" t="s">
        <v>7</v>
      </c>
      <c r="BG356" s="27" t="s">
        <v>8</v>
      </c>
      <c r="BJ356" s="27" t="s">
        <v>7</v>
      </c>
      <c r="BK356" s="27" t="s">
        <v>8</v>
      </c>
      <c r="BL356" s="27" t="s">
        <v>7</v>
      </c>
      <c r="BM356" s="27" t="s">
        <v>8</v>
      </c>
      <c r="BN356" s="27" t="s">
        <v>7</v>
      </c>
      <c r="BO356" s="27" t="s">
        <v>8</v>
      </c>
    </row>
    <row r="357" spans="1:78" x14ac:dyDescent="0.25">
      <c r="A357" s="7">
        <v>95.069126857399979</v>
      </c>
      <c r="B357"/>
      <c r="C357"/>
      <c r="D357"/>
      <c r="E357" t="s">
        <v>8</v>
      </c>
      <c r="BF357" s="27" t="s">
        <v>7</v>
      </c>
      <c r="BG357" s="27" t="s">
        <v>8</v>
      </c>
      <c r="BJ357" s="27" t="s">
        <v>7</v>
      </c>
      <c r="BK357" s="27" t="s">
        <v>8</v>
      </c>
      <c r="BL357" s="27" t="s">
        <v>7</v>
      </c>
      <c r="BM357" s="27" t="s">
        <v>8</v>
      </c>
      <c r="BN357" s="27" t="s">
        <v>7</v>
      </c>
      <c r="BO357" s="27" t="s">
        <v>8</v>
      </c>
    </row>
    <row r="358" spans="1:78" x14ac:dyDescent="0.25">
      <c r="A358" s="7">
        <v>93.205026330784293</v>
      </c>
      <c r="B358"/>
      <c r="C358"/>
      <c r="D358"/>
      <c r="E358" t="s">
        <v>8</v>
      </c>
      <c r="BF358" s="27" t="s">
        <v>7</v>
      </c>
      <c r="BJ358" s="27" t="s">
        <v>7</v>
      </c>
      <c r="BK358" s="27" t="s">
        <v>8</v>
      </c>
      <c r="BL358" s="27" t="s">
        <v>7</v>
      </c>
      <c r="BM358" s="27" t="s">
        <v>8</v>
      </c>
      <c r="BN358" s="27" t="s">
        <v>7</v>
      </c>
      <c r="BO358" s="27" t="s">
        <v>8</v>
      </c>
    </row>
    <row r="359" spans="1:78" x14ac:dyDescent="0.25">
      <c r="A359" s="7">
        <v>91.377476794886562</v>
      </c>
      <c r="B359"/>
      <c r="C359"/>
      <c r="D359"/>
      <c r="E359" t="s">
        <v>8</v>
      </c>
      <c r="BJ359" s="27" t="s">
        <v>7</v>
      </c>
      <c r="BK359" s="27" t="s">
        <v>8</v>
      </c>
      <c r="BL359" s="27" t="s">
        <v>7</v>
      </c>
      <c r="BM359" s="27" t="s">
        <v>8</v>
      </c>
      <c r="BN359" s="27" t="s">
        <v>7</v>
      </c>
    </row>
    <row r="360" spans="1:78" x14ac:dyDescent="0.25">
      <c r="A360" s="7">
        <v>89.58576156361427</v>
      </c>
      <c r="B360"/>
      <c r="C360"/>
      <c r="D360"/>
      <c r="E360" t="s">
        <v>8</v>
      </c>
      <c r="BJ360" s="27" t="s">
        <v>7</v>
      </c>
      <c r="BL360" s="27" t="s">
        <v>7</v>
      </c>
      <c r="BM360" s="27" t="s">
        <v>8</v>
      </c>
    </row>
    <row r="361" spans="1:78" x14ac:dyDescent="0.25">
      <c r="A361" s="7">
        <v>87.829178003543404</v>
      </c>
      <c r="B361"/>
      <c r="C361"/>
      <c r="D361"/>
      <c r="E361" t="s">
        <v>8</v>
      </c>
      <c r="BL361" s="27" t="s">
        <v>7</v>
      </c>
      <c r="BM361" s="27" t="s">
        <v>8</v>
      </c>
    </row>
    <row r="362" spans="1:78" x14ac:dyDescent="0.25">
      <c r="A362" s="7">
        <v>86.107037258375883</v>
      </c>
      <c r="B362"/>
      <c r="C362"/>
      <c r="D362"/>
      <c r="E362" t="s">
        <v>8</v>
      </c>
      <c r="BL362" s="27" t="s">
        <v>7</v>
      </c>
      <c r="BM362" s="27" t="s">
        <v>8</v>
      </c>
    </row>
    <row r="363" spans="1:78" x14ac:dyDescent="0.25">
      <c r="A363" s="7">
        <v>84.418663978799884</v>
      </c>
      <c r="B363"/>
      <c r="C363"/>
      <c r="D363"/>
      <c r="E363" t="s">
        <v>8</v>
      </c>
      <c r="BL363" s="27" t="s">
        <v>7</v>
      </c>
      <c r="BM363" s="27" t="s">
        <v>8</v>
      </c>
    </row>
    <row r="364" spans="1:78" x14ac:dyDescent="0.25">
      <c r="A364" s="7">
        <v>82.763396057646943</v>
      </c>
      <c r="B364"/>
      <c r="C364"/>
      <c r="D364"/>
      <c r="E364" t="s">
        <v>8</v>
      </c>
      <c r="BL364" s="27" t="s">
        <v>7</v>
      </c>
      <c r="BM364" s="27" t="s">
        <v>8</v>
      </c>
    </row>
    <row r="365" spans="1:78" x14ac:dyDescent="0.25">
      <c r="A365" s="7">
        <v>81.140584370242095</v>
      </c>
      <c r="B365"/>
      <c r="C365"/>
      <c r="D365"/>
      <c r="E365" t="s">
        <v>8</v>
      </c>
      <c r="BL365" s="27" t="s">
        <v>7</v>
      </c>
    </row>
    <row r="366" spans="1:78" x14ac:dyDescent="0.25">
      <c r="A366" s="7">
        <v>79.549592519845191</v>
      </c>
      <c r="B366"/>
      <c r="C366"/>
      <c r="D366"/>
      <c r="E366" t="s">
        <v>8</v>
      </c>
    </row>
    <row r="367" spans="1:78" x14ac:dyDescent="0.25">
      <c r="A367" s="7">
        <v>77.989796588083522</v>
      </c>
      <c r="B367"/>
      <c r="C367"/>
      <c r="D367"/>
      <c r="E367" t="s">
        <v>8</v>
      </c>
    </row>
    <row r="368" spans="1:78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87" operator="equal">
      <formula>$U$1</formula>
    </cfRule>
    <cfRule type="cellIs" dxfId="89" priority="988" operator="equal">
      <formula>$S$1</formula>
    </cfRule>
  </conditionalFormatting>
  <conditionalFormatting sqref="D27">
    <cfRule type="cellIs" dxfId="88" priority="985" operator="equal">
      <formula>$S$1</formula>
    </cfRule>
    <cfRule type="cellIs" dxfId="87" priority="986" operator="equal">
      <formula>$U$1</formula>
    </cfRule>
  </conditionalFormatting>
  <conditionalFormatting sqref="C164">
    <cfRule type="cellIs" dxfId="86" priority="983" operator="equal">
      <formula>$U$1</formula>
    </cfRule>
    <cfRule type="cellIs" dxfId="85" priority="984" operator="equal">
      <formula>$S$1</formula>
    </cfRule>
  </conditionalFormatting>
  <conditionalFormatting sqref="D164">
    <cfRule type="cellIs" dxfId="84" priority="981" operator="equal">
      <formula>$S$1</formula>
    </cfRule>
    <cfRule type="cellIs" dxfId="83" priority="982" operator="equal">
      <formula>$U$1</formula>
    </cfRule>
  </conditionalFormatting>
  <conditionalFormatting sqref="C55">
    <cfRule type="cellIs" dxfId="82" priority="979" operator="equal">
      <formula>$U$1</formula>
    </cfRule>
    <cfRule type="cellIs" dxfId="81" priority="980" operator="equal">
      <formula>$S$1</formula>
    </cfRule>
  </conditionalFormatting>
  <conditionalFormatting sqref="D55">
    <cfRule type="cellIs" dxfId="80" priority="977" operator="equal">
      <formula>$S$1</formula>
    </cfRule>
    <cfRule type="cellIs" dxfId="79" priority="978" operator="equal">
      <formula>$U$1</formula>
    </cfRule>
  </conditionalFormatting>
  <conditionalFormatting sqref="C89">
    <cfRule type="cellIs" dxfId="78" priority="975" operator="equal">
      <formula>$U$1</formula>
    </cfRule>
    <cfRule type="cellIs" dxfId="77" priority="976" operator="equal">
      <formula>$S$1</formula>
    </cfRule>
  </conditionalFormatting>
  <conditionalFormatting sqref="D89">
    <cfRule type="cellIs" dxfId="76" priority="973" operator="equal">
      <formula>$S$1</formula>
    </cfRule>
    <cfRule type="cellIs" dxfId="75" priority="974" operator="equal">
      <formula>$U$1</formula>
    </cfRule>
  </conditionalFormatting>
  <conditionalFormatting sqref="C136">
    <cfRule type="cellIs" dxfId="74" priority="971" operator="equal">
      <formula>$U$1</formula>
    </cfRule>
    <cfRule type="cellIs" dxfId="73" priority="972" operator="equal">
      <formula>$S$1</formula>
    </cfRule>
  </conditionalFormatting>
  <conditionalFormatting sqref="D136">
    <cfRule type="cellIs" dxfId="72" priority="969" operator="equal">
      <formula>$S$1</formula>
    </cfRule>
    <cfRule type="cellIs" dxfId="71" priority="970" operator="equal">
      <formula>$U$1</formula>
    </cfRule>
  </conditionalFormatting>
  <conditionalFormatting sqref="C1">
    <cfRule type="cellIs" dxfId="70" priority="96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04" zoomScale="90" zoomScaleNormal="90" workbookViewId="0">
      <pane xSplit="4" topLeftCell="BK1" activePane="topRight" state="frozen"/>
      <selection activeCell="A109" sqref="A109"/>
      <selection pane="topRight" activeCell="DW140" sqref="DW14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99" x14ac:dyDescent="0.25">
      <c r="A97" s="30">
        <v>1071.6914527012709</v>
      </c>
      <c r="C97" s="7">
        <v>0.11686133436193799</v>
      </c>
      <c r="D97"/>
      <c r="E97"/>
    </row>
    <row r="98" spans="1:99" x14ac:dyDescent="0.25">
      <c r="A98" s="30">
        <v>1020.6585263821628</v>
      </c>
      <c r="E98"/>
    </row>
    <row r="99" spans="1:99" x14ac:dyDescent="0.25">
      <c r="A99" s="30">
        <v>972.05573941158355</v>
      </c>
      <c r="C99" s="1" t="s">
        <v>11</v>
      </c>
      <c r="D99" s="1" t="s">
        <v>12</v>
      </c>
      <c r="E99"/>
    </row>
    <row r="100" spans="1:99" x14ac:dyDescent="0.25">
      <c r="A100" s="30">
        <v>925.76737086817479</v>
      </c>
      <c r="C100"/>
      <c r="D100"/>
      <c r="E100"/>
    </row>
    <row r="101" spans="1:99" x14ac:dyDescent="0.25">
      <c r="A101" s="30">
        <v>881.68321035064264</v>
      </c>
      <c r="E101"/>
      <c r="BU101" s="31" t="s">
        <v>8</v>
      </c>
    </row>
    <row r="102" spans="1:99" x14ac:dyDescent="0.25">
      <c r="A102" s="30">
        <v>839.69829557204059</v>
      </c>
      <c r="C102" s="1" t="s">
        <v>13</v>
      </c>
      <c r="E102"/>
      <c r="BS102" s="27" t="s">
        <v>8</v>
      </c>
      <c r="BU102" s="27" t="s">
        <v>8</v>
      </c>
      <c r="BV102" s="31" t="s">
        <v>7</v>
      </c>
    </row>
    <row r="103" spans="1:99" x14ac:dyDescent="0.25">
      <c r="A103" s="30">
        <v>799.71266244956246</v>
      </c>
      <c r="C103" s="1">
        <f>C92</f>
        <v>0</v>
      </c>
      <c r="E103"/>
      <c r="BS103" s="27" t="s">
        <v>8</v>
      </c>
      <c r="BT103" s="27" t="s">
        <v>7</v>
      </c>
      <c r="BU103" s="27" t="s">
        <v>8</v>
      </c>
      <c r="BV103" s="27" t="s">
        <v>7</v>
      </c>
      <c r="BW103" s="31"/>
    </row>
    <row r="104" spans="1:99" x14ac:dyDescent="0.25">
      <c r="A104" s="30">
        <v>761.63110709482135</v>
      </c>
      <c r="C104"/>
      <c r="E104"/>
      <c r="BS104" s="27" t="s">
        <v>8</v>
      </c>
      <c r="BT104" s="27" t="s">
        <v>7</v>
      </c>
      <c r="BU104" s="27" t="s">
        <v>8</v>
      </c>
      <c r="BV104" s="27" t="s">
        <v>7</v>
      </c>
      <c r="BX104" s="31"/>
    </row>
    <row r="105" spans="1:99" x14ac:dyDescent="0.25">
      <c r="A105" s="30">
        <v>725.36295913792503</v>
      </c>
      <c r="C105" s="1" t="s">
        <v>14</v>
      </c>
      <c r="E105"/>
      <c r="BS105" s="27" t="s">
        <v>8</v>
      </c>
      <c r="BT105" s="27" t="s">
        <v>7</v>
      </c>
      <c r="BV105" s="27" t="s">
        <v>7</v>
      </c>
      <c r="BW105" s="27" t="s">
        <v>8</v>
      </c>
      <c r="BY105" s="31"/>
    </row>
    <row r="106" spans="1:99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BS106" s="27" t="s">
        <v>8</v>
      </c>
      <c r="BV106" s="33" t="s">
        <v>7</v>
      </c>
      <c r="BW106" s="27" t="s">
        <v>8</v>
      </c>
      <c r="BX106" s="27" t="s">
        <v>7</v>
      </c>
      <c r="BZ106" s="31"/>
    </row>
    <row r="107" spans="1:99" x14ac:dyDescent="0.25">
      <c r="A107" s="30">
        <v>657.92558651965976</v>
      </c>
      <c r="E107"/>
      <c r="BQ107" s="27" t="s">
        <v>8</v>
      </c>
      <c r="BS107" s="27" t="s">
        <v>8</v>
      </c>
      <c r="BV107" s="27" t="s">
        <v>7</v>
      </c>
      <c r="BW107" s="27" t="s">
        <v>8</v>
      </c>
      <c r="BX107" s="27" t="s">
        <v>7</v>
      </c>
      <c r="CA107" s="31"/>
    </row>
    <row r="108" spans="1:99" x14ac:dyDescent="0.25">
      <c r="A108" s="30">
        <v>626.59579668539027</v>
      </c>
      <c r="E108"/>
      <c r="BQ108" s="27" t="s">
        <v>8</v>
      </c>
      <c r="BR108" s="27" t="s">
        <v>7</v>
      </c>
      <c r="BS108" s="27" t="s">
        <v>8</v>
      </c>
      <c r="BV108" s="27" t="s">
        <v>7</v>
      </c>
      <c r="BX108" s="31" t="s">
        <v>7</v>
      </c>
      <c r="CB108" s="31"/>
    </row>
    <row r="109" spans="1:99" x14ac:dyDescent="0.25">
      <c r="A109" s="30">
        <v>596.75790160513361</v>
      </c>
      <c r="E109"/>
      <c r="BM109" s="27" t="s">
        <v>8</v>
      </c>
      <c r="BQ109" s="27" t="s">
        <v>8</v>
      </c>
      <c r="BR109" s="27" t="s">
        <v>7</v>
      </c>
      <c r="BS109" s="27" t="s">
        <v>8</v>
      </c>
      <c r="BW109" s="31"/>
      <c r="BX109" s="27" t="s">
        <v>7</v>
      </c>
      <c r="CC109" s="31"/>
    </row>
    <row r="110" spans="1:99" x14ac:dyDescent="0.25">
      <c r="A110" s="30">
        <v>568.34085867155579</v>
      </c>
      <c r="E110"/>
      <c r="AY110" s="27" t="s">
        <v>8</v>
      </c>
      <c r="BM110" s="27" t="s">
        <v>8</v>
      </c>
      <c r="BN110" s="27" t="s">
        <v>7</v>
      </c>
      <c r="BQ110" s="27" t="s">
        <v>8</v>
      </c>
      <c r="BR110" s="27" t="s">
        <v>7</v>
      </c>
      <c r="BS110" s="27" t="s">
        <v>8</v>
      </c>
      <c r="BV110" s="31"/>
      <c r="BX110" s="27" t="s">
        <v>7</v>
      </c>
      <c r="BY110" s="27" t="s">
        <v>8</v>
      </c>
      <c r="CD110" s="31"/>
    </row>
    <row r="111" spans="1:99" x14ac:dyDescent="0.25">
      <c r="A111" s="30">
        <v>541.27700825862451</v>
      </c>
      <c r="C111" s="1" t="str">
        <f>ADDRESS(C121-1,1,1,1)</f>
        <v>$A$139</v>
      </c>
      <c r="D111" s="1" t="str">
        <f>ADDRESS(C121-1,D121,1,1)</f>
        <v>$DW$139</v>
      </c>
      <c r="E111"/>
      <c r="AW111" s="27" t="s">
        <v>8</v>
      </c>
      <c r="AY111" s="27" t="s">
        <v>8</v>
      </c>
      <c r="AZ111" s="27" t="s">
        <v>7</v>
      </c>
      <c r="BK111" s="27" t="s">
        <v>8</v>
      </c>
      <c r="BM111" s="27" t="s">
        <v>8</v>
      </c>
      <c r="BN111" s="27" t="s">
        <v>7</v>
      </c>
      <c r="BQ111" s="34" t="s">
        <v>8</v>
      </c>
      <c r="BR111" s="27" t="s">
        <v>7</v>
      </c>
      <c r="BU111" s="31"/>
      <c r="BX111" s="27" t="s">
        <v>7</v>
      </c>
      <c r="BY111" s="27" t="s">
        <v>8</v>
      </c>
      <c r="BZ111" s="27" t="s">
        <v>7</v>
      </c>
      <c r="CE111" s="31"/>
    </row>
    <row r="112" spans="1:99" x14ac:dyDescent="0.25">
      <c r="A112" s="30">
        <v>515.50191262726139</v>
      </c>
      <c r="C112" s="1" t="str">
        <f>ADDRESS(C121,1,1,1)</f>
        <v>$A$140</v>
      </c>
      <c r="D112" s="1" t="str">
        <f>ADDRESS(C121,D121-1,1,1)</f>
        <v>$DV$140</v>
      </c>
      <c r="E112"/>
      <c r="AW112" s="27" t="s">
        <v>8</v>
      </c>
      <c r="AX112" s="27" t="s">
        <v>7</v>
      </c>
      <c r="AY112" s="27" t="s">
        <v>8</v>
      </c>
      <c r="AZ112" s="27" t="s">
        <v>7</v>
      </c>
      <c r="BI112" s="27" t="s">
        <v>8</v>
      </c>
      <c r="BK112" s="27" t="s">
        <v>8</v>
      </c>
      <c r="BL112" s="27" t="s">
        <v>7</v>
      </c>
      <c r="BM112" s="27" t="s">
        <v>8</v>
      </c>
      <c r="BN112" s="27" t="s">
        <v>7</v>
      </c>
      <c r="BO112" s="27" t="s">
        <v>8</v>
      </c>
      <c r="BQ112" s="27" t="s">
        <v>8</v>
      </c>
      <c r="BT112" s="31"/>
      <c r="BX112" s="27" t="s">
        <v>7</v>
      </c>
      <c r="BY112" s="27" t="s">
        <v>8</v>
      </c>
      <c r="BZ112" s="27" t="s">
        <v>7</v>
      </c>
      <c r="CF112" s="31"/>
      <c r="CM112" s="31" t="s">
        <v>8</v>
      </c>
      <c r="CQ112" s="27" t="s">
        <v>8</v>
      </c>
      <c r="CU112" s="27" t="s">
        <v>8</v>
      </c>
    </row>
    <row r="113" spans="1:125" x14ac:dyDescent="0.25">
      <c r="A113" s="30">
        <v>490.95420250215363</v>
      </c>
      <c r="C113" s="1" t="str">
        <f>ADDRESS(C121+1,1,1,1)</f>
        <v>$A$141</v>
      </c>
      <c r="D113" s="1" t="str">
        <f>ADDRESS(C121-1,D121+1,1,1)</f>
        <v>$DX$139</v>
      </c>
      <c r="AW113" s="27" t="s">
        <v>8</v>
      </c>
      <c r="AX113" s="27" t="s">
        <v>7</v>
      </c>
      <c r="AY113" s="27" t="s">
        <v>8</v>
      </c>
      <c r="AZ113" s="27" t="s">
        <v>7</v>
      </c>
      <c r="BA113" s="32" t="s">
        <v>8</v>
      </c>
      <c r="BC113" s="32" t="s">
        <v>8</v>
      </c>
      <c r="BI113" s="27" t="s">
        <v>8</v>
      </c>
      <c r="BJ113" s="27" t="s">
        <v>7</v>
      </c>
      <c r="BK113" s="27" t="s">
        <v>8</v>
      </c>
      <c r="BL113" s="27" t="s">
        <v>7</v>
      </c>
      <c r="BM113" s="27" t="s">
        <v>8</v>
      </c>
      <c r="BN113" s="27" t="s">
        <v>7</v>
      </c>
      <c r="BO113" s="27" t="s">
        <v>8</v>
      </c>
      <c r="BP113" s="27" t="s">
        <v>7</v>
      </c>
      <c r="BQ113" s="27" t="s">
        <v>8</v>
      </c>
      <c r="BS113" s="31"/>
      <c r="BX113" s="27" t="s">
        <v>7</v>
      </c>
      <c r="BY113" s="27" t="s">
        <v>8</v>
      </c>
      <c r="BZ113" s="27" t="s">
        <v>7</v>
      </c>
      <c r="CG113" s="31"/>
      <c r="CM113" s="27" t="s">
        <v>8</v>
      </c>
      <c r="CN113" s="31" t="s">
        <v>7</v>
      </c>
      <c r="CQ113" s="27" t="s">
        <v>8</v>
      </c>
      <c r="CR113" s="27" t="s">
        <v>7</v>
      </c>
      <c r="CS113" s="27" t="s">
        <v>8</v>
      </c>
      <c r="CU113" s="27" t="s">
        <v>8</v>
      </c>
      <c r="CV113" s="27" t="s">
        <v>7</v>
      </c>
    </row>
    <row r="114" spans="1:125" x14ac:dyDescent="0.25">
      <c r="A114" s="30">
        <v>467.57543095443202</v>
      </c>
      <c r="C114" s="1" t="str">
        <f>ADDRESS(C121,D121,1,1)</f>
        <v>$DW$140</v>
      </c>
      <c r="D114" s="1" t="str">
        <f>ADDRESS(C121+1,D121+1,1,1)</f>
        <v>$DX$141</v>
      </c>
      <c r="AW114" s="27" t="s">
        <v>8</v>
      </c>
      <c r="AX114" s="27" t="s">
        <v>7</v>
      </c>
      <c r="AY114" s="27" t="s">
        <v>8</v>
      </c>
      <c r="AZ114" s="27" t="s">
        <v>7</v>
      </c>
      <c r="BA114" s="27" t="s">
        <v>8</v>
      </c>
      <c r="BB114" s="27" t="s">
        <v>7</v>
      </c>
      <c r="BC114" s="27" t="s">
        <v>8</v>
      </c>
      <c r="BD114" s="27" t="s">
        <v>7</v>
      </c>
      <c r="BI114" s="27" t="s">
        <v>8</v>
      </c>
      <c r="BJ114" s="27" t="s">
        <v>7</v>
      </c>
      <c r="BK114" s="27" t="s">
        <v>8</v>
      </c>
      <c r="BL114" s="27" t="s">
        <v>7</v>
      </c>
      <c r="BM114" s="27" t="s">
        <v>8</v>
      </c>
      <c r="BN114" s="27" t="s">
        <v>7</v>
      </c>
      <c r="BO114" s="27" t="s">
        <v>8</v>
      </c>
      <c r="BP114" s="27" t="s">
        <v>7</v>
      </c>
      <c r="BQ114" s="27" t="s">
        <v>8</v>
      </c>
      <c r="BR114" s="31"/>
      <c r="BX114" s="27" t="s">
        <v>7</v>
      </c>
      <c r="BY114" s="27" t="s">
        <v>8</v>
      </c>
      <c r="BZ114" s="27" t="s">
        <v>7</v>
      </c>
      <c r="CH114" s="31"/>
      <c r="CM114" s="27" t="s">
        <v>8</v>
      </c>
      <c r="CN114" s="27" t="s">
        <v>7</v>
      </c>
      <c r="CO114" s="31"/>
      <c r="CQ114" s="27" t="s">
        <v>8</v>
      </c>
      <c r="CR114" s="27" t="s">
        <v>7</v>
      </c>
      <c r="CS114" s="27" t="s">
        <v>8</v>
      </c>
      <c r="CT114" s="27" t="s">
        <v>7</v>
      </c>
      <c r="CU114" s="27" t="s">
        <v>8</v>
      </c>
      <c r="CV114" s="27" t="s">
        <v>7</v>
      </c>
    </row>
    <row r="115" spans="1:125" x14ac:dyDescent="0.25">
      <c r="A115" s="30">
        <v>445.30993424231622</v>
      </c>
      <c r="C115" s="1" t="str">
        <f>ADDRESS(C121+1,D121,1,1)</f>
        <v>$DW$141</v>
      </c>
      <c r="AW115" s="27" t="s">
        <v>8</v>
      </c>
      <c r="AX115" s="27" t="s">
        <v>7</v>
      </c>
      <c r="AY115" s="27" t="s">
        <v>8</v>
      </c>
      <c r="AZ115" s="27" t="s">
        <v>7</v>
      </c>
      <c r="BA115" s="27" t="s">
        <v>8</v>
      </c>
      <c r="BB115" s="27" t="s">
        <v>7</v>
      </c>
      <c r="BC115" s="27" t="s">
        <v>8</v>
      </c>
      <c r="BD115" s="27" t="s">
        <v>7</v>
      </c>
      <c r="BE115" s="27" t="s">
        <v>8</v>
      </c>
      <c r="BI115" s="34" t="s">
        <v>8</v>
      </c>
      <c r="BJ115" s="27" t="s">
        <v>7</v>
      </c>
      <c r="BK115" s="27" t="s">
        <v>8</v>
      </c>
      <c r="BL115" s="27" t="s">
        <v>7</v>
      </c>
      <c r="BN115" s="27" t="s">
        <v>7</v>
      </c>
      <c r="BO115" s="27" t="s">
        <v>8</v>
      </c>
      <c r="BP115" s="31" t="s">
        <v>7</v>
      </c>
      <c r="BQ115" s="31" t="s">
        <v>8</v>
      </c>
      <c r="BX115" s="27" t="s">
        <v>7</v>
      </c>
      <c r="BY115" s="27" t="s">
        <v>8</v>
      </c>
      <c r="BZ115" s="27" t="s">
        <v>7</v>
      </c>
      <c r="CA115" s="32" t="s">
        <v>8</v>
      </c>
      <c r="CC115" s="32" t="s">
        <v>8</v>
      </c>
      <c r="CE115" s="32" t="s">
        <v>8</v>
      </c>
      <c r="CI115" s="31"/>
      <c r="CM115" s="27" t="s">
        <v>8</v>
      </c>
      <c r="CN115" s="27" t="s">
        <v>7</v>
      </c>
      <c r="CP115" s="31"/>
      <c r="CQ115" s="34" t="s">
        <v>8</v>
      </c>
      <c r="CR115" s="27" t="s">
        <v>7</v>
      </c>
      <c r="CS115" s="27" t="s">
        <v>8</v>
      </c>
      <c r="CT115" s="27" t="s">
        <v>7</v>
      </c>
      <c r="CU115" s="27" t="s">
        <v>8</v>
      </c>
      <c r="CV115" s="27" t="s">
        <v>7</v>
      </c>
      <c r="CY115" s="27" t="s">
        <v>8</v>
      </c>
    </row>
    <row r="116" spans="1:125" x14ac:dyDescent="0.25">
      <c r="A116" s="30">
        <v>424.10469927839637</v>
      </c>
      <c r="C116" s="1">
        <f>C117-1</f>
        <v>139</v>
      </c>
      <c r="AW116" s="27" t="s">
        <v>8</v>
      </c>
      <c r="AX116" s="27" t="s">
        <v>7</v>
      </c>
      <c r="AY116" s="27" t="s">
        <v>8</v>
      </c>
      <c r="AZ116" s="27" t="s">
        <v>7</v>
      </c>
      <c r="BA116" s="27" t="s">
        <v>8</v>
      </c>
      <c r="BB116" s="27" t="s">
        <v>7</v>
      </c>
      <c r="BD116" s="27" t="s">
        <v>7</v>
      </c>
      <c r="BE116" s="27" t="s">
        <v>8</v>
      </c>
      <c r="BF116" s="27" t="s">
        <v>7</v>
      </c>
      <c r="BG116" s="27" t="s">
        <v>8</v>
      </c>
      <c r="BI116" s="27" t="s">
        <v>8</v>
      </c>
      <c r="BJ116" s="27" t="s">
        <v>7</v>
      </c>
      <c r="BK116" s="27" t="s">
        <v>8</v>
      </c>
      <c r="BN116" s="33" t="s">
        <v>7</v>
      </c>
      <c r="BO116" s="31"/>
      <c r="BP116" s="32" t="s">
        <v>7</v>
      </c>
      <c r="BX116" s="27" t="s">
        <v>7</v>
      </c>
      <c r="BY116" s="27" t="s">
        <v>8</v>
      </c>
      <c r="BZ116" s="27" t="s">
        <v>7</v>
      </c>
      <c r="CA116" s="27" t="s">
        <v>8</v>
      </c>
      <c r="CB116" s="27" t="s">
        <v>7</v>
      </c>
      <c r="CC116" s="27" t="s">
        <v>8</v>
      </c>
      <c r="CD116" s="27" t="s">
        <v>7</v>
      </c>
      <c r="CE116" s="27" t="s">
        <v>8</v>
      </c>
      <c r="CF116" s="27" t="s">
        <v>7</v>
      </c>
      <c r="CJ116" s="31"/>
      <c r="CM116" s="27" t="s">
        <v>8</v>
      </c>
      <c r="CN116" s="27" t="s">
        <v>7</v>
      </c>
      <c r="CO116" s="27" t="s">
        <v>8</v>
      </c>
      <c r="CQ116" s="31" t="s">
        <v>8</v>
      </c>
      <c r="CR116" s="27" t="s">
        <v>7</v>
      </c>
      <c r="CT116" s="27" t="s">
        <v>7</v>
      </c>
      <c r="CU116" s="27" t="s">
        <v>8</v>
      </c>
      <c r="CV116" s="27" t="s">
        <v>7</v>
      </c>
      <c r="CW116" s="27" t="s">
        <v>8</v>
      </c>
      <c r="CY116" s="27" t="s">
        <v>8</v>
      </c>
      <c r="CZ116" s="27" t="s">
        <v>7</v>
      </c>
    </row>
    <row r="117" spans="1:125" x14ac:dyDescent="0.25">
      <c r="A117" s="30">
        <v>403.9092374079965</v>
      </c>
      <c r="C117" s="1">
        <f>C121</f>
        <v>140</v>
      </c>
      <c r="D117" s="1">
        <f>D121</f>
        <v>127</v>
      </c>
      <c r="AW117" s="27" t="s">
        <v>8</v>
      </c>
      <c r="AX117" s="32" t="s">
        <v>7</v>
      </c>
      <c r="AZ117" s="32" t="s">
        <v>7</v>
      </c>
      <c r="BD117" s="33" t="s">
        <v>7</v>
      </c>
      <c r="BE117" s="27" t="s">
        <v>8</v>
      </c>
      <c r="BF117" s="27" t="s">
        <v>7</v>
      </c>
      <c r="BG117" s="27" t="s">
        <v>8</v>
      </c>
      <c r="BH117" s="27" t="s">
        <v>7</v>
      </c>
      <c r="BI117" s="27" t="s">
        <v>8</v>
      </c>
      <c r="BJ117" s="27" t="s">
        <v>7</v>
      </c>
      <c r="BK117" s="27" t="s">
        <v>8</v>
      </c>
      <c r="BN117" s="31"/>
      <c r="BX117" s="27" t="s">
        <v>7</v>
      </c>
      <c r="BY117" s="27" t="s">
        <v>8</v>
      </c>
      <c r="BZ117" s="27" t="s">
        <v>7</v>
      </c>
      <c r="CA117" s="27" t="s">
        <v>8</v>
      </c>
      <c r="CB117" s="27" t="s">
        <v>7</v>
      </c>
      <c r="CC117" s="27" t="s">
        <v>8</v>
      </c>
      <c r="CD117" s="27" t="s">
        <v>7</v>
      </c>
      <c r="CE117" s="27" t="s">
        <v>8</v>
      </c>
      <c r="CF117" s="27" t="s">
        <v>7</v>
      </c>
      <c r="CK117" s="31"/>
      <c r="CM117" s="27" t="s">
        <v>8</v>
      </c>
      <c r="CN117" s="27" t="s">
        <v>7</v>
      </c>
      <c r="CO117" s="27" t="s">
        <v>8</v>
      </c>
      <c r="CP117" s="27" t="s">
        <v>7</v>
      </c>
      <c r="CQ117" s="27" t="s">
        <v>8</v>
      </c>
      <c r="CR117" s="31"/>
      <c r="CT117" s="27" t="s">
        <v>7</v>
      </c>
      <c r="CV117" s="27" t="s">
        <v>7</v>
      </c>
      <c r="CW117" s="27" t="s">
        <v>8</v>
      </c>
      <c r="CX117" s="27" t="s">
        <v>7</v>
      </c>
      <c r="CY117" s="27" t="s">
        <v>8</v>
      </c>
      <c r="CZ117" s="27" t="s">
        <v>7</v>
      </c>
    </row>
    <row r="118" spans="1:125" x14ac:dyDescent="0.25">
      <c r="A118" s="30">
        <v>384.6754641980919</v>
      </c>
      <c r="C118" s="1">
        <f>C117+1</f>
        <v>141</v>
      </c>
      <c r="D118" s="1">
        <f>D117+1</f>
        <v>128</v>
      </c>
      <c r="AW118" s="27" t="s">
        <v>8</v>
      </c>
      <c r="BD118" s="27" t="s">
        <v>7</v>
      </c>
      <c r="BE118" s="27" t="s">
        <v>8</v>
      </c>
      <c r="BF118" s="27" t="s">
        <v>7</v>
      </c>
      <c r="BG118" s="27" t="s">
        <v>8</v>
      </c>
      <c r="BH118" s="27" t="s">
        <v>7</v>
      </c>
      <c r="BI118" s="27" t="s">
        <v>8</v>
      </c>
      <c r="BJ118" s="27" t="s">
        <v>7</v>
      </c>
      <c r="BK118" s="27" t="s">
        <v>8</v>
      </c>
      <c r="BM118" s="31"/>
      <c r="BX118" s="27" t="s">
        <v>7</v>
      </c>
      <c r="BY118" s="27" t="s">
        <v>8</v>
      </c>
      <c r="BZ118" s="27" t="s">
        <v>7</v>
      </c>
      <c r="CB118" s="27" t="s">
        <v>7</v>
      </c>
      <c r="CC118" s="27" t="s">
        <v>8</v>
      </c>
      <c r="CD118" s="27" t="s">
        <v>7</v>
      </c>
      <c r="CE118" s="27" t="s">
        <v>8</v>
      </c>
      <c r="CF118" s="27" t="s">
        <v>7</v>
      </c>
      <c r="CL118" s="31"/>
      <c r="CM118" s="27" t="s">
        <v>8</v>
      </c>
      <c r="CN118" s="27" t="s">
        <v>7</v>
      </c>
      <c r="CO118" s="27" t="s">
        <v>8</v>
      </c>
      <c r="CP118" s="27" t="s">
        <v>7</v>
      </c>
      <c r="CQ118" s="27" t="s">
        <v>8</v>
      </c>
      <c r="CV118" s="27" t="s">
        <v>7</v>
      </c>
      <c r="CW118" s="27" t="s">
        <v>8</v>
      </c>
      <c r="CX118" s="27" t="s">
        <v>7</v>
      </c>
      <c r="CY118" s="27" t="s">
        <v>8</v>
      </c>
      <c r="CZ118" s="27" t="s">
        <v>7</v>
      </c>
      <c r="DI118" s="27" t="s">
        <v>8</v>
      </c>
    </row>
    <row r="119" spans="1:125" x14ac:dyDescent="0.25">
      <c r="A119" s="30">
        <v>366.35758495056371</v>
      </c>
      <c r="AW119" s="27" t="s">
        <v>8</v>
      </c>
      <c r="BD119" s="27" t="s">
        <v>7</v>
      </c>
      <c r="BE119" s="27" t="s">
        <v>8</v>
      </c>
      <c r="BF119" s="27" t="s">
        <v>7</v>
      </c>
      <c r="BH119" s="27" t="s">
        <v>7</v>
      </c>
      <c r="BI119" s="27" t="s">
        <v>8</v>
      </c>
      <c r="BJ119" s="31" t="s">
        <v>7</v>
      </c>
      <c r="BK119" s="27" t="s">
        <v>8</v>
      </c>
      <c r="BL119" s="31"/>
      <c r="BX119" s="27" t="s">
        <v>7</v>
      </c>
      <c r="CB119" s="27" t="s">
        <v>7</v>
      </c>
      <c r="CC119" s="27" t="s">
        <v>8</v>
      </c>
      <c r="CD119" s="27" t="s">
        <v>7</v>
      </c>
      <c r="CE119" s="27" t="s">
        <v>8</v>
      </c>
      <c r="CF119" s="27" t="s">
        <v>7</v>
      </c>
      <c r="CG119" s="27" t="s">
        <v>8</v>
      </c>
      <c r="CM119" s="31" t="s">
        <v>8</v>
      </c>
      <c r="CN119" s="27" t="s">
        <v>7</v>
      </c>
      <c r="CP119" s="27" t="s">
        <v>7</v>
      </c>
      <c r="CQ119" s="27" t="s">
        <v>8</v>
      </c>
      <c r="CV119" s="27" t="s">
        <v>7</v>
      </c>
      <c r="CW119" s="31"/>
      <c r="CX119" s="27" t="s">
        <v>7</v>
      </c>
      <c r="CZ119" s="27" t="s">
        <v>7</v>
      </c>
      <c r="DA119" s="27" t="s">
        <v>8</v>
      </c>
      <c r="DC119" s="27" t="s">
        <v>8</v>
      </c>
      <c r="DI119" s="27" t="s">
        <v>8</v>
      </c>
      <c r="DJ119" s="27" t="s">
        <v>7</v>
      </c>
    </row>
    <row r="120" spans="1:125" x14ac:dyDescent="0.25">
      <c r="A120" s="30">
        <v>348.91198566720351</v>
      </c>
      <c r="C120" s="1" t="s">
        <v>9</v>
      </c>
      <c r="AW120" s="27" t="s">
        <v>8</v>
      </c>
      <c r="BD120" s="27" t="s">
        <v>7</v>
      </c>
      <c r="BE120" s="27" t="s">
        <v>8</v>
      </c>
      <c r="BH120" s="27" t="s">
        <v>7</v>
      </c>
      <c r="BI120" s="31"/>
      <c r="BJ120" s="27" t="s">
        <v>7</v>
      </c>
      <c r="BK120" s="31" t="s">
        <v>8</v>
      </c>
      <c r="CB120" s="27" t="s">
        <v>7</v>
      </c>
      <c r="CC120" s="27" t="s">
        <v>8</v>
      </c>
      <c r="CD120" s="27" t="s">
        <v>7</v>
      </c>
      <c r="CF120" s="27" t="s">
        <v>7</v>
      </c>
      <c r="CG120" s="27" t="s">
        <v>8</v>
      </c>
      <c r="CH120" s="27" t="s">
        <v>7</v>
      </c>
      <c r="CI120" s="27" t="s">
        <v>8</v>
      </c>
      <c r="CM120" s="27" t="s">
        <v>8</v>
      </c>
      <c r="CP120" s="33" t="s">
        <v>7</v>
      </c>
      <c r="CQ120" s="27" t="s">
        <v>8</v>
      </c>
      <c r="CV120" s="31"/>
      <c r="CZ120" s="27" t="s">
        <v>7</v>
      </c>
      <c r="DA120" s="27" t="s">
        <v>8</v>
      </c>
      <c r="DB120" s="27" t="s">
        <v>7</v>
      </c>
      <c r="DC120" s="27" t="s">
        <v>8</v>
      </c>
      <c r="DD120" s="27" t="s">
        <v>7</v>
      </c>
      <c r="DE120" s="27" t="s">
        <v>8</v>
      </c>
      <c r="DG120" s="27" t="s">
        <v>8</v>
      </c>
      <c r="DI120" s="27" t="s">
        <v>8</v>
      </c>
      <c r="DJ120" s="27" t="s">
        <v>7</v>
      </c>
    </row>
    <row r="121" spans="1:125" x14ac:dyDescent="0.25">
      <c r="A121" s="30">
        <v>332.29712920686046</v>
      </c>
      <c r="C121" s="18">
        <v>140</v>
      </c>
      <c r="D121" s="19">
        <v>127</v>
      </c>
      <c r="E121" s="19"/>
      <c r="AW121" s="27" t="s">
        <v>8</v>
      </c>
      <c r="BD121" s="27" t="s">
        <v>7</v>
      </c>
      <c r="BH121" s="31"/>
      <c r="BJ121" s="27" t="s">
        <v>7</v>
      </c>
      <c r="CB121" s="27" t="s">
        <v>7</v>
      </c>
      <c r="CC121" s="27" t="s">
        <v>8</v>
      </c>
      <c r="CF121" s="27" t="s">
        <v>7</v>
      </c>
      <c r="CG121" s="27" t="s">
        <v>8</v>
      </c>
      <c r="CH121" s="27" t="s">
        <v>7</v>
      </c>
      <c r="CI121" s="27" t="s">
        <v>8</v>
      </c>
      <c r="CJ121" s="27" t="s">
        <v>7</v>
      </c>
      <c r="CM121" s="27" t="s">
        <v>8</v>
      </c>
      <c r="CP121" s="27" t="s">
        <v>7</v>
      </c>
      <c r="CQ121" s="27" t="s">
        <v>8</v>
      </c>
      <c r="CU121" s="31"/>
      <c r="CZ121" s="27" t="s">
        <v>7</v>
      </c>
      <c r="DA121" s="27" t="s">
        <v>8</v>
      </c>
      <c r="DB121" s="27" t="s">
        <v>7</v>
      </c>
      <c r="DC121" s="27" t="s">
        <v>8</v>
      </c>
      <c r="DD121" s="27" t="s">
        <v>7</v>
      </c>
      <c r="DE121" s="27" t="s">
        <v>8</v>
      </c>
      <c r="DF121" s="27" t="s">
        <v>7</v>
      </c>
      <c r="DG121" s="27" t="s">
        <v>8</v>
      </c>
      <c r="DH121" s="27" t="s">
        <v>7</v>
      </c>
      <c r="DI121" s="27" t="s">
        <v>8</v>
      </c>
      <c r="DJ121" s="27" t="s">
        <v>7</v>
      </c>
    </row>
    <row r="122" spans="1:125" x14ac:dyDescent="0.25">
      <c r="A122" s="30">
        <v>316.47345638748612</v>
      </c>
      <c r="C122" s="1" t="str">
        <f>INDEX(1:1048576,C117,D117)</f>
        <v>X</v>
      </c>
      <c r="AW122" s="27" t="s">
        <v>8</v>
      </c>
      <c r="BG122" s="31"/>
      <c r="CB122" s="27" t="s">
        <v>7</v>
      </c>
      <c r="CC122" s="27" t="s">
        <v>8</v>
      </c>
      <c r="CF122" s="27" t="s">
        <v>7</v>
      </c>
      <c r="CH122" s="27" t="s">
        <v>7</v>
      </c>
      <c r="CI122" s="27" t="s">
        <v>8</v>
      </c>
      <c r="CJ122" s="27" t="s">
        <v>7</v>
      </c>
      <c r="CM122" s="27" t="s">
        <v>8</v>
      </c>
      <c r="CP122" s="27" t="s">
        <v>7</v>
      </c>
      <c r="CT122" s="31"/>
      <c r="CZ122" s="27" t="s">
        <v>7</v>
      </c>
      <c r="DB122" s="27" t="s">
        <v>7</v>
      </c>
      <c r="DD122" s="27" t="s">
        <v>7</v>
      </c>
      <c r="DE122" s="27" t="s">
        <v>8</v>
      </c>
      <c r="DF122" s="27" t="s">
        <v>7</v>
      </c>
      <c r="DG122" s="27" t="s">
        <v>8</v>
      </c>
      <c r="DH122" s="27" t="s">
        <v>7</v>
      </c>
      <c r="DI122" s="27" t="s">
        <v>8</v>
      </c>
      <c r="DJ122" s="27" t="s">
        <v>7</v>
      </c>
    </row>
    <row r="123" spans="1:125" x14ac:dyDescent="0.25">
      <c r="A123" s="30">
        <v>301.40329179760585</v>
      </c>
      <c r="C123" s="1" t="str">
        <f>"R"&amp;C121</f>
        <v>R140</v>
      </c>
      <c r="D123" s="1" t="str">
        <f>"C"&amp;D121</f>
        <v>C127</v>
      </c>
      <c r="AW123" s="27" t="s">
        <v>8</v>
      </c>
      <c r="BF123" s="31"/>
      <c r="CB123" s="27" t="s">
        <v>7</v>
      </c>
      <c r="CC123" s="27" t="s">
        <v>8</v>
      </c>
      <c r="CH123" s="27" t="s">
        <v>7</v>
      </c>
      <c r="CI123" s="27" t="s">
        <v>8</v>
      </c>
      <c r="CJ123" s="27" t="s">
        <v>7</v>
      </c>
      <c r="CM123" s="27" t="s">
        <v>8</v>
      </c>
      <c r="CS123" s="31"/>
      <c r="DD123" s="27" t="s">
        <v>7</v>
      </c>
      <c r="DE123" s="27" t="s">
        <v>8</v>
      </c>
      <c r="DF123" s="27" t="s">
        <v>7</v>
      </c>
      <c r="DG123" s="27" t="s">
        <v>8</v>
      </c>
      <c r="DH123" s="27" t="s">
        <v>7</v>
      </c>
      <c r="DJ123" s="27" t="s">
        <v>7</v>
      </c>
    </row>
    <row r="124" spans="1:125" x14ac:dyDescent="0.25">
      <c r="A124" s="30">
        <v>287.05075409295796</v>
      </c>
      <c r="C124" s="1">
        <f>SUM(C130:D130)</f>
        <v>0</v>
      </c>
      <c r="D124" s="1">
        <f>IF(C124=0,0,1)</f>
        <v>0</v>
      </c>
      <c r="AW124" s="27" t="s">
        <v>8</v>
      </c>
      <c r="BE124" s="31"/>
      <c r="CB124" s="27" t="s">
        <v>7</v>
      </c>
      <c r="CC124" s="27" t="s">
        <v>8</v>
      </c>
      <c r="CH124" s="27" t="s">
        <v>7</v>
      </c>
      <c r="CJ124" s="27" t="s">
        <v>7</v>
      </c>
      <c r="CM124" s="27" t="s">
        <v>8</v>
      </c>
      <c r="CR124" s="31"/>
      <c r="DD124" s="27" t="s">
        <v>7</v>
      </c>
      <c r="DF124" s="27" t="s">
        <v>7</v>
      </c>
      <c r="DJ124" s="27" t="s">
        <v>7</v>
      </c>
      <c r="DK124" s="27" t="s">
        <v>8</v>
      </c>
    </row>
    <row r="125" spans="1:125" x14ac:dyDescent="0.25">
      <c r="A125" s="30">
        <v>273.38167056472184</v>
      </c>
      <c r="AW125" s="27" t="s">
        <v>8</v>
      </c>
      <c r="BD125" s="31"/>
      <c r="CB125" s="27" t="s">
        <v>7</v>
      </c>
      <c r="CJ125" s="27" t="s">
        <v>7</v>
      </c>
      <c r="CM125" s="34" t="s">
        <v>8</v>
      </c>
      <c r="CQ125" s="31"/>
      <c r="DJ125" s="27" t="s">
        <v>7</v>
      </c>
      <c r="DK125" s="27" t="s">
        <v>8</v>
      </c>
      <c r="DL125" s="27" t="s">
        <v>7</v>
      </c>
    </row>
    <row r="126" spans="1:125" x14ac:dyDescent="0.25">
      <c r="A126" s="30">
        <v>260.36349577592557</v>
      </c>
      <c r="C126" s="1" t="s">
        <v>10</v>
      </c>
      <c r="E126" s="1" t="s">
        <v>8</v>
      </c>
      <c r="I126" s="27" t="s">
        <v>8</v>
      </c>
      <c r="O126" s="27" t="s">
        <v>8</v>
      </c>
      <c r="AW126" s="27" t="s">
        <v>8</v>
      </c>
      <c r="BC126" s="31"/>
      <c r="CJ126" s="27" t="s">
        <v>7</v>
      </c>
      <c r="CK126" s="27" t="s">
        <v>8</v>
      </c>
      <c r="CM126" s="27" t="s">
        <v>8</v>
      </c>
      <c r="CP126" s="31"/>
      <c r="DJ126" s="27" t="s">
        <v>7</v>
      </c>
      <c r="DK126" s="27" t="s">
        <v>8</v>
      </c>
      <c r="DL126" s="27" t="s">
        <v>7</v>
      </c>
    </row>
    <row r="127" spans="1:125" x14ac:dyDescent="0.25">
      <c r="A127" s="30">
        <v>247.96523407231004</v>
      </c>
      <c r="C127" s="30">
        <v>131.50125784630401</v>
      </c>
      <c r="D127"/>
      <c r="E127" s="1" t="s">
        <v>8</v>
      </c>
      <c r="F127" s="27" t="s">
        <v>7</v>
      </c>
      <c r="I127" s="27" t="s">
        <v>8</v>
      </c>
      <c r="J127" s="27" t="s">
        <v>7</v>
      </c>
      <c r="O127" s="27" t="s">
        <v>8</v>
      </c>
      <c r="P127" s="27" t="s">
        <v>7</v>
      </c>
      <c r="AU127" s="27" t="s">
        <v>8</v>
      </c>
      <c r="AW127" s="27" t="s">
        <v>8</v>
      </c>
      <c r="BB127" s="31"/>
      <c r="CJ127" s="27" t="s">
        <v>7</v>
      </c>
      <c r="CK127" s="27" t="s">
        <v>8</v>
      </c>
      <c r="CL127" s="27" t="s">
        <v>7</v>
      </c>
      <c r="CM127" s="27" t="s">
        <v>8</v>
      </c>
      <c r="CO127" s="31"/>
      <c r="DJ127" s="27" t="s">
        <v>7</v>
      </c>
      <c r="DL127" s="27" t="s">
        <v>7</v>
      </c>
      <c r="DS127" s="27" t="s">
        <v>8</v>
      </c>
    </row>
    <row r="128" spans="1:125" x14ac:dyDescent="0.25">
      <c r="A128" s="30">
        <v>236.15736578315241</v>
      </c>
      <c r="E128" s="1" t="s">
        <v>8</v>
      </c>
      <c r="F128" s="27" t="s">
        <v>7</v>
      </c>
      <c r="I128" s="27" t="s">
        <v>8</v>
      </c>
      <c r="J128" s="27" t="s">
        <v>7</v>
      </c>
      <c r="O128" s="27" t="s">
        <v>8</v>
      </c>
      <c r="P128" s="27" t="s">
        <v>7</v>
      </c>
      <c r="AS128" s="27" t="s">
        <v>8</v>
      </c>
      <c r="AU128" s="27" t="s">
        <v>8</v>
      </c>
      <c r="AV128" s="27" t="s">
        <v>7</v>
      </c>
      <c r="AW128" s="27" t="s">
        <v>8</v>
      </c>
      <c r="BA128" s="31"/>
      <c r="CJ128" s="27" t="s">
        <v>7</v>
      </c>
      <c r="CK128" s="27" t="s">
        <v>8</v>
      </c>
      <c r="CL128" s="27" t="s">
        <v>7</v>
      </c>
      <c r="CM128" s="27" t="s">
        <v>8</v>
      </c>
      <c r="CN128" s="31"/>
      <c r="DL128" s="27" t="s">
        <v>7</v>
      </c>
      <c r="DS128" s="27" t="s">
        <v>8</v>
      </c>
      <c r="DT128" s="27" t="s">
        <v>7</v>
      </c>
      <c r="DU128" s="27" t="s">
        <v>8</v>
      </c>
    </row>
    <row r="129" spans="1:127" x14ac:dyDescent="0.25">
      <c r="A129" s="30">
        <v>224.91177693633563</v>
      </c>
      <c r="C129" s="1" t="s">
        <v>11</v>
      </c>
      <c r="D129" s="1" t="s">
        <v>12</v>
      </c>
      <c r="E129" t="s">
        <v>8</v>
      </c>
      <c r="F129" s="27" t="s">
        <v>7</v>
      </c>
      <c r="I129" s="27" t="s">
        <v>8</v>
      </c>
      <c r="J129" s="27" t="s">
        <v>7</v>
      </c>
      <c r="O129" s="27" t="s">
        <v>8</v>
      </c>
      <c r="P129" s="27" t="s">
        <v>7</v>
      </c>
      <c r="AQ129" s="27" t="s">
        <v>8</v>
      </c>
      <c r="AS129" s="27" t="s">
        <v>8</v>
      </c>
      <c r="AT129" s="27" t="s">
        <v>7</v>
      </c>
      <c r="AU129" s="27" t="s">
        <v>8</v>
      </c>
      <c r="AV129" s="27" t="s">
        <v>7</v>
      </c>
      <c r="AW129" s="27" t="s">
        <v>8</v>
      </c>
      <c r="AZ129" s="31"/>
      <c r="CJ129" s="27" t="s">
        <v>7</v>
      </c>
      <c r="CK129" s="27" t="s">
        <v>8</v>
      </c>
      <c r="CL129" s="27" t="s">
        <v>7</v>
      </c>
      <c r="CM129" s="31" t="s">
        <v>8</v>
      </c>
      <c r="DL129" s="27" t="s">
        <v>7</v>
      </c>
      <c r="DM129" s="27" t="s">
        <v>8</v>
      </c>
      <c r="DO129" s="27" t="s">
        <v>8</v>
      </c>
      <c r="DS129" s="27" t="s">
        <v>8</v>
      </c>
      <c r="DT129" s="27" t="s">
        <v>7</v>
      </c>
      <c r="DU129" s="27" t="s">
        <v>8</v>
      </c>
      <c r="DV129" s="27" t="s">
        <v>7</v>
      </c>
    </row>
    <row r="130" spans="1:127" x14ac:dyDescent="0.25">
      <c r="A130" s="30">
        <v>214.20169232031964</v>
      </c>
      <c r="C130" s="6"/>
      <c r="D130" s="6"/>
      <c r="E130" t="s">
        <v>8</v>
      </c>
      <c r="F130" s="27" t="s">
        <v>7</v>
      </c>
      <c r="G130" s="27" t="s">
        <v>8</v>
      </c>
      <c r="I130" s="27" t="s">
        <v>8</v>
      </c>
      <c r="J130" s="27" t="s">
        <v>7</v>
      </c>
      <c r="K130" s="27" t="s">
        <v>8</v>
      </c>
      <c r="O130" s="27" t="s">
        <v>8</v>
      </c>
      <c r="P130" s="27" t="s">
        <v>7</v>
      </c>
      <c r="AQ130" s="27" t="s">
        <v>8</v>
      </c>
      <c r="AR130" s="27" t="s">
        <v>7</v>
      </c>
      <c r="AS130" s="27" t="s">
        <v>8</v>
      </c>
      <c r="AT130" s="27" t="s">
        <v>7</v>
      </c>
      <c r="AU130" s="27" t="s">
        <v>8</v>
      </c>
      <c r="AV130" s="27" t="s">
        <v>7</v>
      </c>
      <c r="AY130" s="31"/>
      <c r="CJ130" s="27" t="s">
        <v>7</v>
      </c>
      <c r="CK130" s="27" t="s">
        <v>8</v>
      </c>
      <c r="CL130" s="31" t="s">
        <v>7</v>
      </c>
      <c r="DL130" s="27" t="s">
        <v>7</v>
      </c>
      <c r="DM130" s="27" t="s">
        <v>8</v>
      </c>
      <c r="DN130" s="27" t="s">
        <v>7</v>
      </c>
      <c r="DO130" s="27" t="s">
        <v>8</v>
      </c>
      <c r="DP130" s="27" t="s">
        <v>7</v>
      </c>
      <c r="DQ130" s="27" t="s">
        <v>8</v>
      </c>
      <c r="DS130" s="27" t="s">
        <v>8</v>
      </c>
      <c r="DT130" s="27" t="s">
        <v>7</v>
      </c>
      <c r="DU130" s="27" t="s">
        <v>8</v>
      </c>
      <c r="DV130" s="27" t="s">
        <v>7</v>
      </c>
    </row>
    <row r="131" spans="1:127" x14ac:dyDescent="0.25">
      <c r="A131" s="30">
        <v>204.00161173363773</v>
      </c>
      <c r="E131" t="s">
        <v>8</v>
      </c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O131" s="27" t="s">
        <v>8</v>
      </c>
      <c r="P131" s="27" t="s">
        <v>7</v>
      </c>
      <c r="AO131" s="27" t="s">
        <v>8</v>
      </c>
      <c r="AQ131" s="27" t="s">
        <v>8</v>
      </c>
      <c r="AR131" s="27" t="s">
        <v>7</v>
      </c>
      <c r="AS131" s="27" t="s">
        <v>8</v>
      </c>
      <c r="AT131" s="27" t="s">
        <v>7</v>
      </c>
      <c r="AU131" s="27" t="s">
        <v>8</v>
      </c>
      <c r="AX131" s="31"/>
      <c r="CJ131" s="27" t="s">
        <v>7</v>
      </c>
      <c r="DL131" s="27" t="s">
        <v>7</v>
      </c>
      <c r="DM131" s="27" t="s">
        <v>8</v>
      </c>
      <c r="DN131" s="27" t="s">
        <v>7</v>
      </c>
      <c r="DO131" s="27" t="s">
        <v>8</v>
      </c>
      <c r="DP131" s="27" t="s">
        <v>7</v>
      </c>
      <c r="DQ131" s="27" t="s">
        <v>8</v>
      </c>
      <c r="DR131" s="27" t="s">
        <v>7</v>
      </c>
      <c r="DS131" s="27" t="s">
        <v>8</v>
      </c>
      <c r="DT131" s="27" t="s">
        <v>7</v>
      </c>
      <c r="DU131" s="27" t="s">
        <v>8</v>
      </c>
      <c r="DV131" s="27" t="s">
        <v>7</v>
      </c>
    </row>
    <row r="132" spans="1:127" x14ac:dyDescent="0.25">
      <c r="A132" s="30">
        <v>194.28724927013116</v>
      </c>
      <c r="C132" s="1" t="s">
        <v>13</v>
      </c>
      <c r="E132" t="s">
        <v>8</v>
      </c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AO132" s="27" t="s">
        <v>8</v>
      </c>
      <c r="AP132" s="27" t="s">
        <v>7</v>
      </c>
      <c r="AQ132" s="27" t="s">
        <v>8</v>
      </c>
      <c r="AR132" s="27" t="s">
        <v>7</v>
      </c>
      <c r="AT132" s="27" t="s">
        <v>7</v>
      </c>
      <c r="AU132" s="27" t="s">
        <v>8</v>
      </c>
      <c r="AW132" s="31"/>
      <c r="DL132" s="27" t="s">
        <v>7</v>
      </c>
      <c r="DM132" s="27" t="s">
        <v>8</v>
      </c>
      <c r="DN132" s="27" t="s">
        <v>7</v>
      </c>
      <c r="DP132" s="27" t="s">
        <v>7</v>
      </c>
      <c r="DQ132" s="27" t="s">
        <v>8</v>
      </c>
      <c r="DR132" s="27" t="s">
        <v>7</v>
      </c>
      <c r="DS132" s="27" t="s">
        <v>8</v>
      </c>
      <c r="DT132" s="27" t="s">
        <v>7</v>
      </c>
      <c r="DV132" s="27" t="s">
        <v>7</v>
      </c>
    </row>
    <row r="133" spans="1:127" x14ac:dyDescent="0.25">
      <c r="A133" s="30">
        <v>185.03547549536299</v>
      </c>
      <c r="C133" s="1" t="str">
        <f>C122</f>
        <v>X</v>
      </c>
      <c r="E133" t="s">
        <v>8</v>
      </c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L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  <c r="Q133" s="27" t="s">
        <v>8</v>
      </c>
      <c r="AM133" s="27" t="s">
        <v>8</v>
      </c>
      <c r="AO133" s="27" t="s">
        <v>8</v>
      </c>
      <c r="AP133" s="27" t="s">
        <v>7</v>
      </c>
      <c r="AQ133" s="27" t="s">
        <v>8</v>
      </c>
      <c r="AT133" s="27" t="s">
        <v>7</v>
      </c>
      <c r="AU133" s="27" t="s">
        <v>8</v>
      </c>
      <c r="AV133" s="31"/>
      <c r="DL133" s="27" t="s">
        <v>7</v>
      </c>
      <c r="DP133" s="27" t="s">
        <v>7</v>
      </c>
      <c r="DQ133" s="27" t="s">
        <v>8</v>
      </c>
      <c r="DR133" s="27" t="s">
        <v>7</v>
      </c>
      <c r="DV133" s="27" t="s">
        <v>7</v>
      </c>
    </row>
    <row r="134" spans="1:127" x14ac:dyDescent="0.25">
      <c r="A134" s="30">
        <v>176.22426237653616</v>
      </c>
      <c r="C134"/>
      <c r="E134" t="s">
        <v>8</v>
      </c>
      <c r="F134" s="27" t="s">
        <v>7</v>
      </c>
      <c r="G134" s="27" t="s">
        <v>8</v>
      </c>
      <c r="H134" s="27" t="s">
        <v>7</v>
      </c>
      <c r="I134" s="27" t="s">
        <v>8</v>
      </c>
      <c r="L134" s="27" t="s">
        <v>7</v>
      </c>
      <c r="N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AI134" s="32" t="s">
        <v>8</v>
      </c>
      <c r="AK134" s="32" t="s">
        <v>8</v>
      </c>
      <c r="AM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  <c r="AT134" s="27" t="s">
        <v>7</v>
      </c>
      <c r="AU134" s="31" t="s">
        <v>8</v>
      </c>
      <c r="DP134" s="27" t="s">
        <v>7</v>
      </c>
      <c r="DV134" s="27" t="s">
        <v>7</v>
      </c>
    </row>
    <row r="135" spans="1:127" x14ac:dyDescent="0.25">
      <c r="A135" s="30">
        <v>167.83263083479633</v>
      </c>
      <c r="C135" s="1" t="s">
        <v>14</v>
      </c>
      <c r="E135" t="s">
        <v>8</v>
      </c>
      <c r="F135" s="27" t="s">
        <v>7</v>
      </c>
      <c r="H135" s="27" t="s">
        <v>7</v>
      </c>
      <c r="I135" s="27" t="s">
        <v>8</v>
      </c>
      <c r="N135" s="27" t="s">
        <v>7</v>
      </c>
      <c r="P135" s="27" t="s">
        <v>7</v>
      </c>
      <c r="Q135" s="27" t="s">
        <v>8</v>
      </c>
      <c r="R135" s="27" t="s">
        <v>7</v>
      </c>
      <c r="AI135" s="27" t="s">
        <v>8</v>
      </c>
      <c r="AJ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  <c r="AP135" s="27" t="s">
        <v>7</v>
      </c>
      <c r="AQ135" s="27" t="s">
        <v>8</v>
      </c>
      <c r="AT135" s="31" t="s">
        <v>7</v>
      </c>
      <c r="DV135" s="27" t="s">
        <v>7</v>
      </c>
    </row>
    <row r="136" spans="1:127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H136" s="27" t="s">
        <v>7</v>
      </c>
      <c r="I136" s="27" t="s">
        <v>8</v>
      </c>
      <c r="P136" s="27" t="s">
        <v>7</v>
      </c>
      <c r="Q136" s="27" t="s">
        <v>8</v>
      </c>
      <c r="R136" s="27" t="s">
        <v>7</v>
      </c>
      <c r="AI136" s="27" t="s">
        <v>8</v>
      </c>
      <c r="AJ136" s="27" t="s">
        <v>7</v>
      </c>
      <c r="AK136" s="27" t="s">
        <v>8</v>
      </c>
      <c r="AL136" s="27" t="s">
        <v>7</v>
      </c>
      <c r="AM136" s="27" t="s">
        <v>8</v>
      </c>
      <c r="AN136" s="27" t="s">
        <v>7</v>
      </c>
      <c r="AP136" s="27" t="s">
        <v>7</v>
      </c>
      <c r="AQ136" s="27" t="s">
        <v>8</v>
      </c>
      <c r="DV136" s="27" t="s">
        <v>7</v>
      </c>
    </row>
    <row r="137" spans="1:127" x14ac:dyDescent="0.25">
      <c r="A137" s="30">
        <v>152.22914361432771</v>
      </c>
      <c r="E137" t="s">
        <v>8</v>
      </c>
      <c r="H137" s="27" t="s">
        <v>7</v>
      </c>
      <c r="I137" s="27" t="s">
        <v>8</v>
      </c>
      <c r="P137" s="27" t="s">
        <v>7</v>
      </c>
      <c r="R137" s="27" t="s">
        <v>7</v>
      </c>
      <c r="AI137" s="27" t="s">
        <v>8</v>
      </c>
      <c r="AJ137" s="27" t="s">
        <v>7</v>
      </c>
      <c r="AK137" s="27" t="s">
        <v>8</v>
      </c>
      <c r="AL137" s="27" t="s">
        <v>7</v>
      </c>
      <c r="AM137" s="27" t="s">
        <v>8</v>
      </c>
      <c r="AP137" s="27" t="s">
        <v>7</v>
      </c>
      <c r="DV137" s="27" t="s">
        <v>7</v>
      </c>
    </row>
    <row r="138" spans="1:127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  <c r="H138" s="27" t="s">
        <v>7</v>
      </c>
      <c r="I138" s="27" t="s">
        <v>8</v>
      </c>
      <c r="R138" s="27" t="s">
        <v>7</v>
      </c>
      <c r="S138" s="27" t="s">
        <v>8</v>
      </c>
      <c r="U138" s="27" t="s">
        <v>8</v>
      </c>
      <c r="AG138" s="27" t="s">
        <v>8</v>
      </c>
      <c r="AI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DV138" s="27" t="s">
        <v>7</v>
      </c>
    </row>
    <row r="139" spans="1:127" x14ac:dyDescent="0.25">
      <c r="A139" s="30">
        <v>138.07632073861922</v>
      </c>
      <c r="E139" t="s">
        <v>8</v>
      </c>
      <c r="H139" s="27" t="s">
        <v>7</v>
      </c>
      <c r="I139" s="27" t="s">
        <v>8</v>
      </c>
      <c r="R139" s="27" t="s">
        <v>7</v>
      </c>
      <c r="S139" s="27" t="s">
        <v>8</v>
      </c>
      <c r="T139" s="27" t="s">
        <v>7</v>
      </c>
      <c r="U139" s="27" t="s">
        <v>8</v>
      </c>
      <c r="V139" s="27" t="s">
        <v>7</v>
      </c>
      <c r="AE139" s="27" t="s">
        <v>8</v>
      </c>
      <c r="AG139" s="27" t="s">
        <v>8</v>
      </c>
      <c r="AH139" s="27" t="s">
        <v>7</v>
      </c>
      <c r="AI139" s="27" t="s">
        <v>8</v>
      </c>
      <c r="AJ139" s="27" t="s">
        <v>7</v>
      </c>
      <c r="AL139" s="27" t="s">
        <v>7</v>
      </c>
      <c r="AM139" s="27" t="s">
        <v>8</v>
      </c>
      <c r="DV139" s="27" t="s">
        <v>7</v>
      </c>
    </row>
    <row r="140" spans="1:127" x14ac:dyDescent="0.25">
      <c r="A140" s="30">
        <v>131.50125784630401</v>
      </c>
      <c r="C140" s="1">
        <v>0</v>
      </c>
      <c r="E140" t="s">
        <v>8</v>
      </c>
      <c r="H140" s="27" t="s">
        <v>7</v>
      </c>
      <c r="I140" s="27" t="s">
        <v>8</v>
      </c>
      <c r="R140" s="27" t="s">
        <v>7</v>
      </c>
      <c r="S140" s="27" t="s">
        <v>8</v>
      </c>
      <c r="T140" s="27" t="s">
        <v>7</v>
      </c>
      <c r="U140" s="27" t="s">
        <v>8</v>
      </c>
      <c r="V140" s="27" t="s">
        <v>7</v>
      </c>
      <c r="AE140" s="27" t="s">
        <v>8</v>
      </c>
      <c r="AF140" s="27" t="s">
        <v>7</v>
      </c>
      <c r="AG140" s="27" t="s">
        <v>8</v>
      </c>
      <c r="AH140" s="27" t="s">
        <v>7</v>
      </c>
      <c r="AI140" s="27" t="s">
        <v>8</v>
      </c>
      <c r="AL140" s="27" t="s">
        <v>7</v>
      </c>
      <c r="AM140" s="27" t="s">
        <v>8</v>
      </c>
      <c r="DV140" s="27" t="s">
        <v>7</v>
      </c>
      <c r="DW140" s="27" t="s">
        <v>8</v>
      </c>
    </row>
    <row r="141" spans="1:127" x14ac:dyDescent="0.25">
      <c r="A141" s="30">
        <v>125.23929318695619</v>
      </c>
      <c r="C141" s="1">
        <v>1</v>
      </c>
      <c r="E141" t="s">
        <v>8</v>
      </c>
      <c r="H141" s="27" t="s">
        <v>7</v>
      </c>
      <c r="I141" s="27" t="s">
        <v>8</v>
      </c>
      <c r="R141" s="27" t="s">
        <v>7</v>
      </c>
      <c r="T141" s="27" t="s">
        <v>7</v>
      </c>
      <c r="V141" s="27" t="s">
        <v>7</v>
      </c>
      <c r="AC141" s="27" t="s">
        <v>8</v>
      </c>
      <c r="AE141" s="27" t="s">
        <v>8</v>
      </c>
      <c r="AF141" s="27" t="s">
        <v>7</v>
      </c>
      <c r="AG141" s="27" t="s">
        <v>8</v>
      </c>
      <c r="AH141" s="27" t="s">
        <v>7</v>
      </c>
      <c r="AL141" s="27" t="s">
        <v>7</v>
      </c>
      <c r="DV141" s="27" t="s">
        <v>7</v>
      </c>
      <c r="DW141" s="27" t="s">
        <v>8</v>
      </c>
    </row>
    <row r="142" spans="1:127" x14ac:dyDescent="0.25">
      <c r="A142" s="30">
        <v>119.27551732091065</v>
      </c>
      <c r="C142" s="1">
        <v>2</v>
      </c>
      <c r="E142" t="s">
        <v>8</v>
      </c>
      <c r="H142" s="27" t="s">
        <v>7</v>
      </c>
      <c r="I142" s="27" t="s">
        <v>8</v>
      </c>
      <c r="V142" s="27" t="s">
        <v>7</v>
      </c>
      <c r="W142" s="27" t="s">
        <v>8</v>
      </c>
      <c r="Y142" s="27" t="s">
        <v>8</v>
      </c>
      <c r="AC142" s="27" t="s">
        <v>8</v>
      </c>
      <c r="AD142" s="27" t="s">
        <v>7</v>
      </c>
      <c r="AE142" s="27" t="s">
        <v>8</v>
      </c>
      <c r="AF142" s="27" t="s">
        <v>7</v>
      </c>
      <c r="AG142" s="27" t="s">
        <v>8</v>
      </c>
      <c r="DV142" s="27" t="s">
        <v>7</v>
      </c>
      <c r="DW142" s="27" t="s">
        <v>8</v>
      </c>
    </row>
    <row r="143" spans="1:127" x14ac:dyDescent="0.25">
      <c r="A143" s="30">
        <v>113.59573078181967</v>
      </c>
      <c r="C143" s="1">
        <v>3</v>
      </c>
      <c r="E143" t="s">
        <v>8</v>
      </c>
      <c r="H143" s="27" t="s">
        <v>7</v>
      </c>
      <c r="V143" s="27" t="s">
        <v>7</v>
      </c>
      <c r="W143" s="27" t="s">
        <v>8</v>
      </c>
      <c r="X143" s="27" t="s">
        <v>7</v>
      </c>
      <c r="Y143" s="27" t="s">
        <v>8</v>
      </c>
      <c r="Z143" s="27" t="s">
        <v>7</v>
      </c>
      <c r="AC143" s="27" t="s">
        <v>8</v>
      </c>
      <c r="AD143" s="27" t="s">
        <v>7</v>
      </c>
      <c r="AE143" s="27" t="s">
        <v>8</v>
      </c>
      <c r="AF143" s="27" t="s">
        <v>7</v>
      </c>
      <c r="AG143" s="27" t="s">
        <v>8</v>
      </c>
      <c r="DV143" s="27" t="s">
        <v>7</v>
      </c>
    </row>
    <row r="144" spans="1:127" x14ac:dyDescent="0.25">
      <c r="A144" s="30">
        <v>108.18641026839968</v>
      </c>
      <c r="C144" s="1">
        <v>4</v>
      </c>
      <c r="E144" t="s">
        <v>8</v>
      </c>
      <c r="V144" s="27" t="s">
        <v>7</v>
      </c>
      <c r="W144" s="27" t="s">
        <v>8</v>
      </c>
      <c r="X144" s="27" t="s">
        <v>7</v>
      </c>
      <c r="Y144" s="27" t="s">
        <v>8</v>
      </c>
      <c r="Z144" s="27" t="s">
        <v>7</v>
      </c>
      <c r="AA144" s="27" t="s">
        <v>8</v>
      </c>
      <c r="AC144" s="27" t="s">
        <v>8</v>
      </c>
      <c r="AD144" s="27" t="s">
        <v>7</v>
      </c>
      <c r="AF144" s="27" t="s">
        <v>7</v>
      </c>
      <c r="AG144" s="27" t="s">
        <v>8</v>
      </c>
    </row>
    <row r="145" spans="1:32" x14ac:dyDescent="0.25">
      <c r="A145" s="30">
        <v>103.03467644609493</v>
      </c>
      <c r="E145" t="s">
        <v>8</v>
      </c>
      <c r="V145" s="27" t="s">
        <v>7</v>
      </c>
      <c r="X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C145" s="27" t="s">
        <v>8</v>
      </c>
      <c r="AF145" s="27" t="s">
        <v>7</v>
      </c>
    </row>
    <row r="146" spans="1:32" x14ac:dyDescent="0.25">
      <c r="A146" s="30">
        <v>98.128263281995174</v>
      </c>
      <c r="E146" t="s">
        <v>8</v>
      </c>
      <c r="X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C146" s="27" t="s">
        <v>8</v>
      </c>
    </row>
    <row r="147" spans="1:32" x14ac:dyDescent="0.25">
      <c r="A147" s="30">
        <v>93.455488839995397</v>
      </c>
      <c r="E147" t="s">
        <v>8</v>
      </c>
      <c r="X147" s="27" t="s">
        <v>7</v>
      </c>
      <c r="Z147" s="27" t="s">
        <v>7</v>
      </c>
      <c r="AA147" s="27" t="s">
        <v>8</v>
      </c>
      <c r="AB147" s="27" t="s">
        <v>7</v>
      </c>
    </row>
    <row r="148" spans="1:32" x14ac:dyDescent="0.25">
      <c r="A148" s="30">
        <v>89.005227466662276</v>
      </c>
      <c r="E148" t="s">
        <v>8</v>
      </c>
      <c r="Z148" s="27" t="s">
        <v>7</v>
      </c>
      <c r="AA148" s="27" t="s">
        <v>8</v>
      </c>
    </row>
    <row r="149" spans="1:32" x14ac:dyDescent="0.25">
      <c r="A149" s="30">
        <v>84.766883301583121</v>
      </c>
      <c r="E149" t="s">
        <v>8</v>
      </c>
      <c r="Z149" s="27" t="s">
        <v>7</v>
      </c>
      <c r="AA149" s="27" t="s">
        <v>8</v>
      </c>
    </row>
    <row r="150" spans="1:32" x14ac:dyDescent="0.25">
      <c r="A150" s="30">
        <v>80.730365049126775</v>
      </c>
      <c r="E150" t="s">
        <v>8</v>
      </c>
      <c r="Z150" s="27" t="s">
        <v>7</v>
      </c>
    </row>
    <row r="151" spans="1:32" x14ac:dyDescent="0.25">
      <c r="A151" s="30">
        <v>76.886061951549308</v>
      </c>
      <c r="E151" t="s">
        <v>8</v>
      </c>
    </row>
    <row r="152" spans="1:32" x14ac:dyDescent="0.25">
      <c r="A152" s="30">
        <v>73.22482090623744</v>
      </c>
      <c r="E152" t="s">
        <v>8</v>
      </c>
    </row>
    <row r="153" spans="1:32" x14ac:dyDescent="0.25">
      <c r="A153" s="30">
        <v>69.737924672607079</v>
      </c>
      <c r="C153" s="7"/>
      <c r="D153"/>
      <c r="E153" t="s">
        <v>8</v>
      </c>
    </row>
    <row r="154" spans="1:32" x14ac:dyDescent="0.25">
      <c r="A154" s="30">
        <v>66.417071116768639</v>
      </c>
      <c r="E154" t="s">
        <v>8</v>
      </c>
    </row>
    <row r="155" spans="1:32" x14ac:dyDescent="0.25">
      <c r="A155" s="30">
        <v>63.254353444541557</v>
      </c>
      <c r="E155" t="s">
        <v>8</v>
      </c>
    </row>
    <row r="156" spans="1:32" x14ac:dyDescent="0.25">
      <c r="A156" s="30">
        <v>60.242241375753864</v>
      </c>
      <c r="C156"/>
      <c r="D156"/>
      <c r="E156" t="s">
        <v>8</v>
      </c>
    </row>
    <row r="157" spans="1:32" x14ac:dyDescent="0.25">
      <c r="A157" s="30">
        <v>57.373563215003678</v>
      </c>
      <c r="E157" t="s">
        <v>8</v>
      </c>
    </row>
    <row r="158" spans="1:32" x14ac:dyDescent="0.25">
      <c r="A158" s="30">
        <v>54.641488776193974</v>
      </c>
      <c r="E158" t="s">
        <v>8</v>
      </c>
    </row>
    <row r="159" spans="1:32" x14ac:dyDescent="0.25">
      <c r="A159" s="30">
        <v>52.039513120184736</v>
      </c>
      <c r="E159" t="s">
        <v>8</v>
      </c>
    </row>
    <row r="160" spans="1:32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02" operator="equal">
      <formula>$U$1</formula>
    </cfRule>
    <cfRule type="cellIs" dxfId="67" priority="1003" operator="equal">
      <formula>$S$1</formula>
    </cfRule>
  </conditionalFormatting>
  <conditionalFormatting sqref="D136">
    <cfRule type="cellIs" dxfId="66" priority="1000" operator="equal">
      <formula>$S$1</formula>
    </cfRule>
    <cfRule type="cellIs" dxfId="65" priority="1001" operator="equal">
      <formula>$U$1</formula>
    </cfRule>
  </conditionalFormatting>
  <conditionalFormatting sqref="C162">
    <cfRule type="cellIs" dxfId="64" priority="998" operator="equal">
      <formula>$U$1</formula>
    </cfRule>
    <cfRule type="cellIs" dxfId="63" priority="999" operator="equal">
      <formula>$S$1</formula>
    </cfRule>
  </conditionalFormatting>
  <conditionalFormatting sqref="D162">
    <cfRule type="cellIs" dxfId="62" priority="996" operator="equal">
      <formula>$S$1</formula>
    </cfRule>
    <cfRule type="cellIs" dxfId="61" priority="997" operator="equal">
      <formula>$U$1</formula>
    </cfRule>
  </conditionalFormatting>
  <conditionalFormatting sqref="C187">
    <cfRule type="cellIs" dxfId="60" priority="994" operator="equal">
      <formula>$U$1</formula>
    </cfRule>
    <cfRule type="cellIs" dxfId="59" priority="995" operator="equal">
      <formula>$S$1</formula>
    </cfRule>
  </conditionalFormatting>
  <conditionalFormatting sqref="D187">
    <cfRule type="cellIs" dxfId="58" priority="992" operator="equal">
      <formula>$S$1</formula>
    </cfRule>
    <cfRule type="cellIs" dxfId="57" priority="993" operator="equal">
      <formula>$U$1</formula>
    </cfRule>
  </conditionalFormatting>
  <conditionalFormatting sqref="C212">
    <cfRule type="cellIs" dxfId="56" priority="990" operator="equal">
      <formula>$U$1</formula>
    </cfRule>
    <cfRule type="cellIs" dxfId="55" priority="991" operator="equal">
      <formula>$S$1</formula>
    </cfRule>
  </conditionalFormatting>
  <conditionalFormatting sqref="D212">
    <cfRule type="cellIs" dxfId="54" priority="988" operator="equal">
      <formula>$S$1</formula>
    </cfRule>
    <cfRule type="cellIs" dxfId="53" priority="989" operator="equal">
      <formula>$U$1</formula>
    </cfRule>
  </conditionalFormatting>
  <conditionalFormatting sqref="C237">
    <cfRule type="cellIs" dxfId="52" priority="986" operator="equal">
      <formula>$U$1</formula>
    </cfRule>
    <cfRule type="cellIs" dxfId="51" priority="987" operator="equal">
      <formula>$S$1</formula>
    </cfRule>
  </conditionalFormatting>
  <conditionalFormatting sqref="D237">
    <cfRule type="cellIs" dxfId="50" priority="984" operator="equal">
      <formula>$S$1</formula>
    </cfRule>
    <cfRule type="cellIs" dxfId="49" priority="985" operator="equal">
      <formula>$U$1</formula>
    </cfRule>
  </conditionalFormatting>
  <conditionalFormatting sqref="C106">
    <cfRule type="cellIs" dxfId="48" priority="982" operator="equal">
      <formula>$U$1</formula>
    </cfRule>
    <cfRule type="cellIs" dxfId="47" priority="983" operator="equal">
      <formula>$S$1</formula>
    </cfRule>
  </conditionalFormatting>
  <conditionalFormatting sqref="D106">
    <cfRule type="cellIs" dxfId="46" priority="980" operator="equal">
      <formula>$S$1</formula>
    </cfRule>
    <cfRule type="cellIs" dxfId="45" priority="981" operator="equal">
      <formula>$U$1</formula>
    </cfRule>
  </conditionalFormatting>
  <conditionalFormatting sqref="C81">
    <cfRule type="cellIs" dxfId="44" priority="978" operator="equal">
      <formula>$U$1</formula>
    </cfRule>
    <cfRule type="cellIs" dxfId="43" priority="979" operator="equal">
      <formula>$S$1</formula>
    </cfRule>
  </conditionalFormatting>
  <conditionalFormatting sqref="D81">
    <cfRule type="cellIs" dxfId="42" priority="976" operator="equal">
      <formula>$S$1</formula>
    </cfRule>
    <cfRule type="cellIs" dxfId="41" priority="977" operator="equal">
      <formula>$U$1</formula>
    </cfRule>
  </conditionalFormatting>
  <conditionalFormatting sqref="C56">
    <cfRule type="cellIs" dxfId="40" priority="974" operator="equal">
      <formula>$U$1</formula>
    </cfRule>
    <cfRule type="cellIs" dxfId="39" priority="975" operator="equal">
      <formula>$S$1</formula>
    </cfRule>
  </conditionalFormatting>
  <conditionalFormatting sqref="D56">
    <cfRule type="cellIs" dxfId="38" priority="972" operator="equal">
      <formula>$S$1</formula>
    </cfRule>
    <cfRule type="cellIs" dxfId="37" priority="973" operator="equal">
      <formula>$U$1</formula>
    </cfRule>
  </conditionalFormatting>
  <conditionalFormatting sqref="C31">
    <cfRule type="cellIs" dxfId="36" priority="970" operator="equal">
      <formula>$U$1</formula>
    </cfRule>
    <cfRule type="cellIs" dxfId="35" priority="971" operator="equal">
      <formula>$S$1</formula>
    </cfRule>
  </conditionalFormatting>
  <conditionalFormatting sqref="D31">
    <cfRule type="cellIs" dxfId="34" priority="968" operator="equal">
      <formula>$S$1</formula>
    </cfRule>
    <cfRule type="cellIs" dxfId="33" priority="96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38" zoomScale="90" zoomScaleNormal="90" workbookViewId="0">
      <pane xSplit="4" topLeftCell="G1" activePane="topRight" state="frozen"/>
      <selection activeCell="A109" sqref="A109"/>
      <selection pane="topRight" activeCell="AL71" sqref="AL7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8" x14ac:dyDescent="0.25">
      <c r="A49" s="30">
        <v>955.59381772732638</v>
      </c>
      <c r="C49" s="1">
        <f>C38</f>
        <v>0</v>
      </c>
      <c r="E49"/>
    </row>
    <row r="50" spans="1:38" x14ac:dyDescent="0.25">
      <c r="A50" s="30">
        <v>868.72165247938756</v>
      </c>
      <c r="C50"/>
      <c r="D50"/>
      <c r="E50"/>
      <c r="AA50" s="31" t="s">
        <v>8</v>
      </c>
    </row>
    <row r="51" spans="1:38" x14ac:dyDescent="0.25">
      <c r="A51" s="30">
        <v>789.74695679944318</v>
      </c>
      <c r="C51" s="1" t="s">
        <v>14</v>
      </c>
      <c r="E51"/>
      <c r="AA51" s="27" t="s">
        <v>8</v>
      </c>
      <c r="AB51" s="31" t="s">
        <v>7</v>
      </c>
    </row>
    <row r="52" spans="1:38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AA52" s="27" t="s">
        <v>8</v>
      </c>
      <c r="AB52" s="27" t="s">
        <v>7</v>
      </c>
      <c r="AC52" s="31"/>
    </row>
    <row r="53" spans="1:38" x14ac:dyDescent="0.25">
      <c r="A53" s="30">
        <v>652.68343537144051</v>
      </c>
      <c r="E53"/>
      <c r="AA53" s="34" t="s">
        <v>8</v>
      </c>
      <c r="AB53" s="27" t="s">
        <v>7</v>
      </c>
      <c r="AD53" s="31"/>
    </row>
    <row r="54" spans="1:38" x14ac:dyDescent="0.25">
      <c r="A54" s="30">
        <v>593.34857761040041</v>
      </c>
      <c r="E54"/>
      <c r="W54" s="32" t="s">
        <v>8</v>
      </c>
      <c r="Y54" s="32" t="s">
        <v>8</v>
      </c>
      <c r="AA54" s="27" t="s">
        <v>8</v>
      </c>
      <c r="AB54" s="27" t="s">
        <v>7</v>
      </c>
      <c r="AE54" s="31"/>
    </row>
    <row r="55" spans="1:38" x14ac:dyDescent="0.25">
      <c r="A55" s="30">
        <v>539.40779782763673</v>
      </c>
      <c r="E55"/>
      <c r="Q55" s="32" t="s">
        <v>8</v>
      </c>
      <c r="S55" s="32" t="s">
        <v>8</v>
      </c>
      <c r="W55" s="27" t="s">
        <v>8</v>
      </c>
      <c r="X55" s="27" t="s">
        <v>7</v>
      </c>
      <c r="Y55" s="27" t="s">
        <v>8</v>
      </c>
      <c r="Z55" s="27" t="s">
        <v>7</v>
      </c>
      <c r="AA55" s="27" t="s">
        <v>8</v>
      </c>
      <c r="AB55" s="27" t="s">
        <v>7</v>
      </c>
      <c r="AC55" s="27" t="s">
        <v>8</v>
      </c>
      <c r="AF55" s="31"/>
    </row>
    <row r="56" spans="1:38" x14ac:dyDescent="0.25">
      <c r="A56" s="30">
        <v>490.37072529785149</v>
      </c>
      <c r="E56"/>
      <c r="Q56" s="27" t="s">
        <v>8</v>
      </c>
      <c r="R56" s="27" t="s">
        <v>7</v>
      </c>
      <c r="S56" s="27" t="s">
        <v>8</v>
      </c>
      <c r="T56" s="27" t="s">
        <v>7</v>
      </c>
      <c r="U56" s="27" t="s">
        <v>8</v>
      </c>
      <c r="W56" s="27" t="s">
        <v>8</v>
      </c>
      <c r="X56" s="27" t="s">
        <v>7</v>
      </c>
      <c r="Y56" s="27" t="s">
        <v>8</v>
      </c>
      <c r="Z56" s="27" t="s">
        <v>7</v>
      </c>
      <c r="AA56" s="27" t="s">
        <v>8</v>
      </c>
      <c r="AB56" s="31" t="s">
        <v>7</v>
      </c>
      <c r="AC56" s="27" t="s">
        <v>8</v>
      </c>
      <c r="AD56" s="27" t="s">
        <v>7</v>
      </c>
      <c r="AG56" s="31"/>
      <c r="AI56" s="34" t="s">
        <v>8</v>
      </c>
      <c r="AK56" s="27" t="s">
        <v>8</v>
      </c>
    </row>
    <row r="57" spans="1:38" x14ac:dyDescent="0.25">
      <c r="A57" s="30">
        <v>445.79156845259223</v>
      </c>
      <c r="E57"/>
      <c r="Q57" s="27" t="s">
        <v>8</v>
      </c>
      <c r="R57" s="27" t="s">
        <v>7</v>
      </c>
      <c r="S57" s="27" t="s">
        <v>8</v>
      </c>
      <c r="T57" s="27" t="s">
        <v>7</v>
      </c>
      <c r="U57" s="27" t="s">
        <v>8</v>
      </c>
      <c r="V57" s="27" t="s">
        <v>7</v>
      </c>
      <c r="W57" s="27" t="s">
        <v>8</v>
      </c>
      <c r="X57" s="32" t="s">
        <v>7</v>
      </c>
      <c r="Z57" s="32" t="s">
        <v>7</v>
      </c>
      <c r="AA57" s="31"/>
      <c r="AB57" s="27" t="s">
        <v>7</v>
      </c>
      <c r="AC57" s="27" t="s">
        <v>8</v>
      </c>
      <c r="AD57" s="27" t="s">
        <v>7</v>
      </c>
      <c r="AE57" s="32" t="s">
        <v>8</v>
      </c>
      <c r="AG57" s="32" t="s">
        <v>8</v>
      </c>
      <c r="AH57" s="31"/>
      <c r="AI57" s="27" t="s">
        <v>8</v>
      </c>
      <c r="AJ57" s="27" t="s">
        <v>7</v>
      </c>
      <c r="AK57" s="27" t="s">
        <v>8</v>
      </c>
      <c r="AL57" s="27" t="s">
        <v>7</v>
      </c>
    </row>
    <row r="58" spans="1:38" x14ac:dyDescent="0.25">
      <c r="A58" s="30">
        <v>405.26506222962928</v>
      </c>
      <c r="E58"/>
      <c r="Q58" s="27" t="s">
        <v>8</v>
      </c>
      <c r="R58" s="27" t="s">
        <v>7</v>
      </c>
      <c r="T58" s="27" t="s">
        <v>7</v>
      </c>
      <c r="U58" s="27" t="s">
        <v>8</v>
      </c>
      <c r="V58" s="27" t="s">
        <v>7</v>
      </c>
      <c r="W58" s="27" t="s">
        <v>8</v>
      </c>
      <c r="Z58" s="31"/>
      <c r="AB58" s="33" t="s">
        <v>7</v>
      </c>
      <c r="AC58" s="27" t="s">
        <v>8</v>
      </c>
      <c r="AD58" s="27" t="s">
        <v>7</v>
      </c>
      <c r="AE58" s="27" t="s">
        <v>8</v>
      </c>
      <c r="AF58" s="27" t="s">
        <v>7</v>
      </c>
      <c r="AG58" s="27" t="s">
        <v>8</v>
      </c>
      <c r="AH58" s="27" t="s">
        <v>7</v>
      </c>
      <c r="AI58" s="31" t="s">
        <v>8</v>
      </c>
      <c r="AJ58" s="27" t="s">
        <v>7</v>
      </c>
      <c r="AK58" s="27" t="s">
        <v>8</v>
      </c>
      <c r="AL58" s="27" t="s">
        <v>7</v>
      </c>
    </row>
    <row r="59" spans="1:38" x14ac:dyDescent="0.25">
      <c r="A59" s="30">
        <v>368.42278384511752</v>
      </c>
      <c r="E59"/>
      <c r="Q59" s="27" t="s">
        <v>8</v>
      </c>
      <c r="T59" s="33" t="s">
        <v>7</v>
      </c>
      <c r="U59" s="27" t="s">
        <v>8</v>
      </c>
      <c r="V59" s="27" t="s">
        <v>7</v>
      </c>
      <c r="W59" s="27" t="s">
        <v>8</v>
      </c>
      <c r="Y59" s="31"/>
      <c r="AB59" s="27" t="s">
        <v>7</v>
      </c>
      <c r="AD59" s="27" t="s">
        <v>7</v>
      </c>
      <c r="AE59" s="27" t="s">
        <v>8</v>
      </c>
      <c r="AF59" s="27" t="s">
        <v>7</v>
      </c>
      <c r="AG59" s="27" t="s">
        <v>8</v>
      </c>
      <c r="AH59" s="27" t="s">
        <v>7</v>
      </c>
      <c r="AI59" s="27" t="s">
        <v>8</v>
      </c>
      <c r="AJ59" s="27" t="s">
        <v>7</v>
      </c>
      <c r="AK59" s="27" t="s">
        <v>8</v>
      </c>
      <c r="AL59" s="27" t="s">
        <v>7</v>
      </c>
    </row>
    <row r="60" spans="1:38" x14ac:dyDescent="0.25">
      <c r="A60" s="30">
        <v>334.92980349556137</v>
      </c>
      <c r="E60"/>
      <c r="Q60" s="27" t="s">
        <v>8</v>
      </c>
      <c r="T60" s="32" t="s">
        <v>7</v>
      </c>
      <c r="V60" s="32" t="s">
        <v>7</v>
      </c>
      <c r="X60" s="31"/>
      <c r="AD60" s="27" t="s">
        <v>7</v>
      </c>
      <c r="AE60" s="27" t="s">
        <v>8</v>
      </c>
      <c r="AF60" s="27" t="s">
        <v>7</v>
      </c>
      <c r="AH60" s="27" t="s">
        <v>7</v>
      </c>
      <c r="AI60" s="27" t="s">
        <v>8</v>
      </c>
      <c r="AJ60" s="18" t="s">
        <v>7</v>
      </c>
      <c r="AL60" s="27" t="s">
        <v>7</v>
      </c>
    </row>
    <row r="61" spans="1:38" x14ac:dyDescent="0.25">
      <c r="A61" s="30">
        <v>304.48163954141938</v>
      </c>
      <c r="E61"/>
      <c r="Q61" s="27" t="s">
        <v>8</v>
      </c>
      <c r="W61" s="31"/>
      <c r="AD61" s="27" t="s">
        <v>7</v>
      </c>
      <c r="AE61" s="27" t="s">
        <v>8</v>
      </c>
      <c r="AH61" s="27" t="s">
        <v>7</v>
      </c>
      <c r="AI61" s="27" t="s">
        <v>8</v>
      </c>
      <c r="AL61" s="31" t="s">
        <v>7</v>
      </c>
    </row>
    <row r="62" spans="1:38" x14ac:dyDescent="0.25">
      <c r="A62" s="30">
        <v>276.80149049219943</v>
      </c>
      <c r="E62"/>
      <c r="Q62" s="27" t="s">
        <v>8</v>
      </c>
      <c r="V62" s="31"/>
      <c r="AD62" s="27" t="s">
        <v>7</v>
      </c>
      <c r="AH62" s="27" t="s">
        <v>7</v>
      </c>
      <c r="AI62" s="27" t="s">
        <v>8</v>
      </c>
      <c r="AK62" s="31"/>
      <c r="AL62" s="27" t="s">
        <v>7</v>
      </c>
    </row>
    <row r="63" spans="1:38" x14ac:dyDescent="0.25">
      <c r="A63" s="30">
        <v>251.63771862927217</v>
      </c>
      <c r="E63" t="s">
        <v>8</v>
      </c>
      <c r="G63" s="32" t="s">
        <v>8</v>
      </c>
      <c r="I63" s="32" t="s">
        <v>8</v>
      </c>
      <c r="Q63" s="27" t="s">
        <v>8</v>
      </c>
      <c r="U63" s="31"/>
      <c r="AH63" s="27" t="s">
        <v>7</v>
      </c>
      <c r="AI63" s="27" t="s">
        <v>8</v>
      </c>
      <c r="AJ63" s="31"/>
      <c r="AL63" s="27" t="s">
        <v>7</v>
      </c>
    </row>
    <row r="64" spans="1:38" x14ac:dyDescent="0.25">
      <c r="A64" s="30">
        <v>228.76156239024741</v>
      </c>
      <c r="E64" t="s">
        <v>8</v>
      </c>
      <c r="F64" s="27" t="s">
        <v>7</v>
      </c>
      <c r="G64" s="27" t="s">
        <v>8</v>
      </c>
      <c r="H64" s="27" t="s">
        <v>7</v>
      </c>
      <c r="I64" s="27" t="s">
        <v>8</v>
      </c>
      <c r="J64" s="27" t="s">
        <v>7</v>
      </c>
      <c r="O64" s="27" t="s">
        <v>8</v>
      </c>
      <c r="Q64" s="27" t="s">
        <v>8</v>
      </c>
      <c r="T64" s="31"/>
      <c r="AH64" s="27" t="s">
        <v>7</v>
      </c>
      <c r="AI64" s="31" t="s">
        <v>8</v>
      </c>
      <c r="AL64" s="27" t="s">
        <v>7</v>
      </c>
    </row>
    <row r="65" spans="1:38" x14ac:dyDescent="0.25">
      <c r="A65" s="30">
        <v>207.96505671840671</v>
      </c>
      <c r="E65" t="s">
        <v>8</v>
      </c>
      <c r="F65" s="27" t="s">
        <v>7</v>
      </c>
      <c r="G65" s="27" t="s">
        <v>8</v>
      </c>
      <c r="H65" s="27" t="s">
        <v>7</v>
      </c>
      <c r="I65" s="27" t="s">
        <v>8</v>
      </c>
      <c r="J65" s="27" t="s">
        <v>7</v>
      </c>
      <c r="M65" s="27" t="s">
        <v>8</v>
      </c>
      <c r="O65" s="27" t="s">
        <v>8</v>
      </c>
      <c r="P65" s="27" t="s">
        <v>7</v>
      </c>
      <c r="Q65" s="27" t="s">
        <v>8</v>
      </c>
      <c r="S65" s="31"/>
      <c r="AH65" s="31" t="s">
        <v>7</v>
      </c>
      <c r="AL65" s="27" t="s">
        <v>7</v>
      </c>
    </row>
    <row r="66" spans="1:38" x14ac:dyDescent="0.25">
      <c r="A66" s="30">
        <v>189.05914247127882</v>
      </c>
      <c r="E66" t="s">
        <v>8</v>
      </c>
      <c r="F66" s="27" t="s">
        <v>7</v>
      </c>
      <c r="G66" s="27" t="s">
        <v>8</v>
      </c>
      <c r="H66" s="27" t="s">
        <v>7</v>
      </c>
      <c r="I66" s="27" t="s">
        <v>8</v>
      </c>
      <c r="J66" s="27" t="s">
        <v>7</v>
      </c>
      <c r="M66" s="27" t="s">
        <v>8</v>
      </c>
      <c r="N66" s="27" t="s">
        <v>7</v>
      </c>
      <c r="O66" s="27" t="s">
        <v>8</v>
      </c>
      <c r="P66" s="27" t="s">
        <v>7</v>
      </c>
      <c r="Q66" s="27" t="s">
        <v>8</v>
      </c>
      <c r="R66" s="31"/>
      <c r="AL66" s="27" t="s">
        <v>7</v>
      </c>
    </row>
    <row r="67" spans="1:38" x14ac:dyDescent="0.25">
      <c r="A67" s="30">
        <v>171.87194770116255</v>
      </c>
      <c r="C67" s="1" t="s">
        <v>15</v>
      </c>
      <c r="E67" t="s">
        <v>8</v>
      </c>
      <c r="F67" s="27" t="s">
        <v>7</v>
      </c>
      <c r="G67" s="27" t="s">
        <v>8</v>
      </c>
      <c r="H67" s="27" t="s">
        <v>7</v>
      </c>
      <c r="J67" s="27" t="s">
        <v>7</v>
      </c>
      <c r="K67" s="27" t="s">
        <v>8</v>
      </c>
      <c r="M67" s="27" t="s">
        <v>8</v>
      </c>
      <c r="N67" s="27" t="s">
        <v>7</v>
      </c>
      <c r="O67" s="27" t="s">
        <v>8</v>
      </c>
      <c r="P67" s="27" t="s">
        <v>7</v>
      </c>
      <c r="Q67" s="31"/>
      <c r="AL67" s="27" t="s">
        <v>7</v>
      </c>
    </row>
    <row r="68" spans="1:38" x14ac:dyDescent="0.25">
      <c r="A68" s="30">
        <v>156.24722518287504</v>
      </c>
      <c r="C68" s="7">
        <v>0.11167815779424731</v>
      </c>
      <c r="D68"/>
      <c r="E68" t="s">
        <v>8</v>
      </c>
      <c r="F68" s="27" t="s">
        <v>7</v>
      </c>
      <c r="G68" s="27" t="s">
        <v>8</v>
      </c>
      <c r="J68" s="27" t="s">
        <v>7</v>
      </c>
      <c r="K68" s="27" t="s">
        <v>8</v>
      </c>
      <c r="L68" s="27" t="s">
        <v>7</v>
      </c>
      <c r="M68" s="27" t="s">
        <v>8</v>
      </c>
      <c r="N68" s="27" t="s">
        <v>7</v>
      </c>
      <c r="P68" s="31"/>
      <c r="AL68" s="27" t="s">
        <v>7</v>
      </c>
    </row>
    <row r="69" spans="1:38" x14ac:dyDescent="0.25">
      <c r="A69" s="30">
        <v>142.04293198443185</v>
      </c>
      <c r="E69" t="s">
        <v>8</v>
      </c>
      <c r="F69" s="27" t="s">
        <v>7</v>
      </c>
      <c r="G69" s="27" t="s">
        <v>8</v>
      </c>
      <c r="J69" s="27" t="s">
        <v>7</v>
      </c>
      <c r="K69" s="27" t="s">
        <v>8</v>
      </c>
      <c r="L69" s="27" t="s">
        <v>7</v>
      </c>
      <c r="M69" s="27" t="s">
        <v>8</v>
      </c>
      <c r="O69" s="31"/>
      <c r="AL69" s="27" t="s">
        <v>7</v>
      </c>
    </row>
    <row r="70" spans="1:38" x14ac:dyDescent="0.25">
      <c r="A70" s="30">
        <v>129.1299381676653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  <c r="J70" s="27" t="s">
        <v>7</v>
      </c>
      <c r="K70" s="27" t="s">
        <v>8</v>
      </c>
      <c r="L70" s="27" t="s">
        <v>7</v>
      </c>
      <c r="N70" s="31"/>
      <c r="AL70" s="27" t="s">
        <v>7</v>
      </c>
    </row>
    <row r="71" spans="1:38" x14ac:dyDescent="0.25">
      <c r="A71" s="30">
        <v>117.39085287969573</v>
      </c>
      <c r="C71"/>
      <c r="D71"/>
      <c r="E71" t="s">
        <v>8</v>
      </c>
      <c r="F71" s="27" t="s">
        <v>7</v>
      </c>
      <c r="J71" s="27" t="s">
        <v>7</v>
      </c>
      <c r="K71" s="27" t="s">
        <v>8</v>
      </c>
      <c r="M71" s="31"/>
      <c r="AL71" s="27" t="s">
        <v>7</v>
      </c>
    </row>
    <row r="72" spans="1:38" x14ac:dyDescent="0.25">
      <c r="A72" s="30">
        <v>106.71895716335975</v>
      </c>
      <c r="E72" t="s">
        <v>8</v>
      </c>
      <c r="J72" s="27" t="s">
        <v>7</v>
      </c>
      <c r="K72" s="27" t="s">
        <v>8</v>
      </c>
      <c r="L72" s="31"/>
    </row>
    <row r="73" spans="1:38" x14ac:dyDescent="0.25">
      <c r="A73" s="30">
        <v>97.017233784872488</v>
      </c>
      <c r="C73" s="1" t="s">
        <v>13</v>
      </c>
      <c r="E73" t="s">
        <v>8</v>
      </c>
      <c r="J73" s="27" t="s">
        <v>7</v>
      </c>
      <c r="K73" s="31" t="s">
        <v>8</v>
      </c>
    </row>
    <row r="74" spans="1:38" x14ac:dyDescent="0.25">
      <c r="A74" s="30">
        <v>88.197485258974979</v>
      </c>
      <c r="C74" s="1">
        <f>C63</f>
        <v>0</v>
      </c>
      <c r="E74" t="s">
        <v>8</v>
      </c>
      <c r="J74" s="31" t="s">
        <v>7</v>
      </c>
    </row>
    <row r="75" spans="1:38" x14ac:dyDescent="0.25">
      <c r="A75" s="30">
        <v>80.179532053613613</v>
      </c>
      <c r="C75"/>
      <c r="D75"/>
      <c r="E75" t="s">
        <v>8</v>
      </c>
    </row>
    <row r="76" spans="1:38" x14ac:dyDescent="0.25">
      <c r="A76" s="30">
        <v>72.890483685103277</v>
      </c>
      <c r="C76" s="1" t="s">
        <v>14</v>
      </c>
      <c r="E76" t="s">
        <v>8</v>
      </c>
    </row>
    <row r="77" spans="1:3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38" x14ac:dyDescent="0.25">
      <c r="A78" s="30">
        <v>60.240069161242367</v>
      </c>
      <c r="E78" t="s">
        <v>8</v>
      </c>
    </row>
    <row r="79" spans="1:38" x14ac:dyDescent="0.25">
      <c r="A79" s="30">
        <v>54.763699237493057</v>
      </c>
      <c r="E79" t="s">
        <v>8</v>
      </c>
    </row>
    <row r="80" spans="1:38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$A$70</v>
      </c>
      <c r="D111" s="1" t="str">
        <f>ADDRESS(C121-1,D121,1,1)</f>
        <v>$AL$70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$A$71</v>
      </c>
      <c r="D112" s="1" t="str">
        <f>ADDRESS(C121,D121-1,1,1)</f>
        <v>$AK$71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$A$72</v>
      </c>
      <c r="D113" s="1" t="str">
        <f>ADDRESS(C121-1,D121+1,1,1)</f>
        <v>$AM$70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$AL$71</v>
      </c>
      <c r="D114" s="1" t="str">
        <f>ADDRESS(C121+1,D121+1,1,1)</f>
        <v>$AM$72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$AL$72</v>
      </c>
      <c r="E115" s="1" t="s">
        <v>8</v>
      </c>
    </row>
    <row r="116" spans="1:5" x14ac:dyDescent="0.25">
      <c r="A116" s="30">
        <v>1.6105100000000008</v>
      </c>
      <c r="C116" s="1">
        <f>C117-1</f>
        <v>70</v>
      </c>
      <c r="E116" s="1" t="s">
        <v>8</v>
      </c>
    </row>
    <row r="117" spans="1:5" x14ac:dyDescent="0.25">
      <c r="A117" s="30">
        <v>1.4641000000000006</v>
      </c>
      <c r="C117" s="1">
        <f>C121</f>
        <v>71</v>
      </c>
      <c r="D117" s="1">
        <f>D121</f>
        <v>38</v>
      </c>
      <c r="E117" s="1" t="s">
        <v>8</v>
      </c>
    </row>
    <row r="118" spans="1:5" x14ac:dyDescent="0.25">
      <c r="A118" s="30">
        <v>1.3310000000000004</v>
      </c>
      <c r="C118" s="1">
        <f>C117+1</f>
        <v>72</v>
      </c>
      <c r="D118" s="1">
        <f>D117+1</f>
        <v>39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71</v>
      </c>
      <c r="D121" s="19">
        <v>38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R71</v>
      </c>
      <c r="D123" s="1" t="str">
        <f>"C"&amp;D121</f>
        <v>C38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117.39085287969573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86" operator="equal">
      <formula>$U$1</formula>
    </cfRule>
    <cfRule type="cellIs" dxfId="30" priority="987" operator="equal">
      <formula>$S$1</formula>
    </cfRule>
  </conditionalFormatting>
  <conditionalFormatting sqref="D136">
    <cfRule type="cellIs" dxfId="29" priority="984" operator="equal">
      <formula>$S$1</formula>
    </cfRule>
    <cfRule type="cellIs" dxfId="28" priority="985" operator="equal">
      <formula>$U$1</formula>
    </cfRule>
  </conditionalFormatting>
  <conditionalFormatting sqref="C102">
    <cfRule type="cellIs" dxfId="27" priority="982" operator="equal">
      <formula>$U$1</formula>
    </cfRule>
    <cfRule type="cellIs" dxfId="26" priority="983" operator="equal">
      <formula>$S$1</formula>
    </cfRule>
  </conditionalFormatting>
  <conditionalFormatting sqref="D102">
    <cfRule type="cellIs" dxfId="25" priority="980" operator="equal">
      <formula>$S$1</formula>
    </cfRule>
    <cfRule type="cellIs" dxfId="24" priority="981" operator="equal">
      <formula>$U$1</formula>
    </cfRule>
  </conditionalFormatting>
  <conditionalFormatting sqref="C77">
    <cfRule type="cellIs" dxfId="23" priority="978" operator="equal">
      <formula>$U$1</formula>
    </cfRule>
    <cfRule type="cellIs" dxfId="22" priority="979" operator="equal">
      <formula>$S$1</formula>
    </cfRule>
  </conditionalFormatting>
  <conditionalFormatting sqref="D77">
    <cfRule type="cellIs" dxfId="21" priority="976" operator="equal">
      <formula>$S$1</formula>
    </cfRule>
    <cfRule type="cellIs" dxfId="20" priority="977" operator="equal">
      <formula>$U$1</formula>
    </cfRule>
  </conditionalFormatting>
  <conditionalFormatting sqref="C52">
    <cfRule type="cellIs" dxfId="19" priority="974" operator="equal">
      <formula>$U$1</formula>
    </cfRule>
    <cfRule type="cellIs" dxfId="18" priority="975" operator="equal">
      <formula>$S$1</formula>
    </cfRule>
  </conditionalFormatting>
  <conditionalFormatting sqref="D52">
    <cfRule type="cellIs" dxfId="17" priority="972" operator="equal">
      <formula>$S$1</formula>
    </cfRule>
    <cfRule type="cellIs" dxfId="16" priority="973" operator="equal">
      <formula>$U$1</formula>
    </cfRule>
  </conditionalFormatting>
  <conditionalFormatting sqref="C26">
    <cfRule type="cellIs" dxfId="15" priority="970" operator="equal">
      <formula>$U$1</formula>
    </cfRule>
    <cfRule type="cellIs" dxfId="14" priority="971" operator="equal">
      <formula>$S$1</formula>
    </cfRule>
  </conditionalFormatting>
  <conditionalFormatting sqref="D26">
    <cfRule type="cellIs" dxfId="13" priority="968" operator="equal">
      <formula>$S$1</formula>
    </cfRule>
    <cfRule type="cellIs" dxfId="12" priority="96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204.00161173363773</v>
      </c>
      <c r="F3" s="30">
        <v>224.91177693633563</v>
      </c>
      <c r="G3" s="30">
        <v>515.50191262726139</v>
      </c>
      <c r="H3" s="25">
        <f>IF(G3="","",(3*(G3-F3))+E3)</f>
        <v>1075.772018806415</v>
      </c>
      <c r="I3" s="7"/>
      <c r="J3" s="7">
        <f>(E3+G3)/2</f>
        <v>359.75176218044953</v>
      </c>
      <c r="K3" s="7">
        <f>H3/2</f>
        <v>537.88600940320748</v>
      </c>
      <c r="M3" s="26">
        <f>IF(OR(J3="",H3=""),"",H3/J3)</f>
        <v>2.9903175797838442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316.47345638748612</v>
      </c>
      <c r="F4" s="30">
        <v>332.29712920686046</v>
      </c>
      <c r="G4" s="30">
        <v>515.50191262726139</v>
      </c>
      <c r="H4" s="25">
        <f t="shared" ref="H4:H25" si="0">IF(G4="","",(3*(G4-F4))+E4)</f>
        <v>866.08780664868891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2022-01-28T01:15:07Z</dcterms:modified>
</cp:coreProperties>
</file>