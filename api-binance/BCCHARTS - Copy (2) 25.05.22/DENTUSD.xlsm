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BD0BB95F-61A0-4EDF-B5ED-C3A1386ECA63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H4" i="6"/>
  <c r="M4" i="6"/>
  <c r="O3" i="6"/>
  <c r="N3" i="6"/>
  <c r="J3" i="6"/>
  <c r="H3" i="6"/>
  <c r="C124" i="5"/>
  <c r="D124" i="5" s="1"/>
  <c r="D123" i="5"/>
  <c r="C123" i="5"/>
  <c r="D117" i="5"/>
  <c r="D118" i="5" s="1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16" i="5"/>
  <c r="C116" i="4"/>
  <c r="C122" i="4"/>
  <c r="C133" i="4" s="1"/>
  <c r="D136" i="4" s="1"/>
  <c r="C118" i="3"/>
  <c r="C122" i="3"/>
  <c r="C133" i="3" s="1"/>
  <c r="C136" i="3" s="1"/>
  <c r="R765" i="1"/>
  <c r="C136" i="5" l="1"/>
  <c r="C138" i="5" s="1"/>
  <c r="C136" i="4"/>
  <c r="C138" i="4" s="1"/>
  <c r="D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S279" i="1" l="1"/>
  <c r="T279" i="1" s="1"/>
  <c r="R278" i="1"/>
  <c r="R277" i="1" l="1"/>
  <c r="S278" i="1"/>
  <c r="T278" i="1" s="1"/>
  <c r="R276" i="1" l="1"/>
  <c r="S277" i="1"/>
  <c r="T277" i="1" s="1"/>
  <c r="S276" i="1" l="1"/>
  <c r="T276" i="1" s="1"/>
  <c r="R275" i="1"/>
  <c r="S275" i="1" l="1"/>
  <c r="T275" i="1" s="1"/>
  <c r="R274" i="1"/>
  <c r="R273" i="1" l="1"/>
  <c r="S274" i="1"/>
  <c r="T274" i="1" s="1"/>
  <c r="R272" i="1" l="1"/>
  <c r="S273" i="1"/>
  <c r="T273" i="1" s="1"/>
  <c r="R271" i="1" l="1"/>
  <c r="S272" i="1"/>
  <c r="T272" i="1" s="1"/>
  <c r="S271" i="1" l="1"/>
  <c r="T271" i="1" s="1"/>
  <c r="R270" i="1"/>
  <c r="R269" i="1" l="1"/>
  <c r="S270" i="1"/>
  <c r="T270" i="1" s="1"/>
  <c r="R268" i="1" l="1"/>
  <c r="S269" i="1"/>
  <c r="T269" i="1" s="1"/>
  <c r="R267" i="1" l="1"/>
  <c r="S268" i="1"/>
  <c r="T268" i="1" s="1"/>
  <c r="S267" i="1" l="1"/>
  <c r="T267" i="1" s="1"/>
  <c r="R266" i="1"/>
  <c r="R265" i="1" l="1"/>
  <c r="S266" i="1"/>
  <c r="T266" i="1" s="1"/>
  <c r="R264" i="1" l="1"/>
  <c r="S265" i="1"/>
  <c r="T265" i="1" s="1"/>
  <c r="R263" i="1" l="1"/>
  <c r="S264" i="1"/>
  <c r="T264" i="1" s="1"/>
  <c r="S263" i="1" l="1"/>
  <c r="T263" i="1" s="1"/>
  <c r="R262" i="1"/>
  <c r="R261" i="1" l="1"/>
  <c r="S262" i="1"/>
  <c r="T262" i="1" s="1"/>
  <c r="R260" i="1" l="1"/>
  <c r="S261" i="1"/>
  <c r="T261" i="1" s="1"/>
  <c r="S260" i="1" l="1"/>
  <c r="T260" i="1" s="1"/>
  <c r="R259" i="1"/>
  <c r="S259" i="1" l="1"/>
  <c r="T259" i="1" s="1"/>
  <c r="R258" i="1"/>
  <c r="R257" i="1" l="1"/>
  <c r="S258" i="1"/>
  <c r="T258" i="1" s="1"/>
  <c r="R256" i="1" l="1"/>
  <c r="S257" i="1"/>
  <c r="T257" i="1" s="1"/>
  <c r="R255" i="1" l="1"/>
  <c r="S256" i="1"/>
  <c r="T256" i="1" s="1"/>
  <c r="S255" i="1" l="1"/>
  <c r="T255" i="1" s="1"/>
  <c r="R254" i="1"/>
  <c r="R253" i="1" l="1"/>
  <c r="S254" i="1"/>
  <c r="T254" i="1" s="1"/>
  <c r="R252" i="1" l="1"/>
  <c r="S253" i="1"/>
  <c r="T253" i="1" s="1"/>
  <c r="S252" i="1" l="1"/>
  <c r="T252" i="1" s="1"/>
  <c r="R251" i="1"/>
  <c r="S251" i="1" l="1"/>
  <c r="T251" i="1" s="1"/>
  <c r="R250" i="1"/>
  <c r="R249" i="1" l="1"/>
  <c r="S250" i="1"/>
  <c r="T250" i="1" s="1"/>
  <c r="R248" i="1" l="1"/>
  <c r="S249" i="1"/>
  <c r="T249" i="1" s="1"/>
  <c r="R247" i="1" l="1"/>
  <c r="S248" i="1"/>
  <c r="T248" i="1" s="1"/>
  <c r="S247" i="1" l="1"/>
  <c r="T247" i="1" s="1"/>
  <c r="R246" i="1"/>
  <c r="R245" i="1" l="1"/>
  <c r="S246" i="1"/>
  <c r="T246" i="1" s="1"/>
  <c r="R244" i="1" l="1"/>
  <c r="S245" i="1"/>
  <c r="T245" i="1" s="1"/>
  <c r="R243" i="1" l="1"/>
  <c r="S244" i="1"/>
  <c r="T244" i="1" s="1"/>
  <c r="S243" i="1" l="1"/>
  <c r="T243" i="1" s="1"/>
  <c r="R242" i="1"/>
  <c r="R241" i="1" l="1"/>
  <c r="S242" i="1"/>
  <c r="T242" i="1" s="1"/>
  <c r="R240" i="1" l="1"/>
  <c r="S241" i="1"/>
  <c r="T241" i="1" s="1"/>
  <c r="R239" i="1" l="1"/>
  <c r="S240" i="1"/>
  <c r="T240" i="1" s="1"/>
  <c r="S239" i="1" l="1"/>
  <c r="T239" i="1" s="1"/>
  <c r="R238" i="1"/>
  <c r="R237" i="1" l="1"/>
  <c r="S238" i="1"/>
  <c r="T238" i="1" s="1"/>
  <c r="R236" i="1" l="1"/>
  <c r="S237" i="1"/>
  <c r="T237" i="1" s="1"/>
  <c r="R235" i="1" l="1"/>
  <c r="S236" i="1"/>
  <c r="T236" i="1" s="1"/>
  <c r="S235" i="1" l="1"/>
  <c r="T235" i="1" s="1"/>
  <c r="R234" i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S219" i="1" l="1"/>
  <c r="T219" i="1" s="1"/>
  <c r="R218" i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S207" i="1" l="1"/>
  <c r="T207" i="1" s="1"/>
  <c r="R206" i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S195" i="1" l="1"/>
  <c r="T195" i="1" s="1"/>
  <c r="R194" i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S183" i="1" l="1"/>
  <c r="T183" i="1" s="1"/>
  <c r="R182" i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S171" i="1" l="1"/>
  <c r="T171" i="1" s="1"/>
  <c r="R170" i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S159" i="1" l="1"/>
  <c r="T159" i="1" s="1"/>
  <c r="R158" i="1"/>
  <c r="R157" i="1" l="1"/>
  <c r="S158" i="1"/>
  <c r="T158" i="1" s="1"/>
  <c r="R156" i="1" l="1"/>
  <c r="S157" i="1"/>
  <c r="T157" i="1" s="1"/>
  <c r="S156" i="1" l="1"/>
  <c r="T156" i="1" s="1"/>
  <c r="R155" i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S143" i="1" l="1"/>
  <c r="T143" i="1" s="1"/>
  <c r="R142" i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S135" i="1" l="1"/>
  <c r="T135" i="1" s="1"/>
  <c r="R134" i="1"/>
  <c r="R133" i="1" l="1"/>
  <c r="S134" i="1"/>
  <c r="T134" i="1" s="1"/>
  <c r="R132" i="1" l="1"/>
  <c r="S133" i="1"/>
  <c r="T133" i="1" s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S123" i="1" l="1"/>
  <c r="T123" i="1" s="1"/>
  <c r="R122" i="1"/>
  <c r="R121" i="1" l="1"/>
  <c r="S122" i="1"/>
  <c r="T122" i="1" s="1"/>
  <c r="R120" i="1" l="1"/>
  <c r="S121" i="1"/>
  <c r="T121" i="1" s="1"/>
  <c r="R119" i="1" l="1"/>
  <c r="S120" i="1"/>
  <c r="T120" i="1" s="1"/>
  <c r="S119" i="1" l="1"/>
  <c r="T119" i="1" s="1"/>
  <c r="R118" i="1"/>
  <c r="R117" i="1" l="1"/>
  <c r="S118" i="1"/>
  <c r="T118" i="1" s="1"/>
  <c r="R116" i="1" l="1"/>
  <c r="S117" i="1"/>
  <c r="T117" i="1" s="1"/>
  <c r="S116" i="1" l="1"/>
  <c r="T116" i="1" s="1"/>
  <c r="R115" i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S111" i="1" l="1"/>
  <c r="T111" i="1" s="1"/>
  <c r="R110" i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R89" i="1" l="1"/>
  <c r="S90" i="1"/>
  <c r="T90" i="1" s="1"/>
  <c r="R88" i="1" l="1"/>
  <c r="S89" i="1"/>
  <c r="T89" i="1" s="1"/>
  <c r="R87" i="1" l="1"/>
  <c r="S88" i="1"/>
  <c r="T88" i="1" s="1"/>
  <c r="S87" i="1" l="1"/>
  <c r="T87" i="1" s="1"/>
  <c r="R86" i="1"/>
  <c r="S86" i="1" l="1"/>
  <c r="T86" i="1" s="1"/>
  <c r="R85" i="1"/>
  <c r="S85" i="1" l="1"/>
  <c r="T85" i="1" s="1"/>
  <c r="R84" i="1"/>
  <c r="S84" i="1" l="1"/>
  <c r="T84" i="1" s="1"/>
  <c r="R83" i="1"/>
  <c r="S83" i="1" l="1"/>
  <c r="T83" i="1" s="1"/>
  <c r="R82" i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S75" i="1" l="1"/>
  <c r="T75" i="1" s="1"/>
  <c r="R74" i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R65" i="1" l="1"/>
  <c r="S66" i="1"/>
  <c r="T66" i="1" s="1"/>
  <c r="R64" i="1" l="1"/>
  <c r="S65" i="1"/>
  <c r="T65" i="1" s="1"/>
  <c r="R63" i="1" l="1"/>
  <c r="S64" i="1"/>
  <c r="T64" i="1" s="1"/>
  <c r="S63" i="1" l="1"/>
  <c r="T63" i="1" s="1"/>
  <c r="R62" i="1"/>
  <c r="S62" i="1" l="1"/>
  <c r="T62" i="1" s="1"/>
  <c r="R61" i="1"/>
  <c r="S61" i="1" l="1"/>
  <c r="T61" i="1" s="1"/>
  <c r="R60" i="1"/>
  <c r="S60" i="1" l="1"/>
  <c r="T60" i="1" s="1"/>
  <c r="R59" i="1"/>
  <c r="S59" i="1" l="1"/>
  <c r="T59" i="1" s="1"/>
  <c r="R58" i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S51" i="1" l="1"/>
  <c r="T51" i="1" s="1"/>
  <c r="R50" i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R33" i="1" l="1"/>
  <c r="S34" i="1"/>
  <c r="T34" i="1" s="1"/>
  <c r="S33" i="1" l="1"/>
  <c r="T33" i="1" s="1"/>
  <c r="R32" i="1"/>
  <c r="S32" i="1" l="1"/>
  <c r="T32" i="1" s="1"/>
  <c r="R31" i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<sst xmlns="http://schemas.openxmlformats.org/spreadsheetml/2006/main" count="7459" uniqueCount="34">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</sst>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0.0000"/>
    <numFmt numFmtId="167" formatCode="0.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167" fontId="0" fillId="5" borderId="0" xfId="0" applyNumberFormat="1" applyFill="1" applyAlignment="1">
      <alignment horizontal="center"/>
    </xf>
    <xf numFmtId="167" fontId="0" fillId="0" borderId="0" xfId="0" applyNumberFormat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2.457E-3</c:v>
                </c:pt>
                <c:pt idx="1">
                  <c:v>2.5309999999999998E-3</c:v>
                </c:pt>
                <c:pt idx="2">
                  <c:v>2.5089999999999999E-3</c:v>
                </c:pt>
                <c:pt idx="3">
                  <c:v>2.4710000000000001E-3</c:v>
                </c:pt>
                <c:pt idx="4">
                  <c:v>2.5469999999999998E-3</c:v>
                </c:pt>
                <c:pt idx="5">
                  <c:v>2.5010000000000002E-3</c:v>
                </c:pt>
                <c:pt idx="6">
                  <c:v>2.774E-3</c:v>
                </c:pt>
                <c:pt idx="7">
                  <c:v>3.2499999999999999E-3</c:v>
                </c:pt>
                <c:pt idx="8">
                  <c:v>3.5100000000000001E-3</c:v>
                </c:pt>
                <c:pt idx="9">
                  <c:v>3.7130000000000002E-3</c:v>
                </c:pt>
                <c:pt idx="10">
                  <c:v>3.5769999999999999E-3</c:v>
                </c:pt>
                <c:pt idx="11">
                  <c:v>3.7929999999999999E-3</c:v>
                </c:pt>
                <c:pt idx="12">
                  <c:v>3.7130000000000002E-3</c:v>
                </c:pt>
                <c:pt idx="13">
                  <c:v>3.6670000000000001E-3</c:v>
                </c:pt>
                <c:pt idx="14">
                  <c:v>3.7919999999999998E-3</c:v>
                </c:pt>
                <c:pt idx="15">
                  <c:v>3.8319999999999999E-3</c:v>
                </c:pt>
                <c:pt idx="16">
                  <c:v>3.5140000000000002E-3</c:v>
                </c:pt>
                <c:pt idx="17">
                  <c:v>3.1099999999999999E-3</c:v>
                </c:pt>
                <c:pt idx="18">
                  <c:v>3.284E-3</c:v>
                </c:pt>
                <c:pt idx="19">
                  <c:v>3.2230000000000002E-3</c:v>
                </c:pt>
                <c:pt idx="20">
                  <c:v>3.3930000000000002E-3</c:v>
                </c:pt>
                <c:pt idx="21">
                  <c:v>3.5560000000000001E-3</c:v>
                </c:pt>
                <c:pt idx="22">
                  <c:v>3.5400000000000002E-3</c:v>
                </c:pt>
                <c:pt idx="23">
                  <c:v>3.9280000000000001E-3</c:v>
                </c:pt>
                <c:pt idx="24">
                  <c:v>4.1050000000000001E-3</c:v>
                </c:pt>
                <c:pt idx="25">
                  <c:v>3.9370000000000004E-3</c:v>
                </c:pt>
                <c:pt idx="26">
                  <c:v>4.0130000000000001E-3</c:v>
                </c:pt>
                <c:pt idx="27">
                  <c:v>3.8679999999999999E-3</c:v>
                </c:pt>
                <c:pt idx="28">
                  <c:v>3.9830000000000004E-3</c:v>
                </c:pt>
                <c:pt idx="29">
                  <c:v>3.9620000000000002E-3</c:v>
                </c:pt>
                <c:pt idx="30">
                  <c:v>4.0070000000000001E-3</c:v>
                </c:pt>
                <c:pt idx="31">
                  <c:v>4.4799999999999996E-3</c:v>
                </c:pt>
                <c:pt idx="32">
                  <c:v>4.6740000000000002E-3</c:v>
                </c:pt>
                <c:pt idx="33">
                  <c:v>4.5500000000000002E-3</c:v>
                </c:pt>
                <c:pt idx="34">
                  <c:v>4.4079999999999996E-3</c:v>
                </c:pt>
                <c:pt idx="35">
                  <c:v>3.9909999999999998E-3</c:v>
                </c:pt>
                <c:pt idx="36">
                  <c:v>3.5530000000000002E-3</c:v>
                </c:pt>
                <c:pt idx="37">
                  <c:v>3.424E-3</c:v>
                </c:pt>
                <c:pt idx="38">
                  <c:v>3.2139999999999998E-3</c:v>
                </c:pt>
                <c:pt idx="39">
                  <c:v>3.222E-3</c:v>
                </c:pt>
                <c:pt idx="40">
                  <c:v>3.2780000000000001E-3</c:v>
                </c:pt>
                <c:pt idx="41">
                  <c:v>3.215E-3</c:v>
                </c:pt>
                <c:pt idx="42">
                  <c:v>3.3630000000000001E-3</c:v>
                </c:pt>
                <c:pt idx="43">
                  <c:v>3.5070000000000001E-3</c:v>
                </c:pt>
                <c:pt idx="44">
                  <c:v>3.3479999999999998E-3</c:v>
                </c:pt>
                <c:pt idx="45">
                  <c:v>3.2179999999999999E-3</c:v>
                </c:pt>
                <c:pt idx="46">
                  <c:v>3.6510000000000002E-3</c:v>
                </c:pt>
                <c:pt idx="47">
                  <c:v>3.5300000000000002E-3</c:v>
                </c:pt>
                <c:pt idx="48">
                  <c:v>3.5209999999999998E-3</c:v>
                </c:pt>
                <c:pt idx="49">
                  <c:v>3.5999999999999999E-3</c:v>
                </c:pt>
                <c:pt idx="50">
                  <c:v>4.0439999999999999E-3</c:v>
                </c:pt>
                <c:pt idx="51">
                  <c:v>3.954E-3</c:v>
                </c:pt>
                <c:pt idx="52">
                  <c:v>3.934E-3</c:v>
                </c:pt>
                <c:pt idx="53">
                  <c:v>3.784E-3</c:v>
                </c:pt>
                <c:pt idx="54">
                  <c:v>4.1679999999999998E-3</c:v>
                </c:pt>
                <c:pt idx="55">
                  <c:v>5.3150000000000003E-3</c:v>
                </c:pt>
                <c:pt idx="56">
                  <c:v>4.921E-3</c:v>
                </c:pt>
                <c:pt idx="57">
                  <c:v>4.8799999999999998E-3</c:v>
                </c:pt>
                <c:pt idx="58">
                  <c:v>4.9389999999999998E-3</c:v>
                </c:pt>
                <c:pt idx="59">
                  <c:v>5.0210000000000003E-3</c:v>
                </c:pt>
                <c:pt idx="60">
                  <c:v>4.9059999999999998E-3</c:v>
                </c:pt>
                <c:pt idx="61">
                  <c:v>4.9399999999999999E-3</c:v>
                </c:pt>
                <c:pt idx="62">
                  <c:v>4.9179999999999996E-3</c:v>
                </c:pt>
                <c:pt idx="63">
                  <c:v>5.5799999999999999E-3</c:v>
                </c:pt>
                <c:pt idx="64">
                  <c:v>5.64E-3</c:v>
                </c:pt>
                <c:pt idx="65">
                  <c:v>5.7279999999999996E-3</c:v>
                </c:pt>
                <c:pt idx="66">
                  <c:v>5.6280000000000002E-3</c:v>
                </c:pt>
                <c:pt idx="67">
                  <c:v>5.8430000000000001E-3</c:v>
                </c:pt>
                <c:pt idx="68">
                  <c:v>6.2649999999999997E-3</c:v>
                </c:pt>
                <c:pt idx="69">
                  <c:v>5.96E-3</c:v>
                </c:pt>
                <c:pt idx="70">
                  <c:v>5.5999999999999999E-3</c:v>
                </c:pt>
                <c:pt idx="71">
                  <c:v>6.2870000000000001E-3</c:v>
                </c:pt>
                <c:pt idx="72">
                  <c:v>6.195E-3</c:v>
                </c:pt>
                <c:pt idx="73">
                  <c:v>6.9319999999999998E-3</c:v>
                </c:pt>
                <c:pt idx="74">
                  <c:v>6.9129999999999999E-3</c:v>
                </c:pt>
                <c:pt idx="75">
                  <c:v>6.7359999999999998E-3</c:v>
                </c:pt>
                <c:pt idx="76">
                  <c:v>6.7060000000000002E-3</c:v>
                </c:pt>
                <c:pt idx="77">
                  <c:v>7.0260000000000001E-3</c:v>
                </c:pt>
                <c:pt idx="78">
                  <c:v>6.3769999999999999E-3</c:v>
                </c:pt>
                <c:pt idx="79">
                  <c:v>6.8739999999999999E-3</c:v>
                </c:pt>
                <c:pt idx="80">
                  <c:v>7.1679999999999999E-3</c:v>
                </c:pt>
                <c:pt idx="81">
                  <c:v>7.0289999999999997E-3</c:v>
                </c:pt>
                <c:pt idx="82">
                  <c:v>7.143E-3</c:v>
                </c:pt>
                <c:pt idx="83">
                  <c:v>6.9080000000000001E-3</c:v>
                </c:pt>
                <c:pt idx="84">
                  <c:v>6.9750000000000003E-3</c:v>
                </c:pt>
                <c:pt idx="85">
                  <c:v>7.3689999999999997E-3</c:v>
                </c:pt>
                <c:pt idx="86">
                  <c:v>7.6930000000000002E-3</c:v>
                </c:pt>
                <c:pt idx="87">
                  <c:v>6.8589999999999996E-3</c:v>
                </c:pt>
                <c:pt idx="88">
                  <c:v>7.045E-3</c:v>
                </c:pt>
                <c:pt idx="89">
                  <c:v>6.0400000000000002E-3</c:v>
                </c:pt>
                <c:pt idx="90">
                  <c:v>5.7600000000000004E-3</c:v>
                </c:pt>
                <c:pt idx="91">
                  <c:v>5.4190000000000002E-3</c:v>
                </c:pt>
                <c:pt idx="92">
                  <c:v>5.2729999999999999E-3</c:v>
                </c:pt>
                <c:pt idx="93">
                  <c:v>6.3070000000000001E-3</c:v>
                </c:pt>
                <c:pt idx="94">
                  <c:v>5.9950000000000003E-3</c:v>
                </c:pt>
                <c:pt idx="95">
                  <c:v>5.7629999999999999E-3</c:v>
                </c:pt>
                <c:pt idx="96">
                  <c:v>5.986E-3</c:v>
                </c:pt>
                <c:pt idx="97">
                  <c:v>6.0089999999999996E-3</c:v>
                </c:pt>
                <c:pt idx="98">
                  <c:v>6.1650000000000003E-3</c:v>
                </c:pt>
                <c:pt idx="99">
                  <c:v>6.1939999999999999E-3</c:v>
                </c:pt>
                <c:pt idx="100">
                  <c:v>5.7829999999999999E-3</c:v>
                </c:pt>
                <c:pt idx="101">
                  <c:v>5.7619999999999998E-3</c:v>
                </c:pt>
                <c:pt idx="102">
                  <c:v>5.8770000000000003E-3</c:v>
                </c:pt>
                <c:pt idx="103">
                  <c:v>5.7140000000000003E-3</c:v>
                </c:pt>
                <c:pt idx="104">
                  <c:v>5.7210000000000004E-3</c:v>
                </c:pt>
                <c:pt idx="105">
                  <c:v>6.0340000000000003E-3</c:v>
                </c:pt>
                <c:pt idx="106">
                  <c:v>5.4419999999999998E-3</c:v>
                </c:pt>
                <c:pt idx="107">
                  <c:v>5.3109999999999997E-3</c:v>
                </c:pt>
                <c:pt idx="108">
                  <c:v>5.6039999999999996E-3</c:v>
                </c:pt>
                <c:pt idx="109">
                  <c:v>5.3099999999999996E-3</c:v>
                </c:pt>
                <c:pt idx="110">
                  <c:v>5.8230000000000001E-3</c:v>
                </c:pt>
                <c:pt idx="111">
                  <c:v>5.8300000000000001E-3</c:v>
                </c:pt>
                <c:pt idx="112">
                  <c:v>5.8269999999999997E-3</c:v>
                </c:pt>
                <c:pt idx="113">
                  <c:v>6.0920000000000002E-3</c:v>
                </c:pt>
                <c:pt idx="114">
                  <c:v>6.6E-3</c:v>
                </c:pt>
                <c:pt idx="115">
                  <c:v>5.7829999999999999E-3</c:v>
                </c:pt>
                <c:pt idx="116">
                  <c:v>5.7429999999999998E-3</c:v>
                </c:pt>
                <c:pt idx="117">
                  <c:v>5.6839999999999998E-3</c:v>
                </c:pt>
                <c:pt idx="118">
                  <c:v>4.8129999999999996E-3</c:v>
                </c:pt>
                <c:pt idx="119">
                  <c:v>4.3990000000000001E-3</c:v>
                </c:pt>
                <c:pt idx="120">
                  <c:v>4.1700000000000001E-3</c:v>
                </c:pt>
                <c:pt idx="121">
                  <c:v>4.3629999999999997E-3</c:v>
                </c:pt>
                <c:pt idx="122">
                  <c:v>3.8509999999999998E-3</c:v>
                </c:pt>
                <c:pt idx="123">
                  <c:v>3.9649999999999998E-3</c:v>
                </c:pt>
                <c:pt idx="124">
                  <c:v>4.1580000000000002E-3</c:v>
                </c:pt>
                <c:pt idx="125">
                  <c:v>3.9370000000000004E-3</c:v>
                </c:pt>
                <c:pt idx="126">
                  <c:v>4.3020000000000003E-3</c:v>
                </c:pt>
                <c:pt idx="127">
                  <c:v>4.2360000000000002E-3</c:v>
                </c:pt>
                <c:pt idx="128">
                  <c:v>3.656E-3</c:v>
                </c:pt>
                <c:pt idx="129">
                  <c:v>4.3059999999999999E-3</c:v>
                </c:pt>
                <c:pt idx="130">
                  <c:v>4.7340000000000004E-3</c:v>
                </c:pt>
                <c:pt idx="131">
                  <c:v>4.8349999999999999E-3</c:v>
                </c:pt>
                <c:pt idx="132">
                  <c:v>4.731E-3</c:v>
                </c:pt>
                <c:pt idx="133">
                  <c:v>4.9069999999999999E-3</c:v>
                </c:pt>
                <c:pt idx="134">
                  <c:v>5.1539999999999997E-3</c:v>
                </c:pt>
                <c:pt idx="135">
                  <c:v>4.9100000000000003E-3</c:v>
                </c:pt>
                <c:pt idx="136">
                  <c:v>4.6550000000000003E-3</c:v>
                </c:pt>
                <c:pt idx="137">
                  <c:v>5.0629999999999998E-3</c:v>
                </c:pt>
                <c:pt idx="138">
                  <c:v>4.8040000000000001E-3</c:v>
                </c:pt>
                <c:pt idx="139">
                  <c:v>4.7470000000000004E-3</c:v>
                </c:pt>
                <c:pt idx="140">
                  <c:v>5.1089999999999998E-3</c:v>
                </c:pt>
                <c:pt idx="141">
                  <c:v>5.0790000000000002E-3</c:v>
                </c:pt>
                <c:pt idx="142">
                  <c:v>5.1399999999999996E-3</c:v>
                </c:pt>
                <c:pt idx="143">
                  <c:v>6.8180000000000003E-3</c:v>
                </c:pt>
                <c:pt idx="144">
                  <c:v>7.0499999999999998E-3</c:v>
                </c:pt>
                <c:pt idx="145">
                  <c:v>6.7650000000000002E-3</c:v>
                </c:pt>
                <c:pt idx="146">
                  <c:v>6.7380000000000001E-3</c:v>
                </c:pt>
                <c:pt idx="147">
                  <c:v>7.1650000000000004E-3</c:v>
                </c:pt>
                <c:pt idx="148">
                  <c:v>6.4159999999999998E-3</c:v>
                </c:pt>
                <c:pt idx="149">
                  <c:v>5.7840000000000001E-3</c:v>
                </c:pt>
                <c:pt idx="150">
                  <c:v>5.8529999999999997E-3</c:v>
                </c:pt>
                <c:pt idx="151">
                  <c:v>6.2100000000000002E-3</c:v>
                </c:pt>
                <c:pt idx="152">
                  <c:v>6.404E-3</c:v>
                </c:pt>
                <c:pt idx="153">
                  <c:v>6.4469999999999996E-3</c:v>
                </c:pt>
                <c:pt idx="154">
                  <c:v>5.8599999999999998E-3</c:v>
                </c:pt>
                <c:pt idx="155">
                  <c:v>6.6349E-3</c:v>
                </c:pt>
                <c:pt idx="156">
                  <c:v>6.4656000000000002E-3</c:v>
                </c:pt>
                <c:pt idx="157">
                  <c:v>7.0070000000000002E-3</c:v>
                </c:pt>
                <c:pt idx="158">
                  <c:v>6.8592999999999996E-3</c:v>
                </c:pt>
                <c:pt idx="159">
                  <c:v>6.6763999999999999E-3</c:v>
                </c:pt>
                <c:pt idx="160">
                  <c:v>7.0083999999999997E-3</c:v>
                </c:pt>
                <c:pt idx="161">
                  <c:v>7.4450000000000002E-3</c:v>
                </c:pt>
                <c:pt idx="162">
                  <c:v>6.1523999999999997E-3</c:v>
                </c:pt>
                <c:pt idx="163">
                  <c:v>6.1945000000000004E-3</c:v>
                </c:pt>
                <c:pt idx="164">
                  <c:v>6.5656999999999998E-3</c:v>
                </c:pt>
                <c:pt idx="165">
                  <c:v>7.4335E-3</c:v>
                </c:pt>
                <c:pt idx="166">
                  <c:v>8.1110000000000002E-3</c:v>
                </c:pt>
                <c:pt idx="167">
                  <c:v>5.9186000000000004E-3</c:v>
                </c:pt>
                <c:pt idx="168">
                  <c:v>4.4115999999999999E-3</c:v>
                </c:pt>
                <c:pt idx="169">
                  <c:v>4.2700000000000004E-3</c:v>
                </c:pt>
                <c:pt idx="170">
                  <c:v>3.3E-3</c:v>
                </c:pt>
                <c:pt idx="171">
                  <c:v>3.3451000000000002E-3</c:v>
                </c:pt>
                <c:pt idx="172">
                  <c:v>3.2190000000000001E-3</c:v>
                </c:pt>
                <c:pt idx="173">
                  <c:v>2.9223000000000001E-3</c:v>
                </c:pt>
                <c:pt idx="174">
                  <c:v>2.8879999999999999E-3</c:v>
                </c:pt>
                <c:pt idx="175">
                  <c:v>2.5655999999999999E-3</c:v>
                </c:pt>
                <c:pt idx="176">
                  <c:v>2.4348E-3</c:v>
                </c:pt>
                <c:pt idx="177">
                  <c:v>2.3354000000000001E-3</c:v>
                </c:pt>
                <c:pt idx="178">
                  <c:v>2.4326999999999999E-3</c:v>
                </c:pt>
                <c:pt idx="179">
                  <c:v>2.4299999999999999E-3</c:v>
                </c:pt>
                <c:pt idx="180">
                  <c:v>2.4962000000000001E-3</c:v>
                </c:pt>
                <c:pt idx="181">
                  <c:v>2.5615999999999998E-3</c:v>
                </c:pt>
                <c:pt idx="182">
                  <c:v>2.4543999999999998E-3</c:v>
                </c:pt>
                <c:pt idx="183">
                  <c:v>2.4868999999999998E-3</c:v>
                </c:pt>
                <c:pt idx="184">
                  <c:v>2.5883999999999998E-3</c:v>
                </c:pt>
                <c:pt idx="185">
                  <c:v>2.5124000000000001E-3</c:v>
                </c:pt>
                <c:pt idx="186">
                  <c:v>2.2745999999999999E-3</c:v>
                </c:pt>
                <c:pt idx="187">
                  <c:v>2.2208000000000002E-3</c:v>
                </c:pt>
                <c:pt idx="188">
                  <c:v>2.1274000000000002E-3</c:v>
                </c:pt>
                <c:pt idx="189">
                  <c:v>1.8855E-3</c:v>
                </c:pt>
                <c:pt idx="190">
                  <c:v>1.8175999999999999E-3</c:v>
                </c:pt>
                <c:pt idx="191">
                  <c:v>1.6164E-3</c:v>
                </c:pt>
                <c:pt idx="192">
                  <c:v>1.7918000000000001E-3</c:v>
                </c:pt>
                <c:pt idx="193">
                  <c:v>1.8978000000000001E-3</c:v>
                </c:pt>
                <c:pt idx="194">
                  <c:v>1.9269999999999999E-3</c:v>
                </c:pt>
                <c:pt idx="195">
                  <c:v>1.877E-3</c:v>
                </c:pt>
                <c:pt idx="196">
                  <c:v>2.0135999999999999E-3</c:v>
                </c:pt>
                <c:pt idx="197">
                  <c:v>2.0845999999999998E-3</c:v>
                </c:pt>
                <c:pt idx="198">
                  <c:v>2.1256000000000001E-3</c:v>
                </c:pt>
                <c:pt idx="199">
                  <c:v>2.2261999999999998E-3</c:v>
                </c:pt>
                <c:pt idx="200">
                  <c:v>2.2794999999999998E-3</c:v>
                </c:pt>
                <c:pt idx="201">
                  <c:v>2.2555000000000001E-3</c:v>
                </c:pt>
                <c:pt idx="202">
                  <c:v>2.2935E-3</c:v>
                </c:pt>
                <c:pt idx="203">
                  <c:v>2.2679000000000002E-3</c:v>
                </c:pt>
                <c:pt idx="204">
                  <c:v>2.4413E-3</c:v>
                </c:pt>
                <c:pt idx="205">
                  <c:v>2.3953999999999998E-3</c:v>
                </c:pt>
                <c:pt idx="206">
                  <c:v>2.3422E-3</c:v>
                </c:pt>
                <c:pt idx="207">
                  <c:v>2.5149999999999999E-3</c:v>
                </c:pt>
                <c:pt idx="208">
                  <c:v>2.4589E-3</c:v>
                </c:pt>
                <c:pt idx="209">
                  <c:v>2.3811000000000001E-3</c:v>
                </c:pt>
                <c:pt idx="210">
                  <c:v>2.3708000000000002E-3</c:v>
                </c:pt>
                <c:pt idx="211">
                  <c:v>2.6346999999999998E-3</c:v>
                </c:pt>
                <c:pt idx="212">
                  <c:v>2.6733E-3</c:v>
                </c:pt>
                <c:pt idx="213">
                  <c:v>2.3281999999999999E-3</c:v>
                </c:pt>
                <c:pt idx="214">
                  <c:v>2.3389000000000001E-3</c:v>
                </c:pt>
                <c:pt idx="215">
                  <c:v>2.2288999999999998E-3</c:v>
                </c:pt>
                <c:pt idx="216">
                  <c:v>2.1787999999999998E-3</c:v>
                </c:pt>
                <c:pt idx="217">
                  <c:v>2.4799000000000002E-3</c:v>
                </c:pt>
                <c:pt idx="218">
                  <c:v>2.3056999999999999E-3</c:v>
                </c:pt>
                <c:pt idx="219">
                  <c:v>2.14E-3</c:v>
                </c:pt>
                <c:pt idx="220">
                  <c:v>2.3432000000000001E-3</c:v>
                </c:pt>
                <c:pt idx="221">
                  <c:v>2.9594999999999999E-3</c:v>
                </c:pt>
                <c:pt idx="222">
                  <c:v>2.9998999999999998E-3</c:v>
                </c:pt>
                <c:pt idx="223">
                  <c:v>3.0728000000000001E-3</c:v>
                </c:pt>
                <c:pt idx="224">
                  <c:v>3.3808000000000002E-3</c:v>
                </c:pt>
                <c:pt idx="225">
                  <c:v>3.3925000000000001E-3</c:v>
                </c:pt>
                <c:pt idx="226">
                  <c:v>3.4981999999999999E-3</c:v>
                </c:pt>
                <c:pt idx="227">
                  <c:v>3.4483999999999999E-3</c:v>
                </c:pt>
                <c:pt idx="228">
                  <c:v>3.3995000000000002E-3</c:v>
                </c:pt>
                <c:pt idx="229">
                  <c:v>3.0977000000000001E-3</c:v>
                </c:pt>
                <c:pt idx="230">
                  <c:v>3.2345999999999998E-3</c:v>
                </c:pt>
                <c:pt idx="231">
                  <c:v>3.3281999999999999E-3</c:v>
                </c:pt>
                <c:pt idx="232">
                  <c:v>3.7743999999999998E-3</c:v>
                </c:pt>
                <c:pt idx="233">
                  <c:v>3.3972E-3</c:v>
                </c:pt>
                <c:pt idx="234">
                  <c:v>3.2704000000000001E-3</c:v>
                </c:pt>
                <c:pt idx="235">
                  <c:v>3.705E-3</c:v>
                </c:pt>
                <c:pt idx="236">
                  <c:v>3.4797000000000001E-3</c:v>
                </c:pt>
                <c:pt idx="237">
                  <c:v>3.6619999999999999E-3</c:v>
                </c:pt>
                <c:pt idx="238">
                  <c:v>4.1687E-3</c:v>
                </c:pt>
                <c:pt idx="239">
                  <c:v>3.9345999999999999E-3</c:v>
                </c:pt>
                <c:pt idx="240">
                  <c:v>3.8397000000000001E-3</c:v>
                </c:pt>
                <c:pt idx="241">
                  <c:v>3.9182000000000002E-3</c:v>
                </c:pt>
                <c:pt idx="242">
                  <c:v>3.6062999999999998E-3</c:v>
                </c:pt>
                <c:pt idx="243">
                  <c:v>3.3682999999999999E-3</c:v>
                </c:pt>
                <c:pt idx="244">
                  <c:v>3.7279000000000001E-3</c:v>
                </c:pt>
                <c:pt idx="245">
                  <c:v>4.2151000000000003E-3</c:v>
                </c:pt>
                <c:pt idx="246">
                  <c:v>4.7200000000000002E-3</c:v>
                </c:pt>
                <c:pt idx="247">
                  <c:v>4.0585999999999999E-3</c:v>
                </c:pt>
                <c:pt idx="248">
                  <c:v>3.8270000000000001E-3</c:v>
                </c:pt>
                <c:pt idx="249">
                  <c:v>3.0233999999999999E-3</c:v>
                </c:pt>
                <c:pt idx="250">
                  <c:v>3.7715000000000001E-3</c:v>
                </c:pt>
                <c:pt idx="251">
                  <c:v>3.7934000000000002E-3</c:v>
                </c:pt>
                <c:pt idx="252">
                  <c:v>4.3600000000000002E-3</c:v>
                </c:pt>
                <c:pt idx="253">
                  <c:v>3.6440000000000001E-3</c:v>
                </c:pt>
                <c:pt idx="254">
                  <c:v>6.1184999999999998E-3</c:v>
                </c:pt>
                <c:pt idx="255">
                  <c:v>6.2598999999999997E-3</c:v>
                </c:pt>
                <c:pt idx="256">
                  <c:v>7.2700000000000004E-3</c:v>
                </c:pt>
                <c:pt idx="257">
                  <c:v>6.1425000000000004E-3</c:v>
                </c:pt>
                <c:pt idx="258">
                  <c:v>6.7438000000000003E-3</c:v>
                </c:pt>
                <c:pt idx="259">
                  <c:v>6.3203E-3</c:v>
                </c:pt>
                <c:pt idx="260">
                  <c:v>6.1097E-3</c:v>
                </c:pt>
                <c:pt idx="261">
                  <c:v>7.9781000000000001E-3</c:v>
                </c:pt>
                <c:pt idx="262">
                  <c:v>7.6407999999999997E-3</c:v>
                </c:pt>
                <c:pt idx="263">
                  <c:v>9.0626999999999999E-3</c:v>
                </c:pt>
                <c:pt idx="264">
                  <c:v>9.4000000000000004E-3</c:v>
                </c:pt>
                <c:pt idx="265">
                  <c:v>9.5586999999999998E-3</c:v>
                </c:pt>
                <c:pt idx="266">
                  <c:v>9.5831000000000006E-3</c:v>
                </c:pt>
                <c:pt idx="267">
                  <c:v>9.7619999999999998E-3</c:v>
                </c:pt>
                <c:pt idx="268">
                  <c:v>9.3156000000000003E-3</c:v>
                </c:pt>
                <c:pt idx="269">
                  <c:v>1.0880799999999999E-2</c:v>
                </c:pt>
                <c:pt idx="270">
                  <c:v>1.06201E-2</c:v>
                </c:pt>
                <c:pt idx="271">
                  <c:v>1.1149900000000001E-2</c:v>
                </c:pt>
                <c:pt idx="272">
                  <c:v>1.14345E-2</c:v>
                </c:pt>
                <c:pt idx="273">
                  <c:v>1.11539E-2</c:v>
                </c:pt>
                <c:pt idx="274">
                  <c:v>1.09736E-2</c:v>
                </c:pt>
                <c:pt idx="275">
                  <c:v>1.1440000000000001E-2</c:v>
                </c:pt>
                <c:pt idx="276">
                  <c:v>1.0485E-2</c:v>
                </c:pt>
                <c:pt idx="277">
                  <c:v>7.9874999999999998E-3</c:v>
                </c:pt>
                <c:pt idx="278">
                  <c:v>7.5499E-3</c:v>
                </c:pt>
                <c:pt idx="279">
                  <c:v>7.4793999999999998E-3</c:v>
                </c:pt>
                <c:pt idx="280">
                  <c:v>7.1021000000000001E-3</c:v>
                </c:pt>
                <c:pt idx="281">
                  <c:v>8.3018999999999992E-3</c:v>
                </c:pt>
                <c:pt idx="282">
                  <c:v>8.7177000000000001E-3</c:v>
                </c:pt>
                <c:pt idx="283">
                  <c:v>8.8476000000000006E-3</c:v>
                </c:pt>
                <c:pt idx="284">
                  <c:v>1.01257E-2</c:v>
                </c:pt>
                <c:pt idx="285">
                  <c:v>1.19303E-2</c:v>
                </c:pt>
                <c:pt idx="286">
                  <c:v>1.15505E-2</c:v>
                </c:pt>
                <c:pt idx="287">
                  <c:v>1.1651E-2</c:v>
                </c:pt>
                <c:pt idx="288">
                  <c:v>1.1644E-2</c:v>
                </c:pt>
                <c:pt idx="289">
                  <c:v>1.1955E-2</c:v>
                </c:pt>
                <c:pt idx="290">
                  <c:v>1.2972600000000001E-2</c:v>
                </c:pt>
                <c:pt idx="291">
                  <c:v>1.40638E-2</c:v>
                </c:pt>
                <c:pt idx="292">
                  <c:v>1.3892399999999999E-2</c:v>
                </c:pt>
                <c:pt idx="293">
                  <c:v>1.47423E-2</c:v>
                </c:pt>
                <c:pt idx="294">
                  <c:v>1.6544900000000001E-2</c:v>
                </c:pt>
                <c:pt idx="295">
                  <c:v>1.40798E-2</c:v>
                </c:pt>
                <c:pt idx="296">
                  <c:v>1.7110199999999999E-2</c:v>
                </c:pt>
                <c:pt idx="297">
                  <c:v>1.93248E-2</c:v>
                </c:pt>
                <c:pt idx="298">
                  <c:v>1.7391400000000001E-2</c:v>
                </c:pt>
                <c:pt idx="299">
                  <c:v>1.59515E-2</c:v>
                </c:pt>
                <c:pt idx="300">
                  <c:v>1.49899E-2</c:v>
                </c:pt>
                <c:pt idx="301">
                  <c:v>1.38E-2</c:v>
                </c:pt>
                <c:pt idx="302">
                  <c:v>1.2323199999999999E-2</c:v>
                </c:pt>
                <c:pt idx="303">
                  <c:v>1.31669E-2</c:v>
                </c:pt>
                <c:pt idx="304">
                  <c:v>1.1891199999999999E-2</c:v>
                </c:pt>
                <c:pt idx="305">
                  <c:v>1.00784E-2</c:v>
                </c:pt>
                <c:pt idx="306">
                  <c:v>1.0255E-2</c:v>
                </c:pt>
                <c:pt idx="307">
                  <c:v>1.0540000000000001E-2</c:v>
                </c:pt>
                <c:pt idx="308">
                  <c:v>9.7626999999999992E-3</c:v>
                </c:pt>
                <c:pt idx="309">
                  <c:v>9.5195999999999996E-3</c:v>
                </c:pt>
                <c:pt idx="310">
                  <c:v>1.0553099999999999E-2</c:v>
                </c:pt>
                <c:pt idx="311">
                  <c:v>1.085E-2</c:v>
                </c:pt>
                <c:pt idx="312">
                  <c:v>7.2119999999999997E-3</c:v>
                </c:pt>
                <c:pt idx="313">
                  <c:v>5.77E-3</c:v>
                </c:pt>
                <c:pt idx="314">
                  <c:v>4.4809000000000003E-3</c:v>
                </c:pt>
                <c:pt idx="315">
                  <c:v>3.3430000000000001E-3</c:v>
                </c:pt>
                <c:pt idx="316">
                  <c:v>3.5674999999999999E-3</c:v>
                </c:pt>
                <c:pt idx="317">
                  <c:v>3.1468999999999998E-3</c:v>
                </c:pt>
                <c:pt idx="318">
                  <c:v>3.3176999999999998E-3</c:v>
                </c:pt>
                <c:pt idx="319">
                  <c:v>3.4499999999999999E-3</c:v>
                </c:pt>
                <c:pt idx="320">
                  <c:v>3.5119000000000001E-3</c:v>
                </c:pt>
                <c:pt idx="321">
                  <c:v>2.8698999999999999E-3</c:v>
                </c:pt>
                <c:pt idx="322">
                  <c:v>2.1234000000000001E-3</c:v>
                </c:pt>
                <c:pt idx="323">
                  <c:v>2.0474999999999998E-3</c:v>
                </c:pt>
                <c:pt idx="324">
                  <c:v>1.9729999999999999E-3</c:v>
                </c:pt>
                <c:pt idx="325">
                  <c:v>1.7637E-3</c:v>
                </c:pt>
                <c:pt idx="326">
                  <c:v>1.6693999999999999E-3</c:v>
                </c:pt>
                <c:pt idx="327">
                  <c:v>1.6892999999999999E-3</c:v>
                </c:pt>
                <c:pt idx="328">
                  <c:v>1.6863E-3</c:v>
                </c:pt>
                <c:pt idx="329">
                  <c:v>1.7470999999999999E-3</c:v>
                </c:pt>
                <c:pt idx="330">
                  <c:v>1.5985000000000001E-3</c:v>
                </c:pt>
                <c:pt idx="331">
                  <c:v>1.5598999999999999E-3</c:v>
                </c:pt>
                <c:pt idx="332">
                  <c:v>1.6769E-3</c:v>
                </c:pt>
                <c:pt idx="333">
                  <c:v>1.4859999999999999E-3</c:v>
                </c:pt>
                <c:pt idx="334">
                  <c:v>1.6310999999999999E-3</c:v>
                </c:pt>
                <c:pt idx="335">
                  <c:v>1.7313000000000001E-3</c:v>
                </c:pt>
                <c:pt idx="336">
                  <c:v>1.789E-3</c:v>
                </c:pt>
                <c:pt idx="337">
                  <c:v>1.9821999999999999E-3</c:v>
                </c:pt>
                <c:pt idx="338">
                  <c:v>1.8554999999999999E-3</c:v>
                </c:pt>
                <c:pt idx="339">
                  <c:v>2.0341000000000001E-3</c:v>
                </c:pt>
                <c:pt idx="340">
                  <c:v>2.3278999999999999E-3</c:v>
                </c:pt>
                <c:pt idx="341">
                  <c:v>1.6077999999999999E-3</c:v>
                </c:pt>
                <c:pt idx="342">
                  <c:v>1.3531000000000001E-3</c:v>
                </c:pt>
                <c:pt idx="343">
                  <c:v>1.3208E-3</c:v>
                </c:pt>
                <c:pt idx="344">
                  <c:v>1.3401999999999999E-3</c:v>
                </c:pt>
                <c:pt idx="345">
                  <c:v>1.3879000000000001E-3</c:v>
                </c:pt>
                <c:pt idx="346">
                  <c:v>1.2287999999999999E-3</c:v>
                </c:pt>
                <c:pt idx="347">
                  <c:v>1.4208000000000001E-3</c:v>
                </c:pt>
                <c:pt idx="348">
                  <c:v>1.4061E-3</c:v>
                </c:pt>
                <c:pt idx="349">
                  <c:v>1.5816000000000001E-3</c:v>
                </c:pt>
                <c:pt idx="350">
                  <c:v>1.7750000000000001E-3</c:v>
                </c:pt>
                <c:pt idx="351">
                  <c:v>7.1259999999999997E-4</c:v>
                </c:pt>
                <c:pt idx="352">
                  <c:v>7.3550000000000004E-4</c:v>
                </c:pt>
                <c:pt idx="353">
                  <c:v>5.3649999999999998E-4</c:v>
                </c:pt>
                <c:pt idx="354">
                  <c:v>4.2850000000000001E-4</c:v>
                </c:pt>
                <c:pt idx="355">
                  <c:v>4.417E-4</c:v>
                </c:pt>
                <c:pt idx="356">
                  <c:v>4.7419999999999998E-4</c:v>
                </c:pt>
                <c:pt idx="357">
                  <c:v>4.2069999999999998E-4</c:v>
                </c:pt>
                <c:pt idx="358">
                  <c:v>4.5790000000000002E-4</c:v>
                </c:pt>
                <c:pt idx="359">
                  <c:v>3.5780000000000002E-4</c:v>
                </c:pt>
                <c:pt idx="360">
                  <c:v>3.4949999999999998E-4</c:v>
                </c:pt>
                <c:pt idx="361">
                  <c:v>3.613E-4</c:v>
                </c:pt>
                <c:pt idx="362">
                  <c:v>3.8010000000000002E-4</c:v>
                </c:pt>
                <c:pt idx="363">
                  <c:v>3.2509999999999999E-4</c:v>
                </c:pt>
                <c:pt idx="364">
                  <c:v>2.8360000000000001E-4</c:v>
                </c:pt>
                <c:pt idx="365">
                  <c:v>2.7099999999999997E-4</c:v>
                </c:pt>
                <c:pt idx="366">
                  <c:v>2.9050000000000001E-4</c:v>
                </c:pt>
                <c:pt idx="367">
                  <c:v>2.8709999999999999E-4</c:v>
                </c:pt>
                <c:pt idx="368">
                  <c:v>2.9839999999999999E-4</c:v>
                </c:pt>
                <c:pt idx="369">
                  <c:v>2.72E-4</c:v>
                </c:pt>
                <c:pt idx="370">
                  <c:v>2.7270000000000001E-4</c:v>
                </c:pt>
                <c:pt idx="371">
                  <c:v>2.6340000000000001E-4</c:v>
                </c:pt>
                <c:pt idx="372">
                  <c:v>3.0190000000000002E-4</c:v>
                </c:pt>
                <c:pt idx="373">
                  <c:v>2.9460000000000001E-4</c:v>
                </c:pt>
                <c:pt idx="374">
                  <c:v>3.0299999999999999E-4</c:v>
                </c:pt>
                <c:pt idx="375">
                  <c:v>2.9080000000000002E-4</c:v>
                </c:pt>
                <c:pt idx="376">
                  <c:v>3.0239999999999998E-4</c:v>
                </c:pt>
                <c:pt idx="377">
                  <c:v>2.6360000000000001E-4</c:v>
                </c:pt>
                <c:pt idx="378">
                  <c:v>2.7119999999999998E-4</c:v>
                </c:pt>
                <c:pt idx="379">
                  <c:v>2.6380000000000002E-4</c:v>
                </c:pt>
                <c:pt idx="380">
                  <c:v>2.522E-4</c:v>
                </c:pt>
                <c:pt idx="381">
                  <c:v>2.5779999999999998E-4</c:v>
                </c:pt>
                <c:pt idx="382">
                  <c:v>3.1379999999999998E-4</c:v>
                </c:pt>
                <c:pt idx="383">
                  <c:v>3.1149999999999998E-4</c:v>
                </c:pt>
                <c:pt idx="384">
                  <c:v>2.6929999999999999E-4</c:v>
                </c:pt>
                <c:pt idx="385">
                  <c:v>2.4399999999999999E-4</c:v>
                </c:pt>
                <c:pt idx="386">
                  <c:v>2.3269999999999999E-4</c:v>
                </c:pt>
                <c:pt idx="387">
                  <c:v>2.14E-4</c:v>
                </c:pt>
                <c:pt idx="388">
                  <c:v>2.1900000000000001E-4</c:v>
                </c:pt>
                <c:pt idx="389">
                  <c:v>2.1990000000000001E-4</c:v>
                </c:pt>
                <c:pt idx="390">
                  <c:v>2.0350000000000001E-4</c:v>
                </c:pt>
                <c:pt idx="391">
                  <c:v>1.9330000000000001E-4</c:v>
                </c:pt>
                <c:pt idx="392">
                  <c:v>1.8900000000000001E-4</c:v>
                </c:pt>
                <c:pt idx="393">
                  <c:v>1.962E-4</c:v>
                </c:pt>
                <c:pt idx="394">
                  <c:v>2.0249999999999999E-4</c:v>
                </c:pt>
                <c:pt idx="395">
                  <c:v>2.1689999999999999E-4</c:v>
                </c:pt>
                <c:pt idx="396">
                  <c:v>2.162E-4</c:v>
                </c:pt>
                <c:pt idx="397">
                  <c:v>2.0990000000000001E-4</c:v>
                </c:pt>
                <c:pt idx="398">
                  <c:v>2.1579999999999999E-4</c:v>
                </c:pt>
                <c:pt idx="399">
                  <c:v>2.0430000000000001E-4</c:v>
                </c:pt>
                <c:pt idx="400">
                  <c:v>2.05E-4</c:v>
                </c:pt>
                <c:pt idx="401">
                  <c:v>2.3379999999999999E-4</c:v>
                </c:pt>
                <c:pt idx="402">
                  <c:v>2.2719999999999999E-4</c:v>
                </c:pt>
                <c:pt idx="403">
                  <c:v>2.3560000000000001E-4</c:v>
                </c:pt>
                <c:pt idx="404">
                  <c:v>2.3910000000000001E-4</c:v>
                </c:pt>
                <c:pt idx="405">
                  <c:v>2.4220000000000001E-4</c:v>
                </c:pt>
                <c:pt idx="406">
                  <c:v>2.274E-4</c:v>
                </c:pt>
                <c:pt idx="407">
                  <c:v>2.098E-4</c:v>
                </c:pt>
                <c:pt idx="408">
                  <c:v>2.108E-4</c:v>
                </c:pt>
                <c:pt idx="409">
                  <c:v>2.1130000000000001E-4</c:v>
                </c:pt>
                <c:pt idx="410">
                  <c:v>2.1359999999999999E-4</c:v>
                </c:pt>
                <c:pt idx="411">
                  <c:v>2.0350000000000001E-4</c:v>
                </c:pt>
                <c:pt idx="412">
                  <c:v>2.0680000000000001E-4</c:v>
                </c:pt>
                <c:pt idx="413">
                  <c:v>2.164E-4</c:v>
                </c:pt>
                <c:pt idx="414">
                  <c:v>2.288E-4</c:v>
                </c:pt>
                <c:pt idx="415">
                  <c:v>2.2000000000000001E-4</c:v>
                </c:pt>
                <c:pt idx="416">
                  <c:v>2.5179999999999999E-4</c:v>
                </c:pt>
                <c:pt idx="417">
                  <c:v>2.43E-4</c:v>
                </c:pt>
                <c:pt idx="418">
                  <c:v>2.3450000000000001E-4</c:v>
                </c:pt>
                <c:pt idx="419">
                  <c:v>2.2660000000000001E-4</c:v>
                </c:pt>
                <c:pt idx="420">
                  <c:v>2.5399999999999999E-4</c:v>
                </c:pt>
                <c:pt idx="421">
                  <c:v>2.284E-4</c:v>
                </c:pt>
                <c:pt idx="422">
                  <c:v>2.0880000000000001E-4</c:v>
                </c:pt>
                <c:pt idx="423">
                  <c:v>2.2460000000000001E-4</c:v>
                </c:pt>
                <c:pt idx="424">
                  <c:v>2.14E-4</c:v>
                </c:pt>
                <c:pt idx="425">
                  <c:v>2.0919999999999999E-4</c:v>
                </c:pt>
                <c:pt idx="426">
                  <c:v>1.9929999999999999E-4</c:v>
                </c:pt>
                <c:pt idx="427">
                  <c:v>1.9819999999999999E-4</c:v>
                </c:pt>
                <c:pt idx="428">
                  <c:v>2.1609999999999999E-4</c:v>
                </c:pt>
                <c:pt idx="429">
                  <c:v>2.076E-4</c:v>
                </c:pt>
                <c:pt idx="430">
                  <c:v>1.9670000000000001E-4</c:v>
                </c:pt>
                <c:pt idx="431">
                  <c:v>1.8990000000000001E-4</c:v>
                </c:pt>
                <c:pt idx="432">
                  <c:v>1.9599999999999999E-4</c:v>
                </c:pt>
                <c:pt idx="433">
                  <c:v>1.8459999999999999E-4</c:v>
                </c:pt>
                <c:pt idx="434">
                  <c:v>1.795E-4</c:v>
                </c:pt>
                <c:pt idx="435">
                  <c:v>1.8220000000000001E-4</c:v>
                </c:pt>
                <c:pt idx="436">
                  <c:v>1.864E-4</c:v>
                </c:pt>
                <c:pt idx="437">
                  <c:v>1.874E-4</c:v>
                </c:pt>
                <c:pt idx="438">
                  <c:v>1.7579999999999999E-4</c:v>
                </c:pt>
                <c:pt idx="439">
                  <c:v>1.7929999999999999E-4</c:v>
                </c:pt>
                <c:pt idx="440">
                  <c:v>1.8459999999999999E-4</c:v>
                </c:pt>
                <c:pt idx="441">
                  <c:v>1.806E-4</c:v>
                </c:pt>
                <c:pt idx="442">
                  <c:v>1.8980000000000001E-4</c:v>
                </c:pt>
                <c:pt idx="443">
                  <c:v>1.8650000000000001E-4</c:v>
                </c:pt>
                <c:pt idx="444">
                  <c:v>1.805E-4</c:v>
                </c:pt>
                <c:pt idx="445">
                  <c:v>1.785E-4</c:v>
                </c:pt>
                <c:pt idx="446">
                  <c:v>1.7029999999999999E-4</c:v>
                </c:pt>
                <c:pt idx="447">
                  <c:v>1.7650000000000001E-4</c:v>
                </c:pt>
                <c:pt idx="448">
                  <c:v>1.6699999999999999E-4</c:v>
                </c:pt>
                <c:pt idx="449">
                  <c:v>1.6780000000000001E-4</c:v>
                </c:pt>
                <c:pt idx="450">
                  <c:v>1.7430000000000001E-4</c:v>
                </c:pt>
                <c:pt idx="451">
                  <c:v>1.7789999999999999E-4</c:v>
                </c:pt>
                <c:pt idx="452">
                  <c:v>1.852E-4</c:v>
                </c:pt>
                <c:pt idx="453">
                  <c:v>1.862E-4</c:v>
                </c:pt>
                <c:pt idx="454">
                  <c:v>1.942E-4</c:v>
                </c:pt>
                <c:pt idx="455">
                  <c:v>1.9220000000000001E-4</c:v>
                </c:pt>
                <c:pt idx="456">
                  <c:v>1.93E-4</c:v>
                </c:pt>
                <c:pt idx="457">
                  <c:v>2.0579999999999999E-4</c:v>
                </c:pt>
                <c:pt idx="458">
                  <c:v>2.0440000000000001E-4</c:v>
                </c:pt>
                <c:pt idx="459">
                  <c:v>2.0939999999999999E-4</c:v>
                </c:pt>
                <c:pt idx="460">
                  <c:v>2.141E-4</c:v>
                </c:pt>
                <c:pt idx="461">
                  <c:v>2.1450000000000001E-4</c:v>
                </c:pt>
                <c:pt idx="462">
                  <c:v>2.1499999999999999E-4</c:v>
                </c:pt>
                <c:pt idx="463">
                  <c:v>2.175E-4</c:v>
                </c:pt>
                <c:pt idx="464">
                  <c:v>2.1680000000000001E-4</c:v>
                </c:pt>
                <c:pt idx="465">
                  <c:v>2.2139999999999999E-4</c:v>
                </c:pt>
                <c:pt idx="466">
                  <c:v>2.195E-4</c:v>
                </c:pt>
                <c:pt idx="467">
                  <c:v>2.1919999999999999E-4</c:v>
                </c:pt>
                <c:pt idx="468">
                  <c:v>2.176E-4</c:v>
                </c:pt>
                <c:pt idx="469">
                  <c:v>2.252E-4</c:v>
                </c:pt>
                <c:pt idx="470">
                  <c:v>2.2100000000000001E-4</c:v>
                </c:pt>
                <c:pt idx="471">
                  <c:v>2.2230000000000001E-4</c:v>
                </c:pt>
                <c:pt idx="472">
                  <c:v>2.2890000000000001E-4</c:v>
                </c:pt>
                <c:pt idx="473">
                  <c:v>2.2770000000000001E-4</c:v>
                </c:pt>
                <c:pt idx="474">
                  <c:v>2.2440000000000001E-4</c:v>
                </c:pt>
                <c:pt idx="475">
                  <c:v>2.2690000000000001E-4</c:v>
                </c:pt>
                <c:pt idx="476">
                  <c:v>2.1460000000000001E-4</c:v>
                </c:pt>
                <c:pt idx="477">
                  <c:v>2.0909999999999999E-4</c:v>
                </c:pt>
                <c:pt idx="478">
                  <c:v>2.085E-4</c:v>
                </c:pt>
                <c:pt idx="479">
                  <c:v>2.1269999999999999E-4</c:v>
                </c:pt>
                <c:pt idx="480">
                  <c:v>2.1230000000000001E-4</c:v>
                </c:pt>
                <c:pt idx="481">
                  <c:v>2.142E-4</c:v>
                </c:pt>
                <c:pt idx="482">
                  <c:v>2.153E-4</c:v>
                </c:pt>
                <c:pt idx="483">
                  <c:v>2.1120000000000001E-4</c:v>
                </c:pt>
                <c:pt idx="484">
                  <c:v>2.1770000000000001E-4</c:v>
                </c:pt>
                <c:pt idx="485">
                  <c:v>2.154E-4</c:v>
                </c:pt>
                <c:pt idx="486">
                  <c:v>2.1320000000000001E-4</c:v>
                </c:pt>
                <c:pt idx="487">
                  <c:v>2.2010000000000001E-4</c:v>
                </c:pt>
                <c:pt idx="488">
                  <c:v>2.2389999999999999E-4</c:v>
                </c:pt>
                <c:pt idx="489">
                  <c:v>2.2800000000000001E-4</c:v>
                </c:pt>
                <c:pt idx="490">
                  <c:v>2.2809999999999999E-4</c:v>
                </c:pt>
                <c:pt idx="491">
                  <c:v>2.0019999999999999E-4</c:v>
                </c:pt>
                <c:pt idx="492">
                  <c:v>2.1010000000000001E-4</c:v>
                </c:pt>
                <c:pt idx="493">
                  <c:v>2.0900000000000001E-4</c:v>
                </c:pt>
                <c:pt idx="494">
                  <c:v>2.1709999999999999E-4</c:v>
                </c:pt>
                <c:pt idx="495">
                  <c:v>2.2690000000000001E-4</c:v>
                </c:pt>
                <c:pt idx="496">
                  <c:v>2.23E-4</c:v>
                </c:pt>
                <c:pt idx="497">
                  <c:v>2.2929999999999999E-4</c:v>
                </c:pt>
                <c:pt idx="498">
                  <c:v>2.229E-4</c:v>
                </c:pt>
                <c:pt idx="499">
                  <c:v>2.1560000000000001E-4</c:v>
                </c:pt>
                <c:pt idx="500">
                  <c:v>2.2379999999999999E-4</c:v>
                </c:pt>
                <c:pt idx="501">
                  <c:v>2.1939999999999999E-4</c:v>
                </c:pt>
                <c:pt idx="502">
                  <c:v>2.3550000000000001E-4</c:v>
                </c:pt>
                <c:pt idx="503">
                  <c:v>2.362E-4</c:v>
                </c:pt>
                <c:pt idx="504">
                  <c:v>2.3279999999999999E-4</c:v>
                </c:pt>
                <c:pt idx="505">
                  <c:v>2.2829999999999999E-4</c:v>
                </c:pt>
                <c:pt idx="506">
                  <c:v>2.2000000000000001E-4</c:v>
                </c:pt>
                <c:pt idx="507">
                  <c:v>2.1890000000000001E-4</c:v>
                </c:pt>
                <c:pt idx="508">
                  <c:v>2.2359999999999999E-4</c:v>
                </c:pt>
                <c:pt idx="509">
                  <c:v>2.13E-4</c:v>
                </c:pt>
                <c:pt idx="510">
                  <c:v>2.4570000000000001E-4</c:v>
                </c:pt>
                <c:pt idx="511">
                  <c:v>2.52E-4</c:v>
                </c:pt>
                <c:pt idx="512">
                  <c:v>2.8299999999999999E-4</c:v>
                </c:pt>
                <c:pt idx="513">
                  <c:v>3.0309999999999999E-4</c:v>
                </c:pt>
                <c:pt idx="514">
                  <c:v>3.099E-4</c:v>
                </c:pt>
                <c:pt idx="515">
                  <c:v>3.0440000000000003E-4</c:v>
                </c:pt>
                <c:pt idx="516">
                  <c:v>3.032E-4</c:v>
                </c:pt>
                <c:pt idx="517">
                  <c:v>3.0889999999999997E-4</c:v>
                </c:pt>
                <c:pt idx="518">
                  <c:v>3.1320000000000002E-4</c:v>
                </c:pt>
                <c:pt idx="519">
                  <c:v>2.9930000000000001E-4</c:v>
                </c:pt>
                <c:pt idx="520">
                  <c:v>2.6860000000000002E-4</c:v>
                </c:pt>
                <c:pt idx="521">
                  <c:v>2.9030000000000001E-4</c:v>
                </c:pt>
                <c:pt idx="522">
                  <c:v>2.7609999999999999E-4</c:v>
                </c:pt>
                <c:pt idx="523">
                  <c:v>2.7099999999999997E-4</c:v>
                </c:pt>
                <c:pt idx="524">
                  <c:v>2.832E-4</c:v>
                </c:pt>
                <c:pt idx="525">
                  <c:v>3.0430000000000002E-4</c:v>
                </c:pt>
                <c:pt idx="526">
                  <c:v>3.0009999999999998E-4</c:v>
                </c:pt>
                <c:pt idx="527">
                  <c:v>3.2309999999999999E-4</c:v>
                </c:pt>
                <c:pt idx="528">
                  <c:v>3.4440000000000002E-4</c:v>
                </c:pt>
                <c:pt idx="529">
                  <c:v>3.3050000000000001E-4</c:v>
                </c:pt>
                <c:pt idx="530">
                  <c:v>3.1789999999999998E-4</c:v>
                </c:pt>
                <c:pt idx="531">
                  <c:v>3.1480000000000001E-4</c:v>
                </c:pt>
                <c:pt idx="532">
                  <c:v>3.1510000000000002E-4</c:v>
                </c:pt>
                <c:pt idx="533">
                  <c:v>3.1500000000000001E-4</c:v>
                </c:pt>
                <c:pt idx="534">
                  <c:v>3.1199999999999999E-4</c:v>
                </c:pt>
                <c:pt idx="535">
                  <c:v>3.4590000000000001E-4</c:v>
                </c:pt>
                <c:pt idx="536">
                  <c:v>3.3090000000000002E-4</c:v>
                </c:pt>
                <c:pt idx="537">
                  <c:v>3.2590000000000001E-4</c:v>
                </c:pt>
                <c:pt idx="538">
                  <c:v>3.278E-4</c:v>
                </c:pt>
                <c:pt idx="539">
                  <c:v>3.4509999999999999E-4</c:v>
                </c:pt>
                <c:pt idx="540">
                  <c:v>2.4689999999999998E-4</c:v>
                </c:pt>
                <c:pt idx="541">
                  <c:v>2.252E-4</c:v>
                </c:pt>
                <c:pt idx="542">
                  <c:v>2.251E-4</c:v>
                </c:pt>
                <c:pt idx="543">
                  <c:v>2.287E-4</c:v>
                </c:pt>
                <c:pt idx="544">
                  <c:v>2.3599999999999999E-4</c:v>
                </c:pt>
                <c:pt idx="545">
                  <c:v>2.2890000000000001E-4</c:v>
                </c:pt>
                <c:pt idx="546">
                  <c:v>2.386E-4</c:v>
                </c:pt>
                <c:pt idx="547">
                  <c:v>2.0350000000000001E-4</c:v>
                </c:pt>
                <c:pt idx="548">
                  <c:v>2.0369999999999999E-4</c:v>
                </c:pt>
                <c:pt idx="549">
                  <c:v>2.0149999999999999E-4</c:v>
                </c:pt>
                <c:pt idx="550">
                  <c:v>2.1460000000000001E-4</c:v>
                </c:pt>
                <c:pt idx="551">
                  <c:v>2.162E-4</c:v>
                </c:pt>
                <c:pt idx="552">
                  <c:v>2.0579999999999999E-4</c:v>
                </c:pt>
                <c:pt idx="553">
                  <c:v>2.106E-4</c:v>
                </c:pt>
                <c:pt idx="554">
                  <c:v>2.143E-4</c:v>
                </c:pt>
                <c:pt idx="555">
                  <c:v>2.0799999999999999E-4</c:v>
                </c:pt>
                <c:pt idx="556">
                  <c:v>2.0799999999999999E-4</c:v>
                </c:pt>
                <c:pt idx="557">
                  <c:v>2.0560000000000001E-4</c:v>
                </c:pt>
                <c:pt idx="558">
                  <c:v>2.0880000000000001E-4</c:v>
                </c:pt>
                <c:pt idx="559">
                  <c:v>2.0049999999999999E-4</c:v>
                </c:pt>
                <c:pt idx="560">
                  <c:v>2.1029999999999999E-4</c:v>
                </c:pt>
                <c:pt idx="561">
                  <c:v>2.05E-4</c:v>
                </c:pt>
                <c:pt idx="562">
                  <c:v>2.13E-4</c:v>
                </c:pt>
                <c:pt idx="563">
                  <c:v>2.119E-4</c:v>
                </c:pt>
                <c:pt idx="564">
                  <c:v>2.2589999999999999E-4</c:v>
                </c:pt>
                <c:pt idx="565">
                  <c:v>2.185E-4</c:v>
                </c:pt>
                <c:pt idx="566">
                  <c:v>2.2599999999999999E-4</c:v>
                </c:pt>
                <c:pt idx="567">
                  <c:v>2.12E-4</c:v>
                </c:pt>
                <c:pt idx="568">
                  <c:v>2.1689999999999999E-4</c:v>
                </c:pt>
                <c:pt idx="569">
                  <c:v>2.0670000000000001E-4</c:v>
                </c:pt>
                <c:pt idx="570">
                  <c:v>2.098E-4</c:v>
                </c:pt>
                <c:pt idx="571">
                  <c:v>2.0340000000000001E-4</c:v>
                </c:pt>
                <c:pt idx="572">
                  <c:v>2.106E-4</c:v>
                </c:pt>
                <c:pt idx="573">
                  <c:v>2.14E-4</c:v>
                </c:pt>
                <c:pt idx="574">
                  <c:v>2.1599999999999999E-4</c:v>
                </c:pt>
                <c:pt idx="575">
                  <c:v>2.0709999999999999E-4</c:v>
                </c:pt>
                <c:pt idx="576">
                  <c:v>1.9450000000000001E-4</c:v>
                </c:pt>
                <c:pt idx="577">
                  <c:v>1.9589999999999999E-4</c:v>
                </c:pt>
                <c:pt idx="578">
                  <c:v>1.9149999999999999E-4</c:v>
                </c:pt>
                <c:pt idx="579">
                  <c:v>1.8980000000000001E-4</c:v>
                </c:pt>
                <c:pt idx="580">
                  <c:v>1.9790000000000001E-4</c:v>
                </c:pt>
                <c:pt idx="581">
                  <c:v>2.0780000000000001E-4</c:v>
                </c:pt>
                <c:pt idx="582">
                  <c:v>2.042E-4</c:v>
                </c:pt>
                <c:pt idx="583">
                  <c:v>2.128E-4</c:v>
                </c:pt>
                <c:pt idx="584">
                  <c:v>2.106E-4</c:v>
                </c:pt>
                <c:pt idx="585">
                  <c:v>2.0359999999999999E-4</c:v>
                </c:pt>
                <c:pt idx="586">
                  <c:v>2.075E-4</c:v>
                </c:pt>
                <c:pt idx="587">
                  <c:v>2.0320000000000001E-4</c:v>
                </c:pt>
                <c:pt idx="588">
                  <c:v>2.0440000000000001E-4</c:v>
                </c:pt>
                <c:pt idx="589">
                  <c:v>2.039E-4</c:v>
                </c:pt>
                <c:pt idx="590">
                  <c:v>2.087E-4</c:v>
                </c:pt>
                <c:pt idx="591">
                  <c:v>2.084E-4</c:v>
                </c:pt>
                <c:pt idx="592">
                  <c:v>2.118E-4</c:v>
                </c:pt>
                <c:pt idx="593">
                  <c:v>2.14E-4</c:v>
                </c:pt>
                <c:pt idx="594">
                  <c:v>2.1149999999999999E-4</c:v>
                </c:pt>
                <c:pt idx="595">
                  <c:v>2.0799999999999999E-4</c:v>
                </c:pt>
                <c:pt idx="596">
                  <c:v>2.2230000000000001E-4</c:v>
                </c:pt>
                <c:pt idx="597">
                  <c:v>2.3809999999999999E-4</c:v>
                </c:pt>
                <c:pt idx="598">
                  <c:v>2.342E-4</c:v>
                </c:pt>
                <c:pt idx="599">
                  <c:v>2.4140000000000001E-4</c:v>
                </c:pt>
                <c:pt idx="600">
                  <c:v>2.274E-4</c:v>
                </c:pt>
                <c:pt idx="601">
                  <c:v>2.1269999999999999E-4</c:v>
                </c:pt>
                <c:pt idx="602">
                  <c:v>2.1220000000000001E-4</c:v>
                </c:pt>
                <c:pt idx="603">
                  <c:v>2.154E-4</c:v>
                </c:pt>
                <c:pt idx="604">
                  <c:v>2.0239999999999999E-4</c:v>
                </c:pt>
                <c:pt idx="605">
                  <c:v>2.1000000000000001E-4</c:v>
                </c:pt>
                <c:pt idx="606">
                  <c:v>1.929E-4</c:v>
                </c:pt>
                <c:pt idx="607">
                  <c:v>1.9770000000000001E-4</c:v>
                </c:pt>
                <c:pt idx="608">
                  <c:v>1.9249999999999999E-4</c:v>
                </c:pt>
                <c:pt idx="609">
                  <c:v>2.1039999999999999E-4</c:v>
                </c:pt>
                <c:pt idx="610">
                  <c:v>2.128E-4</c:v>
                </c:pt>
                <c:pt idx="611">
                  <c:v>1.907E-4</c:v>
                </c:pt>
                <c:pt idx="612">
                  <c:v>1.9450000000000001E-4</c:v>
                </c:pt>
                <c:pt idx="613">
                  <c:v>1.683E-4</c:v>
                </c:pt>
                <c:pt idx="614">
                  <c:v>1.596E-4</c:v>
                </c:pt>
                <c:pt idx="615">
                  <c:v>1.529E-4</c:v>
                </c:pt>
                <c:pt idx="616">
                  <c:v>1.484E-4</c:v>
                </c:pt>
                <c:pt idx="617">
                  <c:v>1.507E-4</c:v>
                </c:pt>
                <c:pt idx="618">
                  <c:v>1.528E-4</c:v>
                </c:pt>
                <c:pt idx="619">
                  <c:v>1.5200000000000001E-4</c:v>
                </c:pt>
                <c:pt idx="620">
                  <c:v>1.438E-4</c:v>
                </c:pt>
                <c:pt idx="621">
                  <c:v>1.4329999999999999E-4</c:v>
                </c:pt>
                <c:pt idx="622">
                  <c:v>1.472E-4</c:v>
                </c:pt>
                <c:pt idx="623">
                  <c:v>1.505E-4</c:v>
                </c:pt>
                <c:pt idx="624">
                  <c:v>1.5090000000000001E-4</c:v>
                </c:pt>
                <c:pt idx="625">
                  <c:v>1.459E-4</c:v>
                </c:pt>
                <c:pt idx="626">
                  <c:v>1.3999999999999999E-4</c:v>
                </c:pt>
                <c:pt idx="627">
                  <c:v>1.3750000000000001E-4</c:v>
                </c:pt>
                <c:pt idx="628">
                  <c:v>1.4899999999999999E-4</c:v>
                </c:pt>
                <c:pt idx="629">
                  <c:v>1.5220000000000001E-4</c:v>
                </c:pt>
                <c:pt idx="630">
                  <c:v>1.6100000000000001E-4</c:v>
                </c:pt>
                <c:pt idx="631">
                  <c:v>1.4889999999999999E-4</c:v>
                </c:pt>
                <c:pt idx="632">
                  <c:v>1.394E-4</c:v>
                </c:pt>
                <c:pt idx="633">
                  <c:v>1.4249999999999999E-4</c:v>
                </c:pt>
                <c:pt idx="634">
                  <c:v>1.5090000000000001E-4</c:v>
                </c:pt>
                <c:pt idx="635">
                  <c:v>1.3579999999999999E-4</c:v>
                </c:pt>
                <c:pt idx="636">
                  <c:v>1.2760000000000001E-4</c:v>
                </c:pt>
                <c:pt idx="637">
                  <c:v>1.2229999999999999E-4</c:v>
                </c:pt>
                <c:pt idx="638">
                  <c:v>1.2860000000000001E-4</c:v>
                </c:pt>
                <c:pt idx="639">
                  <c:v>1.227E-4</c:v>
                </c:pt>
                <c:pt idx="640">
                  <c:v>1.2420000000000001E-4</c:v>
                </c:pt>
                <c:pt idx="641">
                  <c:v>1.2430000000000001E-4</c:v>
                </c:pt>
                <c:pt idx="642">
                  <c:v>1.209E-4</c:v>
                </c:pt>
                <c:pt idx="643">
                  <c:v>1.2070000000000001E-4</c:v>
                </c:pt>
                <c:pt idx="644">
                  <c:v>1.171E-4</c:v>
                </c:pt>
                <c:pt idx="645">
                  <c:v>1.184E-4</c:v>
                </c:pt>
                <c:pt idx="646">
                  <c:v>1.1400000000000001E-4</c:v>
                </c:pt>
                <c:pt idx="647">
                  <c:v>1.1620000000000001E-4</c:v>
                </c:pt>
                <c:pt idx="648">
                  <c:v>1.216E-4</c:v>
                </c:pt>
                <c:pt idx="649">
                  <c:v>1.2799999999999999E-4</c:v>
                </c:pt>
                <c:pt idx="650">
                  <c:v>1.194E-4</c:v>
                </c:pt>
                <c:pt idx="651">
                  <c:v>1.209E-4</c:v>
                </c:pt>
                <c:pt idx="652">
                  <c:v>1.1010000000000001E-4</c:v>
                </c:pt>
                <c:pt idx="653">
                  <c:v>1.156E-4</c:v>
                </c:pt>
                <c:pt idx="654">
                  <c:v>1.145E-4</c:v>
                </c:pt>
                <c:pt idx="655">
                  <c:v>1.137E-4</c:v>
                </c:pt>
                <c:pt idx="656">
                  <c:v>1.169E-4</c:v>
                </c:pt>
                <c:pt idx="657">
                  <c:v>1.182E-4</c:v>
                </c:pt>
                <c:pt idx="658">
                  <c:v>1.2750000000000001E-4</c:v>
                </c:pt>
                <c:pt idx="659">
                  <c:v>1.2769999999999999E-4</c:v>
                </c:pt>
                <c:pt idx="660">
                  <c:v>1.204E-4</c:v>
                </c:pt>
                <c:pt idx="661">
                  <c:v>1.27E-4</c:v>
                </c:pt>
                <c:pt idx="662">
                  <c:v>1.153E-4</c:v>
                </c:pt>
                <c:pt idx="663">
                  <c:v>1.1620000000000001E-4</c:v>
                </c:pt>
                <c:pt idx="664">
                  <c:v>1.17E-4</c:v>
                </c:pt>
                <c:pt idx="665">
                  <c:v>1.161E-4</c:v>
                </c:pt>
                <c:pt idx="666">
                  <c:v>1.1239999999999999E-4</c:v>
                </c:pt>
                <c:pt idx="667">
                  <c:v>1.094E-4</c:v>
                </c:pt>
                <c:pt idx="668">
                  <c:v>1.108E-4</c:v>
                </c:pt>
                <c:pt idx="669">
                  <c:v>1.015E-4</c:v>
                </c:pt>
                <c:pt idx="670">
                  <c:v>1.0679999999999999E-4</c:v>
                </c:pt>
                <c:pt idx="671">
                  <c:v>1.0620000000000001E-4</c:v>
                </c:pt>
                <c:pt idx="672">
                  <c:v>1.164E-4</c:v>
                </c:pt>
                <c:pt idx="673">
                  <c:v>1.1680000000000001E-4</c:v>
                </c:pt>
                <c:pt idx="674">
                  <c:v>1.172E-4</c:v>
                </c:pt>
                <c:pt idx="675">
                  <c:v>1.153E-4</c:v>
                </c:pt>
                <c:pt idx="676">
                  <c:v>1.0280000000000001E-4</c:v>
                </c:pt>
                <c:pt idx="677">
                  <c:v>1.143E-4</c:v>
                </c:pt>
                <c:pt idx="678">
                  <c:v>1.13E-4</c:v>
                </c:pt>
                <c:pt idx="679">
                  <c:v>1.227E-4</c:v>
                </c:pt>
                <c:pt idx="680">
                  <c:v>9.6799999999999995E-5</c:v>
                </c:pt>
                <c:pt idx="681">
                  <c:v>8.8599999999999999E-5</c:v>
                </c:pt>
                <c:pt idx="682">
                  <c:v>8.42E-5</c:v>
                </c:pt>
                <c:pt idx="683">
                  <c:v>9.6799999999999995E-5</c:v>
                </c:pt>
                <c:pt idx="684">
                  <c:v>9.2899999999999995E-5</c:v>
                </c:pt>
                <c:pt idx="685">
                  <c:v>9.4900000000000003E-5</c:v>
                </c:pt>
                <c:pt idx="686">
                  <c:v>7.8899999999999993E-5</c:v>
                </c:pt>
                <c:pt idx="687">
                  <c:v>1.54E-4</c:v>
                </c:pt>
                <c:pt idx="688">
                  <c:v>1.5899999999999999E-4</c:v>
                </c:pt>
                <c:pt idx="689">
                  <c:v>1.618E-4</c:v>
                </c:pt>
                <c:pt idx="690">
                  <c:v>1.55E-4</c:v>
                </c:pt>
                <c:pt idx="691">
                  <c:v>1.8330000000000001E-4</c:v>
                </c:pt>
                <c:pt idx="692">
                  <c:v>1.908E-4</c:v>
                </c:pt>
                <c:pt idx="693">
                  <c:v>1.752E-4</c:v>
                </c:pt>
                <c:pt idx="694">
                  <c:v>1.7129999999999999E-4</c:v>
                </c:pt>
                <c:pt idx="695">
                  <c:v>1.6990000000000001E-4</c:v>
                </c:pt>
                <c:pt idx="696">
                  <c:v>1.708E-4</c:v>
                </c:pt>
                <c:pt idx="697">
                  <c:v>1.5919999999999999E-4</c:v>
                </c:pt>
                <c:pt idx="698">
                  <c:v>1.585E-4</c:v>
                </c:pt>
                <c:pt idx="699">
                  <c:v>1.6640000000000001E-4</c:v>
                </c:pt>
                <c:pt idx="700">
                  <c:v>1.7560000000000001E-4</c:v>
                </c:pt>
                <c:pt idx="701">
                  <c:v>1.6880000000000001E-4</c:v>
                </c:pt>
                <c:pt idx="702">
                  <c:v>1.8819999999999999E-4</c:v>
                </c:pt>
                <c:pt idx="703">
                  <c:v>2.0939999999999999E-4</c:v>
                </c:pt>
                <c:pt idx="704">
                  <c:v>2.1699999999999999E-4</c:v>
                </c:pt>
                <c:pt idx="705">
                  <c:v>2.119E-4</c:v>
                </c:pt>
                <c:pt idx="706">
                  <c:v>2.1019999999999999E-4</c:v>
                </c:pt>
                <c:pt idx="707">
                  <c:v>2.1599999999999999E-4</c:v>
                </c:pt>
                <c:pt idx="708">
                  <c:v>2.1130000000000001E-4</c:v>
                </c:pt>
                <c:pt idx="709">
                  <c:v>2.3479999999999999E-4</c:v>
                </c:pt>
                <c:pt idx="710">
                  <c:v>2.3000000000000001E-4</c:v>
                </c:pt>
                <c:pt idx="711">
                  <c:v>2.2220000000000001E-4</c:v>
                </c:pt>
                <c:pt idx="712">
                  <c:v>2.3699999999999999E-4</c:v>
                </c:pt>
                <c:pt idx="713">
                  <c:v>2.5250000000000001E-4</c:v>
                </c:pt>
                <c:pt idx="714">
                  <c:v>2.409E-4</c:v>
                </c:pt>
                <c:pt idx="715">
                  <c:v>2.4899999999999998E-4</c:v>
                </c:pt>
                <c:pt idx="716">
                  <c:v>2.5300000000000002E-4</c:v>
                </c:pt>
                <c:pt idx="717">
                  <c:v>2.5230000000000001E-4</c:v>
                </c:pt>
                <c:pt idx="718">
                  <c:v>2.5730000000000002E-4</c:v>
                </c:pt>
                <c:pt idx="719">
                  <c:v>2.3360000000000001E-4</c:v>
                </c:pt>
                <c:pt idx="720">
                  <c:v>2.1340000000000001E-4</c:v>
                </c:pt>
                <c:pt idx="721">
                  <c:v>1.994E-4</c:v>
                </c:pt>
                <c:pt idx="722">
                  <c:v>1.9269999999999999E-4</c:v>
                </c:pt>
                <c:pt idx="723">
                  <c:v>1.8200000000000001E-4</c:v>
                </c:pt>
                <c:pt idx="724">
                  <c:v>1.796E-4</c:v>
                </c:pt>
                <c:pt idx="725">
                  <c:v>1.729E-4</c:v>
                </c:pt>
                <c:pt idx="726">
                  <c:v>1.7039999999999999E-4</c:v>
                </c:pt>
                <c:pt idx="727">
                  <c:v>1.695E-4</c:v>
                </c:pt>
                <c:pt idx="728">
                  <c:v>1.7100000000000001E-4</c:v>
                </c:pt>
                <c:pt idx="729">
                  <c:v>1.617E-4</c:v>
                </c:pt>
                <c:pt idx="730">
                  <c:v>1.7239999999999999E-4</c:v>
                </c:pt>
                <c:pt idx="731">
                  <c:v>1.7110000000000001E-4</c:v>
                </c:pt>
                <c:pt idx="732">
                  <c:v>1.7090000000000001E-4</c:v>
                </c:pt>
                <c:pt idx="733">
                  <c:v>1.682E-4</c:v>
                </c:pt>
                <c:pt idx="734">
                  <c:v>1.6899999999999999E-4</c:v>
                </c:pt>
                <c:pt idx="735">
                  <c:v>1.674E-4</c:v>
                </c:pt>
                <c:pt idx="736">
                  <c:v>1.6890000000000001E-4</c:v>
                </c:pt>
                <c:pt idx="737">
                  <c:v>1.707E-4</c:v>
                </c:pt>
                <c:pt idx="738">
                  <c:v>1.6909999999999999E-4</c:v>
                </c:pt>
                <c:pt idx="739">
                  <c:v>1.7129999999999999E-4</c:v>
                </c:pt>
                <c:pt idx="740">
                  <c:v>1.762E-4</c:v>
                </c:pt>
                <c:pt idx="741">
                  <c:v>1.7689999999999999E-4</c:v>
                </c:pt>
                <c:pt idx="742">
                  <c:v>1.7110000000000001E-4</c:v>
                </c:pt>
                <c:pt idx="743">
                  <c:v>1.839E-4</c:v>
                </c:pt>
                <c:pt idx="744">
                  <c:v>1.7100000000000001E-4</c:v>
                </c:pt>
                <c:pt idx="745">
                  <c:v>1.6190000000000001E-4</c:v>
                </c:pt>
                <c:pt idx="746">
                  <c:v>1.6129999999999999E-4</c:v>
                </c:pt>
                <c:pt idx="747">
                  <c:v>1.6000000000000001E-4</c:v>
                </c:pt>
                <c:pt idx="748">
                  <c:v>1.617E-4</c:v>
                </c:pt>
                <c:pt idx="749">
                  <c:v>1.5650000000000001E-4</c:v>
                </c:pt>
                <c:pt idx="750">
                  <c:v>1.5870000000000001E-4</c:v>
                </c:pt>
                <c:pt idx="751">
                  <c:v>1.6110000000000001E-4</c:v>
                </c:pt>
                <c:pt idx="752">
                  <c:v>1.64E-4</c:v>
                </c:pt>
                <c:pt idx="753">
                  <c:v>1.639E-4</c:v>
                </c:pt>
                <c:pt idx="754">
                  <c:v>1.6679999999999999E-4</c:v>
                </c:pt>
                <c:pt idx="755">
                  <c:v>1.6469999999999999E-4</c:v>
                </c:pt>
                <c:pt idx="756">
                  <c:v>1.5860000000000001E-4</c:v>
                </c:pt>
                <c:pt idx="757">
                  <c:v>1.5789999999999999E-4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03-4A54-BF03-1ECC9F7F2AC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-1133.0834090752255</c:v>
                </c:pt>
                <c:pt idx="1">
                  <c:v>-1130.1758081545831</c:v>
                </c:pt>
                <c:pt idx="2">
                  <c:v>-1098.3048558891012</c:v>
                </c:pt>
                <c:pt idx="3">
                  <c:v>-1101.4881706977012</c:v>
                </c:pt>
                <c:pt idx="4">
                  <c:v>-1139.7318001156957</c:v>
                </c:pt>
                <c:pt idx="5">
                  <c:v>-1138.7712453113038</c:v>
                </c:pt>
                <c:pt idx="6">
                  <c:v>-1129.3133674881601</c:v>
                </c:pt>
                <c:pt idx="7">
                  <c:v>-1081.2887222451648</c:v>
                </c:pt>
                <c:pt idx="8">
                  <c:v>-1049.5712434875802</c:v>
                </c:pt>
                <c:pt idx="9">
                  <c:v>-1021.1707350137737</c:v>
                </c:pt>
                <c:pt idx="10">
                  <c:v>-1041.7416641074392</c:v>
                </c:pt>
                <c:pt idx="11">
                  <c:v>-1025.8662072784236</c:v>
                </c:pt>
                <c:pt idx="12">
                  <c:v>-1032.3226891771503</c:v>
                </c:pt>
                <c:pt idx="13">
                  <c:v>-1023.5579847145807</c:v>
                </c:pt>
                <c:pt idx="14">
                  <c:v>-1007.2348167475933</c:v>
                </c:pt>
                <c:pt idx="15">
                  <c:v>-937.49473425769565</c:v>
                </c:pt>
                <c:pt idx="16">
                  <c:v>-976.34690269177122</c:v>
                </c:pt>
                <c:pt idx="17">
                  <c:v>-1012.4516407701071</c:v>
                </c:pt>
                <c:pt idx="18">
                  <c:v>-1007.2076677241722</c:v>
                </c:pt>
                <c:pt idx="19">
                  <c:v>-1015.9247823394188</c:v>
                </c:pt>
                <c:pt idx="20">
                  <c:v>-1001.7365159720143</c:v>
                </c:pt>
                <c:pt idx="21">
                  <c:v>-1000.2192055013247</c:v>
                </c:pt>
                <c:pt idx="22">
                  <c:v>-1021.7135855513247</c:v>
                </c:pt>
                <c:pt idx="23">
                  <c:v>-1000.501114077219</c:v>
                </c:pt>
                <c:pt idx="24">
                  <c:v>-958.79993963378831</c:v>
                </c:pt>
                <c:pt idx="25">
                  <c:v>-984.38562952930977</c:v>
                </c:pt>
                <c:pt idx="26">
                  <c:v>-980.25415894611842</c:v>
                </c:pt>
                <c:pt idx="27">
                  <c:v>-993.17283696294771</c:v>
                </c:pt>
                <c:pt idx="28">
                  <c:v>-985.5659777671242</c:v>
                </c:pt>
                <c:pt idx="29">
                  <c:v>-990.74454430045762</c:v>
                </c:pt>
                <c:pt idx="30">
                  <c:v>-942.90549615901796</c:v>
                </c:pt>
                <c:pt idx="31">
                  <c:v>-895.39999341621569</c:v>
                </c:pt>
                <c:pt idx="32">
                  <c:v>-865.46426421399337</c:v>
                </c:pt>
                <c:pt idx="33">
                  <c:v>-872.63695395457353</c:v>
                </c:pt>
                <c:pt idx="34">
                  <c:v>-881.53083040093725</c:v>
                </c:pt>
                <c:pt idx="35">
                  <c:v>-796.79778531060424</c:v>
                </c:pt>
                <c:pt idx="36">
                  <c:v>-842.78529547940559</c:v>
                </c:pt>
                <c:pt idx="37">
                  <c:v>-845.7978203094857</c:v>
                </c:pt>
                <c:pt idx="38">
                  <c:v>-870.44808132615231</c:v>
                </c:pt>
                <c:pt idx="39">
                  <c:v>-890.29461450038434</c:v>
                </c:pt>
                <c:pt idx="40">
                  <c:v>-873.87805189076175</c:v>
                </c:pt>
                <c:pt idx="41">
                  <c:v>-879.77188466587279</c:v>
                </c:pt>
                <c:pt idx="42">
                  <c:v>-857.72251656987282</c:v>
                </c:pt>
                <c:pt idx="43">
                  <c:v>-814.05477759799794</c:v>
                </c:pt>
                <c:pt idx="44">
                  <c:v>-863.32530540880089</c:v>
                </c:pt>
                <c:pt idx="45">
                  <c:v>-888.66826339254067</c:v>
                </c:pt>
                <c:pt idx="46">
                  <c:v>-852.59275171299203</c:v>
                </c:pt>
                <c:pt idx="47">
                  <c:v>-861.44809220711556</c:v>
                </c:pt>
                <c:pt idx="48">
                  <c:v>-863.10621090711561</c:v>
                </c:pt>
                <c:pt idx="49">
                  <c:v>-828.2026581055967</c:v>
                </c:pt>
                <c:pt idx="50">
                  <c:v>-782.94975052719667</c:v>
                </c:pt>
                <c:pt idx="51">
                  <c:v>-815.46861041744455</c:v>
                </c:pt>
                <c:pt idx="52">
                  <c:v>-786.19829900084085</c:v>
                </c:pt>
                <c:pt idx="53">
                  <c:v>-820.61721940557891</c:v>
                </c:pt>
                <c:pt idx="54">
                  <c:v>-792.92446707020292</c:v>
                </c:pt>
                <c:pt idx="55">
                  <c:v>-782.95809897154311</c:v>
                </c:pt>
                <c:pt idx="56">
                  <c:v>-862.81931794900345</c:v>
                </c:pt>
                <c:pt idx="57">
                  <c:v>-881.60311372866067</c:v>
                </c:pt>
                <c:pt idx="58">
                  <c:v>-865.12466013969492</c:v>
                </c:pt>
                <c:pt idx="59">
                  <c:v>-861.73651402744201</c:v>
                </c:pt>
                <c:pt idx="60">
                  <c:v>-870.57626203014479</c:v>
                </c:pt>
                <c:pt idx="61">
                  <c:v>-904.03884941578156</c:v>
                </c:pt>
                <c:pt idx="62">
                  <c:v>-899.77788379434264</c:v>
                </c:pt>
                <c:pt idx="63">
                  <c:v>-865.14646799276727</c:v>
                </c:pt>
                <c:pt idx="64">
                  <c:v>-874.08217789958076</c:v>
                </c:pt>
                <c:pt idx="65">
                  <c:v>-873.72116823302918</c:v>
                </c:pt>
                <c:pt idx="66">
                  <c:v>-889.3918522893556</c:v>
                </c:pt>
                <c:pt idx="67">
                  <c:v>-867.07399318836565</c:v>
                </c:pt>
                <c:pt idx="68">
                  <c:v>-818.05102490366926</c:v>
                </c:pt>
                <c:pt idx="69">
                  <c:v>-860.8150979593496</c:v>
                </c:pt>
                <c:pt idx="70">
                  <c:v>-896.2146723261975</c:v>
                </c:pt>
                <c:pt idx="71">
                  <c:v>-845.36573281757751</c:v>
                </c:pt>
                <c:pt idx="72">
                  <c:v>-883.41010709063244</c:v>
                </c:pt>
                <c:pt idx="73">
                  <c:v>-854.21347053239617</c:v>
                </c:pt>
                <c:pt idx="74">
                  <c:v>-765.99428544337377</c:v>
                </c:pt>
                <c:pt idx="75">
                  <c:v>-765.26149824247636</c:v>
                </c:pt>
                <c:pt idx="76">
                  <c:v>-765.26149824247614</c:v>
                </c:pt>
                <c:pt idx="77">
                  <c:v>-739.13096669389722</c:v>
                </c:pt>
                <c:pt idx="78">
                  <c:v>-776.04205618546143</c:v>
                </c:pt>
                <c:pt idx="79">
                  <c:v>-766.05490554155904</c:v>
                </c:pt>
                <c:pt idx="80">
                  <c:v>-730.69817192791845</c:v>
                </c:pt>
                <c:pt idx="81">
                  <c:v>-748.14731561049905</c:v>
                </c:pt>
                <c:pt idx="82">
                  <c:v>-746.39506040569881</c:v>
                </c:pt>
                <c:pt idx="83">
                  <c:v>-797.82748008654073</c:v>
                </c:pt>
                <c:pt idx="84">
                  <c:v>-776.34027769954071</c:v>
                </c:pt>
                <c:pt idx="85">
                  <c:v>-730.76763444978167</c:v>
                </c:pt>
                <c:pt idx="86">
                  <c:v>-730.11355604705011</c:v>
                </c:pt>
                <c:pt idx="87">
                  <c:v>-766.71918571660581</c:v>
                </c:pt>
                <c:pt idx="88">
                  <c:v>-792.283933074213</c:v>
                </c:pt>
                <c:pt idx="89">
                  <c:v>-919.12662451658298</c:v>
                </c:pt>
                <c:pt idx="90">
                  <c:v>-879.00839262858312</c:v>
                </c:pt>
                <c:pt idx="91">
                  <c:v>-918.17725953566242</c:v>
                </c:pt>
                <c:pt idx="92">
                  <c:v>-903.42976974965086</c:v>
                </c:pt>
                <c:pt idx="93">
                  <c:v>-860.64122026818586</c:v>
                </c:pt>
                <c:pt idx="94">
                  <c:v>-868.19628206667653</c:v>
                </c:pt>
                <c:pt idx="95">
                  <c:v>-895.54150982641863</c:v>
                </c:pt>
                <c:pt idx="96">
                  <c:v>-882.35416447308535</c:v>
                </c:pt>
                <c:pt idx="97">
                  <c:v>-892.25140643641873</c:v>
                </c:pt>
                <c:pt idx="98">
                  <c:v>-870.58923009510113</c:v>
                </c:pt>
                <c:pt idx="99">
                  <c:v>-829.3832670714097</c:v>
                </c:pt>
                <c:pt idx="100">
                  <c:v>-866.51450964822391</c:v>
                </c:pt>
                <c:pt idx="101">
                  <c:v>-867.23844771418135</c:v>
                </c:pt>
                <c:pt idx="102">
                  <c:v>-840.32650534670495</c:v>
                </c:pt>
                <c:pt idx="103">
                  <c:v>-835.95870517983576</c:v>
                </c:pt>
                <c:pt idx="104">
                  <c:v>-807.22061969949402</c:v>
                </c:pt>
                <c:pt idx="105">
                  <c:v>-799.91763932600668</c:v>
                </c:pt>
                <c:pt idx="106">
                  <c:v>-831.56902628669047</c:v>
                </c:pt>
                <c:pt idx="107">
                  <c:v>-859.19008369731898</c:v>
                </c:pt>
                <c:pt idx="108">
                  <c:v>-847.66965023594878</c:v>
                </c:pt>
                <c:pt idx="109">
                  <c:v>-880.52473366499225</c:v>
                </c:pt>
                <c:pt idx="110">
                  <c:v>-845.92228906311925</c:v>
                </c:pt>
                <c:pt idx="111">
                  <c:v>-827.47018497339627</c:v>
                </c:pt>
                <c:pt idx="112">
                  <c:v>-787.96666865926454</c:v>
                </c:pt>
                <c:pt idx="113">
                  <c:v>-734.41136147443831</c:v>
                </c:pt>
                <c:pt idx="114">
                  <c:v>-668.61556529122663</c:v>
                </c:pt>
                <c:pt idx="115">
                  <c:v>-765.26262864569514</c:v>
                </c:pt>
                <c:pt idx="116">
                  <c:v>-724.40683889056027</c:v>
                </c:pt>
                <c:pt idx="117">
                  <c:v>-631.04049824156368</c:v>
                </c:pt>
                <c:pt idx="118">
                  <c:v>-695.89573005562227</c:v>
                </c:pt>
                <c:pt idx="119">
                  <c:v>-733.17387209014316</c:v>
                </c:pt>
                <c:pt idx="120">
                  <c:v>-759.88231262078136</c:v>
                </c:pt>
                <c:pt idx="121">
                  <c:v>-713.12434118228737</c:v>
                </c:pt>
                <c:pt idx="122">
                  <c:v>-782.41768491144956</c:v>
                </c:pt>
                <c:pt idx="123">
                  <c:v>-734.78002192941369</c:v>
                </c:pt>
                <c:pt idx="124">
                  <c:v>-732.65224331369939</c:v>
                </c:pt>
                <c:pt idx="125">
                  <c:v>-733.23714945803181</c:v>
                </c:pt>
                <c:pt idx="126">
                  <c:v>-724.19293854194871</c:v>
                </c:pt>
                <c:pt idx="127">
                  <c:v>-747.22489145495206</c:v>
                </c:pt>
                <c:pt idx="128">
                  <c:v>-795.50771273490989</c:v>
                </c:pt>
                <c:pt idx="129">
                  <c:v>-740.39851283608982</c:v>
                </c:pt>
                <c:pt idx="130">
                  <c:v>-710.93240895514862</c:v>
                </c:pt>
                <c:pt idx="131">
                  <c:v>-709.54002165987447</c:v>
                </c:pt>
                <c:pt idx="132">
                  <c:v>-709.65065480063549</c:v>
                </c:pt>
                <c:pt idx="133">
                  <c:v>-701.42968565155388</c:v>
                </c:pt>
                <c:pt idx="134">
                  <c:v>-677.74091566827087</c:v>
                </c:pt>
                <c:pt idx="135">
                  <c:v>-716.89476526652663</c:v>
                </c:pt>
                <c:pt idx="136">
                  <c:v>-760.72032250508187</c:v>
                </c:pt>
                <c:pt idx="137">
                  <c:v>-737.40562707682614</c:v>
                </c:pt>
                <c:pt idx="138">
                  <c:v>-766.05719617935904</c:v>
                </c:pt>
                <c:pt idx="139">
                  <c:v>-765.88756542437318</c:v>
                </c:pt>
                <c:pt idx="140">
                  <c:v>-714.58550712164606</c:v>
                </c:pt>
                <c:pt idx="141">
                  <c:v>-714.12230601543411</c:v>
                </c:pt>
                <c:pt idx="142">
                  <c:v>-786.98114477005345</c:v>
                </c:pt>
                <c:pt idx="143">
                  <c:v>-716.28258655382933</c:v>
                </c:pt>
                <c:pt idx="144">
                  <c:v>-702.35552191488296</c:v>
                </c:pt>
                <c:pt idx="145">
                  <c:v>-753.32505365520888</c:v>
                </c:pt>
                <c:pt idx="146">
                  <c:v>-730.09661493182853</c:v>
                </c:pt>
                <c:pt idx="147">
                  <c:v>-702.54673774114383</c:v>
                </c:pt>
                <c:pt idx="148">
                  <c:v>-799.98807981427444</c:v>
                </c:pt>
                <c:pt idx="149">
                  <c:v>-876.08077461164783</c:v>
                </c:pt>
                <c:pt idx="150">
                  <c:v>-857.55098155035319</c:v>
                </c:pt>
                <c:pt idx="151">
                  <c:v>-813.71009155263903</c:v>
                </c:pt>
                <c:pt idx="152">
                  <c:v>-780.33488419924277</c:v>
                </c:pt>
                <c:pt idx="153">
                  <c:v>-806.67367352628889</c:v>
                </c:pt>
                <c:pt idx="154">
                  <c:v>-896.77287507325502</c:v>
                </c:pt>
                <c:pt idx="155">
                  <c:v>-812.05224573409589</c:v>
                </c:pt>
                <c:pt idx="156">
                  <c:v>-857.39937555270308</c:v>
                </c:pt>
                <c:pt idx="157">
                  <c:v>-669.87128089221483</c:v>
                </c:pt>
                <c:pt idx="158">
                  <c:v>-713.99011119719557</c:v>
                </c:pt>
                <c:pt idx="159">
                  <c:v>-721.34441725348654</c:v>
                </c:pt>
                <c:pt idx="160">
                  <c:v>-659.54064556426783</c:v>
                </c:pt>
                <c:pt idx="161">
                  <c:v>-573.86821389603006</c:v>
                </c:pt>
                <c:pt idx="162">
                  <c:v>-767.02303799747131</c:v>
                </c:pt>
                <c:pt idx="163">
                  <c:v>-770.0672716448305</c:v>
                </c:pt>
                <c:pt idx="164">
                  <c:v>-600.66432537992682</c:v>
                </c:pt>
                <c:pt idx="165">
                  <c:v>-458.34014902845473</c:v>
                </c:pt>
                <c:pt idx="166">
                  <c:v>-250.79925749252129</c:v>
                </c:pt>
                <c:pt idx="167">
                  <c:v>-645.88852079990704</c:v>
                </c:pt>
                <c:pt idx="168">
                  <c:v>-867.05861263782469</c:v>
                </c:pt>
                <c:pt idx="169">
                  <c:v>-835.0724884186111</c:v>
                </c:pt>
                <c:pt idx="170">
                  <c:v>-950.45203999659736</c:v>
                </c:pt>
                <c:pt idx="171">
                  <c:v>-959.99916714792869</c:v>
                </c:pt>
                <c:pt idx="172">
                  <c:v>-1018.7852435910252</c:v>
                </c:pt>
                <c:pt idx="173">
                  <c:v>-1086.1346879128439</c:v>
                </c:pt>
                <c:pt idx="174">
                  <c:v>-1096.3990572939338</c:v>
                </c:pt>
                <c:pt idx="175">
                  <c:v>-1158.2914072566182</c:v>
                </c:pt>
                <c:pt idx="176">
                  <c:v>-1216.0946744986518</c:v>
                </c:pt>
                <c:pt idx="177">
                  <c:v>-1236.9007979229316</c:v>
                </c:pt>
                <c:pt idx="178">
                  <c:v>-1209.6959024136738</c:v>
                </c:pt>
                <c:pt idx="179">
                  <c:v>-1202.7374738853571</c:v>
                </c:pt>
                <c:pt idx="180">
                  <c:v>-1155.7057474016647</c:v>
                </c:pt>
                <c:pt idx="181">
                  <c:v>-1149.0694497449315</c:v>
                </c:pt>
                <c:pt idx="182">
                  <c:v>-1216.5987270689313</c:v>
                </c:pt>
                <c:pt idx="183">
                  <c:v>-1197.7273531037374</c:v>
                </c:pt>
                <c:pt idx="184">
                  <c:v>-1167.5029339110145</c:v>
                </c:pt>
                <c:pt idx="185">
                  <c:v>-1197.8276057966211</c:v>
                </c:pt>
                <c:pt idx="186">
                  <c:v>-1166.2481843347502</c:v>
                </c:pt>
                <c:pt idx="187">
                  <c:v>-1214.484127572872</c:v>
                </c:pt>
                <c:pt idx="188">
                  <c:v>-1251.0451867340159</c:v>
                </c:pt>
                <c:pt idx="189">
                  <c:v>-1318.7774457420783</c:v>
                </c:pt>
                <c:pt idx="190">
                  <c:v>-1352.2169061094614</c:v>
                </c:pt>
                <c:pt idx="191">
                  <c:v>-1392.6720001519791</c:v>
                </c:pt>
                <c:pt idx="192">
                  <c:v>-1360.0499444505499</c:v>
                </c:pt>
                <c:pt idx="193">
                  <c:v>-1333.1133436310442</c:v>
                </c:pt>
                <c:pt idx="194">
                  <c:v>-1299.5495235362819</c:v>
                </c:pt>
                <c:pt idx="195">
                  <c:v>-1302.5230617044838</c:v>
                </c:pt>
                <c:pt idx="196">
                  <c:v>-1259.3393620489232</c:v>
                </c:pt>
                <c:pt idx="197">
                  <c:v>-1237.1396901131886</c:v>
                </c:pt>
                <c:pt idx="198">
                  <c:v>-1253.1086644007582</c:v>
                </c:pt>
                <c:pt idx="199">
                  <c:v>-1238.0292621686019</c:v>
                </c:pt>
                <c:pt idx="200">
                  <c:v>-1220.5558393384113</c:v>
                </c:pt>
                <c:pt idx="201">
                  <c:v>-1222.1920569279778</c:v>
                </c:pt>
                <c:pt idx="202">
                  <c:v>-1210.6111195606447</c:v>
                </c:pt>
                <c:pt idx="203">
                  <c:v>-1230.4656814681921</c:v>
                </c:pt>
                <c:pt idx="204">
                  <c:v>-1204.1593825565285</c:v>
                </c:pt>
                <c:pt idx="205">
                  <c:v>-1194.1466545254498</c:v>
                </c:pt>
                <c:pt idx="206">
                  <c:v>-1179.5089239887636</c:v>
                </c:pt>
                <c:pt idx="207">
                  <c:v>-1133.5085192310455</c:v>
                </c:pt>
                <c:pt idx="208">
                  <c:v>-1145.1759098990508</c:v>
                </c:pt>
                <c:pt idx="209">
                  <c:v>-1168.7672399428147</c:v>
                </c:pt>
                <c:pt idx="210">
                  <c:v>-1198.4669282442333</c:v>
                </c:pt>
                <c:pt idx="211">
                  <c:v>-1162.0037903623349</c:v>
                </c:pt>
                <c:pt idx="212">
                  <c:v>-1191.9720110368828</c:v>
                </c:pt>
                <c:pt idx="213">
                  <c:v>-1234.8453019263477</c:v>
                </c:pt>
                <c:pt idx="214">
                  <c:v>-1225.2681314521453</c:v>
                </c:pt>
                <c:pt idx="215">
                  <c:v>-1273.0296836107461</c:v>
                </c:pt>
                <c:pt idx="216">
                  <c:v>-1338.6280194160547</c:v>
                </c:pt>
                <c:pt idx="217">
                  <c:v>-1286.128989886756</c:v>
                </c:pt>
                <c:pt idx="218">
                  <c:v>-1327.2460689099123</c:v>
                </c:pt>
                <c:pt idx="219">
                  <c:v>-1328.9682716385366</c:v>
                </c:pt>
                <c:pt idx="220">
                  <c:v>-1325.3021274007001</c:v>
                </c:pt>
                <c:pt idx="221">
                  <c:v>-1252.0729433464367</c:v>
                </c:pt>
                <c:pt idx="222">
                  <c:v>-1286.5635285299327</c:v>
                </c:pt>
                <c:pt idx="223">
                  <c:v>-1262.0024654432641</c:v>
                </c:pt>
                <c:pt idx="224">
                  <c:v>-1229.0274473561622</c:v>
                </c:pt>
                <c:pt idx="225">
                  <c:v>-1233.2005321956062</c:v>
                </c:pt>
                <c:pt idx="226">
                  <c:v>-1172.7565256315254</c:v>
                </c:pt>
                <c:pt idx="227">
                  <c:v>-1178.6757041615256</c:v>
                </c:pt>
                <c:pt idx="228">
                  <c:v>-1182.4016278174488</c:v>
                </c:pt>
                <c:pt idx="229">
                  <c:v>-1213.3965411532906</c:v>
                </c:pt>
                <c:pt idx="230">
                  <c:v>-1211.0017994516152</c:v>
                </c:pt>
                <c:pt idx="231">
                  <c:v>-1186.4556740234364</c:v>
                </c:pt>
                <c:pt idx="232">
                  <c:v>-1116.9806203938595</c:v>
                </c:pt>
                <c:pt idx="233">
                  <c:v>-1220.3675546728359</c:v>
                </c:pt>
                <c:pt idx="234">
                  <c:v>-1280.404033774659</c:v>
                </c:pt>
                <c:pt idx="235">
                  <c:v>-1215.3321581225487</c:v>
                </c:pt>
                <c:pt idx="236">
                  <c:v>-1259.1089049286645</c:v>
                </c:pt>
                <c:pt idx="237">
                  <c:v>-1223.0005211900027</c:v>
                </c:pt>
                <c:pt idx="238">
                  <c:v>-1174.3599654336927</c:v>
                </c:pt>
                <c:pt idx="239">
                  <c:v>-1210.2286085011438</c:v>
                </c:pt>
                <c:pt idx="240">
                  <c:v>-1228.4246673100092</c:v>
                </c:pt>
                <c:pt idx="241">
                  <c:v>-1169.8795682865814</c:v>
                </c:pt>
                <c:pt idx="242">
                  <c:v>-1238.0292468535085</c:v>
                </c:pt>
                <c:pt idx="243">
                  <c:v>-1280.4791201176952</c:v>
                </c:pt>
                <c:pt idx="244">
                  <c:v>-1245.5031899269941</c:v>
                </c:pt>
                <c:pt idx="245">
                  <c:v>-1207.1092645019171</c:v>
                </c:pt>
                <c:pt idx="246">
                  <c:v>-1159.2332796126486</c:v>
                </c:pt>
                <c:pt idx="247">
                  <c:v>-1253.6084178763199</c:v>
                </c:pt>
                <c:pt idx="248">
                  <c:v>-1223.0046951703523</c:v>
                </c:pt>
                <c:pt idx="249">
                  <c:v>-1332.6905143400886</c:v>
                </c:pt>
                <c:pt idx="250">
                  <c:v>-1300.5233301309559</c:v>
                </c:pt>
                <c:pt idx="251">
                  <c:v>-1338.1832549373235</c:v>
                </c:pt>
                <c:pt idx="252">
                  <c:v>-1322.9237913523702</c:v>
                </c:pt>
                <c:pt idx="253">
                  <c:v>-1383.6120704039338</c:v>
                </c:pt>
                <c:pt idx="254">
                  <c:v>-1264.7617714141425</c:v>
                </c:pt>
                <c:pt idx="255">
                  <c:v>-1196.3972746667116</c:v>
                </c:pt>
                <c:pt idx="256">
                  <c:v>-1077.1818144479403</c:v>
                </c:pt>
                <c:pt idx="257">
                  <c:v>-1203.3227264444897</c:v>
                </c:pt>
                <c:pt idx="258">
                  <c:v>-1136.082422190633</c:v>
                </c:pt>
                <c:pt idx="259">
                  <c:v>-1120.1201122562686</c:v>
                </c:pt>
                <c:pt idx="260">
                  <c:v>-1103.4539611102896</c:v>
                </c:pt>
                <c:pt idx="261">
                  <c:v>-1006.3819563997278</c:v>
                </c:pt>
                <c:pt idx="262">
                  <c:v>-1034.0755589163266</c:v>
                </c:pt>
                <c:pt idx="263">
                  <c:v>-987.08407689128512</c:v>
                </c:pt>
                <c:pt idx="264">
                  <c:v>-1018.1975224463367</c:v>
                </c:pt>
                <c:pt idx="265">
                  <c:v>-959.87223654101524</c:v>
                </c:pt>
                <c:pt idx="266">
                  <c:v>-911.03564588087636</c:v>
                </c:pt>
                <c:pt idx="267">
                  <c:v>-859.99143188002574</c:v>
                </c:pt>
                <c:pt idx="268">
                  <c:v>-846.56856616706546</c:v>
                </c:pt>
                <c:pt idx="269">
                  <c:v>-728.98827361504789</c:v>
                </c:pt>
                <c:pt idx="270">
                  <c:v>-663.96691500974487</c:v>
                </c:pt>
                <c:pt idx="271">
                  <c:v>-675.21034690783654</c:v>
                </c:pt>
                <c:pt idx="272">
                  <c:v>-627.03013016789362</c:v>
                </c:pt>
                <c:pt idx="273">
                  <c:v>-688.15715653070174</c:v>
                </c:pt>
                <c:pt idx="274">
                  <c:v>-663.7800758070955</c:v>
                </c:pt>
                <c:pt idx="275">
                  <c:v>-656.64611912822443</c:v>
                </c:pt>
                <c:pt idx="276">
                  <c:v>-650.24094448990513</c:v>
                </c:pt>
                <c:pt idx="277">
                  <c:v>-923.51870944211373</c:v>
                </c:pt>
                <c:pt idx="278">
                  <c:v>-957.04328798655604</c:v>
                </c:pt>
                <c:pt idx="279">
                  <c:v>-745.20251832375527</c:v>
                </c:pt>
                <c:pt idx="280">
                  <c:v>-984.94571461193459</c:v>
                </c:pt>
                <c:pt idx="281">
                  <c:v>-896.33905467930254</c:v>
                </c:pt>
                <c:pt idx="282">
                  <c:v>-770.49373474602737</c:v>
                </c:pt>
                <c:pt idx="283">
                  <c:v>-816.42717740073488</c:v>
                </c:pt>
                <c:pt idx="284">
                  <c:v>-677.01291730981507</c:v>
                </c:pt>
                <c:pt idx="285">
                  <c:v>-692.15921445092613</c:v>
                </c:pt>
                <c:pt idx="286">
                  <c:v>-553.75468932305876</c:v>
                </c:pt>
                <c:pt idx="287">
                  <c:v>-565.57440930228415</c:v>
                </c:pt>
                <c:pt idx="288">
                  <c:v>-485.51829769273354</c:v>
                </c:pt>
                <c:pt idx="289">
                  <c:v>-522.40350825602854</c:v>
                </c:pt>
                <c:pt idx="290">
                  <c:v>-487.22014256800247</c:v>
                </c:pt>
                <c:pt idx="291">
                  <c:v>-418.66909204686436</c:v>
                </c:pt>
                <c:pt idx="292">
                  <c:v>-420.96493560053437</c:v>
                </c:pt>
                <c:pt idx="293">
                  <c:v>-374.59347481007433</c:v>
                </c:pt>
                <c:pt idx="294">
                  <c:v>-309.39302943013286</c:v>
                </c:pt>
                <c:pt idx="295">
                  <c:v>-365.23290071187824</c:v>
                </c:pt>
                <c:pt idx="296">
                  <c:v>-266.60138012713304</c:v>
                </c:pt>
                <c:pt idx="297">
                  <c:v>-312.95342070783113</c:v>
                </c:pt>
                <c:pt idx="298">
                  <c:v>-245.41850550983213</c:v>
                </c:pt>
                <c:pt idx="299">
                  <c:v>-272.27784278953743</c:v>
                </c:pt>
                <c:pt idx="300">
                  <c:v>-195.04633872030911</c:v>
                </c:pt>
                <c:pt idx="301">
                  <c:v>-261.43488241370119</c:v>
                </c:pt>
                <c:pt idx="302">
                  <c:v>-310.76238417235942</c:v>
                </c:pt>
                <c:pt idx="303">
                  <c:v>-229.41310152820947</c:v>
                </c:pt>
                <c:pt idx="304">
                  <c:v>-182.43191674028449</c:v>
                </c:pt>
                <c:pt idx="305">
                  <c:v>-268.48975611104657</c:v>
                </c:pt>
                <c:pt idx="306">
                  <c:v>-213.51375892028594</c:v>
                </c:pt>
                <c:pt idx="307">
                  <c:v>-143.62903252782417</c:v>
                </c:pt>
                <c:pt idx="308">
                  <c:v>-131.0457900511708</c:v>
                </c:pt>
                <c:pt idx="309">
                  <c:v>0.65204598649681089</c:v>
                </c:pt>
                <c:pt idx="310">
                  <c:v>268.4572418940831</c:v>
                </c:pt>
                <c:pt idx="311">
                  <c:v>721.66319600088275</c:v>
                </c:pt>
                <c:pt idx="312">
                  <c:v>491.02594188993214</c:v>
                </c:pt>
                <c:pt idx="313">
                  <c:v>403.18862692668336</c:v>
                </c:pt>
                <c:pt idx="314">
                  <c:v>418.31680715079665</c:v>
                </c:pt>
                <c:pt idx="315">
                  <c:v>335.68459778442485</c:v>
                </c:pt>
                <c:pt idx="316">
                  <c:v>368.80058600633271</c:v>
                </c:pt>
                <c:pt idx="317">
                  <c:v>315.48154968612744</c:v>
                </c:pt>
                <c:pt idx="318">
                  <c:v>338.3074619654675</c:v>
                </c:pt>
                <c:pt idx="319">
                  <c:v>340.12055165841781</c:v>
                </c:pt>
                <c:pt idx="320">
                  <c:v>410.5148353486324</c:v>
                </c:pt>
                <c:pt idx="321">
                  <c:v>254.46095057131069</c:v>
                </c:pt>
                <c:pt idx="322">
                  <c:v>127.51582205443948</c:v>
                </c:pt>
                <c:pt idx="323">
                  <c:v>114.64124737207484</c:v>
                </c:pt>
                <c:pt idx="324">
                  <c:v>123.03413024653791</c:v>
                </c:pt>
                <c:pt idx="325">
                  <c:v>74.352960556027924</c:v>
                </c:pt>
                <c:pt idx="326">
                  <c:v>43.333153401524818</c:v>
                </c:pt>
                <c:pt idx="327">
                  <c:v>48.497786497517225</c:v>
                </c:pt>
                <c:pt idx="328">
                  <c:v>45.577142547844062</c:v>
                </c:pt>
                <c:pt idx="329">
                  <c:v>43.800293951295863</c:v>
                </c:pt>
                <c:pt idx="330">
                  <c:v>36.131339926855794</c:v>
                </c:pt>
                <c:pt idx="331">
                  <c:v>46.800222066202565</c:v>
                </c:pt>
                <c:pt idx="332">
                  <c:v>60.640165188072601</c:v>
                </c:pt>
                <c:pt idx="333">
                  <c:v>45.044239591034241</c:v>
                </c:pt>
                <c:pt idx="334">
                  <c:v>44.860412050428742</c:v>
                </c:pt>
                <c:pt idx="335">
                  <c:v>69.237561813143344</c:v>
                </c:pt>
                <c:pt idx="336">
                  <c:v>102.06094689621709</c:v>
                </c:pt>
                <c:pt idx="337">
                  <c:v>168.04945674109021</c:v>
                </c:pt>
                <c:pt idx="338">
                  <c:v>183.84931338171955</c:v>
                </c:pt>
                <c:pt idx="339">
                  <c:v>138.84348479075317</c:v>
                </c:pt>
                <c:pt idx="340">
                  <c:v>165.64799780269558</c:v>
                </c:pt>
                <c:pt idx="341">
                  <c:v>84.813115328997043</c:v>
                </c:pt>
                <c:pt idx="342">
                  <c:v>41.940060477648224</c:v>
                </c:pt>
                <c:pt idx="343">
                  <c:v>52.584667274520186</c:v>
                </c:pt>
                <c:pt idx="344">
                  <c:v>79.462923217911467</c:v>
                </c:pt>
                <c:pt idx="345">
                  <c:v>81.655321610954942</c:v>
                </c:pt>
                <c:pt idx="346">
                  <c:v>55.497319451775752</c:v>
                </c:pt>
                <c:pt idx="347">
                  <c:v>48.803421459261493</c:v>
                </c:pt>
                <c:pt idx="348">
                  <c:v>65.593752650723673</c:v>
                </c:pt>
                <c:pt idx="349">
                  <c:v>111.23449371523304</c:v>
                </c:pt>
                <c:pt idx="350">
                  <c:v>60.406121294055787</c:v>
                </c:pt>
                <c:pt idx="351">
                  <c:v>-361.8062920021282</c:v>
                </c:pt>
                <c:pt idx="352">
                  <c:v>-380.57775755975638</c:v>
                </c:pt>
                <c:pt idx="353">
                  <c:v>-370.48434243671403</c:v>
                </c:pt>
                <c:pt idx="354">
                  <c:v>-409.63993431385506</c:v>
                </c:pt>
                <c:pt idx="355">
                  <c:v>-405.74609856334507</c:v>
                </c:pt>
                <c:pt idx="356">
                  <c:v>-397.78141895749349</c:v>
                </c:pt>
                <c:pt idx="357">
                  <c:v>-435.84326406047325</c:v>
                </c:pt>
                <c:pt idx="358">
                  <c:v>-394.01072701169898</c:v>
                </c:pt>
                <c:pt idx="359">
                  <c:v>-459.30827969519061</c:v>
                </c:pt>
                <c:pt idx="360">
                  <c:v>-437.70678198564428</c:v>
                </c:pt>
                <c:pt idx="361">
                  <c:v>-438.48724417840742</c:v>
                </c:pt>
                <c:pt idx="362">
                  <c:v>-411.79850056510111</c:v>
                </c:pt>
                <c:pt idx="363">
                  <c:v>-277.3628626458144</c:v>
                </c:pt>
                <c:pt idx="364">
                  <c:v>-307.89549038766626</c:v>
                </c:pt>
                <c:pt idx="365">
                  <c:v>-309.43798910068216</c:v>
                </c:pt>
                <c:pt idx="366">
                  <c:v>-307.6958043967536</c:v>
                </c:pt>
                <c:pt idx="367">
                  <c:v>-311.6381818507536</c:v>
                </c:pt>
                <c:pt idx="368">
                  <c:v>-303.7160690676838</c:v>
                </c:pt>
                <c:pt idx="369">
                  <c:v>-312.44342235168386</c:v>
                </c:pt>
                <c:pt idx="370">
                  <c:v>-305.17398404992946</c:v>
                </c:pt>
                <c:pt idx="371">
                  <c:v>-311.12462350087799</c:v>
                </c:pt>
                <c:pt idx="372">
                  <c:v>-301.25967793336622</c:v>
                </c:pt>
                <c:pt idx="373">
                  <c:v>-312.86216710490913</c:v>
                </c:pt>
                <c:pt idx="374">
                  <c:v>-306.05931051214895</c:v>
                </c:pt>
                <c:pt idx="375">
                  <c:v>-315.92953537397113</c:v>
                </c:pt>
                <c:pt idx="376">
                  <c:v>-295.36629065158814</c:v>
                </c:pt>
                <c:pt idx="377">
                  <c:v>-307.62958665018431</c:v>
                </c:pt>
                <c:pt idx="378">
                  <c:v>-311.54435847876039</c:v>
                </c:pt>
                <c:pt idx="379">
                  <c:v>-305.38809522716036</c:v>
                </c:pt>
                <c:pt idx="380">
                  <c:v>-312.82099640417067</c:v>
                </c:pt>
                <c:pt idx="381">
                  <c:v>-302.71609695788356</c:v>
                </c:pt>
                <c:pt idx="382">
                  <c:v>-297.23822090225701</c:v>
                </c:pt>
                <c:pt idx="383">
                  <c:v>-297.13534468094548</c:v>
                </c:pt>
                <c:pt idx="384">
                  <c:v>-243.08592009245965</c:v>
                </c:pt>
                <c:pt idx="385">
                  <c:v>-247.28257920753231</c:v>
                </c:pt>
                <c:pt idx="386">
                  <c:v>-248.47695826308143</c:v>
                </c:pt>
                <c:pt idx="387">
                  <c:v>-259.26885753843356</c:v>
                </c:pt>
                <c:pt idx="388">
                  <c:v>-255.4116315652517</c:v>
                </c:pt>
                <c:pt idx="389">
                  <c:v>-253.91342944315139</c:v>
                </c:pt>
                <c:pt idx="390">
                  <c:v>-263.49850234888055</c:v>
                </c:pt>
                <c:pt idx="391">
                  <c:v>-254.31107398518958</c:v>
                </c:pt>
                <c:pt idx="392">
                  <c:v>-254.05446193278962</c:v>
                </c:pt>
                <c:pt idx="393">
                  <c:v>-252.7834357262679</c:v>
                </c:pt>
                <c:pt idx="394">
                  <c:v>-250.6692615284679</c:v>
                </c:pt>
                <c:pt idx="395">
                  <c:v>-248.02730211326966</c:v>
                </c:pt>
                <c:pt idx="396">
                  <c:v>-244.57348550138153</c:v>
                </c:pt>
                <c:pt idx="397">
                  <c:v>-248.76539411490754</c:v>
                </c:pt>
                <c:pt idx="398">
                  <c:v>-248.48723495871707</c:v>
                </c:pt>
                <c:pt idx="399">
                  <c:v>-250.96082566157421</c:v>
                </c:pt>
                <c:pt idx="400">
                  <c:v>-249.80683755589001</c:v>
                </c:pt>
                <c:pt idx="401">
                  <c:v>-245.06680241957309</c:v>
                </c:pt>
                <c:pt idx="402">
                  <c:v>-249.76676800639964</c:v>
                </c:pt>
                <c:pt idx="403">
                  <c:v>-248.9895993281238</c:v>
                </c:pt>
                <c:pt idx="404">
                  <c:v>-243.80245600400616</c:v>
                </c:pt>
                <c:pt idx="405">
                  <c:v>-243.60799592840618</c:v>
                </c:pt>
                <c:pt idx="406">
                  <c:v>-243.06014212638891</c:v>
                </c:pt>
                <c:pt idx="407">
                  <c:v>-250.79830235149009</c:v>
                </c:pt>
                <c:pt idx="408">
                  <c:v>-254.92358963872414</c:v>
                </c:pt>
                <c:pt idx="409">
                  <c:v>-254.63601005979558</c:v>
                </c:pt>
                <c:pt idx="410">
                  <c:v>-247.52910231839482</c:v>
                </c:pt>
                <c:pt idx="411">
                  <c:v>-251.41222405137188</c:v>
                </c:pt>
                <c:pt idx="412">
                  <c:v>-246.3547303289719</c:v>
                </c:pt>
                <c:pt idx="413">
                  <c:v>-244.27152742301953</c:v>
                </c:pt>
                <c:pt idx="414">
                  <c:v>-241.72258464611892</c:v>
                </c:pt>
                <c:pt idx="415">
                  <c:v>-244.26090289485845</c:v>
                </c:pt>
                <c:pt idx="416">
                  <c:v>-233.06949120384925</c:v>
                </c:pt>
                <c:pt idx="417">
                  <c:v>-231.1682927453439</c:v>
                </c:pt>
                <c:pt idx="418">
                  <c:v>-233.15207502582521</c:v>
                </c:pt>
                <c:pt idx="419">
                  <c:v>-236.91676989011094</c:v>
                </c:pt>
                <c:pt idx="420">
                  <c:v>-223.6444356163679</c:v>
                </c:pt>
                <c:pt idx="421">
                  <c:v>-213.65175885840412</c:v>
                </c:pt>
                <c:pt idx="422">
                  <c:v>-219.74887987590412</c:v>
                </c:pt>
                <c:pt idx="423">
                  <c:v>-209.26534579467125</c:v>
                </c:pt>
                <c:pt idx="424">
                  <c:v>-217.16177114249513</c:v>
                </c:pt>
                <c:pt idx="425">
                  <c:v>-219.52352099847641</c:v>
                </c:pt>
                <c:pt idx="426">
                  <c:v>-220.88730265999476</c:v>
                </c:pt>
                <c:pt idx="427">
                  <c:v>-224.29991337103473</c:v>
                </c:pt>
                <c:pt idx="428">
                  <c:v>-220.45057994549626</c:v>
                </c:pt>
                <c:pt idx="429">
                  <c:v>-220.17091980427179</c:v>
                </c:pt>
                <c:pt idx="430">
                  <c:v>-219.57573448475287</c:v>
                </c:pt>
                <c:pt idx="431">
                  <c:v>-221.0143445827529</c:v>
                </c:pt>
                <c:pt idx="432">
                  <c:v>-219.32369732010392</c:v>
                </c:pt>
                <c:pt idx="433">
                  <c:v>-226.45614362448347</c:v>
                </c:pt>
                <c:pt idx="434">
                  <c:v>-230.24722802823342</c:v>
                </c:pt>
                <c:pt idx="435">
                  <c:v>-227.4607778724363</c:v>
                </c:pt>
                <c:pt idx="436">
                  <c:v>-226.73145351031511</c:v>
                </c:pt>
                <c:pt idx="437">
                  <c:v>-225.53780170008255</c:v>
                </c:pt>
                <c:pt idx="438">
                  <c:v>-230.05686878691179</c:v>
                </c:pt>
                <c:pt idx="439">
                  <c:v>-227.49698183061966</c:v>
                </c:pt>
                <c:pt idx="440">
                  <c:v>-225.4550225452214</c:v>
                </c:pt>
                <c:pt idx="441">
                  <c:v>-223.33024854578008</c:v>
                </c:pt>
                <c:pt idx="442">
                  <c:v>-221.85201817158654</c:v>
                </c:pt>
                <c:pt idx="443">
                  <c:v>-221.33057471226138</c:v>
                </c:pt>
                <c:pt idx="444">
                  <c:v>-222.6998211308121</c:v>
                </c:pt>
                <c:pt idx="445">
                  <c:v>-220.07469474269692</c:v>
                </c:pt>
                <c:pt idx="446">
                  <c:v>-222.74434893269691</c:v>
                </c:pt>
                <c:pt idx="447">
                  <c:v>-219.48703808708942</c:v>
                </c:pt>
                <c:pt idx="448">
                  <c:v>-219.20633306607934</c:v>
                </c:pt>
                <c:pt idx="449">
                  <c:v>-219.86251863570197</c:v>
                </c:pt>
                <c:pt idx="450">
                  <c:v>-218.35325471618472</c:v>
                </c:pt>
                <c:pt idx="451">
                  <c:v>-216.92310614162335</c:v>
                </c:pt>
                <c:pt idx="452">
                  <c:v>-214.95402819756742</c:v>
                </c:pt>
                <c:pt idx="453">
                  <c:v>-214.93488173770439</c:v>
                </c:pt>
                <c:pt idx="454">
                  <c:v>-213.39200837332939</c:v>
                </c:pt>
                <c:pt idx="455">
                  <c:v>-214.51996315828666</c:v>
                </c:pt>
                <c:pt idx="456">
                  <c:v>-212.7361995035119</c:v>
                </c:pt>
                <c:pt idx="457">
                  <c:v>-211.05505627109429</c:v>
                </c:pt>
                <c:pt idx="458">
                  <c:v>-210.77362241473062</c:v>
                </c:pt>
                <c:pt idx="459">
                  <c:v>-209.83847884823945</c:v>
                </c:pt>
                <c:pt idx="460">
                  <c:v>-208.13558054720045</c:v>
                </c:pt>
                <c:pt idx="461">
                  <c:v>-207.90134777456888</c:v>
                </c:pt>
                <c:pt idx="462">
                  <c:v>-204.48230549321042</c:v>
                </c:pt>
                <c:pt idx="463">
                  <c:v>-202.97863832602729</c:v>
                </c:pt>
                <c:pt idx="464">
                  <c:v>-202.8796686260273</c:v>
                </c:pt>
                <c:pt idx="465">
                  <c:v>-202.63589211097877</c:v>
                </c:pt>
                <c:pt idx="466">
                  <c:v>-202.00303326764546</c:v>
                </c:pt>
                <c:pt idx="467">
                  <c:v>-202.17451309956326</c:v>
                </c:pt>
                <c:pt idx="468">
                  <c:v>-201.86416029760673</c:v>
                </c:pt>
                <c:pt idx="469">
                  <c:v>-201.15966954360673</c:v>
                </c:pt>
                <c:pt idx="470">
                  <c:v>-201.93304448387698</c:v>
                </c:pt>
                <c:pt idx="471">
                  <c:v>-202.00289688027041</c:v>
                </c:pt>
                <c:pt idx="472">
                  <c:v>-200.28094931683293</c:v>
                </c:pt>
                <c:pt idx="473">
                  <c:v>-201.46756365969006</c:v>
                </c:pt>
                <c:pt idx="474">
                  <c:v>-201.66772558910185</c:v>
                </c:pt>
                <c:pt idx="475">
                  <c:v>-201.7596119935136</c:v>
                </c:pt>
                <c:pt idx="476">
                  <c:v>-205.19388843009901</c:v>
                </c:pt>
                <c:pt idx="477">
                  <c:v>-208.36317213209898</c:v>
                </c:pt>
                <c:pt idx="478">
                  <c:v>-210.53093049421281</c:v>
                </c:pt>
                <c:pt idx="479">
                  <c:v>-209.48564291290842</c:v>
                </c:pt>
                <c:pt idx="480">
                  <c:v>-209.4659901082276</c:v>
                </c:pt>
                <c:pt idx="481">
                  <c:v>-209.36445488342758</c:v>
                </c:pt>
                <c:pt idx="482">
                  <c:v>-209.53587928730821</c:v>
                </c:pt>
                <c:pt idx="483">
                  <c:v>-211.25649818930822</c:v>
                </c:pt>
                <c:pt idx="484">
                  <c:v>-208.11005578748191</c:v>
                </c:pt>
                <c:pt idx="485">
                  <c:v>-209.19100658559955</c:v>
                </c:pt>
                <c:pt idx="486">
                  <c:v>-209.74255742027697</c:v>
                </c:pt>
                <c:pt idx="487">
                  <c:v>-206.11081174027697</c:v>
                </c:pt>
                <c:pt idx="488">
                  <c:v>-205.83031907463942</c:v>
                </c:pt>
                <c:pt idx="489">
                  <c:v>-205.34512229606798</c:v>
                </c:pt>
                <c:pt idx="490">
                  <c:v>-206.14203783134269</c:v>
                </c:pt>
                <c:pt idx="491">
                  <c:v>-209.75041459635858</c:v>
                </c:pt>
                <c:pt idx="492">
                  <c:v>-208.35473523881933</c:v>
                </c:pt>
                <c:pt idx="493">
                  <c:v>-208.84887379554829</c:v>
                </c:pt>
                <c:pt idx="494">
                  <c:v>-200.3234069717696</c:v>
                </c:pt>
                <c:pt idx="495">
                  <c:v>-198.5523505870637</c:v>
                </c:pt>
                <c:pt idx="496">
                  <c:v>-199.77794809747468</c:v>
                </c:pt>
                <c:pt idx="497">
                  <c:v>-199.21938507295854</c:v>
                </c:pt>
                <c:pt idx="498">
                  <c:v>-200.42543181694225</c:v>
                </c:pt>
                <c:pt idx="499">
                  <c:v>-198.83223947979937</c:v>
                </c:pt>
                <c:pt idx="500">
                  <c:v>-197.14765271447089</c:v>
                </c:pt>
                <c:pt idx="501">
                  <c:v>-196.88958261959093</c:v>
                </c:pt>
                <c:pt idx="502">
                  <c:v>-194.42034302459092</c:v>
                </c:pt>
                <c:pt idx="503">
                  <c:v>-197.4392946389745</c:v>
                </c:pt>
                <c:pt idx="504">
                  <c:v>-198.97055202418815</c:v>
                </c:pt>
                <c:pt idx="505">
                  <c:v>-199.11056390752148</c:v>
                </c:pt>
                <c:pt idx="506">
                  <c:v>-199.68289660714694</c:v>
                </c:pt>
                <c:pt idx="507">
                  <c:v>-201.69408570478583</c:v>
                </c:pt>
                <c:pt idx="508">
                  <c:v>-200.62056288806454</c:v>
                </c:pt>
                <c:pt idx="509">
                  <c:v>-204.07142848360908</c:v>
                </c:pt>
                <c:pt idx="510">
                  <c:v>-199.85758687745837</c:v>
                </c:pt>
                <c:pt idx="511">
                  <c:v>-198.21429554801202</c:v>
                </c:pt>
                <c:pt idx="512">
                  <c:v>-190.14860779082608</c:v>
                </c:pt>
                <c:pt idx="513">
                  <c:v>-187.3058819454339</c:v>
                </c:pt>
                <c:pt idx="514">
                  <c:v>-182.53082344183679</c:v>
                </c:pt>
                <c:pt idx="515">
                  <c:v>-181.68092835050075</c:v>
                </c:pt>
                <c:pt idx="516">
                  <c:v>-185.95984801522468</c:v>
                </c:pt>
                <c:pt idx="517">
                  <c:v>-183.04569073694444</c:v>
                </c:pt>
                <c:pt idx="518">
                  <c:v>-170.56329409098211</c:v>
                </c:pt>
                <c:pt idx="519">
                  <c:v>-164.89964249933357</c:v>
                </c:pt>
                <c:pt idx="520">
                  <c:v>-161.69292962767568</c:v>
                </c:pt>
                <c:pt idx="521">
                  <c:v>-158.120732525938</c:v>
                </c:pt>
                <c:pt idx="522">
                  <c:v>-162.34226365174953</c:v>
                </c:pt>
                <c:pt idx="523">
                  <c:v>-164.66282565504679</c:v>
                </c:pt>
                <c:pt idx="524">
                  <c:v>-157.75321906249121</c:v>
                </c:pt>
                <c:pt idx="525">
                  <c:v>-152.45867237330972</c:v>
                </c:pt>
                <c:pt idx="526">
                  <c:v>-153.30023002074563</c:v>
                </c:pt>
                <c:pt idx="527">
                  <c:v>-147.50748604821493</c:v>
                </c:pt>
                <c:pt idx="528">
                  <c:v>-143.34338267906594</c:v>
                </c:pt>
                <c:pt idx="529">
                  <c:v>-148.21123348838222</c:v>
                </c:pt>
                <c:pt idx="530">
                  <c:v>-155.81846346689287</c:v>
                </c:pt>
                <c:pt idx="531">
                  <c:v>-159.168952019796</c:v>
                </c:pt>
                <c:pt idx="532">
                  <c:v>-163.83064462507903</c:v>
                </c:pt>
                <c:pt idx="533">
                  <c:v>-162.45148352046829</c:v>
                </c:pt>
                <c:pt idx="534">
                  <c:v>-167.88218477945748</c:v>
                </c:pt>
                <c:pt idx="535">
                  <c:v>-162.53068401397803</c:v>
                </c:pt>
                <c:pt idx="536">
                  <c:v>-173.38655176403313</c:v>
                </c:pt>
                <c:pt idx="537">
                  <c:v>-177.13151425349051</c:v>
                </c:pt>
                <c:pt idx="538">
                  <c:v>-166.26140003340203</c:v>
                </c:pt>
                <c:pt idx="539">
                  <c:v>-130.72708614101856</c:v>
                </c:pt>
                <c:pt idx="540">
                  <c:v>-137.62547674399119</c:v>
                </c:pt>
                <c:pt idx="541">
                  <c:v>-148.2363400653245</c:v>
                </c:pt>
                <c:pt idx="542">
                  <c:v>-147.79432227489897</c:v>
                </c:pt>
                <c:pt idx="543">
                  <c:v>-143.98973702994658</c:v>
                </c:pt>
                <c:pt idx="544">
                  <c:v>-142.27613877128857</c:v>
                </c:pt>
                <c:pt idx="545">
                  <c:v>-143.91376669271713</c:v>
                </c:pt>
                <c:pt idx="546">
                  <c:v>-139.05962712467243</c:v>
                </c:pt>
                <c:pt idx="547">
                  <c:v>-162.91840043430034</c:v>
                </c:pt>
                <c:pt idx="548">
                  <c:v>-163.07799207565171</c:v>
                </c:pt>
                <c:pt idx="549">
                  <c:v>-168.10094857935542</c:v>
                </c:pt>
                <c:pt idx="550">
                  <c:v>-151.94457798830277</c:v>
                </c:pt>
                <c:pt idx="551">
                  <c:v>-154.55106036781893</c:v>
                </c:pt>
                <c:pt idx="552">
                  <c:v>-161.26846347921023</c:v>
                </c:pt>
                <c:pt idx="553">
                  <c:v>-151.16550344839254</c:v>
                </c:pt>
                <c:pt idx="554">
                  <c:v>-145.63592932482109</c:v>
                </c:pt>
                <c:pt idx="555">
                  <c:v>-146.81925308620043</c:v>
                </c:pt>
                <c:pt idx="556">
                  <c:v>-144.99652303064485</c:v>
                </c:pt>
                <c:pt idx="557">
                  <c:v>-143.96185121227273</c:v>
                </c:pt>
                <c:pt idx="558">
                  <c:v>-142.85434810365001</c:v>
                </c:pt>
                <c:pt idx="559">
                  <c:v>-145.63879748856428</c:v>
                </c:pt>
                <c:pt idx="560">
                  <c:v>-139.9097122155012</c:v>
                </c:pt>
                <c:pt idx="561">
                  <c:v>-142.93023163738599</c:v>
                </c:pt>
                <c:pt idx="562">
                  <c:v>-146.3097166193532</c:v>
                </c:pt>
                <c:pt idx="563">
                  <c:v>-148.63890515083969</c:v>
                </c:pt>
                <c:pt idx="564">
                  <c:v>-140.77003366612271</c:v>
                </c:pt>
                <c:pt idx="565">
                  <c:v>-149.34614811243139</c:v>
                </c:pt>
                <c:pt idx="566">
                  <c:v>-147.70765364069226</c:v>
                </c:pt>
                <c:pt idx="567">
                  <c:v>-139.82371491888347</c:v>
                </c:pt>
                <c:pt idx="568">
                  <c:v>-138.22747521587692</c:v>
                </c:pt>
                <c:pt idx="569">
                  <c:v>-146.62966904099886</c:v>
                </c:pt>
                <c:pt idx="570">
                  <c:v>-145.63426559215273</c:v>
                </c:pt>
                <c:pt idx="571">
                  <c:v>-149.82461033895945</c:v>
                </c:pt>
                <c:pt idx="572">
                  <c:v>-144.45416014867166</c:v>
                </c:pt>
                <c:pt idx="573">
                  <c:v>-142.87918218028926</c:v>
                </c:pt>
                <c:pt idx="574">
                  <c:v>-69.854162037432147</c:v>
                </c:pt>
                <c:pt idx="575">
                  <c:v>-75.795886048078543</c:v>
                </c:pt>
                <c:pt idx="576">
                  <c:v>-78.18213922807854</c:v>
                </c:pt>
                <c:pt idx="577">
                  <c:v>-75.724052959109486</c:v>
                </c:pt>
                <c:pt idx="578">
                  <c:v>-76.713183357966628</c:v>
                </c:pt>
                <c:pt idx="579">
                  <c:v>-77.768438641153438</c:v>
                </c:pt>
                <c:pt idx="580">
                  <c:v>-76.910075358572797</c:v>
                </c:pt>
                <c:pt idx="581">
                  <c:v>-75.310300117369806</c:v>
                </c:pt>
                <c:pt idx="582">
                  <c:v>-75.559367059931375</c:v>
                </c:pt>
                <c:pt idx="583">
                  <c:v>-74.014611530217095</c:v>
                </c:pt>
                <c:pt idx="584">
                  <c:v>-76.7573163202171</c:v>
                </c:pt>
                <c:pt idx="585">
                  <c:v>-79.024263057140175</c:v>
                </c:pt>
                <c:pt idx="586">
                  <c:v>-74.937929036408462</c:v>
                </c:pt>
                <c:pt idx="587">
                  <c:v>-74.027575209845949</c:v>
                </c:pt>
                <c:pt idx="588">
                  <c:v>-75.050231556129148</c:v>
                </c:pt>
                <c:pt idx="589">
                  <c:v>-74.664117947654574</c:v>
                </c:pt>
                <c:pt idx="590">
                  <c:v>-70.412773003999405</c:v>
                </c:pt>
                <c:pt idx="591">
                  <c:v>-70.332398541754515</c:v>
                </c:pt>
                <c:pt idx="592">
                  <c:v>-72.290892159746477</c:v>
                </c:pt>
                <c:pt idx="593">
                  <c:v>-66.760626365996487</c:v>
                </c:pt>
                <c:pt idx="594">
                  <c:v>-68.813568629329822</c:v>
                </c:pt>
                <c:pt idx="595">
                  <c:v>-73.775772509329826</c:v>
                </c:pt>
                <c:pt idx="596">
                  <c:v>-68.250936173016456</c:v>
                </c:pt>
                <c:pt idx="597">
                  <c:v>-66.398559004445019</c:v>
                </c:pt>
                <c:pt idx="598">
                  <c:v>-72.120015953003588</c:v>
                </c:pt>
                <c:pt idx="599">
                  <c:v>-68.435521740237633</c:v>
                </c:pt>
                <c:pt idx="600">
                  <c:v>-70.055394254809073</c:v>
                </c:pt>
                <c:pt idx="601">
                  <c:v>-73.188723103059075</c:v>
                </c:pt>
                <c:pt idx="602">
                  <c:v>-73.034634175440019</c:v>
                </c:pt>
                <c:pt idx="603">
                  <c:v>-74.644049539906064</c:v>
                </c:pt>
                <c:pt idx="604">
                  <c:v>-80.288545760950839</c:v>
                </c:pt>
                <c:pt idx="605">
                  <c:v>-76.762582613442532</c:v>
                </c:pt>
                <c:pt idx="606">
                  <c:v>-81.355801678326259</c:v>
                </c:pt>
                <c:pt idx="607">
                  <c:v>-72.192523207315006</c:v>
                </c:pt>
                <c:pt idx="608">
                  <c:v>-72.698359299007322</c:v>
                </c:pt>
                <c:pt idx="609">
                  <c:v>-63.006205835007307</c:v>
                </c:pt>
                <c:pt idx="610">
                  <c:v>-62.264071934238054</c:v>
                </c:pt>
                <c:pt idx="611">
                  <c:v>-65.409634677527862</c:v>
                </c:pt>
                <c:pt idx="612">
                  <c:v>-38.183574838438389</c:v>
                </c:pt>
                <c:pt idx="613">
                  <c:v>-51.132476745660618</c:v>
                </c:pt>
                <c:pt idx="614">
                  <c:v>-40.334171251824991</c:v>
                </c:pt>
                <c:pt idx="615">
                  <c:v>-43.503676932766162</c:v>
                </c:pt>
                <c:pt idx="616">
                  <c:v>-44.529699580212984</c:v>
                </c:pt>
                <c:pt idx="617">
                  <c:v>-44.827137044212975</c:v>
                </c:pt>
                <c:pt idx="618">
                  <c:v>-41.798860076394782</c:v>
                </c:pt>
                <c:pt idx="619">
                  <c:v>-42.536988232644802</c:v>
                </c:pt>
                <c:pt idx="620">
                  <c:v>-44.9431240826448</c:v>
                </c:pt>
                <c:pt idx="621">
                  <c:v>-43.751811661978131</c:v>
                </c:pt>
                <c:pt idx="622">
                  <c:v>-42.329026436523549</c:v>
                </c:pt>
                <c:pt idx="623">
                  <c:v>-39.817567982975163</c:v>
                </c:pt>
                <c:pt idx="624">
                  <c:v>-32.557041404225181</c:v>
                </c:pt>
                <c:pt idx="625">
                  <c:v>-33.476686154595555</c:v>
                </c:pt>
                <c:pt idx="626">
                  <c:v>-33.195937072214605</c:v>
                </c:pt>
                <c:pt idx="627">
                  <c:v>-36.381617044017872</c:v>
                </c:pt>
                <c:pt idx="628">
                  <c:v>-35.702283613554307</c:v>
                </c:pt>
                <c:pt idx="629">
                  <c:v>-34.621280080439554</c:v>
                </c:pt>
                <c:pt idx="630">
                  <c:v>-33.050181021978027</c:v>
                </c:pt>
                <c:pt idx="631">
                  <c:v>-43.755001071978029</c:v>
                </c:pt>
                <c:pt idx="632">
                  <c:v>-39.738312241359118</c:v>
                </c:pt>
                <c:pt idx="633">
                  <c:v>-40.215334831126569</c:v>
                </c:pt>
                <c:pt idx="634">
                  <c:v>-33.257146073845007</c:v>
                </c:pt>
                <c:pt idx="635">
                  <c:v>-25.791548912746102</c:v>
                </c:pt>
                <c:pt idx="636">
                  <c:v>-32.70585227544175</c:v>
                </c:pt>
                <c:pt idx="637">
                  <c:v>-34.75542749650559</c:v>
                </c:pt>
                <c:pt idx="638">
                  <c:v>-31.207073532260978</c:v>
                </c:pt>
                <c:pt idx="639">
                  <c:v>-35.905653586315026</c:v>
                </c:pt>
                <c:pt idx="640">
                  <c:v>-32.810028531769589</c:v>
                </c:pt>
                <c:pt idx="641">
                  <c:v>-33.590192892269613</c:v>
                </c:pt>
                <c:pt idx="642">
                  <c:v>-35.154511021289231</c:v>
                </c:pt>
                <c:pt idx="643">
                  <c:v>-34.386222502778587</c:v>
                </c:pt>
                <c:pt idx="644">
                  <c:v>-35.364147114981975</c:v>
                </c:pt>
                <c:pt idx="645">
                  <c:v>-31.978589881460852</c:v>
                </c:pt>
                <c:pt idx="646">
                  <c:v>-32.304015299460858</c:v>
                </c:pt>
                <c:pt idx="647">
                  <c:v>-30.624743996195562</c:v>
                </c:pt>
                <c:pt idx="648">
                  <c:v>-28.521856625243178</c:v>
                </c:pt>
                <c:pt idx="649">
                  <c:v>-27.08252467571937</c:v>
                </c:pt>
                <c:pt idx="650">
                  <c:v>-28.275798574950141</c:v>
                </c:pt>
                <c:pt idx="651">
                  <c:v>-28.653085410085282</c:v>
                </c:pt>
                <c:pt idx="652">
                  <c:v>-30.665388955539829</c:v>
                </c:pt>
                <c:pt idx="653">
                  <c:v>-29.295048068873161</c:v>
                </c:pt>
                <c:pt idx="654">
                  <c:v>-29.564928765236807</c:v>
                </c:pt>
                <c:pt idx="655">
                  <c:v>-30.515453950454202</c:v>
                </c:pt>
                <c:pt idx="656">
                  <c:v>-31.054590818944771</c:v>
                </c:pt>
                <c:pt idx="657">
                  <c:v>-31.644303191096668</c:v>
                </c:pt>
                <c:pt idx="658">
                  <c:v>-30.060114284551211</c:v>
                </c:pt>
                <c:pt idx="659">
                  <c:v>-31.205349815979783</c:v>
                </c:pt>
                <c:pt idx="660">
                  <c:v>-33.185383425625801</c:v>
                </c:pt>
                <c:pt idx="661">
                  <c:v>-31.294437583222695</c:v>
                </c:pt>
                <c:pt idx="662">
                  <c:v>-35.561744003222692</c:v>
                </c:pt>
                <c:pt idx="663">
                  <c:v>-35.330141876822694</c:v>
                </c:pt>
                <c:pt idx="664">
                  <c:v>-34.62062852928171</c:v>
                </c:pt>
                <c:pt idx="665">
                  <c:v>-34.275582813047933</c:v>
                </c:pt>
                <c:pt idx="666">
                  <c:v>-34.327023175721209</c:v>
                </c:pt>
                <c:pt idx="667">
                  <c:v>-36.79529346857835</c:v>
                </c:pt>
                <c:pt idx="668">
                  <c:v>-37.457531709144384</c:v>
                </c:pt>
                <c:pt idx="669">
                  <c:v>-35.165643631532447</c:v>
                </c:pt>
                <c:pt idx="670">
                  <c:v>-33.43220377212068</c:v>
                </c:pt>
                <c:pt idx="671">
                  <c:v>-36.513157954898446</c:v>
                </c:pt>
                <c:pt idx="672">
                  <c:v>-32.858357437755593</c:v>
                </c:pt>
                <c:pt idx="673">
                  <c:v>-36.695758002296138</c:v>
                </c:pt>
                <c:pt idx="674">
                  <c:v>-34.837763258592439</c:v>
                </c:pt>
                <c:pt idx="675">
                  <c:v>-36.017343401750331</c:v>
                </c:pt>
                <c:pt idx="676">
                  <c:v>-39.50063993505033</c:v>
                </c:pt>
                <c:pt idx="677">
                  <c:v>-36.05899522329775</c:v>
                </c:pt>
                <c:pt idx="678">
                  <c:v>-34.571696983981504</c:v>
                </c:pt>
                <c:pt idx="679">
                  <c:v>-30.587594959981505</c:v>
                </c:pt>
                <c:pt idx="680">
                  <c:v>-31.517754674657276</c:v>
                </c:pt>
                <c:pt idx="681">
                  <c:v>-35.175588330497284</c:v>
                </c:pt>
                <c:pt idx="682">
                  <c:v>-36.420819982906913</c:v>
                </c:pt>
                <c:pt idx="683">
                  <c:v>-34.193574937681106</c:v>
                </c:pt>
                <c:pt idx="684">
                  <c:v>-34.089221525373404</c:v>
                </c:pt>
                <c:pt idx="685">
                  <c:v>-31.428492946663731</c:v>
                </c:pt>
                <c:pt idx="686">
                  <c:v>-40.315980891079967</c:v>
                </c:pt>
                <c:pt idx="687">
                  <c:v>-20.711578361726726</c:v>
                </c:pt>
                <c:pt idx="688">
                  <c:v>-20.117694172186496</c:v>
                </c:pt>
                <c:pt idx="689">
                  <c:v>-20.042490506344905</c:v>
                </c:pt>
                <c:pt idx="690">
                  <c:v>-22.953807476779687</c:v>
                </c:pt>
                <c:pt idx="691">
                  <c:v>-18.741554756779685</c:v>
                </c:pt>
                <c:pt idx="692">
                  <c:v>-14.475757619787815</c:v>
                </c:pt>
                <c:pt idx="693">
                  <c:v>-16.602580802403203</c:v>
                </c:pt>
                <c:pt idx="694">
                  <c:v>-15.879686351723597</c:v>
                </c:pt>
                <c:pt idx="695">
                  <c:v>-17.181336090814501</c:v>
                </c:pt>
                <c:pt idx="696">
                  <c:v>-19.253513519713589</c:v>
                </c:pt>
                <c:pt idx="697">
                  <c:v>-19.711412300849954</c:v>
                </c:pt>
                <c:pt idx="698">
                  <c:v>-19.747030104464404</c:v>
                </c:pt>
                <c:pt idx="699">
                  <c:v>-12.993167564464404</c:v>
                </c:pt>
                <c:pt idx="700">
                  <c:v>-10.617434066949958</c:v>
                </c:pt>
                <c:pt idx="701">
                  <c:v>-11.724891402514816</c:v>
                </c:pt>
                <c:pt idx="702">
                  <c:v>-5.0607798858768929</c:v>
                </c:pt>
                <c:pt idx="703">
                  <c:v>-0.2910403254063007</c:v>
                </c:pt>
                <c:pt idx="704">
                  <c:v>1.0929406407395377</c:v>
                </c:pt>
                <c:pt idx="705">
                  <c:v>0.15449491843185589</c:v>
                </c:pt>
                <c:pt idx="706">
                  <c:v>-0.73624370588186938</c:v>
                </c:pt>
                <c:pt idx="707">
                  <c:v>0.5574381221181357</c:v>
                </c:pt>
                <c:pt idx="708">
                  <c:v>-3.6836989870122956</c:v>
                </c:pt>
                <c:pt idx="709">
                  <c:v>6.4229398447862618</c:v>
                </c:pt>
                <c:pt idx="710">
                  <c:v>3.4531798439260544</c:v>
                </c:pt>
                <c:pt idx="711">
                  <c:v>-1.9512928662237583</c:v>
                </c:pt>
                <c:pt idx="712">
                  <c:v>-2.1003435625251319</c:v>
                </c:pt>
                <c:pt idx="713">
                  <c:v>9.1521608589651571</c:v>
                </c:pt>
                <c:pt idx="714">
                  <c:v>5.3468516765028413</c:v>
                </c:pt>
                <c:pt idx="715">
                  <c:v>12.899193194102835</c:v>
                </c:pt>
                <c:pt idx="716">
                  <c:v>18.693547458450666</c:v>
                </c:pt>
                <c:pt idx="717">
                  <c:v>13.382226120982828</c:v>
                </c:pt>
                <c:pt idx="718">
                  <c:v>7.0588342209828197</c:v>
                </c:pt>
                <c:pt idx="719">
                  <c:v>0.62554714541291478</c:v>
                </c:pt>
                <c:pt idx="720">
                  <c:v>16.129330299473647</c:v>
                </c:pt>
                <c:pt idx="721">
                  <c:v>13.546541055161715</c:v>
                </c:pt>
                <c:pt idx="722">
                  <c:v>10.351772311683458</c:v>
                </c:pt>
                <c:pt idx="723">
                  <c:v>6.7800608025593787</c:v>
                </c:pt>
                <c:pt idx="724">
                  <c:v>5.6973987446212302</c:v>
                </c:pt>
                <c:pt idx="725">
                  <c:v>3.8601490146212303</c:v>
                </c:pt>
                <c:pt idx="726">
                  <c:v>1.9852097769923676</c:v>
                </c:pt>
                <c:pt idx="727">
                  <c:v>1.3102071036590348</c:v>
                </c:pt>
                <c:pt idx="728">
                  <c:v>1.3392875590522939</c:v>
                </c:pt>
                <c:pt idx="729">
                  <c:v>-0.33803963459849956</c:v>
                </c:pt>
                <c:pt idx="730">
                  <c:v>3.8681148267528438</c:v>
                </c:pt>
                <c:pt idx="731">
                  <c:v>3.9858346293844251</c:v>
                </c:pt>
                <c:pt idx="732">
                  <c:v>4.7869817136397357</c:v>
                </c:pt>
                <c:pt idx="733">
                  <c:v>4.2454116636397359</c:v>
                </c:pt>
                <c:pt idx="734">
                  <c:v>4.0375835464968777</c:v>
                </c:pt>
                <c:pt idx="735">
                  <c:v>2.7047749531635481</c:v>
                </c:pt>
                <c:pt idx="736">
                  <c:v>2.434327464163546</c:v>
                </c:pt>
                <c:pt idx="737">
                  <c:v>3.2519436044074368</c:v>
                </c:pt>
                <c:pt idx="738">
                  <c:v>2.6293008556074353</c:v>
                </c:pt>
                <c:pt idx="739">
                  <c:v>2.3930138083852204</c:v>
                </c:pt>
                <c:pt idx="740">
                  <c:v>3.2446623938814039</c:v>
                </c:pt>
                <c:pt idx="741">
                  <c:v>4.2386963544874696</c:v>
                </c:pt>
                <c:pt idx="742">
                  <c:v>5.0507709563393233</c:v>
                </c:pt>
                <c:pt idx="743">
                  <c:v>8.1494831295285124</c:v>
                </c:pt>
                <c:pt idx="744">
                  <c:v>1.6539817955712939</c:v>
                </c:pt>
                <c:pt idx="745">
                  <c:v>0.69738999820932757</c:v>
                </c:pt>
                <c:pt idx="746">
                  <c:v>-0.18259278379067914</c:v>
                </c:pt>
                <c:pt idx="747">
                  <c:v>-1.1208145177529409</c:v>
                </c:pt>
                <c:pt idx="748">
                  <c:v>0.1834024920248227</c:v>
                </c:pt>
                <c:pt idx="749">
                  <c:v>-0.77729053856340879</c:v>
                </c:pt>
                <c:pt idx="750">
                  <c:v>-0.84708597129068308</c:v>
                </c:pt>
                <c:pt idx="751">
                  <c:v>1.0363728854660639</c:v>
                </c:pt>
                <c:pt idx="752">
                  <c:v>1.6258210800814363</c:v>
                </c:pt>
                <c:pt idx="753">
                  <c:v>1.6986538731583511</c:v>
                </c:pt>
                <c:pt idx="754">
                  <c:v>2.9239453656583545</c:v>
                </c:pt>
                <c:pt idx="755">
                  <c:v>2.470050823158358</c:v>
                </c:pt>
                <c:pt idx="756">
                  <c:v>0.21743752142758996</c:v>
                </c:pt>
                <c:pt idx="757">
                  <c:v>-0.58028264840000054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03-4A54-BF03-1ECC9F7F2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3198880"/>
        <c:axId val="1153196384"/>
      </c:lineChart>
      <c:dateAx>
        <c:axId val="11531988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196384"/>
        <c:crosses val="autoZero"/>
        <c:auto val="1"/>
        <c:lblOffset val="100"/>
        <c:baseTimeUnit val="days"/>
      </c:dateAx>
      <c:valAx>
        <c:axId val="115319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3198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15413EB-2DEB-4E4F-AFB6-9B1F21BA57E1}">
  <sheetPr codeName="Chart1"/>
  <sheetViews>
    <sheetView zoomScale="9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7228" cy="607736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5C898B-E558-408D-961D-630351AAAEF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2.2700000000000001E-2</v>
      </c>
      <c r="D2" s="4">
        <f>MIN(D3:D1912)</f>
        <v>6.5500000000000006E-5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2.5300000000000001E-3</v>
      </c>
      <c r="C5">
        <v>2.5639999999999999E-3</v>
      </c>
      <c r="D5">
        <v>2.4550000000000002E-3</v>
      </c>
      <c r="E5">
        <v>2.457E-3</v>
      </c>
      <c r="F5">
        <v>301836667</v>
      </c>
      <c r="G5">
        <v>2.457E-3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-0.96330275229358098</v>
      </c>
      <c r="Q5">
        <f t="shared" ref="Q5" si="1">F5*P5</f>
        <v>-290760092.06422108</v>
      </c>
      <c r="R5">
        <f t="shared" ref="R5" si="2">R6+Q5</f>
        <v>-113308340907.52255</v>
      </c>
      <c r="S5">
        <f t="shared" ref="S5" si="3">R5/100000</f>
        <v>-1133083.4090752255</v>
      </c>
      <c r="T5">
        <f t="shared" ref="T5" si="4">S5/1000</f>
        <v>-1133.0834090752255</v>
      </c>
    </row>
    <row r="6" spans="1:20" x14ac:dyDescent="0.25">
      <c r="A6" s="5">
        <v>44587</v>
      </c>
      <c r="B6">
        <v>2.5079999999999998E-3</v>
      </c>
      <c r="C6">
        <v>2.8E-3</v>
      </c>
      <c r="D6">
        <v>2.4680000000000001E-3</v>
      </c>
      <c r="E6">
        <v>2.5309999999999998E-3</v>
      </c>
      <c r="F6">
        <v>5136483569</v>
      </c>
      <c r="G6">
        <v>2.5309999999999998E-3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-0.62048192771084509</v>
      </c>
      <c r="Q6">
        <f t="shared" ref="Q6" si="6">F6*P6</f>
        <v>-3187095226.5482016</v>
      </c>
      <c r="R6">
        <f t="shared" ref="R6" si="7">R7+Q6</f>
        <v>-113017580815.45833</v>
      </c>
      <c r="S6">
        <f t="shared" ref="S6" si="8">R6/100000</f>
        <v>-1130175.8081545832</v>
      </c>
      <c r="T6">
        <f t="shared" ref="T6" si="9">S6/1000</f>
        <v>-1130.1758081545831</v>
      </c>
    </row>
    <row r="7" spans="1:20" x14ac:dyDescent="0.25">
      <c r="A7" s="5">
        <v>44586</v>
      </c>
      <c r="B7">
        <v>2.4729999999999999E-3</v>
      </c>
      <c r="C7">
        <v>2.5999999999999999E-3</v>
      </c>
      <c r="D7">
        <v>2.3999999999999998E-3</v>
      </c>
      <c r="E7">
        <v>2.5089999999999999E-3</v>
      </c>
      <c r="F7">
        <v>3537016454</v>
      </c>
      <c r="G7">
        <v>2.5089999999999999E-3</v>
      </c>
      <c r="L7" t="s">
        <v>8</v>
      </c>
      <c r="M7" t="s">
        <v>8</v>
      </c>
      <c r="N7" t="s">
        <v>7</v>
      </c>
      <c r="P7">
        <f t="shared" ref="P7" si="10">IF(C7=D7,0,((E7-D7)-(C7-E7))/(C7-D7))</f>
        <v>9.0000000000001065E-2</v>
      </c>
      <c r="Q7">
        <f t="shared" ref="Q7" si="11">F7*P7</f>
        <v>318331480.86000377</v>
      </c>
      <c r="R7">
        <f t="shared" ref="R7" si="12">R8+Q7</f>
        <v>-109830485588.91013</v>
      </c>
      <c r="S7">
        <f t="shared" ref="S7" si="13">R7/100000</f>
        <v>-1098304.8558891013</v>
      </c>
      <c r="T7">
        <f t="shared" ref="T7" si="14">S7/1000</f>
        <v>-1098.3048558891012</v>
      </c>
    </row>
    <row r="8" spans="1:20" x14ac:dyDescent="0.25">
      <c r="A8" s="5">
        <v>44585</v>
      </c>
      <c r="B8">
        <v>2.5439999999999998E-3</v>
      </c>
      <c r="C8">
        <v>2.5460000000000001E-3</v>
      </c>
      <c r="D8">
        <v>2.1870000000000001E-3</v>
      </c>
      <c r="E8">
        <v>2.4710000000000001E-3</v>
      </c>
      <c r="F8">
        <v>6569121034</v>
      </c>
      <c r="G8">
        <v>2.4710000000000001E-3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0.58217270194986082</v>
      </c>
      <c r="Q8">
        <f t="shared" ref="Q8" si="16">F8*P8</f>
        <v>3824362941.7994437</v>
      </c>
      <c r="R8">
        <f t="shared" ref="R8" si="17">R9+Q8</f>
        <v>-110148817069.77013</v>
      </c>
      <c r="S8">
        <f t="shared" ref="S8" si="18">R8/100000</f>
        <v>-1101488.1706977012</v>
      </c>
      <c r="T8">
        <f t="shared" ref="T8" si="19">S8/1000</f>
        <v>-1101.4881706977012</v>
      </c>
    </row>
    <row r="9" spans="1:20" x14ac:dyDescent="0.25">
      <c r="A9" s="5">
        <v>44584</v>
      </c>
      <c r="B9">
        <v>2.5010000000000002E-3</v>
      </c>
      <c r="C9">
        <v>2.6979999999999999E-3</v>
      </c>
      <c r="D9">
        <v>2.4020000000000001E-3</v>
      </c>
      <c r="E9">
        <v>2.5469999999999998E-3</v>
      </c>
      <c r="F9">
        <v>4738737035</v>
      </c>
      <c r="G9">
        <v>2.5469999999999998E-3</v>
      </c>
      <c r="L9" t="s">
        <v>8</v>
      </c>
      <c r="M9" t="s">
        <v>8</v>
      </c>
      <c r="N9" t="s">
        <v>7</v>
      </c>
      <c r="P9">
        <f t="shared" ref="P9" si="20">IF(C9=D9,0,((E9-D9)-(C9-E9))/(C9-D9))</f>
        <v>-2.0270270270271507E-2</v>
      </c>
      <c r="Q9">
        <f t="shared" ref="Q9" si="21">F9*P9</f>
        <v>-96055480.439195052</v>
      </c>
      <c r="R9">
        <f t="shared" ref="R9" si="22">R10+Q9</f>
        <v>-113973180011.56956</v>
      </c>
      <c r="S9">
        <f t="shared" ref="S9" si="23">R9/100000</f>
        <v>-1139731.8001156957</v>
      </c>
      <c r="T9">
        <f t="shared" ref="T9" si="24">S9/1000</f>
        <v>-1139.7318001156957</v>
      </c>
    </row>
    <row r="10" spans="1:20" x14ac:dyDescent="0.25">
      <c r="A10" s="5">
        <v>44583</v>
      </c>
      <c r="B10">
        <v>2.7720000000000002E-3</v>
      </c>
      <c r="C10">
        <v>2.8319999999999999E-3</v>
      </c>
      <c r="D10">
        <v>2.2339999999999999E-3</v>
      </c>
      <c r="E10">
        <v>2.5010000000000002E-3</v>
      </c>
      <c r="F10">
        <v>8837204591</v>
      </c>
      <c r="G10">
        <v>2.5010000000000002E-3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-0.10702341137123643</v>
      </c>
      <c r="Q10">
        <f t="shared" ref="Q10" si="26">F10*P10</f>
        <v>-945787782.31437218</v>
      </c>
      <c r="R10">
        <f t="shared" ref="R10" si="27">R11+Q10</f>
        <v>-113877124531.13037</v>
      </c>
      <c r="S10">
        <f t="shared" ref="S10" si="28">R10/100000</f>
        <v>-1138771.2453113038</v>
      </c>
      <c r="T10">
        <f t="shared" ref="T10" si="29">S10/1000</f>
        <v>-1138.7712453113038</v>
      </c>
    </row>
    <row r="11" spans="1:20" x14ac:dyDescent="0.25">
      <c r="A11" s="5">
        <v>44582</v>
      </c>
      <c r="B11">
        <v>3.2469999999999999E-3</v>
      </c>
      <c r="C11">
        <v>3.3019999999999998E-3</v>
      </c>
      <c r="D11">
        <v>2.6809999999999998E-3</v>
      </c>
      <c r="E11">
        <v>2.774E-3</v>
      </c>
      <c r="F11">
        <v>6855932114</v>
      </c>
      <c r="G11">
        <v>2.774E-3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-0.70048309178743895</v>
      </c>
      <c r="Q11">
        <f t="shared" ref="Q11" si="31">F11*P11</f>
        <v>-4802464524.2995119</v>
      </c>
      <c r="R11">
        <f t="shared" ref="R11" si="32">R12+Q11</f>
        <v>-112931336748.81599</v>
      </c>
      <c r="S11">
        <f t="shared" ref="S11" si="33">R11/100000</f>
        <v>-1129313.36748816</v>
      </c>
      <c r="T11">
        <f t="shared" ref="T11" si="34">S11/1000</f>
        <v>-1129.3133674881601</v>
      </c>
    </row>
    <row r="12" spans="1:20" x14ac:dyDescent="0.25">
      <c r="A12" s="5">
        <v>44581</v>
      </c>
      <c r="B12">
        <v>3.5119999999999999E-3</v>
      </c>
      <c r="C12">
        <v>3.699E-3</v>
      </c>
      <c r="D12">
        <v>3.2269999999999998E-3</v>
      </c>
      <c r="E12">
        <v>3.2499999999999999E-3</v>
      </c>
      <c r="F12">
        <v>3514237083</v>
      </c>
      <c r="G12">
        <v>3.2499999999999999E-3</v>
      </c>
      <c r="L12" t="s">
        <v>7</v>
      </c>
      <c r="M12" t="s">
        <v>7</v>
      </c>
      <c r="N12" t="s">
        <v>8</v>
      </c>
      <c r="P12">
        <f t="shared" ref="P12" si="35">IF(C12=D12,0,((E12-D12)-(C12-E12))/(C12-D12))</f>
        <v>-0.90254237288135586</v>
      </c>
      <c r="Q12">
        <f t="shared" ref="Q12" si="36">F12*P12</f>
        <v>-3171747875.7584743</v>
      </c>
      <c r="R12">
        <f t="shared" ref="R12" si="37">R13+Q12</f>
        <v>-108128872224.51648</v>
      </c>
      <c r="S12">
        <f t="shared" ref="S12" si="38">R12/100000</f>
        <v>-1081288.7222451647</v>
      </c>
      <c r="T12">
        <f t="shared" ref="T12" si="39">S12/1000</f>
        <v>-1081.2887222451648</v>
      </c>
    </row>
    <row r="13" spans="1:20" x14ac:dyDescent="0.25">
      <c r="A13" s="5">
        <v>44580</v>
      </c>
      <c r="B13">
        <v>3.7090000000000001E-3</v>
      </c>
      <c r="C13">
        <v>3.7929999999999999E-3</v>
      </c>
      <c r="D13">
        <v>3.483E-3</v>
      </c>
      <c r="E13">
        <v>3.5100000000000001E-3</v>
      </c>
      <c r="F13">
        <v>3439124073</v>
      </c>
      <c r="G13">
        <v>3.5100000000000001E-3</v>
      </c>
      <c r="L13" t="s">
        <v>7</v>
      </c>
      <c r="M13" t="s">
        <v>7</v>
      </c>
      <c r="N13" t="s">
        <v>8</v>
      </c>
      <c r="P13">
        <f t="shared" ref="P13" si="40">IF(C13=D13,0,((E13-D13)-(C13-E13))/(C13-D13))</f>
        <v>-0.82580645161290245</v>
      </c>
      <c r="Q13">
        <f t="shared" ref="Q13" si="41">F13*P13</f>
        <v>-2840050847.3806424</v>
      </c>
      <c r="R13">
        <f t="shared" ref="R13" si="42">R14+Q13</f>
        <v>-104957124348.75801</v>
      </c>
      <c r="S13">
        <f t="shared" ref="S13" si="43">R13/100000</f>
        <v>-1049571.2434875802</v>
      </c>
      <c r="T13">
        <f t="shared" ref="T13" si="44">S13/1000</f>
        <v>-1049.5712434875802</v>
      </c>
    </row>
    <row r="14" spans="1:20" x14ac:dyDescent="0.25">
      <c r="A14" s="5">
        <v>44579</v>
      </c>
      <c r="B14">
        <v>3.5750000000000001E-3</v>
      </c>
      <c r="C14">
        <v>3.7669999999999999E-3</v>
      </c>
      <c r="D14">
        <v>3.4559999999999999E-3</v>
      </c>
      <c r="E14">
        <v>3.7130000000000002E-3</v>
      </c>
      <c r="F14">
        <v>3151506871</v>
      </c>
      <c r="G14">
        <v>3.7130000000000002E-3</v>
      </c>
      <c r="L14" t="s">
        <v>8</v>
      </c>
      <c r="M14" t="s">
        <v>7</v>
      </c>
      <c r="N14" t="s">
        <v>8</v>
      </c>
      <c r="P14">
        <f t="shared" ref="P14" si="45">IF(C14=D14,0,((E14-D14)-(C14-E14))/(C14-D14))</f>
        <v>0.65273311897106245</v>
      </c>
      <c r="Q14">
        <f t="shared" ref="Q14" si="46">F14*P14</f>
        <v>2057092909.3665638</v>
      </c>
      <c r="R14">
        <f t="shared" ref="R14" si="47">R15+Q14</f>
        <v>-102117073501.37737</v>
      </c>
      <c r="S14">
        <f t="shared" ref="S14" si="48">R14/100000</f>
        <v>-1021170.7350137737</v>
      </c>
      <c r="T14">
        <f t="shared" ref="T14" si="49">S14/1000</f>
        <v>-1021.1707350137737</v>
      </c>
    </row>
    <row r="15" spans="1:20" x14ac:dyDescent="0.25">
      <c r="A15" s="5">
        <v>44578</v>
      </c>
      <c r="B15">
        <v>3.7929999999999999E-3</v>
      </c>
      <c r="C15">
        <v>3.8539999999999998E-3</v>
      </c>
      <c r="D15">
        <v>3.4680000000000002E-3</v>
      </c>
      <c r="E15">
        <v>3.5769999999999999E-3</v>
      </c>
      <c r="F15">
        <v>3647575200</v>
      </c>
      <c r="G15">
        <v>3.5769999999999999E-3</v>
      </c>
      <c r="L15" t="s">
        <v>7</v>
      </c>
      <c r="M15" t="s">
        <v>7</v>
      </c>
      <c r="N15" t="s">
        <v>8</v>
      </c>
      <c r="P15">
        <f t="shared" ref="P15" si="50">IF(C15=D15,0,((E15-D15)-(C15-E15))/(C15-D15))</f>
        <v>-0.43523316062176254</v>
      </c>
      <c r="Q15">
        <f t="shared" ref="Q15" si="51">F15*P15</f>
        <v>-1587545682.9015577</v>
      </c>
      <c r="R15">
        <f t="shared" ref="R15" si="52">R16+Q15</f>
        <v>-104174166410.74393</v>
      </c>
      <c r="S15">
        <f t="shared" ref="S15" si="53">R15/100000</f>
        <v>-1041741.6641074392</v>
      </c>
      <c r="T15">
        <f t="shared" ref="T15" si="54">S15/1000</f>
        <v>-1041.7416641074392</v>
      </c>
    </row>
    <row r="16" spans="1:20" x14ac:dyDescent="0.25">
      <c r="A16" s="5">
        <v>44577</v>
      </c>
      <c r="B16">
        <v>3.7130000000000002E-3</v>
      </c>
      <c r="C16">
        <v>3.8999999999999998E-3</v>
      </c>
      <c r="D16">
        <v>3.6329999999999999E-3</v>
      </c>
      <c r="E16">
        <v>3.7929999999999999E-3</v>
      </c>
      <c r="F16">
        <v>3252605032</v>
      </c>
      <c r="G16">
        <v>3.7929999999999999E-3</v>
      </c>
      <c r="L16" t="s">
        <v>8</v>
      </c>
      <c r="M16" t="s">
        <v>8</v>
      </c>
      <c r="N16" t="s">
        <v>8</v>
      </c>
      <c r="P16">
        <f t="shared" ref="P16" si="55">IF(C16=D16,0,((E16-D16)-(C16-E16))/(C16-D16))</f>
        <v>0.19850187265917649</v>
      </c>
      <c r="Q16">
        <f t="shared" ref="Q16" si="56">F16*P16</f>
        <v>645648189.87266064</v>
      </c>
      <c r="R16">
        <f t="shared" ref="R16" si="57">R17+Q16</f>
        <v>-102586620727.84238</v>
      </c>
      <c r="S16">
        <f t="shared" ref="S16" si="58">R16/100000</f>
        <v>-1025866.2072784237</v>
      </c>
      <c r="T16">
        <f t="shared" ref="T16" si="59">S16/1000</f>
        <v>-1025.8662072784236</v>
      </c>
    </row>
    <row r="17" spans="1:20" x14ac:dyDescent="0.25">
      <c r="A17" s="5">
        <v>44576</v>
      </c>
      <c r="B17">
        <v>3.6649999999999999E-3</v>
      </c>
      <c r="C17">
        <v>3.8249999999999998E-3</v>
      </c>
      <c r="D17">
        <v>3.6459999999999999E-3</v>
      </c>
      <c r="E17">
        <v>3.7130000000000002E-3</v>
      </c>
      <c r="F17">
        <v>3486404664</v>
      </c>
      <c r="G17">
        <v>3.7130000000000002E-3</v>
      </c>
      <c r="L17" t="s">
        <v>7</v>
      </c>
      <c r="M17" t="s">
        <v>8</v>
      </c>
      <c r="N17" t="s">
        <v>8</v>
      </c>
      <c r="P17">
        <f t="shared" ref="P17" si="60">IF(C17=D17,0,((E17-D17)-(C17-E17))/(C17-D17))</f>
        <v>-0.25139664804468992</v>
      </c>
      <c r="Q17">
        <f t="shared" ref="Q17" si="61">F17*P17</f>
        <v>-876470446.25697339</v>
      </c>
      <c r="R17">
        <f t="shared" ref="R17" si="62">R18+Q17</f>
        <v>-103232268917.71504</v>
      </c>
      <c r="S17">
        <f t="shared" ref="S17" si="63">R17/100000</f>
        <v>-1032322.6891771504</v>
      </c>
      <c r="T17">
        <f t="shared" ref="T17" si="64">S17/1000</f>
        <v>-1032.3226891771503</v>
      </c>
    </row>
    <row r="18" spans="1:20" x14ac:dyDescent="0.25">
      <c r="A18" s="5">
        <v>44575</v>
      </c>
      <c r="B18">
        <v>3.7919999999999998E-3</v>
      </c>
      <c r="C18">
        <v>3.8349999999999999E-3</v>
      </c>
      <c r="D18">
        <v>3.5959999999999998E-3</v>
      </c>
      <c r="E18">
        <v>3.6670000000000001E-3</v>
      </c>
      <c r="F18">
        <v>4021893963</v>
      </c>
      <c r="G18">
        <v>3.6670000000000001E-3</v>
      </c>
      <c r="L18" t="s">
        <v>7</v>
      </c>
      <c r="M18" t="s">
        <v>8</v>
      </c>
      <c r="N18" t="s">
        <v>8</v>
      </c>
      <c r="P18">
        <f t="shared" ref="P18" si="65">IF(C18=D18,0,((E18-D18)-(C18-E18))/(C18-D18))</f>
        <v>-0.40585774058577156</v>
      </c>
      <c r="Q18">
        <f t="shared" ref="Q18" si="66">F18*P18</f>
        <v>-1632316796.6987348</v>
      </c>
      <c r="R18">
        <f t="shared" ref="R18" si="67">R19+Q18</f>
        <v>-102355798471.45807</v>
      </c>
      <c r="S18">
        <f t="shared" ref="S18" si="68">R18/100000</f>
        <v>-1023557.9847145807</v>
      </c>
      <c r="T18">
        <f t="shared" ref="T18" si="69">S18/1000</f>
        <v>-1023.5579847145807</v>
      </c>
    </row>
    <row r="19" spans="1:20" x14ac:dyDescent="0.25">
      <c r="A19" s="5">
        <v>44574</v>
      </c>
      <c r="B19">
        <v>3.8310000000000002E-3</v>
      </c>
      <c r="C19">
        <v>4.1549999999999998E-3</v>
      </c>
      <c r="D19">
        <v>3.764E-3</v>
      </c>
      <c r="E19">
        <v>3.7919999999999998E-3</v>
      </c>
      <c r="F19">
        <v>8139812613</v>
      </c>
      <c r="G19">
        <v>3.7919999999999998E-3</v>
      </c>
      <c r="L19" t="s">
        <v>8</v>
      </c>
      <c r="M19" t="s">
        <v>8</v>
      </c>
      <c r="N19" t="s">
        <v>8</v>
      </c>
      <c r="P19">
        <f t="shared" ref="P19" si="70">IF(C19=D19,0,((E19-D19)-(C19-E19))/(C19-D19))</f>
        <v>-0.85677749360613897</v>
      </c>
      <c r="Q19">
        <f t="shared" ref="Q19" si="71">F19*P19</f>
        <v>-6974008248.9897766</v>
      </c>
      <c r="R19">
        <f t="shared" ref="R19" si="72">R20+Q19</f>
        <v>-100723481674.75934</v>
      </c>
      <c r="S19">
        <f t="shared" ref="S19" si="73">R19/100000</f>
        <v>-1007234.8167475933</v>
      </c>
      <c r="T19">
        <f t="shared" ref="T19" si="74">S19/1000</f>
        <v>-1007.2348167475933</v>
      </c>
    </row>
    <row r="20" spans="1:20" x14ac:dyDescent="0.25">
      <c r="A20" s="5">
        <v>44573</v>
      </c>
      <c r="B20">
        <v>3.516E-3</v>
      </c>
      <c r="C20">
        <v>3.9399999999999999E-3</v>
      </c>
      <c r="D20">
        <v>3.4910000000000002E-3</v>
      </c>
      <c r="E20">
        <v>3.8319999999999999E-3</v>
      </c>
      <c r="F20">
        <v>7486962930</v>
      </c>
      <c r="G20">
        <v>3.8319999999999999E-3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0.51893095768374131</v>
      </c>
      <c r="Q20">
        <f t="shared" ref="Q20" si="76">F20*P20</f>
        <v>3885216843.4075699</v>
      </c>
      <c r="R20">
        <f t="shared" ref="R20" si="77">R21+Q20</f>
        <v>-93749473425.769562</v>
      </c>
      <c r="S20">
        <f t="shared" ref="S20" si="78">R20/100000</f>
        <v>-937494.73425769561</v>
      </c>
      <c r="T20">
        <f t="shared" ref="T20" si="79">S20/1000</f>
        <v>-937.49473425769565</v>
      </c>
    </row>
    <row r="21" spans="1:20" x14ac:dyDescent="0.25">
      <c r="A21" s="5">
        <v>44572</v>
      </c>
      <c r="B21">
        <v>3.1099999999999999E-3</v>
      </c>
      <c r="C21">
        <v>3.6800000000000001E-3</v>
      </c>
      <c r="D21">
        <v>3.0370000000000002E-3</v>
      </c>
      <c r="E21">
        <v>3.5140000000000002E-3</v>
      </c>
      <c r="F21">
        <v>7464741667</v>
      </c>
      <c r="G21">
        <v>3.5140000000000002E-3</v>
      </c>
      <c r="L21" t="s">
        <v>8</v>
      </c>
      <c r="M21" t="s">
        <v>8</v>
      </c>
      <c r="N21" t="s">
        <v>7</v>
      </c>
      <c r="P21">
        <f t="shared" ref="P21" si="80">IF(C21=D21,0,((E21-D21)-(C21-E21))/(C21-D21))</f>
        <v>0.48367029548989132</v>
      </c>
      <c r="Q21">
        <f t="shared" ref="Q21" si="81">F21*P21</f>
        <v>3610473807.8335938</v>
      </c>
      <c r="R21">
        <f t="shared" ref="R21" si="82">R22+Q21</f>
        <v>-97634690269.177124</v>
      </c>
      <c r="S21">
        <f t="shared" ref="S21" si="83">R21/100000</f>
        <v>-976346.90269177128</v>
      </c>
      <c r="T21">
        <f t="shared" ref="T21" si="84">S21/1000</f>
        <v>-976.34690269177122</v>
      </c>
    </row>
    <row r="22" spans="1:20" x14ac:dyDescent="0.25">
      <c r="A22" s="5">
        <v>44571</v>
      </c>
      <c r="B22">
        <v>3.2850000000000002E-3</v>
      </c>
      <c r="C22">
        <v>3.3219999999999999E-3</v>
      </c>
      <c r="D22">
        <v>2.9529999999999999E-3</v>
      </c>
      <c r="E22">
        <v>3.1099999999999999E-3</v>
      </c>
      <c r="F22">
        <v>3518229189</v>
      </c>
      <c r="G22">
        <v>3.1099999999999999E-3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-0.14905149051490496</v>
      </c>
      <c r="Q22">
        <f t="shared" ref="Q22" si="86">F22*P22</f>
        <v>-524397304.59349525</v>
      </c>
      <c r="R22">
        <f t="shared" ref="R22" si="87">R23+Q22</f>
        <v>-101245164077.01071</v>
      </c>
      <c r="S22">
        <f t="shared" ref="S22" si="88">R22/100000</f>
        <v>-1012451.6407701072</v>
      </c>
      <c r="T22">
        <f t="shared" ref="T22" si="89">S22/1000</f>
        <v>-1012.4516407701071</v>
      </c>
    </row>
    <row r="23" spans="1:20" x14ac:dyDescent="0.25">
      <c r="A23" s="5">
        <v>44570</v>
      </c>
      <c r="B23">
        <v>3.2269999999999998E-3</v>
      </c>
      <c r="C23">
        <v>3.3570000000000002E-3</v>
      </c>
      <c r="D23">
        <v>3.1340000000000001E-3</v>
      </c>
      <c r="E23">
        <v>3.284E-3</v>
      </c>
      <c r="F23">
        <v>2524566960</v>
      </c>
      <c r="G23">
        <v>3.284E-3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0.3452914798206268</v>
      </c>
      <c r="Q23">
        <f t="shared" ref="Q23" si="91">F23*P23</f>
        <v>871711461.52466118</v>
      </c>
      <c r="R23">
        <f t="shared" ref="R23" si="92">R24+Q23</f>
        <v>-100720766772.41722</v>
      </c>
      <c r="S23">
        <f t="shared" ref="S23" si="93">R23/100000</f>
        <v>-1007207.6677241722</v>
      </c>
      <c r="T23">
        <f t="shared" ref="T23" si="94">S23/1000</f>
        <v>-1007.2076677241722</v>
      </c>
    </row>
    <row r="24" spans="1:20" x14ac:dyDescent="0.25">
      <c r="A24" s="5">
        <v>44569</v>
      </c>
      <c r="B24">
        <v>3.3939999999999999E-3</v>
      </c>
      <c r="C24">
        <v>3.4989999999999999E-3</v>
      </c>
      <c r="D24">
        <v>3.1059999999999998E-3</v>
      </c>
      <c r="E24">
        <v>3.2230000000000002E-3</v>
      </c>
      <c r="F24">
        <v>3506911121</v>
      </c>
      <c r="G24">
        <v>3.2230000000000002E-3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-0.40458015267175412</v>
      </c>
      <c r="Q24">
        <f t="shared" ref="Q24" si="96">F24*P24</f>
        <v>-1418826636.7404523</v>
      </c>
      <c r="R24">
        <f t="shared" ref="R24" si="97">R25+Q24</f>
        <v>-101592478233.94188</v>
      </c>
      <c r="S24">
        <f t="shared" ref="S24" si="98">R24/100000</f>
        <v>-1015924.7823394188</v>
      </c>
      <c r="T24">
        <f t="shared" ref="T24" si="99">S24/1000</f>
        <v>-1015.9247823394188</v>
      </c>
    </row>
    <row r="25" spans="1:20" x14ac:dyDescent="0.25">
      <c r="A25" s="5">
        <v>44568</v>
      </c>
      <c r="B25">
        <v>3.555E-3</v>
      </c>
      <c r="C25">
        <v>3.5729999999999998E-3</v>
      </c>
      <c r="D25">
        <v>3.225E-3</v>
      </c>
      <c r="E25">
        <v>3.3930000000000002E-3</v>
      </c>
      <c r="F25">
        <v>4400200365</v>
      </c>
      <c r="G25">
        <v>3.3930000000000002E-3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-3.4482758620688024E-2</v>
      </c>
      <c r="Q25">
        <f t="shared" ref="Q25" si="101">F25*P25</f>
        <v>-151731047.06895834</v>
      </c>
      <c r="R25">
        <f t="shared" ref="R25" si="102">R26+Q25</f>
        <v>-100173651597.20143</v>
      </c>
      <c r="S25">
        <f t="shared" ref="S25" si="103">R25/100000</f>
        <v>-1001736.5159720143</v>
      </c>
      <c r="T25">
        <f t="shared" ref="T25" si="104">S25/1000</f>
        <v>-1001.7365159720143</v>
      </c>
    </row>
    <row r="26" spans="1:20" x14ac:dyDescent="0.25">
      <c r="A26" s="5">
        <v>44567</v>
      </c>
      <c r="B26">
        <v>3.5409999999999999E-3</v>
      </c>
      <c r="C26">
        <v>3.5980000000000001E-3</v>
      </c>
      <c r="D26">
        <v>3.3739999999999998E-3</v>
      </c>
      <c r="E26">
        <v>3.5560000000000001E-3</v>
      </c>
      <c r="F26">
        <v>3439100808</v>
      </c>
      <c r="G26">
        <v>3.5560000000000001E-3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0.625000000000001</v>
      </c>
      <c r="Q26">
        <f t="shared" ref="Q26" si="106">F26*P26</f>
        <v>2149438005.0000033</v>
      </c>
      <c r="R26">
        <f t="shared" ref="R26" si="107">R27+Q26</f>
        <v>-100021920550.13248</v>
      </c>
      <c r="S26">
        <f t="shared" ref="S26" si="108">R26/100000</f>
        <v>-1000219.2055013247</v>
      </c>
      <c r="T26">
        <f t="shared" ref="T26" si="109">S26/1000</f>
        <v>-1000.2192055013247</v>
      </c>
    </row>
    <row r="27" spans="1:20" x14ac:dyDescent="0.25">
      <c r="A27" s="5">
        <v>44566</v>
      </c>
      <c r="B27">
        <v>3.9280000000000001E-3</v>
      </c>
      <c r="C27">
        <v>4.0940000000000004E-3</v>
      </c>
      <c r="D27">
        <v>3.3E-3</v>
      </c>
      <c r="E27">
        <v>3.5400000000000002E-3</v>
      </c>
      <c r="F27">
        <v>5363917946</v>
      </c>
      <c r="G27">
        <v>3.5400000000000002E-3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-0.39546599496221646</v>
      </c>
      <c r="Q27">
        <f t="shared" ref="Q27" si="111">F27*P27</f>
        <v>-2121247147.4105785</v>
      </c>
      <c r="R27">
        <f t="shared" ref="R27" si="112">R28+Q27</f>
        <v>-102171358555.13248</v>
      </c>
      <c r="S27">
        <f t="shared" ref="S27" si="113">R27/100000</f>
        <v>-1021713.5855513248</v>
      </c>
      <c r="T27">
        <f t="shared" ref="T27" si="114">S27/1000</f>
        <v>-1021.7135855513247</v>
      </c>
    </row>
    <row r="28" spans="1:20" x14ac:dyDescent="0.25">
      <c r="A28" s="5">
        <v>44565</v>
      </c>
      <c r="B28">
        <v>4.0959999999999998E-3</v>
      </c>
      <c r="C28">
        <v>4.1900000000000001E-3</v>
      </c>
      <c r="D28">
        <v>3.9160000000000002E-3</v>
      </c>
      <c r="E28">
        <v>3.9280000000000001E-3</v>
      </c>
      <c r="F28">
        <v>4570448719</v>
      </c>
      <c r="G28">
        <v>3.9280000000000001E-3</v>
      </c>
      <c r="L28" t="s">
        <v>8</v>
      </c>
      <c r="M28" t="s">
        <v>7</v>
      </c>
      <c r="N28" t="s">
        <v>7</v>
      </c>
      <c r="P28">
        <f t="shared" ref="P28" si="115">IF(C28=D28,0,((E28-D28)-(C28-E28))/(C28-D28))</f>
        <v>-0.91240875912408859</v>
      </c>
      <c r="Q28">
        <f t="shared" ref="Q28" si="116">F28*P28</f>
        <v>-4170117444.34307</v>
      </c>
      <c r="R28">
        <f t="shared" ref="R28" si="117">R29+Q28</f>
        <v>-100050111407.72189</v>
      </c>
      <c r="S28">
        <f t="shared" ref="S28" si="118">R28/100000</f>
        <v>-1000501.1140772189</v>
      </c>
      <c r="T28">
        <f t="shared" ref="T28" si="119">S28/1000</f>
        <v>-1000.501114077219</v>
      </c>
    </row>
    <row r="29" spans="1:20" x14ac:dyDescent="0.25">
      <c r="A29" s="5">
        <v>44564</v>
      </c>
      <c r="B29">
        <v>3.9379999999999997E-3</v>
      </c>
      <c r="C29">
        <v>4.1770000000000002E-3</v>
      </c>
      <c r="D29">
        <v>3.8509999999999998E-3</v>
      </c>
      <c r="E29">
        <v>4.1050000000000001E-3</v>
      </c>
      <c r="F29">
        <v>4582931267</v>
      </c>
      <c r="G29">
        <v>4.1050000000000001E-3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0.55828220858895738</v>
      </c>
      <c r="Q29">
        <f t="shared" ref="Q29" si="121">F29*P29</f>
        <v>2558568989.5521488</v>
      </c>
      <c r="R29">
        <f t="shared" ref="R29" si="122">R30+Q29</f>
        <v>-95879993963.37883</v>
      </c>
      <c r="S29">
        <f t="shared" ref="S29" si="123">R29/100000</f>
        <v>-958799.93963378831</v>
      </c>
      <c r="T29">
        <f t="shared" ref="T29" si="124">S29/1000</f>
        <v>-958.79993963378831</v>
      </c>
    </row>
    <row r="30" spans="1:20" x14ac:dyDescent="0.25">
      <c r="A30" s="5">
        <v>44563</v>
      </c>
      <c r="B30">
        <v>4.0140000000000002E-3</v>
      </c>
      <c r="C30">
        <v>4.0210000000000003E-3</v>
      </c>
      <c r="D30">
        <v>3.8800000000000002E-3</v>
      </c>
      <c r="E30">
        <v>3.9370000000000004E-3</v>
      </c>
      <c r="F30">
        <v>2157545749</v>
      </c>
      <c r="G30">
        <v>3.9370000000000004E-3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-0.1914893617021253</v>
      </c>
      <c r="Q30">
        <f t="shared" ref="Q30" si="126">F30*P30</f>
        <v>-413147058.31914383</v>
      </c>
      <c r="R30">
        <f t="shared" ref="R30" si="127">R31+Q30</f>
        <v>-98438562952.930984</v>
      </c>
      <c r="S30">
        <f t="shared" ref="S30" si="128">R30/100000</f>
        <v>-984385.62952930981</v>
      </c>
      <c r="T30">
        <f t="shared" ref="T30" si="129">S30/1000</f>
        <v>-984.38562952930977</v>
      </c>
    </row>
    <row r="31" spans="1:20" x14ac:dyDescent="0.25">
      <c r="A31" s="5">
        <v>44562</v>
      </c>
      <c r="B31">
        <v>3.869E-3</v>
      </c>
      <c r="C31">
        <v>4.032E-3</v>
      </c>
      <c r="D31">
        <v>3.8679999999999999E-3</v>
      </c>
      <c r="E31">
        <v>4.0130000000000001E-3</v>
      </c>
      <c r="F31">
        <v>1681478726</v>
      </c>
      <c r="G31">
        <v>4.0130000000000001E-3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0.76829268292683039</v>
      </c>
      <c r="Q31">
        <f t="shared" ref="Q31" si="131">F31*P31</f>
        <v>1291867801.6829288</v>
      </c>
      <c r="R31">
        <f t="shared" ref="R31" si="132">R32+Q31</f>
        <v>-98025415894.611847</v>
      </c>
      <c r="S31">
        <f t="shared" ref="S31" si="133">R31/100000</f>
        <v>-980254.15894611843</v>
      </c>
      <c r="T31">
        <f t="shared" ref="T31" si="134">S31/1000</f>
        <v>-980.25415894611842</v>
      </c>
    </row>
    <row r="32" spans="1:20" x14ac:dyDescent="0.25">
      <c r="A32" s="5">
        <v>44561</v>
      </c>
      <c r="B32">
        <v>3.9810000000000002E-3</v>
      </c>
      <c r="C32">
        <v>4.0790000000000002E-3</v>
      </c>
      <c r="D32">
        <v>3.7390000000000001E-3</v>
      </c>
      <c r="E32">
        <v>3.8679999999999999E-3</v>
      </c>
      <c r="F32">
        <v>3154063569</v>
      </c>
      <c r="G32">
        <v>3.8679999999999999E-3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-0.24117647058823669</v>
      </c>
      <c r="Q32">
        <f t="shared" ref="Q32" si="136">F32*P32</f>
        <v>-760685919.58235729</v>
      </c>
      <c r="R32">
        <f t="shared" ref="R32" si="137">R33+Q32</f>
        <v>-99317283696.294769</v>
      </c>
      <c r="S32">
        <f t="shared" ref="S32" si="138">R32/100000</f>
        <v>-993172.83696294774</v>
      </c>
      <c r="T32">
        <f t="shared" ref="T32" si="139">S32/1000</f>
        <v>-993.17283696294771</v>
      </c>
    </row>
    <row r="33" spans="1:20" x14ac:dyDescent="0.25">
      <c r="A33" s="5">
        <v>44560</v>
      </c>
      <c r="B33">
        <v>3.9620000000000002E-3</v>
      </c>
      <c r="C33">
        <v>4.0860000000000002E-3</v>
      </c>
      <c r="D33">
        <v>3.8400000000000001E-3</v>
      </c>
      <c r="E33">
        <v>3.9830000000000004E-3</v>
      </c>
      <c r="F33">
        <v>3184818418</v>
      </c>
      <c r="G33">
        <v>3.9830000000000004E-3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0.16260162601626227</v>
      </c>
      <c r="Q33">
        <f t="shared" ref="Q33" si="141">F33*P33</f>
        <v>517856653.33334005</v>
      </c>
      <c r="R33">
        <f t="shared" ref="R33" si="142">R34+Q33</f>
        <v>-98556597776.712418</v>
      </c>
      <c r="S33">
        <f t="shared" ref="S33" si="143">R33/100000</f>
        <v>-985565.97776712419</v>
      </c>
      <c r="T33">
        <f t="shared" ref="T33" si="144">S33/1000</f>
        <v>-985.5659777671242</v>
      </c>
    </row>
    <row r="34" spans="1:20" x14ac:dyDescent="0.25">
      <c r="A34" s="5">
        <v>44559</v>
      </c>
      <c r="B34">
        <v>4.006E-3</v>
      </c>
      <c r="C34">
        <v>4.4120000000000001E-3</v>
      </c>
      <c r="D34">
        <v>3.898E-3</v>
      </c>
      <c r="E34">
        <v>3.9620000000000002E-3</v>
      </c>
      <c r="F34">
        <v>6370277395</v>
      </c>
      <c r="G34">
        <v>3.9620000000000002E-3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-0.75097276264591351</v>
      </c>
      <c r="Q34">
        <f t="shared" ref="Q34" si="146">F34*P34</f>
        <v>-4783904814.1439629</v>
      </c>
      <c r="R34">
        <f t="shared" ref="R34" si="147">R35+Q34</f>
        <v>-99074454430.045761</v>
      </c>
      <c r="S34">
        <f t="shared" ref="S34" si="148">R34/100000</f>
        <v>-990744.54430045758</v>
      </c>
      <c r="T34">
        <f t="shared" ref="T34" si="149">S34/1000</f>
        <v>-990.74454430045762</v>
      </c>
    </row>
    <row r="35" spans="1:20" x14ac:dyDescent="0.25">
      <c r="A35" s="5">
        <v>44558</v>
      </c>
      <c r="B35">
        <v>4.4790000000000003E-3</v>
      </c>
      <c r="C35">
        <v>4.4799999999999996E-3</v>
      </c>
      <c r="D35">
        <v>3.9589999999999998E-3</v>
      </c>
      <c r="E35">
        <v>4.0070000000000001E-3</v>
      </c>
      <c r="F35">
        <v>5823615748</v>
      </c>
      <c r="G35">
        <v>4.0070000000000001E-3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-0.81573896353166864</v>
      </c>
      <c r="Q35">
        <f t="shared" ref="Q35" si="151">F35*P35</f>
        <v>-4750550274.2802229</v>
      </c>
      <c r="R35">
        <f t="shared" ref="R35" si="152">R36+Q35</f>
        <v>-94290549615.901794</v>
      </c>
      <c r="S35">
        <f t="shared" ref="S35" si="153">R35/100000</f>
        <v>-942905.4961590179</v>
      </c>
      <c r="T35">
        <f t="shared" ref="T35" si="154">S35/1000</f>
        <v>-942.90549615901796</v>
      </c>
    </row>
    <row r="36" spans="1:20" x14ac:dyDescent="0.25">
      <c r="A36" s="5">
        <v>44557</v>
      </c>
      <c r="B36">
        <v>4.6750000000000003E-3</v>
      </c>
      <c r="C36">
        <v>4.797E-3</v>
      </c>
      <c r="D36">
        <v>4.4549999999999998E-3</v>
      </c>
      <c r="E36">
        <v>4.4799999999999996E-3</v>
      </c>
      <c r="F36">
        <v>3506171023</v>
      </c>
      <c r="G36">
        <v>4.4799999999999996E-3</v>
      </c>
      <c r="L36" t="s">
        <v>7</v>
      </c>
      <c r="M36" t="s">
        <v>7</v>
      </c>
      <c r="N36" t="s">
        <v>8</v>
      </c>
      <c r="P36">
        <f t="shared" ref="P36" si="155">IF(C36=D36,0,((E36-D36)-(C36-E36))/(C36-D36))</f>
        <v>-0.85380116959064434</v>
      </c>
      <c r="Q36">
        <f t="shared" ref="Q36" si="156">F36*P36</f>
        <v>-2993572920.2222261</v>
      </c>
      <c r="R36">
        <f t="shared" ref="R36" si="157">R37+Q36</f>
        <v>-89539999341.621567</v>
      </c>
      <c r="S36">
        <f t="shared" ref="S36" si="158">R36/100000</f>
        <v>-895399.99341621564</v>
      </c>
      <c r="T36">
        <f t="shared" ref="T36" si="159">S36/1000</f>
        <v>-895.39999341621569</v>
      </c>
    </row>
    <row r="37" spans="1:20" x14ac:dyDescent="0.25">
      <c r="A37" s="5">
        <v>44556</v>
      </c>
      <c r="B37">
        <v>4.5519999999999996E-3</v>
      </c>
      <c r="C37">
        <v>4.8599999999999997E-3</v>
      </c>
      <c r="D37">
        <v>4.4289999999999998E-3</v>
      </c>
      <c r="E37">
        <v>4.6740000000000002E-3</v>
      </c>
      <c r="F37">
        <v>5239710641</v>
      </c>
      <c r="G37">
        <v>4.6740000000000002E-3</v>
      </c>
      <c r="L37" t="s">
        <v>8</v>
      </c>
      <c r="M37" t="s">
        <v>7</v>
      </c>
      <c r="N37" t="s">
        <v>8</v>
      </c>
      <c r="P37">
        <f t="shared" ref="P37" si="160">IF(C37=D37,0,((E37-D37)-(C37-E37))/(C37-D37))</f>
        <v>0.13689095127610418</v>
      </c>
      <c r="Q37">
        <f t="shared" ref="Q37" si="161">F37*P37</f>
        <v>717268974.05801558</v>
      </c>
      <c r="R37">
        <f t="shared" ref="R37" si="162">R38+Q37</f>
        <v>-86546426421.399338</v>
      </c>
      <c r="S37">
        <f t="shared" ref="S37" si="163">R37/100000</f>
        <v>-865464.26421399333</v>
      </c>
      <c r="T37">
        <f t="shared" ref="T37" si="164">S37/1000</f>
        <v>-865.46426421399337</v>
      </c>
    </row>
    <row r="38" spans="1:20" x14ac:dyDescent="0.25">
      <c r="A38" s="5">
        <v>44555</v>
      </c>
      <c r="B38">
        <v>4.4050000000000001E-3</v>
      </c>
      <c r="C38">
        <v>4.6730000000000001E-3</v>
      </c>
      <c r="D38">
        <v>4.3759999999999997E-3</v>
      </c>
      <c r="E38">
        <v>4.5500000000000002E-3</v>
      </c>
      <c r="F38">
        <v>5179375107</v>
      </c>
      <c r="G38">
        <v>4.5500000000000002E-3</v>
      </c>
      <c r="L38" t="s">
        <v>7</v>
      </c>
      <c r="M38" t="s">
        <v>7</v>
      </c>
      <c r="N38" t="s">
        <v>8</v>
      </c>
      <c r="P38">
        <f t="shared" ref="P38" si="165">IF(C38=D38,0,((E38-D38)-(C38-E38))/(C38-D38))</f>
        <v>0.17171717171717385</v>
      </c>
      <c r="Q38">
        <f t="shared" ref="Q38" si="166">F38*P38</f>
        <v>889387644.63637471</v>
      </c>
      <c r="R38">
        <f t="shared" ref="R38" si="167">R39+Q38</f>
        <v>-87263695395.457352</v>
      </c>
      <c r="S38">
        <f t="shared" ref="S38" si="168">R38/100000</f>
        <v>-872636.95395457349</v>
      </c>
      <c r="T38">
        <f t="shared" ref="T38" si="169">S38/1000</f>
        <v>-872.63695395457353</v>
      </c>
    </row>
    <row r="39" spans="1:20" x14ac:dyDescent="0.25">
      <c r="A39" s="5">
        <v>44554</v>
      </c>
      <c r="B39">
        <v>3.993E-3</v>
      </c>
      <c r="C39">
        <v>5.4999999999999997E-3</v>
      </c>
      <c r="D39">
        <v>3.9379999999999997E-3</v>
      </c>
      <c r="E39">
        <v>4.4079999999999996E-3</v>
      </c>
      <c r="F39">
        <v>21278620005</v>
      </c>
      <c r="G39">
        <v>4.4079999999999996E-3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-0.39820742637644058</v>
      </c>
      <c r="Q39">
        <f t="shared" ref="Q39" si="171">F39*P39</f>
        <v>-8473304509.0332928</v>
      </c>
      <c r="R39">
        <f t="shared" ref="R39" si="172">R40+Q39</f>
        <v>-88153083040.093719</v>
      </c>
      <c r="S39">
        <f t="shared" ref="S39" si="173">R39/100000</f>
        <v>-881530.83040093724</v>
      </c>
      <c r="T39">
        <f t="shared" ref="T39" si="174">S39/1000</f>
        <v>-881.53083040093725</v>
      </c>
    </row>
    <row r="40" spans="1:20" x14ac:dyDescent="0.25">
      <c r="A40" s="5">
        <v>44553</v>
      </c>
      <c r="B40">
        <v>3.5530000000000002E-3</v>
      </c>
      <c r="C40">
        <v>4.0460000000000001E-3</v>
      </c>
      <c r="D40">
        <v>3.4619999999999998E-3</v>
      </c>
      <c r="E40">
        <v>3.9909999999999998E-3</v>
      </c>
      <c r="F40">
        <v>5665971717</v>
      </c>
      <c r="G40">
        <v>3.9909999999999998E-3</v>
      </c>
      <c r="L40" t="s">
        <v>8</v>
      </c>
      <c r="M40" t="s">
        <v>8</v>
      </c>
      <c r="N40" t="s">
        <v>8</v>
      </c>
      <c r="P40">
        <f t="shared" ref="P40" si="175">IF(C40=D40,0,((E40-D40)-(C40-E40))/(C40-D40))</f>
        <v>0.81164383561643727</v>
      </c>
      <c r="Q40">
        <f t="shared" ref="Q40" si="176">F40*P40</f>
        <v>4598751016.8801308</v>
      </c>
      <c r="R40">
        <f t="shared" ref="R40" si="177">R41+Q40</f>
        <v>-79679778531.060425</v>
      </c>
      <c r="S40">
        <f t="shared" ref="S40" si="178">R40/100000</f>
        <v>-796797.78531060426</v>
      </c>
      <c r="T40">
        <f t="shared" ref="T40" si="179">S40/1000</f>
        <v>-796.79778531060424</v>
      </c>
    </row>
    <row r="41" spans="1:20" x14ac:dyDescent="0.25">
      <c r="A41" s="5">
        <v>44552</v>
      </c>
      <c r="B41">
        <v>3.424E-3</v>
      </c>
      <c r="C41">
        <v>3.669E-3</v>
      </c>
      <c r="D41">
        <v>3.4190000000000002E-3</v>
      </c>
      <c r="E41">
        <v>3.5530000000000002E-3</v>
      </c>
      <c r="F41">
        <v>4184062264</v>
      </c>
      <c r="G41">
        <v>3.5530000000000002E-3</v>
      </c>
      <c r="L41" t="s">
        <v>8</v>
      </c>
      <c r="M41" t="s">
        <v>8</v>
      </c>
      <c r="N41" t="s">
        <v>8</v>
      </c>
      <c r="P41">
        <f t="shared" ref="P41" si="180">IF(C41=D41,0,((E41-D41)-(C41-E41))/(C41-D41))</f>
        <v>7.2000000000000938E-2</v>
      </c>
      <c r="Q41">
        <f t="shared" ref="Q41" si="181">F41*P41</f>
        <v>301252483.00800395</v>
      </c>
      <c r="R41">
        <f t="shared" ref="R41" si="182">R42+Q41</f>
        <v>-84278529547.940552</v>
      </c>
      <c r="S41">
        <f t="shared" ref="S41" si="183">R41/100000</f>
        <v>-842785.29547940555</v>
      </c>
      <c r="T41">
        <f t="shared" ref="T41" si="184">S41/1000</f>
        <v>-842.78529547940559</v>
      </c>
    </row>
    <row r="42" spans="1:20" x14ac:dyDescent="0.25">
      <c r="A42" s="5">
        <v>44551</v>
      </c>
      <c r="B42">
        <v>3.2169999999999998E-3</v>
      </c>
      <c r="C42">
        <v>3.4979999999999998E-3</v>
      </c>
      <c r="D42">
        <v>3.1649999999999998E-3</v>
      </c>
      <c r="E42">
        <v>3.424E-3</v>
      </c>
      <c r="F42">
        <v>4437046983</v>
      </c>
      <c r="G42">
        <v>3.424E-3</v>
      </c>
      <c r="L42" t="s">
        <v>8</v>
      </c>
      <c r="M42" t="s">
        <v>8</v>
      </c>
      <c r="N42" t="s">
        <v>8</v>
      </c>
      <c r="P42">
        <f t="shared" ref="P42" si="185">IF(C42=D42,0,((E42-D42)-(C42-E42))/(C42-D42))</f>
        <v>0.55555555555555647</v>
      </c>
      <c r="Q42">
        <f t="shared" ref="Q42" si="186">F42*P42</f>
        <v>2465026101.6666708</v>
      </c>
      <c r="R42">
        <f t="shared" ref="R42" si="187">R43+Q42</f>
        <v>-84579782030.948563</v>
      </c>
      <c r="S42">
        <f t="shared" ref="S42" si="188">R42/100000</f>
        <v>-845797.82030948566</v>
      </c>
      <c r="T42">
        <f t="shared" ref="T42" si="189">S42/1000</f>
        <v>-845.7978203094857</v>
      </c>
    </row>
    <row r="43" spans="1:20" x14ac:dyDescent="0.25">
      <c r="A43" s="5">
        <v>44550</v>
      </c>
      <c r="B43">
        <v>3.222E-3</v>
      </c>
      <c r="C43">
        <v>3.3E-3</v>
      </c>
      <c r="D43">
        <v>3.0070000000000001E-3</v>
      </c>
      <c r="E43">
        <v>3.2139999999999998E-3</v>
      </c>
      <c r="F43">
        <v>4805813405</v>
      </c>
      <c r="G43">
        <v>3.2139999999999998E-3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0.41296928327644927</v>
      </c>
      <c r="Q43">
        <f t="shared" ref="Q43" si="191">F43*P43</f>
        <v>1984653317.4232023</v>
      </c>
      <c r="R43">
        <f t="shared" ref="R43" si="192">R44+Q43</f>
        <v>-87044808132.615234</v>
      </c>
      <c r="S43">
        <f t="shared" ref="S43" si="193">R43/100000</f>
        <v>-870448.08132615231</v>
      </c>
      <c r="T43">
        <f t="shared" ref="T43" si="194">S43/1000</f>
        <v>-870.44808132615231</v>
      </c>
    </row>
    <row r="44" spans="1:20" x14ac:dyDescent="0.25">
      <c r="A44" s="5">
        <v>44549</v>
      </c>
      <c r="B44">
        <v>3.2780000000000001E-3</v>
      </c>
      <c r="C44">
        <v>3.3449999999999999E-3</v>
      </c>
      <c r="D44">
        <v>3.186E-3</v>
      </c>
      <c r="E44">
        <v>3.222E-3</v>
      </c>
      <c r="F44">
        <v>3000268339</v>
      </c>
      <c r="G44">
        <v>3.222E-3</v>
      </c>
      <c r="L44" t="s">
        <v>7</v>
      </c>
      <c r="M44" t="s">
        <v>7</v>
      </c>
      <c r="N44" t="s">
        <v>8</v>
      </c>
      <c r="P44">
        <f t="shared" ref="P44" si="195">IF(C44=D44,0,((E44-D44)-(C44-E44))/(C44-D44))</f>
        <v>-0.54716981132075415</v>
      </c>
      <c r="Q44">
        <f t="shared" ref="Q44" si="196">F44*P44</f>
        <v>-1641656260.9622624</v>
      </c>
      <c r="R44">
        <f t="shared" ref="R44" si="197">R45+Q44</f>
        <v>-89029461450.038437</v>
      </c>
      <c r="S44">
        <f t="shared" ref="S44" si="198">R44/100000</f>
        <v>-890294.61450038431</v>
      </c>
      <c r="T44">
        <f t="shared" ref="T44" si="199">S44/1000</f>
        <v>-890.29461450038434</v>
      </c>
    </row>
    <row r="45" spans="1:20" x14ac:dyDescent="0.25">
      <c r="A45" s="5">
        <v>44548</v>
      </c>
      <c r="B45">
        <v>3.2160000000000001E-3</v>
      </c>
      <c r="C45">
        <v>3.346E-3</v>
      </c>
      <c r="D45">
        <v>3.166E-3</v>
      </c>
      <c r="E45">
        <v>3.2780000000000001E-3</v>
      </c>
      <c r="F45">
        <v>2411113408</v>
      </c>
      <c r="G45">
        <v>3.2780000000000001E-3</v>
      </c>
      <c r="L45" t="s">
        <v>7</v>
      </c>
      <c r="M45" t="s">
        <v>7</v>
      </c>
      <c r="N45" t="s">
        <v>8</v>
      </c>
      <c r="P45">
        <f t="shared" ref="P45" si="200">IF(C45=D45,0,((E45-D45)-(C45-E45))/(C45-D45))</f>
        <v>0.24444444444444552</v>
      </c>
      <c r="Q45">
        <f t="shared" ref="Q45" si="201">F45*P45</f>
        <v>589383277.51111364</v>
      </c>
      <c r="R45">
        <f t="shared" ref="R45" si="202">R46+Q45</f>
        <v>-87387805189.076172</v>
      </c>
      <c r="S45">
        <f t="shared" ref="S45" si="203">R45/100000</f>
        <v>-873878.05189076171</v>
      </c>
      <c r="T45">
        <f t="shared" ref="T45" si="204">S45/1000</f>
        <v>-873.87805189076175</v>
      </c>
    </row>
    <row r="46" spans="1:20" x14ac:dyDescent="0.25">
      <c r="A46" s="5">
        <v>44547</v>
      </c>
      <c r="B46">
        <v>3.3609999999999998E-3</v>
      </c>
      <c r="C46">
        <v>3.4220000000000001E-3</v>
      </c>
      <c r="D46">
        <v>3.1519999999999999E-3</v>
      </c>
      <c r="E46">
        <v>3.215E-3</v>
      </c>
      <c r="F46">
        <v>4134256518</v>
      </c>
      <c r="G46">
        <v>3.215E-3</v>
      </c>
      <c r="L46" t="s">
        <v>7</v>
      </c>
      <c r="M46" t="s">
        <v>7</v>
      </c>
      <c r="N46" t="s">
        <v>8</v>
      </c>
      <c r="P46">
        <f t="shared" ref="P46" si="205">IF(C46=D46,0,((E46-D46)-(C46-E46))/(C46-D46))</f>
        <v>-0.53333333333333288</v>
      </c>
      <c r="Q46">
        <f t="shared" ref="Q46" si="206">F46*P46</f>
        <v>-2204936809.599998</v>
      </c>
      <c r="R46">
        <f t="shared" ref="R46" si="207">R47+Q46</f>
        <v>-87977188466.58728</v>
      </c>
      <c r="S46">
        <f t="shared" ref="S46" si="208">R46/100000</f>
        <v>-879771.88466587279</v>
      </c>
      <c r="T46">
        <f t="shared" ref="T46" si="209">S46/1000</f>
        <v>-879.77188466587279</v>
      </c>
    </row>
    <row r="47" spans="1:20" x14ac:dyDescent="0.25">
      <c r="A47" s="5">
        <v>44546</v>
      </c>
      <c r="B47">
        <v>3.5070000000000001E-3</v>
      </c>
      <c r="C47">
        <v>3.673E-3</v>
      </c>
      <c r="D47">
        <v>3.3530000000000001E-3</v>
      </c>
      <c r="E47">
        <v>3.3630000000000001E-3</v>
      </c>
      <c r="F47">
        <v>4657892157</v>
      </c>
      <c r="G47">
        <v>3.3630000000000001E-3</v>
      </c>
      <c r="L47" t="s">
        <v>8</v>
      </c>
      <c r="M47" t="s">
        <v>8</v>
      </c>
      <c r="N47" t="s">
        <v>8</v>
      </c>
      <c r="P47">
        <f t="shared" ref="P47" si="210">IF(C47=D47,0,((E47-D47)-(C47-E47))/(C47-D47))</f>
        <v>-0.93749999999999978</v>
      </c>
      <c r="Q47">
        <f t="shared" ref="Q47" si="211">F47*P47</f>
        <v>-4366773897.187499</v>
      </c>
      <c r="R47">
        <f t="shared" ref="R47" si="212">R48+Q47</f>
        <v>-85772251656.987289</v>
      </c>
      <c r="S47">
        <f t="shared" ref="S47" si="213">R47/100000</f>
        <v>-857722.51656987285</v>
      </c>
      <c r="T47">
        <f t="shared" ref="T47" si="214">S47/1000</f>
        <v>-857.72251656987282</v>
      </c>
    </row>
    <row r="48" spans="1:20" x14ac:dyDescent="0.25">
      <c r="A48" s="5">
        <v>44545</v>
      </c>
      <c r="B48">
        <v>3.3440000000000002E-3</v>
      </c>
      <c r="C48">
        <v>3.581E-3</v>
      </c>
      <c r="D48">
        <v>3.1700000000000001E-3</v>
      </c>
      <c r="E48">
        <v>3.5070000000000001E-3</v>
      </c>
      <c r="F48">
        <v>7699690848</v>
      </c>
      <c r="G48">
        <v>3.5070000000000001E-3</v>
      </c>
      <c r="L48" t="s">
        <v>8</v>
      </c>
      <c r="M48" t="s">
        <v>7</v>
      </c>
      <c r="N48" t="s">
        <v>8</v>
      </c>
      <c r="P48">
        <f t="shared" ref="P48" si="215">IF(C48=D48,0,((E48-D48)-(C48-E48))/(C48-D48))</f>
        <v>0.63990267639902743</v>
      </c>
      <c r="Q48">
        <f t="shared" ref="Q48" si="216">F48*P48</f>
        <v>4927052781.0802975</v>
      </c>
      <c r="R48">
        <f t="shared" ref="R48" si="217">R49+Q48</f>
        <v>-81405477759.799789</v>
      </c>
      <c r="S48">
        <f t="shared" ref="S48" si="218">R48/100000</f>
        <v>-814054.77759799792</v>
      </c>
      <c r="T48">
        <f t="shared" ref="T48" si="219">S48/1000</f>
        <v>-814.05477759799794</v>
      </c>
    </row>
    <row r="49" spans="1:20" x14ac:dyDescent="0.25">
      <c r="A49" s="5">
        <v>44544</v>
      </c>
      <c r="B49">
        <v>3.2169999999999998E-3</v>
      </c>
      <c r="C49">
        <v>3.4009999999999999E-3</v>
      </c>
      <c r="D49">
        <v>3.1549999999999998E-3</v>
      </c>
      <c r="E49">
        <v>3.3479999999999998E-3</v>
      </c>
      <c r="F49">
        <v>4453119760</v>
      </c>
      <c r="G49">
        <v>3.3479999999999998E-3</v>
      </c>
      <c r="L49" t="s">
        <v>7</v>
      </c>
      <c r="M49" t="s">
        <v>7</v>
      </c>
      <c r="N49" t="s">
        <v>8</v>
      </c>
      <c r="P49">
        <f t="shared" ref="P49" si="220">IF(C49=D49,0,((E49-D49)-(C49-E49))/(C49-D49))</f>
        <v>0.56910569105691</v>
      </c>
      <c r="Q49">
        <f t="shared" ref="Q49" si="221">F49*P49</f>
        <v>2534295798.373981</v>
      </c>
      <c r="R49">
        <f t="shared" ref="R49" si="222">R50+Q49</f>
        <v>-86332530540.880081</v>
      </c>
      <c r="S49">
        <f t="shared" ref="S49" si="223">R49/100000</f>
        <v>-863325.30540880084</v>
      </c>
      <c r="T49">
        <f t="shared" ref="T49" si="224">S49/1000</f>
        <v>-863.32530540880089</v>
      </c>
    </row>
    <row r="50" spans="1:20" x14ac:dyDescent="0.25">
      <c r="A50" s="5">
        <v>44543</v>
      </c>
      <c r="B50">
        <v>3.6480000000000002E-3</v>
      </c>
      <c r="C50">
        <v>3.7269999999999998E-3</v>
      </c>
      <c r="D50">
        <v>3.1510000000000002E-3</v>
      </c>
      <c r="E50">
        <v>3.2179999999999999E-3</v>
      </c>
      <c r="F50">
        <v>4701243151</v>
      </c>
      <c r="G50">
        <v>3.2179999999999999E-3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-0.76736111111111172</v>
      </c>
      <c r="Q50">
        <f t="shared" ref="Q50" si="226">F50*P50</f>
        <v>-3607551167.954864</v>
      </c>
      <c r="R50">
        <f t="shared" ref="R50" si="227">R51+Q50</f>
        <v>-88866826339.254059</v>
      </c>
      <c r="S50">
        <f t="shared" ref="S50" si="228">R50/100000</f>
        <v>-888668.26339254063</v>
      </c>
      <c r="T50">
        <f t="shared" ref="T50" si="229">S50/1000</f>
        <v>-888.66826339254067</v>
      </c>
    </row>
    <row r="51" spans="1:20" x14ac:dyDescent="0.25">
      <c r="A51" s="5">
        <v>44542</v>
      </c>
      <c r="B51">
        <v>3.6800000000000001E-3</v>
      </c>
      <c r="C51">
        <v>3.7190000000000001E-3</v>
      </c>
      <c r="D51">
        <v>3.5249999999999999E-3</v>
      </c>
      <c r="E51">
        <v>3.6510000000000002E-3</v>
      </c>
      <c r="F51">
        <v>2961958717</v>
      </c>
      <c r="G51">
        <v>3.6510000000000002E-3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0.29896907216494989</v>
      </c>
      <c r="Q51">
        <f t="shared" ref="Q51" si="231">F51*P51</f>
        <v>885534049.41237533</v>
      </c>
      <c r="R51">
        <f t="shared" ref="R51" si="232">R52+Q51</f>
        <v>-85259275171.299194</v>
      </c>
      <c r="S51">
        <f t="shared" ref="S51" si="233">R51/100000</f>
        <v>-852592.75171299197</v>
      </c>
      <c r="T51">
        <f t="shared" ref="T51" si="234">S51/1000</f>
        <v>-852.59275171299203</v>
      </c>
    </row>
    <row r="52" spans="1:20" x14ac:dyDescent="0.25">
      <c r="A52" s="5">
        <v>44541</v>
      </c>
      <c r="B52">
        <v>3.519E-3</v>
      </c>
      <c r="C52">
        <v>3.5590000000000001E-3</v>
      </c>
      <c r="D52">
        <v>3.431E-3</v>
      </c>
      <c r="E52">
        <v>3.5300000000000002E-3</v>
      </c>
      <c r="F52">
        <v>303198848</v>
      </c>
      <c r="G52">
        <v>3.5300000000000002E-3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0.54687500000000111</v>
      </c>
      <c r="Q52">
        <f t="shared" ref="Q52" si="236">F52*P52</f>
        <v>165811870.00000033</v>
      </c>
      <c r="R52">
        <f t="shared" ref="R52" si="237">R53+Q52</f>
        <v>-86144809220.711563</v>
      </c>
      <c r="S52">
        <f t="shared" ref="S52" si="238">R52/100000</f>
        <v>-861448.09220711561</v>
      </c>
      <c r="T52">
        <f t="shared" ref="T52" si="239">S52/1000</f>
        <v>-861.44809220711556</v>
      </c>
    </row>
    <row r="53" spans="1:20" x14ac:dyDescent="0.25">
      <c r="A53" s="5">
        <v>44540</v>
      </c>
      <c r="B53">
        <v>3.5999999999999999E-3</v>
      </c>
      <c r="C53">
        <v>3.8110000000000002E-3</v>
      </c>
      <c r="D53">
        <v>3.4949999999999998E-3</v>
      </c>
      <c r="E53">
        <v>3.5209999999999998E-3</v>
      </c>
      <c r="F53">
        <v>4177849502</v>
      </c>
      <c r="G53">
        <v>3.5209999999999998E-3</v>
      </c>
      <c r="L53" t="s">
        <v>7</v>
      </c>
      <c r="M53" t="s">
        <v>8</v>
      </c>
      <c r="N53" t="s">
        <v>8</v>
      </c>
      <c r="P53">
        <f t="shared" ref="P53" si="240">IF(C53=D53,0,((E53-D53)-(C53-E53))/(C53-D53))</f>
        <v>-0.83544303797468378</v>
      </c>
      <c r="Q53">
        <f t="shared" ref="Q53" si="241">F53*P53</f>
        <v>-3490355280.1518998</v>
      </c>
      <c r="R53">
        <f t="shared" ref="R53" si="242">R54+Q53</f>
        <v>-86310621090.711563</v>
      </c>
      <c r="S53">
        <f t="shared" ref="S53" si="243">R53/100000</f>
        <v>-863106.2109071156</v>
      </c>
      <c r="T53">
        <f t="shared" ref="T53" si="244">S53/1000</f>
        <v>-863.10621090711561</v>
      </c>
    </row>
    <row r="54" spans="1:20" x14ac:dyDescent="0.25">
      <c r="A54" s="5">
        <v>44539</v>
      </c>
      <c r="B54">
        <v>4.0470000000000002E-3</v>
      </c>
      <c r="C54">
        <v>4.0800000000000003E-3</v>
      </c>
      <c r="D54">
        <v>3.5799999999999998E-3</v>
      </c>
      <c r="E54">
        <v>3.5999999999999999E-3</v>
      </c>
      <c r="F54">
        <v>4918794302</v>
      </c>
      <c r="G54">
        <v>3.5999999999999999E-3</v>
      </c>
      <c r="L54" t="s">
        <v>7</v>
      </c>
      <c r="M54" t="s">
        <v>8</v>
      </c>
      <c r="N54" t="s">
        <v>8</v>
      </c>
      <c r="P54">
        <f t="shared" ref="P54" si="245">IF(C54=D54,0,((E54-D54)-(C54-E54))/(C54-D54))</f>
        <v>-0.91999999999999982</v>
      </c>
      <c r="Q54">
        <f t="shared" ref="Q54" si="246">F54*P54</f>
        <v>-4525290757.8399992</v>
      </c>
      <c r="R54">
        <f t="shared" ref="R54" si="247">R55+Q54</f>
        <v>-82820265810.559662</v>
      </c>
      <c r="S54">
        <f t="shared" ref="S54" si="248">R54/100000</f>
        <v>-828202.65810559667</v>
      </c>
      <c r="T54">
        <f t="shared" ref="T54" si="249">S54/1000</f>
        <v>-828.2026581055967</v>
      </c>
    </row>
    <row r="55" spans="1:20" x14ac:dyDescent="0.25">
      <c r="A55" s="5">
        <v>44538</v>
      </c>
      <c r="B55">
        <v>3.9560000000000003E-3</v>
      </c>
      <c r="C55">
        <v>4.117E-3</v>
      </c>
      <c r="D55">
        <v>3.754E-3</v>
      </c>
      <c r="E55">
        <v>4.0439999999999999E-3</v>
      </c>
      <c r="F55">
        <v>5439790848</v>
      </c>
      <c r="G55">
        <v>4.0439999999999999E-3</v>
      </c>
      <c r="L55" t="s">
        <v>7</v>
      </c>
      <c r="M55" t="s">
        <v>8</v>
      </c>
      <c r="N55" t="s">
        <v>8</v>
      </c>
      <c r="P55">
        <f t="shared" ref="P55" si="250">IF(C55=D55,0,((E55-D55)-(C55-E55))/(C55-D55))</f>
        <v>0.59779614325068797</v>
      </c>
      <c r="Q55">
        <f t="shared" ref="Q55" si="251">F55*P55</f>
        <v>3251885989.0247893</v>
      </c>
      <c r="R55">
        <f t="shared" ref="R55" si="252">R56+Q55</f>
        <v>-78294975052.719666</v>
      </c>
      <c r="S55">
        <f t="shared" ref="S55" si="253">R55/100000</f>
        <v>-782949.75052719668</v>
      </c>
      <c r="T55">
        <f t="shared" ref="T55" si="254">S55/1000</f>
        <v>-782.94975052719667</v>
      </c>
    </row>
    <row r="56" spans="1:20" x14ac:dyDescent="0.25">
      <c r="A56" s="5">
        <v>44537</v>
      </c>
      <c r="B56">
        <v>3.9319999999999997E-3</v>
      </c>
      <c r="C56">
        <v>4.2290000000000001E-3</v>
      </c>
      <c r="D56">
        <v>3.8579999999999999E-3</v>
      </c>
      <c r="E56">
        <v>3.954E-3</v>
      </c>
      <c r="F56">
        <v>6066639964</v>
      </c>
      <c r="G56">
        <v>3.954E-3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-0.48247978436657624</v>
      </c>
      <c r="Q56">
        <f t="shared" ref="Q56" si="256">F56*P56</f>
        <v>-2927031141.6603737</v>
      </c>
      <c r="R56">
        <f t="shared" ref="R56" si="257">R57+Q56</f>
        <v>-81546861041.744461</v>
      </c>
      <c r="S56">
        <f t="shared" ref="S56" si="258">R56/100000</f>
        <v>-815468.61041744461</v>
      </c>
      <c r="T56">
        <f t="shared" ref="T56" si="259">S56/1000</f>
        <v>-815.46861041744455</v>
      </c>
    </row>
    <row r="57" spans="1:20" x14ac:dyDescent="0.25">
      <c r="A57" s="5">
        <v>44536</v>
      </c>
      <c r="B57">
        <v>3.7810000000000001E-3</v>
      </c>
      <c r="C57">
        <v>4.2550000000000001E-3</v>
      </c>
      <c r="D57">
        <v>3.339E-3</v>
      </c>
      <c r="E57">
        <v>3.934E-3</v>
      </c>
      <c r="F57">
        <v>11506471201</v>
      </c>
      <c r="G57">
        <v>3.934E-3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0.29912663755458502</v>
      </c>
      <c r="Q57">
        <f t="shared" ref="Q57" si="261">F57*P57</f>
        <v>3441892040.4737978</v>
      </c>
      <c r="R57">
        <f t="shared" ref="R57" si="262">R58+Q57</f>
        <v>-78619829900.084091</v>
      </c>
      <c r="S57">
        <f t="shared" ref="S57" si="263">R57/100000</f>
        <v>-786198.29900084087</v>
      </c>
      <c r="T57">
        <f t="shared" ref="T57" si="264">S57/1000</f>
        <v>-786.19829900084085</v>
      </c>
    </row>
    <row r="58" spans="1:20" x14ac:dyDescent="0.25">
      <c r="A58" s="5">
        <v>44535</v>
      </c>
      <c r="B58">
        <v>4.1619999999999999E-3</v>
      </c>
      <c r="C58">
        <v>4.2989999999999999E-3</v>
      </c>
      <c r="D58">
        <v>3.581E-3</v>
      </c>
      <c r="E58">
        <v>3.784E-3</v>
      </c>
      <c r="F58">
        <v>6372883390</v>
      </c>
      <c r="G58">
        <v>3.784E-3</v>
      </c>
      <c r="L58" t="s">
        <v>7</v>
      </c>
      <c r="M58" t="s">
        <v>7</v>
      </c>
      <c r="N58" t="s">
        <v>8</v>
      </c>
      <c r="P58">
        <f t="shared" ref="P58" si="265">IF(C58=D58,0,((E58-D58)-(C58-E58))/(C58-D58))</f>
        <v>-0.43454038997214461</v>
      </c>
      <c r="Q58">
        <f t="shared" ref="Q58" si="266">F58*P58</f>
        <v>-2769275233.5376029</v>
      </c>
      <c r="R58">
        <f t="shared" ref="R58" si="267">R59+Q58</f>
        <v>-82061721940.557892</v>
      </c>
      <c r="S58">
        <f t="shared" ref="S58" si="268">R58/100000</f>
        <v>-820617.21940557892</v>
      </c>
      <c r="T58">
        <f t="shared" ref="T58" si="269">S58/1000</f>
        <v>-820.61721940557891</v>
      </c>
    </row>
    <row r="59" spans="1:20" x14ac:dyDescent="0.25">
      <c r="A59" s="5">
        <v>44534</v>
      </c>
      <c r="B59">
        <v>5.3150000000000003E-3</v>
      </c>
      <c r="C59">
        <v>5.509E-3</v>
      </c>
      <c r="D59">
        <v>2.9719999999999998E-3</v>
      </c>
      <c r="E59">
        <v>4.1679999999999998E-3</v>
      </c>
      <c r="F59">
        <v>17437707494</v>
      </c>
      <c r="G59">
        <v>4.1679999999999998E-3</v>
      </c>
      <c r="L59" t="s">
        <v>8</v>
      </c>
      <c r="M59" t="s">
        <v>8</v>
      </c>
      <c r="N59" t="s">
        <v>7</v>
      </c>
      <c r="P59">
        <f t="shared" ref="P59" si="270">IF(C59=D59,0,((E59-D59)-(C59-E59))/(C59-D59))</f>
        <v>-5.7154119038234197E-2</v>
      </c>
      <c r="Q59">
        <f t="shared" ref="Q59" si="271">F59*P59</f>
        <v>-996636809.86598456</v>
      </c>
      <c r="R59">
        <f t="shared" ref="R59" si="272">R60+Q59</f>
        <v>-79292446707.020294</v>
      </c>
      <c r="S59">
        <f t="shared" ref="S59" si="273">R59/100000</f>
        <v>-792924.46707020293</v>
      </c>
      <c r="T59">
        <f t="shared" ref="T59" si="274">S59/1000</f>
        <v>-792.92446707020292</v>
      </c>
    </row>
    <row r="60" spans="1:20" x14ac:dyDescent="0.25">
      <c r="A60" s="5">
        <v>44533</v>
      </c>
      <c r="B60">
        <v>4.921E-3</v>
      </c>
      <c r="C60">
        <v>5.4000000000000003E-3</v>
      </c>
      <c r="D60">
        <v>4.7699999999999999E-3</v>
      </c>
      <c r="E60">
        <v>5.3150000000000003E-3</v>
      </c>
      <c r="F60">
        <v>10937514773</v>
      </c>
      <c r="G60">
        <v>5.3150000000000003E-3</v>
      </c>
      <c r="L60" t="s">
        <v>8</v>
      </c>
      <c r="M60" t="s">
        <v>8</v>
      </c>
      <c r="N60" t="s">
        <v>7</v>
      </c>
      <c r="P60">
        <f t="shared" ref="P60" si="275">IF(C60=D60,0,((E60-D60)-(C60-E60))/(C60-D60))</f>
        <v>0.73015873015873034</v>
      </c>
      <c r="Q60">
        <f t="shared" ref="Q60" si="276">F60*P60</f>
        <v>7986121897.7460337</v>
      </c>
      <c r="R60">
        <f t="shared" ref="R60" si="277">R61+Q60</f>
        <v>-78295809897.154312</v>
      </c>
      <c r="S60">
        <f t="shared" ref="S60" si="278">R60/100000</f>
        <v>-782958.09897154314</v>
      </c>
      <c r="T60">
        <f t="shared" ref="T60" si="279">S60/1000</f>
        <v>-782.95809897154311</v>
      </c>
    </row>
    <row r="61" spans="1:20" x14ac:dyDescent="0.25">
      <c r="A61" s="5">
        <v>44532</v>
      </c>
      <c r="B61">
        <v>4.8789999999999997E-3</v>
      </c>
      <c r="C61">
        <v>5.0000000000000001E-3</v>
      </c>
      <c r="D61">
        <v>4.6499999999999996E-3</v>
      </c>
      <c r="E61">
        <v>4.921E-3</v>
      </c>
      <c r="F61">
        <v>3424129439</v>
      </c>
      <c r="G61">
        <v>4.921E-3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0.54857142857142871</v>
      </c>
      <c r="Q61">
        <f t="shared" ref="Q61" si="281">F61*P61</f>
        <v>1878379577.9657147</v>
      </c>
      <c r="R61">
        <f t="shared" ref="R61" si="282">R62+Q61</f>
        <v>-86281931794.900345</v>
      </c>
      <c r="S61">
        <f t="shared" ref="S61" si="283">R61/100000</f>
        <v>-862819.31794900342</v>
      </c>
      <c r="T61">
        <f t="shared" ref="T61" si="284">S61/1000</f>
        <v>-862.81931794900345</v>
      </c>
    </row>
    <row r="62" spans="1:20" x14ac:dyDescent="0.25">
      <c r="A62" s="5">
        <v>44531</v>
      </c>
      <c r="B62">
        <v>4.9420000000000002E-3</v>
      </c>
      <c r="C62">
        <v>5.1500000000000001E-3</v>
      </c>
      <c r="D62">
        <v>4.8019999999999998E-3</v>
      </c>
      <c r="E62">
        <v>4.8799999999999998E-3</v>
      </c>
      <c r="F62">
        <v>2986719713</v>
      </c>
      <c r="G62">
        <v>4.8799999999999998E-3</v>
      </c>
      <c r="L62" t="s">
        <v>8</v>
      </c>
      <c r="M62" t="s">
        <v>8</v>
      </c>
      <c r="N62" t="s">
        <v>7</v>
      </c>
      <c r="P62">
        <f t="shared" ref="P62" si="285">IF(C62=D62,0,((E62-D62)-(C62-E62))/(C62-D62))</f>
        <v>-0.55172413793103503</v>
      </c>
      <c r="Q62">
        <f t="shared" ref="Q62" si="286">F62*P62</f>
        <v>-1647845358.8965533</v>
      </c>
      <c r="R62">
        <f t="shared" ref="R62" si="287">R63+Q62</f>
        <v>-88160311372.866058</v>
      </c>
      <c r="S62">
        <f t="shared" ref="S62" si="288">R62/100000</f>
        <v>-881603.11372866062</v>
      </c>
      <c r="T62">
        <f t="shared" ref="T62" si="289">S62/1000</f>
        <v>-881.60311372866067</v>
      </c>
    </row>
    <row r="63" spans="1:20" x14ac:dyDescent="0.25">
      <c r="A63" s="5">
        <v>44530</v>
      </c>
      <c r="B63">
        <v>5.0210000000000003E-3</v>
      </c>
      <c r="C63">
        <v>5.208E-3</v>
      </c>
      <c r="D63">
        <v>4.7019999999999996E-3</v>
      </c>
      <c r="E63">
        <v>4.9389999999999998E-3</v>
      </c>
      <c r="F63">
        <v>5357506040</v>
      </c>
      <c r="G63">
        <v>4.9389999999999998E-3</v>
      </c>
      <c r="L63" t="s">
        <v>7</v>
      </c>
      <c r="M63" t="s">
        <v>8</v>
      </c>
      <c r="N63" t="s">
        <v>7</v>
      </c>
      <c r="P63">
        <f t="shared" ref="P63" si="290">IF(C63=D63,0,((E63-D63)-(C63-E63))/(C63-D63))</f>
        <v>-6.3241106719367363E-2</v>
      </c>
      <c r="Q63">
        <f t="shared" ref="Q63" si="291">F63*P63</f>
        <v>-338814611.22529525</v>
      </c>
      <c r="R63">
        <f t="shared" ref="R63" si="292">R64+Q63</f>
        <v>-86512466013.969498</v>
      </c>
      <c r="S63">
        <f t="shared" ref="S63" si="293">R63/100000</f>
        <v>-865124.66013969493</v>
      </c>
      <c r="T63">
        <f t="shared" ref="T63" si="294">S63/1000</f>
        <v>-865.12466013969492</v>
      </c>
    </row>
    <row r="64" spans="1:20" x14ac:dyDescent="0.25">
      <c r="A64" s="5">
        <v>44529</v>
      </c>
      <c r="B64">
        <v>4.9069999999999999E-3</v>
      </c>
      <c r="C64">
        <v>5.1640000000000002E-3</v>
      </c>
      <c r="D64">
        <v>4.7939999999999997E-3</v>
      </c>
      <c r="E64">
        <v>5.0210000000000003E-3</v>
      </c>
      <c r="F64">
        <v>3893698525</v>
      </c>
      <c r="G64">
        <v>5.0210000000000003E-3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0.2270270270270287</v>
      </c>
      <c r="Q64">
        <f t="shared" ref="Q64" si="296">F64*P64</f>
        <v>883974800.27027678</v>
      </c>
      <c r="R64">
        <f t="shared" ref="R64" si="297">R65+Q64</f>
        <v>-86173651402.744202</v>
      </c>
      <c r="S64">
        <f t="shared" ref="S64" si="298">R64/100000</f>
        <v>-861736.51402744197</v>
      </c>
      <c r="T64">
        <f t="shared" ref="T64" si="299">S64/1000</f>
        <v>-861.73651402744201</v>
      </c>
    </row>
    <row r="65" spans="1:20" x14ac:dyDescent="0.25">
      <c r="A65" s="5">
        <v>44528</v>
      </c>
      <c r="B65">
        <v>4.9399999999999999E-3</v>
      </c>
      <c r="C65">
        <v>4.9959999999999996E-3</v>
      </c>
      <c r="D65">
        <v>4.4070000000000003E-3</v>
      </c>
      <c r="E65">
        <v>4.9059999999999998E-3</v>
      </c>
      <c r="F65">
        <v>4818939846</v>
      </c>
      <c r="G65">
        <v>4.9059999999999998E-3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0.69439728353140939</v>
      </c>
      <c r="Q65">
        <f t="shared" ref="Q65" si="301">F65*P65</f>
        <v>3346258738.5636683</v>
      </c>
      <c r="R65">
        <f t="shared" ref="R65" si="302">R66+Q65</f>
        <v>-87057626203.014481</v>
      </c>
      <c r="S65">
        <f t="shared" ref="S65" si="303">R65/100000</f>
        <v>-870576.2620301448</v>
      </c>
      <c r="T65">
        <f t="shared" ref="T65" si="304">S65/1000</f>
        <v>-870.57626203014479</v>
      </c>
    </row>
    <row r="66" spans="1:20" x14ac:dyDescent="0.25">
      <c r="A66" s="5">
        <v>44527</v>
      </c>
      <c r="B66">
        <v>4.9170000000000004E-3</v>
      </c>
      <c r="C66">
        <v>5.097E-3</v>
      </c>
      <c r="D66">
        <v>4.8190000000000004E-3</v>
      </c>
      <c r="E66">
        <v>4.9399999999999999E-3</v>
      </c>
      <c r="F66">
        <v>3290412341</v>
      </c>
      <c r="G66">
        <v>4.9399999999999999E-3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-0.12949640287769962</v>
      </c>
      <c r="Q66">
        <f t="shared" ref="Q66" si="306">F66*P66</f>
        <v>-426096562.14389074</v>
      </c>
      <c r="R66">
        <f t="shared" ref="R66" si="307">R67+Q66</f>
        <v>-90403884941.578156</v>
      </c>
      <c r="S66">
        <f t="shared" ref="S66" si="308">R66/100000</f>
        <v>-904038.84941578156</v>
      </c>
      <c r="T66">
        <f t="shared" ref="T66" si="309">S66/1000</f>
        <v>-904.03884941578156</v>
      </c>
    </row>
    <row r="67" spans="1:20" x14ac:dyDescent="0.25">
      <c r="A67" s="5">
        <v>44526</v>
      </c>
      <c r="B67">
        <v>5.5840000000000004E-3</v>
      </c>
      <c r="C67">
        <v>5.5970000000000004E-3</v>
      </c>
      <c r="D67">
        <v>4.7210000000000004E-3</v>
      </c>
      <c r="E67">
        <v>4.9179999999999996E-3</v>
      </c>
      <c r="F67">
        <v>6294008349</v>
      </c>
      <c r="G67">
        <v>4.9179999999999996E-3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-0.55022831050228482</v>
      </c>
      <c r="Q67">
        <f t="shared" ref="Q67" si="311">F67*P67</f>
        <v>-3463141580.1575451</v>
      </c>
      <c r="R67">
        <f t="shared" ref="R67" si="312">R68+Q67</f>
        <v>-89977788379.434265</v>
      </c>
      <c r="S67">
        <f t="shared" ref="S67" si="313">R67/100000</f>
        <v>-899777.88379434263</v>
      </c>
      <c r="T67">
        <f t="shared" ref="T67" si="314">S67/1000</f>
        <v>-899.77788379434264</v>
      </c>
    </row>
    <row r="68" spans="1:20" x14ac:dyDescent="0.25">
      <c r="A68" s="5">
        <v>44525</v>
      </c>
      <c r="B68">
        <v>5.3800000000000002E-3</v>
      </c>
      <c r="C68">
        <v>5.7429999999999998E-3</v>
      </c>
      <c r="D68">
        <v>5.3350000000000003E-3</v>
      </c>
      <c r="E68">
        <v>5.5799999999999999E-3</v>
      </c>
      <c r="F68">
        <v>4446060539</v>
      </c>
      <c r="G68">
        <v>5.5799999999999999E-3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0.20098039215686203</v>
      </c>
      <c r="Q68">
        <f t="shared" ref="Q68" si="316">F68*P68</f>
        <v>893570990.68136942</v>
      </c>
      <c r="R68">
        <f t="shared" ref="R68" si="317">R69+Q68</f>
        <v>-86514646799.276718</v>
      </c>
      <c r="S68">
        <f t="shared" ref="S68" si="318">R68/100000</f>
        <v>-865146.46799276723</v>
      </c>
      <c r="T68">
        <f t="shared" ref="T68" si="319">S68/1000</f>
        <v>-865.14646799276727</v>
      </c>
    </row>
    <row r="69" spans="1:20" x14ac:dyDescent="0.25">
      <c r="A69" s="5">
        <v>44524</v>
      </c>
      <c r="B69">
        <v>5.7279999999999996E-3</v>
      </c>
      <c r="C69">
        <v>5.7600000000000004E-3</v>
      </c>
      <c r="D69">
        <v>5.5279999999999999E-3</v>
      </c>
      <c r="E69">
        <v>5.64E-3</v>
      </c>
      <c r="F69">
        <v>1046928033</v>
      </c>
      <c r="G69">
        <v>5.64E-3</v>
      </c>
      <c r="L69" t="s">
        <v>7</v>
      </c>
      <c r="M69" t="s">
        <v>8</v>
      </c>
      <c r="N69" t="s">
        <v>7</v>
      </c>
      <c r="P69">
        <f t="shared" ref="P69" si="320">IF(C69=D69,0,((E69-D69)-(C69-E69))/(C69-D69))</f>
        <v>-3.4482758620690432E-2</v>
      </c>
      <c r="Q69">
        <f t="shared" ref="Q69" si="321">F69*P69</f>
        <v>-36100966.655173227</v>
      </c>
      <c r="R69">
        <f t="shared" ref="R69" si="322">R70+Q69</f>
        <v>-87408217789.958084</v>
      </c>
      <c r="S69">
        <f t="shared" ref="S69" si="323">R69/100000</f>
        <v>-874082.1778995808</v>
      </c>
      <c r="T69">
        <f t="shared" ref="T69" si="324">S69/1000</f>
        <v>-874.08217789958076</v>
      </c>
    </row>
    <row r="70" spans="1:20" x14ac:dyDescent="0.25">
      <c r="A70" s="5">
        <v>44523</v>
      </c>
      <c r="B70">
        <v>5.6270000000000001E-3</v>
      </c>
      <c r="C70">
        <v>5.8399999999999997E-3</v>
      </c>
      <c r="D70">
        <v>5.4970000000000001E-3</v>
      </c>
      <c r="E70">
        <v>5.7279999999999996E-3</v>
      </c>
      <c r="F70">
        <v>4516844228</v>
      </c>
      <c r="G70">
        <v>5.7279999999999996E-3</v>
      </c>
      <c r="L70" t="s">
        <v>7</v>
      </c>
      <c r="M70" t="s">
        <v>8</v>
      </c>
      <c r="N70" t="s">
        <v>7</v>
      </c>
      <c r="P70">
        <f t="shared" ref="P70" si="325">IF(C70=D70,0,((E70-D70)-(C70-E70))/(C70-D70))</f>
        <v>0.34693877551020252</v>
      </c>
      <c r="Q70">
        <f t="shared" ref="Q70" si="326">F70*P70</f>
        <v>1567068405.6326461</v>
      </c>
      <c r="R70">
        <f t="shared" ref="R70" si="327">R71+Q70</f>
        <v>-87372116823.302917</v>
      </c>
      <c r="S70">
        <f t="shared" ref="S70" si="328">R70/100000</f>
        <v>-873721.1682330292</v>
      </c>
      <c r="T70">
        <f t="shared" ref="T70" si="329">S70/1000</f>
        <v>-873.72116823302918</v>
      </c>
    </row>
    <row r="71" spans="1:20" x14ac:dyDescent="0.25">
      <c r="A71" s="5">
        <v>44522</v>
      </c>
      <c r="B71">
        <v>5.8469999999999998E-3</v>
      </c>
      <c r="C71">
        <v>5.9100000000000003E-3</v>
      </c>
      <c r="D71">
        <v>5.5059999999999996E-3</v>
      </c>
      <c r="E71">
        <v>5.6280000000000002E-3</v>
      </c>
      <c r="F71">
        <v>5635259423</v>
      </c>
      <c r="G71">
        <v>5.6280000000000002E-3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-0.39603960396039423</v>
      </c>
      <c r="Q71">
        <f t="shared" ref="Q71" si="331">F71*P71</f>
        <v>-2231785910.0989995</v>
      </c>
      <c r="R71">
        <f t="shared" ref="R71" si="332">R72+Q71</f>
        <v>-88939185228.935562</v>
      </c>
      <c r="S71">
        <f t="shared" ref="S71" si="333">R71/100000</f>
        <v>-889391.85228935559</v>
      </c>
      <c r="T71">
        <f t="shared" ref="T71" si="334">S71/1000</f>
        <v>-889.3918522893556</v>
      </c>
    </row>
    <row r="72" spans="1:20" x14ac:dyDescent="0.25">
      <c r="A72" s="5">
        <v>44521</v>
      </c>
      <c r="B72">
        <v>6.2680000000000001E-3</v>
      </c>
      <c r="C72">
        <v>6.3020000000000003E-3</v>
      </c>
      <c r="D72">
        <v>5.8079999999999998E-3</v>
      </c>
      <c r="E72">
        <v>5.8430000000000001E-3</v>
      </c>
      <c r="F72">
        <v>5711638286</v>
      </c>
      <c r="G72">
        <v>5.8430000000000001E-3</v>
      </c>
      <c r="L72" t="s">
        <v>7</v>
      </c>
      <c r="M72" t="s">
        <v>8</v>
      </c>
      <c r="N72" t="s">
        <v>7</v>
      </c>
      <c r="P72">
        <f t="shared" ref="P72" si="335">IF(C72=D72,0,((E72-D72)-(C72-E72))/(C72-D72))</f>
        <v>-0.85829959514169929</v>
      </c>
      <c r="Q72">
        <f t="shared" ref="Q72" si="336">F72*P72</f>
        <v>-4902296828.4696293</v>
      </c>
      <c r="R72">
        <f t="shared" ref="R72" si="337">R73+Q72</f>
        <v>-86707399318.836563</v>
      </c>
      <c r="S72">
        <f t="shared" ref="S72" si="338">R72/100000</f>
        <v>-867073.9931883656</v>
      </c>
      <c r="T72">
        <f t="shared" ref="T72" si="339">S72/1000</f>
        <v>-867.07399318836565</v>
      </c>
    </row>
    <row r="73" spans="1:20" x14ac:dyDescent="0.25">
      <c r="A73" s="5">
        <v>44520</v>
      </c>
      <c r="B73">
        <v>5.9589999999999999E-3</v>
      </c>
      <c r="C73">
        <v>6.4000000000000003E-3</v>
      </c>
      <c r="D73">
        <v>5.7239999999999999E-3</v>
      </c>
      <c r="E73">
        <v>6.2649999999999997E-3</v>
      </c>
      <c r="F73">
        <v>7120323494</v>
      </c>
      <c r="G73">
        <v>6.2649999999999997E-3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0.60059171597632988</v>
      </c>
      <c r="Q73">
        <f t="shared" ref="Q73" si="341">F73*P73</f>
        <v>4276407305.5680366</v>
      </c>
      <c r="R73">
        <f t="shared" ref="R73" si="342">R74+Q73</f>
        <v>-81805102490.366928</v>
      </c>
      <c r="S73">
        <f t="shared" ref="S73" si="343">R73/100000</f>
        <v>-818051.02490366925</v>
      </c>
      <c r="T73">
        <f t="shared" ref="T73" si="344">S73/1000</f>
        <v>-818.05102490366926</v>
      </c>
    </row>
    <row r="74" spans="1:20" x14ac:dyDescent="0.25">
      <c r="A74" s="5">
        <v>44519</v>
      </c>
      <c r="B74">
        <v>5.6030000000000003E-3</v>
      </c>
      <c r="C74">
        <v>6.0410000000000004E-3</v>
      </c>
      <c r="D74">
        <v>5.489E-3</v>
      </c>
      <c r="E74">
        <v>5.96E-3</v>
      </c>
      <c r="F74">
        <v>5010401295</v>
      </c>
      <c r="G74">
        <v>5.96E-3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0.70652173913043381</v>
      </c>
      <c r="Q74">
        <f t="shared" ref="Q74" si="346">F74*P74</f>
        <v>3539957436.6847777</v>
      </c>
      <c r="R74">
        <f t="shared" ref="R74" si="347">R75+Q74</f>
        <v>-86081509795.934967</v>
      </c>
      <c r="S74">
        <f t="shared" ref="S74" si="348">R74/100000</f>
        <v>-860815.09795934963</v>
      </c>
      <c r="T74">
        <f t="shared" ref="T74" si="349">S74/1000</f>
        <v>-860.8150979593496</v>
      </c>
    </row>
    <row r="75" spans="1:20" x14ac:dyDescent="0.25">
      <c r="A75" s="5">
        <v>44518</v>
      </c>
      <c r="B75">
        <v>6.2870000000000001E-3</v>
      </c>
      <c r="C75">
        <v>6.3749999999999996E-3</v>
      </c>
      <c r="D75">
        <v>5.4039999999999999E-3</v>
      </c>
      <c r="E75">
        <v>5.5999999999999999E-3</v>
      </c>
      <c r="F75">
        <v>8527516453</v>
      </c>
      <c r="G75">
        <v>5.5999999999999999E-3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-0.59629248197734286</v>
      </c>
      <c r="Q75">
        <f t="shared" ref="Q75" si="351">F75*P75</f>
        <v>-5084893950.8619976</v>
      </c>
      <c r="R75">
        <f t="shared" ref="R75" si="352">R76+Q75</f>
        <v>-89621467232.619751</v>
      </c>
      <c r="S75">
        <f t="shared" ref="S75" si="353">R75/100000</f>
        <v>-896214.6723261975</v>
      </c>
      <c r="T75">
        <f t="shared" ref="T75" si="354">S75/1000</f>
        <v>-896.2146723261975</v>
      </c>
    </row>
    <row r="76" spans="1:20" x14ac:dyDescent="0.25">
      <c r="A76" s="5">
        <v>44517</v>
      </c>
      <c r="B76">
        <v>6.1879999999999999E-3</v>
      </c>
      <c r="C76">
        <v>6.3839999999999999E-3</v>
      </c>
      <c r="D76">
        <v>5.8929999999999998E-3</v>
      </c>
      <c r="E76">
        <v>6.2870000000000001E-3</v>
      </c>
      <c r="F76">
        <v>6289490831</v>
      </c>
      <c r="G76">
        <v>6.2870000000000001E-3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0.60488798370672159</v>
      </c>
      <c r="Q76">
        <f t="shared" ref="Q76" si="356">F76*P76</f>
        <v>3804437427.3055029</v>
      </c>
      <c r="R76">
        <f t="shared" ref="R76" si="357">R77+Q76</f>
        <v>-84536573281.757751</v>
      </c>
      <c r="S76">
        <f t="shared" ref="S76" si="358">R76/100000</f>
        <v>-845365.73281757755</v>
      </c>
      <c r="T76">
        <f t="shared" ref="T76" si="359">S76/1000</f>
        <v>-845.36573281757751</v>
      </c>
    </row>
    <row r="77" spans="1:20" x14ac:dyDescent="0.25">
      <c r="A77" s="5">
        <v>44516</v>
      </c>
      <c r="B77">
        <v>6.9300000000000004E-3</v>
      </c>
      <c r="C77">
        <v>6.9340000000000001E-3</v>
      </c>
      <c r="D77">
        <v>5.7999999999999996E-3</v>
      </c>
      <c r="E77">
        <v>6.195E-3</v>
      </c>
      <c r="F77">
        <v>9624705191</v>
      </c>
      <c r="G77">
        <v>6.195E-3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-0.30335097001763628</v>
      </c>
      <c r="Q77">
        <f t="shared" ref="Q77" si="361">F77*P77</f>
        <v>-2919663655.8236294</v>
      </c>
      <c r="R77">
        <f t="shared" ref="R77" si="362">R78+Q77</f>
        <v>-88341010709.063248</v>
      </c>
      <c r="S77">
        <f t="shared" ref="S77" si="363">R77/100000</f>
        <v>-883410.10709063243</v>
      </c>
      <c r="T77">
        <f t="shared" ref="T77" si="364">S77/1000</f>
        <v>-883.41010709063244</v>
      </c>
    </row>
    <row r="78" spans="1:20" x14ac:dyDescent="0.25">
      <c r="A78" s="5">
        <v>44515</v>
      </c>
      <c r="B78">
        <v>6.9160000000000003E-3</v>
      </c>
      <c r="C78">
        <v>7.633E-3</v>
      </c>
      <c r="D78">
        <v>6.8349999999999999E-3</v>
      </c>
      <c r="E78">
        <v>6.9319999999999998E-3</v>
      </c>
      <c r="F78">
        <v>11655448626</v>
      </c>
      <c r="G78">
        <v>6.9319999999999998E-3</v>
      </c>
      <c r="L78" t="s">
        <v>8</v>
      </c>
      <c r="M78" t="s">
        <v>8</v>
      </c>
      <c r="N78" t="s">
        <v>7</v>
      </c>
      <c r="P78">
        <f t="shared" ref="P78" si="365">IF(C78=D78,0,((E78-D78)-(C78-E78))/(C78-D78))</f>
        <v>-0.7568922305764415</v>
      </c>
      <c r="Q78">
        <f t="shared" ref="Q78" si="366">F78*P78</f>
        <v>-8821918508.9022598</v>
      </c>
      <c r="R78">
        <f t="shared" ref="R78" si="367">R79+Q78</f>
        <v>-85421347053.239624</v>
      </c>
      <c r="S78">
        <f t="shared" ref="S78" si="368">R78/100000</f>
        <v>-854213.47053239623</v>
      </c>
      <c r="T78">
        <f t="shared" ref="T78" si="369">S78/1000</f>
        <v>-854.21347053239617</v>
      </c>
    </row>
    <row r="79" spans="1:20" x14ac:dyDescent="0.25">
      <c r="A79" s="5">
        <v>44514</v>
      </c>
      <c r="B79">
        <v>6.7349999999999997E-3</v>
      </c>
      <c r="C79">
        <v>7.1500000000000001E-3</v>
      </c>
      <c r="D79">
        <v>6.6819999999999996E-3</v>
      </c>
      <c r="E79">
        <v>6.9129999999999999E-3</v>
      </c>
      <c r="F79">
        <v>5715740167</v>
      </c>
      <c r="G79">
        <v>6.9129999999999999E-3</v>
      </c>
      <c r="L79" t="s">
        <v>8</v>
      </c>
      <c r="M79" t="s">
        <v>8</v>
      </c>
      <c r="N79" t="s">
        <v>7</v>
      </c>
      <c r="P79">
        <f t="shared" ref="P79" si="370">IF(C79=D79,0,((E79-D79)-(C79-E79))/(C79-D79))</f>
        <v>-1.2820512820512654E-2</v>
      </c>
      <c r="Q79">
        <f t="shared" ref="Q79" si="371">F79*P79</f>
        <v>-73278720.089742631</v>
      </c>
      <c r="R79">
        <f t="shared" ref="R79" si="372">R80+Q79</f>
        <v>-76599428544.337372</v>
      </c>
      <c r="S79">
        <f t="shared" ref="S79" si="373">R79/100000</f>
        <v>-765994.28544337372</v>
      </c>
      <c r="T79">
        <f t="shared" ref="T79" si="374">S79/1000</f>
        <v>-765.99428544337377</v>
      </c>
    </row>
    <row r="80" spans="1:20" x14ac:dyDescent="0.25">
      <c r="A80" s="5">
        <v>44513</v>
      </c>
      <c r="B80">
        <v>6.7060000000000002E-3</v>
      </c>
      <c r="C80">
        <v>6.8500000000000002E-3</v>
      </c>
      <c r="D80">
        <v>6.6220000000000003E-3</v>
      </c>
      <c r="E80">
        <v>6.7359999999999998E-3</v>
      </c>
      <c r="F80">
        <v>4297967846</v>
      </c>
      <c r="G80">
        <v>6.7359999999999998E-3</v>
      </c>
      <c r="L80" t="s">
        <v>7</v>
      </c>
      <c r="M80" t="s">
        <v>8</v>
      </c>
      <c r="N80" t="s">
        <v>7</v>
      </c>
      <c r="P80">
        <f t="shared" ref="P80" si="375">IF(C80=D80,0,((E80-D80)-(C80-E80))/(C80-D80))</f>
        <v>-3.8042181490719466E-15</v>
      </c>
      <c r="Q80">
        <f t="shared" ref="Q80" si="376">F80*P80</f>
        <v>-1.6350407283880861E-5</v>
      </c>
      <c r="R80">
        <f t="shared" ref="R80" si="377">R81+Q80</f>
        <v>-76526149824.247635</v>
      </c>
      <c r="S80">
        <f t="shared" ref="S80" si="378">R80/100000</f>
        <v>-765261.49824247637</v>
      </c>
      <c r="T80">
        <f t="shared" ref="T80" si="379">S80/1000</f>
        <v>-765.26149824247636</v>
      </c>
    </row>
    <row r="81" spans="1:20" x14ac:dyDescent="0.25">
      <c r="A81" s="5">
        <v>44512</v>
      </c>
      <c r="B81">
        <v>7.0200000000000002E-3</v>
      </c>
      <c r="C81">
        <v>7.2399999999999999E-3</v>
      </c>
      <c r="D81">
        <v>6.4799999999999996E-3</v>
      </c>
      <c r="E81">
        <v>6.7060000000000002E-3</v>
      </c>
      <c r="F81">
        <v>6447793499</v>
      </c>
      <c r="G81">
        <v>6.7060000000000002E-3</v>
      </c>
      <c r="L81" t="s">
        <v>7</v>
      </c>
      <c r="M81" t="s">
        <v>8</v>
      </c>
      <c r="N81" t="s">
        <v>7</v>
      </c>
      <c r="P81">
        <f t="shared" ref="P81" si="380">IF(C81=D81,0,((E81-D81)-(C81-E81))/(C81-D81))</f>
        <v>-0.40526315789473571</v>
      </c>
      <c r="Q81">
        <f t="shared" ref="Q81" si="381">F81*P81</f>
        <v>-2613053154.8578873</v>
      </c>
      <c r="R81">
        <f t="shared" ref="R81" si="382">R82+Q81</f>
        <v>-76526149824.24762</v>
      </c>
      <c r="S81">
        <f t="shared" ref="S81" si="383">R81/100000</f>
        <v>-765261.49824247614</v>
      </c>
      <c r="T81">
        <f t="shared" ref="T81" si="384">S81/1000</f>
        <v>-765.26149824247614</v>
      </c>
    </row>
    <row r="82" spans="1:20" x14ac:dyDescent="0.25">
      <c r="A82" s="5">
        <v>44511</v>
      </c>
      <c r="B82">
        <v>6.3769999999999999E-3</v>
      </c>
      <c r="C82">
        <v>7.4000000000000003E-3</v>
      </c>
      <c r="D82">
        <v>6.2620000000000002E-3</v>
      </c>
      <c r="E82">
        <v>7.0260000000000001E-3</v>
      </c>
      <c r="F82">
        <v>10770466626</v>
      </c>
      <c r="G82">
        <v>7.0260000000000001E-3</v>
      </c>
      <c r="L82" t="s">
        <v>8</v>
      </c>
      <c r="M82" t="s">
        <v>8</v>
      </c>
      <c r="N82" t="s">
        <v>7</v>
      </c>
      <c r="P82">
        <f t="shared" ref="P82" si="385">IF(C82=D82,0,((E82-D82)-(C82-E82))/(C82-D82))</f>
        <v>0.34270650263620356</v>
      </c>
      <c r="Q82">
        <f t="shared" ref="Q82" si="386">F82*P82</f>
        <v>3691108949.1564116</v>
      </c>
      <c r="R82">
        <f t="shared" ref="R82" si="387">R83+Q82</f>
        <v>-73913096669.389725</v>
      </c>
      <c r="S82">
        <f t="shared" ref="S82" si="388">R82/100000</f>
        <v>-739130.96669389727</v>
      </c>
      <c r="T82">
        <f t="shared" ref="T82" si="389">S82/1000</f>
        <v>-739.13096669389722</v>
      </c>
    </row>
    <row r="83" spans="1:20" x14ac:dyDescent="0.25">
      <c r="A83" s="5">
        <v>44510</v>
      </c>
      <c r="B83">
        <v>6.8739999999999999E-3</v>
      </c>
      <c r="C83">
        <v>7.1459999999999996E-3</v>
      </c>
      <c r="D83">
        <v>5.7520000000000002E-3</v>
      </c>
      <c r="E83">
        <v>6.3769999999999999E-3</v>
      </c>
      <c r="F83">
        <v>9668116665</v>
      </c>
      <c r="G83">
        <v>6.3769999999999999E-3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-0.10329985652797712</v>
      </c>
      <c r="Q83">
        <f t="shared" ref="Q83" si="391">F83*P83</f>
        <v>-998715064.3902446</v>
      </c>
      <c r="R83">
        <f t="shared" ref="R83" si="392">R84+Q83</f>
        <v>-77604205618.546143</v>
      </c>
      <c r="S83">
        <f t="shared" ref="S83" si="393">R83/100000</f>
        <v>-776042.05618546146</v>
      </c>
      <c r="T83">
        <f t="shared" ref="T83" si="394">S83/1000</f>
        <v>-776.04205618546143</v>
      </c>
    </row>
    <row r="84" spans="1:20" x14ac:dyDescent="0.25">
      <c r="A84" s="5">
        <v>44509</v>
      </c>
      <c r="B84">
        <v>7.169E-3</v>
      </c>
      <c r="C84">
        <v>7.2490000000000002E-3</v>
      </c>
      <c r="D84">
        <v>6.8149999999999999E-3</v>
      </c>
      <c r="E84">
        <v>6.8739999999999999E-3</v>
      </c>
      <c r="F84">
        <v>4855956452</v>
      </c>
      <c r="G84">
        <v>6.8739999999999999E-3</v>
      </c>
      <c r="L84" t="s">
        <v>7</v>
      </c>
      <c r="M84" t="s">
        <v>7</v>
      </c>
      <c r="N84" t="s">
        <v>8</v>
      </c>
      <c r="P84">
        <f t="shared" ref="P84" si="395">IF(C84=D84,0,((E84-D84)-(C84-E84))/(C84-D84))</f>
        <v>-0.72811059907834108</v>
      </c>
      <c r="Q84">
        <f t="shared" ref="Q84" si="396">F84*P84</f>
        <v>-3535673361.3640556</v>
      </c>
      <c r="R84">
        <f t="shared" ref="R84" si="397">R85+Q84</f>
        <v>-76605490554.155899</v>
      </c>
      <c r="S84">
        <f t="shared" ref="S84" si="398">R84/100000</f>
        <v>-766054.90554155898</v>
      </c>
      <c r="T84">
        <f t="shared" ref="T84" si="399">S84/1000</f>
        <v>-766.05490554155904</v>
      </c>
    </row>
    <row r="85" spans="1:20" x14ac:dyDescent="0.25">
      <c r="A85" s="5">
        <v>44508</v>
      </c>
      <c r="B85">
        <v>7.0299999999999998E-3</v>
      </c>
      <c r="C85">
        <v>7.3980000000000001E-3</v>
      </c>
      <c r="D85">
        <v>6.7780000000000002E-3</v>
      </c>
      <c r="E85">
        <v>7.1679999999999999E-3</v>
      </c>
      <c r="F85">
        <v>6761543177</v>
      </c>
      <c r="G85">
        <v>7.1679999999999999E-3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0.25806451612903158</v>
      </c>
      <c r="Q85">
        <f t="shared" ref="Q85" si="401">F85*P85</f>
        <v>1744914368.25806</v>
      </c>
      <c r="R85">
        <f t="shared" ref="R85" si="402">R86+Q85</f>
        <v>-73069817192.79184</v>
      </c>
      <c r="S85">
        <f t="shared" ref="S85" si="403">R85/100000</f>
        <v>-730698.17192791845</v>
      </c>
      <c r="T85">
        <f t="shared" ref="T85" si="404">S85/1000</f>
        <v>-730.69817192791845</v>
      </c>
    </row>
    <row r="86" spans="1:20" x14ac:dyDescent="0.25">
      <c r="A86" s="5">
        <v>44507</v>
      </c>
      <c r="B86">
        <v>7.1419999999999999E-3</v>
      </c>
      <c r="C86">
        <v>7.1850000000000004E-3</v>
      </c>
      <c r="D86">
        <v>6.8849999999999996E-3</v>
      </c>
      <c r="E86">
        <v>7.0289999999999997E-3</v>
      </c>
      <c r="F86">
        <v>4380638012</v>
      </c>
      <c r="G86">
        <v>7.0289999999999997E-3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-4.0000000000002311E-2</v>
      </c>
      <c r="Q86">
        <f t="shared" ref="Q86" si="406">F86*P86</f>
        <v>-175225520.48001012</v>
      </c>
      <c r="R86">
        <f t="shared" ref="R86" si="407">R87+Q86</f>
        <v>-74814731561.049896</v>
      </c>
      <c r="S86">
        <f t="shared" ref="S86" si="408">R86/100000</f>
        <v>-748147.315610499</v>
      </c>
      <c r="T86">
        <f t="shared" ref="T86" si="409">S86/1000</f>
        <v>-748.14731561049905</v>
      </c>
    </row>
    <row r="87" spans="1:20" x14ac:dyDescent="0.25">
      <c r="A87" s="5">
        <v>44506</v>
      </c>
      <c r="B87">
        <v>6.9080000000000001E-3</v>
      </c>
      <c r="C87">
        <v>7.1900000000000002E-3</v>
      </c>
      <c r="D87">
        <v>6.5009999999999998E-3</v>
      </c>
      <c r="E87">
        <v>7.143E-3</v>
      </c>
      <c r="F87">
        <v>5955787758</v>
      </c>
      <c r="G87">
        <v>7.143E-3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0.86357039187227824</v>
      </c>
      <c r="Q87">
        <f t="shared" ref="Q87" si="411">F87*P87</f>
        <v>5143241968.084177</v>
      </c>
      <c r="R87">
        <f t="shared" ref="R87" si="412">R88+Q87</f>
        <v>-74639506040.569885</v>
      </c>
      <c r="S87">
        <f t="shared" ref="S87" si="413">R87/100000</f>
        <v>-746395.06040569884</v>
      </c>
      <c r="T87">
        <f t="shared" ref="T87" si="414">S87/1000</f>
        <v>-746.39506040569881</v>
      </c>
    </row>
    <row r="88" spans="1:20" x14ac:dyDescent="0.25">
      <c r="A88" s="5">
        <v>44505</v>
      </c>
      <c r="B88">
        <v>6.9760000000000004E-3</v>
      </c>
      <c r="C88">
        <v>7.2300000000000003E-3</v>
      </c>
      <c r="D88">
        <v>6.7499999999999999E-3</v>
      </c>
      <c r="E88">
        <v>6.9080000000000001E-3</v>
      </c>
      <c r="F88">
        <v>6288937284</v>
      </c>
      <c r="G88">
        <v>6.9080000000000001E-3</v>
      </c>
      <c r="L88" t="s">
        <v>8</v>
      </c>
      <c r="M88" t="s">
        <v>7</v>
      </c>
      <c r="N88" t="s">
        <v>8</v>
      </c>
      <c r="P88">
        <f t="shared" ref="P88" si="415">IF(C88=D88,0,((E88-D88)-(C88-E88))/(C88-D88))</f>
        <v>-0.34166666666666656</v>
      </c>
      <c r="Q88">
        <f t="shared" ref="Q88" si="416">F88*P88</f>
        <v>-2148720238.6999993</v>
      </c>
      <c r="R88">
        <f t="shared" ref="R88" si="417">R89+Q88</f>
        <v>-79782748008.654068</v>
      </c>
      <c r="S88">
        <f t="shared" ref="S88" si="418">R88/100000</f>
        <v>-797827.48008654069</v>
      </c>
      <c r="T88">
        <f t="shared" ref="T88" si="419">S88/1000</f>
        <v>-797.82748008654073</v>
      </c>
    </row>
    <row r="89" spans="1:20" x14ac:dyDescent="0.25">
      <c r="A89" s="5">
        <v>44504</v>
      </c>
      <c r="B89">
        <v>7.3689999999999997E-3</v>
      </c>
      <c r="C89">
        <v>7.7460000000000003E-3</v>
      </c>
      <c r="D89">
        <v>6.7499999999999999E-3</v>
      </c>
      <c r="E89">
        <v>6.9750000000000003E-3</v>
      </c>
      <c r="F89">
        <v>8313251406</v>
      </c>
      <c r="G89">
        <v>6.9750000000000003E-3</v>
      </c>
      <c r="L89" t="s">
        <v>7</v>
      </c>
      <c r="M89" t="s">
        <v>7</v>
      </c>
      <c r="N89" t="s">
        <v>8</v>
      </c>
      <c r="P89">
        <f t="shared" ref="P89" si="420">IF(C89=D89,0,((E89-D89)-(C89-E89))/(C89-D89))</f>
        <v>-0.54819277108433673</v>
      </c>
      <c r="Q89">
        <f t="shared" ref="Q89" si="421">F89*P89</f>
        <v>-4557264324.9758987</v>
      </c>
      <c r="R89">
        <f t="shared" ref="R89" si="422">R90+Q89</f>
        <v>-77634027769.954071</v>
      </c>
      <c r="S89">
        <f t="shared" ref="S89" si="423">R89/100000</f>
        <v>-776340.27769954072</v>
      </c>
      <c r="T89">
        <f t="shared" ref="T89" si="424">S89/1000</f>
        <v>-776.34027769954071</v>
      </c>
    </row>
    <row r="90" spans="1:20" x14ac:dyDescent="0.25">
      <c r="A90" s="5">
        <v>44503</v>
      </c>
      <c r="B90">
        <v>7.6930000000000002E-3</v>
      </c>
      <c r="C90">
        <v>7.8200000000000006E-3</v>
      </c>
      <c r="D90">
        <v>6.9230000000000003E-3</v>
      </c>
      <c r="E90">
        <v>7.3689999999999997E-3</v>
      </c>
      <c r="F90">
        <v>11734166545</v>
      </c>
      <c r="G90">
        <v>7.3689999999999997E-3</v>
      </c>
      <c r="L90" t="s">
        <v>7</v>
      </c>
      <c r="M90" t="s">
        <v>7</v>
      </c>
      <c r="N90" t="s">
        <v>8</v>
      </c>
      <c r="P90">
        <f t="shared" ref="P90" si="425">IF(C90=D90,0,((E90-D90)-(C90-E90))/(C90-D90))</f>
        <v>-5.5741360089203232E-3</v>
      </c>
      <c r="Q90">
        <f t="shared" ref="Q90" si="426">F90*P90</f>
        <v>-65407840.273152679</v>
      </c>
      <c r="R90">
        <f t="shared" ref="R90" si="427">R91+Q90</f>
        <v>-73076763444.978165</v>
      </c>
      <c r="S90">
        <f t="shared" ref="S90" si="428">R90/100000</f>
        <v>-730767.63444978162</v>
      </c>
      <c r="T90">
        <f t="shared" ref="T90" si="429">S90/1000</f>
        <v>-730.76763444978167</v>
      </c>
    </row>
    <row r="91" spans="1:20" x14ac:dyDescent="0.25">
      <c r="A91" s="5">
        <v>44502</v>
      </c>
      <c r="B91">
        <v>6.8570000000000002E-3</v>
      </c>
      <c r="C91">
        <v>8.463E-3</v>
      </c>
      <c r="D91">
        <v>6.6629999999999997E-3</v>
      </c>
      <c r="E91">
        <v>7.6930000000000002E-3</v>
      </c>
      <c r="F91">
        <v>25342359002</v>
      </c>
      <c r="G91">
        <v>7.6930000000000002E-3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0.14444444444444479</v>
      </c>
      <c r="Q91">
        <f t="shared" ref="Q91" si="431">F91*P91</f>
        <v>3660562966.9555645</v>
      </c>
      <c r="R91">
        <f t="shared" ref="R91" si="432">R92+Q91</f>
        <v>-73011355604.705017</v>
      </c>
      <c r="S91">
        <f t="shared" ref="S91" si="433">R91/100000</f>
        <v>-730113.55604705017</v>
      </c>
      <c r="T91">
        <f t="shared" ref="T91" si="434">S91/1000</f>
        <v>-730.11355604705011</v>
      </c>
    </row>
    <row r="92" spans="1:20" x14ac:dyDescent="0.25">
      <c r="A92" s="5">
        <v>44501</v>
      </c>
      <c r="B92">
        <v>7.0559999999999998E-3</v>
      </c>
      <c r="C92">
        <v>7.1279999999999998E-3</v>
      </c>
      <c r="D92">
        <v>6.4050000000000001E-3</v>
      </c>
      <c r="E92">
        <v>6.8589999999999996E-3</v>
      </c>
      <c r="F92">
        <v>9990979643</v>
      </c>
      <c r="G92">
        <v>6.8589999999999996E-3</v>
      </c>
      <c r="L92" t="s">
        <v>7</v>
      </c>
      <c r="M92" t="s">
        <v>8</v>
      </c>
      <c r="N92" t="s">
        <v>8</v>
      </c>
      <c r="P92">
        <f t="shared" ref="P92" si="435">IF(C92=D92,0,((E92-D92)-(C92-E92))/(C92-D92))</f>
        <v>0.25587828492392733</v>
      </c>
      <c r="Q92">
        <f t="shared" ref="Q92" si="436">F92*P92</f>
        <v>2556474735.7607117</v>
      </c>
      <c r="R92">
        <f t="shared" ref="R92" si="437">R93+Q92</f>
        <v>-76671918571.660583</v>
      </c>
      <c r="S92">
        <f t="shared" ref="S92" si="438">R92/100000</f>
        <v>-766719.18571660586</v>
      </c>
      <c r="T92">
        <f t="shared" ref="T92" si="439">S92/1000</f>
        <v>-766.71918571660581</v>
      </c>
    </row>
    <row r="93" spans="1:20" x14ac:dyDescent="0.25">
      <c r="A93" s="5">
        <v>44500</v>
      </c>
      <c r="B93">
        <v>6.0340000000000003E-3</v>
      </c>
      <c r="C93">
        <v>7.45E-3</v>
      </c>
      <c r="D93">
        <v>5.9690000000000003E-3</v>
      </c>
      <c r="E93">
        <v>7.045E-3</v>
      </c>
      <c r="F93">
        <v>27996129065</v>
      </c>
      <c r="G93">
        <v>7.045E-3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0.45307224848075617</v>
      </c>
      <c r="Q93">
        <f t="shared" ref="Q93" si="441">F93*P93</f>
        <v>12684269144.237</v>
      </c>
      <c r="R93">
        <f t="shared" ref="R93" si="442">R94+Q93</f>
        <v>-79228393307.421295</v>
      </c>
      <c r="S93">
        <f t="shared" ref="S93" si="443">R93/100000</f>
        <v>-792283.93307421298</v>
      </c>
      <c r="T93">
        <f t="shared" ref="T93" si="444">S93/1000</f>
        <v>-792.283933074213</v>
      </c>
    </row>
    <row r="94" spans="1:20" x14ac:dyDescent="0.25">
      <c r="A94" s="5">
        <v>44499</v>
      </c>
      <c r="B94">
        <v>5.7600000000000004E-3</v>
      </c>
      <c r="C94">
        <v>6.7000000000000002E-3</v>
      </c>
      <c r="D94">
        <v>5.5999999999999999E-3</v>
      </c>
      <c r="E94">
        <v>6.0400000000000002E-3</v>
      </c>
      <c r="F94">
        <v>20059115944</v>
      </c>
      <c r="G94">
        <v>6.0400000000000002E-3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-0.19999999999999968</v>
      </c>
      <c r="Q94">
        <f t="shared" ref="Q94" si="446">F94*P94</f>
        <v>-4011823188.7999935</v>
      </c>
      <c r="R94">
        <f t="shared" ref="R94" si="447">R95+Q94</f>
        <v>-91912662451.658295</v>
      </c>
      <c r="S94">
        <f t="shared" ref="S94" si="448">R94/100000</f>
        <v>-919126.62451658293</v>
      </c>
      <c r="T94">
        <f t="shared" ref="T94" si="449">S94/1000</f>
        <v>-919.12662451658298</v>
      </c>
    </row>
    <row r="95" spans="1:20" x14ac:dyDescent="0.25">
      <c r="A95" s="5">
        <v>44498</v>
      </c>
      <c r="B95">
        <v>5.4200000000000003E-3</v>
      </c>
      <c r="C95">
        <v>5.8599999999999998E-3</v>
      </c>
      <c r="D95">
        <v>5.3670000000000002E-3</v>
      </c>
      <c r="E95">
        <v>5.7600000000000004E-3</v>
      </c>
      <c r="F95">
        <v>6590529483</v>
      </c>
      <c r="G95">
        <v>5.7600000000000004E-3</v>
      </c>
      <c r="L95" t="s">
        <v>8</v>
      </c>
      <c r="M95" t="s">
        <v>8</v>
      </c>
      <c r="N95" t="s">
        <v>7</v>
      </c>
      <c r="P95">
        <f t="shared" ref="P95" si="450">IF(C95=D95,0,((E95-D95)-(C95-E95))/(C95-D95))</f>
        <v>0.59432048681541783</v>
      </c>
      <c r="Q95">
        <f t="shared" ref="Q95" si="451">F95*P95</f>
        <v>3916886690.7079239</v>
      </c>
      <c r="R95">
        <f t="shared" ref="R95" si="452">R96+Q95</f>
        <v>-87900839262.858307</v>
      </c>
      <c r="S95">
        <f t="shared" ref="S95" si="453">R95/100000</f>
        <v>-879008.39262858313</v>
      </c>
      <c r="T95">
        <f t="shared" ref="T95" si="454">S95/1000</f>
        <v>-879.00839262858312</v>
      </c>
    </row>
    <row r="96" spans="1:20" x14ac:dyDescent="0.25">
      <c r="A96" s="5">
        <v>44497</v>
      </c>
      <c r="B96">
        <v>5.2750000000000002E-3</v>
      </c>
      <c r="C96">
        <v>5.7299999999999999E-3</v>
      </c>
      <c r="D96">
        <v>5.2110000000000004E-3</v>
      </c>
      <c r="E96">
        <v>5.4190000000000002E-3</v>
      </c>
      <c r="F96">
        <v>7431016698</v>
      </c>
      <c r="G96">
        <v>5.4190000000000002E-3</v>
      </c>
      <c r="L96" t="s">
        <v>8</v>
      </c>
      <c r="M96" t="s">
        <v>8</v>
      </c>
      <c r="N96" t="s">
        <v>7</v>
      </c>
      <c r="P96">
        <f t="shared" ref="P96" si="455">IF(C96=D96,0,((E96-D96)-(C96-E96))/(C96-D96))</f>
        <v>-0.19845857418111731</v>
      </c>
      <c r="Q96">
        <f t="shared" ref="Q96" si="456">F96*P96</f>
        <v>-1474748978.6011543</v>
      </c>
      <c r="R96">
        <f t="shared" ref="R96" si="457">R97+Q96</f>
        <v>-91817725953.566238</v>
      </c>
      <c r="S96">
        <f t="shared" ref="S96" si="458">R96/100000</f>
        <v>-918177.25953566236</v>
      </c>
      <c r="T96">
        <f t="shared" ref="T96" si="459">S96/1000</f>
        <v>-918.17725953566242</v>
      </c>
    </row>
    <row r="97" spans="1:20" x14ac:dyDescent="0.25">
      <c r="A97" s="5">
        <v>44496</v>
      </c>
      <c r="B97">
        <v>6.3099999999999996E-3</v>
      </c>
      <c r="C97">
        <v>6.4270000000000004E-3</v>
      </c>
      <c r="D97">
        <v>4.7000000000000002E-3</v>
      </c>
      <c r="E97">
        <v>5.2729999999999999E-3</v>
      </c>
      <c r="F97">
        <v>12718730629</v>
      </c>
      <c r="G97">
        <v>5.2729999999999999E-3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-0.3364215402431967</v>
      </c>
      <c r="Q97">
        <f t="shared" ref="Q97" si="461">F97*P97</f>
        <v>-4278854948.146502</v>
      </c>
      <c r="R97">
        <f t="shared" ref="R97" si="462">R98+Q97</f>
        <v>-90342976974.965088</v>
      </c>
      <c r="S97">
        <f t="shared" ref="S97" si="463">R97/100000</f>
        <v>-903429.76974965085</v>
      </c>
      <c r="T97">
        <f t="shared" ref="T97" si="464">S97/1000</f>
        <v>-903.42976974965086</v>
      </c>
    </row>
    <row r="98" spans="1:20" x14ac:dyDescent="0.25">
      <c r="A98" s="5">
        <v>44495</v>
      </c>
      <c r="B98">
        <v>5.9950000000000003E-3</v>
      </c>
      <c r="C98">
        <v>6.62E-3</v>
      </c>
      <c r="D98">
        <v>5.9309999999999996E-3</v>
      </c>
      <c r="E98">
        <v>6.3070000000000001E-3</v>
      </c>
      <c r="F98">
        <v>8262599332</v>
      </c>
      <c r="G98">
        <v>6.3070000000000001E-3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9.1436865021771438E-2</v>
      </c>
      <c r="Q98">
        <f t="shared" ref="Q98" si="466">F98*P98</f>
        <v>755506179.8490628</v>
      </c>
      <c r="R98">
        <f t="shared" ref="R98" si="467">R99+Q98</f>
        <v>-86064122026.818588</v>
      </c>
      <c r="S98">
        <f t="shared" ref="S98" si="468">R98/100000</f>
        <v>-860641.22026818583</v>
      </c>
      <c r="T98">
        <f t="shared" ref="T98" si="469">S98/1000</f>
        <v>-860.64122026818586</v>
      </c>
    </row>
    <row r="99" spans="1:20" x14ac:dyDescent="0.25">
      <c r="A99" s="5">
        <v>44494</v>
      </c>
      <c r="B99">
        <v>5.7629999999999999E-3</v>
      </c>
      <c r="C99">
        <v>6.0520000000000001E-3</v>
      </c>
      <c r="D99">
        <v>5.7029999999999997E-3</v>
      </c>
      <c r="E99">
        <v>5.9950000000000003E-3</v>
      </c>
      <c r="F99">
        <v>4061057229</v>
      </c>
      <c r="G99">
        <v>5.9950000000000003E-3</v>
      </c>
      <c r="L99" t="s">
        <v>8</v>
      </c>
      <c r="M99" t="s">
        <v>7</v>
      </c>
      <c r="N99" t="s">
        <v>8</v>
      </c>
      <c r="P99">
        <f t="shared" ref="P99" si="470">IF(C99=D99,0,((E99-D99)-(C99-E99))/(C99-D99))</f>
        <v>0.67335243553008772</v>
      </c>
      <c r="Q99">
        <f t="shared" ref="Q99" si="471">F99*P99</f>
        <v>2734522775.9742193</v>
      </c>
      <c r="R99">
        <f t="shared" ref="R99" si="472">R100+Q99</f>
        <v>-86819628206.667648</v>
      </c>
      <c r="S99">
        <f t="shared" ref="S99" si="473">R99/100000</f>
        <v>-868196.28206667653</v>
      </c>
      <c r="T99">
        <f t="shared" ref="T99" si="474">S99/1000</f>
        <v>-868.19628206667653</v>
      </c>
    </row>
    <row r="100" spans="1:20" x14ac:dyDescent="0.25">
      <c r="A100" s="5">
        <v>44493</v>
      </c>
      <c r="B100">
        <v>5.9849999999999999E-3</v>
      </c>
      <c r="C100">
        <v>6.0099999999999997E-3</v>
      </c>
      <c r="D100">
        <v>5.6319999999999999E-3</v>
      </c>
      <c r="E100">
        <v>5.7629999999999999E-3</v>
      </c>
      <c r="F100">
        <v>4297255641</v>
      </c>
      <c r="G100">
        <v>5.7629999999999999E-3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-0.30687830687830642</v>
      </c>
      <c r="Q100">
        <f t="shared" ref="Q100" si="476">F100*P100</f>
        <v>-1318734535.3333313</v>
      </c>
      <c r="R100">
        <f t="shared" ref="R100" si="477">R101+Q100</f>
        <v>-89554150982.641861</v>
      </c>
      <c r="S100">
        <f t="shared" ref="S100" si="478">R100/100000</f>
        <v>-895541.50982641859</v>
      </c>
      <c r="T100">
        <f t="shared" ref="T100" si="479">S100/1000</f>
        <v>-895.54150982641863</v>
      </c>
    </row>
    <row r="101" spans="1:20" x14ac:dyDescent="0.25">
      <c r="A101" s="5">
        <v>44492</v>
      </c>
      <c r="B101">
        <v>6.0089999999999996E-3</v>
      </c>
      <c r="C101">
        <v>6.0559999999999998E-3</v>
      </c>
      <c r="D101">
        <v>5.8459999999999996E-3</v>
      </c>
      <c r="E101">
        <v>5.986E-3</v>
      </c>
      <c r="F101">
        <v>2969172589</v>
      </c>
      <c r="G101">
        <v>5.986E-3</v>
      </c>
      <c r="L101" t="s">
        <v>7</v>
      </c>
      <c r="M101" t="s">
        <v>8</v>
      </c>
      <c r="N101" t="s">
        <v>8</v>
      </c>
      <c r="P101">
        <f t="shared" ref="P101" si="480">IF(C101=D101,0,((E101-D101)-(C101-E101))/(C101-D101))</f>
        <v>0.33333333333333609</v>
      </c>
      <c r="Q101">
        <f t="shared" ref="Q101" si="481">F101*P101</f>
        <v>989724196.33334148</v>
      </c>
      <c r="R101">
        <f t="shared" ref="R101" si="482">R102+Q101</f>
        <v>-88235416447.308533</v>
      </c>
      <c r="S101">
        <f t="shared" ref="S101" si="483">R101/100000</f>
        <v>-882354.16447308531</v>
      </c>
      <c r="T101">
        <f t="shared" ref="T101" si="484">S101/1000</f>
        <v>-882.35416447308535</v>
      </c>
    </row>
    <row r="102" spans="1:20" x14ac:dyDescent="0.25">
      <c r="A102" s="5">
        <v>44491</v>
      </c>
      <c r="B102">
        <v>6.1650000000000003E-3</v>
      </c>
      <c r="C102">
        <v>6.3229999999999996E-3</v>
      </c>
      <c r="D102">
        <v>5.8979999999999996E-3</v>
      </c>
      <c r="E102">
        <v>6.0089999999999996E-3</v>
      </c>
      <c r="F102">
        <v>4535184702</v>
      </c>
      <c r="G102">
        <v>6.0089999999999996E-3</v>
      </c>
      <c r="L102" t="s">
        <v>7</v>
      </c>
      <c r="M102" t="s">
        <v>8</v>
      </c>
      <c r="N102" t="s">
        <v>8</v>
      </c>
      <c r="P102">
        <f t="shared" ref="P102" si="485">IF(C102=D102,0,((E102-D102)-(C102-E102))/(C102-D102))</f>
        <v>-0.47764705882352948</v>
      </c>
      <c r="Q102">
        <f t="shared" ref="Q102" si="486">F102*P102</f>
        <v>-2166217634.1317649</v>
      </c>
      <c r="R102">
        <f t="shared" ref="R102" si="487">R103+Q102</f>
        <v>-89225140643.641876</v>
      </c>
      <c r="S102">
        <f t="shared" ref="S102" si="488">R102/100000</f>
        <v>-892251.40643641877</v>
      </c>
      <c r="T102">
        <f t="shared" ref="T102" si="489">S102/1000</f>
        <v>-892.25140643641873</v>
      </c>
    </row>
    <row r="103" spans="1:20" x14ac:dyDescent="0.25">
      <c r="A103" s="5">
        <v>44490</v>
      </c>
      <c r="B103">
        <v>6.1900000000000002E-3</v>
      </c>
      <c r="C103">
        <v>6.6880000000000004E-3</v>
      </c>
      <c r="D103">
        <v>5.9620000000000003E-3</v>
      </c>
      <c r="E103">
        <v>6.1650000000000003E-3</v>
      </c>
      <c r="F103">
        <v>9348602861</v>
      </c>
      <c r="G103">
        <v>6.1650000000000003E-3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-0.44077134986225885</v>
      </c>
      <c r="Q103">
        <f t="shared" ref="Q103" si="491">F103*P103</f>
        <v>-4120596302.3691449</v>
      </c>
      <c r="R103">
        <f t="shared" ref="R103" si="492">R104+Q103</f>
        <v>-87058923009.510117</v>
      </c>
      <c r="S103">
        <f t="shared" ref="S103" si="493">R103/100000</f>
        <v>-870589.23009510117</v>
      </c>
      <c r="T103">
        <f t="shared" ref="T103" si="494">S103/1000</f>
        <v>-870.58923009510113</v>
      </c>
    </row>
    <row r="104" spans="1:20" x14ac:dyDescent="0.25">
      <c r="A104" s="5">
        <v>44489</v>
      </c>
      <c r="B104">
        <v>5.7829999999999999E-3</v>
      </c>
      <c r="C104">
        <v>6.28E-3</v>
      </c>
      <c r="D104">
        <v>5.7149999999999996E-3</v>
      </c>
      <c r="E104">
        <v>6.1939999999999999E-3</v>
      </c>
      <c r="F104">
        <v>5338206630</v>
      </c>
      <c r="G104">
        <v>6.1939999999999999E-3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0.69557522123893778</v>
      </c>
      <c r="Q104">
        <f t="shared" ref="Q104" si="496">F104*P104</f>
        <v>3713124257.6814146</v>
      </c>
      <c r="R104">
        <f t="shared" ref="R104" si="497">R105+Q104</f>
        <v>-82938326707.140976</v>
      </c>
      <c r="S104">
        <f t="shared" ref="S104" si="498">R104/100000</f>
        <v>-829383.26707140973</v>
      </c>
      <c r="T104">
        <f t="shared" ref="T104" si="499">S104/1000</f>
        <v>-829.3832670714097</v>
      </c>
    </row>
    <row r="105" spans="1:20" x14ac:dyDescent="0.25">
      <c r="A105" s="5">
        <v>44488</v>
      </c>
      <c r="B105">
        <v>5.757E-3</v>
      </c>
      <c r="C105">
        <v>5.8979999999999996E-3</v>
      </c>
      <c r="D105">
        <v>5.6629999999999996E-3</v>
      </c>
      <c r="E105">
        <v>5.7829999999999999E-3</v>
      </c>
      <c r="F105">
        <v>3402508910</v>
      </c>
      <c r="G105">
        <v>5.7829999999999999E-3</v>
      </c>
      <c r="L105" t="s">
        <v>7</v>
      </c>
      <c r="M105" t="s">
        <v>8</v>
      </c>
      <c r="N105" t="s">
        <v>8</v>
      </c>
      <c r="P105">
        <f t="shared" ref="P105" si="500">IF(C105=D105,0,((E105-D105)-(C105-E105))/(C105-D105))</f>
        <v>2.1276595744683678E-2</v>
      </c>
      <c r="Q105">
        <f t="shared" ref="Q105" si="501">F105*P105</f>
        <v>72393806.595754296</v>
      </c>
      <c r="R105">
        <f t="shared" ref="R105" si="502">R106+Q105</f>
        <v>-86651450964.822388</v>
      </c>
      <c r="S105">
        <f t="shared" ref="S105" si="503">R105/100000</f>
        <v>-866514.50964822387</v>
      </c>
      <c r="T105">
        <f t="shared" ref="T105" si="504">S105/1000</f>
        <v>-866.51450964822391</v>
      </c>
    </row>
    <row r="106" spans="1:20" x14ac:dyDescent="0.25">
      <c r="A106" s="5">
        <v>44487</v>
      </c>
      <c r="B106">
        <v>5.8809999999999999E-3</v>
      </c>
      <c r="C106">
        <v>6.1500000000000001E-3</v>
      </c>
      <c r="D106">
        <v>5.6230000000000004E-3</v>
      </c>
      <c r="E106">
        <v>5.7619999999999998E-3</v>
      </c>
      <c r="F106">
        <v>5695820734</v>
      </c>
      <c r="G106">
        <v>5.7619999999999998E-3</v>
      </c>
      <c r="L106" t="s">
        <v>7</v>
      </c>
      <c r="M106" t="s">
        <v>8</v>
      </c>
      <c r="N106" t="s">
        <v>8</v>
      </c>
      <c r="P106">
        <f t="shared" ref="P106" si="505">IF(C106=D106,0,((E106-D106)-(C106-E106))/(C106-D106))</f>
        <v>-0.47248576850095086</v>
      </c>
      <c r="Q106">
        <f t="shared" ref="Q106" si="506">F106*P106</f>
        <v>-2691194236.7476401</v>
      </c>
      <c r="R106">
        <f t="shared" ref="R106" si="507">R107+Q106</f>
        <v>-86723844771.418137</v>
      </c>
      <c r="S106">
        <f t="shared" ref="S106" si="508">R106/100000</f>
        <v>-867238.44771418138</v>
      </c>
      <c r="T106">
        <f t="shared" ref="T106" si="509">S106/1000</f>
        <v>-867.23844771418135</v>
      </c>
    </row>
    <row r="107" spans="1:20" x14ac:dyDescent="0.25">
      <c r="A107" s="5">
        <v>44486</v>
      </c>
      <c r="B107">
        <v>5.7120000000000001E-3</v>
      </c>
      <c r="C107">
        <v>6.1640000000000002E-3</v>
      </c>
      <c r="D107">
        <v>5.6210000000000001E-3</v>
      </c>
      <c r="E107">
        <v>5.8770000000000003E-3</v>
      </c>
      <c r="F107">
        <v>7650695131</v>
      </c>
      <c r="G107">
        <v>5.8770000000000003E-3</v>
      </c>
      <c r="L107" t="s">
        <v>8</v>
      </c>
      <c r="M107" t="s">
        <v>8</v>
      </c>
      <c r="N107" t="s">
        <v>8</v>
      </c>
      <c r="P107">
        <f t="shared" ref="P107" si="510">IF(C107=D107,0,((E107-D107)-(C107-E107))/(C107-D107))</f>
        <v>-5.7090239410680983E-2</v>
      </c>
      <c r="Q107">
        <f t="shared" ref="Q107" si="511">F107*P107</f>
        <v>-436780016.6869213</v>
      </c>
      <c r="R107">
        <f t="shared" ref="R107" si="512">R108+Q107</f>
        <v>-84032650534.670502</v>
      </c>
      <c r="S107">
        <f t="shared" ref="S107" si="513">R107/100000</f>
        <v>-840326.50534670497</v>
      </c>
      <c r="T107">
        <f t="shared" ref="T107" si="514">S107/1000</f>
        <v>-840.32650534670495</v>
      </c>
    </row>
    <row r="108" spans="1:20" x14ac:dyDescent="0.25">
      <c r="A108" s="5">
        <v>44485</v>
      </c>
      <c r="B108">
        <v>5.7210000000000004E-3</v>
      </c>
      <c r="C108">
        <v>6.0879999999999997E-3</v>
      </c>
      <c r="D108">
        <v>5.62E-3</v>
      </c>
      <c r="E108">
        <v>5.7140000000000003E-3</v>
      </c>
      <c r="F108">
        <v>4803365716</v>
      </c>
      <c r="G108">
        <v>5.7140000000000003E-3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-0.59829059829059661</v>
      </c>
      <c r="Q108">
        <f t="shared" ref="Q108" si="516">F108*P108</f>
        <v>-2873808548.0341802</v>
      </c>
      <c r="R108">
        <f t="shared" ref="R108" si="517">R109+Q108</f>
        <v>-83595870517.983582</v>
      </c>
      <c r="S108">
        <f t="shared" ref="S108" si="518">R108/100000</f>
        <v>-835958.70517983579</v>
      </c>
      <c r="T108">
        <f t="shared" ref="T108" si="519">S108/1000</f>
        <v>-835.95870517983576</v>
      </c>
    </row>
    <row r="109" spans="1:20" x14ac:dyDescent="0.25">
      <c r="A109" s="5">
        <v>44484</v>
      </c>
      <c r="B109">
        <v>6.0280000000000004E-3</v>
      </c>
      <c r="C109">
        <v>6.0309999999999999E-3</v>
      </c>
      <c r="D109">
        <v>5.4689999999999999E-3</v>
      </c>
      <c r="E109">
        <v>5.7210000000000004E-3</v>
      </c>
      <c r="F109">
        <v>7076336155</v>
      </c>
      <c r="G109">
        <v>5.7210000000000004E-3</v>
      </c>
      <c r="L109" t="s">
        <v>7</v>
      </c>
      <c r="M109" t="s">
        <v>8</v>
      </c>
      <c r="N109" t="s">
        <v>8</v>
      </c>
      <c r="P109">
        <f t="shared" ref="P109" si="520">IF(C109=D109,0,((E109-D109)-(C109-E109))/(C109-D109))</f>
        <v>-0.10320284697508723</v>
      </c>
      <c r="Q109">
        <f t="shared" ref="Q109" si="521">F109*P109</f>
        <v>-730298037.34874213</v>
      </c>
      <c r="R109">
        <f t="shared" ref="R109" si="522">R110+Q109</f>
        <v>-80722061969.949402</v>
      </c>
      <c r="S109">
        <f t="shared" ref="S109" si="523">R109/100000</f>
        <v>-807220.61969949398</v>
      </c>
      <c r="T109">
        <f t="shared" ref="T109" si="524">S109/1000</f>
        <v>-807.22061969949402</v>
      </c>
    </row>
    <row r="110" spans="1:20" x14ac:dyDescent="0.25">
      <c r="A110" s="5">
        <v>44483</v>
      </c>
      <c r="B110">
        <v>5.4460000000000003E-3</v>
      </c>
      <c r="C110">
        <v>6.4000000000000003E-3</v>
      </c>
      <c r="D110">
        <v>5.391E-3</v>
      </c>
      <c r="E110">
        <v>6.0340000000000003E-3</v>
      </c>
      <c r="F110">
        <v>11529331929</v>
      </c>
      <c r="G110">
        <v>6.0340000000000003E-3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0.27452923686818659</v>
      </c>
      <c r="Q110">
        <f t="shared" ref="Q110" si="526">F110*P110</f>
        <v>3165138696.0683875</v>
      </c>
      <c r="R110">
        <f t="shared" ref="R110" si="527">R111+Q110</f>
        <v>-79991763932.600662</v>
      </c>
      <c r="S110">
        <f t="shared" ref="S110" si="528">R110/100000</f>
        <v>-799917.63932600664</v>
      </c>
      <c r="T110">
        <f t="shared" ref="T110" si="529">S110/1000</f>
        <v>-799.91763932600668</v>
      </c>
    </row>
    <row r="111" spans="1:20" x14ac:dyDescent="0.25">
      <c r="A111" s="5">
        <v>44482</v>
      </c>
      <c r="B111">
        <v>5.3119999999999999E-3</v>
      </c>
      <c r="C111">
        <v>5.4900000000000001E-3</v>
      </c>
      <c r="D111">
        <v>5.1399999999999996E-3</v>
      </c>
      <c r="E111">
        <v>5.4419999999999998E-3</v>
      </c>
      <c r="F111">
        <v>3806051218</v>
      </c>
      <c r="G111">
        <v>5.4419999999999998E-3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0.72571428571428442</v>
      </c>
      <c r="Q111">
        <f t="shared" ref="Q111" si="531">F111*P111</f>
        <v>2762105741.0628524</v>
      </c>
      <c r="R111">
        <f t="shared" ref="R111" si="532">R112+Q111</f>
        <v>-83156902628.669052</v>
      </c>
      <c r="S111">
        <f t="shared" ref="S111" si="533">R111/100000</f>
        <v>-831569.0262866905</v>
      </c>
      <c r="T111">
        <f t="shared" ref="T111" si="534">S111/1000</f>
        <v>-831.56902628669047</v>
      </c>
    </row>
    <row r="112" spans="1:20" x14ac:dyDescent="0.25">
      <c r="A112" s="5">
        <v>44481</v>
      </c>
      <c r="B112">
        <v>5.6030000000000003E-3</v>
      </c>
      <c r="C112">
        <v>5.8100000000000001E-3</v>
      </c>
      <c r="D112">
        <v>4.9779999999999998E-3</v>
      </c>
      <c r="E112">
        <v>5.3109999999999997E-3</v>
      </c>
      <c r="F112">
        <v>5774096771</v>
      </c>
      <c r="G112">
        <v>5.3109999999999997E-3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-0.19951923076923112</v>
      </c>
      <c r="Q112">
        <f t="shared" ref="Q112" si="536">F112*P112</f>
        <v>-1152043346.1370213</v>
      </c>
      <c r="R112">
        <f t="shared" ref="R112" si="537">R113+Q112</f>
        <v>-85919008369.731903</v>
      </c>
      <c r="S112">
        <f t="shared" ref="S112" si="538">R112/100000</f>
        <v>-859190.08369731903</v>
      </c>
      <c r="T112">
        <f t="shared" ref="T112" si="539">S112/1000</f>
        <v>-859.19008369731898</v>
      </c>
    </row>
    <row r="113" spans="1:20" x14ac:dyDescent="0.25">
      <c r="A113" s="5">
        <v>44480</v>
      </c>
      <c r="B113">
        <v>5.3099999999999996E-3</v>
      </c>
      <c r="C113">
        <v>5.7260000000000002E-3</v>
      </c>
      <c r="D113">
        <v>5.1510000000000002E-3</v>
      </c>
      <c r="E113">
        <v>5.6039999999999996E-3</v>
      </c>
      <c r="F113">
        <v>5707454070</v>
      </c>
      <c r="G113">
        <v>5.6039999999999996E-3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0.57565217391304146</v>
      </c>
      <c r="Q113">
        <f t="shared" ref="Q113" si="541">F113*P113</f>
        <v>3285508342.9043365</v>
      </c>
      <c r="R113">
        <f t="shared" ref="R113" si="542">R114+Q113</f>
        <v>-84766965023.594879</v>
      </c>
      <c r="S113">
        <f t="shared" ref="S113" si="543">R113/100000</f>
        <v>-847669.65023594873</v>
      </c>
      <c r="T113">
        <f t="shared" ref="T113" si="544">S113/1000</f>
        <v>-847.66965023594878</v>
      </c>
    </row>
    <row r="114" spans="1:20" x14ac:dyDescent="0.25">
      <c r="A114" s="5">
        <v>44479</v>
      </c>
      <c r="B114">
        <v>5.8269999999999997E-3</v>
      </c>
      <c r="C114">
        <v>5.8269999999999997E-3</v>
      </c>
      <c r="D114">
        <v>5.2290000000000001E-3</v>
      </c>
      <c r="E114">
        <v>5.3099999999999996E-3</v>
      </c>
      <c r="F114">
        <v>4745931622</v>
      </c>
      <c r="G114">
        <v>5.3099999999999996E-3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-0.7290969899665567</v>
      </c>
      <c r="Q114">
        <f t="shared" ref="Q114" si="546">F114*P114</f>
        <v>-3460244460.1872983</v>
      </c>
      <c r="R114">
        <f t="shared" ref="R114" si="547">R115+Q114</f>
        <v>-88052473366.499222</v>
      </c>
      <c r="S114">
        <f t="shared" ref="S114" si="548">R114/100000</f>
        <v>-880524.73366499227</v>
      </c>
      <c r="T114">
        <f t="shared" ref="T114" si="549">S114/1000</f>
        <v>-880.52473366499225</v>
      </c>
    </row>
    <row r="115" spans="1:20" x14ac:dyDescent="0.25">
      <c r="A115" s="5">
        <v>44478</v>
      </c>
      <c r="B115">
        <v>5.8320000000000004E-3</v>
      </c>
      <c r="C115">
        <v>6.0749999999999997E-3</v>
      </c>
      <c r="D115">
        <v>5.6779999999999999E-3</v>
      </c>
      <c r="E115">
        <v>5.8230000000000001E-3</v>
      </c>
      <c r="F115">
        <v>6846247966</v>
      </c>
      <c r="G115">
        <v>5.8230000000000001E-3</v>
      </c>
      <c r="L115" t="s">
        <v>7</v>
      </c>
      <c r="M115" t="s">
        <v>7</v>
      </c>
      <c r="N115" t="s">
        <v>8</v>
      </c>
      <c r="P115">
        <f t="shared" ref="P115" si="550">IF(C115=D115,0,((E115-D115)-(C115-E115))/(C115-D115))</f>
        <v>-0.26952141057934387</v>
      </c>
      <c r="Q115">
        <f t="shared" ref="Q115" si="551">F115*P115</f>
        <v>-1845210408.9722838</v>
      </c>
      <c r="R115">
        <f t="shared" ref="R115" si="552">R116+Q115</f>
        <v>-84592228906.31192</v>
      </c>
      <c r="S115">
        <f t="shared" ref="S115" si="553">R115/100000</f>
        <v>-845922.28906311921</v>
      </c>
      <c r="T115">
        <f t="shared" ref="T115" si="554">S115/1000</f>
        <v>-845.92228906311925</v>
      </c>
    </row>
    <row r="116" spans="1:20" x14ac:dyDescent="0.25">
      <c r="A116" s="5">
        <v>44477</v>
      </c>
      <c r="B116">
        <v>5.8300000000000001E-3</v>
      </c>
      <c r="C116">
        <v>6.0990000000000003E-3</v>
      </c>
      <c r="D116">
        <v>5.7650000000000002E-3</v>
      </c>
      <c r="E116">
        <v>5.8300000000000001E-3</v>
      </c>
      <c r="F116">
        <v>6467732573</v>
      </c>
      <c r="G116">
        <v>5.8300000000000001E-3</v>
      </c>
      <c r="L116" t="s">
        <v>7</v>
      </c>
      <c r="M116" t="s">
        <v>7</v>
      </c>
      <c r="N116" t="s">
        <v>8</v>
      </c>
      <c r="P116">
        <f t="shared" ref="P116" si="555">IF(C116=D116,0,((E116-D116)-(C116-E116))/(C116-D116))</f>
        <v>-0.61077844311377283</v>
      </c>
      <c r="Q116">
        <f t="shared" ref="Q116" si="556">F116*P116</f>
        <v>-3950351631.4131761</v>
      </c>
      <c r="R116">
        <f t="shared" ref="R116" si="557">R117+Q116</f>
        <v>-82747018497.33963</v>
      </c>
      <c r="S116">
        <f t="shared" ref="S116" si="558">R116/100000</f>
        <v>-827470.18497339624</v>
      </c>
      <c r="T116">
        <f t="shared" ref="T116" si="559">S116/1000</f>
        <v>-827.47018497339627</v>
      </c>
    </row>
    <row r="117" spans="1:20" x14ac:dyDescent="0.25">
      <c r="A117" s="5">
        <v>44476</v>
      </c>
      <c r="B117">
        <v>6.0870000000000004E-3</v>
      </c>
      <c r="C117">
        <v>6.2310000000000004E-3</v>
      </c>
      <c r="D117">
        <v>5.7419999999999997E-3</v>
      </c>
      <c r="E117">
        <v>5.8269999999999997E-3</v>
      </c>
      <c r="F117">
        <v>8209575302</v>
      </c>
      <c r="G117">
        <v>5.8269999999999997E-3</v>
      </c>
      <c r="L117" t="s">
        <v>7</v>
      </c>
      <c r="M117" t="s">
        <v>7</v>
      </c>
      <c r="N117" t="s">
        <v>8</v>
      </c>
      <c r="P117">
        <f t="shared" ref="P117" si="560">IF(C117=D117,0,((E117-D117)-(C117-E117))/(C117-D117))</f>
        <v>-0.65235173824130932</v>
      </c>
      <c r="Q117">
        <f t="shared" ref="Q117" si="561">F117*P117</f>
        <v>-5355530718.4826221</v>
      </c>
      <c r="R117">
        <f t="shared" ref="R117" si="562">R118+Q117</f>
        <v>-78796666865.926453</v>
      </c>
      <c r="S117">
        <f t="shared" ref="S117" si="563">R117/100000</f>
        <v>-787966.66865926457</v>
      </c>
      <c r="T117">
        <f t="shared" ref="T117" si="564">S117/1000</f>
        <v>-787.96666865926454</v>
      </c>
    </row>
    <row r="118" spans="1:20" x14ac:dyDescent="0.25">
      <c r="A118" s="5">
        <v>44475</v>
      </c>
      <c r="B118">
        <v>6.5950000000000002E-3</v>
      </c>
      <c r="C118">
        <v>6.9199999999999999E-3</v>
      </c>
      <c r="D118">
        <v>5.8240000000000002E-3</v>
      </c>
      <c r="E118">
        <v>6.0920000000000002E-3</v>
      </c>
      <c r="F118">
        <v>12877177253</v>
      </c>
      <c r="G118">
        <v>6.0920000000000002E-3</v>
      </c>
      <c r="L118" t="s">
        <v>7</v>
      </c>
      <c r="M118" t="s">
        <v>8</v>
      </c>
      <c r="N118" t="s">
        <v>8</v>
      </c>
      <c r="P118">
        <f t="shared" ref="P118" si="565">IF(C118=D118,0,((E118-D118)-(C118-E118))/(C118-D118))</f>
        <v>-0.51094890510948887</v>
      </c>
      <c r="Q118">
        <f t="shared" ref="Q118" si="566">F118*P118</f>
        <v>-6579579618.321166</v>
      </c>
      <c r="R118">
        <f t="shared" ref="R118" si="567">R119+Q118</f>
        <v>-73441136147.443832</v>
      </c>
      <c r="S118">
        <f t="shared" ref="S118" si="568">R118/100000</f>
        <v>-734411.36147443834</v>
      </c>
      <c r="T118">
        <f t="shared" ref="T118" si="569">S118/1000</f>
        <v>-734.41136147443831</v>
      </c>
    </row>
    <row r="119" spans="1:20" x14ac:dyDescent="0.25">
      <c r="A119" s="5">
        <v>44474</v>
      </c>
      <c r="B119">
        <v>5.7210000000000004E-3</v>
      </c>
      <c r="C119">
        <v>6.8199999999999997E-3</v>
      </c>
      <c r="D119">
        <v>5.6629999999999996E-3</v>
      </c>
      <c r="E119">
        <v>6.6E-3</v>
      </c>
      <c r="F119">
        <v>15595627936</v>
      </c>
      <c r="G119">
        <v>6.6E-3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0.61970613656006968</v>
      </c>
      <c r="Q119">
        <f t="shared" ref="Q119" si="571">F119*P119</f>
        <v>9664706335.4468536</v>
      </c>
      <c r="R119">
        <f t="shared" ref="R119" si="572">R120+Q119</f>
        <v>-66861556529.122665</v>
      </c>
      <c r="S119">
        <f t="shared" ref="S119" si="573">R119/100000</f>
        <v>-668615.56529122661</v>
      </c>
      <c r="T119">
        <f t="shared" ref="T119" si="574">S119/1000</f>
        <v>-668.61556529122663</v>
      </c>
    </row>
    <row r="120" spans="1:20" x14ac:dyDescent="0.25">
      <c r="A120" s="5">
        <v>44473</v>
      </c>
      <c r="B120">
        <v>5.7450000000000001E-3</v>
      </c>
      <c r="C120">
        <v>6.2610000000000001E-3</v>
      </c>
      <c r="D120">
        <v>5.5560000000000002E-3</v>
      </c>
      <c r="E120">
        <v>5.7829999999999999E-3</v>
      </c>
      <c r="F120">
        <v>11475430987</v>
      </c>
      <c r="G120">
        <v>5.7829999999999999E-3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-0.35602836879432681</v>
      </c>
      <c r="Q120">
        <f t="shared" ref="Q120" si="576">F120*P120</f>
        <v>-4085578975.5134816</v>
      </c>
      <c r="R120">
        <f t="shared" ref="R120" si="577">R121+Q120</f>
        <v>-76526262864.569519</v>
      </c>
      <c r="S120">
        <f t="shared" ref="S120" si="578">R120/100000</f>
        <v>-765262.62864569516</v>
      </c>
      <c r="T120">
        <f t="shared" ref="T120" si="579">S120/1000</f>
        <v>-765.26262864569514</v>
      </c>
    </row>
    <row r="121" spans="1:20" x14ac:dyDescent="0.25">
      <c r="A121" s="5">
        <v>44472</v>
      </c>
      <c r="B121">
        <v>5.6870000000000002E-3</v>
      </c>
      <c r="C121">
        <v>6.4180000000000001E-3</v>
      </c>
      <c r="D121">
        <v>5.5409999999999999E-3</v>
      </c>
      <c r="E121">
        <v>5.7429999999999998E-3</v>
      </c>
      <c r="F121">
        <v>17311264429</v>
      </c>
      <c r="G121">
        <v>5.7429999999999998E-3</v>
      </c>
      <c r="L121" t="s">
        <v>8</v>
      </c>
      <c r="M121" t="s">
        <v>8</v>
      </c>
      <c r="N121" t="s">
        <v>8</v>
      </c>
      <c r="P121">
        <f t="shared" ref="P121" si="580">IF(C121=D121,0,((E121-D121)-(C121-E121))/(C121-D121))</f>
        <v>-0.5393386545039911</v>
      </c>
      <c r="Q121">
        <f t="shared" ref="Q121" si="581">F121*P121</f>
        <v>-9336634064.899662</v>
      </c>
      <c r="R121">
        <f t="shared" ref="R121" si="582">R122+Q121</f>
        <v>-72440683889.05603</v>
      </c>
      <c r="S121">
        <f t="shared" ref="S121" si="583">R121/100000</f>
        <v>-724406.83889056032</v>
      </c>
      <c r="T121">
        <f t="shared" ref="T121" si="584">S121/1000</f>
        <v>-724.40683889056027</v>
      </c>
    </row>
    <row r="122" spans="1:20" x14ac:dyDescent="0.25">
      <c r="A122" s="5">
        <v>44471</v>
      </c>
      <c r="B122">
        <v>4.8120000000000003E-3</v>
      </c>
      <c r="C122">
        <v>5.94E-3</v>
      </c>
      <c r="D122">
        <v>4.7130000000000002E-3</v>
      </c>
      <c r="E122">
        <v>5.6839999999999998E-3</v>
      </c>
      <c r="F122">
        <v>11129702019</v>
      </c>
      <c r="G122">
        <v>5.6839999999999998E-3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0.58272208638956768</v>
      </c>
      <c r="Q122">
        <f t="shared" ref="Q122" si="586">F122*P122</f>
        <v>6485523181.4058638</v>
      </c>
      <c r="R122">
        <f t="shared" ref="R122" si="587">R123+Q122</f>
        <v>-63104049824.156364</v>
      </c>
      <c r="S122">
        <f t="shared" ref="S122" si="588">R122/100000</f>
        <v>-631040.49824156368</v>
      </c>
      <c r="T122">
        <f t="shared" ref="T122" si="589">S122/1000</f>
        <v>-631.04049824156368</v>
      </c>
    </row>
    <row r="123" spans="1:20" x14ac:dyDescent="0.25">
      <c r="A123" s="5">
        <v>44470</v>
      </c>
      <c r="B123">
        <v>4.3990000000000001E-3</v>
      </c>
      <c r="C123">
        <v>4.9589999999999999E-3</v>
      </c>
      <c r="D123">
        <v>4.3639999999999998E-3</v>
      </c>
      <c r="E123">
        <v>4.8129999999999996E-3</v>
      </c>
      <c r="F123">
        <v>7320295218</v>
      </c>
      <c r="G123">
        <v>4.8129999999999996E-3</v>
      </c>
      <c r="L123" t="s">
        <v>8</v>
      </c>
      <c r="M123" t="s">
        <v>8</v>
      </c>
      <c r="N123" t="s">
        <v>8</v>
      </c>
      <c r="P123">
        <f t="shared" ref="P123" si="590">IF(C123=D123,0,((E123-D123)-(C123-E123))/(C123-D123))</f>
        <v>0.50924369747899068</v>
      </c>
      <c r="Q123">
        <f t="shared" ref="Q123" si="591">F123*P123</f>
        <v>3727814203.4520941</v>
      </c>
      <c r="R123">
        <f t="shared" ref="R123" si="592">R124+Q123</f>
        <v>-69589573005.562225</v>
      </c>
      <c r="S123">
        <f t="shared" ref="S123" si="593">R123/100000</f>
        <v>-695895.73005562229</v>
      </c>
      <c r="T123">
        <f t="shared" ref="T123" si="594">S123/1000</f>
        <v>-695.89573005562227</v>
      </c>
    </row>
    <row r="124" spans="1:20" x14ac:dyDescent="0.25">
      <c r="A124" s="5">
        <v>44469</v>
      </c>
      <c r="B124">
        <v>4.1700000000000001E-3</v>
      </c>
      <c r="C124">
        <v>4.5149999999999999E-3</v>
      </c>
      <c r="D124">
        <v>4.1390000000000003E-3</v>
      </c>
      <c r="E124">
        <v>4.3990000000000001E-3</v>
      </c>
      <c r="F124">
        <v>6973870583</v>
      </c>
      <c r="G124">
        <v>4.3990000000000001E-3</v>
      </c>
      <c r="L124" t="s">
        <v>8</v>
      </c>
      <c r="M124" t="s">
        <v>8</v>
      </c>
      <c r="N124" t="s">
        <v>7</v>
      </c>
      <c r="P124">
        <f t="shared" ref="P124" si="595">IF(C124=D124,0,((E124-D124)-(C124-E124))/(C124-D124))</f>
        <v>0.38297872340425582</v>
      </c>
      <c r="Q124">
        <f t="shared" ref="Q124" si="596">F124*P124</f>
        <v>2670844053.0638332</v>
      </c>
      <c r="R124">
        <f t="shared" ref="R124" si="597">R125+Q124</f>
        <v>-73317387209.014313</v>
      </c>
      <c r="S124">
        <f t="shared" ref="S124" si="598">R124/100000</f>
        <v>-733173.87209014315</v>
      </c>
      <c r="T124">
        <f t="shared" ref="T124" si="599">S124/1000</f>
        <v>-733.17387209014316</v>
      </c>
    </row>
    <row r="125" spans="1:20" x14ac:dyDescent="0.25">
      <c r="A125" s="5">
        <v>44468</v>
      </c>
      <c r="B125">
        <v>4.3620000000000004E-3</v>
      </c>
      <c r="C125">
        <v>4.6360000000000004E-3</v>
      </c>
      <c r="D125">
        <v>4.045E-3</v>
      </c>
      <c r="E125">
        <v>4.1700000000000001E-3</v>
      </c>
      <c r="F125">
        <v>8103800915</v>
      </c>
      <c r="G125">
        <v>4.1700000000000001E-3</v>
      </c>
      <c r="L125" t="s">
        <v>7</v>
      </c>
      <c r="M125" t="s">
        <v>8</v>
      </c>
      <c r="N125" t="s">
        <v>7</v>
      </c>
      <c r="P125">
        <f t="shared" ref="P125" si="600">IF(C125=D125,0,((E125-D125)-(C125-E125))/(C125-D125))</f>
        <v>-0.57698815566835859</v>
      </c>
      <c r="Q125">
        <f t="shared" ref="Q125" si="601">F125*P125</f>
        <v>-4675797143.8494072</v>
      </c>
      <c r="R125">
        <f t="shared" ref="R125" si="602">R126+Q125</f>
        <v>-75988231262.07814</v>
      </c>
      <c r="S125">
        <f t="shared" ref="S125" si="603">R125/100000</f>
        <v>-759882.31262078136</v>
      </c>
      <c r="T125">
        <f t="shared" ref="T125" si="604">S125/1000</f>
        <v>-759.88231262078136</v>
      </c>
    </row>
    <row r="126" spans="1:20" x14ac:dyDescent="0.25">
      <c r="A126" s="5">
        <v>44467</v>
      </c>
      <c r="B126">
        <v>3.849E-3</v>
      </c>
      <c r="C126">
        <v>4.5900000000000003E-3</v>
      </c>
      <c r="D126">
        <v>3.7780000000000001E-3</v>
      </c>
      <c r="E126">
        <v>4.3629999999999997E-3</v>
      </c>
      <c r="F126">
        <v>15716814276</v>
      </c>
      <c r="G126">
        <v>4.3629999999999997E-3</v>
      </c>
      <c r="L126" t="s">
        <v>8</v>
      </c>
      <c r="M126" t="s">
        <v>8</v>
      </c>
      <c r="N126" t="s">
        <v>7</v>
      </c>
      <c r="P126">
        <f t="shared" ref="P126" si="605">IF(C126=D126,0,((E126-D126)-(C126-E126))/(C126-D126))</f>
        <v>0.44088669950738774</v>
      </c>
      <c r="Q126">
        <f t="shared" ref="Q126" si="606">F126*P126</f>
        <v>6929334372.916234</v>
      </c>
      <c r="R126">
        <f t="shared" ref="R126" si="607">R127+Q126</f>
        <v>-71312434118.228729</v>
      </c>
      <c r="S126">
        <f t="shared" ref="S126" si="608">R126/100000</f>
        <v>-713124.34118228732</v>
      </c>
      <c r="T126">
        <f t="shared" ref="T126" si="609">S126/1000</f>
        <v>-713.12434118228737</v>
      </c>
    </row>
    <row r="127" spans="1:20" x14ac:dyDescent="0.25">
      <c r="A127" s="5">
        <v>44466</v>
      </c>
      <c r="B127">
        <v>3.9620000000000002E-3</v>
      </c>
      <c r="C127">
        <v>4.1679999999999998E-3</v>
      </c>
      <c r="D127">
        <v>3.8340000000000002E-3</v>
      </c>
      <c r="E127">
        <v>3.8509999999999998E-3</v>
      </c>
      <c r="F127">
        <v>5303659812</v>
      </c>
      <c r="G127">
        <v>3.8509999999999998E-3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-0.89820359281437323</v>
      </c>
      <c r="Q127">
        <f t="shared" ref="Q127" si="611">F127*P127</f>
        <v>-4763766298.2036037</v>
      </c>
      <c r="R127">
        <f t="shared" ref="R127" si="612">R128+Q127</f>
        <v>-78241768491.144958</v>
      </c>
      <c r="S127">
        <f t="shared" ref="S127" si="613">R127/100000</f>
        <v>-782417.68491144956</v>
      </c>
      <c r="T127">
        <f t="shared" ref="T127" si="614">S127/1000</f>
        <v>-782.41768491144956</v>
      </c>
    </row>
    <row r="128" spans="1:20" x14ac:dyDescent="0.25">
      <c r="A128" s="5">
        <v>44465</v>
      </c>
      <c r="B128">
        <v>4.1580000000000002E-3</v>
      </c>
      <c r="C128">
        <v>4.1999999999999997E-3</v>
      </c>
      <c r="D128">
        <v>3.7450000000000001E-3</v>
      </c>
      <c r="E128">
        <v>3.9649999999999998E-3</v>
      </c>
      <c r="F128">
        <v>6454261801</v>
      </c>
      <c r="G128">
        <v>3.9649999999999998E-3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-3.2967032967033551E-2</v>
      </c>
      <c r="Q128">
        <f t="shared" ref="Q128" si="616">F128*P128</f>
        <v>-212777861.57143235</v>
      </c>
      <c r="R128">
        <f t="shared" ref="R128" si="617">R129+Q128</f>
        <v>-73478002192.94136</v>
      </c>
      <c r="S128">
        <f t="shared" ref="S128" si="618">R128/100000</f>
        <v>-734780.02192941366</v>
      </c>
      <c r="T128">
        <f t="shared" ref="T128" si="619">S128/1000</f>
        <v>-734.78002192941369</v>
      </c>
    </row>
    <row r="129" spans="1:20" x14ac:dyDescent="0.25">
      <c r="A129" s="5">
        <v>44464</v>
      </c>
      <c r="B129">
        <v>3.9370000000000004E-3</v>
      </c>
      <c r="C129">
        <v>4.4929999999999996E-3</v>
      </c>
      <c r="D129">
        <v>3.8189999999999999E-3</v>
      </c>
      <c r="E129">
        <v>4.1580000000000002E-3</v>
      </c>
      <c r="F129">
        <v>9855668532</v>
      </c>
      <c r="G129">
        <v>4.1580000000000002E-3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5.9347181008916417E-3</v>
      </c>
      <c r="Q129">
        <f t="shared" ref="Q129" si="621">F129*P129</f>
        <v>58490614.433248557</v>
      </c>
      <c r="R129">
        <f t="shared" ref="R129" si="622">R130+Q129</f>
        <v>-73265224331.369934</v>
      </c>
      <c r="S129">
        <f t="shared" ref="S129" si="623">R129/100000</f>
        <v>-732652.24331369938</v>
      </c>
      <c r="T129">
        <f t="shared" ref="T129" si="624">S129/1000</f>
        <v>-732.65224331369939</v>
      </c>
    </row>
    <row r="130" spans="1:20" x14ac:dyDescent="0.25">
      <c r="A130" s="5">
        <v>44463</v>
      </c>
      <c r="B130">
        <v>4.2989999999999999E-3</v>
      </c>
      <c r="C130">
        <v>4.3150000000000003E-3</v>
      </c>
      <c r="D130">
        <v>3.6410000000000001E-3</v>
      </c>
      <c r="E130">
        <v>3.9370000000000004E-3</v>
      </c>
      <c r="F130">
        <v>7433900192</v>
      </c>
      <c r="G130">
        <v>3.9370000000000004E-3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-0.12166172106824866</v>
      </c>
      <c r="Q130">
        <f t="shared" ref="Q130" si="626">F130*P130</f>
        <v>-904421091.60830414</v>
      </c>
      <c r="R130">
        <f t="shared" ref="R130" si="627">R131+Q130</f>
        <v>-73323714945.803177</v>
      </c>
      <c r="S130">
        <f t="shared" ref="S130" si="628">R130/100000</f>
        <v>-733237.14945803175</v>
      </c>
      <c r="T130">
        <f t="shared" ref="T130" si="629">S130/1000</f>
        <v>-733.23714945803181</v>
      </c>
    </row>
    <row r="131" spans="1:20" x14ac:dyDescent="0.25">
      <c r="A131" s="5">
        <v>44462</v>
      </c>
      <c r="B131">
        <v>4.2360000000000002E-3</v>
      </c>
      <c r="C131">
        <v>4.385E-3</v>
      </c>
      <c r="D131">
        <v>4.0819999999999997E-3</v>
      </c>
      <c r="E131">
        <v>4.3020000000000003E-3</v>
      </c>
      <c r="F131">
        <v>5093928272</v>
      </c>
      <c r="G131">
        <v>4.3020000000000003E-3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0.45214521452145445</v>
      </c>
      <c r="Q131">
        <f t="shared" ref="Q131" si="631">F131*P131</f>
        <v>2303195291.3003416</v>
      </c>
      <c r="R131">
        <f t="shared" ref="R131" si="632">R132+Q131</f>
        <v>-72419293854.19487</v>
      </c>
      <c r="S131">
        <f t="shared" ref="S131" si="633">R131/100000</f>
        <v>-724192.93854194868</v>
      </c>
      <c r="T131">
        <f t="shared" ref="T131" si="634">S131/1000</f>
        <v>-724.19293854194871</v>
      </c>
    </row>
    <row r="132" spans="1:20" x14ac:dyDescent="0.25">
      <c r="A132" s="5">
        <v>44461</v>
      </c>
      <c r="B132">
        <v>3.6589999999999999E-3</v>
      </c>
      <c r="C132">
        <v>4.2789999999999998E-3</v>
      </c>
      <c r="D132">
        <v>3.5699999999999998E-3</v>
      </c>
      <c r="E132">
        <v>4.2360000000000002E-3</v>
      </c>
      <c r="F132">
        <v>5494786563</v>
      </c>
      <c r="G132">
        <v>4.2360000000000002E-3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0.8787023977433015</v>
      </c>
      <c r="Q132">
        <f t="shared" ref="Q132" si="636">F132*P132</f>
        <v>4828282127.9957743</v>
      </c>
      <c r="R132">
        <f t="shared" ref="R132" si="637">R133+Q132</f>
        <v>-74722489145.495209</v>
      </c>
      <c r="S132">
        <f t="shared" ref="S132" si="638">R132/100000</f>
        <v>-747224.89145495207</v>
      </c>
      <c r="T132">
        <f t="shared" ref="T132" si="639">S132/1000</f>
        <v>-747.22489145495206</v>
      </c>
    </row>
    <row r="133" spans="1:20" x14ac:dyDescent="0.25">
      <c r="A133" s="5">
        <v>44460</v>
      </c>
      <c r="B133">
        <v>3.967E-3</v>
      </c>
      <c r="C133">
        <v>4.1799999999999997E-3</v>
      </c>
      <c r="D133">
        <v>3.5019999999999999E-3</v>
      </c>
      <c r="E133">
        <v>3.656E-3</v>
      </c>
      <c r="F133">
        <v>10098388522</v>
      </c>
      <c r="G133">
        <v>3.656E-3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-0.54572271386430649</v>
      </c>
      <c r="Q133">
        <f t="shared" ref="Q133" si="641">F133*P133</f>
        <v>-5510919989.8820028</v>
      </c>
      <c r="R133">
        <f t="shared" ref="R133" si="642">R134+Q133</f>
        <v>-79550771273.490982</v>
      </c>
      <c r="S133">
        <f t="shared" ref="S133" si="643">R133/100000</f>
        <v>-795507.71273490984</v>
      </c>
      <c r="T133">
        <f t="shared" ref="T133" si="644">S133/1000</f>
        <v>-795.50771273490989</v>
      </c>
    </row>
    <row r="134" spans="1:20" x14ac:dyDescent="0.25">
      <c r="A134" s="5">
        <v>44459</v>
      </c>
      <c r="B134">
        <v>4.731E-3</v>
      </c>
      <c r="C134">
        <v>4.744E-3</v>
      </c>
      <c r="D134">
        <v>4.2339999999999999E-3</v>
      </c>
      <c r="E134">
        <v>4.3059999999999999E-3</v>
      </c>
      <c r="F134">
        <v>4105932508</v>
      </c>
      <c r="G134">
        <v>4.3059999999999999E-3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-0.71764705882352942</v>
      </c>
      <c r="Q134">
        <f t="shared" ref="Q134" si="646">F134*P134</f>
        <v>-2946610388.0941176</v>
      </c>
      <c r="R134">
        <f t="shared" ref="R134" si="647">R135+Q134</f>
        <v>-74039851283.608978</v>
      </c>
      <c r="S134">
        <f t="shared" ref="S134" si="648">R134/100000</f>
        <v>-740398.51283608982</v>
      </c>
      <c r="T134">
        <f t="shared" ref="T134" si="649">S134/1000</f>
        <v>-740.39851283608982</v>
      </c>
    </row>
    <row r="135" spans="1:20" x14ac:dyDescent="0.25">
      <c r="A135" s="5">
        <v>44458</v>
      </c>
      <c r="B135">
        <v>4.8349999999999999E-3</v>
      </c>
      <c r="C135">
        <v>4.8580000000000003E-3</v>
      </c>
      <c r="D135">
        <v>4.6210000000000001E-3</v>
      </c>
      <c r="E135">
        <v>4.7340000000000004E-3</v>
      </c>
      <c r="F135">
        <v>2999961718</v>
      </c>
      <c r="G135">
        <v>4.7340000000000004E-3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-4.6413502109703436E-2</v>
      </c>
      <c r="Q135">
        <f t="shared" ref="Q135" si="651">F135*P135</f>
        <v>-139238729.52742255</v>
      </c>
      <c r="R135">
        <f t="shared" ref="R135" si="652">R136+Q135</f>
        <v>-71093240895.514862</v>
      </c>
      <c r="S135">
        <f t="shared" ref="S135" si="653">R135/100000</f>
        <v>-710932.40895514865</v>
      </c>
      <c r="T135">
        <f t="shared" ref="T135" si="654">S135/1000</f>
        <v>-710.93240895514862</v>
      </c>
    </row>
    <row r="136" spans="1:20" x14ac:dyDescent="0.25">
      <c r="A136" s="5">
        <v>44457</v>
      </c>
      <c r="B136">
        <v>4.7320000000000001E-3</v>
      </c>
      <c r="C136">
        <v>5.025E-3</v>
      </c>
      <c r="D136">
        <v>4.6439999999999997E-3</v>
      </c>
      <c r="E136">
        <v>4.8349999999999999E-3</v>
      </c>
      <c r="F136">
        <v>4215122663</v>
      </c>
      <c r="G136">
        <v>4.8349999999999999E-3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2.6246719160108452E-3</v>
      </c>
      <c r="Q136">
        <f t="shared" ref="Q136" si="656">F136*P136</f>
        <v>11063314.076116946</v>
      </c>
      <c r="R136">
        <f t="shared" ref="R136" si="657">R137+Q136</f>
        <v>-70954002165.987442</v>
      </c>
      <c r="S136">
        <f t="shared" ref="S136" si="658">R136/100000</f>
        <v>-709540.02165987447</v>
      </c>
      <c r="T136">
        <f t="shared" ref="T136" si="659">S136/1000</f>
        <v>-709.54002165987447</v>
      </c>
    </row>
    <row r="137" spans="1:20" x14ac:dyDescent="0.25">
      <c r="A137" s="5">
        <v>44456</v>
      </c>
      <c r="B137">
        <v>4.9069999999999999E-3</v>
      </c>
      <c r="C137">
        <v>4.96E-3</v>
      </c>
      <c r="D137">
        <v>4.568E-3</v>
      </c>
      <c r="E137">
        <v>4.731E-3</v>
      </c>
      <c r="F137">
        <v>4882757434</v>
      </c>
      <c r="G137">
        <v>4.731E-3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-0.16836734693877572</v>
      </c>
      <c r="Q137">
        <f t="shared" ref="Q137" si="661">F137*P137</f>
        <v>-822096914.90816426</v>
      </c>
      <c r="R137">
        <f t="shared" ref="R137" si="662">R138+Q137</f>
        <v>-70965065480.063553</v>
      </c>
      <c r="S137">
        <f t="shared" ref="S137" si="663">R137/100000</f>
        <v>-709650.65480063553</v>
      </c>
      <c r="T137">
        <f t="shared" ref="T137" si="664">S137/1000</f>
        <v>-709.65065480063549</v>
      </c>
    </row>
    <row r="138" spans="1:20" x14ac:dyDescent="0.25">
      <c r="A138" s="5">
        <v>44455</v>
      </c>
      <c r="B138">
        <v>5.1549999999999999E-3</v>
      </c>
      <c r="C138">
        <v>5.2230000000000002E-3</v>
      </c>
      <c r="D138">
        <v>4.7600000000000003E-3</v>
      </c>
      <c r="E138">
        <v>4.9069999999999999E-3</v>
      </c>
      <c r="F138">
        <v>6489881954</v>
      </c>
      <c r="G138">
        <v>4.9069999999999999E-3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-0.36501079913607082</v>
      </c>
      <c r="Q138">
        <f t="shared" ref="Q138" si="666">F138*P138</f>
        <v>-2368876998.3283048</v>
      </c>
      <c r="R138">
        <f t="shared" ref="R138" si="667">R139+Q138</f>
        <v>-70142968565.155396</v>
      </c>
      <c r="S138">
        <f t="shared" ref="S138" si="668">R138/100000</f>
        <v>-701429.68565155391</v>
      </c>
      <c r="T138">
        <f t="shared" ref="T138" si="669">S138/1000</f>
        <v>-701.42968565155388</v>
      </c>
    </row>
    <row r="139" spans="1:20" x14ac:dyDescent="0.25">
      <c r="A139" s="5">
        <v>44454</v>
      </c>
      <c r="B139">
        <v>4.9059999999999998E-3</v>
      </c>
      <c r="C139">
        <v>5.1999999999999998E-3</v>
      </c>
      <c r="D139">
        <v>4.8560000000000001E-3</v>
      </c>
      <c r="E139">
        <v>5.1539999999999997E-3</v>
      </c>
      <c r="F139">
        <v>5344811215</v>
      </c>
      <c r="G139">
        <v>5.1539999999999997E-3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0.73255813953488325</v>
      </c>
      <c r="Q139">
        <f t="shared" ref="Q139" si="671">F139*P139</f>
        <v>3915384959.8255787</v>
      </c>
      <c r="R139">
        <f t="shared" ref="R139" si="672">R140+Q139</f>
        <v>-67774091566.827087</v>
      </c>
      <c r="S139">
        <f t="shared" ref="S139" si="673">R139/100000</f>
        <v>-677740.9156682709</v>
      </c>
      <c r="T139">
        <f t="shared" ref="T139" si="674">S139/1000</f>
        <v>-677.74091566827087</v>
      </c>
    </row>
    <row r="140" spans="1:20" x14ac:dyDescent="0.25">
      <c r="A140" s="5">
        <v>44453</v>
      </c>
      <c r="B140">
        <v>4.6579999999999998E-3</v>
      </c>
      <c r="C140">
        <v>4.9280000000000001E-3</v>
      </c>
      <c r="D140">
        <v>4.5750000000000001E-3</v>
      </c>
      <c r="E140">
        <v>4.9100000000000003E-3</v>
      </c>
      <c r="F140">
        <v>4880259213</v>
      </c>
      <c r="G140">
        <v>4.9100000000000003E-3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0.89801699716714001</v>
      </c>
      <c r="Q140">
        <f t="shared" ref="Q140" si="676">F140*P140</f>
        <v>4382555723.8555298</v>
      </c>
      <c r="R140">
        <f t="shared" ref="R140" si="677">R141+Q140</f>
        <v>-71689476526.652664</v>
      </c>
      <c r="S140">
        <f t="shared" ref="S140" si="678">R140/100000</f>
        <v>-716894.76526652661</v>
      </c>
      <c r="T140">
        <f t="shared" ref="T140" si="679">S140/1000</f>
        <v>-716.89476526652663</v>
      </c>
    </row>
    <row r="141" spans="1:20" x14ac:dyDescent="0.25">
      <c r="A141" s="5">
        <v>44452</v>
      </c>
      <c r="B141">
        <v>5.0619999999999997E-3</v>
      </c>
      <c r="C141">
        <v>5.1149999999999998E-3</v>
      </c>
      <c r="D141">
        <v>4.4270000000000004E-3</v>
      </c>
      <c r="E141">
        <v>4.6550000000000003E-3</v>
      </c>
      <c r="F141">
        <v>6914013127</v>
      </c>
      <c r="G141">
        <v>4.6550000000000003E-3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-0.33720930232558105</v>
      </c>
      <c r="Q141">
        <f t="shared" ref="Q141" si="681">F141*P141</f>
        <v>-2331469542.8255792</v>
      </c>
      <c r="R141">
        <f t="shared" ref="R141" si="682">R142+Q141</f>
        <v>-76072032250.508194</v>
      </c>
      <c r="S141">
        <f t="shared" ref="S141" si="683">R141/100000</f>
        <v>-760720.32250508189</v>
      </c>
      <c r="T141">
        <f t="shared" ref="T141" si="684">S141/1000</f>
        <v>-760.72032250508187</v>
      </c>
    </row>
    <row r="142" spans="1:20" x14ac:dyDescent="0.25">
      <c r="A142" s="5">
        <v>44451</v>
      </c>
      <c r="B142">
        <v>4.8040000000000001E-3</v>
      </c>
      <c r="C142">
        <v>5.2480000000000001E-3</v>
      </c>
      <c r="D142">
        <v>4.64E-3</v>
      </c>
      <c r="E142">
        <v>5.0629999999999998E-3</v>
      </c>
      <c r="F142">
        <v>7319392443</v>
      </c>
      <c r="G142">
        <v>5.0629999999999998E-3</v>
      </c>
      <c r="L142" t="s">
        <v>8</v>
      </c>
      <c r="M142" t="s">
        <v>7</v>
      </c>
      <c r="N142" t="s">
        <v>7</v>
      </c>
      <c r="P142">
        <f t="shared" ref="P142" si="685">IF(C142=D142,0,((E142-D142)-(C142-E142))/(C142-D142))</f>
        <v>0.39144736842105177</v>
      </c>
      <c r="Q142">
        <f t="shared" ref="Q142" si="686">F142*P142</f>
        <v>2865156910.253283</v>
      </c>
      <c r="R142">
        <f t="shared" ref="R142" si="687">R143+Q142</f>
        <v>-73740562707.682617</v>
      </c>
      <c r="S142">
        <f t="shared" ref="S142" si="688">R142/100000</f>
        <v>-737405.62707682617</v>
      </c>
      <c r="T142">
        <f t="shared" ref="T142" si="689">S142/1000</f>
        <v>-737.40562707682614</v>
      </c>
    </row>
    <row r="143" spans="1:20" x14ac:dyDescent="0.25">
      <c r="A143" s="5">
        <v>44450</v>
      </c>
      <c r="B143">
        <v>4.7429999999999998E-3</v>
      </c>
      <c r="C143">
        <v>4.9829999999999996E-3</v>
      </c>
      <c r="D143">
        <v>4.6259999999999999E-3</v>
      </c>
      <c r="E143">
        <v>4.8040000000000001E-3</v>
      </c>
      <c r="F143">
        <v>6055817953</v>
      </c>
      <c r="G143">
        <v>4.8040000000000001E-3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-2.8011204481772165E-3</v>
      </c>
      <c r="Q143">
        <f t="shared" ref="Q143" si="691">F143*P143</f>
        <v>-16963075.498586994</v>
      </c>
      <c r="R143">
        <f t="shared" ref="R143" si="692">R144+Q143</f>
        <v>-76605719617.935898</v>
      </c>
      <c r="S143">
        <f t="shared" ref="S143" si="693">R143/100000</f>
        <v>-766057.19617935899</v>
      </c>
      <c r="T143">
        <f t="shared" ref="T143" si="694">S143/1000</f>
        <v>-766.05719617935904</v>
      </c>
    </row>
    <row r="144" spans="1:20" x14ac:dyDescent="0.25">
      <c r="A144" s="5">
        <v>44449</v>
      </c>
      <c r="B144">
        <v>5.11E-3</v>
      </c>
      <c r="C144">
        <v>5.3109999999999997E-3</v>
      </c>
      <c r="D144">
        <v>4.5849999999999997E-3</v>
      </c>
      <c r="E144">
        <v>4.7470000000000004E-3</v>
      </c>
      <c r="F144">
        <v>9264998589</v>
      </c>
      <c r="G144">
        <v>4.7470000000000004E-3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-0.55371900826446097</v>
      </c>
      <c r="Q144">
        <f t="shared" ref="Q144" si="696">F144*P144</f>
        <v>-5130205830.2727098</v>
      </c>
      <c r="R144">
        <f t="shared" ref="R144" si="697">R145+Q144</f>
        <v>-76588756542.437317</v>
      </c>
      <c r="S144">
        <f t="shared" ref="S144" si="698">R144/100000</f>
        <v>-765887.56542437314</v>
      </c>
      <c r="T144">
        <f t="shared" ref="T144" si="699">S144/1000</f>
        <v>-765.88756542437318</v>
      </c>
    </row>
    <row r="145" spans="1:20" x14ac:dyDescent="0.25">
      <c r="A145" s="5">
        <v>44448</v>
      </c>
      <c r="B145">
        <v>5.0759999999999998E-3</v>
      </c>
      <c r="C145">
        <v>5.4549999999999998E-3</v>
      </c>
      <c r="D145">
        <v>4.7660000000000003E-3</v>
      </c>
      <c r="E145">
        <v>5.1089999999999998E-3</v>
      </c>
      <c r="F145">
        <v>10638185406</v>
      </c>
      <c r="G145">
        <v>5.1089999999999998E-3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-4.3541364296087086E-3</v>
      </c>
      <c r="Q145">
        <f t="shared" ref="Q145" si="701">F145*P145</f>
        <v>-46320110.621196307</v>
      </c>
      <c r="R145">
        <f t="shared" ref="R145" si="702">R146+Q145</f>
        <v>-71458550712.164612</v>
      </c>
      <c r="S145">
        <f t="shared" ref="S145" si="703">R145/100000</f>
        <v>-714585.50712164608</v>
      </c>
      <c r="T145">
        <f t="shared" ref="T145" si="704">S145/1000</f>
        <v>-714.58550712164606</v>
      </c>
    </row>
    <row r="146" spans="1:20" x14ac:dyDescent="0.25">
      <c r="A146" s="5">
        <v>44447</v>
      </c>
      <c r="B146">
        <v>5.1399999999999996E-3</v>
      </c>
      <c r="C146">
        <v>5.339E-3</v>
      </c>
      <c r="D146">
        <v>4.3540000000000002E-3</v>
      </c>
      <c r="E146">
        <v>5.0790000000000002E-3</v>
      </c>
      <c r="F146">
        <v>15433538962</v>
      </c>
      <c r="G146">
        <v>5.0790000000000002E-3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0.47208121827411192</v>
      </c>
      <c r="Q146">
        <f t="shared" ref="Q146" si="706">F146*P146</f>
        <v>7285883875.4619331</v>
      </c>
      <c r="R146">
        <f t="shared" ref="R146" si="707">R147+Q146</f>
        <v>-71412230601.543411</v>
      </c>
      <c r="S146">
        <f t="shared" ref="S146" si="708">R146/100000</f>
        <v>-714122.30601543409</v>
      </c>
      <c r="T146">
        <f t="shared" ref="T146" si="709">S146/1000</f>
        <v>-714.12230601543411</v>
      </c>
    </row>
    <row r="147" spans="1:20" x14ac:dyDescent="0.25">
      <c r="A147" s="5">
        <v>44446</v>
      </c>
      <c r="B147">
        <v>6.8190000000000004E-3</v>
      </c>
      <c r="C147">
        <v>6.9430000000000004E-3</v>
      </c>
      <c r="D147">
        <v>4.2100000000000002E-3</v>
      </c>
      <c r="E147">
        <v>5.1399999999999996E-3</v>
      </c>
      <c r="F147">
        <v>22132778878</v>
      </c>
      <c r="G147">
        <v>5.1399999999999996E-3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-0.31942919868276665</v>
      </c>
      <c r="Q147">
        <f t="shared" ref="Q147" si="711">F147*P147</f>
        <v>-7069855821.6224031</v>
      </c>
      <c r="R147">
        <f t="shared" ref="R147" si="712">R148+Q147</f>
        <v>-78698114477.005341</v>
      </c>
      <c r="S147">
        <f t="shared" ref="S147" si="713">R147/100000</f>
        <v>-786981.14477005345</v>
      </c>
      <c r="T147">
        <f t="shared" ref="T147" si="714">S147/1000</f>
        <v>-786.98114477005345</v>
      </c>
    </row>
    <row r="148" spans="1:20" x14ac:dyDescent="0.25">
      <c r="A148" s="5">
        <v>44445</v>
      </c>
      <c r="B148">
        <v>7.0540000000000004E-3</v>
      </c>
      <c r="C148">
        <v>7.4279999999999997E-3</v>
      </c>
      <c r="D148">
        <v>6.3460000000000001E-3</v>
      </c>
      <c r="E148">
        <v>6.8180000000000003E-3</v>
      </c>
      <c r="F148">
        <v>10919626043</v>
      </c>
      <c r="G148">
        <v>6.8180000000000003E-3</v>
      </c>
      <c r="L148" t="s">
        <v>8</v>
      </c>
      <c r="M148" t="s">
        <v>8</v>
      </c>
      <c r="N148" t="s">
        <v>7</v>
      </c>
      <c r="P148">
        <f t="shared" ref="P148" si="715">IF(C148=D148,0,((E148-D148)-(C148-E148))/(C148-D148))</f>
        <v>-0.12754158964879786</v>
      </c>
      <c r="Q148">
        <f t="shared" ref="Q148" si="716">F148*P148</f>
        <v>-1392706463.8946323</v>
      </c>
      <c r="R148">
        <f t="shared" ref="R148" si="717">R149+Q148</f>
        <v>-71628258655.382935</v>
      </c>
      <c r="S148">
        <f t="shared" ref="S148" si="718">R148/100000</f>
        <v>-716282.58655382937</v>
      </c>
      <c r="T148">
        <f t="shared" ref="T148" si="719">S148/1000</f>
        <v>-716.28258655382933</v>
      </c>
    </row>
    <row r="149" spans="1:20" x14ac:dyDescent="0.25">
      <c r="A149" s="5">
        <v>44444</v>
      </c>
      <c r="B149">
        <v>6.7660000000000003E-3</v>
      </c>
      <c r="C149">
        <v>7.1329999999999996E-3</v>
      </c>
      <c r="D149">
        <v>6.6420000000000003E-3</v>
      </c>
      <c r="E149">
        <v>7.0499999999999998E-3</v>
      </c>
      <c r="F149">
        <v>7700320026</v>
      </c>
      <c r="G149">
        <v>7.0499999999999998E-3</v>
      </c>
      <c r="L149" t="s">
        <v>8</v>
      </c>
      <c r="M149" t="s">
        <v>8</v>
      </c>
      <c r="N149" t="s">
        <v>7</v>
      </c>
      <c r="P149">
        <f t="shared" ref="P149" si="720">IF(C149=D149,0,((E149-D149)-(C149-E149))/(C149-D149))</f>
        <v>0.6619144602851329</v>
      </c>
      <c r="Q149">
        <f t="shared" ref="Q149" si="721">F149*P149</f>
        <v>5096953174.0325909</v>
      </c>
      <c r="R149">
        <f t="shared" ref="R149" si="722">R150+Q149</f>
        <v>-70235552191.488297</v>
      </c>
      <c r="S149">
        <f t="shared" ref="S149" si="723">R149/100000</f>
        <v>-702355.52191488293</v>
      </c>
      <c r="T149">
        <f t="shared" ref="T149" si="724">S149/1000</f>
        <v>-702.35552191488296</v>
      </c>
    </row>
    <row r="150" spans="1:20" x14ac:dyDescent="0.25">
      <c r="A150" s="5">
        <v>44443</v>
      </c>
      <c r="B150">
        <v>6.7380000000000001E-3</v>
      </c>
      <c r="C150">
        <v>7.0359999999999997E-3</v>
      </c>
      <c r="D150">
        <v>6.6100000000000004E-3</v>
      </c>
      <c r="E150">
        <v>6.7650000000000002E-3</v>
      </c>
      <c r="F150">
        <v>8530443876</v>
      </c>
      <c r="G150">
        <v>6.7650000000000002E-3</v>
      </c>
      <c r="L150" t="s">
        <v>8</v>
      </c>
      <c r="M150" t="s">
        <v>8</v>
      </c>
      <c r="N150" t="s">
        <v>7</v>
      </c>
      <c r="P150">
        <f t="shared" ref="P150" si="725">IF(C150=D150,0,((E150-D150)-(C150-E150))/(C150-D150))</f>
        <v>-0.27230046948356801</v>
      </c>
      <c r="Q150">
        <f t="shared" ref="Q150" si="726">F150*P150</f>
        <v>-2322843872.3380275</v>
      </c>
      <c r="R150">
        <f t="shared" ref="R150" si="727">R151+Q150</f>
        <v>-75332505365.520889</v>
      </c>
      <c r="S150">
        <f t="shared" ref="S150" si="728">R150/100000</f>
        <v>-753325.0536552089</v>
      </c>
      <c r="T150">
        <f t="shared" ref="T150" si="729">S150/1000</f>
        <v>-753.32505365520888</v>
      </c>
    </row>
    <row r="151" spans="1:20" x14ac:dyDescent="0.25">
      <c r="A151" s="5">
        <v>44442</v>
      </c>
      <c r="B151">
        <v>7.1650000000000004E-3</v>
      </c>
      <c r="C151">
        <v>7.247E-3</v>
      </c>
      <c r="D151">
        <v>6.4000000000000003E-3</v>
      </c>
      <c r="E151">
        <v>6.7380000000000001E-3</v>
      </c>
      <c r="F151">
        <v>13646050281</v>
      </c>
      <c r="G151">
        <v>6.7380000000000001E-3</v>
      </c>
      <c r="L151" t="s">
        <v>7</v>
      </c>
      <c r="M151" t="s">
        <v>8</v>
      </c>
      <c r="N151" t="s">
        <v>7</v>
      </c>
      <c r="P151">
        <f t="shared" ref="P151" si="730">IF(C151=D151,0,((E151-D151)-(C151-E151))/(C151-D151))</f>
        <v>-0.2018890200708385</v>
      </c>
      <c r="Q151">
        <f t="shared" ref="Q151" si="731">F151*P151</f>
        <v>-2754987719.0684805</v>
      </c>
      <c r="R151">
        <f t="shared" ref="R151" si="732">R152+Q151</f>
        <v>-73009661493.182861</v>
      </c>
      <c r="S151">
        <f t="shared" ref="S151" si="733">R151/100000</f>
        <v>-730096.61493182858</v>
      </c>
      <c r="T151">
        <f t="shared" ref="T151" si="734">S151/1000</f>
        <v>-730.09661493182853</v>
      </c>
    </row>
    <row r="152" spans="1:20" x14ac:dyDescent="0.25">
      <c r="A152" s="5">
        <v>44441</v>
      </c>
      <c r="B152">
        <v>6.4130000000000003E-3</v>
      </c>
      <c r="C152">
        <v>7.3720000000000001E-3</v>
      </c>
      <c r="D152">
        <v>6.254E-3</v>
      </c>
      <c r="E152">
        <v>7.1650000000000004E-3</v>
      </c>
      <c r="F152">
        <v>15474349494</v>
      </c>
      <c r="G152">
        <v>7.1650000000000004E-3</v>
      </c>
      <c r="L152" t="s">
        <v>8</v>
      </c>
      <c r="M152" t="s">
        <v>8</v>
      </c>
      <c r="N152" t="s">
        <v>7</v>
      </c>
      <c r="P152">
        <f t="shared" ref="P152" si="735">IF(C152=D152,0,((E152-D152)-(C152-E152))/(C152-D152))</f>
        <v>0.62969588550983957</v>
      </c>
      <c r="Q152">
        <f t="shared" ref="Q152" si="736">F152*P152</f>
        <v>9744134207.3130684</v>
      </c>
      <c r="R152">
        <f t="shared" ref="R152" si="737">R153+Q152</f>
        <v>-70254673774.11438</v>
      </c>
      <c r="S152">
        <f t="shared" ref="S152" si="738">R152/100000</f>
        <v>-702546.73774114379</v>
      </c>
      <c r="T152">
        <f t="shared" ref="T152" si="739">S152/1000</f>
        <v>-702.54673774114383</v>
      </c>
    </row>
    <row r="153" spans="1:20" x14ac:dyDescent="0.25">
      <c r="A153" s="5">
        <v>44440</v>
      </c>
      <c r="B153">
        <v>5.7800000000000004E-3</v>
      </c>
      <c r="C153">
        <v>6.4840000000000002E-3</v>
      </c>
      <c r="D153">
        <v>5.6540000000000002E-3</v>
      </c>
      <c r="E153">
        <v>6.4159999999999998E-3</v>
      </c>
      <c r="F153">
        <v>9100423153</v>
      </c>
      <c r="G153">
        <v>6.4159999999999998E-3</v>
      </c>
      <c r="L153" t="s">
        <v>8</v>
      </c>
      <c r="M153" t="s">
        <v>7</v>
      </c>
      <c r="N153" t="s">
        <v>7</v>
      </c>
      <c r="P153">
        <f t="shared" ref="P153" si="740">IF(C153=D153,0,((E153-D153)-(C153-E153))/(C153-D153))</f>
        <v>0.83614457831325217</v>
      </c>
      <c r="Q153">
        <f t="shared" ref="Q153" si="741">F153*P153</f>
        <v>7609269479.7373419</v>
      </c>
      <c r="R153">
        <f t="shared" ref="R153" si="742">R154+Q153</f>
        <v>-79998807981.427444</v>
      </c>
      <c r="S153">
        <f t="shared" ref="S153" si="743">R153/100000</f>
        <v>-799988.07981427445</v>
      </c>
      <c r="T153">
        <f t="shared" ref="T153" si="744">S153/1000</f>
        <v>-799.98807981427444</v>
      </c>
    </row>
    <row r="154" spans="1:20" x14ac:dyDescent="0.25">
      <c r="A154" s="5">
        <v>44439</v>
      </c>
      <c r="B154">
        <v>5.8539999999999998E-3</v>
      </c>
      <c r="C154">
        <v>6.0650000000000001E-3</v>
      </c>
      <c r="D154">
        <v>5.6169999999999996E-3</v>
      </c>
      <c r="E154">
        <v>5.7840000000000001E-3</v>
      </c>
      <c r="F154">
        <v>7281883589</v>
      </c>
      <c r="G154">
        <v>5.7840000000000001E-3</v>
      </c>
      <c r="L154" t="s">
        <v>7</v>
      </c>
      <c r="M154" t="s">
        <v>7</v>
      </c>
      <c r="N154" t="s">
        <v>7</v>
      </c>
      <c r="P154">
        <f t="shared" ref="P154" si="745">IF(C154=D154,0,((E154-D154)-(C154-E154))/(C154-D154))</f>
        <v>-0.25446428571428437</v>
      </c>
      <c r="Q154">
        <f t="shared" ref="Q154" si="746">F154*P154</f>
        <v>-1852979306.1294544</v>
      </c>
      <c r="R154">
        <f t="shared" ref="R154" si="747">R155+Q154</f>
        <v>-87608077461.16478</v>
      </c>
      <c r="S154">
        <f t="shared" ref="S154" si="748">R154/100000</f>
        <v>-876080.77461164782</v>
      </c>
      <c r="T154">
        <f t="shared" ref="T154" si="749">S154/1000</f>
        <v>-876.08077461164783</v>
      </c>
    </row>
    <row r="155" spans="1:20" x14ac:dyDescent="0.25">
      <c r="A155" s="5">
        <v>44438</v>
      </c>
      <c r="B155">
        <v>6.2110000000000004E-3</v>
      </c>
      <c r="C155">
        <v>6.2490000000000002E-3</v>
      </c>
      <c r="D155">
        <v>5.7939999999999997E-3</v>
      </c>
      <c r="E155">
        <v>5.8529999999999997E-3</v>
      </c>
      <c r="F155">
        <v>5919170608</v>
      </c>
      <c r="G155">
        <v>5.8529999999999997E-3</v>
      </c>
      <c r="L155" t="s">
        <v>7</v>
      </c>
      <c r="M155" t="s">
        <v>7</v>
      </c>
      <c r="N155" t="s">
        <v>7</v>
      </c>
      <c r="P155">
        <f t="shared" ref="P155" si="750">IF(C155=D155,0,((E155-D155)-(C155-E155))/(C155-D155))</f>
        <v>-0.74065934065934091</v>
      </c>
      <c r="Q155">
        <f t="shared" ref="Q155" si="751">F155*P155</f>
        <v>-4384088999.77143</v>
      </c>
      <c r="R155">
        <f t="shared" ref="R155" si="752">R156+Q155</f>
        <v>-85755098155.035324</v>
      </c>
      <c r="S155">
        <f t="shared" ref="S155" si="753">R155/100000</f>
        <v>-857550.98155035323</v>
      </c>
      <c r="T155">
        <f t="shared" ref="T155" si="754">S155/1000</f>
        <v>-857.55098155035319</v>
      </c>
    </row>
    <row r="156" spans="1:20" x14ac:dyDescent="0.25">
      <c r="A156" s="5">
        <v>44437</v>
      </c>
      <c r="B156">
        <v>6.404E-3</v>
      </c>
      <c r="C156">
        <v>6.5399999999999998E-3</v>
      </c>
      <c r="D156">
        <v>6.1159999999999999E-3</v>
      </c>
      <c r="E156">
        <v>6.2100000000000002E-3</v>
      </c>
      <c r="F156">
        <v>5996223694</v>
      </c>
      <c r="G156">
        <v>6.2100000000000002E-3</v>
      </c>
      <c r="L156" t="s">
        <v>8</v>
      </c>
      <c r="M156" t="s">
        <v>7</v>
      </c>
      <c r="N156" t="s">
        <v>7</v>
      </c>
      <c r="P156">
        <f t="shared" ref="P156" si="755">IF(C156=D156,0,((E156-D156)-(C156-E156))/(C156-D156))</f>
        <v>-0.55660377358490398</v>
      </c>
      <c r="Q156">
        <f t="shared" ref="Q156" si="756">F156*P156</f>
        <v>-3337520735.3396125</v>
      </c>
      <c r="R156">
        <f t="shared" ref="R156" si="757">R157+Q156</f>
        <v>-81371009155.263901</v>
      </c>
      <c r="S156">
        <f t="shared" ref="S156" si="758">R156/100000</f>
        <v>-813710.09155263903</v>
      </c>
      <c r="T156">
        <f t="shared" ref="T156" si="759">S156/1000</f>
        <v>-813.71009155263903</v>
      </c>
    </row>
    <row r="157" spans="1:20" x14ac:dyDescent="0.25">
      <c r="A157" s="5">
        <v>44436</v>
      </c>
      <c r="B157">
        <v>6.4520000000000003E-3</v>
      </c>
      <c r="C157">
        <v>6.5199999999999998E-3</v>
      </c>
      <c r="D157">
        <v>6.1510000000000002E-3</v>
      </c>
      <c r="E157">
        <v>6.404E-3</v>
      </c>
      <c r="F157">
        <v>7094170264</v>
      </c>
      <c r="G157">
        <v>6.404E-3</v>
      </c>
      <c r="L157" t="s">
        <v>8</v>
      </c>
      <c r="M157" t="s">
        <v>7</v>
      </c>
      <c r="N157" t="s">
        <v>7</v>
      </c>
      <c r="P157">
        <f t="shared" ref="P157" si="760">IF(C157=D157,0,((E157-D157)-(C157-E157))/(C157-D157))</f>
        <v>0.37127371273712778</v>
      </c>
      <c r="Q157">
        <f t="shared" ref="Q157" si="761">F157*P157</f>
        <v>2633878932.7046099</v>
      </c>
      <c r="R157">
        <f t="shared" ref="R157" si="762">R158+Q157</f>
        <v>-78033488419.924286</v>
      </c>
      <c r="S157">
        <f t="shared" ref="S157" si="763">R157/100000</f>
        <v>-780334.88419924281</v>
      </c>
      <c r="T157">
        <f t="shared" ref="T157" si="764">S157/1000</f>
        <v>-780.33488419924277</v>
      </c>
    </row>
    <row r="158" spans="1:20" x14ac:dyDescent="0.25">
      <c r="A158" s="5">
        <v>44435</v>
      </c>
      <c r="B158">
        <v>5.8650000000000004E-3</v>
      </c>
      <c r="C158">
        <v>6.5599999999999999E-3</v>
      </c>
      <c r="D158">
        <v>5.5639000000000001E-3</v>
      </c>
      <c r="E158">
        <v>6.4469999999999996E-3</v>
      </c>
      <c r="F158">
        <v>11654046833</v>
      </c>
      <c r="G158">
        <v>6.4469999999999996E-3</v>
      </c>
      <c r="L158" t="s">
        <v>7</v>
      </c>
      <c r="M158" t="s">
        <v>7</v>
      </c>
      <c r="N158" t="s">
        <v>7</v>
      </c>
      <c r="P158">
        <f t="shared" ref="P158" si="765">IF(C158=D158,0,((E158-D158)-(C158-E158))/(C158-D158))</f>
        <v>0.77311514908141699</v>
      </c>
      <c r="Q158">
        <f t="shared" ref="Q158" si="766">F158*P158</f>
        <v>9009920154.6966114</v>
      </c>
      <c r="R158">
        <f t="shared" ref="R158" si="767">R159+Q158</f>
        <v>-80667367352.628891</v>
      </c>
      <c r="S158">
        <f t="shared" ref="S158" si="768">R158/100000</f>
        <v>-806673.67352628894</v>
      </c>
      <c r="T158">
        <f t="shared" ref="T158" si="769">S158/1000</f>
        <v>-806.67367352628889</v>
      </c>
    </row>
    <row r="159" spans="1:20" x14ac:dyDescent="0.25">
      <c r="A159" s="5">
        <v>44434</v>
      </c>
      <c r="B159">
        <v>6.6318000000000002E-3</v>
      </c>
      <c r="C159">
        <v>6.6594000000000002E-3</v>
      </c>
      <c r="D159">
        <v>5.77E-3</v>
      </c>
      <c r="E159">
        <v>5.8599999999999998E-3</v>
      </c>
      <c r="F159">
        <v>10621726492</v>
      </c>
      <c r="G159">
        <v>5.8599999999999998E-3</v>
      </c>
      <c r="L159" t="s">
        <v>7</v>
      </c>
      <c r="M159" t="s">
        <v>7</v>
      </c>
      <c r="N159" t="s">
        <v>7</v>
      </c>
      <c r="P159">
        <f t="shared" ref="P159" si="770">IF(C159=D159,0,((E159-D159)-(C159-E159))/(C159-D159))</f>
        <v>-0.79761637058691304</v>
      </c>
      <c r="Q159">
        <f t="shared" ref="Q159" si="771">F159*P159</f>
        <v>-8472062933.915904</v>
      </c>
      <c r="R159">
        <f t="shared" ref="R159" si="772">R160+Q159</f>
        <v>-89677287507.3255</v>
      </c>
      <c r="S159">
        <f t="shared" ref="S159" si="773">R159/100000</f>
        <v>-896772.87507325504</v>
      </c>
      <c r="T159">
        <f t="shared" ref="T159" si="774">S159/1000</f>
        <v>-896.77287507325502</v>
      </c>
    </row>
    <row r="160" spans="1:20" x14ac:dyDescent="0.25">
      <c r="A160" s="5">
        <v>44433</v>
      </c>
      <c r="B160">
        <v>6.4725E-3</v>
      </c>
      <c r="C160">
        <v>6.8792999999999997E-3</v>
      </c>
      <c r="D160">
        <v>6.1427000000000001E-3</v>
      </c>
      <c r="E160">
        <v>6.6349E-3</v>
      </c>
      <c r="F160">
        <v>13479699687</v>
      </c>
      <c r="G160">
        <v>6.6349E-3</v>
      </c>
      <c r="L160" t="s">
        <v>7</v>
      </c>
      <c r="M160" t="s">
        <v>7</v>
      </c>
      <c r="N160" t="s">
        <v>7</v>
      </c>
      <c r="P160">
        <f t="shared" ref="P160" si="775">IF(C160=D160,0,((E160-D160)-(C160-E160))/(C160-D160))</f>
        <v>0.33641053489003586</v>
      </c>
      <c r="Q160">
        <f t="shared" ref="Q160" si="776">F160*P160</f>
        <v>4534712981.8607187</v>
      </c>
      <c r="R160">
        <f t="shared" ref="R160" si="777">R161+Q160</f>
        <v>-81205224573.409592</v>
      </c>
      <c r="S160">
        <f t="shared" ref="S160" si="778">R160/100000</f>
        <v>-812052.24573409592</v>
      </c>
      <c r="T160">
        <f t="shared" ref="T160" si="779">S160/1000</f>
        <v>-812.05224573409589</v>
      </c>
    </row>
    <row r="161" spans="1:20" x14ac:dyDescent="0.25">
      <c r="A161" s="5">
        <v>44432</v>
      </c>
      <c r="B161">
        <v>7.0054999999999996E-3</v>
      </c>
      <c r="C161">
        <v>7.6600000000000001E-3</v>
      </c>
      <c r="D161">
        <v>6.3924999999999997E-3</v>
      </c>
      <c r="E161">
        <v>6.4656000000000002E-3</v>
      </c>
      <c r="F161">
        <v>21197882813</v>
      </c>
      <c r="G161">
        <v>6.4656000000000002E-3</v>
      </c>
      <c r="L161" t="s">
        <v>8</v>
      </c>
      <c r="M161" t="s">
        <v>8</v>
      </c>
      <c r="N161" t="s">
        <v>7</v>
      </c>
      <c r="P161">
        <f t="shared" ref="P161" si="780">IF(C161=D161,0,((E161-D161)-(C161-E161))/(C161-D161))</f>
        <v>-0.88465483234713937</v>
      </c>
      <c r="Q161">
        <f t="shared" ref="Q161" si="781">F161*P161</f>
        <v>-18752809466.04882</v>
      </c>
      <c r="R161">
        <f t="shared" ref="R161" si="782">R162+Q161</f>
        <v>-85739937555.270309</v>
      </c>
      <c r="S161">
        <f t="shared" ref="S161" si="783">R161/100000</f>
        <v>-857399.37555270304</v>
      </c>
      <c r="T161">
        <f t="shared" ref="T161" si="784">S161/1000</f>
        <v>-857.39937555270308</v>
      </c>
    </row>
    <row r="162" spans="1:20" x14ac:dyDescent="0.25">
      <c r="A162" s="5">
        <v>44431</v>
      </c>
      <c r="B162">
        <v>6.8903999999999997E-3</v>
      </c>
      <c r="C162">
        <v>7.1263000000000003E-3</v>
      </c>
      <c r="D162">
        <v>6.7099000000000004E-3</v>
      </c>
      <c r="E162">
        <v>7.0070000000000002E-3</v>
      </c>
      <c r="F162">
        <v>10332441473</v>
      </c>
      <c r="G162">
        <v>7.0070000000000002E-3</v>
      </c>
      <c r="L162" t="s">
        <v>8</v>
      </c>
      <c r="M162" t="s">
        <v>7</v>
      </c>
      <c r="N162" t="s">
        <v>7</v>
      </c>
      <c r="P162">
        <f t="shared" ref="P162" si="785">IF(C162=D162,0,((E162-D162)-(C162-E162))/(C162-D162))</f>
        <v>0.42699327569644496</v>
      </c>
      <c r="Q162">
        <f t="shared" ref="Q162" si="786">F162*P162</f>
        <v>4411883030.4980707</v>
      </c>
      <c r="R162">
        <f t="shared" ref="R162" si="787">R163+Q162</f>
        <v>-66987128089.221489</v>
      </c>
      <c r="S162">
        <f t="shared" ref="S162" si="788">R162/100000</f>
        <v>-669871.28089221485</v>
      </c>
      <c r="T162">
        <f t="shared" ref="T162" si="789">S162/1000</f>
        <v>-669.87128089221483</v>
      </c>
    </row>
    <row r="163" spans="1:20" x14ac:dyDescent="0.25">
      <c r="A163" s="5">
        <v>44430</v>
      </c>
      <c r="B163">
        <v>6.6813999999999997E-3</v>
      </c>
      <c r="C163">
        <v>6.9347000000000002E-3</v>
      </c>
      <c r="D163">
        <v>6.6454000000000001E-3</v>
      </c>
      <c r="E163">
        <v>6.8592999999999996E-3</v>
      </c>
      <c r="F163">
        <v>1536173821</v>
      </c>
      <c r="G163">
        <v>6.8592999999999996E-3</v>
      </c>
      <c r="L163" t="s">
        <v>7</v>
      </c>
      <c r="M163" t="s">
        <v>7</v>
      </c>
      <c r="N163" t="s">
        <v>7</v>
      </c>
      <c r="P163">
        <f t="shared" ref="P163" si="790">IF(C163=D163,0,((E163-D163)-(C163-E163))/(C163-D163))</f>
        <v>0.47874179052885862</v>
      </c>
      <c r="Q163">
        <f t="shared" ref="Q163" si="791">F163*P163</f>
        <v>735430605.62909842</v>
      </c>
      <c r="R163">
        <f t="shared" ref="R163" si="792">R164+Q163</f>
        <v>-71399011119.719559</v>
      </c>
      <c r="S163">
        <f t="shared" ref="S163" si="793">R163/100000</f>
        <v>-713990.1111971956</v>
      </c>
      <c r="T163">
        <f t="shared" ref="T163" si="794">S163/1000</f>
        <v>-713.99011119719557</v>
      </c>
    </row>
    <row r="164" spans="1:20" x14ac:dyDescent="0.25">
      <c r="A164" s="5">
        <v>44429</v>
      </c>
      <c r="B164">
        <v>7.0146000000000002E-3</v>
      </c>
      <c r="C164">
        <v>7.2385000000000001E-3</v>
      </c>
      <c r="D164">
        <v>6.5500000000000003E-3</v>
      </c>
      <c r="E164">
        <v>6.6763999999999999E-3</v>
      </c>
      <c r="F164">
        <v>9766329311</v>
      </c>
      <c r="G164">
        <v>6.6763999999999999E-3</v>
      </c>
      <c r="L164" t="s">
        <v>7</v>
      </c>
      <c r="M164" t="s">
        <v>7</v>
      </c>
      <c r="N164" t="s">
        <v>7</v>
      </c>
      <c r="P164">
        <f t="shared" ref="P164" si="795">IF(C164=D164,0,((E164-D164)-(C164-E164))/(C164-D164))</f>
        <v>-0.63282498184459079</v>
      </c>
      <c r="Q164">
        <f t="shared" ref="Q164" si="796">F164*P164</f>
        <v>-6180377168.9218702</v>
      </c>
      <c r="R164">
        <f t="shared" ref="R164" si="797">R165+Q164</f>
        <v>-72134441725.348663</v>
      </c>
      <c r="S164">
        <f t="shared" ref="S164" si="798">R164/100000</f>
        <v>-721344.41725348658</v>
      </c>
      <c r="T164">
        <f t="shared" ref="T164" si="799">S164/1000</f>
        <v>-721.34441725348654</v>
      </c>
    </row>
    <row r="165" spans="1:20" x14ac:dyDescent="0.25">
      <c r="A165" s="5">
        <v>44428</v>
      </c>
      <c r="B165">
        <v>7.4435999999999999E-3</v>
      </c>
      <c r="C165">
        <v>7.7299999999999999E-3</v>
      </c>
      <c r="D165">
        <v>6.7711000000000004E-3</v>
      </c>
      <c r="E165">
        <v>7.0083999999999997E-3</v>
      </c>
      <c r="F165">
        <v>16962893811</v>
      </c>
      <c r="G165">
        <v>7.0083999999999997E-3</v>
      </c>
      <c r="L165" t="s">
        <v>8</v>
      </c>
      <c r="M165" t="s">
        <v>8</v>
      </c>
      <c r="N165" t="s">
        <v>7</v>
      </c>
      <c r="P165">
        <f t="shared" ref="P165" si="800">IF(C165=D165,0,((E165-D165)-(C165-E165))/(C165-D165))</f>
        <v>-0.50505787881948183</v>
      </c>
      <c r="Q165">
        <f t="shared" ref="Q165" si="801">F165*P165</f>
        <v>-8567243166.8237762</v>
      </c>
      <c r="R165">
        <f t="shared" ref="R165" si="802">R166+Q165</f>
        <v>-65954064556.426788</v>
      </c>
      <c r="S165">
        <f t="shared" ref="S165" si="803">R165/100000</f>
        <v>-659540.64556426788</v>
      </c>
      <c r="T165">
        <f t="shared" ref="T165" si="804">S165/1000</f>
        <v>-659.54064556426783</v>
      </c>
    </row>
    <row r="166" spans="1:20" x14ac:dyDescent="0.25">
      <c r="A166" s="5">
        <v>44427</v>
      </c>
      <c r="B166">
        <v>6.1523999999999997E-3</v>
      </c>
      <c r="C166">
        <v>7.45E-3</v>
      </c>
      <c r="D166">
        <v>5.8539999999999998E-3</v>
      </c>
      <c r="E166">
        <v>7.4450000000000002E-3</v>
      </c>
      <c r="F166">
        <v>19437269815</v>
      </c>
      <c r="G166">
        <v>7.4450000000000002E-3</v>
      </c>
      <c r="L166" t="s">
        <v>8</v>
      </c>
      <c r="M166" t="s">
        <v>8</v>
      </c>
      <c r="N166" t="s">
        <v>7</v>
      </c>
      <c r="P166">
        <f t="shared" ref="P166" si="805">IF(C166=D166,0,((E166-D166)-(C166-E166))/(C166-D166))</f>
        <v>0.99373433583959925</v>
      </c>
      <c r="Q166">
        <f t="shared" ref="Q166" si="806">F166*P166</f>
        <v>19315482410.144115</v>
      </c>
      <c r="R166">
        <f t="shared" ref="R166" si="807">R167+Q166</f>
        <v>-57386821389.603012</v>
      </c>
      <c r="S166">
        <f t="shared" ref="S166" si="808">R166/100000</f>
        <v>-573868.21389603009</v>
      </c>
      <c r="T166">
        <f t="shared" ref="T166" si="809">S166/1000</f>
        <v>-573.86821389603006</v>
      </c>
    </row>
    <row r="167" spans="1:20" x14ac:dyDescent="0.25">
      <c r="A167" s="5">
        <v>44426</v>
      </c>
      <c r="B167">
        <v>6.1935999999999996E-3</v>
      </c>
      <c r="C167">
        <v>6.5674000000000001E-3</v>
      </c>
      <c r="D167">
        <v>5.7232999999999997E-3</v>
      </c>
      <c r="E167">
        <v>6.1523999999999997E-3</v>
      </c>
      <c r="F167">
        <v>18224380296</v>
      </c>
      <c r="G167">
        <v>6.1523999999999997E-3</v>
      </c>
      <c r="L167" t="s">
        <v>7</v>
      </c>
      <c r="M167" t="s">
        <v>7</v>
      </c>
      <c r="N167" t="s">
        <v>7</v>
      </c>
      <c r="P167">
        <f t="shared" ref="P167" si="810">IF(C167=D167,0,((E167-D167)-(C167-E167))/(C167-D167))</f>
        <v>1.6704181968960459E-2</v>
      </c>
      <c r="Q167">
        <f t="shared" ref="Q167" si="811">F167*P167</f>
        <v>304423364.73592144</v>
      </c>
      <c r="R167">
        <f t="shared" ref="R167" si="812">R168+Q167</f>
        <v>-76702303799.747131</v>
      </c>
      <c r="S167">
        <f t="shared" ref="S167" si="813">R167/100000</f>
        <v>-767023.03799747129</v>
      </c>
      <c r="T167">
        <f t="shared" ref="T167" si="814">S167/1000</f>
        <v>-767.02303799747131</v>
      </c>
    </row>
    <row r="168" spans="1:20" x14ac:dyDescent="0.25">
      <c r="A168" s="5">
        <v>44425</v>
      </c>
      <c r="B168">
        <v>6.5588E-3</v>
      </c>
      <c r="C168">
        <v>7.2987E-3</v>
      </c>
      <c r="D168">
        <v>6.0821E-3</v>
      </c>
      <c r="E168">
        <v>6.1945000000000004E-3</v>
      </c>
      <c r="F168">
        <v>20779958099</v>
      </c>
      <c r="G168">
        <v>6.1945000000000004E-3</v>
      </c>
      <c r="L168" t="s">
        <v>7</v>
      </c>
      <c r="M168" t="s">
        <v>7</v>
      </c>
      <c r="N168" t="s">
        <v>7</v>
      </c>
      <c r="P168">
        <f t="shared" ref="P168" si="815">IF(C168=D168,0,((E168-D168)-(C168-E168))/(C168-D168))</f>
        <v>-0.81522275193161209</v>
      </c>
      <c r="Q168">
        <f t="shared" ref="Q168" si="816">F168*P168</f>
        <v>-16940294626.49037</v>
      </c>
      <c r="R168">
        <f t="shared" ref="R168" si="817">R169+Q168</f>
        <v>-77006727164.483047</v>
      </c>
      <c r="S168">
        <f t="shared" ref="S168" si="818">R168/100000</f>
        <v>-770067.27164483047</v>
      </c>
      <c r="T168">
        <f t="shared" ref="T168" si="819">S168/1000</f>
        <v>-770.0672716448305</v>
      </c>
    </row>
    <row r="169" spans="1:20" x14ac:dyDescent="0.25">
      <c r="A169" s="5">
        <v>44424</v>
      </c>
      <c r="B169">
        <v>7.4343999999999999E-3</v>
      </c>
      <c r="C169">
        <v>7.6724999999999996E-3</v>
      </c>
      <c r="D169">
        <v>6.411E-3</v>
      </c>
      <c r="E169">
        <v>6.5656999999999998E-3</v>
      </c>
      <c r="F169">
        <v>18857467542</v>
      </c>
      <c r="G169">
        <v>6.5656999999999998E-3</v>
      </c>
      <c r="L169" t="s">
        <v>7</v>
      </c>
      <c r="M169" t="s">
        <v>7</v>
      </c>
      <c r="N169" t="s">
        <v>8</v>
      </c>
      <c r="P169">
        <f t="shared" ref="P169" si="820">IF(C169=D169,0,((E169-D169)-(C169-E169))/(C169-D169))</f>
        <v>-0.75473642489100301</v>
      </c>
      <c r="Q169">
        <f t="shared" ref="Q169" si="821">F169*P169</f>
        <v>-14232417635.147211</v>
      </c>
      <c r="R169">
        <f t="shared" ref="R169" si="822">R170+Q169</f>
        <v>-60066432537.992683</v>
      </c>
      <c r="S169">
        <f t="shared" ref="S169" si="823">R169/100000</f>
        <v>-600664.32537992683</v>
      </c>
      <c r="T169">
        <f t="shared" ref="T169" si="824">S169/1000</f>
        <v>-600.66432537992682</v>
      </c>
    </row>
    <row r="170" spans="1:20" x14ac:dyDescent="0.25">
      <c r="A170" s="5">
        <v>44423</v>
      </c>
      <c r="B170">
        <v>8.1116999999999995E-3</v>
      </c>
      <c r="C170">
        <v>8.8999999999999999E-3</v>
      </c>
      <c r="D170">
        <v>7.0289000000000003E-3</v>
      </c>
      <c r="E170">
        <v>7.4335E-3</v>
      </c>
      <c r="F170">
        <v>36569334415</v>
      </c>
      <c r="G170">
        <v>7.4335E-3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-0.56752712308267883</v>
      </c>
      <c r="Q170">
        <f t="shared" ref="Q170" si="826">F170*P170</f>
        <v>-20754089153.593349</v>
      </c>
      <c r="R170">
        <f t="shared" ref="R170" si="827">R171+Q170</f>
        <v>-45834014902.845474</v>
      </c>
      <c r="S170">
        <f t="shared" ref="S170" si="828">R170/100000</f>
        <v>-458340.14902845473</v>
      </c>
      <c r="T170">
        <f t="shared" ref="T170" si="829">S170/1000</f>
        <v>-458.34014902845473</v>
      </c>
    </row>
    <row r="171" spans="1:20" x14ac:dyDescent="0.25">
      <c r="A171" s="5">
        <v>44422</v>
      </c>
      <c r="B171">
        <v>5.9148999999999998E-3</v>
      </c>
      <c r="C171">
        <v>8.5000000000000006E-3</v>
      </c>
      <c r="D171">
        <v>5.7793000000000002E-3</v>
      </c>
      <c r="E171">
        <v>8.1110000000000002E-3</v>
      </c>
      <c r="F171">
        <v>55331207015</v>
      </c>
      <c r="G171">
        <v>8.1110000000000002E-3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0.71404417980666712</v>
      </c>
      <c r="Q171">
        <f t="shared" ref="Q171" si="831">F171*P171</f>
        <v>39508926330.738579</v>
      </c>
      <c r="R171">
        <f t="shared" ref="R171" si="832">R172+Q171</f>
        <v>-25079925749.252129</v>
      </c>
      <c r="S171">
        <f t="shared" ref="S171" si="833">R171/100000</f>
        <v>-250799.25749252128</v>
      </c>
      <c r="T171">
        <f t="shared" ref="T171" si="834">S171/1000</f>
        <v>-250.79925749252129</v>
      </c>
    </row>
    <row r="172" spans="1:20" x14ac:dyDescent="0.25">
      <c r="A172" s="5">
        <v>44421</v>
      </c>
      <c r="B172">
        <v>4.4060999999999996E-3</v>
      </c>
      <c r="C172">
        <v>5.9857E-3</v>
      </c>
      <c r="D172">
        <v>4.4054000000000003E-3</v>
      </c>
      <c r="E172">
        <v>5.9186000000000004E-3</v>
      </c>
      <c r="F172">
        <v>24169497001</v>
      </c>
      <c r="G172">
        <v>5.9186000000000004E-3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0.91507941530089265</v>
      </c>
      <c r="Q172">
        <f t="shared" ref="Q172" si="836">F172*P172</f>
        <v>22117009183.791759</v>
      </c>
      <c r="R172">
        <f t="shared" ref="R172" si="837">R173+Q172</f>
        <v>-64588852079.990707</v>
      </c>
      <c r="S172">
        <f t="shared" ref="S172" si="838">R172/100000</f>
        <v>-645888.52079990704</v>
      </c>
      <c r="T172">
        <f t="shared" ref="T172" si="839">S172/1000</f>
        <v>-645.88852079990704</v>
      </c>
    </row>
    <row r="173" spans="1:20" x14ac:dyDescent="0.25">
      <c r="A173" s="5">
        <v>44420</v>
      </c>
      <c r="B173">
        <v>4.2700000000000004E-3</v>
      </c>
      <c r="C173">
        <v>4.9719999999999999E-3</v>
      </c>
      <c r="D173">
        <v>3.9906000000000004E-3</v>
      </c>
      <c r="E173">
        <v>4.4115999999999999E-3</v>
      </c>
      <c r="F173">
        <v>22518782144</v>
      </c>
      <c r="G173">
        <v>4.4115999999999999E-3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-0.14204198084369324</v>
      </c>
      <c r="Q173">
        <f t="shared" ref="Q173" si="841">F173*P173</f>
        <v>-3198612421.9213495</v>
      </c>
      <c r="R173">
        <f t="shared" ref="R173" si="842">R174+Q173</f>
        <v>-86705861263.782471</v>
      </c>
      <c r="S173">
        <f t="shared" ref="S173" si="843">R173/100000</f>
        <v>-867058.61263782473</v>
      </c>
      <c r="T173">
        <f t="shared" ref="T173" si="844">S173/1000</f>
        <v>-867.05861263782469</v>
      </c>
    </row>
    <row r="174" spans="1:20" x14ac:dyDescent="0.25">
      <c r="A174" s="5">
        <v>44419</v>
      </c>
      <c r="B174">
        <v>3.2965E-3</v>
      </c>
      <c r="C174">
        <v>4.6940000000000003E-3</v>
      </c>
      <c r="D174">
        <v>3.2956999999999999E-3</v>
      </c>
      <c r="E174">
        <v>4.2700000000000004E-3</v>
      </c>
      <c r="F174">
        <v>29317686166</v>
      </c>
      <c r="G174">
        <v>4.2700000000000004E-3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0.39354930987627862</v>
      </c>
      <c r="Q174">
        <f t="shared" ref="Q174" si="846">F174*P174</f>
        <v>11537955157.79862</v>
      </c>
      <c r="R174">
        <f t="shared" ref="R174" si="847">R175+Q174</f>
        <v>-83507248841.861115</v>
      </c>
      <c r="S174">
        <f t="shared" ref="S174" si="848">R174/100000</f>
        <v>-835072.48841861112</v>
      </c>
      <c r="T174">
        <f t="shared" ref="T174" si="849">S174/1000</f>
        <v>-835.0724884186111</v>
      </c>
    </row>
    <row r="175" spans="1:20" x14ac:dyDescent="0.25">
      <c r="A175" s="5">
        <v>44418</v>
      </c>
      <c r="B175">
        <v>3.3427000000000001E-3</v>
      </c>
      <c r="C175">
        <v>3.3977E-3</v>
      </c>
      <c r="D175">
        <v>3.1768999999999999E-3</v>
      </c>
      <c r="E175">
        <v>3.3E-3</v>
      </c>
      <c r="F175">
        <v>8299234941</v>
      </c>
      <c r="G175">
        <v>3.3E-3</v>
      </c>
      <c r="L175" t="s">
        <v>7</v>
      </c>
      <c r="M175" t="s">
        <v>8</v>
      </c>
      <c r="N175" t="s">
        <v>8</v>
      </c>
      <c r="P175">
        <f t="shared" ref="P175" si="850">IF(C175=D175,0,((E175-D175)-(C175-E175))/(C175-D175))</f>
        <v>0.11503623188405823</v>
      </c>
      <c r="Q175">
        <f t="shared" ref="Q175" si="851">F175*P175</f>
        <v>954712715.13315439</v>
      </c>
      <c r="R175">
        <f t="shared" ref="R175" si="852">R176+Q175</f>
        <v>-95045203999.659729</v>
      </c>
      <c r="S175">
        <f t="shared" ref="S175" si="853">R175/100000</f>
        <v>-950452.03999659733</v>
      </c>
      <c r="T175">
        <f t="shared" ref="T175" si="854">S175/1000</f>
        <v>-950.45203999659736</v>
      </c>
    </row>
    <row r="176" spans="1:20" x14ac:dyDescent="0.25">
      <c r="A176" s="5">
        <v>44417</v>
      </c>
      <c r="B176">
        <v>3.2196E-3</v>
      </c>
      <c r="C176">
        <v>3.4624999999999999E-3</v>
      </c>
      <c r="D176">
        <v>3.0057999999999999E-3</v>
      </c>
      <c r="E176">
        <v>3.3451000000000002E-3</v>
      </c>
      <c r="F176">
        <v>12098963998</v>
      </c>
      <c r="G176">
        <v>3.3451000000000002E-3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0.48587694328881231</v>
      </c>
      <c r="Q176">
        <f t="shared" ref="Q176" si="856">F176*P176</f>
        <v>5878607644.3096275</v>
      </c>
      <c r="R176">
        <f t="shared" ref="R176" si="857">R177+Q176</f>
        <v>-95999916714.792877</v>
      </c>
      <c r="S176">
        <f t="shared" ref="S176" si="858">R176/100000</f>
        <v>-959999.16714792873</v>
      </c>
      <c r="T176">
        <f t="shared" ref="T176" si="859">S176/1000</f>
        <v>-959.99916714792869</v>
      </c>
    </row>
    <row r="177" spans="1:20" x14ac:dyDescent="0.25">
      <c r="A177" s="5">
        <v>44416</v>
      </c>
      <c r="B177">
        <v>2.9253E-3</v>
      </c>
      <c r="C177">
        <v>3.3814000000000001E-3</v>
      </c>
      <c r="D177">
        <v>2.8140000000000001E-3</v>
      </c>
      <c r="E177">
        <v>3.2190000000000001E-3</v>
      </c>
      <c r="F177">
        <v>15751885700</v>
      </c>
      <c r="G177">
        <v>3.2190000000000001E-3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0.42756432851603793</v>
      </c>
      <c r="Q177">
        <f t="shared" ref="Q177" si="861">F177*P177</f>
        <v>6734944432.18188</v>
      </c>
      <c r="R177">
        <f t="shared" ref="R177" si="862">R178+Q177</f>
        <v>-101878524359.10251</v>
      </c>
      <c r="S177">
        <f t="shared" ref="S177" si="863">R177/100000</f>
        <v>-1018785.2435910251</v>
      </c>
      <c r="T177">
        <f t="shared" ref="T177" si="864">S177/1000</f>
        <v>-1018.7852435910252</v>
      </c>
    </row>
    <row r="178" spans="1:20" x14ac:dyDescent="0.25">
      <c r="A178" s="5">
        <v>44415</v>
      </c>
      <c r="B178">
        <v>2.8912999999999999E-3</v>
      </c>
      <c r="C178">
        <v>3.0707E-3</v>
      </c>
      <c r="D178">
        <v>2.7468000000000002E-3</v>
      </c>
      <c r="E178">
        <v>2.9223000000000001E-3</v>
      </c>
      <c r="F178">
        <v>12268004585</v>
      </c>
      <c r="G178">
        <v>2.9223000000000001E-3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8.3667798703303403E-2</v>
      </c>
      <c r="Q178">
        <f t="shared" ref="Q178" si="866">F178*P178</f>
        <v>1026436938.1089832</v>
      </c>
      <c r="R178">
        <f t="shared" ref="R178" si="867">R179+Q178</f>
        <v>-108613468791.28439</v>
      </c>
      <c r="S178">
        <f t="shared" ref="S178" si="868">R178/100000</f>
        <v>-1086134.6879128439</v>
      </c>
      <c r="T178">
        <f t="shared" ref="T178" si="869">S178/1000</f>
        <v>-1086.1346879128439</v>
      </c>
    </row>
    <row r="179" spans="1:20" x14ac:dyDescent="0.25">
      <c r="A179" s="5">
        <v>44414</v>
      </c>
      <c r="B179">
        <v>2.5653999999999998E-3</v>
      </c>
      <c r="C179">
        <v>2.9989999999999999E-3</v>
      </c>
      <c r="D179">
        <v>2.5027999999999999E-3</v>
      </c>
      <c r="E179">
        <v>2.8879999999999999E-3</v>
      </c>
      <c r="F179">
        <v>11200213002</v>
      </c>
      <c r="G179">
        <v>2.8879999999999999E-3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0.55259975816203155</v>
      </c>
      <c r="Q179">
        <f t="shared" ref="Q179" si="871">F179*P179</f>
        <v>6189234996.2684412</v>
      </c>
      <c r="R179">
        <f t="shared" ref="R179" si="872">R180+Q179</f>
        <v>-109639905729.39337</v>
      </c>
      <c r="S179">
        <f t="shared" ref="S179" si="873">R179/100000</f>
        <v>-1096399.0572939338</v>
      </c>
      <c r="T179">
        <f t="shared" ref="T179" si="874">S179/1000</f>
        <v>-1096.3990572939338</v>
      </c>
    </row>
    <row r="180" spans="1:20" x14ac:dyDescent="0.25">
      <c r="A180" s="5">
        <v>44413</v>
      </c>
      <c r="B180">
        <v>2.4378999999999998E-3</v>
      </c>
      <c r="C180">
        <v>2.5890000000000002E-3</v>
      </c>
      <c r="D180">
        <v>2.3589000000000001E-3</v>
      </c>
      <c r="E180">
        <v>2.5655999999999999E-3</v>
      </c>
      <c r="F180">
        <v>7256154824</v>
      </c>
      <c r="G180">
        <v>2.5655999999999999E-3</v>
      </c>
      <c r="L180" t="s">
        <v>8</v>
      </c>
      <c r="M180" t="s">
        <v>7</v>
      </c>
      <c r="N180" t="s">
        <v>8</v>
      </c>
      <c r="P180">
        <f t="shared" ref="P180" si="875">IF(C180=D180,0,((E180-D180)-(C180-E180))/(C180-D180))</f>
        <v>0.7966101694915233</v>
      </c>
      <c r="Q180">
        <f t="shared" ref="Q180" si="876">F180*P180</f>
        <v>5780326724.2033749</v>
      </c>
      <c r="R180">
        <f t="shared" ref="R180" si="877">R181+Q180</f>
        <v>-115829140725.66182</v>
      </c>
      <c r="S180">
        <f t="shared" ref="S180" si="878">R180/100000</f>
        <v>-1158291.4072566181</v>
      </c>
      <c r="T180">
        <f t="shared" ref="T180" si="879">S180/1000</f>
        <v>-1158.2914072566182</v>
      </c>
    </row>
    <row r="181" spans="1:20" x14ac:dyDescent="0.25">
      <c r="A181" s="5">
        <v>44412</v>
      </c>
      <c r="B181">
        <v>2.3354000000000001E-3</v>
      </c>
      <c r="C181">
        <v>2.4813999999999999E-3</v>
      </c>
      <c r="D181">
        <v>2.294E-3</v>
      </c>
      <c r="E181">
        <v>2.4348E-3</v>
      </c>
      <c r="F181">
        <v>4139137505</v>
      </c>
      <c r="G181">
        <v>2.4348E-3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0.50266808964781251</v>
      </c>
      <c r="Q181">
        <f t="shared" ref="Q181" si="881">F181*P181</f>
        <v>2080612342.427963</v>
      </c>
      <c r="R181">
        <f t="shared" ref="R181" si="882">R182+Q181</f>
        <v>-121609467449.86519</v>
      </c>
      <c r="S181">
        <f t="shared" ref="S181" si="883">R181/100000</f>
        <v>-1216094.6744986519</v>
      </c>
      <c r="T181">
        <f t="shared" ref="T181" si="884">S181/1000</f>
        <v>-1216.0946744986518</v>
      </c>
    </row>
    <row r="182" spans="1:20" x14ac:dyDescent="0.25">
      <c r="A182" s="5">
        <v>44411</v>
      </c>
      <c r="B182">
        <v>2.4359999999999998E-3</v>
      </c>
      <c r="C182">
        <v>2.5000000000000001E-3</v>
      </c>
      <c r="D182">
        <v>2.2845000000000001E-3</v>
      </c>
      <c r="E182">
        <v>2.3354000000000001E-3</v>
      </c>
      <c r="F182">
        <v>5156248885</v>
      </c>
      <c r="G182">
        <v>2.3354000000000001E-3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-0.52761020881670539</v>
      </c>
      <c r="Q182">
        <f t="shared" ref="Q182" si="886">F182*P182</f>
        <v>-2720489550.9257545</v>
      </c>
      <c r="R182">
        <f t="shared" ref="R182" si="887">R183+Q182</f>
        <v>-123690079792.29315</v>
      </c>
      <c r="S182">
        <f t="shared" ref="S182" si="888">R182/100000</f>
        <v>-1236900.7979229316</v>
      </c>
      <c r="T182">
        <f t="shared" ref="T182" si="889">S182/1000</f>
        <v>-1236.9007979229316</v>
      </c>
    </row>
    <row r="183" spans="1:20" x14ac:dyDescent="0.25">
      <c r="A183" s="5">
        <v>44410</v>
      </c>
      <c r="B183">
        <v>2.4283E-3</v>
      </c>
      <c r="C183">
        <v>2.5133E-3</v>
      </c>
      <c r="D183">
        <v>2.3730999999999999E-3</v>
      </c>
      <c r="E183">
        <v>2.4326999999999999E-3</v>
      </c>
      <c r="F183">
        <v>4645579427</v>
      </c>
      <c r="G183">
        <v>2.4326999999999999E-3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-0.14978601997147059</v>
      </c>
      <c r="Q183">
        <f t="shared" ref="Q183" si="891">F183*P183</f>
        <v>-695842852.83167493</v>
      </c>
      <c r="R183">
        <f t="shared" ref="R183" si="892">R184+Q183</f>
        <v>-120969590241.3674</v>
      </c>
      <c r="S183">
        <f t="shared" ref="S183" si="893">R183/100000</f>
        <v>-1209695.9024136739</v>
      </c>
      <c r="T183">
        <f t="shared" ref="T183" si="894">S183/1000</f>
        <v>-1209.6959024136738</v>
      </c>
    </row>
    <row r="184" spans="1:20" x14ac:dyDescent="0.25">
      <c r="A184" s="5">
        <v>44409</v>
      </c>
      <c r="B184">
        <v>2.4957999999999998E-3</v>
      </c>
      <c r="C184">
        <v>2.6859000000000002E-3</v>
      </c>
      <c r="D184">
        <v>2.3758E-3</v>
      </c>
      <c r="E184">
        <v>2.4299999999999999E-3</v>
      </c>
      <c r="F184">
        <v>7230807329</v>
      </c>
      <c r="G184">
        <v>2.4299999999999999E-3</v>
      </c>
      <c r="L184" t="s">
        <v>8</v>
      </c>
      <c r="M184" t="s">
        <v>7</v>
      </c>
      <c r="N184" t="s">
        <v>8</v>
      </c>
      <c r="P184">
        <f t="shared" ref="P184" si="895">IF(C184=D184,0,((E184-D184)-(C184-E184))/(C184-D184))</f>
        <v>-0.65043534343760157</v>
      </c>
      <c r="Q184">
        <f t="shared" ref="Q184" si="896">F184*P184</f>
        <v>-4703172648.3692417</v>
      </c>
      <c r="R184">
        <f t="shared" ref="R184" si="897">R185+Q184</f>
        <v>-120273747388.53572</v>
      </c>
      <c r="S184">
        <f t="shared" ref="S184" si="898">R184/100000</f>
        <v>-1202737.4738853571</v>
      </c>
      <c r="T184">
        <f t="shared" ref="T184" si="899">S184/1000</f>
        <v>-1202.7374738853571</v>
      </c>
    </row>
    <row r="185" spans="1:20" x14ac:dyDescent="0.25">
      <c r="A185" s="5">
        <v>44408</v>
      </c>
      <c r="B185">
        <v>2.5614000000000001E-3</v>
      </c>
      <c r="C185">
        <v>2.575E-3</v>
      </c>
      <c r="D185">
        <v>2.4353999999999999E-3</v>
      </c>
      <c r="E185">
        <v>2.4962000000000001E-3</v>
      </c>
      <c r="F185">
        <v>5146817516</v>
      </c>
      <c r="G185">
        <v>2.4962000000000001E-3</v>
      </c>
      <c r="L185" t="s">
        <v>8</v>
      </c>
      <c r="M185" t="s">
        <v>7</v>
      </c>
      <c r="N185" t="s">
        <v>8</v>
      </c>
      <c r="P185">
        <f t="shared" ref="P185" si="900">IF(C185=D185,0,((E185-D185)-(C185-E185))/(C185-D185))</f>
        <v>-0.12893982808022758</v>
      </c>
      <c r="Q185">
        <f t="shared" ref="Q185" si="901">F185*P185</f>
        <v>-663629765.67334402</v>
      </c>
      <c r="R185">
        <f t="shared" ref="R185" si="902">R186+Q185</f>
        <v>-115570574740.16647</v>
      </c>
      <c r="S185">
        <f t="shared" ref="S185" si="903">R185/100000</f>
        <v>-1155705.7474016647</v>
      </c>
      <c r="T185">
        <f t="shared" ref="T185" si="904">S185/1000</f>
        <v>-1155.7057474016647</v>
      </c>
    </row>
    <row r="186" spans="1:20" x14ac:dyDescent="0.25">
      <c r="A186" s="5">
        <v>44407</v>
      </c>
      <c r="B186">
        <v>2.4553999999999999E-3</v>
      </c>
      <c r="C186">
        <v>2.5669999999999998E-3</v>
      </c>
      <c r="D186">
        <v>2.2699999999999999E-3</v>
      </c>
      <c r="E186">
        <v>2.5615999999999998E-3</v>
      </c>
      <c r="F186">
        <v>7007755194</v>
      </c>
      <c r="G186">
        <v>2.5615999999999998E-3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0.96363636363636351</v>
      </c>
      <c r="Q186">
        <f t="shared" ref="Q186" si="906">F186*P186</f>
        <v>6752927732.3999987</v>
      </c>
      <c r="R186">
        <f t="shared" ref="R186" si="907">R187+Q186</f>
        <v>-114906944974.49313</v>
      </c>
      <c r="S186">
        <f t="shared" ref="S186" si="908">R186/100000</f>
        <v>-1149069.4497449314</v>
      </c>
      <c r="T186">
        <f t="shared" ref="T186" si="909">S186/1000</f>
        <v>-1149.0694497449315</v>
      </c>
    </row>
    <row r="187" spans="1:20" x14ac:dyDescent="0.25">
      <c r="A187" s="5">
        <v>44406</v>
      </c>
      <c r="B187">
        <v>2.4868999999999998E-3</v>
      </c>
      <c r="C187">
        <v>2.5996999999999999E-3</v>
      </c>
      <c r="D187">
        <v>2.3700000000000001E-3</v>
      </c>
      <c r="E187">
        <v>2.4543999999999998E-3</v>
      </c>
      <c r="F187">
        <v>7117823645</v>
      </c>
      <c r="G187">
        <v>2.4543999999999998E-3</v>
      </c>
      <c r="L187" t="s">
        <v>7</v>
      </c>
      <c r="M187" t="s">
        <v>7</v>
      </c>
      <c r="N187" t="s">
        <v>8</v>
      </c>
      <c r="P187">
        <f t="shared" ref="P187" si="910">IF(C187=D187,0,((E187-D187)-(C187-E187))/(C187-D187))</f>
        <v>-0.26512842838485201</v>
      </c>
      <c r="Q187">
        <f t="shared" ref="Q187" si="911">F187*P187</f>
        <v>-1887137396.5193889</v>
      </c>
      <c r="R187">
        <f t="shared" ref="R187" si="912">R188+Q187</f>
        <v>-121659872706.89313</v>
      </c>
      <c r="S187">
        <f t="shared" ref="S187" si="913">R187/100000</f>
        <v>-1216598.7270689313</v>
      </c>
      <c r="T187">
        <f t="shared" ref="T187" si="914">S187/1000</f>
        <v>-1216.5987270689313</v>
      </c>
    </row>
    <row r="188" spans="1:20" x14ac:dyDescent="0.25">
      <c r="A188" s="5">
        <v>44405</v>
      </c>
      <c r="B188">
        <v>2.5833000000000002E-3</v>
      </c>
      <c r="C188">
        <v>2.6549999999999998E-3</v>
      </c>
      <c r="D188">
        <v>2.4104E-3</v>
      </c>
      <c r="E188">
        <v>2.4868999999999998E-3</v>
      </c>
      <c r="F188">
        <v>8070843815</v>
      </c>
      <c r="G188">
        <v>2.4868999999999998E-3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-0.37448896156991152</v>
      </c>
      <c r="Q188">
        <f t="shared" ref="Q188" si="916">F188*P188</f>
        <v>-3022441919.2722931</v>
      </c>
      <c r="R188">
        <f t="shared" ref="R188" si="917">R189+Q188</f>
        <v>-119772735310.37373</v>
      </c>
      <c r="S188">
        <f t="shared" ref="S188" si="918">R188/100000</f>
        <v>-1197727.3531037373</v>
      </c>
      <c r="T188">
        <f t="shared" ref="T188" si="919">S188/1000</f>
        <v>-1197.7273531037374</v>
      </c>
    </row>
    <row r="189" spans="1:20" x14ac:dyDescent="0.25">
      <c r="A189" s="5">
        <v>44404</v>
      </c>
      <c r="B189">
        <v>2.5081999999999999E-3</v>
      </c>
      <c r="C189">
        <v>2.7520999999999999E-3</v>
      </c>
      <c r="D189">
        <v>2.3096000000000002E-3</v>
      </c>
      <c r="E189">
        <v>2.5883999999999998E-3</v>
      </c>
      <c r="F189">
        <v>11658268731</v>
      </c>
      <c r="G189">
        <v>2.5883999999999998E-3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0.26011299435028146</v>
      </c>
      <c r="Q189">
        <f t="shared" ref="Q189" si="921">F189*P189</f>
        <v>3032467188.5606661</v>
      </c>
      <c r="R189">
        <f t="shared" ref="R189" si="922">R190+Q189</f>
        <v>-116750293391.10144</v>
      </c>
      <c r="S189">
        <f t="shared" ref="S189" si="923">R189/100000</f>
        <v>-1167502.9339110143</v>
      </c>
      <c r="T189">
        <f t="shared" ref="T189" si="924">S189/1000</f>
        <v>-1167.5029339110145</v>
      </c>
    </row>
    <row r="190" spans="1:20" x14ac:dyDescent="0.25">
      <c r="A190" s="5">
        <v>44403</v>
      </c>
      <c r="B190">
        <v>2.2751999999999998E-3</v>
      </c>
      <c r="C190">
        <v>2.8869999999999998E-3</v>
      </c>
      <c r="D190">
        <v>2.2520000000000001E-3</v>
      </c>
      <c r="E190">
        <v>2.5124000000000001E-3</v>
      </c>
      <c r="F190">
        <v>17559485664</v>
      </c>
      <c r="G190">
        <v>2.5124000000000001E-3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-0.17984251968503887</v>
      </c>
      <c r="Q190">
        <f t="shared" ref="Q190" si="926">F190*P190</f>
        <v>-3157942146.1870775</v>
      </c>
      <c r="R190">
        <f t="shared" ref="R190" si="927">R191+Q190</f>
        <v>-119782760579.66211</v>
      </c>
      <c r="S190">
        <f t="shared" ref="S190" si="928">R190/100000</f>
        <v>-1197827.6057966212</v>
      </c>
      <c r="T190">
        <f t="shared" ref="T190" si="929">S190/1000</f>
        <v>-1197.8276057966211</v>
      </c>
    </row>
    <row r="191" spans="1:20" x14ac:dyDescent="0.25">
      <c r="A191" s="5">
        <v>44402</v>
      </c>
      <c r="B191">
        <v>2.2204E-3</v>
      </c>
      <c r="C191">
        <v>2.3E-3</v>
      </c>
      <c r="D191">
        <v>2.0699999999999998E-3</v>
      </c>
      <c r="E191">
        <v>2.2745999999999999E-3</v>
      </c>
      <c r="F191">
        <v>6190997179</v>
      </c>
      <c r="G191">
        <v>2.2745999999999999E-3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0.77913043478260824</v>
      </c>
      <c r="Q191">
        <f t="shared" ref="Q191" si="931">F191*P191</f>
        <v>4823594323.812171</v>
      </c>
      <c r="R191">
        <f t="shared" ref="R191" si="932">R192+Q191</f>
        <v>-116624818433.47504</v>
      </c>
      <c r="S191">
        <f t="shared" ref="S191" si="933">R191/100000</f>
        <v>-1166248.1843347503</v>
      </c>
      <c r="T191">
        <f t="shared" ref="T191:T197" si="934">S191/1000</f>
        <v>-1166.2481843347502</v>
      </c>
    </row>
    <row r="192" spans="1:20" x14ac:dyDescent="0.25">
      <c r="A192" s="5">
        <v>44401</v>
      </c>
      <c r="B192">
        <v>2.1293000000000002E-3</v>
      </c>
      <c r="C192">
        <v>2.2859999999999998E-3</v>
      </c>
      <c r="D192">
        <v>2.0412E-3</v>
      </c>
      <c r="E192">
        <v>2.2208000000000002E-3</v>
      </c>
      <c r="F192">
        <v>7823555317</v>
      </c>
      <c r="G192">
        <v>2.2208000000000002E-3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0.46732026143791122</v>
      </c>
      <c r="Q192">
        <f t="shared" ref="Q192" si="936">F192*P192</f>
        <v>3656105916.1144004</v>
      </c>
      <c r="R192">
        <f t="shared" ref="R192" si="937">R193+Q192</f>
        <v>-121448412757.2872</v>
      </c>
      <c r="S192">
        <f t="shared" ref="S192" si="938">R192/100000</f>
        <v>-1214484.127572872</v>
      </c>
      <c r="T192">
        <f t="shared" si="934"/>
        <v>-1214.484127572872</v>
      </c>
    </row>
    <row r="193" spans="1:20" x14ac:dyDescent="0.25">
      <c r="A193" s="5">
        <v>44400</v>
      </c>
      <c r="B193">
        <v>1.8848000000000001E-3</v>
      </c>
      <c r="C193">
        <v>2.2223E-3</v>
      </c>
      <c r="D193">
        <v>1.8678E-3</v>
      </c>
      <c r="E193">
        <v>2.1274000000000002E-3</v>
      </c>
      <c r="F193">
        <v>14578679914</v>
      </c>
      <c r="G193">
        <v>2.1274000000000002E-3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0.46459802538787159</v>
      </c>
      <c r="Q193">
        <f t="shared" ref="Q193" si="940">F193*P193</f>
        <v>6773225900.8062258</v>
      </c>
      <c r="R193">
        <f t="shared" ref="R193" si="941">R194+Q193</f>
        <v>-125104518673.4016</v>
      </c>
      <c r="S193">
        <f t="shared" ref="S193" si="942">R193/100000</f>
        <v>-1251045.1867340161</v>
      </c>
      <c r="T193">
        <f t="shared" si="934"/>
        <v>-1251.0451867340159</v>
      </c>
    </row>
    <row r="194" spans="1:20" x14ac:dyDescent="0.25">
      <c r="A194" s="5">
        <v>44399</v>
      </c>
      <c r="B194">
        <v>1.8173E-3</v>
      </c>
      <c r="C194">
        <v>1.9173E-3</v>
      </c>
      <c r="D194">
        <v>1.7461E-3</v>
      </c>
      <c r="E194">
        <v>1.8855E-3</v>
      </c>
      <c r="F194">
        <v>5320479196</v>
      </c>
      <c r="G194">
        <v>1.8855E-3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0.62850467289719614</v>
      </c>
      <c r="Q194">
        <f t="shared" ref="Q194" si="944">F194*P194</f>
        <v>3343946036.738317</v>
      </c>
      <c r="R194">
        <f t="shared" ref="R194" si="945">R195+Q194</f>
        <v>-131877744574.20782</v>
      </c>
      <c r="S194">
        <f t="shared" ref="S194" si="946">R194/100000</f>
        <v>-1318777.4457420784</v>
      </c>
      <c r="T194">
        <f t="shared" si="934"/>
        <v>-1318.7774457420783</v>
      </c>
    </row>
    <row r="195" spans="1:20" x14ac:dyDescent="0.25">
      <c r="A195" s="5">
        <v>44398</v>
      </c>
      <c r="B195">
        <v>1.6172000000000001E-3</v>
      </c>
      <c r="C195">
        <v>1.8978000000000001E-3</v>
      </c>
      <c r="D195">
        <v>1.5610000000000001E-3</v>
      </c>
      <c r="E195">
        <v>1.8175999999999999E-3</v>
      </c>
      <c r="F195">
        <v>7724079180</v>
      </c>
      <c r="G195">
        <v>1.8175999999999999E-3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0.52375296912113944</v>
      </c>
      <c r="Q195">
        <f t="shared" ref="Q195" si="948">F195*P195</f>
        <v>4045509404.2517762</v>
      </c>
      <c r="R195">
        <f t="shared" ref="R195" si="949">R196+Q195</f>
        <v>-135221690610.94614</v>
      </c>
      <c r="S195">
        <f t="shared" ref="S195" si="950">R195/100000</f>
        <v>-1352216.9061094613</v>
      </c>
      <c r="T195">
        <f t="shared" si="934"/>
        <v>-1352.2169061094614</v>
      </c>
    </row>
    <row r="196" spans="1:20" x14ac:dyDescent="0.25">
      <c r="A196" s="5">
        <v>44397</v>
      </c>
      <c r="B196">
        <v>1.7929E-3</v>
      </c>
      <c r="C196">
        <v>1.8251000000000001E-3</v>
      </c>
      <c r="D196">
        <v>1.5606000000000001E-3</v>
      </c>
      <c r="E196">
        <v>1.6164E-3</v>
      </c>
      <c r="F196">
        <v>5643252932</v>
      </c>
      <c r="G196">
        <v>1.6164E-3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-0.57807183364839354</v>
      </c>
      <c r="Q196">
        <f t="shared" ref="Q196" si="952">F196*P196</f>
        <v>-3262205570.1429133</v>
      </c>
      <c r="R196">
        <f t="shared" ref="R196" si="953">R197+Q196</f>
        <v>-139267200015.19791</v>
      </c>
      <c r="S196">
        <f t="shared" ref="S196" si="954">R196/100000</f>
        <v>-1392672.000151979</v>
      </c>
      <c r="T196">
        <f t="shared" si="934"/>
        <v>-1392.6720001519791</v>
      </c>
    </row>
    <row r="197" spans="1:20" x14ac:dyDescent="0.25">
      <c r="A197" s="5">
        <v>44396</v>
      </c>
      <c r="B197">
        <v>1.9001000000000001E-3</v>
      </c>
      <c r="C197">
        <v>1.9239999999999999E-3</v>
      </c>
      <c r="D197">
        <v>1.7723000000000001E-3</v>
      </c>
      <c r="E197">
        <v>1.7918000000000001E-3</v>
      </c>
      <c r="F197">
        <v>3625805097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-0.74291364535266968</v>
      </c>
      <c r="Q197">
        <f t="shared" ref="Q197" si="956">F197*P197</f>
        <v>-2693660081.9505601</v>
      </c>
      <c r="R197">
        <f t="shared" ref="R197" si="957">R198+Q197</f>
        <v>-136004994445.05499</v>
      </c>
      <c r="S197">
        <f t="shared" ref="S197" si="958">R197/100000</f>
        <v>-1360049.94445055</v>
      </c>
      <c r="T197">
        <f t="shared" si="934"/>
        <v>-1360.0499444505499</v>
      </c>
    </row>
    <row r="198" spans="1:20" x14ac:dyDescent="0.25">
      <c r="A198" s="5">
        <v>44395</v>
      </c>
      <c r="B198">
        <v>1.9269999999999999E-3</v>
      </c>
      <c r="C198">
        <v>2.0539E-3</v>
      </c>
      <c r="D198">
        <v>1.8729E-3</v>
      </c>
      <c r="E198">
        <v>1.8978000000000001E-3</v>
      </c>
      <c r="F198">
        <v>4630374571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-0.72486187845303851</v>
      </c>
      <c r="Q198">
        <f t="shared" ref="Q198:Q261" si="960">F198*P198</f>
        <v>-3356382009.4762425</v>
      </c>
      <c r="R198">
        <f t="shared" ref="R198:R261" si="961">R199+Q198</f>
        <v>-133311334363.10443</v>
      </c>
      <c r="S198">
        <f t="shared" ref="S198:S261" si="962">R198/100000</f>
        <v>-1333113.3436310443</v>
      </c>
      <c r="T198">
        <f t="shared" ref="T198:T261" si="963">S198/1000</f>
        <v>-1333.1133436310442</v>
      </c>
    </row>
    <row r="199" spans="1:20" x14ac:dyDescent="0.25">
      <c r="A199" s="5">
        <v>44394</v>
      </c>
      <c r="B199">
        <v>1.8753999999999999E-3</v>
      </c>
      <c r="C199">
        <v>2.0125999999999998E-3</v>
      </c>
      <c r="D199">
        <v>1.8324000000000001E-3</v>
      </c>
      <c r="E199">
        <v>1.9269999999999999E-3</v>
      </c>
      <c r="F199">
        <v>5953684199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4.9944506104328011E-2</v>
      </c>
      <c r="Q199">
        <f t="shared" si="960"/>
        <v>297353816.82019675</v>
      </c>
      <c r="R199">
        <f t="shared" si="961"/>
        <v>-129954952353.62819</v>
      </c>
      <c r="S199">
        <f t="shared" si="962"/>
        <v>-1299549.5235362819</v>
      </c>
      <c r="T199">
        <f t="shared" si="963"/>
        <v>-1299.5495235362819</v>
      </c>
    </row>
    <row r="200" spans="1:20" x14ac:dyDescent="0.25">
      <c r="A200" s="5">
        <v>44393</v>
      </c>
      <c r="B200">
        <v>2.0125999999999998E-3</v>
      </c>
      <c r="C200">
        <v>2.0642E-3</v>
      </c>
      <c r="D200">
        <v>1.8634999999999999E-3</v>
      </c>
      <c r="E200">
        <v>1.877E-3</v>
      </c>
      <c r="F200">
        <v>4989619183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-0.86547085201793672</v>
      </c>
      <c r="Q200">
        <f t="shared" si="960"/>
        <v>-4318369965.5560513</v>
      </c>
      <c r="R200">
        <f t="shared" si="961"/>
        <v>-130252306170.44838</v>
      </c>
      <c r="S200">
        <f t="shared" si="962"/>
        <v>-1302523.0617044838</v>
      </c>
      <c r="T200">
        <f t="shared" si="963"/>
        <v>-1302.5230617044838</v>
      </c>
    </row>
    <row r="201" spans="1:20" x14ac:dyDescent="0.25">
      <c r="A201" s="5">
        <v>44392</v>
      </c>
      <c r="B201">
        <v>2.0845999999999998E-3</v>
      </c>
      <c r="C201">
        <v>2.1375000000000001E-3</v>
      </c>
      <c r="D201">
        <v>1.9612000000000002E-3</v>
      </c>
      <c r="E201">
        <v>2.0135999999999999E-3</v>
      </c>
      <c r="F201">
        <v>5473849178</v>
      </c>
      <c r="G201">
        <v>0</v>
      </c>
      <c r="L201" t="s">
        <v>8</v>
      </c>
      <c r="M201" t="s">
        <v>7</v>
      </c>
      <c r="N201" t="s">
        <v>7</v>
      </c>
      <c r="P201">
        <f t="shared" si="959"/>
        <v>-0.40555870674986061</v>
      </c>
      <c r="Q201">
        <f t="shared" si="960"/>
        <v>-2219967193.5734677</v>
      </c>
      <c r="R201">
        <f t="shared" si="961"/>
        <v>-125933936204.89233</v>
      </c>
      <c r="S201">
        <f t="shared" si="962"/>
        <v>-1259339.3620489233</v>
      </c>
      <c r="T201">
        <f t="shared" si="963"/>
        <v>-1259.3393620489232</v>
      </c>
    </row>
    <row r="202" spans="1:20" x14ac:dyDescent="0.25">
      <c r="A202" s="5">
        <v>44391</v>
      </c>
      <c r="B202">
        <v>2.1259E-3</v>
      </c>
      <c r="C202">
        <v>2.1340999999999999E-3</v>
      </c>
      <c r="D202">
        <v>1.9835E-3</v>
      </c>
      <c r="E202">
        <v>2.0845999999999998E-3</v>
      </c>
      <c r="F202">
        <v>4660712263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0.34262948207171168</v>
      </c>
      <c r="Q202">
        <f t="shared" si="960"/>
        <v>1596897428.7569652</v>
      </c>
      <c r="R202">
        <f t="shared" si="961"/>
        <v>-123713969011.31886</v>
      </c>
      <c r="S202">
        <f t="shared" si="962"/>
        <v>-1237139.6901131887</v>
      </c>
      <c r="T202">
        <f t="shared" si="963"/>
        <v>-1237.1396901131886</v>
      </c>
    </row>
    <row r="203" spans="1:20" x14ac:dyDescent="0.25">
      <c r="A203" s="5">
        <v>44390</v>
      </c>
      <c r="B203">
        <v>2.2261999999999998E-3</v>
      </c>
      <c r="C203">
        <v>2.2388E-3</v>
      </c>
      <c r="D203">
        <v>2.0801999999999999E-3</v>
      </c>
      <c r="E203">
        <v>2.1256000000000001E-3</v>
      </c>
      <c r="F203">
        <v>3527423590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-0.42749054224463923</v>
      </c>
      <c r="Q203">
        <f t="shared" si="960"/>
        <v>-1507940223.215632</v>
      </c>
      <c r="R203">
        <f t="shared" si="961"/>
        <v>-125310866440.07582</v>
      </c>
      <c r="S203">
        <f t="shared" si="962"/>
        <v>-1253108.6644007582</v>
      </c>
      <c r="T203">
        <f t="shared" si="963"/>
        <v>-1253.1086644007582</v>
      </c>
    </row>
    <row r="204" spans="1:20" x14ac:dyDescent="0.25">
      <c r="A204" s="5">
        <v>44389</v>
      </c>
      <c r="B204">
        <v>2.2818999999999999E-3</v>
      </c>
      <c r="C204">
        <v>2.3373000000000001E-3</v>
      </c>
      <c r="D204">
        <v>2.1849999999999999E-3</v>
      </c>
      <c r="E204">
        <v>2.2261999999999998E-3</v>
      </c>
      <c r="F204">
        <v>3807156362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-0.45896257386736877</v>
      </c>
      <c r="Q204">
        <f t="shared" si="960"/>
        <v>-1747342283.019048</v>
      </c>
      <c r="R204">
        <f t="shared" si="961"/>
        <v>-123802926216.86018</v>
      </c>
      <c r="S204">
        <f t="shared" si="962"/>
        <v>-1238029.2621686019</v>
      </c>
      <c r="T204">
        <f t="shared" si="963"/>
        <v>-1238.0292621686019</v>
      </c>
    </row>
    <row r="205" spans="1:20" x14ac:dyDescent="0.25">
      <c r="A205" s="5">
        <v>44388</v>
      </c>
      <c r="B205">
        <v>2.2577999999999999E-3</v>
      </c>
      <c r="C205">
        <v>2.3419000000000001E-3</v>
      </c>
      <c r="D205">
        <v>2.2104E-3</v>
      </c>
      <c r="E205">
        <v>2.2794999999999998E-3</v>
      </c>
      <c r="F205">
        <v>3211382284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5.0950570342202808E-2</v>
      </c>
      <c r="Q205">
        <f t="shared" si="960"/>
        <v>163621758.95664591</v>
      </c>
      <c r="R205">
        <f t="shared" si="961"/>
        <v>-122055583933.84114</v>
      </c>
      <c r="S205">
        <f t="shared" si="962"/>
        <v>-1220555.8393384113</v>
      </c>
      <c r="T205">
        <f t="shared" si="963"/>
        <v>-1220.5558393384113</v>
      </c>
    </row>
    <row r="206" spans="1:20" x14ac:dyDescent="0.25">
      <c r="A206" s="5">
        <v>44387</v>
      </c>
      <c r="B206">
        <v>2.2921999999999999E-3</v>
      </c>
      <c r="C206">
        <v>2.3898999999999999E-3</v>
      </c>
      <c r="D206">
        <v>2.2009E-3</v>
      </c>
      <c r="E206">
        <v>2.2555000000000001E-3</v>
      </c>
      <c r="F206">
        <v>2742853587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-0.42222222222222061</v>
      </c>
      <c r="Q206">
        <f t="shared" si="960"/>
        <v>-1158093736.7333288</v>
      </c>
      <c r="R206">
        <f t="shared" si="961"/>
        <v>-122219205692.79779</v>
      </c>
      <c r="S206">
        <f t="shared" si="962"/>
        <v>-1222192.0569279778</v>
      </c>
      <c r="T206">
        <f t="shared" si="963"/>
        <v>-1222.1920569279778</v>
      </c>
    </row>
    <row r="207" spans="1:20" x14ac:dyDescent="0.25">
      <c r="A207" s="5">
        <v>44386</v>
      </c>
      <c r="B207">
        <v>2.2663000000000002E-3</v>
      </c>
      <c r="C207">
        <v>2.3319E-3</v>
      </c>
      <c r="D207">
        <v>2.1267999999999999E-3</v>
      </c>
      <c r="E207">
        <v>2.2935E-3</v>
      </c>
      <c r="F207">
        <v>3173944386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0.62554851292052627</v>
      </c>
      <c r="Q207">
        <f t="shared" si="960"/>
        <v>1985456190.7547529</v>
      </c>
      <c r="R207">
        <f t="shared" si="961"/>
        <v>-121061111956.06447</v>
      </c>
      <c r="S207">
        <f t="shared" si="962"/>
        <v>-1210611.1195606447</v>
      </c>
      <c r="T207">
        <f t="shared" si="963"/>
        <v>-1210.6111195606447</v>
      </c>
    </row>
    <row r="208" spans="1:20" x14ac:dyDescent="0.25">
      <c r="A208" s="5">
        <v>44385</v>
      </c>
      <c r="B208">
        <v>2.4348E-3</v>
      </c>
      <c r="C208">
        <v>2.4424999999999998E-3</v>
      </c>
      <c r="D208">
        <v>2.2093E-3</v>
      </c>
      <c r="E208">
        <v>2.2679000000000002E-3</v>
      </c>
      <c r="F208">
        <v>5288473195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-0.49742710120068373</v>
      </c>
      <c r="Q208">
        <f t="shared" si="960"/>
        <v>-2630629891.166368</v>
      </c>
      <c r="R208">
        <f t="shared" si="961"/>
        <v>-123046568146.81921</v>
      </c>
      <c r="S208">
        <f t="shared" si="962"/>
        <v>-1230465.681468192</v>
      </c>
      <c r="T208">
        <f t="shared" si="963"/>
        <v>-1230.4656814681921</v>
      </c>
    </row>
    <row r="209" spans="1:20" x14ac:dyDescent="0.25">
      <c r="A209" s="5">
        <v>44384</v>
      </c>
      <c r="B209">
        <v>2.3949000000000002E-3</v>
      </c>
      <c r="C209">
        <v>2.5474999999999999E-3</v>
      </c>
      <c r="D209">
        <v>2.3685999999999998E-3</v>
      </c>
      <c r="E209">
        <v>2.4413E-3</v>
      </c>
      <c r="F209">
        <v>5347095656</v>
      </c>
      <c r="G209">
        <v>0</v>
      </c>
      <c r="L209" t="s">
        <v>8</v>
      </c>
      <c r="M209" t="s">
        <v>7</v>
      </c>
      <c r="N209" t="s">
        <v>8</v>
      </c>
      <c r="P209">
        <f t="shared" si="959"/>
        <v>-0.18725544997204954</v>
      </c>
      <c r="Q209">
        <f t="shared" si="960"/>
        <v>-1001272803.1078714</v>
      </c>
      <c r="R209">
        <f t="shared" si="961"/>
        <v>-120415938255.65285</v>
      </c>
      <c r="S209">
        <f t="shared" si="962"/>
        <v>-1204159.3825565286</v>
      </c>
      <c r="T209">
        <f t="shared" si="963"/>
        <v>-1204.1593825565285</v>
      </c>
    </row>
    <row r="210" spans="1:20" x14ac:dyDescent="0.25">
      <c r="A210" s="5">
        <v>44383</v>
      </c>
      <c r="B210">
        <v>2.343E-3</v>
      </c>
      <c r="C210">
        <v>2.5046000000000001E-3</v>
      </c>
      <c r="D210">
        <v>2.3308000000000001E-3</v>
      </c>
      <c r="E210">
        <v>2.3953999999999998E-3</v>
      </c>
      <c r="F210">
        <v>5704120106</v>
      </c>
      <c r="G210">
        <v>0</v>
      </c>
      <c r="L210" t="s">
        <v>7</v>
      </c>
      <c r="M210" t="s">
        <v>7</v>
      </c>
      <c r="N210" t="s">
        <v>8</v>
      </c>
      <c r="P210">
        <f t="shared" si="959"/>
        <v>-0.25661680092060152</v>
      </c>
      <c r="Q210">
        <f t="shared" si="960"/>
        <v>-1463773053.6686025</v>
      </c>
      <c r="R210">
        <f t="shared" si="961"/>
        <v>-119414665452.54498</v>
      </c>
      <c r="S210">
        <f t="shared" si="962"/>
        <v>-1194146.6545254497</v>
      </c>
      <c r="T210">
        <f t="shared" si="963"/>
        <v>-1194.1466545254498</v>
      </c>
    </row>
    <row r="211" spans="1:20" x14ac:dyDescent="0.25">
      <c r="A211" s="5">
        <v>44382</v>
      </c>
      <c r="B211">
        <v>2.5119999999999999E-3</v>
      </c>
      <c r="C211">
        <v>2.63E-3</v>
      </c>
      <c r="D211">
        <v>2.3100999999999998E-3</v>
      </c>
      <c r="E211">
        <v>2.3422E-3</v>
      </c>
      <c r="F211">
        <v>5754997842</v>
      </c>
      <c r="G211">
        <v>0</v>
      </c>
      <c r="L211" t="s">
        <v>8</v>
      </c>
      <c r="M211" t="s">
        <v>7</v>
      </c>
      <c r="N211" t="s">
        <v>8</v>
      </c>
      <c r="P211">
        <f t="shared" si="959"/>
        <v>-0.79931228508908925</v>
      </c>
      <c r="Q211">
        <f t="shared" si="960"/>
        <v>-4600040475.7717972</v>
      </c>
      <c r="R211">
        <f t="shared" si="961"/>
        <v>-117950892398.87637</v>
      </c>
      <c r="S211">
        <f t="shared" si="962"/>
        <v>-1179508.9239887637</v>
      </c>
      <c r="T211">
        <f t="shared" si="963"/>
        <v>-1179.5089239887636</v>
      </c>
    </row>
    <row r="212" spans="1:20" x14ac:dyDescent="0.25">
      <c r="A212" s="5">
        <v>44381</v>
      </c>
      <c r="B212">
        <v>2.4575999999999999E-3</v>
      </c>
      <c r="C212">
        <v>2.5980999999999999E-3</v>
      </c>
      <c r="D212">
        <v>2.3700000000000001E-3</v>
      </c>
      <c r="E212">
        <v>2.5149999999999999E-3</v>
      </c>
      <c r="F212">
        <v>4299405188</v>
      </c>
      <c r="G212">
        <v>0</v>
      </c>
      <c r="L212" t="s">
        <v>8</v>
      </c>
      <c r="M212" t="s">
        <v>7</v>
      </c>
      <c r="N212" t="s">
        <v>8</v>
      </c>
      <c r="P212">
        <f t="shared" si="959"/>
        <v>0.27137220517316873</v>
      </c>
      <c r="Q212">
        <f t="shared" si="960"/>
        <v>1166739066.8005221</v>
      </c>
      <c r="R212">
        <f t="shared" si="961"/>
        <v>-113350851923.10457</v>
      </c>
      <c r="S212">
        <f t="shared" si="962"/>
        <v>-1133508.5192310456</v>
      </c>
      <c r="T212">
        <f t="shared" si="963"/>
        <v>-1133.5085192310455</v>
      </c>
    </row>
    <row r="213" spans="1:20" x14ac:dyDescent="0.25">
      <c r="A213" s="5">
        <v>44380</v>
      </c>
      <c r="B213">
        <v>2.3830000000000001E-3</v>
      </c>
      <c r="C213">
        <v>2.4949999999999998E-3</v>
      </c>
      <c r="D213">
        <v>2.3061000000000002E-3</v>
      </c>
      <c r="E213">
        <v>2.4589E-3</v>
      </c>
      <c r="F213">
        <v>3818682301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0.61778718898888396</v>
      </c>
      <c r="Q213">
        <f t="shared" si="960"/>
        <v>2359133004.3763933</v>
      </c>
      <c r="R213">
        <f t="shared" si="961"/>
        <v>-114517590989.90509</v>
      </c>
      <c r="S213">
        <f t="shared" si="962"/>
        <v>-1145175.9098990508</v>
      </c>
      <c r="T213">
        <f t="shared" si="963"/>
        <v>-1145.1759098990508</v>
      </c>
    </row>
    <row r="214" spans="1:20" x14ac:dyDescent="0.25">
      <c r="A214" s="5">
        <v>44379</v>
      </c>
      <c r="B214">
        <v>2.3708000000000002E-3</v>
      </c>
      <c r="C214">
        <v>2.4193999999999999E-3</v>
      </c>
      <c r="D214">
        <v>2.2501999999999999E-3</v>
      </c>
      <c r="E214">
        <v>2.3811000000000001E-3</v>
      </c>
      <c r="F214">
        <v>5426768100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0.54728132387707096</v>
      </c>
      <c r="Q214">
        <f t="shared" si="960"/>
        <v>2969968830.1418571</v>
      </c>
      <c r="R214">
        <f t="shared" si="961"/>
        <v>-116876723994.28148</v>
      </c>
      <c r="S214">
        <f t="shared" si="962"/>
        <v>-1168767.2399428147</v>
      </c>
      <c r="T214">
        <f t="shared" si="963"/>
        <v>-1168.7672399428147</v>
      </c>
    </row>
    <row r="215" spans="1:20" x14ac:dyDescent="0.25">
      <c r="A215" s="5">
        <v>44378</v>
      </c>
      <c r="B215">
        <v>2.6365999999999998E-3</v>
      </c>
      <c r="C215">
        <v>2.6389E-3</v>
      </c>
      <c r="D215">
        <v>2.3038999999999998E-3</v>
      </c>
      <c r="E215">
        <v>2.3708000000000002E-3</v>
      </c>
      <c r="F215">
        <v>6071148703</v>
      </c>
      <c r="G215">
        <v>0</v>
      </c>
      <c r="L215" t="s">
        <v>7</v>
      </c>
      <c r="M215" t="s">
        <v>7</v>
      </c>
      <c r="N215" t="s">
        <v>8</v>
      </c>
      <c r="P215">
        <f t="shared" si="959"/>
        <v>-0.6005970149253711</v>
      </c>
      <c r="Q215">
        <f t="shared" si="960"/>
        <v>-3646313788.1898384</v>
      </c>
      <c r="R215">
        <f t="shared" si="961"/>
        <v>-119846692824.42334</v>
      </c>
      <c r="S215">
        <f t="shared" si="962"/>
        <v>-1198466.9282442334</v>
      </c>
      <c r="T215">
        <f t="shared" si="963"/>
        <v>-1198.4669282442333</v>
      </c>
    </row>
    <row r="216" spans="1:20" x14ac:dyDescent="0.25">
      <c r="A216" s="5">
        <v>44377</v>
      </c>
      <c r="B216">
        <v>2.6733E-3</v>
      </c>
      <c r="C216">
        <v>2.7533000000000002E-3</v>
      </c>
      <c r="D216">
        <v>2.3760000000000001E-3</v>
      </c>
      <c r="E216">
        <v>2.6346999999999998E-3</v>
      </c>
      <c r="F216">
        <v>8070670707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0.37132255499602251</v>
      </c>
      <c r="Q216">
        <f t="shared" si="960"/>
        <v>2996822067.4547954</v>
      </c>
      <c r="R216">
        <f t="shared" si="961"/>
        <v>-116200379036.23351</v>
      </c>
      <c r="S216">
        <f t="shared" si="962"/>
        <v>-1162003.790362335</v>
      </c>
      <c r="T216">
        <f t="shared" si="963"/>
        <v>-1162.0037903623349</v>
      </c>
    </row>
    <row r="217" spans="1:20" x14ac:dyDescent="0.25">
      <c r="A217" s="5">
        <v>44376</v>
      </c>
      <c r="B217">
        <v>2.3254E-3</v>
      </c>
      <c r="C217">
        <v>2.8140000000000001E-3</v>
      </c>
      <c r="D217">
        <v>2.317E-3</v>
      </c>
      <c r="E217">
        <v>2.6733E-3</v>
      </c>
      <c r="F217">
        <v>9883128744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0.43380281690140804</v>
      </c>
      <c r="Q217">
        <f t="shared" si="960"/>
        <v>4287329088.946475</v>
      </c>
      <c r="R217">
        <f t="shared" si="961"/>
        <v>-119197201103.68829</v>
      </c>
      <c r="S217">
        <f t="shared" si="962"/>
        <v>-1191972.0110368829</v>
      </c>
      <c r="T217">
        <f t="shared" si="963"/>
        <v>-1191.9720110368828</v>
      </c>
    </row>
    <row r="218" spans="1:20" x14ac:dyDescent="0.25">
      <c r="A218" s="5">
        <v>44375</v>
      </c>
      <c r="B218">
        <v>2.3413000000000002E-3</v>
      </c>
      <c r="C218">
        <v>2.4229999999999998E-3</v>
      </c>
      <c r="D218">
        <v>2.2569000000000001E-3</v>
      </c>
      <c r="E218">
        <v>2.3281999999999999E-3</v>
      </c>
      <c r="F218">
        <v>6769225599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-0.14148103552077132</v>
      </c>
      <c r="Q218">
        <f t="shared" si="960"/>
        <v>-957717047.42023349</v>
      </c>
      <c r="R218">
        <f t="shared" si="961"/>
        <v>-123484530192.63477</v>
      </c>
      <c r="S218">
        <f t="shared" si="962"/>
        <v>-1234845.3019263477</v>
      </c>
      <c r="T218">
        <f t="shared" si="963"/>
        <v>-1234.8453019263477</v>
      </c>
    </row>
    <row r="219" spans="1:20" x14ac:dyDescent="0.25">
      <c r="A219" s="5">
        <v>44374</v>
      </c>
      <c r="B219">
        <v>2.2298999999999999E-3</v>
      </c>
      <c r="C219">
        <v>2.3514999999999999E-3</v>
      </c>
      <c r="D219">
        <v>2.1749999999999999E-3</v>
      </c>
      <c r="E219">
        <v>2.3389000000000001E-3</v>
      </c>
      <c r="F219">
        <v>5571654961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0.85722379603399701</v>
      </c>
      <c r="Q219">
        <f t="shared" si="960"/>
        <v>4776155215.8600712</v>
      </c>
      <c r="R219">
        <f t="shared" si="961"/>
        <v>-122526813145.21454</v>
      </c>
      <c r="S219">
        <f t="shared" si="962"/>
        <v>-1225268.1314521453</v>
      </c>
      <c r="T219">
        <f t="shared" si="963"/>
        <v>-1225.2681314521453</v>
      </c>
    </row>
    <row r="220" spans="1:20" x14ac:dyDescent="0.25">
      <c r="A220" s="5">
        <v>44373</v>
      </c>
      <c r="B220">
        <v>2.1805000000000001E-3</v>
      </c>
      <c r="C220">
        <v>2.2599999999999999E-3</v>
      </c>
      <c r="D220">
        <v>2.0251000000000002E-3</v>
      </c>
      <c r="E220">
        <v>2.2288999999999998E-3</v>
      </c>
      <c r="F220">
        <v>8922437221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0.73520647083865398</v>
      </c>
      <c r="Q220">
        <f t="shared" si="960"/>
        <v>6559833580.5308571</v>
      </c>
      <c r="R220">
        <f t="shared" si="961"/>
        <v>-127302968361.07462</v>
      </c>
      <c r="S220">
        <f t="shared" si="962"/>
        <v>-1273029.6836107462</v>
      </c>
      <c r="T220">
        <f t="shared" si="963"/>
        <v>-1273.0296836107461</v>
      </c>
    </row>
    <row r="221" spans="1:20" x14ac:dyDescent="0.25">
      <c r="A221" s="5">
        <v>44372</v>
      </c>
      <c r="B221">
        <v>2.4840000000000001E-3</v>
      </c>
      <c r="C221">
        <v>2.5623999999999998E-3</v>
      </c>
      <c r="D221">
        <v>2.1475000000000001E-3</v>
      </c>
      <c r="E221">
        <v>2.1787999999999998E-3</v>
      </c>
      <c r="F221">
        <v>6182755422</v>
      </c>
      <c r="G221">
        <v>0</v>
      </c>
      <c r="L221" t="s">
        <v>7</v>
      </c>
      <c r="M221" t="s">
        <v>8</v>
      </c>
      <c r="N221" t="s">
        <v>8</v>
      </c>
      <c r="P221">
        <f t="shared" si="959"/>
        <v>-0.84912026994456613</v>
      </c>
      <c r="Q221">
        <f t="shared" si="960"/>
        <v>-5249902952.9298697</v>
      </c>
      <c r="R221">
        <f t="shared" si="961"/>
        <v>-133862801941.60547</v>
      </c>
      <c r="S221">
        <f t="shared" si="962"/>
        <v>-1338628.0194160547</v>
      </c>
      <c r="T221">
        <f t="shared" si="963"/>
        <v>-1338.6280194160547</v>
      </c>
    </row>
    <row r="222" spans="1:20" x14ac:dyDescent="0.25">
      <c r="A222" s="5">
        <v>44371</v>
      </c>
      <c r="B222">
        <v>2.3070999999999999E-3</v>
      </c>
      <c r="C222">
        <v>2.5496E-3</v>
      </c>
      <c r="D222">
        <v>2.1881000000000001E-3</v>
      </c>
      <c r="E222">
        <v>2.4799000000000002E-3</v>
      </c>
      <c r="F222">
        <v>6692401651</v>
      </c>
      <c r="G222">
        <v>0</v>
      </c>
      <c r="L222" t="s">
        <v>7</v>
      </c>
      <c r="M222" t="s">
        <v>8</v>
      </c>
      <c r="N222" t="s">
        <v>8</v>
      </c>
      <c r="P222">
        <f t="shared" si="959"/>
        <v>0.61438450899031904</v>
      </c>
      <c r="Q222">
        <f t="shared" si="960"/>
        <v>4111707902.3156357</v>
      </c>
      <c r="R222">
        <f t="shared" si="961"/>
        <v>-128612898988.6756</v>
      </c>
      <c r="S222">
        <f t="shared" si="962"/>
        <v>-1286128.9898867561</v>
      </c>
      <c r="T222">
        <f t="shared" si="963"/>
        <v>-1286.128989886756</v>
      </c>
    </row>
    <row r="223" spans="1:20" x14ac:dyDescent="0.25">
      <c r="A223" s="5">
        <v>44370</v>
      </c>
      <c r="B223">
        <v>2.1397999999999999E-3</v>
      </c>
      <c r="C223">
        <v>2.5515999999999998E-3</v>
      </c>
      <c r="D223">
        <v>2.0500000000000002E-3</v>
      </c>
      <c r="E223">
        <v>2.3056999999999999E-3</v>
      </c>
      <c r="F223">
        <v>8814866211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1.9537480063795694E-2</v>
      </c>
      <c r="Q223">
        <f t="shared" si="960"/>
        <v>172220272.8624388</v>
      </c>
      <c r="R223">
        <f t="shared" si="961"/>
        <v>-132724606890.99123</v>
      </c>
      <c r="S223">
        <f t="shared" si="962"/>
        <v>-1327246.0689099124</v>
      </c>
      <c r="T223">
        <f t="shared" si="963"/>
        <v>-1327.2460689099123</v>
      </c>
    </row>
    <row r="224" spans="1:20" x14ac:dyDescent="0.25">
      <c r="A224" s="5">
        <v>44369</v>
      </c>
      <c r="B224">
        <v>2.3430999999999999E-3</v>
      </c>
      <c r="C224">
        <v>2.5157000000000001E-3</v>
      </c>
      <c r="D224">
        <v>1.7834999999999999E-3</v>
      </c>
      <c r="E224">
        <v>2.14E-3</v>
      </c>
      <c r="F224">
        <v>13980993807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-2.6222343621961252E-2</v>
      </c>
      <c r="Q224">
        <f t="shared" si="960"/>
        <v>-366614423.78366619</v>
      </c>
      <c r="R224">
        <f t="shared" si="961"/>
        <v>-132896827163.85367</v>
      </c>
      <c r="S224">
        <f t="shared" si="962"/>
        <v>-1328968.2716385366</v>
      </c>
      <c r="T224">
        <f t="shared" si="963"/>
        <v>-1328.9682716385366</v>
      </c>
    </row>
    <row r="225" spans="1:20" x14ac:dyDescent="0.25">
      <c r="A225" s="5">
        <v>44368</v>
      </c>
      <c r="B225">
        <v>2.9583000000000001E-3</v>
      </c>
      <c r="C225">
        <v>2.9897000000000001E-3</v>
      </c>
      <c r="D225">
        <v>2.2790000000000002E-3</v>
      </c>
      <c r="E225">
        <v>2.3432000000000001E-3</v>
      </c>
      <c r="F225">
        <v>8937657755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-0.81933305192064176</v>
      </c>
      <c r="Q225">
        <f t="shared" si="960"/>
        <v>-7322918405.4263411</v>
      </c>
      <c r="R225">
        <f t="shared" si="961"/>
        <v>-132530212740.07001</v>
      </c>
      <c r="S225">
        <f t="shared" si="962"/>
        <v>-1325302.1274007</v>
      </c>
      <c r="T225">
        <f t="shared" si="963"/>
        <v>-1325.3021274007001</v>
      </c>
    </row>
    <row r="226" spans="1:20" x14ac:dyDescent="0.25">
      <c r="A226" s="5">
        <v>44367</v>
      </c>
      <c r="B226">
        <v>3.0016000000000001E-3</v>
      </c>
      <c r="C226">
        <v>3.0287999999999999E-3</v>
      </c>
      <c r="D226">
        <v>2.6806999999999998E-3</v>
      </c>
      <c r="E226">
        <v>2.9594999999999999E-3</v>
      </c>
      <c r="F226">
        <v>5730870025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0.60183855214018966</v>
      </c>
      <c r="Q226">
        <f t="shared" si="960"/>
        <v>3449058518.3496127</v>
      </c>
      <c r="R226">
        <f t="shared" si="961"/>
        <v>-125207294334.64366</v>
      </c>
      <c r="S226">
        <f t="shared" si="962"/>
        <v>-1252072.9433464366</v>
      </c>
      <c r="T226">
        <f t="shared" si="963"/>
        <v>-1252.0729433464367</v>
      </c>
    </row>
    <row r="227" spans="1:20" x14ac:dyDescent="0.25">
      <c r="A227" s="5">
        <v>44366</v>
      </c>
      <c r="B227">
        <v>3.0799999999999998E-3</v>
      </c>
      <c r="C227">
        <v>3.1470999999999999E-3</v>
      </c>
      <c r="D227">
        <v>2.9742000000000002E-3</v>
      </c>
      <c r="E227">
        <v>2.9998999999999998E-3</v>
      </c>
      <c r="F227">
        <v>3495150459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-0.70271833429728581</v>
      </c>
      <c r="Q227">
        <f t="shared" si="960"/>
        <v>-2456106308.6668739</v>
      </c>
      <c r="R227">
        <f t="shared" si="961"/>
        <v>-128656352852.99327</v>
      </c>
      <c r="S227">
        <f t="shared" si="962"/>
        <v>-1286563.5285299327</v>
      </c>
      <c r="T227">
        <f t="shared" si="963"/>
        <v>-1286.5635285299327</v>
      </c>
    </row>
    <row r="228" spans="1:20" x14ac:dyDescent="0.25">
      <c r="A228" s="5">
        <v>44365</v>
      </c>
      <c r="B228">
        <v>3.3808000000000002E-3</v>
      </c>
      <c r="C228">
        <v>3.3831999999999998E-3</v>
      </c>
      <c r="D228">
        <v>2.9743E-3</v>
      </c>
      <c r="E228">
        <v>3.0728000000000001E-3</v>
      </c>
      <c r="F228">
        <v>6363135864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-0.51821961359745605</v>
      </c>
      <c r="Q228">
        <f t="shared" si="960"/>
        <v>-3297501808.7101946</v>
      </c>
      <c r="R228">
        <f t="shared" si="961"/>
        <v>-126200246544.3264</v>
      </c>
      <c r="S228">
        <f t="shared" si="962"/>
        <v>-1262002.465443264</v>
      </c>
      <c r="T228">
        <f t="shared" si="963"/>
        <v>-1262.0024654432641</v>
      </c>
    </row>
    <row r="229" spans="1:20" x14ac:dyDescent="0.25">
      <c r="A229" s="5">
        <v>44364</v>
      </c>
      <c r="B229">
        <v>3.3925000000000001E-3</v>
      </c>
      <c r="C229">
        <v>3.5084999999999999E-3</v>
      </c>
      <c r="D229">
        <v>3.2279000000000001E-3</v>
      </c>
      <c r="E229">
        <v>3.3808000000000002E-3</v>
      </c>
      <c r="F229">
        <v>4646696849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8.9807555238775538E-2</v>
      </c>
      <c r="Q229">
        <f t="shared" si="960"/>
        <v>417308483.94441175</v>
      </c>
      <c r="R229">
        <f t="shared" si="961"/>
        <v>-122902744735.61621</v>
      </c>
      <c r="S229">
        <f t="shared" si="962"/>
        <v>-1229027.4473561621</v>
      </c>
      <c r="T229">
        <f t="shared" si="963"/>
        <v>-1229.0274473561622</v>
      </c>
    </row>
    <row r="230" spans="1:20" x14ac:dyDescent="0.25">
      <c r="A230" s="5">
        <v>44363</v>
      </c>
      <c r="B230">
        <v>3.4981999999999999E-3</v>
      </c>
      <c r="C230">
        <v>3.7207999999999998E-3</v>
      </c>
      <c r="D230">
        <v>3.3400000000000001E-3</v>
      </c>
      <c r="E230">
        <v>3.3925000000000001E-3</v>
      </c>
      <c r="F230">
        <v>8345568419</v>
      </c>
      <c r="G230">
        <v>0</v>
      </c>
      <c r="L230" t="s">
        <v>8</v>
      </c>
      <c r="M230" t="s">
        <v>8</v>
      </c>
      <c r="N230" t="s">
        <v>7</v>
      </c>
      <c r="P230">
        <f t="shared" si="959"/>
        <v>-0.72426470588235259</v>
      </c>
      <c r="Q230">
        <f t="shared" si="960"/>
        <v>-6044400656.4080849</v>
      </c>
      <c r="R230">
        <f t="shared" si="961"/>
        <v>-123320053219.56062</v>
      </c>
      <c r="S230">
        <f t="shared" si="962"/>
        <v>-1233200.5321956063</v>
      </c>
      <c r="T230">
        <f t="shared" si="963"/>
        <v>-1233.2005321956062</v>
      </c>
    </row>
    <row r="231" spans="1:20" x14ac:dyDescent="0.25">
      <c r="A231" s="5">
        <v>44362</v>
      </c>
      <c r="B231">
        <v>3.4464000000000001E-3</v>
      </c>
      <c r="C231">
        <v>3.5942000000000001E-3</v>
      </c>
      <c r="D231">
        <v>3.3842E-3</v>
      </c>
      <c r="E231">
        <v>3.4981999999999999E-3</v>
      </c>
      <c r="F231">
        <v>6905708285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8.5714285714284646E-2</v>
      </c>
      <c r="Q231">
        <f t="shared" si="960"/>
        <v>591917852.99999261</v>
      </c>
      <c r="R231">
        <f t="shared" si="961"/>
        <v>-117275652563.15254</v>
      </c>
      <c r="S231">
        <f t="shared" si="962"/>
        <v>-1172756.5256315253</v>
      </c>
      <c r="T231">
        <f t="shared" si="963"/>
        <v>-1172.7565256315254</v>
      </c>
    </row>
    <row r="232" spans="1:20" x14ac:dyDescent="0.25">
      <c r="A232" s="5">
        <v>44361</v>
      </c>
      <c r="B232">
        <v>3.3993999999999999E-3</v>
      </c>
      <c r="C232">
        <v>3.6001000000000002E-3</v>
      </c>
      <c r="D232">
        <v>3.2789999999999998E-3</v>
      </c>
      <c r="E232">
        <v>3.4483999999999999E-3</v>
      </c>
      <c r="F232">
        <v>6759288621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5.5123014637184095E-2</v>
      </c>
      <c r="Q232">
        <f t="shared" si="960"/>
        <v>372592365.59233493</v>
      </c>
      <c r="R232">
        <f t="shared" si="961"/>
        <v>-117867570416.15254</v>
      </c>
      <c r="S232">
        <f t="shared" si="962"/>
        <v>-1178675.7041615255</v>
      </c>
      <c r="T232">
        <f t="shared" si="963"/>
        <v>-1178.6757041615256</v>
      </c>
    </row>
    <row r="233" spans="1:20" x14ac:dyDescent="0.25">
      <c r="A233" s="5">
        <v>44360</v>
      </c>
      <c r="B233">
        <v>3.1099999999999999E-3</v>
      </c>
      <c r="C233">
        <v>3.5241000000000001E-3</v>
      </c>
      <c r="D233">
        <v>3.0246000000000001E-3</v>
      </c>
      <c r="E233">
        <v>3.3995000000000002E-3</v>
      </c>
      <c r="F233">
        <v>6185361251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0.50110110110110151</v>
      </c>
      <c r="Q233">
        <f t="shared" si="960"/>
        <v>3099491333.5841866</v>
      </c>
      <c r="R233">
        <f t="shared" si="961"/>
        <v>-118240162781.74487</v>
      </c>
      <c r="S233">
        <f t="shared" si="962"/>
        <v>-1182401.6278174487</v>
      </c>
      <c r="T233">
        <f t="shared" si="963"/>
        <v>-1182.4016278174488</v>
      </c>
    </row>
    <row r="234" spans="1:20" x14ac:dyDescent="0.25">
      <c r="A234" s="5">
        <v>44359</v>
      </c>
      <c r="B234">
        <v>3.2339000000000001E-3</v>
      </c>
      <c r="C234">
        <v>3.2363000000000001E-3</v>
      </c>
      <c r="D234">
        <v>2.9689E-3</v>
      </c>
      <c r="E234">
        <v>3.0977000000000001E-3</v>
      </c>
      <c r="F234">
        <v>6534223786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-3.6649214659685521E-2</v>
      </c>
      <c r="Q234">
        <f t="shared" si="960"/>
        <v>-239474170.16753703</v>
      </c>
      <c r="R234">
        <f t="shared" si="961"/>
        <v>-121339654115.32906</v>
      </c>
      <c r="S234">
        <f t="shared" si="962"/>
        <v>-1213396.5411532905</v>
      </c>
      <c r="T234">
        <f t="shared" si="963"/>
        <v>-1213.3965411532906</v>
      </c>
    </row>
    <row r="235" spans="1:20" x14ac:dyDescent="0.25">
      <c r="A235" s="5">
        <v>44358</v>
      </c>
      <c r="B235">
        <v>3.3281999999999999E-3</v>
      </c>
      <c r="C235">
        <v>3.4981000000000001E-3</v>
      </c>
      <c r="D235">
        <v>3.0994999999999998E-3</v>
      </c>
      <c r="E235">
        <v>3.2345999999999998E-3</v>
      </c>
      <c r="F235">
        <v>7620004358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-0.32212744606121479</v>
      </c>
      <c r="Q235">
        <f t="shared" si="960"/>
        <v>-2454612542.8178668</v>
      </c>
      <c r="R235">
        <f t="shared" si="961"/>
        <v>-121100179945.16151</v>
      </c>
      <c r="S235">
        <f t="shared" si="962"/>
        <v>-1211001.7994516152</v>
      </c>
      <c r="T235">
        <f t="shared" si="963"/>
        <v>-1211.0017994516152</v>
      </c>
    </row>
    <row r="236" spans="1:20" x14ac:dyDescent="0.25">
      <c r="A236" s="5">
        <v>44357</v>
      </c>
      <c r="B236">
        <v>3.7750000000000001E-3</v>
      </c>
      <c r="C236">
        <v>3.8349E-3</v>
      </c>
      <c r="D236">
        <v>3.2818000000000001E-3</v>
      </c>
      <c r="E236">
        <v>3.3281999999999999E-3</v>
      </c>
      <c r="F236">
        <v>8348175573</v>
      </c>
      <c r="G236">
        <v>0</v>
      </c>
      <c r="L236" t="s">
        <v>8</v>
      </c>
      <c r="M236" t="s">
        <v>8</v>
      </c>
      <c r="N236" t="s">
        <v>7</v>
      </c>
      <c r="P236">
        <f t="shared" si="959"/>
        <v>-0.83221840535165492</v>
      </c>
      <c r="Q236">
        <f t="shared" si="960"/>
        <v>-6947505362.9576979</v>
      </c>
      <c r="R236">
        <f t="shared" si="961"/>
        <v>-118645567402.34364</v>
      </c>
      <c r="S236">
        <f t="shared" si="962"/>
        <v>-1186455.6740234364</v>
      </c>
      <c r="T236">
        <f t="shared" si="963"/>
        <v>-1186.4556740234364</v>
      </c>
    </row>
    <row r="237" spans="1:20" x14ac:dyDescent="0.25">
      <c r="A237" s="5">
        <v>44356</v>
      </c>
      <c r="B237">
        <v>3.3969999999999998E-3</v>
      </c>
      <c r="C237">
        <v>3.7867E-3</v>
      </c>
      <c r="D237">
        <v>3.2004999999999998E-3</v>
      </c>
      <c r="E237">
        <v>3.7743999999999998E-3</v>
      </c>
      <c r="F237">
        <v>10791563546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0.9580348004094158</v>
      </c>
      <c r="Q237">
        <f t="shared" si="960"/>
        <v>10338693427.897638</v>
      </c>
      <c r="R237">
        <f t="shared" si="961"/>
        <v>-111698062039.38594</v>
      </c>
      <c r="S237">
        <f t="shared" si="962"/>
        <v>-1116980.6203938595</v>
      </c>
      <c r="T237">
        <f t="shared" si="963"/>
        <v>-1116.9806203938595</v>
      </c>
    </row>
    <row r="238" spans="1:20" x14ac:dyDescent="0.25">
      <c r="A238" s="5">
        <v>44355</v>
      </c>
      <c r="B238">
        <v>3.2726000000000001E-3</v>
      </c>
      <c r="C238">
        <v>3.5599999999999998E-3</v>
      </c>
      <c r="D238">
        <v>2.8903000000000002E-3</v>
      </c>
      <c r="E238">
        <v>3.3972E-3</v>
      </c>
      <c r="F238">
        <v>11684519051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0.51381215469613284</v>
      </c>
      <c r="Q238">
        <f t="shared" si="960"/>
        <v>6003647910.1823235</v>
      </c>
      <c r="R238">
        <f t="shared" si="961"/>
        <v>-122036755467.28358</v>
      </c>
      <c r="S238">
        <f t="shared" si="962"/>
        <v>-1220367.5546728359</v>
      </c>
      <c r="T238">
        <f t="shared" si="963"/>
        <v>-1220.3675546728359</v>
      </c>
    </row>
    <row r="239" spans="1:20" x14ac:dyDescent="0.25">
      <c r="A239" s="5">
        <v>44354</v>
      </c>
      <c r="B239">
        <v>3.705E-3</v>
      </c>
      <c r="C239">
        <v>3.7848999999999999E-3</v>
      </c>
      <c r="D239">
        <v>3.222E-3</v>
      </c>
      <c r="E239">
        <v>3.2704000000000001E-3</v>
      </c>
      <c r="F239">
        <v>7858605193</v>
      </c>
      <c r="G239">
        <v>0</v>
      </c>
      <c r="L239" t="s">
        <v>8</v>
      </c>
      <c r="M239" t="s">
        <v>7</v>
      </c>
      <c r="N239" t="s">
        <v>7</v>
      </c>
      <c r="P239">
        <f t="shared" si="959"/>
        <v>-0.82803339847219715</v>
      </c>
      <c r="Q239">
        <f t="shared" si="960"/>
        <v>-6507187565.2110472</v>
      </c>
      <c r="R239">
        <f t="shared" si="961"/>
        <v>-128040403377.46591</v>
      </c>
      <c r="S239">
        <f t="shared" si="962"/>
        <v>-1280404.033774659</v>
      </c>
      <c r="T239">
        <f t="shared" si="963"/>
        <v>-1280.404033774659</v>
      </c>
    </row>
    <row r="240" spans="1:20" x14ac:dyDescent="0.25">
      <c r="A240" s="5">
        <v>44353</v>
      </c>
      <c r="B240">
        <v>3.4715000000000002E-3</v>
      </c>
      <c r="C240">
        <v>3.7084000000000002E-3</v>
      </c>
      <c r="D240">
        <v>3.4578999999999999E-3</v>
      </c>
      <c r="E240">
        <v>3.705E-3</v>
      </c>
      <c r="F240">
        <v>4499825636</v>
      </c>
      <c r="G240">
        <v>0</v>
      </c>
      <c r="L240" t="s">
        <v>8</v>
      </c>
      <c r="M240" t="s">
        <v>7</v>
      </c>
      <c r="N240" t="s">
        <v>7</v>
      </c>
      <c r="P240">
        <f t="shared" si="959"/>
        <v>0.97285429141716417</v>
      </c>
      <c r="Q240">
        <f t="shared" si="960"/>
        <v>4377674680.6115704</v>
      </c>
      <c r="R240">
        <f t="shared" si="961"/>
        <v>-121533215812.25487</v>
      </c>
      <c r="S240">
        <f t="shared" si="962"/>
        <v>-1215332.1581225486</v>
      </c>
      <c r="T240">
        <f t="shared" si="963"/>
        <v>-1215.3321581225487</v>
      </c>
    </row>
    <row r="241" spans="1:20" x14ac:dyDescent="0.25">
      <c r="A241" s="5">
        <v>44352</v>
      </c>
      <c r="B241">
        <v>3.6621000000000002E-3</v>
      </c>
      <c r="C241">
        <v>3.8899E-3</v>
      </c>
      <c r="D241">
        <v>3.3249999999999998E-3</v>
      </c>
      <c r="E241">
        <v>3.4797000000000001E-3</v>
      </c>
      <c r="F241">
        <v>7983415254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-0.45229244114002409</v>
      </c>
      <c r="Q241">
        <f t="shared" si="960"/>
        <v>-3610838373.8661656</v>
      </c>
      <c r="R241">
        <f t="shared" si="961"/>
        <v>-125910890492.86644</v>
      </c>
      <c r="S241">
        <f t="shared" si="962"/>
        <v>-1259108.9049286644</v>
      </c>
      <c r="T241">
        <f t="shared" si="963"/>
        <v>-1259.1089049286645</v>
      </c>
    </row>
    <row r="242" spans="1:20" x14ac:dyDescent="0.25">
      <c r="A242" s="5">
        <v>44351</v>
      </c>
      <c r="B242">
        <v>4.1691000000000002E-3</v>
      </c>
      <c r="C242">
        <v>4.1939999999999998E-3</v>
      </c>
      <c r="D242">
        <v>3.4348999999999998E-3</v>
      </c>
      <c r="E242">
        <v>3.6619999999999999E-3</v>
      </c>
      <c r="F242">
        <v>12109887135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-0.40165986036095364</v>
      </c>
      <c r="Q242">
        <f t="shared" si="960"/>
        <v>-4864055575.6310091</v>
      </c>
      <c r="R242">
        <f t="shared" si="961"/>
        <v>-122300052119.00027</v>
      </c>
      <c r="S242">
        <f t="shared" si="962"/>
        <v>-1223000.5211900028</v>
      </c>
      <c r="T242">
        <f t="shared" si="963"/>
        <v>-1223.0005211900027</v>
      </c>
    </row>
    <row r="243" spans="1:20" x14ac:dyDescent="0.25">
      <c r="A243" s="5">
        <v>44350</v>
      </c>
      <c r="B243">
        <v>3.9271999999999996E-3</v>
      </c>
      <c r="C243">
        <v>4.3E-3</v>
      </c>
      <c r="D243">
        <v>3.8300000000000001E-3</v>
      </c>
      <c r="E243">
        <v>4.1687E-3</v>
      </c>
      <c r="F243">
        <v>8128381023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0.44127659574468081</v>
      </c>
      <c r="Q243">
        <f t="shared" si="960"/>
        <v>3586864306.7451062</v>
      </c>
      <c r="R243">
        <f t="shared" si="961"/>
        <v>-117435996543.36926</v>
      </c>
      <c r="S243">
        <f t="shared" si="962"/>
        <v>-1174359.9654336926</v>
      </c>
      <c r="T243">
        <f t="shared" si="963"/>
        <v>-1174.3599654336927</v>
      </c>
    </row>
    <row r="244" spans="1:20" x14ac:dyDescent="0.25">
      <c r="A244" s="5">
        <v>44349</v>
      </c>
      <c r="B244">
        <v>3.833E-3</v>
      </c>
      <c r="C244">
        <v>4.1298999999999997E-3</v>
      </c>
      <c r="D244">
        <v>3.6380000000000002E-3</v>
      </c>
      <c r="E244">
        <v>3.9345999999999999E-3</v>
      </c>
      <c r="F244">
        <v>8835776237</v>
      </c>
      <c r="G244">
        <v>0</v>
      </c>
      <c r="L244" t="s">
        <v>7</v>
      </c>
      <c r="M244" t="s">
        <v>8</v>
      </c>
      <c r="N244" t="s">
        <v>7</v>
      </c>
      <c r="P244">
        <f t="shared" si="959"/>
        <v>0.20593616588737551</v>
      </c>
      <c r="Q244">
        <f t="shared" si="960"/>
        <v>1819605880.8865626</v>
      </c>
      <c r="R244">
        <f t="shared" si="961"/>
        <v>-121022860850.11436</v>
      </c>
      <c r="S244">
        <f t="shared" si="962"/>
        <v>-1210228.6085011438</v>
      </c>
      <c r="T244">
        <f t="shared" si="963"/>
        <v>-1210.2286085011438</v>
      </c>
    </row>
    <row r="245" spans="1:20" x14ac:dyDescent="0.25">
      <c r="A245" s="5">
        <v>44348</v>
      </c>
      <c r="B245">
        <v>3.9042999999999999E-3</v>
      </c>
      <c r="C245">
        <v>4.2220000000000001E-3</v>
      </c>
      <c r="D245">
        <v>3.7499999999999999E-3</v>
      </c>
      <c r="E245">
        <v>3.8397000000000001E-3</v>
      </c>
      <c r="F245">
        <v>9444048783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-0.61991525423728711</v>
      </c>
      <c r="Q245">
        <f t="shared" si="960"/>
        <v>-5854509902.3427868</v>
      </c>
      <c r="R245">
        <f t="shared" si="961"/>
        <v>-122842466731.00093</v>
      </c>
      <c r="S245">
        <f t="shared" si="962"/>
        <v>-1228424.6673100092</v>
      </c>
      <c r="T245">
        <f t="shared" si="963"/>
        <v>-1228.4246673100092</v>
      </c>
    </row>
    <row r="246" spans="1:20" x14ac:dyDescent="0.25">
      <c r="A246" s="5">
        <v>44347</v>
      </c>
      <c r="B246">
        <v>3.6026999999999999E-3</v>
      </c>
      <c r="C246">
        <v>3.9194E-3</v>
      </c>
      <c r="D246">
        <v>3.3815E-3</v>
      </c>
      <c r="E246">
        <v>3.9182000000000002E-3</v>
      </c>
      <c r="F246">
        <v>6845511130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0.99553820412716187</v>
      </c>
      <c r="Q246">
        <f t="shared" si="960"/>
        <v>6814967856.6926985</v>
      </c>
      <c r="R246">
        <f t="shared" si="961"/>
        <v>-116987956828.65814</v>
      </c>
      <c r="S246">
        <f t="shared" si="962"/>
        <v>-1169879.5682865814</v>
      </c>
      <c r="T246">
        <f t="shared" si="963"/>
        <v>-1169.8795682865814</v>
      </c>
    </row>
    <row r="247" spans="1:20" x14ac:dyDescent="0.25">
      <c r="A247" s="5">
        <v>44346</v>
      </c>
      <c r="B247">
        <v>3.3612999999999998E-3</v>
      </c>
      <c r="C247">
        <v>3.7448E-3</v>
      </c>
      <c r="D247">
        <v>3.1367000000000001E-3</v>
      </c>
      <c r="E247">
        <v>3.6062999999999998E-3</v>
      </c>
      <c r="F247">
        <v>7796366032</v>
      </c>
      <c r="G247">
        <v>0</v>
      </c>
      <c r="L247" t="s">
        <v>8</v>
      </c>
      <c r="M247" t="s">
        <v>8</v>
      </c>
      <c r="N247" t="s">
        <v>7</v>
      </c>
      <c r="P247">
        <f t="shared" si="959"/>
        <v>0.54448281532642595</v>
      </c>
      <c r="Q247">
        <f t="shared" si="960"/>
        <v>4244987326.4186764</v>
      </c>
      <c r="R247">
        <f t="shared" si="961"/>
        <v>-123802924685.35085</v>
      </c>
      <c r="S247">
        <f t="shared" si="962"/>
        <v>-1238029.2468535085</v>
      </c>
      <c r="T247">
        <f t="shared" si="963"/>
        <v>-1238.0292468535085</v>
      </c>
    </row>
    <row r="248" spans="1:20" x14ac:dyDescent="0.25">
      <c r="A248" s="5">
        <v>44345</v>
      </c>
      <c r="B248">
        <v>3.7265000000000002E-3</v>
      </c>
      <c r="C248">
        <v>3.9401000000000002E-3</v>
      </c>
      <c r="D248">
        <v>3.14E-3</v>
      </c>
      <c r="E248">
        <v>3.3682999999999999E-3</v>
      </c>
      <c r="F248">
        <v>8146795268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-0.42932133483314638</v>
      </c>
      <c r="Q248">
        <f t="shared" si="960"/>
        <v>-3497593019.0701203</v>
      </c>
      <c r="R248">
        <f t="shared" si="961"/>
        <v>-128047912011.76952</v>
      </c>
      <c r="S248">
        <f t="shared" si="962"/>
        <v>-1280479.1201176951</v>
      </c>
      <c r="T248">
        <f t="shared" si="963"/>
        <v>-1280.4791201176952</v>
      </c>
    </row>
    <row r="249" spans="1:20" x14ac:dyDescent="0.25">
      <c r="A249" s="5">
        <v>44344</v>
      </c>
      <c r="B249">
        <v>4.2112E-3</v>
      </c>
      <c r="C249">
        <v>4.3746000000000002E-3</v>
      </c>
      <c r="D249">
        <v>3.4267999999999998E-3</v>
      </c>
      <c r="E249">
        <v>3.7279000000000001E-3</v>
      </c>
      <c r="F249">
        <v>10529445173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-0.36463388900611898</v>
      </c>
      <c r="Q249">
        <f t="shared" si="960"/>
        <v>-3839392542.5076971</v>
      </c>
      <c r="R249">
        <f t="shared" si="961"/>
        <v>-124550318992.6994</v>
      </c>
      <c r="S249">
        <f t="shared" si="962"/>
        <v>-1245503.189926994</v>
      </c>
      <c r="T249">
        <f t="shared" si="963"/>
        <v>-1245.5031899269941</v>
      </c>
    </row>
    <row r="250" spans="1:20" x14ac:dyDescent="0.25">
      <c r="A250" s="5">
        <v>44343</v>
      </c>
      <c r="B250">
        <v>4.7277999999999999E-3</v>
      </c>
      <c r="C250">
        <v>4.7355000000000001E-3</v>
      </c>
      <c r="D250">
        <v>4.0299999999999997E-3</v>
      </c>
      <c r="E250">
        <v>4.2151000000000003E-3</v>
      </c>
      <c r="F250">
        <v>10073518443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-0.47526576895818445</v>
      </c>
      <c r="Q250">
        <f t="shared" si="960"/>
        <v>-4787598488.9268484</v>
      </c>
      <c r="R250">
        <f t="shared" si="961"/>
        <v>-120710926450.19171</v>
      </c>
      <c r="S250">
        <f t="shared" si="962"/>
        <v>-1207109.2645019172</v>
      </c>
      <c r="T250">
        <f t="shared" si="963"/>
        <v>-1207.1092645019171</v>
      </c>
    </row>
    <row r="251" spans="1:20" x14ac:dyDescent="0.25">
      <c r="A251" s="5">
        <v>44342</v>
      </c>
      <c r="B251">
        <v>4.0512999999999999E-3</v>
      </c>
      <c r="C251">
        <v>4.8900000000000002E-3</v>
      </c>
      <c r="D251">
        <v>3.8964E-3</v>
      </c>
      <c r="E251">
        <v>4.7200000000000002E-3</v>
      </c>
      <c r="F251">
        <v>14346869244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0.65780998389694045</v>
      </c>
      <c r="Q251">
        <f t="shared" si="960"/>
        <v>9437513826.3671494</v>
      </c>
      <c r="R251">
        <f t="shared" si="961"/>
        <v>-115923327961.26486</v>
      </c>
      <c r="S251">
        <f t="shared" si="962"/>
        <v>-1159233.2796126485</v>
      </c>
      <c r="T251">
        <f t="shared" si="963"/>
        <v>-1159.2332796126486</v>
      </c>
    </row>
    <row r="252" spans="1:20" x14ac:dyDescent="0.25">
      <c r="A252" s="5">
        <v>44341</v>
      </c>
      <c r="B252">
        <v>3.8154E-3</v>
      </c>
      <c r="C252">
        <v>4.5999999999999999E-3</v>
      </c>
      <c r="D252">
        <v>3.6995000000000001E-3</v>
      </c>
      <c r="E252">
        <v>4.0585999999999999E-3</v>
      </c>
      <c r="F252">
        <v>15117198188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-0.20244308717379267</v>
      </c>
      <c r="Q252">
        <f t="shared" si="960"/>
        <v>-3060372270.5967846</v>
      </c>
      <c r="R252">
        <f t="shared" si="961"/>
        <v>-125360841787.632</v>
      </c>
      <c r="S252">
        <f t="shared" si="962"/>
        <v>-1253608.41787632</v>
      </c>
      <c r="T252">
        <f t="shared" si="963"/>
        <v>-1253.6084178763199</v>
      </c>
    </row>
    <row r="253" spans="1:20" x14ac:dyDescent="0.25">
      <c r="A253" s="5">
        <v>44340</v>
      </c>
      <c r="B253">
        <v>3.0178000000000002E-3</v>
      </c>
      <c r="C253">
        <v>3.8999999999999998E-3</v>
      </c>
      <c r="D253">
        <v>2.8222E-3</v>
      </c>
      <c r="E253">
        <v>3.8270000000000001E-3</v>
      </c>
      <c r="F253">
        <v>12687204969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0.86453887548710384</v>
      </c>
      <c r="Q253">
        <f t="shared" si="960"/>
        <v>10968581916.973656</v>
      </c>
      <c r="R253">
        <f t="shared" si="961"/>
        <v>-122300469517.03522</v>
      </c>
      <c r="S253">
        <f t="shared" si="962"/>
        <v>-1223004.6951703522</v>
      </c>
      <c r="T253">
        <f t="shared" si="963"/>
        <v>-1223.0046951703523</v>
      </c>
    </row>
    <row r="254" spans="1:20" x14ac:dyDescent="0.25">
      <c r="A254" s="5">
        <v>44339</v>
      </c>
      <c r="B254">
        <v>3.7716E-3</v>
      </c>
      <c r="C254">
        <v>3.9500000000000004E-3</v>
      </c>
      <c r="D254">
        <v>2.4543E-3</v>
      </c>
      <c r="E254">
        <v>3.0233999999999999E-3</v>
      </c>
      <c r="F254">
        <v>13458030048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-0.23901851975663604</v>
      </c>
      <c r="Q254">
        <f t="shared" si="960"/>
        <v>-3216718420.9132895</v>
      </c>
      <c r="R254">
        <f t="shared" si="961"/>
        <v>-133269051434.00887</v>
      </c>
      <c r="S254">
        <f t="shared" si="962"/>
        <v>-1332690.5143400887</v>
      </c>
      <c r="T254">
        <f t="shared" si="963"/>
        <v>-1332.6905143400886</v>
      </c>
    </row>
    <row r="255" spans="1:20" x14ac:dyDescent="0.25">
      <c r="A255" s="5">
        <v>44338</v>
      </c>
      <c r="B255">
        <v>3.7794999999999999E-3</v>
      </c>
      <c r="C255">
        <v>3.9959000000000001E-3</v>
      </c>
      <c r="D255">
        <v>3.2599999999999999E-3</v>
      </c>
      <c r="E255">
        <v>3.7715000000000001E-3</v>
      </c>
      <c r="F255">
        <v>9653061186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0.39013452914798219</v>
      </c>
      <c r="Q255">
        <f t="shared" si="960"/>
        <v>3765992480.6367726</v>
      </c>
      <c r="R255">
        <f t="shared" si="961"/>
        <v>-130052333013.09558</v>
      </c>
      <c r="S255">
        <f t="shared" si="962"/>
        <v>-1300523.3301309559</v>
      </c>
      <c r="T255">
        <f t="shared" si="963"/>
        <v>-1300.5233301309559</v>
      </c>
    </row>
    <row r="256" spans="1:20" x14ac:dyDescent="0.25">
      <c r="A256" s="5">
        <v>44337</v>
      </c>
      <c r="B256">
        <v>4.3604999999999998E-3</v>
      </c>
      <c r="C256">
        <v>4.6623999999999997E-3</v>
      </c>
      <c r="D256">
        <v>3.0950000000000001E-3</v>
      </c>
      <c r="E256">
        <v>3.7934000000000002E-3</v>
      </c>
      <c r="F256">
        <v>14019743976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-0.10884266938879643</v>
      </c>
      <c r="Q256">
        <f t="shared" si="960"/>
        <v>-1525946358.4953384</v>
      </c>
      <c r="R256">
        <f t="shared" si="961"/>
        <v>-133818325493.73236</v>
      </c>
      <c r="S256">
        <f t="shared" si="962"/>
        <v>-1338183.2549373235</v>
      </c>
      <c r="T256">
        <f t="shared" si="963"/>
        <v>-1338.1832549373235</v>
      </c>
    </row>
    <row r="257" spans="1:20" x14ac:dyDescent="0.25">
      <c r="A257" s="5">
        <v>44336</v>
      </c>
      <c r="B257">
        <v>3.6438E-3</v>
      </c>
      <c r="C257">
        <v>4.8401E-3</v>
      </c>
      <c r="D257">
        <v>3.2550000000000001E-3</v>
      </c>
      <c r="E257">
        <v>4.3600000000000002E-3</v>
      </c>
      <c r="F257">
        <v>15393981617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0.39423380228376781</v>
      </c>
      <c r="Q257">
        <f t="shared" si="960"/>
        <v>6068827905.1563339</v>
      </c>
      <c r="R257">
        <f t="shared" si="961"/>
        <v>-132292379135.23703</v>
      </c>
      <c r="S257">
        <f t="shared" si="962"/>
        <v>-1322923.7913523703</v>
      </c>
      <c r="T257">
        <f t="shared" si="963"/>
        <v>-1322.9237913523702</v>
      </c>
    </row>
    <row r="258" spans="1:20" x14ac:dyDescent="0.25">
      <c r="A258" s="5">
        <v>44335</v>
      </c>
      <c r="B258">
        <v>6.1275000000000001E-3</v>
      </c>
      <c r="C258">
        <v>6.2449999999999997E-3</v>
      </c>
      <c r="D258">
        <v>2.65E-3</v>
      </c>
      <c r="E258">
        <v>3.6440000000000001E-3</v>
      </c>
      <c r="F258">
        <v>26587854690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-0.44700973574408892</v>
      </c>
      <c r="Q258">
        <f t="shared" si="960"/>
        <v>-11885029898.979136</v>
      </c>
      <c r="R258">
        <f t="shared" si="961"/>
        <v>-138361207040.39337</v>
      </c>
      <c r="S258">
        <f t="shared" si="962"/>
        <v>-1383612.0704039338</v>
      </c>
      <c r="T258">
        <f t="shared" si="963"/>
        <v>-1383.6120704039338</v>
      </c>
    </row>
    <row r="259" spans="1:20" x14ac:dyDescent="0.25">
      <c r="A259" s="5">
        <v>44334</v>
      </c>
      <c r="B259">
        <v>6.2566999999999996E-3</v>
      </c>
      <c r="C259">
        <v>6.6759999999999996E-3</v>
      </c>
      <c r="D259">
        <v>6.0251999999999997E-3</v>
      </c>
      <c r="E259">
        <v>6.1184999999999998E-3</v>
      </c>
      <c r="F259">
        <v>9584578734</v>
      </c>
      <c r="G259">
        <v>0</v>
      </c>
      <c r="L259" t="s">
        <v>7</v>
      </c>
      <c r="M259" t="s">
        <v>7</v>
      </c>
      <c r="N259" t="s">
        <v>8</v>
      </c>
      <c r="P259">
        <f t="shared" si="959"/>
        <v>-0.71327596803933568</v>
      </c>
      <c r="Q259">
        <f t="shared" si="960"/>
        <v>-6836449674.7430801</v>
      </c>
      <c r="R259">
        <f t="shared" si="961"/>
        <v>-126476177141.41425</v>
      </c>
      <c r="S259">
        <f t="shared" si="962"/>
        <v>-1264761.7714141426</v>
      </c>
      <c r="T259">
        <f t="shared" si="963"/>
        <v>-1264.7617714141425</v>
      </c>
    </row>
    <row r="260" spans="1:20" x14ac:dyDescent="0.25">
      <c r="A260" s="5">
        <v>44333</v>
      </c>
      <c r="B260">
        <v>7.2690999999999997E-3</v>
      </c>
      <c r="C260">
        <v>7.8245999999999993E-3</v>
      </c>
      <c r="D260">
        <v>6.1006999999999997E-3</v>
      </c>
      <c r="E260">
        <v>6.2598999999999997E-3</v>
      </c>
      <c r="F260">
        <v>14622236348</v>
      </c>
      <c r="G260">
        <v>0</v>
      </c>
      <c r="L260" t="s">
        <v>8</v>
      </c>
      <c r="M260" t="s">
        <v>8</v>
      </c>
      <c r="N260" t="s">
        <v>8</v>
      </c>
      <c r="P260">
        <f t="shared" si="959"/>
        <v>-0.81530251174662105</v>
      </c>
      <c r="Q260">
        <f t="shared" si="960"/>
        <v>-11921546021.87714</v>
      </c>
      <c r="R260">
        <f t="shared" si="961"/>
        <v>-119639727466.67117</v>
      </c>
      <c r="S260">
        <f t="shared" si="962"/>
        <v>-1196397.2746667117</v>
      </c>
      <c r="T260">
        <f t="shared" si="963"/>
        <v>-1196.3972746667116</v>
      </c>
    </row>
    <row r="261" spans="1:20" x14ac:dyDescent="0.25">
      <c r="A261" s="5">
        <v>44332</v>
      </c>
      <c r="B261">
        <v>6.1637000000000003E-3</v>
      </c>
      <c r="C261">
        <v>7.3949999999999997E-3</v>
      </c>
      <c r="D261">
        <v>6.1013999999999999E-3</v>
      </c>
      <c r="E261">
        <v>7.2700000000000004E-3</v>
      </c>
      <c r="F261">
        <v>15635864676</v>
      </c>
      <c r="G261">
        <v>0</v>
      </c>
      <c r="L261" t="s">
        <v>8</v>
      </c>
      <c r="M261" t="s">
        <v>8</v>
      </c>
      <c r="N261" t="s">
        <v>7</v>
      </c>
      <c r="P261">
        <f t="shared" si="959"/>
        <v>0.80674087816945073</v>
      </c>
      <c r="Q261">
        <f t="shared" si="960"/>
        <v>12614091199.654934</v>
      </c>
      <c r="R261">
        <f t="shared" si="961"/>
        <v>-107718181444.79404</v>
      </c>
      <c r="S261">
        <f t="shared" si="962"/>
        <v>-1077181.8144479403</v>
      </c>
      <c r="T261">
        <f t="shared" si="963"/>
        <v>-1077.1818144479403</v>
      </c>
    </row>
    <row r="262" spans="1:20" x14ac:dyDescent="0.25">
      <c r="A262" s="5">
        <v>44331</v>
      </c>
      <c r="B262">
        <v>6.7450000000000001E-3</v>
      </c>
      <c r="C262">
        <v>6.8900000000000003E-3</v>
      </c>
      <c r="D262">
        <v>6.0654999999999997E-3</v>
      </c>
      <c r="E262">
        <v>6.1425000000000004E-3</v>
      </c>
      <c r="F262">
        <v>8268401321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-0.81322013341418886</v>
      </c>
      <c r="Q262">
        <f t="shared" ref="Q262:Q325" si="965">F262*P262</f>
        <v>-6724030425.3856754</v>
      </c>
      <c r="R262">
        <f t="shared" ref="R262:R325" si="966">R263+Q262</f>
        <v>-120332272644.44897</v>
      </c>
      <c r="S262">
        <f t="shared" ref="S262:S325" si="967">R262/100000</f>
        <v>-1203322.7264444898</v>
      </c>
      <c r="T262">
        <f t="shared" ref="T262:T325" si="968">S262/1000</f>
        <v>-1203.3227264444897</v>
      </c>
    </row>
    <row r="263" spans="1:20" x14ac:dyDescent="0.25">
      <c r="A263" s="5">
        <v>44330</v>
      </c>
      <c r="B263">
        <v>6.3154999999999999E-3</v>
      </c>
      <c r="C263">
        <v>7.4000000000000003E-3</v>
      </c>
      <c r="D263">
        <v>6.2570999999999998E-3</v>
      </c>
      <c r="E263">
        <v>6.7438000000000003E-3</v>
      </c>
      <c r="F263">
        <v>10763023023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-0.14830693848980614</v>
      </c>
      <c r="Q263">
        <f t="shared" si="965"/>
        <v>-1596230993.4364283</v>
      </c>
      <c r="R263">
        <f t="shared" si="966"/>
        <v>-113608242219.06329</v>
      </c>
      <c r="S263">
        <f t="shared" si="967"/>
        <v>-1136082.4221906329</v>
      </c>
      <c r="T263">
        <f t="shared" si="968"/>
        <v>-1136.082422190633</v>
      </c>
    </row>
    <row r="264" spans="1:20" x14ac:dyDescent="0.25">
      <c r="A264" s="5">
        <v>44329</v>
      </c>
      <c r="B264">
        <v>6.0603000000000002E-3</v>
      </c>
      <c r="C264">
        <v>7.2792000000000004E-3</v>
      </c>
      <c r="D264">
        <v>5.5554999999999997E-3</v>
      </c>
      <c r="E264">
        <v>6.3203E-3</v>
      </c>
      <c r="F264">
        <v>14800332164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-0.11260660207692749</v>
      </c>
      <c r="Q264">
        <f t="shared" si="965"/>
        <v>-1666615114.5978992</v>
      </c>
      <c r="R264">
        <f t="shared" si="966"/>
        <v>-112012011225.62686</v>
      </c>
      <c r="S264">
        <f t="shared" si="967"/>
        <v>-1120120.1122562685</v>
      </c>
      <c r="T264">
        <f t="shared" si="968"/>
        <v>-1120.1201122562686</v>
      </c>
    </row>
    <row r="265" spans="1:20" x14ac:dyDescent="0.25">
      <c r="A265" s="5">
        <v>44328</v>
      </c>
      <c r="B265">
        <v>7.9737999999999996E-3</v>
      </c>
      <c r="C265">
        <v>8.2684000000000004E-3</v>
      </c>
      <c r="D265">
        <v>5.8900000000000003E-3</v>
      </c>
      <c r="E265">
        <v>6.1097E-3</v>
      </c>
      <c r="F265">
        <v>11906965240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-0.81525395223679809</v>
      </c>
      <c r="Q265">
        <f t="shared" si="965"/>
        <v>-9707200471.0561752</v>
      </c>
      <c r="R265">
        <f t="shared" si="966"/>
        <v>-110345396111.02896</v>
      </c>
      <c r="S265">
        <f t="shared" si="967"/>
        <v>-1103453.9611102897</v>
      </c>
      <c r="T265">
        <f t="shared" si="968"/>
        <v>-1103.4539611102896</v>
      </c>
    </row>
    <row r="266" spans="1:20" x14ac:dyDescent="0.25">
      <c r="A266" s="5">
        <v>44327</v>
      </c>
      <c r="B266">
        <v>7.6483999999999996E-3</v>
      </c>
      <c r="C266">
        <v>8.2380000000000005E-3</v>
      </c>
      <c r="D266">
        <v>7.5199999999999998E-3</v>
      </c>
      <c r="E266">
        <v>7.9781000000000001E-3</v>
      </c>
      <c r="F266">
        <v>10032293949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0.27604456824512497</v>
      </c>
      <c r="Q266">
        <f t="shared" si="965"/>
        <v>2769360251.6598849</v>
      </c>
      <c r="R266">
        <f t="shared" si="966"/>
        <v>-100638195639.97278</v>
      </c>
      <c r="S266">
        <f t="shared" si="967"/>
        <v>-1006381.9563997277</v>
      </c>
      <c r="T266">
        <f t="shared" si="968"/>
        <v>-1006.3819563997278</v>
      </c>
    </row>
    <row r="267" spans="1:20" x14ac:dyDescent="0.25">
      <c r="A267" s="5">
        <v>44326</v>
      </c>
      <c r="B267">
        <v>9.0626999999999999E-3</v>
      </c>
      <c r="C267">
        <v>9.3889000000000004E-3</v>
      </c>
      <c r="D267">
        <v>6.7539999999999996E-3</v>
      </c>
      <c r="E267">
        <v>7.6407999999999997E-3</v>
      </c>
      <c r="F267">
        <v>14375694414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-0.32688147557782093</v>
      </c>
      <c r="Q267">
        <f t="shared" si="965"/>
        <v>-4699148202.504158</v>
      </c>
      <c r="R267">
        <f t="shared" si="966"/>
        <v>-103407555891.63266</v>
      </c>
      <c r="S267">
        <f t="shared" si="967"/>
        <v>-1034075.5589163266</v>
      </c>
      <c r="T267">
        <f t="shared" si="968"/>
        <v>-1034.0755589163266</v>
      </c>
    </row>
    <row r="268" spans="1:20" x14ac:dyDescent="0.25">
      <c r="A268" s="5">
        <v>44325</v>
      </c>
      <c r="B268">
        <v>9.3997999999999998E-3</v>
      </c>
      <c r="C268">
        <v>9.4886999999999992E-3</v>
      </c>
      <c r="D268">
        <v>8.3247000000000008E-3</v>
      </c>
      <c r="E268">
        <v>9.0626999999999999E-3</v>
      </c>
      <c r="F268">
        <v>11607708534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0.26804123711340222</v>
      </c>
      <c r="Q268">
        <f t="shared" si="965"/>
        <v>3111344555.5051565</v>
      </c>
      <c r="R268">
        <f t="shared" si="966"/>
        <v>-98708407689.12851</v>
      </c>
      <c r="S268">
        <f t="shared" si="967"/>
        <v>-987084.07689128513</v>
      </c>
      <c r="T268">
        <f t="shared" si="968"/>
        <v>-987.08407689128512</v>
      </c>
    </row>
    <row r="269" spans="1:20" x14ac:dyDescent="0.25">
      <c r="A269" s="5">
        <v>44324</v>
      </c>
      <c r="B269">
        <v>9.5587999999999992E-3</v>
      </c>
      <c r="C269">
        <v>9.7780999999999996E-3</v>
      </c>
      <c r="D269">
        <v>9.3492999999999996E-3</v>
      </c>
      <c r="E269">
        <v>9.4000000000000004E-3</v>
      </c>
      <c r="F269">
        <v>7638937873</v>
      </c>
      <c r="G269">
        <v>0</v>
      </c>
      <c r="L269" t="s">
        <v>7</v>
      </c>
      <c r="M269" t="s">
        <v>7</v>
      </c>
      <c r="N269" t="s">
        <v>7</v>
      </c>
      <c r="P269">
        <f t="shared" si="964"/>
        <v>-0.76352611940298165</v>
      </c>
      <c r="Q269">
        <f t="shared" si="965"/>
        <v>-5832528590.5321569</v>
      </c>
      <c r="R269">
        <f t="shared" si="966"/>
        <v>-101819752244.63367</v>
      </c>
      <c r="S269">
        <f t="shared" si="967"/>
        <v>-1018197.5224463367</v>
      </c>
      <c r="T269">
        <f t="shared" si="968"/>
        <v>-1018.1975224463367</v>
      </c>
    </row>
    <row r="270" spans="1:20" x14ac:dyDescent="0.25">
      <c r="A270" s="5">
        <v>44323</v>
      </c>
      <c r="B270">
        <v>9.5899999999999996E-3</v>
      </c>
      <c r="C270">
        <v>1.0240000000000001E-2</v>
      </c>
      <c r="D270">
        <v>9.2300000000000004E-3</v>
      </c>
      <c r="E270">
        <v>9.5586999999999998E-3</v>
      </c>
      <c r="F270">
        <v>13988926990</v>
      </c>
      <c r="G270">
        <v>0</v>
      </c>
      <c r="L270" t="s">
        <v>8</v>
      </c>
      <c r="M270" t="s">
        <v>7</v>
      </c>
      <c r="N270" t="s">
        <v>7</v>
      </c>
      <c r="P270">
        <f t="shared" si="964"/>
        <v>-0.34910891089109047</v>
      </c>
      <c r="Q270">
        <f t="shared" si="965"/>
        <v>-4883659066.0138807</v>
      </c>
      <c r="R270">
        <f t="shared" si="966"/>
        <v>-95987223654.101517</v>
      </c>
      <c r="S270">
        <f t="shared" si="967"/>
        <v>-959872.23654101521</v>
      </c>
      <c r="T270">
        <f t="shared" si="968"/>
        <v>-959.87223654101524</v>
      </c>
    </row>
    <row r="271" spans="1:20" x14ac:dyDescent="0.25">
      <c r="A271" s="5">
        <v>44322</v>
      </c>
      <c r="B271">
        <v>9.7824999999999995E-3</v>
      </c>
      <c r="C271">
        <v>1.0271300000000001E-2</v>
      </c>
      <c r="D271">
        <v>9.2663999999999993E-3</v>
      </c>
      <c r="E271">
        <v>9.5831000000000006E-3</v>
      </c>
      <c r="F271">
        <v>13807356837</v>
      </c>
      <c r="G271">
        <v>0</v>
      </c>
      <c r="L271" t="s">
        <v>7</v>
      </c>
      <c r="M271" t="s">
        <v>7</v>
      </c>
      <c r="N271" t="s">
        <v>7</v>
      </c>
      <c r="P271">
        <f t="shared" si="964"/>
        <v>-0.36968852622151266</v>
      </c>
      <c r="Q271">
        <f t="shared" si="965"/>
        <v>-5104421400.0850563</v>
      </c>
      <c r="R271">
        <f t="shared" si="966"/>
        <v>-91103564588.087631</v>
      </c>
      <c r="S271">
        <f t="shared" si="967"/>
        <v>-911035.64588087634</v>
      </c>
      <c r="T271">
        <f t="shared" si="968"/>
        <v>-911.03564588087636</v>
      </c>
    </row>
    <row r="272" spans="1:20" x14ac:dyDescent="0.25">
      <c r="A272" s="5">
        <v>44321</v>
      </c>
      <c r="B272">
        <v>9.3144999999999999E-3</v>
      </c>
      <c r="C272">
        <v>1.0460799999999999E-2</v>
      </c>
      <c r="D272">
        <v>9.188E-3</v>
      </c>
      <c r="E272">
        <v>9.7619999999999998E-3</v>
      </c>
      <c r="F272">
        <v>13689602147</v>
      </c>
      <c r="G272">
        <v>0</v>
      </c>
      <c r="L272" t="s">
        <v>8</v>
      </c>
      <c r="M272" t="s">
        <v>7</v>
      </c>
      <c r="N272" t="s">
        <v>7</v>
      </c>
      <c r="P272">
        <f t="shared" si="964"/>
        <v>-9.8051539912004743E-2</v>
      </c>
      <c r="Q272">
        <f t="shared" si="965"/>
        <v>-1342286571.2960362</v>
      </c>
      <c r="R272">
        <f t="shared" si="966"/>
        <v>-85999143188.002579</v>
      </c>
      <c r="S272">
        <f t="shared" si="967"/>
        <v>-859991.43188002578</v>
      </c>
      <c r="T272">
        <f t="shared" si="968"/>
        <v>-859.99143188002574</v>
      </c>
    </row>
    <row r="273" spans="1:20" x14ac:dyDescent="0.25">
      <c r="A273" s="5">
        <v>44320</v>
      </c>
      <c r="B273">
        <v>1.0889299999999999E-2</v>
      </c>
      <c r="C273">
        <v>1.09286E-2</v>
      </c>
      <c r="D273">
        <v>9.0550000000000005E-3</v>
      </c>
      <c r="E273">
        <v>9.3156000000000003E-3</v>
      </c>
      <c r="F273">
        <v>16289443665</v>
      </c>
      <c r="G273">
        <v>0</v>
      </c>
      <c r="L273" t="s">
        <v>7</v>
      </c>
      <c r="M273" t="s">
        <v>7</v>
      </c>
      <c r="N273" t="s">
        <v>7</v>
      </c>
      <c r="P273">
        <f t="shared" si="964"/>
        <v>-0.72181895815542296</v>
      </c>
      <c r="Q273">
        <f t="shared" si="965"/>
        <v>-11758029255.201756</v>
      </c>
      <c r="R273">
        <f t="shared" si="966"/>
        <v>-84656856616.706543</v>
      </c>
      <c r="S273">
        <f t="shared" si="967"/>
        <v>-846568.56616706541</v>
      </c>
      <c r="T273">
        <f t="shared" si="968"/>
        <v>-846.56856616706546</v>
      </c>
    </row>
    <row r="274" spans="1:20" x14ac:dyDescent="0.25">
      <c r="A274" s="5">
        <v>44319</v>
      </c>
      <c r="B274">
        <v>1.06201E-2</v>
      </c>
      <c r="C274">
        <v>1.1698999999999999E-2</v>
      </c>
      <c r="D274">
        <v>1.06E-2</v>
      </c>
      <c r="E274">
        <v>1.0880799999999999E-2</v>
      </c>
      <c r="F274">
        <v>13297073522</v>
      </c>
      <c r="G274">
        <v>0</v>
      </c>
      <c r="L274" t="s">
        <v>8</v>
      </c>
      <c r="M274" t="s">
        <v>7</v>
      </c>
      <c r="N274" t="s">
        <v>8</v>
      </c>
      <c r="P274">
        <f t="shared" si="964"/>
        <v>-0.48898999090081957</v>
      </c>
      <c r="Q274">
        <f t="shared" si="965"/>
        <v>-6502135860.5303087</v>
      </c>
      <c r="R274">
        <f t="shared" si="966"/>
        <v>-72898827361.504791</v>
      </c>
      <c r="S274">
        <f t="shared" si="967"/>
        <v>-728988.27361504792</v>
      </c>
      <c r="T274">
        <f t="shared" si="968"/>
        <v>-728.98827361504789</v>
      </c>
    </row>
    <row r="275" spans="1:20" x14ac:dyDescent="0.25">
      <c r="A275" s="5">
        <v>44318</v>
      </c>
      <c r="B275">
        <v>1.11431E-2</v>
      </c>
      <c r="C275">
        <v>1.1186E-2</v>
      </c>
      <c r="D275">
        <v>9.9284000000000004E-3</v>
      </c>
      <c r="E275">
        <v>1.06201E-2</v>
      </c>
      <c r="F275">
        <v>11239856880</v>
      </c>
      <c r="G275">
        <v>0</v>
      </c>
      <c r="L275" t="s">
        <v>7</v>
      </c>
      <c r="M275" t="s">
        <v>7</v>
      </c>
      <c r="N275" t="s">
        <v>8</v>
      </c>
      <c r="P275">
        <f t="shared" si="964"/>
        <v>0.10003180661577658</v>
      </c>
      <c r="Q275">
        <f t="shared" si="965"/>
        <v>1124343189.809166</v>
      </c>
      <c r="R275">
        <f t="shared" si="966"/>
        <v>-66396691500.97448</v>
      </c>
      <c r="S275">
        <f t="shared" si="967"/>
        <v>-663966.91500974481</v>
      </c>
      <c r="T275">
        <f t="shared" si="968"/>
        <v>-663.96691500974487</v>
      </c>
    </row>
    <row r="276" spans="1:20" x14ac:dyDescent="0.25">
      <c r="A276" s="5">
        <v>44317</v>
      </c>
      <c r="B276">
        <v>1.14345E-2</v>
      </c>
      <c r="C276">
        <v>1.1975100000000001E-2</v>
      </c>
      <c r="D276">
        <v>1.0851899999999999E-2</v>
      </c>
      <c r="E276">
        <v>1.1149900000000001E-2</v>
      </c>
      <c r="F276">
        <v>10264798832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-0.46937321937321752</v>
      </c>
      <c r="Q276">
        <f t="shared" si="965"/>
        <v>-4818021673.9942827</v>
      </c>
      <c r="R276">
        <f t="shared" si="966"/>
        <v>-67521034690.783646</v>
      </c>
      <c r="S276">
        <f t="shared" si="967"/>
        <v>-675210.3469078365</v>
      </c>
      <c r="T276">
        <f t="shared" si="968"/>
        <v>-675.21034690783654</v>
      </c>
    </row>
    <row r="277" spans="1:20" x14ac:dyDescent="0.25">
      <c r="A277" s="5">
        <v>44316</v>
      </c>
      <c r="B277">
        <v>1.11539E-2</v>
      </c>
      <c r="C277">
        <v>1.1599999999999999E-2</v>
      </c>
      <c r="D277">
        <v>1.0845E-2</v>
      </c>
      <c r="E277">
        <v>1.14345E-2</v>
      </c>
      <c r="F277">
        <v>10884647383</v>
      </c>
      <c r="G277">
        <v>0</v>
      </c>
      <c r="L277" t="s">
        <v>7</v>
      </c>
      <c r="M277" t="s">
        <v>8</v>
      </c>
      <c r="N277" t="s">
        <v>8</v>
      </c>
      <c r="P277">
        <f t="shared" si="964"/>
        <v>0.56158940397351187</v>
      </c>
      <c r="Q277">
        <f t="shared" si="965"/>
        <v>6112702636.2808161</v>
      </c>
      <c r="R277">
        <f t="shared" si="966"/>
        <v>-62703013016.78936</v>
      </c>
      <c r="S277">
        <f t="shared" si="967"/>
        <v>-627030.1301678936</v>
      </c>
      <c r="T277">
        <f t="shared" si="968"/>
        <v>-627.03013016789362</v>
      </c>
    </row>
    <row r="278" spans="1:20" x14ac:dyDescent="0.25">
      <c r="A278" s="5">
        <v>44315</v>
      </c>
      <c r="B278">
        <v>1.0966099999999999E-2</v>
      </c>
      <c r="C278">
        <v>1.2E-2</v>
      </c>
      <c r="D278">
        <v>1.0514799999999999E-2</v>
      </c>
      <c r="E278">
        <v>1.11539E-2</v>
      </c>
      <c r="F278">
        <v>17490261010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-0.1393751683274983</v>
      </c>
      <c r="Q278">
        <f t="shared" si="965"/>
        <v>-2437708072.3606305</v>
      </c>
      <c r="R278">
        <f t="shared" si="966"/>
        <v>-68815715653.070175</v>
      </c>
      <c r="S278">
        <f t="shared" si="967"/>
        <v>-688157.15653070179</v>
      </c>
      <c r="T278">
        <f t="shared" si="968"/>
        <v>-688.15715653070174</v>
      </c>
    </row>
    <row r="279" spans="1:20" x14ac:dyDescent="0.25">
      <c r="A279" s="5">
        <v>44314</v>
      </c>
      <c r="B279">
        <v>1.1440000000000001E-2</v>
      </c>
      <c r="C279">
        <v>1.23E-2</v>
      </c>
      <c r="D279">
        <v>9.7207999999999999E-3</v>
      </c>
      <c r="E279">
        <v>1.09736E-2</v>
      </c>
      <c r="F279">
        <v>24999865579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-2.8535980148883394E-2</v>
      </c>
      <c r="Q279">
        <f t="shared" si="965"/>
        <v>-713395667.88709724</v>
      </c>
      <c r="R279">
        <f t="shared" si="966"/>
        <v>-66378007580.709549</v>
      </c>
      <c r="S279">
        <f t="shared" si="967"/>
        <v>-663780.07580709551</v>
      </c>
      <c r="T279">
        <f t="shared" si="968"/>
        <v>-663.7800758070955</v>
      </c>
    </row>
    <row r="280" spans="1:20" x14ac:dyDescent="0.25">
      <c r="A280" s="5">
        <v>44313</v>
      </c>
      <c r="B280">
        <v>1.0485E-2</v>
      </c>
      <c r="C280">
        <v>1.289E-2</v>
      </c>
      <c r="D280">
        <v>1.0049300000000001E-2</v>
      </c>
      <c r="E280">
        <v>1.1440000000000001E-2</v>
      </c>
      <c r="F280">
        <v>30683270818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-2.0875136410039772E-2</v>
      </c>
      <c r="Q280">
        <f t="shared" si="965"/>
        <v>-640517463.83194256</v>
      </c>
      <c r="R280">
        <f t="shared" si="966"/>
        <v>-65664611912.822449</v>
      </c>
      <c r="S280">
        <f t="shared" si="967"/>
        <v>-656646.11912822444</v>
      </c>
      <c r="T280">
        <f t="shared" si="968"/>
        <v>-656.64611912822443</v>
      </c>
    </row>
    <row r="281" spans="1:20" x14ac:dyDescent="0.25">
      <c r="A281" s="5">
        <v>44312</v>
      </c>
      <c r="B281">
        <v>7.9821000000000007E-3</v>
      </c>
      <c r="C281">
        <v>1.099E-2</v>
      </c>
      <c r="D281">
        <v>7.8857000000000007E-3</v>
      </c>
      <c r="E281">
        <v>1.0485E-2</v>
      </c>
      <c r="F281">
        <v>40506907594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0.6746448474696386</v>
      </c>
      <c r="Q281">
        <f t="shared" si="965"/>
        <v>27327776495.220875</v>
      </c>
      <c r="R281">
        <f t="shared" si="966"/>
        <v>-65024094448.990509</v>
      </c>
      <c r="S281">
        <f t="shared" si="967"/>
        <v>-650240.94448990515</v>
      </c>
      <c r="T281">
        <f t="shared" si="968"/>
        <v>-650.24094448990513</v>
      </c>
    </row>
    <row r="282" spans="1:20" x14ac:dyDescent="0.25">
      <c r="A282" s="5">
        <v>44311</v>
      </c>
      <c r="B282">
        <v>7.5499E-3</v>
      </c>
      <c r="C282">
        <v>8.6999999999999994E-3</v>
      </c>
      <c r="D282">
        <v>6.9852999999999998E-3</v>
      </c>
      <c r="E282">
        <v>7.9874999999999998E-3</v>
      </c>
      <c r="F282">
        <v>19842801115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0.16895083688108734</v>
      </c>
      <c r="Q282">
        <f t="shared" si="965"/>
        <v>3352457854.4442229</v>
      </c>
      <c r="R282">
        <f t="shared" si="966"/>
        <v>-92351870944.21138</v>
      </c>
      <c r="S282">
        <f t="shared" si="967"/>
        <v>-923518.70944211376</v>
      </c>
      <c r="T282">
        <f t="shared" si="968"/>
        <v>-923.51870944211373</v>
      </c>
    </row>
    <row r="283" spans="1:20" x14ac:dyDescent="0.25">
      <c r="A283" s="5">
        <v>44310</v>
      </c>
      <c r="B283">
        <v>7.4529000000000001E-3</v>
      </c>
      <c r="C283">
        <v>9.4000000000000004E-3</v>
      </c>
      <c r="D283">
        <v>6.9515000000000002E-3</v>
      </c>
      <c r="E283">
        <v>7.5499E-3</v>
      </c>
      <c r="F283">
        <v>41439012904</v>
      </c>
      <c r="G283">
        <v>0</v>
      </c>
      <c r="L283" t="s">
        <v>8</v>
      </c>
      <c r="M283" t="s">
        <v>8</v>
      </c>
      <c r="N283" t="s">
        <v>8</v>
      </c>
      <c r="P283">
        <f t="shared" si="964"/>
        <v>-0.51121094547682278</v>
      </c>
      <c r="Q283">
        <f t="shared" si="965"/>
        <v>-21184076966.280098</v>
      </c>
      <c r="R283">
        <f t="shared" si="966"/>
        <v>-95704328798.655609</v>
      </c>
      <c r="S283">
        <f t="shared" si="967"/>
        <v>-957043.28798655607</v>
      </c>
      <c r="T283">
        <f t="shared" si="968"/>
        <v>-957.04328798655604</v>
      </c>
    </row>
    <row r="284" spans="1:20" x14ac:dyDescent="0.25">
      <c r="A284" s="5">
        <v>44309</v>
      </c>
      <c r="B284">
        <v>7.1157E-3</v>
      </c>
      <c r="C284">
        <v>7.6299999999999996E-3</v>
      </c>
      <c r="D284">
        <v>5.0000000000000001E-3</v>
      </c>
      <c r="E284">
        <v>7.4793999999999998E-3</v>
      </c>
      <c r="F284">
        <v>27075086149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0.88547528517110274</v>
      </c>
      <c r="Q284">
        <f t="shared" si="965"/>
        <v>23974319628.817947</v>
      </c>
      <c r="R284">
        <f t="shared" si="966"/>
        <v>-74520251832.375519</v>
      </c>
      <c r="S284">
        <f t="shared" si="967"/>
        <v>-745202.51832375524</v>
      </c>
      <c r="T284">
        <f t="shared" si="968"/>
        <v>-745.20251832375527</v>
      </c>
    </row>
    <row r="285" spans="1:20" x14ac:dyDescent="0.25">
      <c r="A285" s="5">
        <v>44308</v>
      </c>
      <c r="B285">
        <v>8.2850000000000007E-3</v>
      </c>
      <c r="C285">
        <v>8.8599000000000004E-3</v>
      </c>
      <c r="D285">
        <v>6.7000000000000002E-3</v>
      </c>
      <c r="E285">
        <v>7.1021000000000001E-3</v>
      </c>
      <c r="F285">
        <v>14116804956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-0.62766794759016642</v>
      </c>
      <c r="Q285">
        <f t="shared" si="965"/>
        <v>-8860665993.2632103</v>
      </c>
      <c r="R285">
        <f t="shared" si="966"/>
        <v>-98494571461.193466</v>
      </c>
      <c r="S285">
        <f t="shared" si="967"/>
        <v>-984945.71461193461</v>
      </c>
      <c r="T285">
        <f t="shared" si="968"/>
        <v>-984.94571461193459</v>
      </c>
    </row>
    <row r="286" spans="1:20" x14ac:dyDescent="0.25">
      <c r="A286" s="5">
        <v>44307</v>
      </c>
      <c r="B286">
        <v>8.7297999999999994E-3</v>
      </c>
      <c r="C286">
        <v>9.9000000000000008E-3</v>
      </c>
      <c r="D286">
        <v>8.2199999999999999E-3</v>
      </c>
      <c r="E286">
        <v>8.3018999999999992E-3</v>
      </c>
      <c r="F286">
        <v>13944079771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-0.90250000000000086</v>
      </c>
      <c r="Q286">
        <f t="shared" si="965"/>
        <v>-12584531993.327513</v>
      </c>
      <c r="R286">
        <f t="shared" si="966"/>
        <v>-89633905467.930252</v>
      </c>
      <c r="S286">
        <f t="shared" si="967"/>
        <v>-896339.0546793025</v>
      </c>
      <c r="T286">
        <f t="shared" si="968"/>
        <v>-896.33905467930254</v>
      </c>
    </row>
    <row r="287" spans="1:20" x14ac:dyDescent="0.25">
      <c r="A287" s="5">
        <v>44306</v>
      </c>
      <c r="B287">
        <v>8.8573999999999996E-3</v>
      </c>
      <c r="C287">
        <v>9.3431E-3</v>
      </c>
      <c r="D287">
        <v>7.6924999999999997E-3</v>
      </c>
      <c r="E287">
        <v>8.7177000000000001E-3</v>
      </c>
      <c r="F287">
        <v>18963917070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0.24221495213861652</v>
      </c>
      <c r="Q287">
        <f t="shared" si="965"/>
        <v>4593344265.4707432</v>
      </c>
      <c r="R287">
        <f t="shared" si="966"/>
        <v>-77049373474.602737</v>
      </c>
      <c r="S287">
        <f t="shared" si="967"/>
        <v>-770493.73474602739</v>
      </c>
      <c r="T287">
        <f t="shared" si="968"/>
        <v>-770.49373474602737</v>
      </c>
    </row>
    <row r="288" spans="1:20" x14ac:dyDescent="0.25">
      <c r="A288" s="5">
        <v>44305</v>
      </c>
      <c r="B288">
        <v>1.01257E-2</v>
      </c>
      <c r="C288">
        <v>1.11897E-2</v>
      </c>
      <c r="D288">
        <v>8.6958999999999995E-3</v>
      </c>
      <c r="E288">
        <v>8.8476000000000006E-3</v>
      </c>
      <c r="F288">
        <v>15872501909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-0.87833827893174987</v>
      </c>
      <c r="Q288">
        <f t="shared" si="965"/>
        <v>-13941426009.091974</v>
      </c>
      <c r="R288">
        <f t="shared" si="966"/>
        <v>-81642717740.073486</v>
      </c>
      <c r="S288">
        <f t="shared" si="967"/>
        <v>-816427.17740073486</v>
      </c>
      <c r="T288">
        <f t="shared" si="968"/>
        <v>-816.42717740073488</v>
      </c>
    </row>
    <row r="289" spans="1:20" x14ac:dyDescent="0.25">
      <c r="A289" s="5">
        <v>44304</v>
      </c>
      <c r="B289">
        <v>1.19305E-2</v>
      </c>
      <c r="C289">
        <v>1.235E-2</v>
      </c>
      <c r="D289">
        <v>7.5732000000000004E-3</v>
      </c>
      <c r="E289">
        <v>1.01257E-2</v>
      </c>
      <c r="F289">
        <v>22044738630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6.8707084240495528E-2</v>
      </c>
      <c r="Q289">
        <f t="shared" si="965"/>
        <v>1514629714.1111159</v>
      </c>
      <c r="R289">
        <f t="shared" si="966"/>
        <v>-67701291730.981506</v>
      </c>
      <c r="S289">
        <f t="shared" si="967"/>
        <v>-677012.91730981506</v>
      </c>
      <c r="T289">
        <f t="shared" si="968"/>
        <v>-677.01291730981507</v>
      </c>
    </row>
    <row r="290" spans="1:20" x14ac:dyDescent="0.25">
      <c r="A290" s="5">
        <v>44303</v>
      </c>
      <c r="B290">
        <v>1.1565000000000001E-2</v>
      </c>
      <c r="C290">
        <v>1.37E-2</v>
      </c>
      <c r="D290">
        <v>1.15516E-2</v>
      </c>
      <c r="E290">
        <v>1.19303E-2</v>
      </c>
      <c r="F290">
        <v>21376583881</v>
      </c>
      <c r="G290">
        <v>0</v>
      </c>
      <c r="L290" t="s">
        <v>8</v>
      </c>
      <c r="M290" t="s">
        <v>8</v>
      </c>
      <c r="N290" t="s">
        <v>7</v>
      </c>
      <c r="P290">
        <f t="shared" si="964"/>
        <v>-0.64745857382238026</v>
      </c>
      <c r="Q290">
        <f t="shared" si="965"/>
        <v>-13840452512.786743</v>
      </c>
      <c r="R290">
        <f t="shared" si="966"/>
        <v>-69215921445.092621</v>
      </c>
      <c r="S290">
        <f t="shared" si="967"/>
        <v>-692159.21445092617</v>
      </c>
      <c r="T290">
        <f t="shared" si="968"/>
        <v>-692.15921445092613</v>
      </c>
    </row>
    <row r="291" spans="1:20" x14ac:dyDescent="0.25">
      <c r="A291" s="5">
        <v>44302</v>
      </c>
      <c r="B291">
        <v>1.16527E-2</v>
      </c>
      <c r="C291">
        <v>1.238E-2</v>
      </c>
      <c r="D291">
        <v>1.05997E-2</v>
      </c>
      <c r="E291">
        <v>1.15505E-2</v>
      </c>
      <c r="F291">
        <v>17347607155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6.8134584058866215E-2</v>
      </c>
      <c r="Q291">
        <f t="shared" si="965"/>
        <v>1181971997.9225366</v>
      </c>
      <c r="R291">
        <f t="shared" si="966"/>
        <v>-55375468932.30587</v>
      </c>
      <c r="S291">
        <f t="shared" si="967"/>
        <v>-553754.6893230587</v>
      </c>
      <c r="T291">
        <f t="shared" si="968"/>
        <v>-553.75468932305876</v>
      </c>
    </row>
    <row r="292" spans="1:20" x14ac:dyDescent="0.25">
      <c r="A292" s="5">
        <v>44301</v>
      </c>
      <c r="B292">
        <v>1.1642700000000001E-2</v>
      </c>
      <c r="C292">
        <v>1.2999E-2</v>
      </c>
      <c r="D292">
        <v>1.11524E-2</v>
      </c>
      <c r="E292">
        <v>1.1651E-2</v>
      </c>
      <c r="F292">
        <v>17404240134</v>
      </c>
      <c r="G292">
        <v>0</v>
      </c>
      <c r="L292" t="s">
        <v>8</v>
      </c>
      <c r="M292" t="s">
        <v>8</v>
      </c>
      <c r="N292" t="s">
        <v>7</v>
      </c>
      <c r="P292">
        <f t="shared" si="964"/>
        <v>-0.45998050471136143</v>
      </c>
      <c r="Q292">
        <f t="shared" si="965"/>
        <v>-8005611160.9550524</v>
      </c>
      <c r="R292">
        <f t="shared" si="966"/>
        <v>-56557440930.228409</v>
      </c>
      <c r="S292">
        <f t="shared" si="967"/>
        <v>-565574.40930228413</v>
      </c>
      <c r="T292">
        <f t="shared" si="968"/>
        <v>-565.57440930228415</v>
      </c>
    </row>
    <row r="293" spans="1:20" x14ac:dyDescent="0.25">
      <c r="A293" s="5">
        <v>44300</v>
      </c>
      <c r="B293">
        <v>1.1955E-2</v>
      </c>
      <c r="C293">
        <v>1.239E-2</v>
      </c>
      <c r="D293">
        <v>1.04659E-2</v>
      </c>
      <c r="E293">
        <v>1.1644E-2</v>
      </c>
      <c r="F293">
        <v>16424631716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0.22457252741541475</v>
      </c>
      <c r="Q293">
        <f t="shared" si="965"/>
        <v>3688521056.3295007</v>
      </c>
      <c r="R293">
        <f t="shared" si="966"/>
        <v>-48551829769.273354</v>
      </c>
      <c r="S293">
        <f t="shared" si="967"/>
        <v>-485518.29769273353</v>
      </c>
      <c r="T293">
        <f t="shared" si="968"/>
        <v>-485.51829769273354</v>
      </c>
    </row>
    <row r="294" spans="1:20" x14ac:dyDescent="0.25">
      <c r="A294" s="5">
        <v>44299</v>
      </c>
      <c r="B294">
        <v>1.29751E-2</v>
      </c>
      <c r="C294">
        <v>1.3217700000000001E-2</v>
      </c>
      <c r="D294">
        <v>1.11933E-2</v>
      </c>
      <c r="E294">
        <v>1.1955E-2</v>
      </c>
      <c r="F294">
        <v>14216607884</v>
      </c>
      <c r="G294">
        <v>0</v>
      </c>
      <c r="L294" t="s">
        <v>7</v>
      </c>
      <c r="M294" t="s">
        <v>7</v>
      </c>
      <c r="N294" t="s">
        <v>7</v>
      </c>
      <c r="P294">
        <f t="shared" si="964"/>
        <v>-0.24748073503260201</v>
      </c>
      <c r="Q294">
        <f t="shared" si="965"/>
        <v>-3518336568.8026047</v>
      </c>
      <c r="R294">
        <f t="shared" si="966"/>
        <v>-52240350825.602852</v>
      </c>
      <c r="S294">
        <f t="shared" si="967"/>
        <v>-522403.50825602852</v>
      </c>
      <c r="T294">
        <f t="shared" si="968"/>
        <v>-522.40350825602854</v>
      </c>
    </row>
    <row r="295" spans="1:20" x14ac:dyDescent="0.25">
      <c r="A295" s="5">
        <v>44298</v>
      </c>
      <c r="B295">
        <v>1.4063900000000001E-2</v>
      </c>
      <c r="C295">
        <v>1.49E-2</v>
      </c>
      <c r="D295">
        <v>1.2699999999999999E-2</v>
      </c>
      <c r="E295">
        <v>1.2972600000000001E-2</v>
      </c>
      <c r="F295">
        <v>9113627698</v>
      </c>
      <c r="G295">
        <v>0</v>
      </c>
      <c r="L295" t="s">
        <v>8</v>
      </c>
      <c r="M295" t="s">
        <v>7</v>
      </c>
      <c r="N295" t="s">
        <v>7</v>
      </c>
      <c r="P295">
        <f t="shared" si="964"/>
        <v>-0.75218181818181706</v>
      </c>
      <c r="Q295">
        <f t="shared" si="965"/>
        <v>-6855105052.1138077</v>
      </c>
      <c r="R295">
        <f t="shared" si="966"/>
        <v>-48722014256.800247</v>
      </c>
      <c r="S295">
        <f t="shared" si="967"/>
        <v>-487220.14256800245</v>
      </c>
      <c r="T295">
        <f t="shared" si="968"/>
        <v>-487.22014256800247</v>
      </c>
    </row>
    <row r="296" spans="1:20" x14ac:dyDescent="0.25">
      <c r="A296" s="5">
        <v>44297</v>
      </c>
      <c r="B296">
        <v>1.38976E-2</v>
      </c>
      <c r="C296">
        <v>1.5650000000000001E-2</v>
      </c>
      <c r="D296">
        <v>1.2434199999999999E-2</v>
      </c>
      <c r="E296">
        <v>1.40638E-2</v>
      </c>
      <c r="F296">
        <v>17011460138</v>
      </c>
      <c r="G296">
        <v>0</v>
      </c>
      <c r="L296" t="s">
        <v>7</v>
      </c>
      <c r="M296" t="s">
        <v>7</v>
      </c>
      <c r="N296" t="s">
        <v>7</v>
      </c>
      <c r="P296">
        <f t="shared" si="964"/>
        <v>1.3495864170657061E-2</v>
      </c>
      <c r="Q296">
        <f t="shared" si="965"/>
        <v>229584355.36699504</v>
      </c>
      <c r="R296">
        <f t="shared" si="966"/>
        <v>-41866909204.68644</v>
      </c>
      <c r="S296">
        <f t="shared" si="967"/>
        <v>-418669.09204686439</v>
      </c>
      <c r="T296">
        <f t="shared" si="968"/>
        <v>-418.66909204686436</v>
      </c>
    </row>
    <row r="297" spans="1:20" x14ac:dyDescent="0.25">
      <c r="A297" s="5">
        <v>44296</v>
      </c>
      <c r="B297">
        <v>1.4742399999999999E-2</v>
      </c>
      <c r="C297">
        <v>1.5668000000000001E-2</v>
      </c>
      <c r="D297">
        <v>1.32414E-2</v>
      </c>
      <c r="E297">
        <v>1.3892399999999999E-2</v>
      </c>
      <c r="F297">
        <v>10005778655</v>
      </c>
      <c r="G297">
        <v>0</v>
      </c>
      <c r="L297" t="s">
        <v>7</v>
      </c>
      <c r="M297" t="s">
        <v>7</v>
      </c>
      <c r="N297" t="s">
        <v>7</v>
      </c>
      <c r="P297">
        <f t="shared" si="964"/>
        <v>-0.46344679798895694</v>
      </c>
      <c r="Q297">
        <f t="shared" si="965"/>
        <v>-4637146079.0460024</v>
      </c>
      <c r="R297">
        <f t="shared" si="966"/>
        <v>-42096493560.053436</v>
      </c>
      <c r="S297">
        <f t="shared" si="967"/>
        <v>-420964.93560053437</v>
      </c>
      <c r="T297">
        <f t="shared" si="968"/>
        <v>-420.96493560053437</v>
      </c>
    </row>
    <row r="298" spans="1:20" x14ac:dyDescent="0.25">
      <c r="A298" s="5">
        <v>44295</v>
      </c>
      <c r="B298">
        <v>1.6556100000000001E-2</v>
      </c>
      <c r="C298">
        <v>1.6771500000000002E-2</v>
      </c>
      <c r="D298">
        <v>1.4522500000000001E-2</v>
      </c>
      <c r="E298">
        <v>1.47423E-2</v>
      </c>
      <c r="F298">
        <v>8104111952</v>
      </c>
      <c r="G298">
        <v>0</v>
      </c>
      <c r="L298" t="s">
        <v>7</v>
      </c>
      <c r="M298" t="s">
        <v>7</v>
      </c>
      <c r="N298" t="s">
        <v>7</v>
      </c>
      <c r="P298">
        <f t="shared" si="964"/>
        <v>-0.80453534904402035</v>
      </c>
      <c r="Q298">
        <f t="shared" si="965"/>
        <v>-6520044537.9941368</v>
      </c>
      <c r="R298">
        <f t="shared" si="966"/>
        <v>-37459347481.007431</v>
      </c>
      <c r="S298">
        <f t="shared" si="967"/>
        <v>-374593.47481007432</v>
      </c>
      <c r="T298">
        <f t="shared" si="968"/>
        <v>-374.59347481007433</v>
      </c>
    </row>
    <row r="299" spans="1:20" x14ac:dyDescent="0.25">
      <c r="A299" s="5">
        <v>44294</v>
      </c>
      <c r="B299">
        <v>1.4101600000000001E-2</v>
      </c>
      <c r="C299">
        <v>1.7469999999999999E-2</v>
      </c>
      <c r="D299">
        <v>1.4E-2</v>
      </c>
      <c r="E299">
        <v>1.6544900000000001E-2</v>
      </c>
      <c r="F299">
        <v>11962239372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0.46680115273775308</v>
      </c>
      <c r="Q299">
        <f t="shared" si="965"/>
        <v>5583987128.1745358</v>
      </c>
      <c r="R299">
        <f t="shared" si="966"/>
        <v>-30939302943.01329</v>
      </c>
      <c r="S299">
        <f t="shared" si="967"/>
        <v>-309393.02943013288</v>
      </c>
      <c r="T299">
        <f t="shared" si="968"/>
        <v>-309.39302943013286</v>
      </c>
    </row>
    <row r="300" spans="1:20" x14ac:dyDescent="0.25">
      <c r="A300" s="5">
        <v>44293</v>
      </c>
      <c r="B300">
        <v>1.7115100000000001E-2</v>
      </c>
      <c r="C300">
        <v>1.7175200000000002E-2</v>
      </c>
      <c r="D300">
        <v>1.3036499999999999E-2</v>
      </c>
      <c r="E300">
        <v>1.40798E-2</v>
      </c>
      <c r="F300">
        <v>19892123885</v>
      </c>
      <c r="G300">
        <v>0</v>
      </c>
      <c r="L300" t="s">
        <v>7</v>
      </c>
      <c r="M300" t="s">
        <v>8</v>
      </c>
      <c r="N300" t="s">
        <v>7</v>
      </c>
      <c r="P300">
        <f t="shared" si="964"/>
        <v>-0.4958320245487714</v>
      </c>
      <c r="Q300">
        <f t="shared" si="965"/>
        <v>-9863152058.4745216</v>
      </c>
      <c r="R300">
        <f t="shared" si="966"/>
        <v>-36523290071.187828</v>
      </c>
      <c r="S300">
        <f t="shared" si="967"/>
        <v>-365232.90071187826</v>
      </c>
      <c r="T300">
        <f t="shared" si="968"/>
        <v>-365.23290071187824</v>
      </c>
    </row>
    <row r="301" spans="1:20" x14ac:dyDescent="0.25">
      <c r="A301" s="5">
        <v>44292</v>
      </c>
      <c r="B301">
        <v>1.93248E-2</v>
      </c>
      <c r="C301">
        <v>1.9925200000000001E-2</v>
      </c>
      <c r="D301">
        <v>1.3127099999999999E-2</v>
      </c>
      <c r="E301">
        <v>1.7110199999999999E-2</v>
      </c>
      <c r="F301">
        <v>26975927324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0.17182742236801432</v>
      </c>
      <c r="Q301">
        <f t="shared" si="965"/>
        <v>4635204058.0698061</v>
      </c>
      <c r="R301">
        <f t="shared" si="966"/>
        <v>-26660138012.713306</v>
      </c>
      <c r="S301">
        <f t="shared" si="967"/>
        <v>-266601.38012713304</v>
      </c>
      <c r="T301">
        <f t="shared" si="968"/>
        <v>-266.60138012713304</v>
      </c>
    </row>
    <row r="302" spans="1:20" x14ac:dyDescent="0.25">
      <c r="A302" s="5">
        <v>44291</v>
      </c>
      <c r="B302">
        <v>1.73753E-2</v>
      </c>
      <c r="C302">
        <v>2.2700000000000001E-2</v>
      </c>
      <c r="D302">
        <v>1.7301E-2</v>
      </c>
      <c r="E302">
        <v>1.93248E-2</v>
      </c>
      <c r="F302">
        <v>26980983214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-0.25030561215039865</v>
      </c>
      <c r="Q302">
        <f t="shared" si="965"/>
        <v>-6753491519.7999001</v>
      </c>
      <c r="R302">
        <f t="shared" si="966"/>
        <v>-31295342070.783112</v>
      </c>
      <c r="S302">
        <f t="shared" si="967"/>
        <v>-312953.4207078311</v>
      </c>
      <c r="T302">
        <f t="shared" si="968"/>
        <v>-312.95342070783113</v>
      </c>
    </row>
    <row r="303" spans="1:20" x14ac:dyDescent="0.25">
      <c r="A303" s="5">
        <v>44290</v>
      </c>
      <c r="B303">
        <v>1.5974599999999999E-2</v>
      </c>
      <c r="C303">
        <v>1.88124E-2</v>
      </c>
      <c r="D303">
        <v>1.5570799999999999E-2</v>
      </c>
      <c r="E303">
        <v>1.7391400000000001E-2</v>
      </c>
      <c r="F303">
        <v>21788595527</v>
      </c>
      <c r="G303">
        <v>0</v>
      </c>
      <c r="L303" t="s">
        <v>7</v>
      </c>
      <c r="M303" t="s">
        <v>7</v>
      </c>
      <c r="N303" t="s">
        <v>8</v>
      </c>
      <c r="P303">
        <f t="shared" si="964"/>
        <v>0.1232724580454107</v>
      </c>
      <c r="Q303">
        <f t="shared" si="965"/>
        <v>2685933727.970531</v>
      </c>
      <c r="R303">
        <f t="shared" si="966"/>
        <v>-24541850550.983212</v>
      </c>
      <c r="S303">
        <f t="shared" si="967"/>
        <v>-245418.50550983212</v>
      </c>
      <c r="T303">
        <f t="shared" si="968"/>
        <v>-245.41850550983213</v>
      </c>
    </row>
    <row r="304" spans="1:20" x14ac:dyDescent="0.25">
      <c r="A304" s="5">
        <v>44289</v>
      </c>
      <c r="B304">
        <v>1.49899E-2</v>
      </c>
      <c r="C304">
        <v>1.8800000000000001E-2</v>
      </c>
      <c r="D304">
        <v>1.4200000000000001E-2</v>
      </c>
      <c r="E304">
        <v>1.59515E-2</v>
      </c>
      <c r="F304">
        <v>32385133885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-0.23847826086956539</v>
      </c>
      <c r="Q304">
        <f t="shared" si="965"/>
        <v>-7723150406.9228315</v>
      </c>
      <c r="R304">
        <f t="shared" si="966"/>
        <v>-27227784278.953743</v>
      </c>
      <c r="S304">
        <f t="shared" si="967"/>
        <v>-272277.84278953745</v>
      </c>
      <c r="T304">
        <f t="shared" si="968"/>
        <v>-272.27784278953743</v>
      </c>
    </row>
    <row r="305" spans="1:20" x14ac:dyDescent="0.25">
      <c r="A305" s="5">
        <v>44288</v>
      </c>
      <c r="B305">
        <v>1.3791299999999999E-2</v>
      </c>
      <c r="C305">
        <v>1.5699999999999999E-2</v>
      </c>
      <c r="D305">
        <v>1.35E-2</v>
      </c>
      <c r="E305">
        <v>1.49899E-2</v>
      </c>
      <c r="F305">
        <v>18729776369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0.35445454545454674</v>
      </c>
      <c r="Q305">
        <f t="shared" si="965"/>
        <v>6638854369.3392057</v>
      </c>
      <c r="R305">
        <f t="shared" si="966"/>
        <v>-19504633872.03091</v>
      </c>
      <c r="S305">
        <f t="shared" si="967"/>
        <v>-195046.33872030911</v>
      </c>
      <c r="T305">
        <f t="shared" si="968"/>
        <v>-195.04633872030911</v>
      </c>
    </row>
    <row r="306" spans="1:20" x14ac:dyDescent="0.25">
      <c r="A306" s="5">
        <v>44287</v>
      </c>
      <c r="B306">
        <v>1.23299E-2</v>
      </c>
      <c r="C306">
        <v>1.4749999999999999E-2</v>
      </c>
      <c r="D306">
        <v>1.20521E-2</v>
      </c>
      <c r="E306">
        <v>1.38E-2</v>
      </c>
      <c r="F306">
        <v>16678865396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0.29574854516475807</v>
      </c>
      <c r="Q306">
        <f t="shared" si="965"/>
        <v>4932750175.8658266</v>
      </c>
      <c r="R306">
        <f t="shared" si="966"/>
        <v>-26143488241.370117</v>
      </c>
      <c r="S306">
        <f t="shared" si="967"/>
        <v>-261434.88241370118</v>
      </c>
      <c r="T306">
        <f t="shared" si="968"/>
        <v>-261.43488241370119</v>
      </c>
    </row>
    <row r="307" spans="1:20" x14ac:dyDescent="0.25">
      <c r="A307" s="5">
        <v>44286</v>
      </c>
      <c r="B307">
        <v>1.31103E-2</v>
      </c>
      <c r="C307">
        <v>1.421E-2</v>
      </c>
      <c r="D307">
        <v>1.17581E-2</v>
      </c>
      <c r="E307">
        <v>1.2323199999999999E-2</v>
      </c>
      <c r="F307">
        <v>15091193623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-0.53905134793425591</v>
      </c>
      <c r="Q307">
        <f t="shared" si="965"/>
        <v>-8134928264.4149971</v>
      </c>
      <c r="R307">
        <f t="shared" si="966"/>
        <v>-31076238417.235943</v>
      </c>
      <c r="S307">
        <f t="shared" si="967"/>
        <v>-310762.38417235942</v>
      </c>
      <c r="T307">
        <f t="shared" si="968"/>
        <v>-310.76238417235942</v>
      </c>
    </row>
    <row r="308" spans="1:20" x14ac:dyDescent="0.25">
      <c r="A308" s="5">
        <v>44285</v>
      </c>
      <c r="B308">
        <v>1.18917E-2</v>
      </c>
      <c r="C308">
        <v>1.49E-2</v>
      </c>
      <c r="D308">
        <v>1.18888E-2</v>
      </c>
      <c r="E308">
        <v>1.31669E-2</v>
      </c>
      <c r="F308">
        <v>31092251348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-0.15110255047821425</v>
      </c>
      <c r="Q308">
        <f t="shared" si="965"/>
        <v>-4698118478.7924948</v>
      </c>
      <c r="R308">
        <f t="shared" si="966"/>
        <v>-22941310152.820946</v>
      </c>
      <c r="S308">
        <f t="shared" si="967"/>
        <v>-229413.10152820946</v>
      </c>
      <c r="T308">
        <f t="shared" si="968"/>
        <v>-229.41310152820947</v>
      </c>
    </row>
    <row r="309" spans="1:20" x14ac:dyDescent="0.25">
      <c r="A309" s="5">
        <v>44284</v>
      </c>
      <c r="B309">
        <v>1.0067599999999999E-2</v>
      </c>
      <c r="C309">
        <v>1.2579999999999999E-2</v>
      </c>
      <c r="D309">
        <v>1.0045E-2</v>
      </c>
      <c r="E309">
        <v>1.1891199999999999E-2</v>
      </c>
      <c r="F309">
        <v>18848852843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0.45656804733727802</v>
      </c>
      <c r="Q309">
        <f t="shared" si="965"/>
        <v>8605783937.0762119</v>
      </c>
      <c r="R309">
        <f t="shared" si="966"/>
        <v>-18243191674.02845</v>
      </c>
      <c r="S309">
        <f t="shared" si="967"/>
        <v>-182431.91674028451</v>
      </c>
      <c r="T309">
        <f t="shared" si="968"/>
        <v>-182.43191674028449</v>
      </c>
    </row>
    <row r="310" spans="1:20" x14ac:dyDescent="0.25">
      <c r="A310" s="5">
        <v>44283</v>
      </c>
      <c r="B310">
        <v>1.0259900000000001E-2</v>
      </c>
      <c r="C310">
        <v>1.125E-2</v>
      </c>
      <c r="D310">
        <v>9.6854999999999997E-3</v>
      </c>
      <c r="E310">
        <v>1.00784E-2</v>
      </c>
      <c r="F310">
        <v>11045325235</v>
      </c>
      <c r="G310">
        <v>0</v>
      </c>
      <c r="L310" t="s">
        <v>7</v>
      </c>
      <c r="M310" t="s">
        <v>7</v>
      </c>
      <c r="N310" t="s">
        <v>7</v>
      </c>
      <c r="P310">
        <f t="shared" si="964"/>
        <v>-0.49773090444231399</v>
      </c>
      <c r="Q310">
        <f t="shared" si="965"/>
        <v>-5497599719.0760641</v>
      </c>
      <c r="R310">
        <f t="shared" si="966"/>
        <v>-26848975611.10466</v>
      </c>
      <c r="S310">
        <f t="shared" si="967"/>
        <v>-268489.75611104659</v>
      </c>
      <c r="T310">
        <f t="shared" si="968"/>
        <v>-268.48975611104657</v>
      </c>
    </row>
    <row r="311" spans="1:20" x14ac:dyDescent="0.25">
      <c r="A311" s="5">
        <v>44282</v>
      </c>
      <c r="B311">
        <v>1.0541399999999999E-2</v>
      </c>
      <c r="C311">
        <v>1.1270799999999999E-2</v>
      </c>
      <c r="D311">
        <v>1.01326E-2</v>
      </c>
      <c r="E311">
        <v>1.0255E-2</v>
      </c>
      <c r="F311">
        <v>8903379850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-0.7849235635213494</v>
      </c>
      <c r="Q311">
        <f t="shared" si="965"/>
        <v>-6988472639.2461777</v>
      </c>
      <c r="R311">
        <f t="shared" si="966"/>
        <v>-21351375892.028595</v>
      </c>
      <c r="S311">
        <f t="shared" si="967"/>
        <v>-213513.75892028594</v>
      </c>
      <c r="T311">
        <f t="shared" si="968"/>
        <v>-213.51375892028594</v>
      </c>
    </row>
    <row r="312" spans="1:20" x14ac:dyDescent="0.25">
      <c r="A312" s="5">
        <v>44281</v>
      </c>
      <c r="B312">
        <v>9.7660999999999998E-3</v>
      </c>
      <c r="C312">
        <v>1.15E-2</v>
      </c>
      <c r="D312">
        <v>9.7286000000000004E-3</v>
      </c>
      <c r="E312">
        <v>1.0540000000000001E-2</v>
      </c>
      <c r="F312">
        <v>14999970204</v>
      </c>
      <c r="G312">
        <v>0</v>
      </c>
      <c r="L312" t="s">
        <v>7</v>
      </c>
      <c r="M312" t="s">
        <v>8</v>
      </c>
      <c r="N312" t="s">
        <v>7</v>
      </c>
      <c r="P312">
        <f t="shared" si="964"/>
        <v>-8.3888449813705981E-2</v>
      </c>
      <c r="Q312">
        <f t="shared" si="965"/>
        <v>-1258324247.665339</v>
      </c>
      <c r="R312">
        <f t="shared" si="966"/>
        <v>-14362903252.782417</v>
      </c>
      <c r="S312">
        <f t="shared" si="967"/>
        <v>-143629.03252782417</v>
      </c>
      <c r="T312">
        <f t="shared" si="968"/>
        <v>-143.62903252782417</v>
      </c>
    </row>
    <row r="313" spans="1:20" x14ac:dyDescent="0.25">
      <c r="A313" s="5">
        <v>44280</v>
      </c>
      <c r="B313">
        <v>9.5177999999999999E-3</v>
      </c>
      <c r="C313">
        <v>1.14E-2</v>
      </c>
      <c r="D313">
        <v>9.3703999999999992E-3</v>
      </c>
      <c r="E313">
        <v>9.7626999999999992E-3</v>
      </c>
      <c r="F313">
        <v>21469391809</v>
      </c>
      <c r="G313">
        <v>0</v>
      </c>
      <c r="L313" t="s">
        <v>8</v>
      </c>
      <c r="M313" t="s">
        <v>8</v>
      </c>
      <c r="N313" t="s">
        <v>7</v>
      </c>
      <c r="P313">
        <f t="shared" si="964"/>
        <v>-0.61342136381553047</v>
      </c>
      <c r="Q313">
        <f t="shared" si="965"/>
        <v>-13169783603.76676</v>
      </c>
      <c r="R313">
        <f t="shared" si="966"/>
        <v>-13104579005.117079</v>
      </c>
      <c r="S313">
        <f t="shared" si="967"/>
        <v>-131045.79005117078</v>
      </c>
      <c r="T313">
        <f t="shared" si="968"/>
        <v>-131.0457900511708</v>
      </c>
    </row>
    <row r="314" spans="1:20" x14ac:dyDescent="0.25">
      <c r="A314" s="5">
        <v>44279</v>
      </c>
      <c r="B314">
        <v>1.0508999999999999E-2</v>
      </c>
      <c r="C314">
        <v>1.1990000000000001E-2</v>
      </c>
      <c r="D314">
        <v>9.0203999999999996E-3</v>
      </c>
      <c r="E314">
        <v>9.5195999999999996E-3</v>
      </c>
      <c r="F314">
        <v>40344678864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-0.66379310344827602</v>
      </c>
      <c r="Q314">
        <f t="shared" si="965"/>
        <v>-26780519590.758629</v>
      </c>
      <c r="R314">
        <f t="shared" si="966"/>
        <v>65204598.649681091</v>
      </c>
      <c r="S314">
        <f t="shared" si="967"/>
        <v>652.04598649681088</v>
      </c>
      <c r="T314">
        <f t="shared" si="968"/>
        <v>0.65204598649681089</v>
      </c>
    </row>
    <row r="315" spans="1:20" x14ac:dyDescent="0.25">
      <c r="A315" s="5">
        <v>44278</v>
      </c>
      <c r="B315">
        <v>1.085E-2</v>
      </c>
      <c r="C315">
        <v>1.4994E-2</v>
      </c>
      <c r="D315">
        <v>1.00806E-2</v>
      </c>
      <c r="E315">
        <v>1.0553099999999999E-2</v>
      </c>
      <c r="F315">
        <v>56112844847</v>
      </c>
      <c r="G315">
        <v>0</v>
      </c>
      <c r="L315" t="s">
        <v>8</v>
      </c>
      <c r="M315" t="s">
        <v>8</v>
      </c>
      <c r="N315" t="s">
        <v>8</v>
      </c>
      <c r="P315">
        <f t="shared" si="964"/>
        <v>-0.80766882403223883</v>
      </c>
      <c r="Q315">
        <f t="shared" si="965"/>
        <v>-45320595410.679962</v>
      </c>
      <c r="R315">
        <f t="shared" si="966"/>
        <v>26845724189.40831</v>
      </c>
      <c r="S315">
        <f t="shared" si="967"/>
        <v>268457.2418940831</v>
      </c>
      <c r="T315">
        <f t="shared" si="968"/>
        <v>268.4572418940831</v>
      </c>
    </row>
    <row r="316" spans="1:20" x14ac:dyDescent="0.25">
      <c r="A316" s="5">
        <v>44277</v>
      </c>
      <c r="B316">
        <v>7.2119000000000003E-3</v>
      </c>
      <c r="C316">
        <v>1.24E-2</v>
      </c>
      <c r="D316">
        <v>6.8200999999999999E-3</v>
      </c>
      <c r="E316">
        <v>1.085E-2</v>
      </c>
      <c r="F316">
        <v>51894544708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0.44443448807326319</v>
      </c>
      <c r="Q316">
        <f t="shared" si="965"/>
        <v>23063725411.095051</v>
      </c>
      <c r="R316">
        <f t="shared" si="966"/>
        <v>72166319600.088272</v>
      </c>
      <c r="S316">
        <f t="shared" si="967"/>
        <v>721663.19600088277</v>
      </c>
      <c r="T316">
        <f t="shared" si="968"/>
        <v>721.66319600088275</v>
      </c>
    </row>
    <row r="317" spans="1:20" x14ac:dyDescent="0.25">
      <c r="A317" s="5">
        <v>44276</v>
      </c>
      <c r="B317">
        <v>5.77E-3</v>
      </c>
      <c r="C317">
        <v>8.0000000000000002E-3</v>
      </c>
      <c r="D317">
        <v>5.5715000000000001E-3</v>
      </c>
      <c r="E317">
        <v>7.2119999999999997E-3</v>
      </c>
      <c r="F317">
        <v>25022043330</v>
      </c>
      <c r="G317">
        <v>0</v>
      </c>
      <c r="L317" t="s">
        <v>8</v>
      </c>
      <c r="M317" t="s">
        <v>8</v>
      </c>
      <c r="N317" t="s">
        <v>8</v>
      </c>
      <c r="P317">
        <f t="shared" si="964"/>
        <v>0.35103973646283676</v>
      </c>
      <c r="Q317">
        <f t="shared" si="965"/>
        <v>8783731496.3248825</v>
      </c>
      <c r="R317">
        <f t="shared" si="966"/>
        <v>49102594188.993217</v>
      </c>
      <c r="S317">
        <f t="shared" si="967"/>
        <v>491025.94188993215</v>
      </c>
      <c r="T317">
        <f t="shared" si="968"/>
        <v>491.02594188993214</v>
      </c>
    </row>
    <row r="318" spans="1:20" x14ac:dyDescent="0.25">
      <c r="A318" s="5">
        <v>44275</v>
      </c>
      <c r="B318">
        <v>4.4888999999999997E-3</v>
      </c>
      <c r="C318">
        <v>7.1989999999999997E-3</v>
      </c>
      <c r="D318">
        <v>4.4640000000000001E-3</v>
      </c>
      <c r="E318">
        <v>5.77E-3</v>
      </c>
      <c r="F318">
        <v>33638677165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-4.4972577696526461E-2</v>
      </c>
      <c r="Q318">
        <f t="shared" si="965"/>
        <v>-1512818022.4113331</v>
      </c>
      <c r="R318">
        <f t="shared" si="966"/>
        <v>40318862692.668335</v>
      </c>
      <c r="S318">
        <f t="shared" si="967"/>
        <v>403188.62692668336</v>
      </c>
      <c r="T318">
        <f t="shared" si="968"/>
        <v>403.18862692668336</v>
      </c>
    </row>
    <row r="319" spans="1:20" x14ac:dyDescent="0.25">
      <c r="A319" s="5">
        <v>44274</v>
      </c>
      <c r="B319">
        <v>3.339E-3</v>
      </c>
      <c r="C319">
        <v>4.8887999999999996E-3</v>
      </c>
      <c r="D319">
        <v>3.2797999999999998E-3</v>
      </c>
      <c r="E319">
        <v>4.4809000000000003E-3</v>
      </c>
      <c r="F319">
        <v>16761879081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0.49297700435052916</v>
      </c>
      <c r="Q319">
        <f t="shared" si="965"/>
        <v>8263220936.6371803</v>
      </c>
      <c r="R319">
        <f t="shared" si="966"/>
        <v>41831680715.079666</v>
      </c>
      <c r="S319">
        <f t="shared" si="967"/>
        <v>418316.80715079664</v>
      </c>
      <c r="T319">
        <f t="shared" si="968"/>
        <v>418.31680715079665</v>
      </c>
    </row>
    <row r="320" spans="1:20" x14ac:dyDescent="0.25">
      <c r="A320" s="5">
        <v>44273</v>
      </c>
      <c r="B320">
        <v>3.5606000000000001E-3</v>
      </c>
      <c r="C320">
        <v>3.6648000000000002E-3</v>
      </c>
      <c r="D320">
        <v>3.3E-3</v>
      </c>
      <c r="E320">
        <v>3.3430000000000001E-3</v>
      </c>
      <c r="F320">
        <v>4333110654</v>
      </c>
      <c r="G320">
        <v>0</v>
      </c>
      <c r="L320" t="s">
        <v>8</v>
      </c>
      <c r="M320" t="s">
        <v>8</v>
      </c>
      <c r="N320" t="s">
        <v>7</v>
      </c>
      <c r="P320">
        <f t="shared" si="964"/>
        <v>-0.76425438596491202</v>
      </c>
      <c r="Q320">
        <f t="shared" si="965"/>
        <v>-3311598822.1907883</v>
      </c>
      <c r="R320">
        <f t="shared" si="966"/>
        <v>33568459778.442482</v>
      </c>
      <c r="S320">
        <f t="shared" si="967"/>
        <v>335684.59778442484</v>
      </c>
      <c r="T320">
        <f t="shared" si="968"/>
        <v>335.68459778442485</v>
      </c>
    </row>
    <row r="321" spans="1:20" x14ac:dyDescent="0.25">
      <c r="A321" s="5">
        <v>44272</v>
      </c>
      <c r="B321">
        <v>3.1467999999999999E-3</v>
      </c>
      <c r="C321">
        <v>3.5677999999999999E-3</v>
      </c>
      <c r="D321">
        <v>3.0999999999999999E-3</v>
      </c>
      <c r="E321">
        <v>3.5674999999999999E-3</v>
      </c>
      <c r="F321">
        <v>5338751111</v>
      </c>
      <c r="G321">
        <v>0</v>
      </c>
      <c r="L321" t="s">
        <v>8</v>
      </c>
      <c r="M321" t="s">
        <v>8</v>
      </c>
      <c r="N321" t="s">
        <v>7</v>
      </c>
      <c r="P321">
        <f t="shared" si="964"/>
        <v>0.99871740059854663</v>
      </c>
      <c r="Q321">
        <f t="shared" si="965"/>
        <v>5331903632.0205231</v>
      </c>
      <c r="R321">
        <f t="shared" si="966"/>
        <v>36880058600.63327</v>
      </c>
      <c r="S321">
        <f t="shared" si="967"/>
        <v>368800.58600633271</v>
      </c>
      <c r="T321">
        <f t="shared" si="968"/>
        <v>368.80058600633271</v>
      </c>
    </row>
    <row r="322" spans="1:20" x14ac:dyDescent="0.25">
      <c r="A322" s="5">
        <v>44271</v>
      </c>
      <c r="B322">
        <v>3.3181999999999999E-3</v>
      </c>
      <c r="C322">
        <v>3.5000000000000001E-3</v>
      </c>
      <c r="D322">
        <v>3.0000000000000001E-3</v>
      </c>
      <c r="E322">
        <v>3.1468999999999998E-3</v>
      </c>
      <c r="F322">
        <v>5534896285</v>
      </c>
      <c r="G322">
        <v>0</v>
      </c>
      <c r="L322" t="s">
        <v>8</v>
      </c>
      <c r="M322" t="s">
        <v>8</v>
      </c>
      <c r="N322" t="s">
        <v>7</v>
      </c>
      <c r="P322">
        <f t="shared" si="964"/>
        <v>-0.4124000000000011</v>
      </c>
      <c r="Q322">
        <f t="shared" si="965"/>
        <v>-2282591227.9340062</v>
      </c>
      <c r="R322">
        <f t="shared" si="966"/>
        <v>31548154968.612743</v>
      </c>
      <c r="S322">
        <f t="shared" si="967"/>
        <v>315481.54968612746</v>
      </c>
      <c r="T322">
        <f t="shared" si="968"/>
        <v>315.48154968612744</v>
      </c>
    </row>
    <row r="323" spans="1:20" x14ac:dyDescent="0.25">
      <c r="A323" s="5">
        <v>44270</v>
      </c>
      <c r="B323">
        <v>3.4501000000000002E-3</v>
      </c>
      <c r="C323">
        <v>3.7499999999999999E-3</v>
      </c>
      <c r="D323">
        <v>2.8988999999999998E-3</v>
      </c>
      <c r="E323">
        <v>3.3176999999999998E-3</v>
      </c>
      <c r="F323">
        <v>11430523242</v>
      </c>
      <c r="G323">
        <v>0</v>
      </c>
      <c r="L323" t="s">
        <v>7</v>
      </c>
      <c r="M323" t="s">
        <v>7</v>
      </c>
      <c r="N323" t="s">
        <v>7</v>
      </c>
      <c r="P323">
        <f t="shared" si="964"/>
        <v>-1.5861825872400488E-2</v>
      </c>
      <c r="Q323">
        <f t="shared" si="965"/>
        <v>-181308969.29503071</v>
      </c>
      <c r="R323">
        <f t="shared" si="966"/>
        <v>33830746196.546749</v>
      </c>
      <c r="S323">
        <f t="shared" si="967"/>
        <v>338307.46196546749</v>
      </c>
      <c r="T323">
        <f t="shared" si="968"/>
        <v>338.3074619654675</v>
      </c>
    </row>
    <row r="324" spans="1:20" x14ac:dyDescent="0.25">
      <c r="A324" s="5">
        <v>44269</v>
      </c>
      <c r="B324">
        <v>3.5119000000000001E-3</v>
      </c>
      <c r="C324">
        <v>3.999E-3</v>
      </c>
      <c r="D324">
        <v>3.3E-3</v>
      </c>
      <c r="E324">
        <v>3.4499999999999999E-3</v>
      </c>
      <c r="F324">
        <v>12332231654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-0.57081545064377692</v>
      </c>
      <c r="Q324">
        <f t="shared" si="965"/>
        <v>-7039428369.0214605</v>
      </c>
      <c r="R324">
        <f t="shared" si="966"/>
        <v>34012055165.841782</v>
      </c>
      <c r="S324">
        <f t="shared" si="967"/>
        <v>340120.5516584178</v>
      </c>
      <c r="T324">
        <f t="shared" si="968"/>
        <v>340.12055165841781</v>
      </c>
    </row>
    <row r="325" spans="1:20" x14ac:dyDescent="0.25">
      <c r="A325" s="5">
        <v>44268</v>
      </c>
      <c r="B325">
        <v>2.8698999999999999E-3</v>
      </c>
      <c r="C325">
        <v>3.8E-3</v>
      </c>
      <c r="D325">
        <v>2.5999999999999999E-3</v>
      </c>
      <c r="E325">
        <v>3.5119000000000001E-3</v>
      </c>
      <c r="F325">
        <v>30019984247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0.51983333333333359</v>
      </c>
      <c r="Q325">
        <f t="shared" si="965"/>
        <v>15605388477.732174</v>
      </c>
      <c r="R325">
        <f t="shared" si="966"/>
        <v>41051483534.863243</v>
      </c>
      <c r="S325">
        <f t="shared" si="967"/>
        <v>410514.83534863242</v>
      </c>
      <c r="T325">
        <f t="shared" si="968"/>
        <v>410.5148353486324</v>
      </c>
    </row>
    <row r="326" spans="1:20" x14ac:dyDescent="0.25">
      <c r="A326" s="5">
        <v>44267</v>
      </c>
      <c r="B326">
        <v>2.1234000000000001E-3</v>
      </c>
      <c r="C326">
        <v>2.9832000000000001E-3</v>
      </c>
      <c r="D326">
        <v>2.0301E-3</v>
      </c>
      <c r="E326">
        <v>2.8698999999999999E-3</v>
      </c>
      <c r="F326">
        <v>16654012662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0.76224950162627181</v>
      </c>
      <c r="Q326">
        <f t="shared" ref="Q326:Q389" si="970">F326*P326</f>
        <v>12694512851.68712</v>
      </c>
      <c r="R326">
        <f t="shared" ref="R326:R389" si="971">R327+Q326</f>
        <v>25446095057.131069</v>
      </c>
      <c r="S326">
        <f t="shared" ref="S326:S389" si="972">R326/100000</f>
        <v>254460.95057131068</v>
      </c>
      <c r="T326">
        <f t="shared" ref="T326:T389" si="973">S326/1000</f>
        <v>254.46095057131069</v>
      </c>
    </row>
    <row r="327" spans="1:20" x14ac:dyDescent="0.25">
      <c r="A327" s="5">
        <v>44266</v>
      </c>
      <c r="B327">
        <v>2.0530000000000001E-3</v>
      </c>
      <c r="C327">
        <v>2.2198999999999999E-3</v>
      </c>
      <c r="D327">
        <v>1.9577000000000002E-3</v>
      </c>
      <c r="E327">
        <v>2.1234000000000001E-3</v>
      </c>
      <c r="F327">
        <v>4878198673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0.26392067124332658</v>
      </c>
      <c r="Q327">
        <f t="shared" si="970"/>
        <v>1287457468.236465</v>
      </c>
      <c r="R327">
        <f t="shared" si="971"/>
        <v>12751582205.443949</v>
      </c>
      <c r="S327">
        <f t="shared" si="972"/>
        <v>127515.82205443949</v>
      </c>
      <c r="T327">
        <f t="shared" si="973"/>
        <v>127.51582205443948</v>
      </c>
    </row>
    <row r="328" spans="1:20" x14ac:dyDescent="0.25">
      <c r="A328" s="5">
        <v>44265</v>
      </c>
      <c r="B328">
        <v>1.9729000000000001E-3</v>
      </c>
      <c r="C328">
        <v>2.2780000000000001E-3</v>
      </c>
      <c r="D328">
        <v>1.859E-3</v>
      </c>
      <c r="E328">
        <v>2.0474999999999998E-3</v>
      </c>
      <c r="F328">
        <v>8372899820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-0.10023866348448773</v>
      </c>
      <c r="Q328">
        <f t="shared" si="970"/>
        <v>-839288287.4463079</v>
      </c>
      <c r="R328">
        <f t="shared" si="971"/>
        <v>11464124737.207483</v>
      </c>
      <c r="S328">
        <f t="shared" si="972"/>
        <v>114641.24737207484</v>
      </c>
      <c r="T328">
        <f t="shared" si="973"/>
        <v>114.64124737207484</v>
      </c>
    </row>
    <row r="329" spans="1:20" x14ac:dyDescent="0.25">
      <c r="A329" s="5">
        <v>44264</v>
      </c>
      <c r="B329">
        <v>1.7696000000000001E-3</v>
      </c>
      <c r="C329">
        <v>2E-3</v>
      </c>
      <c r="D329">
        <v>1.7412E-3</v>
      </c>
      <c r="E329">
        <v>1.9729999999999999E-3</v>
      </c>
      <c r="F329">
        <v>6151702498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0.79134466769706246</v>
      </c>
      <c r="Q329">
        <f t="shared" si="970"/>
        <v>4868116969.0509987</v>
      </c>
      <c r="R329">
        <f t="shared" si="971"/>
        <v>12303413024.653791</v>
      </c>
      <c r="S329">
        <f t="shared" si="972"/>
        <v>123034.13024653791</v>
      </c>
      <c r="T329">
        <f t="shared" si="973"/>
        <v>123.03413024653791</v>
      </c>
    </row>
    <row r="330" spans="1:20" x14ac:dyDescent="0.25">
      <c r="A330" s="5">
        <v>44263</v>
      </c>
      <c r="B330">
        <v>1.6758999999999999E-3</v>
      </c>
      <c r="C330">
        <v>1.7941999999999999E-3</v>
      </c>
      <c r="D330">
        <v>1.5839000000000001E-3</v>
      </c>
      <c r="E330">
        <v>1.7637E-3</v>
      </c>
      <c r="F330">
        <v>4369367344</v>
      </c>
      <c r="G330">
        <v>0</v>
      </c>
      <c r="L330" t="s">
        <v>7</v>
      </c>
      <c r="M330" t="s">
        <v>7</v>
      </c>
      <c r="N330" t="s">
        <v>8</v>
      </c>
      <c r="P330">
        <f t="shared" si="969"/>
        <v>0.70993818354731386</v>
      </c>
      <c r="Q330">
        <f t="shared" si="970"/>
        <v>3101980715.4503112</v>
      </c>
      <c r="R330">
        <f t="shared" si="971"/>
        <v>7435296055.6027927</v>
      </c>
      <c r="S330">
        <f t="shared" si="972"/>
        <v>74352.960556027931</v>
      </c>
      <c r="T330">
        <f t="shared" si="973"/>
        <v>74.352960556027924</v>
      </c>
    </row>
    <row r="331" spans="1:20" x14ac:dyDescent="0.25">
      <c r="A331" s="5">
        <v>44262</v>
      </c>
      <c r="B331">
        <v>1.691E-3</v>
      </c>
      <c r="C331">
        <v>1.7321000000000001E-3</v>
      </c>
      <c r="D331">
        <v>1.6272999999999999E-3</v>
      </c>
      <c r="E331">
        <v>1.6693999999999999E-3</v>
      </c>
      <c r="F331">
        <v>2627444410</v>
      </c>
      <c r="G331">
        <v>0</v>
      </c>
      <c r="L331" t="s">
        <v>7</v>
      </c>
      <c r="M331" t="s">
        <v>7</v>
      </c>
      <c r="N331" t="s">
        <v>8</v>
      </c>
      <c r="P331">
        <f t="shared" si="969"/>
        <v>-0.19656488549618459</v>
      </c>
      <c r="Q331">
        <f t="shared" si="970"/>
        <v>-516463309.59924024</v>
      </c>
      <c r="R331">
        <f t="shared" si="971"/>
        <v>4333315340.152482</v>
      </c>
      <c r="S331">
        <f t="shared" si="972"/>
        <v>43333.153401524818</v>
      </c>
      <c r="T331">
        <f t="shared" si="973"/>
        <v>43.333153401524818</v>
      </c>
    </row>
    <row r="332" spans="1:20" x14ac:dyDescent="0.25">
      <c r="A332" s="5">
        <v>44261</v>
      </c>
      <c r="B332">
        <v>1.6863E-3</v>
      </c>
      <c r="C332">
        <v>1.7496E-3</v>
      </c>
      <c r="D332">
        <v>1.6119000000000001E-3</v>
      </c>
      <c r="E332">
        <v>1.6892999999999999E-3</v>
      </c>
      <c r="F332">
        <v>2351886970</v>
      </c>
      <c r="G332">
        <v>0</v>
      </c>
      <c r="L332" t="s">
        <v>8</v>
      </c>
      <c r="M332" t="s">
        <v>7</v>
      </c>
      <c r="N332" t="s">
        <v>8</v>
      </c>
      <c r="P332">
        <f t="shared" si="969"/>
        <v>0.12418300653594568</v>
      </c>
      <c r="Q332">
        <f t="shared" si="970"/>
        <v>292064394.9673155</v>
      </c>
      <c r="R332">
        <f t="shared" si="971"/>
        <v>4849778649.7517223</v>
      </c>
      <c r="S332">
        <f t="shared" si="972"/>
        <v>48497.786497517227</v>
      </c>
      <c r="T332">
        <f t="shared" si="973"/>
        <v>48.497786497517225</v>
      </c>
    </row>
    <row r="333" spans="1:20" x14ac:dyDescent="0.25">
      <c r="A333" s="5">
        <v>44260</v>
      </c>
      <c r="B333">
        <v>1.7539000000000001E-3</v>
      </c>
      <c r="C333">
        <v>1.7905E-3</v>
      </c>
      <c r="D333">
        <v>1.5738E-3</v>
      </c>
      <c r="E333">
        <v>1.6863E-3</v>
      </c>
      <c r="F333">
        <v>4639073384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3.8301799723119201E-2</v>
      </c>
      <c r="Q333">
        <f t="shared" si="970"/>
        <v>177684859.65482086</v>
      </c>
      <c r="R333">
        <f t="shared" si="971"/>
        <v>4557714254.7844067</v>
      </c>
      <c r="S333">
        <f t="shared" si="972"/>
        <v>45577.142547844065</v>
      </c>
      <c r="T333">
        <f t="shared" si="973"/>
        <v>45.577142547844062</v>
      </c>
    </row>
    <row r="334" spans="1:20" x14ac:dyDescent="0.25">
      <c r="A334" s="5">
        <v>44259</v>
      </c>
      <c r="B334">
        <v>1.5989999999999999E-3</v>
      </c>
      <c r="C334">
        <v>1.9072E-3</v>
      </c>
      <c r="D334">
        <v>1.5499999999999999E-3</v>
      </c>
      <c r="E334">
        <v>1.7470999999999999E-3</v>
      </c>
      <c r="F334">
        <v>7403649669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0.10358342665173551</v>
      </c>
      <c r="Q334">
        <f t="shared" si="970"/>
        <v>766895402.4440074</v>
      </c>
      <c r="R334">
        <f t="shared" si="971"/>
        <v>4380029395.1295862</v>
      </c>
      <c r="S334">
        <f t="shared" si="972"/>
        <v>43800.293951295862</v>
      </c>
      <c r="T334">
        <f t="shared" si="973"/>
        <v>43.800293951295863</v>
      </c>
    </row>
    <row r="335" spans="1:20" x14ac:dyDescent="0.25">
      <c r="A335" s="5">
        <v>44258</v>
      </c>
      <c r="B335">
        <v>1.5598000000000001E-3</v>
      </c>
      <c r="C335">
        <v>1.6999999999999999E-3</v>
      </c>
      <c r="D335">
        <v>1.5422999999999999E-3</v>
      </c>
      <c r="E335">
        <v>1.5985000000000001E-3</v>
      </c>
      <c r="F335">
        <v>3714089875</v>
      </c>
      <c r="G335">
        <v>0</v>
      </c>
      <c r="L335" t="s">
        <v>8</v>
      </c>
      <c r="M335" t="s">
        <v>7</v>
      </c>
      <c r="N335" t="s">
        <v>7</v>
      </c>
      <c r="P335">
        <f t="shared" si="969"/>
        <v>-0.28725428027900851</v>
      </c>
      <c r="Q335">
        <f t="shared" si="970"/>
        <v>-1066888213.9346777</v>
      </c>
      <c r="R335">
        <f t="shared" si="971"/>
        <v>3613133992.6855788</v>
      </c>
      <c r="S335">
        <f t="shared" si="972"/>
        <v>36131.339926855791</v>
      </c>
      <c r="T335">
        <f t="shared" si="973"/>
        <v>36.131339926855794</v>
      </c>
    </row>
    <row r="336" spans="1:20" x14ac:dyDescent="0.25">
      <c r="A336" s="5">
        <v>44257</v>
      </c>
      <c r="B336">
        <v>1.6812000000000001E-3</v>
      </c>
      <c r="C336">
        <v>1.6999999999999999E-3</v>
      </c>
      <c r="D336">
        <v>1.5E-3</v>
      </c>
      <c r="E336">
        <v>1.5598999999999999E-3</v>
      </c>
      <c r="F336">
        <v>3451357387</v>
      </c>
      <c r="G336">
        <v>0</v>
      </c>
      <c r="L336" t="s">
        <v>7</v>
      </c>
      <c r="M336" t="s">
        <v>7</v>
      </c>
      <c r="N336" t="s">
        <v>7</v>
      </c>
      <c r="P336">
        <f t="shared" si="969"/>
        <v>-0.4010000000000008</v>
      </c>
      <c r="Q336">
        <f t="shared" si="970"/>
        <v>-1383994312.1870027</v>
      </c>
      <c r="R336">
        <f t="shared" si="971"/>
        <v>4680022206.6202564</v>
      </c>
      <c r="S336">
        <f t="shared" si="972"/>
        <v>46800.222066202565</v>
      </c>
      <c r="T336">
        <f t="shared" si="973"/>
        <v>46.800222066202565</v>
      </c>
    </row>
    <row r="337" spans="1:20" x14ac:dyDescent="0.25">
      <c r="A337" s="5">
        <v>44256</v>
      </c>
      <c r="B337">
        <v>1.4901000000000001E-3</v>
      </c>
      <c r="C337">
        <v>1.7650000000000001E-3</v>
      </c>
      <c r="D337">
        <v>1.4834E-3</v>
      </c>
      <c r="E337">
        <v>1.6769E-3</v>
      </c>
      <c r="F337">
        <v>4166805169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0.37428977272727282</v>
      </c>
      <c r="Q337">
        <f t="shared" si="970"/>
        <v>1559592559.7038355</v>
      </c>
      <c r="R337">
        <f t="shared" si="971"/>
        <v>6064016518.8072596</v>
      </c>
      <c r="S337">
        <f t="shared" si="972"/>
        <v>60640.165188072599</v>
      </c>
      <c r="T337">
        <f t="shared" si="973"/>
        <v>60.640165188072601</v>
      </c>
    </row>
    <row r="338" spans="1:20" x14ac:dyDescent="0.25">
      <c r="A338" s="5">
        <v>44255</v>
      </c>
      <c r="B338">
        <v>1.635E-3</v>
      </c>
      <c r="C338">
        <v>1.6488E-3</v>
      </c>
      <c r="D338">
        <v>1.3217999999999999E-3</v>
      </c>
      <c r="E338">
        <v>1.4859999999999999E-3</v>
      </c>
      <c r="F338">
        <v>4293686127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4.2813455657490073E-3</v>
      </c>
      <c r="Q338">
        <f t="shared" si="970"/>
        <v>18382754.060549479</v>
      </c>
      <c r="R338">
        <f t="shared" si="971"/>
        <v>4504423959.1034241</v>
      </c>
      <c r="S338">
        <f t="shared" si="972"/>
        <v>45044.239591034238</v>
      </c>
      <c r="T338">
        <f t="shared" si="973"/>
        <v>45.044239591034241</v>
      </c>
    </row>
    <row r="339" spans="1:20" x14ac:dyDescent="0.25">
      <c r="A339" s="5">
        <v>44254</v>
      </c>
      <c r="B339">
        <v>1.7327E-3</v>
      </c>
      <c r="C339">
        <v>1.8370000000000001E-3</v>
      </c>
      <c r="D339">
        <v>1.6004999999999999E-3</v>
      </c>
      <c r="E339">
        <v>1.6310999999999999E-3</v>
      </c>
      <c r="F339">
        <v>3288759794</v>
      </c>
      <c r="G339">
        <v>0</v>
      </c>
      <c r="L339" t="s">
        <v>7</v>
      </c>
      <c r="M339" t="s">
        <v>7</v>
      </c>
      <c r="N339" t="s">
        <v>7</v>
      </c>
      <c r="P339">
        <f t="shared" si="969"/>
        <v>-0.74122621564482061</v>
      </c>
      <c r="Q339">
        <f t="shared" si="970"/>
        <v>-2437714976.2714596</v>
      </c>
      <c r="R339">
        <f t="shared" si="971"/>
        <v>4486041205.0428743</v>
      </c>
      <c r="S339">
        <f t="shared" si="972"/>
        <v>44860.412050428742</v>
      </c>
      <c r="T339">
        <f t="shared" si="973"/>
        <v>44.860412050428742</v>
      </c>
    </row>
    <row r="340" spans="1:20" x14ac:dyDescent="0.25">
      <c r="A340" s="5">
        <v>44253</v>
      </c>
      <c r="B340">
        <v>1.7937000000000001E-3</v>
      </c>
      <c r="C340">
        <v>1.9989999999999999E-3</v>
      </c>
      <c r="D340">
        <v>1.6574000000000001E-3</v>
      </c>
      <c r="E340">
        <v>1.7313000000000001E-3</v>
      </c>
      <c r="F340">
        <v>5785587381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-0.56733021077283352</v>
      </c>
      <c r="Q340">
        <f t="shared" si="970"/>
        <v>-3282338508.3073759</v>
      </c>
      <c r="R340">
        <f t="shared" si="971"/>
        <v>6923756181.3143339</v>
      </c>
      <c r="S340">
        <f t="shared" si="972"/>
        <v>69237.561813143344</v>
      </c>
      <c r="T340">
        <f t="shared" si="973"/>
        <v>69.237561813143344</v>
      </c>
    </row>
    <row r="341" spans="1:20" x14ac:dyDescent="0.25">
      <c r="A341" s="5">
        <v>44252</v>
      </c>
      <c r="B341">
        <v>1.9907000000000002E-3</v>
      </c>
      <c r="C341">
        <v>2.1622E-3</v>
      </c>
      <c r="D341">
        <v>1.776E-3</v>
      </c>
      <c r="E341">
        <v>1.789E-3</v>
      </c>
      <c r="F341">
        <v>7075170045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-0.93267736923873645</v>
      </c>
      <c r="Q341">
        <f t="shared" si="970"/>
        <v>-6598850984.4873123</v>
      </c>
      <c r="R341">
        <f t="shared" si="971"/>
        <v>10206094689.62171</v>
      </c>
      <c r="S341">
        <f t="shared" si="972"/>
        <v>102060.94689621709</v>
      </c>
      <c r="T341">
        <f t="shared" si="973"/>
        <v>102.06094689621709</v>
      </c>
    </row>
    <row r="342" spans="1:20" x14ac:dyDescent="0.25">
      <c r="A342" s="5">
        <v>44251</v>
      </c>
      <c r="B342">
        <v>1.8575E-3</v>
      </c>
      <c r="C342">
        <v>2.3999999999999998E-3</v>
      </c>
      <c r="D342">
        <v>1.65E-3</v>
      </c>
      <c r="E342">
        <v>1.9821999999999999E-3</v>
      </c>
      <c r="F342">
        <v>13843332337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-0.11413333333333325</v>
      </c>
      <c r="Q342">
        <f t="shared" si="970"/>
        <v>-1579985664.0629323</v>
      </c>
      <c r="R342">
        <f t="shared" si="971"/>
        <v>16804945674.109022</v>
      </c>
      <c r="S342">
        <f t="shared" si="972"/>
        <v>168049.45674109022</v>
      </c>
      <c r="T342">
        <f t="shared" si="973"/>
        <v>168.04945674109021</v>
      </c>
    </row>
    <row r="343" spans="1:20" x14ac:dyDescent="0.25">
      <c r="A343" s="5">
        <v>44250</v>
      </c>
      <c r="B343">
        <v>2.0433000000000001E-3</v>
      </c>
      <c r="C343">
        <v>2.0639999999999999E-3</v>
      </c>
      <c r="D343">
        <v>1.3500000000000001E-3</v>
      </c>
      <c r="E343">
        <v>1.8554999999999999E-3</v>
      </c>
      <c r="F343">
        <v>10819583035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0.41596638655462193</v>
      </c>
      <c r="Q343">
        <f t="shared" si="970"/>
        <v>4500582859.0966396</v>
      </c>
      <c r="R343">
        <f t="shared" si="971"/>
        <v>18384931338.171955</v>
      </c>
      <c r="S343">
        <f t="shared" si="972"/>
        <v>183849.31338171955</v>
      </c>
      <c r="T343">
        <f t="shared" si="973"/>
        <v>183.84931338171955</v>
      </c>
    </row>
    <row r="344" spans="1:20" x14ac:dyDescent="0.25">
      <c r="A344" s="5">
        <v>44249</v>
      </c>
      <c r="B344">
        <v>2.3184E-3</v>
      </c>
      <c r="C344">
        <v>2.6492E-3</v>
      </c>
      <c r="D344">
        <v>1.6000000000000001E-3</v>
      </c>
      <c r="E344">
        <v>2.0341000000000001E-3</v>
      </c>
      <c r="F344">
        <v>15537732073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-0.1725123903926801</v>
      </c>
      <c r="Q344">
        <f t="shared" si="970"/>
        <v>-2680451301.1942425</v>
      </c>
      <c r="R344">
        <f t="shared" si="971"/>
        <v>13884348479.075315</v>
      </c>
      <c r="S344">
        <f t="shared" si="972"/>
        <v>138843.48479075317</v>
      </c>
      <c r="T344">
        <f t="shared" si="973"/>
        <v>138.84348479075317</v>
      </c>
    </row>
    <row r="345" spans="1:20" x14ac:dyDescent="0.25">
      <c r="A345" s="5">
        <v>44248</v>
      </c>
      <c r="B345">
        <v>1.6144E-3</v>
      </c>
      <c r="C345">
        <v>2.7847000000000002E-3</v>
      </c>
      <c r="D345">
        <v>1.4834E-3</v>
      </c>
      <c r="E345">
        <v>2.3278999999999999E-3</v>
      </c>
      <c r="F345">
        <v>27131914512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0.29793283639437457</v>
      </c>
      <c r="Q345">
        <f t="shared" si="970"/>
        <v>8083488247.369853</v>
      </c>
      <c r="R345">
        <f t="shared" si="971"/>
        <v>16564799780.269558</v>
      </c>
      <c r="S345">
        <f t="shared" si="972"/>
        <v>165647.99780269558</v>
      </c>
      <c r="T345">
        <f t="shared" si="973"/>
        <v>165.64799780269558</v>
      </c>
    </row>
    <row r="346" spans="1:20" x14ac:dyDescent="0.25">
      <c r="A346" s="5">
        <v>44247</v>
      </c>
      <c r="B346">
        <v>1.353E-3</v>
      </c>
      <c r="C346">
        <v>1.7589999999999999E-3</v>
      </c>
      <c r="D346">
        <v>1.3075000000000001E-3</v>
      </c>
      <c r="E346">
        <v>1.6077999999999999E-3</v>
      </c>
      <c r="F346">
        <v>12982685624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0.33023255813953473</v>
      </c>
      <c r="Q346">
        <f t="shared" si="970"/>
        <v>4287305485.1348815</v>
      </c>
      <c r="R346">
        <f t="shared" si="971"/>
        <v>8481311532.899704</v>
      </c>
      <c r="S346">
        <f t="shared" si="972"/>
        <v>84813.115328997039</v>
      </c>
      <c r="T346">
        <f t="shared" si="973"/>
        <v>84.813115328997043</v>
      </c>
    </row>
    <row r="347" spans="1:20" x14ac:dyDescent="0.25">
      <c r="A347" s="5">
        <v>44246</v>
      </c>
      <c r="B347">
        <v>1.3244000000000001E-3</v>
      </c>
      <c r="C347">
        <v>1.5E-3</v>
      </c>
      <c r="D347">
        <v>1.25E-3</v>
      </c>
      <c r="E347">
        <v>1.3531000000000001E-3</v>
      </c>
      <c r="F347">
        <v>6075688811</v>
      </c>
      <c r="G347">
        <v>0</v>
      </c>
      <c r="L347" t="s">
        <v>8</v>
      </c>
      <c r="M347" t="s">
        <v>7</v>
      </c>
      <c r="N347" t="s">
        <v>8</v>
      </c>
      <c r="P347">
        <f t="shared" si="969"/>
        <v>-0.1751999999999995</v>
      </c>
      <c r="Q347">
        <f t="shared" si="970"/>
        <v>-1064460679.687197</v>
      </c>
      <c r="R347">
        <f t="shared" si="971"/>
        <v>4194006047.764822</v>
      </c>
      <c r="S347">
        <f t="shared" si="972"/>
        <v>41940.060477648221</v>
      </c>
      <c r="T347">
        <f t="shared" si="973"/>
        <v>41.940060477648224</v>
      </c>
    </row>
    <row r="348" spans="1:20" x14ac:dyDescent="0.25">
      <c r="A348" s="5">
        <v>44245</v>
      </c>
      <c r="B348">
        <v>1.3408000000000001E-3</v>
      </c>
      <c r="C348">
        <v>1.4495000000000001E-3</v>
      </c>
      <c r="D348">
        <v>1.2999999999999999E-3</v>
      </c>
      <c r="E348">
        <v>1.3208E-3</v>
      </c>
      <c r="F348">
        <v>3724095703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-0.72173913043478188</v>
      </c>
      <c r="Q348">
        <f t="shared" si="970"/>
        <v>-2687825594.3391275</v>
      </c>
      <c r="R348">
        <f t="shared" si="971"/>
        <v>5258466727.4520187</v>
      </c>
      <c r="S348">
        <f t="shared" si="972"/>
        <v>52584.667274520187</v>
      </c>
      <c r="T348">
        <f t="shared" si="973"/>
        <v>52.584667274520186</v>
      </c>
    </row>
    <row r="349" spans="1:20" x14ac:dyDescent="0.25">
      <c r="A349" s="5">
        <v>44244</v>
      </c>
      <c r="B349">
        <v>1.3791000000000001E-3</v>
      </c>
      <c r="C349">
        <v>1.4599999999999999E-3</v>
      </c>
      <c r="D349">
        <v>1.23E-3</v>
      </c>
      <c r="E349">
        <v>1.3401999999999999E-3</v>
      </c>
      <c r="F349">
        <v>5252621150</v>
      </c>
      <c r="G349">
        <v>0</v>
      </c>
      <c r="L349" t="s">
        <v>7</v>
      </c>
      <c r="M349" t="s">
        <v>7</v>
      </c>
      <c r="N349" t="s">
        <v>8</v>
      </c>
      <c r="P349">
        <f t="shared" si="969"/>
        <v>-4.1739130434782688E-2</v>
      </c>
      <c r="Q349">
        <f t="shared" si="970"/>
        <v>-219239839.30434823</v>
      </c>
      <c r="R349">
        <f t="shared" si="971"/>
        <v>7946292321.7911463</v>
      </c>
      <c r="S349">
        <f t="shared" si="972"/>
        <v>79462.923217911462</v>
      </c>
      <c r="T349">
        <f t="shared" si="973"/>
        <v>79.462923217911467</v>
      </c>
    </row>
    <row r="350" spans="1:20" x14ac:dyDescent="0.25">
      <c r="A350" s="5">
        <v>44243</v>
      </c>
      <c r="B350">
        <v>1.2352999999999999E-3</v>
      </c>
      <c r="C350">
        <v>1.49E-3</v>
      </c>
      <c r="D350">
        <v>1.1501E-3</v>
      </c>
      <c r="E350">
        <v>1.3879000000000001E-3</v>
      </c>
      <c r="F350">
        <v>6552030165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0.39923506913798207</v>
      </c>
      <c r="Q350">
        <f t="shared" si="970"/>
        <v>2615800215.9179192</v>
      </c>
      <c r="R350">
        <f t="shared" si="971"/>
        <v>8165532161.0954943</v>
      </c>
      <c r="S350">
        <f t="shared" si="972"/>
        <v>81655.321610954939</v>
      </c>
      <c r="T350">
        <f t="shared" si="973"/>
        <v>81.655321610954942</v>
      </c>
    </row>
    <row r="351" spans="1:20" x14ac:dyDescent="0.25">
      <c r="A351" s="5">
        <v>44242</v>
      </c>
      <c r="B351">
        <v>1.42E-3</v>
      </c>
      <c r="C351">
        <v>1.42E-3</v>
      </c>
      <c r="D351">
        <v>1E-3</v>
      </c>
      <c r="E351">
        <v>1.2287999999999999E-3</v>
      </c>
      <c r="F351">
        <v>7477226481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8.9523809523809117E-2</v>
      </c>
      <c r="Q351">
        <f t="shared" si="970"/>
        <v>669389799.2514255</v>
      </c>
      <c r="R351">
        <f t="shared" si="971"/>
        <v>5549731945.1775751</v>
      </c>
      <c r="S351">
        <f t="shared" si="972"/>
        <v>55497.319451775751</v>
      </c>
      <c r="T351">
        <f t="shared" si="973"/>
        <v>55.497319451775752</v>
      </c>
    </row>
    <row r="352" spans="1:20" x14ac:dyDescent="0.25">
      <c r="A352" s="5">
        <v>44241</v>
      </c>
      <c r="B352">
        <v>1.4059999999999999E-3</v>
      </c>
      <c r="C352">
        <v>1.5671000000000001E-3</v>
      </c>
      <c r="D352">
        <v>1.3332000000000001E-3</v>
      </c>
      <c r="E352">
        <v>1.4208000000000001E-3</v>
      </c>
      <c r="F352">
        <v>6690389209</v>
      </c>
      <c r="G352">
        <v>0</v>
      </c>
      <c r="L352" t="s">
        <v>7</v>
      </c>
      <c r="M352" t="s">
        <v>7</v>
      </c>
      <c r="N352" t="s">
        <v>7</v>
      </c>
      <c r="P352">
        <f t="shared" si="969"/>
        <v>-0.25096194955109052</v>
      </c>
      <c r="Q352">
        <f t="shared" si="970"/>
        <v>-1679033119.1462185</v>
      </c>
      <c r="R352">
        <f t="shared" si="971"/>
        <v>4880342145.9261494</v>
      </c>
      <c r="S352">
        <f t="shared" si="972"/>
        <v>48803.421459261495</v>
      </c>
      <c r="T352">
        <f t="shared" si="973"/>
        <v>48.803421459261493</v>
      </c>
    </row>
    <row r="353" spans="1:20" x14ac:dyDescent="0.25">
      <c r="A353" s="5">
        <v>44240</v>
      </c>
      <c r="B353">
        <v>1.5803E-3</v>
      </c>
      <c r="C353">
        <v>1.6720000000000001E-3</v>
      </c>
      <c r="D353">
        <v>1.3500000000000001E-3</v>
      </c>
      <c r="E353">
        <v>1.4061E-3</v>
      </c>
      <c r="F353">
        <v>7004918314</v>
      </c>
      <c r="G353">
        <v>0</v>
      </c>
      <c r="L353" t="s">
        <v>8</v>
      </c>
      <c r="M353" t="s">
        <v>8</v>
      </c>
      <c r="N353" t="s">
        <v>7</v>
      </c>
      <c r="P353">
        <f t="shared" si="969"/>
        <v>-0.65155279503105656</v>
      </c>
      <c r="Q353">
        <f t="shared" si="970"/>
        <v>-4564074106.4509363</v>
      </c>
      <c r="R353">
        <f t="shared" si="971"/>
        <v>6559375265.0723677</v>
      </c>
      <c r="S353">
        <f t="shared" si="972"/>
        <v>65593.752650723676</v>
      </c>
      <c r="T353">
        <f t="shared" si="973"/>
        <v>65.593752650723673</v>
      </c>
    </row>
    <row r="354" spans="1:20" x14ac:dyDescent="0.25">
      <c r="A354" s="5">
        <v>44239</v>
      </c>
      <c r="B354">
        <v>1.7711000000000001E-3</v>
      </c>
      <c r="C354">
        <v>1.7711000000000001E-3</v>
      </c>
      <c r="D354">
        <v>1.3090000000000001E-3</v>
      </c>
      <c r="E354">
        <v>1.5816000000000001E-3</v>
      </c>
      <c r="F354">
        <v>28264489646</v>
      </c>
      <c r="G354">
        <v>0</v>
      </c>
      <c r="L354" t="s">
        <v>7</v>
      </c>
      <c r="M354" t="s">
        <v>7</v>
      </c>
      <c r="N354" t="s">
        <v>7</v>
      </c>
      <c r="P354">
        <f t="shared" si="969"/>
        <v>0.17983120536680375</v>
      </c>
      <c r="Q354">
        <f t="shared" si="970"/>
        <v>5082837242.1177244</v>
      </c>
      <c r="R354">
        <f t="shared" si="971"/>
        <v>11123449371.523304</v>
      </c>
      <c r="S354">
        <f t="shared" si="972"/>
        <v>111234.49371523304</v>
      </c>
      <c r="T354">
        <f t="shared" si="973"/>
        <v>111.23449371523304</v>
      </c>
    </row>
    <row r="355" spans="1:20" x14ac:dyDescent="0.25">
      <c r="A355" s="5">
        <v>44238</v>
      </c>
      <c r="B355">
        <v>7.161E-4</v>
      </c>
      <c r="C355">
        <v>1.9956000000000002E-3</v>
      </c>
      <c r="D355">
        <v>7.1259999999999997E-4</v>
      </c>
      <c r="E355">
        <v>1.7750000000000001E-3</v>
      </c>
      <c r="F355">
        <v>64350026878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0.65611847233047549</v>
      </c>
      <c r="Q355">
        <f t="shared" si="970"/>
        <v>42221241329.618401</v>
      </c>
      <c r="R355">
        <f t="shared" si="971"/>
        <v>6040612129.4055786</v>
      </c>
      <c r="S355">
        <f t="shared" si="972"/>
        <v>60406.121294055789</v>
      </c>
      <c r="T355">
        <f t="shared" si="973"/>
        <v>60.406121294055787</v>
      </c>
    </row>
    <row r="356" spans="1:20" x14ac:dyDescent="0.25">
      <c r="A356" s="5">
        <v>44237</v>
      </c>
      <c r="B356">
        <v>7.3200000000000001E-4</v>
      </c>
      <c r="C356">
        <v>7.4799999999999997E-4</v>
      </c>
      <c r="D356">
        <v>6.4849999999999999E-4</v>
      </c>
      <c r="E356">
        <v>7.1259999999999997E-4</v>
      </c>
      <c r="F356">
        <v>6507877432</v>
      </c>
      <c r="G356">
        <v>0</v>
      </c>
      <c r="L356" t="s">
        <v>8</v>
      </c>
      <c r="M356" t="s">
        <v>7</v>
      </c>
      <c r="N356" t="s">
        <v>7</v>
      </c>
      <c r="P356">
        <f t="shared" si="969"/>
        <v>0.2884422110552764</v>
      </c>
      <c r="Q356">
        <f t="shared" si="970"/>
        <v>1877146555.7628143</v>
      </c>
      <c r="R356">
        <f t="shared" si="971"/>
        <v>-36180629200.212822</v>
      </c>
      <c r="S356">
        <f t="shared" si="972"/>
        <v>-361806.2920021282</v>
      </c>
      <c r="T356">
        <f t="shared" si="973"/>
        <v>-361.8062920021282</v>
      </c>
    </row>
    <row r="357" spans="1:20" x14ac:dyDescent="0.25">
      <c r="A357" s="5">
        <v>44236</v>
      </c>
      <c r="B357">
        <v>5.3649999999999998E-4</v>
      </c>
      <c r="C357">
        <v>9.6699999999999998E-4</v>
      </c>
      <c r="D357">
        <v>5.1999999999999995E-4</v>
      </c>
      <c r="E357">
        <v>7.3550000000000004E-4</v>
      </c>
      <c r="F357">
        <v>28198478500</v>
      </c>
      <c r="G357">
        <v>0</v>
      </c>
      <c r="L357" t="s">
        <v>7</v>
      </c>
      <c r="M357" t="s">
        <v>8</v>
      </c>
      <c r="N357" t="s">
        <v>8</v>
      </c>
      <c r="P357">
        <f t="shared" si="969"/>
        <v>-3.5794183445189809E-2</v>
      </c>
      <c r="Q357">
        <f t="shared" si="970"/>
        <v>-1009341512.3042407</v>
      </c>
      <c r="R357">
        <f t="shared" si="971"/>
        <v>-38057775755.975639</v>
      </c>
      <c r="S357">
        <f t="shared" si="972"/>
        <v>-380577.7575597564</v>
      </c>
      <c r="T357">
        <f t="shared" si="973"/>
        <v>-380.57775755975638</v>
      </c>
    </row>
    <row r="358" spans="1:20" x14ac:dyDescent="0.25">
      <c r="A358" s="5">
        <v>44235</v>
      </c>
      <c r="B358">
        <v>4.2850000000000001E-4</v>
      </c>
      <c r="C358">
        <v>5.777E-4</v>
      </c>
      <c r="D358">
        <v>4.2099999999999999E-4</v>
      </c>
      <c r="E358">
        <v>5.3649999999999998E-4</v>
      </c>
      <c r="F358">
        <v>8257982836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0.47415443522654727</v>
      </c>
      <c r="Q358">
        <f t="shared" si="970"/>
        <v>3915559187.7141013</v>
      </c>
      <c r="R358">
        <f t="shared" si="971"/>
        <v>-37048434243.671402</v>
      </c>
      <c r="S358">
        <f t="shared" si="972"/>
        <v>-370484.34243671404</v>
      </c>
      <c r="T358">
        <f t="shared" si="973"/>
        <v>-370.48434243671403</v>
      </c>
    </row>
    <row r="359" spans="1:20" x14ac:dyDescent="0.25">
      <c r="A359" s="5">
        <v>44234</v>
      </c>
      <c r="B359">
        <v>4.417E-4</v>
      </c>
      <c r="C359">
        <v>4.55E-4</v>
      </c>
      <c r="D359">
        <v>4.0989999999999999E-4</v>
      </c>
      <c r="E359">
        <v>4.2850000000000001E-4</v>
      </c>
      <c r="F359">
        <v>2222936612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-0.17516629711751602</v>
      </c>
      <c r="Q359">
        <f t="shared" si="970"/>
        <v>-389383575.05099642</v>
      </c>
      <c r="R359">
        <f t="shared" si="971"/>
        <v>-40963993431.385506</v>
      </c>
      <c r="S359">
        <f t="shared" si="972"/>
        <v>-409639.93431385508</v>
      </c>
      <c r="T359">
        <f t="shared" si="973"/>
        <v>-409.63993431385506</v>
      </c>
    </row>
    <row r="360" spans="1:20" x14ac:dyDescent="0.25">
      <c r="A360" s="5">
        <v>44233</v>
      </c>
      <c r="B360">
        <v>4.7409999999999998E-4</v>
      </c>
      <c r="C360">
        <v>4.8000000000000001E-4</v>
      </c>
      <c r="D360">
        <v>4.2069999999999998E-4</v>
      </c>
      <c r="E360">
        <v>4.417E-4</v>
      </c>
      <c r="F360">
        <v>2730089599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-0.29173693086003333</v>
      </c>
      <c r="Q360">
        <f t="shared" si="970"/>
        <v>-796467960.58515906</v>
      </c>
      <c r="R360">
        <f t="shared" si="971"/>
        <v>-40574609856.334511</v>
      </c>
      <c r="S360">
        <f t="shared" si="972"/>
        <v>-405746.09856334509</v>
      </c>
      <c r="T360">
        <f t="shared" si="973"/>
        <v>-405.74609856334507</v>
      </c>
    </row>
    <row r="361" spans="1:20" x14ac:dyDescent="0.25">
      <c r="A361" s="5">
        <v>44232</v>
      </c>
      <c r="B361">
        <v>4.2260000000000003E-4</v>
      </c>
      <c r="C361">
        <v>4.8859999999999995E-4</v>
      </c>
      <c r="D361">
        <v>4.0000000000000002E-4</v>
      </c>
      <c r="E361">
        <v>4.7419999999999998E-4</v>
      </c>
      <c r="F361">
        <v>5639263338</v>
      </c>
      <c r="G361">
        <v>0</v>
      </c>
      <c r="L361" t="s">
        <v>7</v>
      </c>
      <c r="M361" t="s">
        <v>8</v>
      </c>
      <c r="N361" t="s">
        <v>8</v>
      </c>
      <c r="P361">
        <f t="shared" si="969"/>
        <v>0.67494356659142252</v>
      </c>
      <c r="Q361">
        <f t="shared" si="970"/>
        <v>3806184510.2979708</v>
      </c>
      <c r="R361">
        <f t="shared" si="971"/>
        <v>-39778141895.749352</v>
      </c>
      <c r="S361">
        <f t="shared" si="972"/>
        <v>-397781.4189574935</v>
      </c>
      <c r="T361">
        <f t="shared" si="973"/>
        <v>-397.78141895749349</v>
      </c>
    </row>
    <row r="362" spans="1:20" x14ac:dyDescent="0.25">
      <c r="A362" s="5">
        <v>44231</v>
      </c>
      <c r="B362">
        <v>4.5800000000000002E-4</v>
      </c>
      <c r="C362">
        <v>5.0000000000000001E-4</v>
      </c>
      <c r="D362">
        <v>4.0700000000000003E-4</v>
      </c>
      <c r="E362">
        <v>4.2069999999999998E-4</v>
      </c>
      <c r="F362">
        <v>5930527356</v>
      </c>
      <c r="G362">
        <v>0</v>
      </c>
      <c r="L362" t="s">
        <v>8</v>
      </c>
      <c r="M362" t="s">
        <v>7</v>
      </c>
      <c r="N362" t="s">
        <v>8</v>
      </c>
      <c r="P362">
        <f t="shared" si="969"/>
        <v>-0.70537634408602246</v>
      </c>
      <c r="Q362">
        <f t="shared" si="970"/>
        <v>-4183253704.8774252</v>
      </c>
      <c r="R362">
        <f t="shared" si="971"/>
        <v>-43584326406.047325</v>
      </c>
      <c r="S362">
        <f t="shared" si="972"/>
        <v>-435843.26406047324</v>
      </c>
      <c r="T362">
        <f t="shared" si="973"/>
        <v>-435.84326406047325</v>
      </c>
    </row>
    <row r="363" spans="1:20" x14ac:dyDescent="0.25">
      <c r="A363" s="5">
        <v>44230</v>
      </c>
      <c r="B363">
        <v>3.6210000000000002E-4</v>
      </c>
      <c r="C363">
        <v>4.794E-4</v>
      </c>
      <c r="D363">
        <v>3.5510000000000001E-4</v>
      </c>
      <c r="E363">
        <v>4.5790000000000002E-4</v>
      </c>
      <c r="F363">
        <v>9983377366</v>
      </c>
      <c r="G363">
        <v>0</v>
      </c>
      <c r="L363" t="s">
        <v>7</v>
      </c>
      <c r="M363" t="s">
        <v>8</v>
      </c>
      <c r="N363" t="s">
        <v>8</v>
      </c>
      <c r="P363">
        <f t="shared" si="969"/>
        <v>0.65406275140788439</v>
      </c>
      <c r="Q363">
        <f t="shared" si="970"/>
        <v>6529755268.3491573</v>
      </c>
      <c r="R363">
        <f t="shared" si="971"/>
        <v>-39401072701.169899</v>
      </c>
      <c r="S363">
        <f t="shared" si="972"/>
        <v>-394010.727011699</v>
      </c>
      <c r="T363">
        <f t="shared" si="973"/>
        <v>-394.01072701169898</v>
      </c>
    </row>
    <row r="364" spans="1:20" x14ac:dyDescent="0.25">
      <c r="A364" s="5">
        <v>44229</v>
      </c>
      <c r="B364">
        <v>3.4929999999999998E-4</v>
      </c>
      <c r="C364">
        <v>3.9869999999999999E-4</v>
      </c>
      <c r="D364">
        <v>3.48E-4</v>
      </c>
      <c r="E364">
        <v>3.5780000000000002E-4</v>
      </c>
      <c r="F364">
        <v>3521530334</v>
      </c>
      <c r="G364">
        <v>0</v>
      </c>
      <c r="L364" t="s">
        <v>8</v>
      </c>
      <c r="M364" t="s">
        <v>7</v>
      </c>
      <c r="N364" t="s">
        <v>7</v>
      </c>
      <c r="P364">
        <f t="shared" si="969"/>
        <v>-0.61341222879684321</v>
      </c>
      <c r="Q364">
        <f t="shared" si="970"/>
        <v>-2160149770.9546318</v>
      </c>
      <c r="R364">
        <f t="shared" si="971"/>
        <v>-45930827969.519058</v>
      </c>
      <c r="S364">
        <f t="shared" si="972"/>
        <v>-459308.27969519061</v>
      </c>
      <c r="T364">
        <f t="shared" si="973"/>
        <v>-459.30827969519061</v>
      </c>
    </row>
    <row r="365" spans="1:20" x14ac:dyDescent="0.25">
      <c r="A365" s="5">
        <v>44228</v>
      </c>
      <c r="B365">
        <v>3.611E-4</v>
      </c>
      <c r="C365">
        <v>3.6420000000000002E-4</v>
      </c>
      <c r="D365">
        <v>3.3379999999999998E-4</v>
      </c>
      <c r="E365">
        <v>3.4949999999999998E-4</v>
      </c>
      <c r="F365">
        <v>2372605066</v>
      </c>
      <c r="G365">
        <v>0</v>
      </c>
      <c r="L365" t="s">
        <v>7</v>
      </c>
      <c r="M365" t="s">
        <v>7</v>
      </c>
      <c r="N365" t="s">
        <v>7</v>
      </c>
      <c r="P365">
        <f t="shared" si="969"/>
        <v>3.2894736842104241E-2</v>
      </c>
      <c r="Q365">
        <f t="shared" si="970"/>
        <v>78046219.276313365</v>
      </c>
      <c r="R365">
        <f t="shared" si="971"/>
        <v>-43770678198.56443</v>
      </c>
      <c r="S365">
        <f t="shared" si="972"/>
        <v>-437706.78198564431</v>
      </c>
      <c r="T365">
        <f t="shared" si="973"/>
        <v>-437.70678198564428</v>
      </c>
    </row>
    <row r="366" spans="1:20" x14ac:dyDescent="0.25">
      <c r="A366" s="5">
        <v>44227</v>
      </c>
      <c r="B366">
        <v>3.8240000000000003E-4</v>
      </c>
      <c r="C366">
        <v>4.1179999999999998E-4</v>
      </c>
      <c r="D366">
        <v>3.501E-4</v>
      </c>
      <c r="E366">
        <v>3.613E-4</v>
      </c>
      <c r="F366">
        <v>4190064837</v>
      </c>
      <c r="G366">
        <v>0</v>
      </c>
      <c r="L366" t="s">
        <v>8</v>
      </c>
      <c r="M366" t="s">
        <v>7</v>
      </c>
      <c r="N366" t="s">
        <v>7</v>
      </c>
      <c r="P366">
        <f t="shared" si="969"/>
        <v>-0.63695299837925434</v>
      </c>
      <c r="Q366">
        <f t="shared" si="970"/>
        <v>-2668874361.3306317</v>
      </c>
      <c r="R366">
        <f t="shared" si="971"/>
        <v>-43848724417.840744</v>
      </c>
      <c r="S366">
        <f t="shared" si="972"/>
        <v>-438487.24417840742</v>
      </c>
      <c r="T366">
        <f t="shared" si="973"/>
        <v>-438.48724417840742</v>
      </c>
    </row>
    <row r="367" spans="1:20" x14ac:dyDescent="0.25">
      <c r="A367" s="5">
        <v>44226</v>
      </c>
      <c r="B367">
        <v>3.2689999999999998E-4</v>
      </c>
      <c r="C367">
        <v>5.999E-4</v>
      </c>
      <c r="D367">
        <v>3.1950000000000001E-4</v>
      </c>
      <c r="E367">
        <v>3.8010000000000002E-4</v>
      </c>
      <c r="F367">
        <v>23678236729</v>
      </c>
      <c r="G367">
        <v>0</v>
      </c>
      <c r="L367" t="s">
        <v>7</v>
      </c>
      <c r="M367" t="s">
        <v>8</v>
      </c>
      <c r="N367" t="s">
        <v>8</v>
      </c>
      <c r="P367">
        <f t="shared" si="969"/>
        <v>-0.56776034236804551</v>
      </c>
      <c r="Q367">
        <f t="shared" si="970"/>
        <v>-13443563791.928671</v>
      </c>
      <c r="R367">
        <f t="shared" si="971"/>
        <v>-41179850056.510109</v>
      </c>
      <c r="S367">
        <f t="shared" si="972"/>
        <v>-411798.5005651011</v>
      </c>
      <c r="T367">
        <f t="shared" si="973"/>
        <v>-411.79850056510111</v>
      </c>
    </row>
    <row r="368" spans="1:20" x14ac:dyDescent="0.25">
      <c r="A368" s="5">
        <v>44225</v>
      </c>
      <c r="B368">
        <v>2.8580000000000001E-4</v>
      </c>
      <c r="C368">
        <v>3.3359999999999998E-4</v>
      </c>
      <c r="D368">
        <v>2.7960000000000002E-4</v>
      </c>
      <c r="E368">
        <v>3.2509999999999999E-4</v>
      </c>
      <c r="F368">
        <v>4456113238</v>
      </c>
      <c r="G368">
        <v>0</v>
      </c>
      <c r="L368" t="s">
        <v>8</v>
      </c>
      <c r="M368" t="s">
        <v>8</v>
      </c>
      <c r="N368" t="s">
        <v>8</v>
      </c>
      <c r="P368">
        <f t="shared" si="969"/>
        <v>0.68518518518518534</v>
      </c>
      <c r="Q368">
        <f t="shared" si="970"/>
        <v>3053262774.1851859</v>
      </c>
      <c r="R368">
        <f t="shared" si="971"/>
        <v>-27736286264.58144</v>
      </c>
      <c r="S368">
        <f t="shared" si="972"/>
        <v>-277362.86264581443</v>
      </c>
      <c r="T368">
        <f t="shared" si="973"/>
        <v>-277.3628626458144</v>
      </c>
    </row>
    <row r="369" spans="1:20" x14ac:dyDescent="0.25">
      <c r="A369" s="5">
        <v>44224</v>
      </c>
      <c r="B369">
        <v>2.7040000000000001E-4</v>
      </c>
      <c r="C369">
        <v>2.9789999999999998E-4</v>
      </c>
      <c r="D369">
        <v>2.6640000000000002E-4</v>
      </c>
      <c r="E369">
        <v>2.8360000000000001E-4</v>
      </c>
      <c r="F369">
        <v>1675472740</v>
      </c>
      <c r="G369">
        <v>0</v>
      </c>
      <c r="L369" t="s">
        <v>7</v>
      </c>
      <c r="M369" t="s">
        <v>7</v>
      </c>
      <c r="N369" t="s">
        <v>8</v>
      </c>
      <c r="P369">
        <f t="shared" si="969"/>
        <v>9.2063492063492722E-2</v>
      </c>
      <c r="Q369">
        <f t="shared" si="970"/>
        <v>154249871.30158842</v>
      </c>
      <c r="R369">
        <f t="shared" si="971"/>
        <v>-30789549038.766624</v>
      </c>
      <c r="S369">
        <f t="shared" si="972"/>
        <v>-307895.49038766627</v>
      </c>
      <c r="T369">
        <f t="shared" si="973"/>
        <v>-307.89549038766626</v>
      </c>
    </row>
    <row r="370" spans="1:20" x14ac:dyDescent="0.25">
      <c r="A370" s="5">
        <v>44223</v>
      </c>
      <c r="B370">
        <v>2.9050000000000001E-4</v>
      </c>
      <c r="C370">
        <v>2.9159999999999999E-4</v>
      </c>
      <c r="D370">
        <v>2.5799999999999998E-4</v>
      </c>
      <c r="E370">
        <v>2.7099999999999997E-4</v>
      </c>
      <c r="F370">
        <v>770229027</v>
      </c>
      <c r="G370">
        <v>0</v>
      </c>
      <c r="L370" t="s">
        <v>8</v>
      </c>
      <c r="M370" t="s">
        <v>7</v>
      </c>
      <c r="N370" t="s">
        <v>8</v>
      </c>
      <c r="P370">
        <f t="shared" si="969"/>
        <v>-0.22619047619047683</v>
      </c>
      <c r="Q370">
        <f t="shared" si="970"/>
        <v>-174218470.39285764</v>
      </c>
      <c r="R370">
        <f t="shared" si="971"/>
        <v>-30943798910.068214</v>
      </c>
      <c r="S370">
        <f t="shared" si="972"/>
        <v>-309437.98910068214</v>
      </c>
      <c r="T370">
        <f t="shared" si="973"/>
        <v>-309.43798910068216</v>
      </c>
    </row>
    <row r="371" spans="1:20" x14ac:dyDescent="0.25">
      <c r="A371" s="5">
        <v>44222</v>
      </c>
      <c r="B371">
        <v>2.8699999999999998E-4</v>
      </c>
      <c r="C371">
        <v>2.9500000000000001E-4</v>
      </c>
      <c r="D371">
        <v>2.7250000000000001E-4</v>
      </c>
      <c r="E371">
        <v>2.9050000000000001E-4</v>
      </c>
      <c r="F371">
        <v>657062909</v>
      </c>
      <c r="G371">
        <v>0</v>
      </c>
      <c r="L371" t="s">
        <v>7</v>
      </c>
      <c r="M371" t="s">
        <v>8</v>
      </c>
      <c r="N371" t="s">
        <v>8</v>
      </c>
      <c r="P371">
        <f t="shared" si="969"/>
        <v>0.6</v>
      </c>
      <c r="Q371">
        <f t="shared" si="970"/>
        <v>394237745.39999998</v>
      </c>
      <c r="R371">
        <f t="shared" si="971"/>
        <v>-30769580439.675358</v>
      </c>
      <c r="S371">
        <f t="shared" si="972"/>
        <v>-307695.80439675361</v>
      </c>
      <c r="T371">
        <f t="shared" si="973"/>
        <v>-307.6958043967536</v>
      </c>
    </row>
    <row r="372" spans="1:20" x14ac:dyDescent="0.25">
      <c r="A372" s="5">
        <v>44221</v>
      </c>
      <c r="B372">
        <v>2.9839999999999999E-4</v>
      </c>
      <c r="C372">
        <v>3.0640000000000002E-4</v>
      </c>
      <c r="D372">
        <v>2.8489999999999999E-4</v>
      </c>
      <c r="E372">
        <v>2.8709999999999999E-4</v>
      </c>
      <c r="F372">
        <v>996055116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-0.79534883720930272</v>
      </c>
      <c r="Q372">
        <f t="shared" si="970"/>
        <v>-792211278.30697715</v>
      </c>
      <c r="R372">
        <f t="shared" si="971"/>
        <v>-31163818185.075359</v>
      </c>
      <c r="S372">
        <f t="shared" si="972"/>
        <v>-311638.18185075361</v>
      </c>
      <c r="T372">
        <f t="shared" si="973"/>
        <v>-311.6381818507536</v>
      </c>
    </row>
    <row r="373" spans="1:20" x14ac:dyDescent="0.25">
      <c r="A373" s="5">
        <v>44220</v>
      </c>
      <c r="B373">
        <v>2.72E-4</v>
      </c>
      <c r="C373">
        <v>3.0679999999999998E-4</v>
      </c>
      <c r="D373">
        <v>2.7179999999999999E-4</v>
      </c>
      <c r="E373">
        <v>2.9839999999999999E-4</v>
      </c>
      <c r="F373">
        <v>1678337170</v>
      </c>
      <c r="G373">
        <v>0</v>
      </c>
      <c r="L373" t="s">
        <v>7</v>
      </c>
      <c r="M373" t="s">
        <v>8</v>
      </c>
      <c r="N373" t="s">
        <v>8</v>
      </c>
      <c r="P373">
        <f t="shared" si="969"/>
        <v>0.52000000000000046</v>
      </c>
      <c r="Q373">
        <f t="shared" si="970"/>
        <v>872735328.40000081</v>
      </c>
      <c r="R373">
        <f t="shared" si="971"/>
        <v>-30371606906.768383</v>
      </c>
      <c r="S373">
        <f t="shared" si="972"/>
        <v>-303716.06906768383</v>
      </c>
      <c r="T373">
        <f t="shared" si="973"/>
        <v>-303.7160690676838</v>
      </c>
    </row>
    <row r="374" spans="1:20" x14ac:dyDescent="0.25">
      <c r="A374" s="5">
        <v>44219</v>
      </c>
      <c r="B374">
        <v>2.7409999999999999E-4</v>
      </c>
      <c r="C374">
        <v>2.9040000000000001E-4</v>
      </c>
      <c r="D374">
        <v>2.676E-4</v>
      </c>
      <c r="E374">
        <v>2.72E-4</v>
      </c>
      <c r="F374">
        <v>1183879952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-0.6140350877192986</v>
      </c>
      <c r="Q374">
        <f t="shared" si="970"/>
        <v>-726943830.175439</v>
      </c>
      <c r="R374">
        <f t="shared" si="971"/>
        <v>-31244342235.168385</v>
      </c>
      <c r="S374">
        <f t="shared" si="972"/>
        <v>-312443.42235168384</v>
      </c>
      <c r="T374">
        <f t="shared" si="973"/>
        <v>-312.44342235168386</v>
      </c>
    </row>
    <row r="375" spans="1:20" x14ac:dyDescent="0.25">
      <c r="A375" s="5">
        <v>44218</v>
      </c>
      <c r="B375">
        <v>2.6340000000000001E-4</v>
      </c>
      <c r="C375">
        <v>2.7999999999999998E-4</v>
      </c>
      <c r="D375">
        <v>2.431E-4</v>
      </c>
      <c r="E375">
        <v>2.7270000000000001E-4</v>
      </c>
      <c r="F375">
        <v>984657380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0.60433604336043545</v>
      </c>
      <c r="Q375">
        <f t="shared" si="970"/>
        <v>595063945.09485281</v>
      </c>
      <c r="R375">
        <f t="shared" si="971"/>
        <v>-30517398404.992947</v>
      </c>
      <c r="S375">
        <f t="shared" si="972"/>
        <v>-305173.98404992948</v>
      </c>
      <c r="T375">
        <f t="shared" si="973"/>
        <v>-305.17398404992946</v>
      </c>
    </row>
    <row r="376" spans="1:20" x14ac:dyDescent="0.25">
      <c r="A376" s="5">
        <v>44217</v>
      </c>
      <c r="B376">
        <v>3.0190000000000002E-4</v>
      </c>
      <c r="C376">
        <v>3.0190000000000002E-4</v>
      </c>
      <c r="D376">
        <v>2.5930000000000001E-4</v>
      </c>
      <c r="E376">
        <v>2.6340000000000001E-4</v>
      </c>
      <c r="F376">
        <v>1221647329</v>
      </c>
      <c r="G376">
        <v>0</v>
      </c>
      <c r="L376" t="s">
        <v>8</v>
      </c>
      <c r="M376" t="s">
        <v>7</v>
      </c>
      <c r="N376" t="s">
        <v>8</v>
      </c>
      <c r="P376">
        <f t="shared" si="969"/>
        <v>-0.80751173708920232</v>
      </c>
      <c r="Q376">
        <f t="shared" si="970"/>
        <v>-986494556.75117421</v>
      </c>
      <c r="R376">
        <f t="shared" si="971"/>
        <v>-31112462350.087799</v>
      </c>
      <c r="S376">
        <f t="shared" si="972"/>
        <v>-311124.62350087799</v>
      </c>
      <c r="T376">
        <f t="shared" si="973"/>
        <v>-311.12462350087799</v>
      </c>
    </row>
    <row r="377" spans="1:20" x14ac:dyDescent="0.25">
      <c r="A377" s="5">
        <v>44216</v>
      </c>
      <c r="B377">
        <v>2.9389999999999999E-4</v>
      </c>
      <c r="C377">
        <v>3.0279999999999999E-4</v>
      </c>
      <c r="D377">
        <v>2.853E-4</v>
      </c>
      <c r="E377">
        <v>3.0190000000000002E-4</v>
      </c>
      <c r="F377">
        <v>1293271086</v>
      </c>
      <c r="G377">
        <v>0</v>
      </c>
      <c r="L377" t="s">
        <v>7</v>
      </c>
      <c r="M377" t="s">
        <v>8</v>
      </c>
      <c r="N377" t="s">
        <v>8</v>
      </c>
      <c r="P377">
        <f t="shared" si="969"/>
        <v>0.89714285714286079</v>
      </c>
      <c r="Q377">
        <f t="shared" si="970"/>
        <v>1160248917.1542904</v>
      </c>
      <c r="R377">
        <f t="shared" si="971"/>
        <v>-30125967793.336624</v>
      </c>
      <c r="S377">
        <f t="shared" si="972"/>
        <v>-301259.67793336621</v>
      </c>
      <c r="T377">
        <f t="shared" si="973"/>
        <v>-301.25967793336622</v>
      </c>
    </row>
    <row r="378" spans="1:20" x14ac:dyDescent="0.25">
      <c r="A378" s="5">
        <v>44215</v>
      </c>
      <c r="B378">
        <v>3.0299999999999999E-4</v>
      </c>
      <c r="C378">
        <v>3.1090000000000002E-4</v>
      </c>
      <c r="D378">
        <v>2.8880000000000003E-4</v>
      </c>
      <c r="E378">
        <v>2.9460000000000001E-4</v>
      </c>
      <c r="F378">
        <v>1431839340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-0.47511312217194757</v>
      </c>
      <c r="Q378">
        <f t="shared" si="970"/>
        <v>-680285659.27602077</v>
      </c>
      <c r="R378">
        <f t="shared" si="971"/>
        <v>-31286216710.490913</v>
      </c>
      <c r="S378">
        <f t="shared" si="972"/>
        <v>-312862.16710490914</v>
      </c>
      <c r="T378">
        <f t="shared" si="973"/>
        <v>-312.86216710490913</v>
      </c>
    </row>
    <row r="379" spans="1:20" x14ac:dyDescent="0.25">
      <c r="A379" s="5">
        <v>44214</v>
      </c>
      <c r="B379">
        <v>2.9169999999999999E-4</v>
      </c>
      <c r="C379">
        <v>3.0729999999999999E-4</v>
      </c>
      <c r="D379">
        <v>2.8479999999999998E-4</v>
      </c>
      <c r="E379">
        <v>3.0299999999999999E-4</v>
      </c>
      <c r="F379">
        <v>1597698269</v>
      </c>
      <c r="G379">
        <v>0</v>
      </c>
      <c r="L379" t="s">
        <v>7</v>
      </c>
      <c r="M379" t="s">
        <v>8</v>
      </c>
      <c r="N379" t="s">
        <v>8</v>
      </c>
      <c r="P379">
        <f t="shared" si="969"/>
        <v>0.6177777777777782</v>
      </c>
      <c r="Q379">
        <f t="shared" si="970"/>
        <v>987022486.18222284</v>
      </c>
      <c r="R379">
        <f t="shared" si="971"/>
        <v>-30605931051.214893</v>
      </c>
      <c r="S379">
        <f t="shared" si="972"/>
        <v>-306059.31051214895</v>
      </c>
      <c r="T379">
        <f t="shared" si="973"/>
        <v>-306.05931051214895</v>
      </c>
    </row>
    <row r="380" spans="1:20" x14ac:dyDescent="0.25">
      <c r="A380" s="5">
        <v>44213</v>
      </c>
      <c r="B380">
        <v>3.0239999999999998E-4</v>
      </c>
      <c r="C380">
        <v>3.3E-4</v>
      </c>
      <c r="D380">
        <v>2.8509999999999999E-4</v>
      </c>
      <c r="E380">
        <v>2.9080000000000002E-4</v>
      </c>
      <c r="F380">
        <v>2756088621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-0.74610244988864016</v>
      </c>
      <c r="Q380">
        <f t="shared" si="970"/>
        <v>-2056324472.2383039</v>
      </c>
      <c r="R380">
        <f t="shared" si="971"/>
        <v>-31592953537.397118</v>
      </c>
      <c r="S380">
        <f t="shared" si="972"/>
        <v>-315929.53537397116</v>
      </c>
      <c r="T380">
        <f t="shared" si="973"/>
        <v>-315.92953537397113</v>
      </c>
    </row>
    <row r="381" spans="1:20" x14ac:dyDescent="0.25">
      <c r="A381" s="5">
        <v>44212</v>
      </c>
      <c r="B381">
        <v>2.6410000000000002E-4</v>
      </c>
      <c r="C381">
        <v>3.2380000000000001E-4</v>
      </c>
      <c r="D381">
        <v>2.5470000000000001E-4</v>
      </c>
      <c r="E381">
        <v>3.0239999999999998E-4</v>
      </c>
      <c r="F381">
        <v>3222029481</v>
      </c>
      <c r="G381">
        <v>0</v>
      </c>
      <c r="L381" t="s">
        <v>7</v>
      </c>
      <c r="M381" t="s">
        <v>8</v>
      </c>
      <c r="N381" t="s">
        <v>7</v>
      </c>
      <c r="P381">
        <f t="shared" si="969"/>
        <v>0.38060781476121469</v>
      </c>
      <c r="Q381">
        <f t="shared" si="970"/>
        <v>1226329599.8596208</v>
      </c>
      <c r="R381">
        <f t="shared" si="971"/>
        <v>-29536629065.158813</v>
      </c>
      <c r="S381">
        <f t="shared" si="972"/>
        <v>-295366.29065158812</v>
      </c>
      <c r="T381">
        <f t="shared" si="973"/>
        <v>-295.36629065158814</v>
      </c>
    </row>
    <row r="382" spans="1:20" x14ac:dyDescent="0.25">
      <c r="A382" s="5">
        <v>44211</v>
      </c>
      <c r="B382">
        <v>2.7129999999999998E-4</v>
      </c>
      <c r="C382">
        <v>2.742E-4</v>
      </c>
      <c r="D382">
        <v>2.433E-4</v>
      </c>
      <c r="E382">
        <v>2.6360000000000001E-4</v>
      </c>
      <c r="F382">
        <v>1247076799</v>
      </c>
      <c r="G382">
        <v>0</v>
      </c>
      <c r="L382" t="s">
        <v>8</v>
      </c>
      <c r="M382" t="s">
        <v>7</v>
      </c>
      <c r="N382" t="s">
        <v>7</v>
      </c>
      <c r="P382">
        <f t="shared" si="969"/>
        <v>0.31391585760517871</v>
      </c>
      <c r="Q382">
        <f t="shared" si="970"/>
        <v>391477182.85760605</v>
      </c>
      <c r="R382">
        <f t="shared" si="971"/>
        <v>-30762958665.018433</v>
      </c>
      <c r="S382">
        <f t="shared" si="972"/>
        <v>-307629.5866501843</v>
      </c>
      <c r="T382">
        <f t="shared" si="973"/>
        <v>-307.62958665018431</v>
      </c>
    </row>
    <row r="383" spans="1:20" x14ac:dyDescent="0.25">
      <c r="A383" s="5">
        <v>44210</v>
      </c>
      <c r="B383">
        <v>2.6390000000000002E-4</v>
      </c>
      <c r="C383">
        <v>2.9999999999999997E-4</v>
      </c>
      <c r="D383">
        <v>2.5999999999999998E-4</v>
      </c>
      <c r="E383">
        <v>2.7119999999999998E-4</v>
      </c>
      <c r="F383">
        <v>1399150739</v>
      </c>
      <c r="G383">
        <v>0</v>
      </c>
      <c r="L383" t="s">
        <v>7</v>
      </c>
      <c r="M383" t="s">
        <v>8</v>
      </c>
      <c r="N383" t="s">
        <v>7</v>
      </c>
      <c r="P383">
        <f t="shared" si="969"/>
        <v>-0.43999999999999989</v>
      </c>
      <c r="Q383">
        <f t="shared" si="970"/>
        <v>-615626325.15999985</v>
      </c>
      <c r="R383">
        <f t="shared" si="971"/>
        <v>-31154435847.876038</v>
      </c>
      <c r="S383">
        <f t="shared" si="972"/>
        <v>-311544.3584787604</v>
      </c>
      <c r="T383">
        <f t="shared" si="973"/>
        <v>-311.54435847876039</v>
      </c>
    </row>
    <row r="384" spans="1:20" x14ac:dyDescent="0.25">
      <c r="A384" s="5">
        <v>44209</v>
      </c>
      <c r="B384">
        <v>2.5149999999999999E-4</v>
      </c>
      <c r="C384">
        <v>2.6800000000000001E-4</v>
      </c>
      <c r="D384">
        <v>2.3890000000000001E-4</v>
      </c>
      <c r="E384">
        <v>2.6380000000000002E-4</v>
      </c>
      <c r="F384">
        <v>1044915093</v>
      </c>
      <c r="G384">
        <v>0</v>
      </c>
      <c r="L384" t="s">
        <v>8</v>
      </c>
      <c r="M384" t="s">
        <v>7</v>
      </c>
      <c r="N384" t="s">
        <v>7</v>
      </c>
      <c r="P384">
        <f t="shared" si="969"/>
        <v>0.71134020618556748</v>
      </c>
      <c r="Q384">
        <f t="shared" si="970"/>
        <v>743290117.70103145</v>
      </c>
      <c r="R384">
        <f t="shared" si="971"/>
        <v>-30538809522.716038</v>
      </c>
      <c r="S384">
        <f t="shared" si="972"/>
        <v>-305388.09522716037</v>
      </c>
      <c r="T384">
        <f t="shared" si="973"/>
        <v>-305.38809522716036</v>
      </c>
    </row>
    <row r="385" spans="1:20" x14ac:dyDescent="0.25">
      <c r="A385" s="5">
        <v>44208</v>
      </c>
      <c r="B385">
        <v>2.5799999999999998E-4</v>
      </c>
      <c r="C385">
        <v>2.879E-4</v>
      </c>
      <c r="D385">
        <v>2.475E-4</v>
      </c>
      <c r="E385">
        <v>2.522E-4</v>
      </c>
      <c r="F385">
        <v>1316896573</v>
      </c>
      <c r="G385">
        <v>0</v>
      </c>
      <c r="L385" t="s">
        <v>7</v>
      </c>
      <c r="M385" t="s">
        <v>8</v>
      </c>
      <c r="N385" t="s">
        <v>7</v>
      </c>
      <c r="P385">
        <f t="shared" si="969"/>
        <v>-0.76732673267326712</v>
      </c>
      <c r="Q385">
        <f t="shared" si="970"/>
        <v>-1010489944.6287127</v>
      </c>
      <c r="R385">
        <f t="shared" si="971"/>
        <v>-31282099640.417068</v>
      </c>
      <c r="S385">
        <f t="shared" si="972"/>
        <v>-312820.9964041707</v>
      </c>
      <c r="T385">
        <f t="shared" si="973"/>
        <v>-312.82099640417067</v>
      </c>
    </row>
    <row r="386" spans="1:20" x14ac:dyDescent="0.25">
      <c r="A386" s="5">
        <v>44207</v>
      </c>
      <c r="B386">
        <v>3.1270000000000001E-4</v>
      </c>
      <c r="C386">
        <v>3.1270000000000001E-4</v>
      </c>
      <c r="D386">
        <v>2.3130000000000001E-4</v>
      </c>
      <c r="E386">
        <v>2.5779999999999998E-4</v>
      </c>
      <c r="F386">
        <v>1570067292</v>
      </c>
      <c r="G386">
        <v>0</v>
      </c>
      <c r="L386" t="s">
        <v>8</v>
      </c>
      <c r="M386" t="s">
        <v>7</v>
      </c>
      <c r="N386" t="s">
        <v>7</v>
      </c>
      <c r="P386">
        <f t="shared" si="969"/>
        <v>-0.34889434889434973</v>
      </c>
      <c r="Q386">
        <f t="shared" si="970"/>
        <v>-547787605.56265485</v>
      </c>
      <c r="R386">
        <f t="shared" si="971"/>
        <v>-30271609695.788357</v>
      </c>
      <c r="S386">
        <f t="shared" si="972"/>
        <v>-302716.09695788356</v>
      </c>
      <c r="T386">
        <f t="shared" si="973"/>
        <v>-302.71609695788356</v>
      </c>
    </row>
    <row r="387" spans="1:20" x14ac:dyDescent="0.25">
      <c r="A387" s="5">
        <v>44206</v>
      </c>
      <c r="B387">
        <v>3.1139999999999998E-4</v>
      </c>
      <c r="C387">
        <v>3.5970000000000002E-4</v>
      </c>
      <c r="D387">
        <v>2.6820000000000001E-4</v>
      </c>
      <c r="E387">
        <v>3.1379999999999998E-4</v>
      </c>
      <c r="F387">
        <v>3137724750</v>
      </c>
      <c r="G387">
        <v>0</v>
      </c>
      <c r="L387" t="s">
        <v>7</v>
      </c>
      <c r="M387" t="s">
        <v>7</v>
      </c>
      <c r="N387" t="s">
        <v>7</v>
      </c>
      <c r="P387">
        <f t="shared" si="969"/>
        <v>-3.2786885245908361E-3</v>
      </c>
      <c r="Q387">
        <f t="shared" si="970"/>
        <v>-10287622.13114965</v>
      </c>
      <c r="R387">
        <f t="shared" si="971"/>
        <v>-29723822090.2257</v>
      </c>
      <c r="S387">
        <f t="shared" si="972"/>
        <v>-297238.22090225702</v>
      </c>
      <c r="T387">
        <f t="shared" si="973"/>
        <v>-297.23822090225701</v>
      </c>
    </row>
    <row r="388" spans="1:20" x14ac:dyDescent="0.25">
      <c r="A388" s="5">
        <v>44205</v>
      </c>
      <c r="B388">
        <v>2.6850000000000002E-4</v>
      </c>
      <c r="C388">
        <v>4.2700000000000002E-4</v>
      </c>
      <c r="D388">
        <v>2.6850000000000002E-4</v>
      </c>
      <c r="E388">
        <v>3.1149999999999998E-4</v>
      </c>
      <c r="F388">
        <v>11816322479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-0.45741324921135695</v>
      </c>
      <c r="Q388">
        <f t="shared" si="970"/>
        <v>-5404942458.8485861</v>
      </c>
      <c r="R388">
        <f t="shared" si="971"/>
        <v>-29713534468.094551</v>
      </c>
      <c r="S388">
        <f t="shared" si="972"/>
        <v>-297135.34468094551</v>
      </c>
      <c r="T388">
        <f t="shared" si="973"/>
        <v>-297.13534468094548</v>
      </c>
    </row>
    <row r="389" spans="1:20" x14ac:dyDescent="0.25">
      <c r="A389" s="5">
        <v>44204</v>
      </c>
      <c r="B389">
        <v>2.4449999999999998E-4</v>
      </c>
      <c r="C389">
        <v>2.9999999999999997E-4</v>
      </c>
      <c r="D389">
        <v>2.243E-4</v>
      </c>
      <c r="E389">
        <v>2.6929999999999999E-4</v>
      </c>
      <c r="F389">
        <v>2221588077</v>
      </c>
      <c r="G389">
        <v>0</v>
      </c>
      <c r="L389" t="s">
        <v>7</v>
      </c>
      <c r="M389" t="s">
        <v>8</v>
      </c>
      <c r="N389" t="s">
        <v>8</v>
      </c>
      <c r="P389">
        <f t="shared" si="969"/>
        <v>0.18890356671070013</v>
      </c>
      <c r="Q389">
        <f t="shared" si="970"/>
        <v>419665911.50726551</v>
      </c>
      <c r="R389">
        <f t="shared" si="971"/>
        <v>-24308592009.245964</v>
      </c>
      <c r="S389">
        <f t="shared" si="972"/>
        <v>-243085.92009245965</v>
      </c>
      <c r="T389">
        <f t="shared" si="973"/>
        <v>-243.08592009245965</v>
      </c>
    </row>
    <row r="390" spans="1:20" x14ac:dyDescent="0.25">
      <c r="A390" s="5">
        <v>44203</v>
      </c>
      <c r="B390">
        <v>2.3130000000000001E-4</v>
      </c>
      <c r="C390">
        <v>2.5999999999999998E-4</v>
      </c>
      <c r="D390">
        <v>2.254E-4</v>
      </c>
      <c r="E390">
        <v>2.4399999999999999E-4</v>
      </c>
      <c r="F390">
        <v>1589442897</v>
      </c>
      <c r="G390">
        <v>0</v>
      </c>
      <c r="L390" t="s">
        <v>8</v>
      </c>
      <c r="M390" t="s">
        <v>8</v>
      </c>
      <c r="N390" t="s">
        <v>7</v>
      </c>
      <c r="P390">
        <f t="shared" ref="P390:P453" si="974">IF(C390=D390,0,((E390-D390)-(C390-E390))/(C390-D390))</f>
        <v>7.5144508670520554E-2</v>
      </c>
      <c r="Q390">
        <f t="shared" ref="Q390:Q453" si="975">F390*P390</f>
        <v>119437905.5549138</v>
      </c>
      <c r="R390">
        <f t="shared" ref="R390:R453" si="976">R391+Q390</f>
        <v>-24728257920.753231</v>
      </c>
      <c r="S390">
        <f t="shared" ref="S390:S453" si="977">R390/100000</f>
        <v>-247282.57920753231</v>
      </c>
      <c r="T390">
        <f t="shared" ref="T390:T453" si="978">S390/1000</f>
        <v>-247.28257920753231</v>
      </c>
    </row>
    <row r="391" spans="1:20" x14ac:dyDescent="0.25">
      <c r="A391" s="5">
        <v>44202</v>
      </c>
      <c r="B391">
        <v>2.1379999999999999E-4</v>
      </c>
      <c r="C391">
        <v>2.33E-4</v>
      </c>
      <c r="D391">
        <v>2.117E-4</v>
      </c>
      <c r="E391">
        <v>2.3269999999999999E-4</v>
      </c>
      <c r="F391">
        <v>1110470795</v>
      </c>
      <c r="G391">
        <v>0</v>
      </c>
      <c r="L391" t="s">
        <v>7</v>
      </c>
      <c r="M391" t="s">
        <v>8</v>
      </c>
      <c r="N391" t="s">
        <v>7</v>
      </c>
      <c r="P391">
        <f t="shared" si="974"/>
        <v>0.97183098591549233</v>
      </c>
      <c r="Q391">
        <f t="shared" si="975"/>
        <v>1079189927.5352106</v>
      </c>
      <c r="R391">
        <f t="shared" si="976"/>
        <v>-24847695826.308144</v>
      </c>
      <c r="S391">
        <f t="shared" si="977"/>
        <v>-248476.95826308144</v>
      </c>
      <c r="T391">
        <f t="shared" si="978"/>
        <v>-248.47695826308143</v>
      </c>
    </row>
    <row r="392" spans="1:20" x14ac:dyDescent="0.25">
      <c r="A392" s="5">
        <v>44201</v>
      </c>
      <c r="B392">
        <v>2.195E-4</v>
      </c>
      <c r="C392">
        <v>2.275E-4</v>
      </c>
      <c r="D392">
        <v>2.0990000000000001E-4</v>
      </c>
      <c r="E392">
        <v>2.14E-4</v>
      </c>
      <c r="F392">
        <v>722204012</v>
      </c>
      <c r="G392">
        <v>0</v>
      </c>
      <c r="L392" t="s">
        <v>8</v>
      </c>
      <c r="M392" t="s">
        <v>8</v>
      </c>
      <c r="N392" t="s">
        <v>7</v>
      </c>
      <c r="P392">
        <f t="shared" si="974"/>
        <v>-0.53409090909090995</v>
      </c>
      <c r="Q392">
        <f t="shared" si="975"/>
        <v>-385722597.31818241</v>
      </c>
      <c r="R392">
        <f t="shared" si="976"/>
        <v>-25926885753.843353</v>
      </c>
      <c r="S392">
        <f t="shared" si="977"/>
        <v>-259268.85753843354</v>
      </c>
      <c r="T392">
        <f t="shared" si="978"/>
        <v>-259.26885753843356</v>
      </c>
    </row>
    <row r="393" spans="1:20" x14ac:dyDescent="0.25">
      <c r="A393" s="5">
        <v>44200</v>
      </c>
      <c r="B393">
        <v>2.2000000000000001E-4</v>
      </c>
      <c r="C393">
        <v>2.3690000000000001E-4</v>
      </c>
      <c r="D393">
        <v>2.05E-4</v>
      </c>
      <c r="E393">
        <v>2.1900000000000001E-4</v>
      </c>
      <c r="F393">
        <v>1225452505</v>
      </c>
      <c r="G393">
        <v>0</v>
      </c>
      <c r="L393" t="s">
        <v>7</v>
      </c>
      <c r="M393" t="s">
        <v>8</v>
      </c>
      <c r="N393" t="s">
        <v>7</v>
      </c>
      <c r="P393">
        <f t="shared" si="974"/>
        <v>-0.12225705329153556</v>
      </c>
      <c r="Q393">
        <f t="shared" si="975"/>
        <v>-149820212.21003076</v>
      </c>
      <c r="R393">
        <f t="shared" si="976"/>
        <v>-25541163156.525169</v>
      </c>
      <c r="S393">
        <f t="shared" si="977"/>
        <v>-255411.63156525171</v>
      </c>
      <c r="T393">
        <f t="shared" si="978"/>
        <v>-255.4116315652517</v>
      </c>
    </row>
    <row r="394" spans="1:20" x14ac:dyDescent="0.25">
      <c r="A394" s="5">
        <v>44199</v>
      </c>
      <c r="B394">
        <v>2.041E-4</v>
      </c>
      <c r="C394">
        <v>2.2000000000000001E-4</v>
      </c>
      <c r="D394">
        <v>2.008E-4</v>
      </c>
      <c r="E394">
        <v>2.1990000000000001E-4</v>
      </c>
      <c r="F394">
        <v>968596841</v>
      </c>
      <c r="G394">
        <v>0</v>
      </c>
      <c r="L394" t="s">
        <v>8</v>
      </c>
      <c r="M394" t="s">
        <v>8</v>
      </c>
      <c r="N394" t="s">
        <v>7</v>
      </c>
      <c r="P394">
        <f t="shared" si="974"/>
        <v>0.98958333333333304</v>
      </c>
      <c r="Q394">
        <f t="shared" si="975"/>
        <v>958507290.57291639</v>
      </c>
      <c r="R394">
        <f t="shared" si="976"/>
        <v>-25391342944.31514</v>
      </c>
      <c r="S394">
        <f t="shared" si="977"/>
        <v>-253913.4294431514</v>
      </c>
      <c r="T394">
        <f t="shared" si="978"/>
        <v>-253.91342944315139</v>
      </c>
    </row>
    <row r="395" spans="1:20" x14ac:dyDescent="0.25">
      <c r="A395" s="5">
        <v>44198</v>
      </c>
      <c r="B395">
        <v>1.9330000000000001E-4</v>
      </c>
      <c r="C395">
        <v>2.399E-4</v>
      </c>
      <c r="D395">
        <v>1.9330000000000001E-4</v>
      </c>
      <c r="E395">
        <v>2.0350000000000001E-4</v>
      </c>
      <c r="F395">
        <v>1634099854</v>
      </c>
      <c r="G395">
        <v>0</v>
      </c>
      <c r="L395" t="s">
        <v>7</v>
      </c>
      <c r="M395" t="s">
        <v>8</v>
      </c>
      <c r="N395" t="s">
        <v>7</v>
      </c>
      <c r="P395">
        <f t="shared" si="974"/>
        <v>-0.56223175965665217</v>
      </c>
      <c r="Q395">
        <f t="shared" si="975"/>
        <v>-918742836.36909842</v>
      </c>
      <c r="R395">
        <f t="shared" si="976"/>
        <v>-26349850234.888058</v>
      </c>
      <c r="S395">
        <f t="shared" si="977"/>
        <v>-263498.50234888057</v>
      </c>
      <c r="T395">
        <f t="shared" si="978"/>
        <v>-263.49850234888055</v>
      </c>
    </row>
    <row r="396" spans="1:20" x14ac:dyDescent="0.25">
      <c r="A396" s="5">
        <v>44197</v>
      </c>
      <c r="B396">
        <v>1.8760000000000001E-4</v>
      </c>
      <c r="C396">
        <v>2.0359999999999999E-4</v>
      </c>
      <c r="D396">
        <v>1.8359999999999999E-4</v>
      </c>
      <c r="E396">
        <v>1.9330000000000001E-4</v>
      </c>
      <c r="F396">
        <v>855373508</v>
      </c>
      <c r="G396">
        <v>0</v>
      </c>
      <c r="L396" t="s">
        <v>8</v>
      </c>
      <c r="M396" t="s">
        <v>7</v>
      </c>
      <c r="N396" t="s">
        <v>7</v>
      </c>
      <c r="P396">
        <f t="shared" si="974"/>
        <v>-2.9999999999998021E-2</v>
      </c>
      <c r="Q396">
        <f t="shared" si="975"/>
        <v>-25661205.239998307</v>
      </c>
      <c r="R396">
        <f t="shared" si="976"/>
        <v>-25431107398.518959</v>
      </c>
      <c r="S396">
        <f t="shared" si="977"/>
        <v>-254311.07398518958</v>
      </c>
      <c r="T396">
        <f t="shared" si="978"/>
        <v>-254.31107398518958</v>
      </c>
    </row>
    <row r="397" spans="1:20" x14ac:dyDescent="0.25">
      <c r="A397" s="5">
        <v>44196</v>
      </c>
      <c r="B397">
        <v>1.951E-4</v>
      </c>
      <c r="C397">
        <v>1.9870000000000001E-4</v>
      </c>
      <c r="D397">
        <v>1.8259999999999999E-4</v>
      </c>
      <c r="E397">
        <v>1.8900000000000001E-4</v>
      </c>
      <c r="F397">
        <v>620106725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-0.20496894409937697</v>
      </c>
      <c r="Q397">
        <f t="shared" si="975"/>
        <v>-127102620.65217273</v>
      </c>
      <c r="R397">
        <f t="shared" si="976"/>
        <v>-25405446193.278961</v>
      </c>
      <c r="S397">
        <f t="shared" si="977"/>
        <v>-254054.46193278962</v>
      </c>
      <c r="T397">
        <f t="shared" si="978"/>
        <v>-254.05446193278962</v>
      </c>
    </row>
    <row r="398" spans="1:20" x14ac:dyDescent="0.25">
      <c r="A398" s="5">
        <v>44195</v>
      </c>
      <c r="B398">
        <v>2.0259999999999999E-4</v>
      </c>
      <c r="C398">
        <v>2.1000000000000001E-4</v>
      </c>
      <c r="D398">
        <v>1.9000000000000001E-4</v>
      </c>
      <c r="E398">
        <v>1.962E-4</v>
      </c>
      <c r="F398">
        <v>556361631</v>
      </c>
      <c r="G398">
        <v>0</v>
      </c>
      <c r="L398" t="s">
        <v>8</v>
      </c>
      <c r="M398" t="s">
        <v>7</v>
      </c>
      <c r="N398" t="s">
        <v>7</v>
      </c>
      <c r="P398">
        <f t="shared" si="974"/>
        <v>-0.38000000000000111</v>
      </c>
      <c r="Q398">
        <f t="shared" si="975"/>
        <v>-211417419.78000063</v>
      </c>
      <c r="R398">
        <f t="shared" si="976"/>
        <v>-25278343572.626789</v>
      </c>
      <c r="S398">
        <f t="shared" si="977"/>
        <v>-252783.4357262679</v>
      </c>
      <c r="T398">
        <f t="shared" si="978"/>
        <v>-252.7834357262679</v>
      </c>
    </row>
    <row r="399" spans="1:20" x14ac:dyDescent="0.25">
      <c r="A399" s="5">
        <v>44194</v>
      </c>
      <c r="B399">
        <v>2.173E-4</v>
      </c>
      <c r="C399">
        <v>2.1900000000000001E-4</v>
      </c>
      <c r="D399">
        <v>1.963E-4</v>
      </c>
      <c r="E399">
        <v>2.0249999999999999E-4</v>
      </c>
      <c r="F399">
        <v>582257075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-0.45374449339207179</v>
      </c>
      <c r="Q399">
        <f t="shared" si="975"/>
        <v>-264195941.51982453</v>
      </c>
      <c r="R399">
        <f t="shared" si="976"/>
        <v>-25066926152.84679</v>
      </c>
      <c r="S399">
        <f t="shared" si="977"/>
        <v>-250669.26152846791</v>
      </c>
      <c r="T399">
        <f t="shared" si="978"/>
        <v>-250.6692615284679</v>
      </c>
    </row>
    <row r="400" spans="1:20" x14ac:dyDescent="0.25">
      <c r="A400" s="5">
        <v>44193</v>
      </c>
      <c r="B400">
        <v>2.1609999999999999E-4</v>
      </c>
      <c r="C400">
        <v>2.288E-4</v>
      </c>
      <c r="D400">
        <v>2.1450000000000001E-4</v>
      </c>
      <c r="E400">
        <v>2.1689999999999999E-4</v>
      </c>
      <c r="F400">
        <v>519890290</v>
      </c>
      <c r="G400">
        <v>0</v>
      </c>
      <c r="L400" t="s">
        <v>8</v>
      </c>
      <c r="M400" t="s">
        <v>7</v>
      </c>
      <c r="N400" t="s">
        <v>7</v>
      </c>
      <c r="P400">
        <f t="shared" si="974"/>
        <v>-0.66433566433566749</v>
      </c>
      <c r="Q400">
        <f t="shared" si="975"/>
        <v>-345381661.18881285</v>
      </c>
      <c r="R400">
        <f t="shared" si="976"/>
        <v>-24802730211.326965</v>
      </c>
      <c r="S400">
        <f t="shared" si="977"/>
        <v>-248027.30211326966</v>
      </c>
      <c r="T400">
        <f t="shared" si="978"/>
        <v>-248.02730211326966</v>
      </c>
    </row>
    <row r="401" spans="1:20" x14ac:dyDescent="0.25">
      <c r="A401" s="5">
        <v>44192</v>
      </c>
      <c r="B401">
        <v>2.096E-4</v>
      </c>
      <c r="C401">
        <v>2.2000000000000001E-4</v>
      </c>
      <c r="D401">
        <v>2.0269999999999999E-4</v>
      </c>
      <c r="E401">
        <v>2.162E-4</v>
      </c>
      <c r="F401">
        <v>747629062</v>
      </c>
      <c r="G401">
        <v>0</v>
      </c>
      <c r="L401" t="s">
        <v>7</v>
      </c>
      <c r="M401" t="s">
        <v>7</v>
      </c>
      <c r="N401" t="s">
        <v>7</v>
      </c>
      <c r="P401">
        <f t="shared" si="974"/>
        <v>0.56069364161849622</v>
      </c>
      <c r="Q401">
        <f t="shared" si="975"/>
        <v>419190861.35260051</v>
      </c>
      <c r="R401">
        <f t="shared" si="976"/>
        <v>-24457348550.138153</v>
      </c>
      <c r="S401">
        <f t="shared" si="977"/>
        <v>-244573.48550138154</v>
      </c>
      <c r="T401">
        <f t="shared" si="978"/>
        <v>-244.57348550138153</v>
      </c>
    </row>
    <row r="402" spans="1:20" x14ac:dyDescent="0.25">
      <c r="A402" s="5">
        <v>44191</v>
      </c>
      <c r="B402">
        <v>2.1579999999999999E-4</v>
      </c>
      <c r="C402">
        <v>2.165E-4</v>
      </c>
      <c r="D402">
        <v>2.039E-4</v>
      </c>
      <c r="E402">
        <v>2.0990000000000001E-4</v>
      </c>
      <c r="F402">
        <v>584134228</v>
      </c>
      <c r="G402">
        <v>0</v>
      </c>
      <c r="L402" t="s">
        <v>8</v>
      </c>
      <c r="M402" t="s">
        <v>7</v>
      </c>
      <c r="N402" t="s">
        <v>7</v>
      </c>
      <c r="P402">
        <f t="shared" si="974"/>
        <v>-4.7619047619046596E-2</v>
      </c>
      <c r="Q402">
        <f t="shared" si="975"/>
        <v>-27815915.619047023</v>
      </c>
      <c r="R402">
        <f t="shared" si="976"/>
        <v>-24876539411.490753</v>
      </c>
      <c r="S402">
        <f t="shared" si="977"/>
        <v>-248765.39411490754</v>
      </c>
      <c r="T402">
        <f t="shared" si="978"/>
        <v>-248.76539411490754</v>
      </c>
    </row>
    <row r="403" spans="1:20" x14ac:dyDescent="0.25">
      <c r="A403" s="5">
        <v>44190</v>
      </c>
      <c r="B403">
        <v>2.0460000000000001E-4</v>
      </c>
      <c r="C403">
        <v>2.2130000000000001E-4</v>
      </c>
      <c r="D403">
        <v>2.031E-4</v>
      </c>
      <c r="E403">
        <v>2.1579999999999999E-4</v>
      </c>
      <c r="F403">
        <v>625268761</v>
      </c>
      <c r="G403">
        <v>0</v>
      </c>
      <c r="L403" t="s">
        <v>7</v>
      </c>
      <c r="M403" t="s">
        <v>7</v>
      </c>
      <c r="N403" t="s">
        <v>7</v>
      </c>
      <c r="P403">
        <f t="shared" si="974"/>
        <v>0.39560439560439314</v>
      </c>
      <c r="Q403">
        <f t="shared" si="975"/>
        <v>247359070.28571275</v>
      </c>
      <c r="R403">
        <f t="shared" si="976"/>
        <v>-24848723495.871708</v>
      </c>
      <c r="S403">
        <f t="shared" si="977"/>
        <v>-248487.23495871708</v>
      </c>
      <c r="T403">
        <f t="shared" si="978"/>
        <v>-248.48723495871707</v>
      </c>
    </row>
    <row r="404" spans="1:20" x14ac:dyDescent="0.25">
      <c r="A404" s="5">
        <v>44189</v>
      </c>
      <c r="B404">
        <v>2.0579999999999999E-4</v>
      </c>
      <c r="C404">
        <v>2.1499999999999999E-4</v>
      </c>
      <c r="D404">
        <v>1.9599999999999999E-4</v>
      </c>
      <c r="E404">
        <v>2.0430000000000001E-4</v>
      </c>
      <c r="F404">
        <v>913573917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-0.12631578947368299</v>
      </c>
      <c r="Q404">
        <f t="shared" si="975"/>
        <v>-115398810.56841993</v>
      </c>
      <c r="R404">
        <f t="shared" si="976"/>
        <v>-25096082566.157421</v>
      </c>
      <c r="S404">
        <f t="shared" si="977"/>
        <v>-250960.8256615742</v>
      </c>
      <c r="T404">
        <f t="shared" si="978"/>
        <v>-250.96082566157421</v>
      </c>
    </row>
    <row r="405" spans="1:20" x14ac:dyDescent="0.25">
      <c r="A405" s="5">
        <v>44188</v>
      </c>
      <c r="B405">
        <v>2.3379999999999999E-4</v>
      </c>
      <c r="C405">
        <v>2.407E-4</v>
      </c>
      <c r="D405">
        <v>1.94E-4</v>
      </c>
      <c r="E405">
        <v>2.05E-4</v>
      </c>
      <c r="F405">
        <v>896192878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-0.52890792291220567</v>
      </c>
      <c r="Q405">
        <f t="shared" si="975"/>
        <v>-474003513.63169175</v>
      </c>
      <c r="R405">
        <f t="shared" si="976"/>
        <v>-24980683755.589001</v>
      </c>
      <c r="S405">
        <f t="shared" si="977"/>
        <v>-249806.83755589</v>
      </c>
      <c r="T405">
        <f t="shared" si="978"/>
        <v>-249.80683755589001</v>
      </c>
    </row>
    <row r="406" spans="1:20" x14ac:dyDescent="0.25">
      <c r="A406" s="5">
        <v>44187</v>
      </c>
      <c r="B406">
        <v>2.2680000000000001E-4</v>
      </c>
      <c r="C406">
        <v>2.3939999999999999E-4</v>
      </c>
      <c r="D406">
        <v>2.1230000000000001E-4</v>
      </c>
      <c r="E406">
        <v>2.3379999999999999E-4</v>
      </c>
      <c r="F406">
        <v>801063317</v>
      </c>
      <c r="G406">
        <v>0</v>
      </c>
      <c r="L406" t="s">
        <v>8</v>
      </c>
      <c r="M406" t="s">
        <v>7</v>
      </c>
      <c r="N406" t="s">
        <v>7</v>
      </c>
      <c r="P406">
        <f t="shared" si="974"/>
        <v>0.5867158671586713</v>
      </c>
      <c r="Q406">
        <f t="shared" si="975"/>
        <v>469996558.68265659</v>
      </c>
      <c r="R406">
        <f t="shared" si="976"/>
        <v>-24506680241.95731</v>
      </c>
      <c r="S406">
        <f t="shared" si="977"/>
        <v>-245066.8024195731</v>
      </c>
      <c r="T406">
        <f t="shared" si="978"/>
        <v>-245.06680241957309</v>
      </c>
    </row>
    <row r="407" spans="1:20" x14ac:dyDescent="0.25">
      <c r="A407" s="5">
        <v>44186</v>
      </c>
      <c r="B407">
        <v>2.354E-4</v>
      </c>
      <c r="C407">
        <v>2.4020000000000001E-4</v>
      </c>
      <c r="D407">
        <v>2.1699999999999999E-4</v>
      </c>
      <c r="E407">
        <v>2.2719999999999999E-4</v>
      </c>
      <c r="F407">
        <v>643939762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-0.12068965517241427</v>
      </c>
      <c r="Q407">
        <f t="shared" si="975"/>
        <v>-77716867.827586517</v>
      </c>
      <c r="R407">
        <f t="shared" si="976"/>
        <v>-24976676800.639965</v>
      </c>
      <c r="S407">
        <f t="shared" si="977"/>
        <v>-249766.76800639965</v>
      </c>
      <c r="T407">
        <f t="shared" si="978"/>
        <v>-249.76676800639964</v>
      </c>
    </row>
    <row r="408" spans="1:20" x14ac:dyDescent="0.25">
      <c r="A408" s="5">
        <v>44185</v>
      </c>
      <c r="B408">
        <v>2.399E-4</v>
      </c>
      <c r="C408">
        <v>2.4860000000000003E-4</v>
      </c>
      <c r="D408">
        <v>2.3159999999999999E-4</v>
      </c>
      <c r="E408">
        <v>2.3560000000000001E-4</v>
      </c>
      <c r="F408">
        <v>979793739</v>
      </c>
      <c r="G408">
        <v>0</v>
      </c>
      <c r="L408" t="s">
        <v>8</v>
      </c>
      <c r="M408" t="s">
        <v>8</v>
      </c>
      <c r="N408" t="s">
        <v>7</v>
      </c>
      <c r="P408">
        <f t="shared" si="974"/>
        <v>-0.52941176470588136</v>
      </c>
      <c r="Q408">
        <f t="shared" si="975"/>
        <v>-518714332.41176373</v>
      </c>
      <c r="R408">
        <f t="shared" si="976"/>
        <v>-24898959932.812378</v>
      </c>
      <c r="S408">
        <f t="shared" si="977"/>
        <v>-248989.59932812379</v>
      </c>
      <c r="T408">
        <f t="shared" si="978"/>
        <v>-248.9895993281238</v>
      </c>
    </row>
    <row r="409" spans="1:20" x14ac:dyDescent="0.25">
      <c r="A409" s="5">
        <v>44184</v>
      </c>
      <c r="B409">
        <v>2.4220000000000001E-4</v>
      </c>
      <c r="C409">
        <v>2.455E-4</v>
      </c>
      <c r="D409">
        <v>2.33E-4</v>
      </c>
      <c r="E409">
        <v>2.3910000000000001E-4</v>
      </c>
      <c r="F409">
        <v>810250315</v>
      </c>
      <c r="G409">
        <v>0</v>
      </c>
      <c r="L409" t="s">
        <v>7</v>
      </c>
      <c r="M409" t="s">
        <v>8</v>
      </c>
      <c r="N409" t="s">
        <v>7</v>
      </c>
      <c r="P409">
        <f t="shared" si="974"/>
        <v>-2.3999999999998405E-2</v>
      </c>
      <c r="Q409">
        <f t="shared" si="975"/>
        <v>-19446007.559998706</v>
      </c>
      <c r="R409">
        <f t="shared" si="976"/>
        <v>-24380245600.400616</v>
      </c>
      <c r="S409">
        <f t="shared" si="977"/>
        <v>-243802.45600400615</v>
      </c>
      <c r="T409">
        <f t="shared" si="978"/>
        <v>-243.80245600400616</v>
      </c>
    </row>
    <row r="410" spans="1:20" x14ac:dyDescent="0.25">
      <c r="A410" s="5">
        <v>44183</v>
      </c>
      <c r="B410">
        <v>2.274E-4</v>
      </c>
      <c r="C410">
        <v>2.5999999999999998E-4</v>
      </c>
      <c r="D410">
        <v>2.253E-4</v>
      </c>
      <c r="E410">
        <v>2.4220000000000001E-4</v>
      </c>
      <c r="F410">
        <v>2112280770</v>
      </c>
      <c r="G410">
        <v>0</v>
      </c>
      <c r="L410" t="s">
        <v>8</v>
      </c>
      <c r="M410" t="s">
        <v>8</v>
      </c>
      <c r="N410" t="s">
        <v>7</v>
      </c>
      <c r="P410">
        <f t="shared" si="974"/>
        <v>-2.5936599423630208E-2</v>
      </c>
      <c r="Q410">
        <f t="shared" si="975"/>
        <v>-54785380.201727174</v>
      </c>
      <c r="R410">
        <f t="shared" si="976"/>
        <v>-24360799592.840618</v>
      </c>
      <c r="S410">
        <f t="shared" si="977"/>
        <v>-243607.99592840619</v>
      </c>
      <c r="T410">
        <f t="shared" si="978"/>
        <v>-243.60799592840618</v>
      </c>
    </row>
    <row r="411" spans="1:20" x14ac:dyDescent="0.25">
      <c r="A411" s="5">
        <v>44182</v>
      </c>
      <c r="B411">
        <v>2.1000000000000001E-4</v>
      </c>
      <c r="C411">
        <v>2.3470000000000001E-4</v>
      </c>
      <c r="D411">
        <v>2.1000000000000001E-4</v>
      </c>
      <c r="E411">
        <v>2.274E-4</v>
      </c>
      <c r="F411">
        <v>1892401560</v>
      </c>
      <c r="G411">
        <v>0</v>
      </c>
      <c r="L411" t="s">
        <v>7</v>
      </c>
      <c r="M411" t="s">
        <v>7</v>
      </c>
      <c r="N411" t="s">
        <v>7</v>
      </c>
      <c r="P411">
        <f t="shared" si="974"/>
        <v>0.40890688259109204</v>
      </c>
      <c r="Q411">
        <f t="shared" si="975"/>
        <v>773816022.51011944</v>
      </c>
      <c r="R411">
        <f t="shared" si="976"/>
        <v>-24306014212.638889</v>
      </c>
      <c r="S411">
        <f t="shared" si="977"/>
        <v>-243060.14212638891</v>
      </c>
      <c r="T411">
        <f t="shared" si="978"/>
        <v>-243.06014212638891</v>
      </c>
    </row>
    <row r="412" spans="1:20" x14ac:dyDescent="0.25">
      <c r="A412" s="5">
        <v>44181</v>
      </c>
      <c r="B412">
        <v>2.108E-4</v>
      </c>
      <c r="C412">
        <v>2.12E-4</v>
      </c>
      <c r="D412">
        <v>2.0259999999999999E-4</v>
      </c>
      <c r="E412">
        <v>2.098E-4</v>
      </c>
      <c r="F412">
        <v>775554010</v>
      </c>
      <c r="G412">
        <v>0</v>
      </c>
      <c r="L412" t="s">
        <v>8</v>
      </c>
      <c r="M412" t="s">
        <v>7</v>
      </c>
      <c r="N412" t="s">
        <v>7</v>
      </c>
      <c r="P412">
        <f t="shared" si="974"/>
        <v>0.53191489361702204</v>
      </c>
      <c r="Q412">
        <f t="shared" si="975"/>
        <v>412528728.72340482</v>
      </c>
      <c r="R412">
        <f t="shared" si="976"/>
        <v>-25079830235.14901</v>
      </c>
      <c r="S412">
        <f t="shared" si="977"/>
        <v>-250798.3023514901</v>
      </c>
      <c r="T412">
        <f t="shared" si="978"/>
        <v>-250.79830235149009</v>
      </c>
    </row>
    <row r="413" spans="1:20" x14ac:dyDescent="0.25">
      <c r="A413" s="5">
        <v>44180</v>
      </c>
      <c r="B413">
        <v>2.109E-4</v>
      </c>
      <c r="C413">
        <v>2.1670000000000001E-4</v>
      </c>
      <c r="D413">
        <v>2.0550000000000001E-4</v>
      </c>
      <c r="E413">
        <v>2.108E-4</v>
      </c>
      <c r="F413">
        <v>536815214</v>
      </c>
      <c r="G413">
        <v>0</v>
      </c>
      <c r="L413" t="s">
        <v>7</v>
      </c>
      <c r="M413" t="s">
        <v>7</v>
      </c>
      <c r="N413" t="s">
        <v>7</v>
      </c>
      <c r="P413">
        <f t="shared" si="974"/>
        <v>-5.3571428571429866E-2</v>
      </c>
      <c r="Q413">
        <f t="shared" si="975"/>
        <v>-28757957.892857838</v>
      </c>
      <c r="R413">
        <f t="shared" si="976"/>
        <v>-25492358963.872414</v>
      </c>
      <c r="S413">
        <f t="shared" si="977"/>
        <v>-254923.58963872414</v>
      </c>
      <c r="T413">
        <f t="shared" si="978"/>
        <v>-254.92358963872414</v>
      </c>
    </row>
    <row r="414" spans="1:20" x14ac:dyDescent="0.25">
      <c r="A414" s="5">
        <v>44179</v>
      </c>
      <c r="B414">
        <v>2.1359999999999999E-4</v>
      </c>
      <c r="C414">
        <v>2.31E-4</v>
      </c>
      <c r="D414">
        <v>2.053E-4</v>
      </c>
      <c r="E414">
        <v>2.1130000000000001E-4</v>
      </c>
      <c r="F414">
        <v>1333193642</v>
      </c>
      <c r="G414">
        <v>0</v>
      </c>
      <c r="L414" t="s">
        <v>8</v>
      </c>
      <c r="M414" t="s">
        <v>7</v>
      </c>
      <c r="N414" t="s">
        <v>7</v>
      </c>
      <c r="P414">
        <f t="shared" si="974"/>
        <v>-0.53307392996108871</v>
      </c>
      <c r="Q414">
        <f t="shared" si="975"/>
        <v>-710690774.14007676</v>
      </c>
      <c r="R414">
        <f t="shared" si="976"/>
        <v>-25463601005.979557</v>
      </c>
      <c r="S414">
        <f t="shared" si="977"/>
        <v>-254636.01005979558</v>
      </c>
      <c r="T414">
        <f t="shared" si="978"/>
        <v>-254.63601005979558</v>
      </c>
    </row>
    <row r="415" spans="1:20" x14ac:dyDescent="0.25">
      <c r="A415" s="5">
        <v>44178</v>
      </c>
      <c r="B415">
        <v>2.0379999999999999E-4</v>
      </c>
      <c r="C415">
        <v>2.165E-4</v>
      </c>
      <c r="D415">
        <v>2.0340000000000001E-4</v>
      </c>
      <c r="E415">
        <v>2.1359999999999999E-4</v>
      </c>
      <c r="F415">
        <v>696834174</v>
      </c>
      <c r="G415">
        <v>0</v>
      </c>
      <c r="L415" t="s">
        <v>7</v>
      </c>
      <c r="M415" t="s">
        <v>7</v>
      </c>
      <c r="N415" t="s">
        <v>7</v>
      </c>
      <c r="P415">
        <f t="shared" si="974"/>
        <v>0.55725190839694383</v>
      </c>
      <c r="Q415">
        <f t="shared" si="975"/>
        <v>388312173.29770803</v>
      </c>
      <c r="R415">
        <f t="shared" si="976"/>
        <v>-24752910231.839481</v>
      </c>
      <c r="S415">
        <f t="shared" si="977"/>
        <v>-247529.10231839481</v>
      </c>
      <c r="T415">
        <f t="shared" si="978"/>
        <v>-247.52910231839482</v>
      </c>
    </row>
    <row r="416" spans="1:20" x14ac:dyDescent="0.25">
      <c r="A416" s="5">
        <v>44177</v>
      </c>
      <c r="B416">
        <v>2.0599999999999999E-4</v>
      </c>
      <c r="C416">
        <v>2.1489999999999999E-4</v>
      </c>
      <c r="D416">
        <v>2.0239999999999999E-4</v>
      </c>
      <c r="E416">
        <v>2.0350000000000001E-4</v>
      </c>
      <c r="F416">
        <v>613773510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-0.82399999999999585</v>
      </c>
      <c r="Q416">
        <f t="shared" si="975"/>
        <v>-505749372.23999745</v>
      </c>
      <c r="R416">
        <f t="shared" si="976"/>
        <v>-25141222405.137188</v>
      </c>
      <c r="S416">
        <f t="shared" si="977"/>
        <v>-251412.22405137189</v>
      </c>
      <c r="T416">
        <f t="shared" si="978"/>
        <v>-251.41222405137188</v>
      </c>
    </row>
    <row r="417" spans="1:20" x14ac:dyDescent="0.25">
      <c r="A417" s="5">
        <v>44176</v>
      </c>
      <c r="B417">
        <v>2.1770000000000001E-4</v>
      </c>
      <c r="C417">
        <v>2.1780000000000001E-4</v>
      </c>
      <c r="D417">
        <v>2.0100000000000001E-4</v>
      </c>
      <c r="E417">
        <v>2.0680000000000001E-4</v>
      </c>
      <c r="F417">
        <v>673034785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-0.30952380952380892</v>
      </c>
      <c r="Q417">
        <f t="shared" si="975"/>
        <v>-208320290.5952377</v>
      </c>
      <c r="R417">
        <f t="shared" si="976"/>
        <v>-24635473032.89719</v>
      </c>
      <c r="S417">
        <f t="shared" si="977"/>
        <v>-246354.7303289719</v>
      </c>
      <c r="T417">
        <f t="shared" si="978"/>
        <v>-246.3547303289719</v>
      </c>
    </row>
    <row r="418" spans="1:20" x14ac:dyDescent="0.25">
      <c r="A418" s="5">
        <v>44175</v>
      </c>
      <c r="B418">
        <v>2.3010000000000001E-4</v>
      </c>
      <c r="C418">
        <v>2.3010000000000001E-4</v>
      </c>
      <c r="D418">
        <v>2.13E-4</v>
      </c>
      <c r="E418">
        <v>2.164E-4</v>
      </c>
      <c r="F418">
        <v>423173995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-0.60233918128654973</v>
      </c>
      <c r="Q418">
        <f t="shared" si="975"/>
        <v>-254894277.6900585</v>
      </c>
      <c r="R418">
        <f t="shared" si="976"/>
        <v>-24427152742.301952</v>
      </c>
      <c r="S418">
        <f t="shared" si="977"/>
        <v>-244271.52742301952</v>
      </c>
      <c r="T418">
        <f t="shared" si="978"/>
        <v>-244.27152742301953</v>
      </c>
    </row>
    <row r="419" spans="1:20" x14ac:dyDescent="0.25">
      <c r="A419" s="5">
        <v>44174</v>
      </c>
      <c r="B419">
        <v>2.1900000000000001E-4</v>
      </c>
      <c r="C419">
        <v>2.3670000000000001E-4</v>
      </c>
      <c r="D419">
        <v>2.129E-4</v>
      </c>
      <c r="E419">
        <v>2.288E-4</v>
      </c>
      <c r="F419">
        <v>755149679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0.33613445378151269</v>
      </c>
      <c r="Q419">
        <f t="shared" si="975"/>
        <v>253831824.87394965</v>
      </c>
      <c r="R419">
        <f t="shared" si="976"/>
        <v>-24172258464.611893</v>
      </c>
      <c r="S419">
        <f t="shared" si="977"/>
        <v>-241722.58464611892</v>
      </c>
      <c r="T419">
        <f t="shared" si="978"/>
        <v>-241.72258464611892</v>
      </c>
    </row>
    <row r="420" spans="1:20" x14ac:dyDescent="0.25">
      <c r="A420" s="5">
        <v>44173</v>
      </c>
      <c r="B420">
        <v>2.5109999999999998E-4</v>
      </c>
      <c r="C420">
        <v>2.5999999999999998E-4</v>
      </c>
      <c r="D420">
        <v>2.164E-4</v>
      </c>
      <c r="E420">
        <v>2.2000000000000001E-4</v>
      </c>
      <c r="F420">
        <v>1340509752</v>
      </c>
      <c r="G420">
        <v>0</v>
      </c>
      <c r="L420" t="s">
        <v>8</v>
      </c>
      <c r="M420" t="s">
        <v>7</v>
      </c>
      <c r="N420" t="s">
        <v>7</v>
      </c>
      <c r="P420">
        <f t="shared" si="974"/>
        <v>-0.83486238532110058</v>
      </c>
      <c r="Q420">
        <f t="shared" si="975"/>
        <v>-1119141169.1009169</v>
      </c>
      <c r="R420">
        <f t="shared" si="976"/>
        <v>-24426090289.485844</v>
      </c>
      <c r="S420">
        <f t="shared" si="977"/>
        <v>-244260.90289485845</v>
      </c>
      <c r="T420">
        <f t="shared" si="978"/>
        <v>-244.26090289485845</v>
      </c>
    </row>
    <row r="421" spans="1:20" x14ac:dyDescent="0.25">
      <c r="A421" s="5">
        <v>44172</v>
      </c>
      <c r="B421">
        <v>2.4620000000000002E-4</v>
      </c>
      <c r="C421">
        <v>2.6820000000000001E-4</v>
      </c>
      <c r="D421">
        <v>2.4010000000000001E-4</v>
      </c>
      <c r="E421">
        <v>2.5179999999999999E-4</v>
      </c>
      <c r="F421">
        <v>1136673972</v>
      </c>
      <c r="G421">
        <v>0</v>
      </c>
      <c r="L421" t="s">
        <v>7</v>
      </c>
      <c r="M421" t="s">
        <v>8</v>
      </c>
      <c r="N421" t="s">
        <v>7</v>
      </c>
      <c r="P421">
        <f t="shared" si="974"/>
        <v>-0.16725978647686945</v>
      </c>
      <c r="Q421">
        <f t="shared" si="975"/>
        <v>-190119845.85053509</v>
      </c>
      <c r="R421">
        <f t="shared" si="976"/>
        <v>-23306949120.384926</v>
      </c>
      <c r="S421">
        <f t="shared" si="977"/>
        <v>-233069.49120384926</v>
      </c>
      <c r="T421">
        <f t="shared" si="978"/>
        <v>-233.06949120384925</v>
      </c>
    </row>
    <row r="422" spans="1:20" x14ac:dyDescent="0.25">
      <c r="A422" s="5">
        <v>44171</v>
      </c>
      <c r="B422">
        <v>2.3450000000000001E-4</v>
      </c>
      <c r="C422">
        <v>2.4869999999999997E-4</v>
      </c>
      <c r="D422">
        <v>2.3000000000000001E-4</v>
      </c>
      <c r="E422">
        <v>2.43E-4</v>
      </c>
      <c r="F422">
        <v>508174365</v>
      </c>
      <c r="G422">
        <v>0</v>
      </c>
      <c r="L422" t="s">
        <v>8</v>
      </c>
      <c r="M422" t="s">
        <v>7</v>
      </c>
      <c r="N422" t="s">
        <v>7</v>
      </c>
      <c r="P422">
        <f t="shared" si="974"/>
        <v>0.39037433155080364</v>
      </c>
      <c r="Q422">
        <f t="shared" si="975"/>
        <v>198378228.04812911</v>
      </c>
      <c r="R422">
        <f t="shared" si="976"/>
        <v>-23116829274.534389</v>
      </c>
      <c r="S422">
        <f t="shared" si="977"/>
        <v>-231168.2927453439</v>
      </c>
      <c r="T422">
        <f t="shared" si="978"/>
        <v>-231.1682927453439</v>
      </c>
    </row>
    <row r="423" spans="1:20" x14ac:dyDescent="0.25">
      <c r="A423" s="5">
        <v>44170</v>
      </c>
      <c r="B423">
        <v>2.2660000000000001E-4</v>
      </c>
      <c r="C423">
        <v>2.365E-4</v>
      </c>
      <c r="D423">
        <v>2.2249999999999999E-4</v>
      </c>
      <c r="E423">
        <v>2.3450000000000001E-4</v>
      </c>
      <c r="F423">
        <v>527057281</v>
      </c>
      <c r="G423">
        <v>0</v>
      </c>
      <c r="L423" t="s">
        <v>7</v>
      </c>
      <c r="M423" t="s">
        <v>7</v>
      </c>
      <c r="N423" t="s">
        <v>7</v>
      </c>
      <c r="P423">
        <f t="shared" si="974"/>
        <v>0.71428571428571541</v>
      </c>
      <c r="Q423">
        <f t="shared" si="975"/>
        <v>376469486.428572</v>
      </c>
      <c r="R423">
        <f t="shared" si="976"/>
        <v>-23315207502.58252</v>
      </c>
      <c r="S423">
        <f t="shared" si="977"/>
        <v>-233152.07502582521</v>
      </c>
      <c r="T423">
        <f t="shared" si="978"/>
        <v>-233.15207502582521</v>
      </c>
    </row>
    <row r="424" spans="1:20" x14ac:dyDescent="0.25">
      <c r="A424" s="5">
        <v>44169</v>
      </c>
      <c r="B424">
        <v>2.5530000000000003E-4</v>
      </c>
      <c r="C424">
        <v>2.5700000000000001E-4</v>
      </c>
      <c r="D424">
        <v>2.2120000000000001E-4</v>
      </c>
      <c r="E424">
        <v>2.2660000000000001E-4</v>
      </c>
      <c r="F424">
        <v>1900598268</v>
      </c>
      <c r="G424">
        <v>0</v>
      </c>
      <c r="L424" t="s">
        <v>8</v>
      </c>
      <c r="M424" t="s">
        <v>7</v>
      </c>
      <c r="N424" t="s">
        <v>7</v>
      </c>
      <c r="P424">
        <f t="shared" si="974"/>
        <v>-0.69832402234636892</v>
      </c>
      <c r="Q424">
        <f t="shared" si="975"/>
        <v>-1327233427.3743021</v>
      </c>
      <c r="R424">
        <f t="shared" si="976"/>
        <v>-23691676989.011093</v>
      </c>
      <c r="S424">
        <f t="shared" si="977"/>
        <v>-236916.76989011094</v>
      </c>
      <c r="T424">
        <f t="shared" si="978"/>
        <v>-236.91676989011094</v>
      </c>
    </row>
    <row r="425" spans="1:20" x14ac:dyDescent="0.25">
      <c r="A425" s="5">
        <v>44168</v>
      </c>
      <c r="B425">
        <v>2.286E-4</v>
      </c>
      <c r="C425">
        <v>3.0880000000000002E-4</v>
      </c>
      <c r="D425">
        <v>2.2039999999999999E-4</v>
      </c>
      <c r="E425">
        <v>2.5399999999999999E-4</v>
      </c>
      <c r="F425">
        <v>4166757667</v>
      </c>
      <c r="G425">
        <v>0</v>
      </c>
      <c r="L425" t="s">
        <v>7</v>
      </c>
      <c r="M425" t="s">
        <v>8</v>
      </c>
      <c r="N425" t="s">
        <v>8</v>
      </c>
      <c r="P425">
        <f t="shared" si="974"/>
        <v>-0.23981900452488708</v>
      </c>
      <c r="Q425">
        <f t="shared" si="975"/>
        <v>-999267675.79638088</v>
      </c>
      <c r="R425">
        <f t="shared" si="976"/>
        <v>-22364443561.636791</v>
      </c>
      <c r="S425">
        <f t="shared" si="977"/>
        <v>-223644.4356163679</v>
      </c>
      <c r="T425">
        <f t="shared" si="978"/>
        <v>-223.6444356163679</v>
      </c>
    </row>
    <row r="426" spans="1:20" x14ac:dyDescent="0.25">
      <c r="A426" s="5">
        <v>44167</v>
      </c>
      <c r="B426">
        <v>2.097E-4</v>
      </c>
      <c r="C426">
        <v>2.286E-4</v>
      </c>
      <c r="D426">
        <v>2.0780000000000001E-4</v>
      </c>
      <c r="E426">
        <v>2.284E-4</v>
      </c>
      <c r="F426">
        <v>621667241</v>
      </c>
      <c r="G426">
        <v>0</v>
      </c>
      <c r="L426" t="s">
        <v>8</v>
      </c>
      <c r="M426" t="s">
        <v>8</v>
      </c>
      <c r="N426" t="s">
        <v>8</v>
      </c>
      <c r="P426">
        <f t="shared" si="974"/>
        <v>0.98076923076923028</v>
      </c>
      <c r="Q426">
        <f t="shared" si="975"/>
        <v>609712101.74999964</v>
      </c>
      <c r="R426">
        <f t="shared" si="976"/>
        <v>-21365175885.840412</v>
      </c>
      <c r="S426">
        <f t="shared" si="977"/>
        <v>-213651.75885840412</v>
      </c>
      <c r="T426">
        <f t="shared" si="978"/>
        <v>-213.65175885840412</v>
      </c>
    </row>
    <row r="427" spans="1:20" x14ac:dyDescent="0.25">
      <c r="A427" s="5">
        <v>44166</v>
      </c>
      <c r="B427">
        <v>2.242E-4</v>
      </c>
      <c r="C427">
        <v>2.3670000000000001E-4</v>
      </c>
      <c r="D427">
        <v>2.075E-4</v>
      </c>
      <c r="E427">
        <v>2.0880000000000001E-4</v>
      </c>
      <c r="F427">
        <v>1150824042</v>
      </c>
      <c r="G427">
        <v>0</v>
      </c>
      <c r="L427" t="s">
        <v>7</v>
      </c>
      <c r="M427" t="s">
        <v>8</v>
      </c>
      <c r="N427" t="s">
        <v>8</v>
      </c>
      <c r="P427">
        <f t="shared" si="974"/>
        <v>-0.9109589041095888</v>
      </c>
      <c r="Q427">
        <f t="shared" si="975"/>
        <v>-1048353408.1232874</v>
      </c>
      <c r="R427">
        <f t="shared" si="976"/>
        <v>-21974887987.590412</v>
      </c>
      <c r="S427">
        <f t="shared" si="977"/>
        <v>-219748.87987590412</v>
      </c>
      <c r="T427">
        <f t="shared" si="978"/>
        <v>-219.74887987590412</v>
      </c>
    </row>
    <row r="428" spans="1:20" x14ac:dyDescent="0.25">
      <c r="A428" s="5">
        <v>44165</v>
      </c>
      <c r="B428">
        <v>2.1599999999999999E-4</v>
      </c>
      <c r="C428">
        <v>2.2469999999999999E-4</v>
      </c>
      <c r="D428">
        <v>2.0540000000000001E-4</v>
      </c>
      <c r="E428">
        <v>2.2460000000000001E-4</v>
      </c>
      <c r="F428">
        <v>797911043</v>
      </c>
      <c r="G428">
        <v>0</v>
      </c>
      <c r="L428" t="s">
        <v>8</v>
      </c>
      <c r="M428" t="s">
        <v>8</v>
      </c>
      <c r="N428" t="s">
        <v>8</v>
      </c>
      <c r="P428">
        <f t="shared" si="974"/>
        <v>0.98963730569948438</v>
      </c>
      <c r="Q428">
        <f t="shared" si="975"/>
        <v>789642534.78238547</v>
      </c>
      <c r="R428">
        <f t="shared" si="976"/>
        <v>-20926534579.467125</v>
      </c>
      <c r="S428">
        <f t="shared" si="977"/>
        <v>-209265.34579467124</v>
      </c>
      <c r="T428">
        <f t="shared" si="978"/>
        <v>-209.26534579467125</v>
      </c>
    </row>
    <row r="429" spans="1:20" x14ac:dyDescent="0.25">
      <c r="A429" s="5">
        <v>44164</v>
      </c>
      <c r="B429">
        <v>2.0929999999999999E-4</v>
      </c>
      <c r="C429">
        <v>2.1599999999999999E-4</v>
      </c>
      <c r="D429">
        <v>2.053E-4</v>
      </c>
      <c r="E429">
        <v>2.14E-4</v>
      </c>
      <c r="F429">
        <v>377174977</v>
      </c>
      <c r="G429">
        <v>0</v>
      </c>
      <c r="L429" t="s">
        <v>7</v>
      </c>
      <c r="M429" t="s">
        <v>7</v>
      </c>
      <c r="N429" t="s">
        <v>8</v>
      </c>
      <c r="P429">
        <f t="shared" si="974"/>
        <v>0.62616822429906605</v>
      </c>
      <c r="Q429">
        <f t="shared" si="975"/>
        <v>236174985.59813109</v>
      </c>
      <c r="R429">
        <f t="shared" si="976"/>
        <v>-21716177114.249512</v>
      </c>
      <c r="S429">
        <f t="shared" si="977"/>
        <v>-217161.77114249513</v>
      </c>
      <c r="T429">
        <f t="shared" si="978"/>
        <v>-217.16177114249513</v>
      </c>
    </row>
    <row r="430" spans="1:20" x14ac:dyDescent="0.25">
      <c r="A430" s="5">
        <v>44163</v>
      </c>
      <c r="B430">
        <v>1.9929999999999999E-4</v>
      </c>
      <c r="C430">
        <v>2.1599999999999999E-4</v>
      </c>
      <c r="D430">
        <v>1.9689999999999999E-4</v>
      </c>
      <c r="E430">
        <v>2.0919999999999999E-4</v>
      </c>
      <c r="F430">
        <v>473604177</v>
      </c>
      <c r="G430">
        <v>0</v>
      </c>
      <c r="L430" t="s">
        <v>8</v>
      </c>
      <c r="M430" t="s">
        <v>7</v>
      </c>
      <c r="N430" t="s">
        <v>8</v>
      </c>
      <c r="P430">
        <f t="shared" si="974"/>
        <v>0.28795811518324593</v>
      </c>
      <c r="Q430">
        <f t="shared" si="975"/>
        <v>136378166.1518324</v>
      </c>
      <c r="R430">
        <f t="shared" si="976"/>
        <v>-21952352099.847641</v>
      </c>
      <c r="S430">
        <f t="shared" si="977"/>
        <v>-219523.52099847642</v>
      </c>
      <c r="T430">
        <f t="shared" si="978"/>
        <v>-219.52352099847641</v>
      </c>
    </row>
    <row r="431" spans="1:20" x14ac:dyDescent="0.25">
      <c r="A431" s="5">
        <v>44162</v>
      </c>
      <c r="B431">
        <v>1.9799999999999999E-4</v>
      </c>
      <c r="C431">
        <v>2.0000000000000001E-4</v>
      </c>
      <c r="D431">
        <v>1.875E-4</v>
      </c>
      <c r="E431">
        <v>1.9929999999999999E-4</v>
      </c>
      <c r="F431">
        <v>384303008</v>
      </c>
      <c r="G431">
        <v>0</v>
      </c>
      <c r="L431" t="s">
        <v>7</v>
      </c>
      <c r="M431" t="s">
        <v>7</v>
      </c>
      <c r="N431" t="s">
        <v>8</v>
      </c>
      <c r="P431">
        <f t="shared" si="974"/>
        <v>0.88799999999999735</v>
      </c>
      <c r="Q431">
        <f t="shared" si="975"/>
        <v>341261071.10399896</v>
      </c>
      <c r="R431">
        <f t="shared" si="976"/>
        <v>-22088730265.999474</v>
      </c>
      <c r="S431">
        <f t="shared" si="977"/>
        <v>-220887.30265999475</v>
      </c>
      <c r="T431">
        <f t="shared" si="978"/>
        <v>-220.88730265999476</v>
      </c>
    </row>
    <row r="432" spans="1:20" x14ac:dyDescent="0.25">
      <c r="A432" s="5">
        <v>44161</v>
      </c>
      <c r="B432">
        <v>2.1660000000000001E-4</v>
      </c>
      <c r="C432">
        <v>2.24E-4</v>
      </c>
      <c r="D432">
        <v>1.85E-4</v>
      </c>
      <c r="E432">
        <v>1.9819999999999999E-4</v>
      </c>
      <c r="F432">
        <v>1191460346</v>
      </c>
      <c r="G432">
        <v>0</v>
      </c>
      <c r="L432" t="s">
        <v>8</v>
      </c>
      <c r="M432" t="s">
        <v>7</v>
      </c>
      <c r="N432" t="s">
        <v>8</v>
      </c>
      <c r="P432">
        <f t="shared" si="974"/>
        <v>-0.32307692307692332</v>
      </c>
      <c r="Q432">
        <f t="shared" si="975"/>
        <v>-384933342.55384642</v>
      </c>
      <c r="R432">
        <f t="shared" si="976"/>
        <v>-22429991337.103474</v>
      </c>
      <c r="S432">
        <f t="shared" si="977"/>
        <v>-224299.91337103472</v>
      </c>
      <c r="T432">
        <f t="shared" si="978"/>
        <v>-224.29991337103473</v>
      </c>
    </row>
    <row r="433" spans="1:20" x14ac:dyDescent="0.25">
      <c r="A433" s="5">
        <v>44160</v>
      </c>
      <c r="B433">
        <v>2.076E-4</v>
      </c>
      <c r="C433">
        <v>2.3120000000000001E-4</v>
      </c>
      <c r="D433">
        <v>2.018E-4</v>
      </c>
      <c r="E433">
        <v>2.1609999999999999E-4</v>
      </c>
      <c r="F433">
        <v>1027751019</v>
      </c>
      <c r="G433">
        <v>0</v>
      </c>
      <c r="L433" t="s">
        <v>7</v>
      </c>
      <c r="M433" t="s">
        <v>8</v>
      </c>
      <c r="N433" t="s">
        <v>8</v>
      </c>
      <c r="P433">
        <f t="shared" si="974"/>
        <v>-2.7210884353742148E-2</v>
      </c>
      <c r="Q433">
        <f t="shared" si="975"/>
        <v>-27966014.122449648</v>
      </c>
      <c r="R433">
        <f t="shared" si="976"/>
        <v>-22045057994.549625</v>
      </c>
      <c r="S433">
        <f t="shared" si="977"/>
        <v>-220450.57994549625</v>
      </c>
      <c r="T433">
        <f t="shared" si="978"/>
        <v>-220.45057994549626</v>
      </c>
    </row>
    <row r="434" spans="1:20" x14ac:dyDescent="0.25">
      <c r="A434" s="5">
        <v>44159</v>
      </c>
      <c r="B434">
        <v>1.9689999999999999E-4</v>
      </c>
      <c r="C434">
        <v>2.2279999999999999E-4</v>
      </c>
      <c r="D434">
        <v>1.9369999999999999E-4</v>
      </c>
      <c r="E434">
        <v>2.076E-4</v>
      </c>
      <c r="F434">
        <v>1332299446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-4.467353951889956E-2</v>
      </c>
      <c r="Q434">
        <f t="shared" si="975"/>
        <v>-59518531.951888993</v>
      </c>
      <c r="R434">
        <f t="shared" si="976"/>
        <v>-22017091980.427177</v>
      </c>
      <c r="S434">
        <f t="shared" si="977"/>
        <v>-220170.91980427178</v>
      </c>
      <c r="T434">
        <f t="shared" si="978"/>
        <v>-220.17091980427179</v>
      </c>
    </row>
    <row r="435" spans="1:20" x14ac:dyDescent="0.25">
      <c r="A435" s="5">
        <v>44158</v>
      </c>
      <c r="B435">
        <v>1.907E-4</v>
      </c>
      <c r="C435">
        <v>2.0369999999999999E-4</v>
      </c>
      <c r="D435">
        <v>1.862E-4</v>
      </c>
      <c r="E435">
        <v>1.9670000000000001E-4</v>
      </c>
      <c r="F435">
        <v>719305049</v>
      </c>
      <c r="G435">
        <v>0</v>
      </c>
      <c r="L435" t="s">
        <v>7</v>
      </c>
      <c r="M435" t="s">
        <v>8</v>
      </c>
      <c r="N435" t="s">
        <v>7</v>
      </c>
      <c r="P435">
        <f t="shared" si="974"/>
        <v>0.20000000000000187</v>
      </c>
      <c r="Q435">
        <f t="shared" si="975"/>
        <v>143861009.80000135</v>
      </c>
      <c r="R435">
        <f t="shared" si="976"/>
        <v>-21957573448.475288</v>
      </c>
      <c r="S435">
        <f t="shared" si="977"/>
        <v>-219575.73448475287</v>
      </c>
      <c r="T435">
        <f t="shared" si="978"/>
        <v>-219.57573448475287</v>
      </c>
    </row>
    <row r="436" spans="1:20" x14ac:dyDescent="0.25">
      <c r="A436" s="5">
        <v>44157</v>
      </c>
      <c r="B436">
        <v>1.941E-4</v>
      </c>
      <c r="C436">
        <v>1.9909999999999999E-4</v>
      </c>
      <c r="D436">
        <v>1.84E-4</v>
      </c>
      <c r="E436">
        <v>1.8990000000000001E-4</v>
      </c>
      <c r="F436">
        <v>773599202</v>
      </c>
      <c r="G436">
        <v>0</v>
      </c>
      <c r="L436" t="s">
        <v>8</v>
      </c>
      <c r="M436" t="s">
        <v>8</v>
      </c>
      <c r="N436" t="s">
        <v>7</v>
      </c>
      <c r="P436">
        <f t="shared" si="974"/>
        <v>-0.21854304635761421</v>
      </c>
      <c r="Q436">
        <f t="shared" si="975"/>
        <v>-169064726.26489934</v>
      </c>
      <c r="R436">
        <f t="shared" si="976"/>
        <v>-22101434458.275291</v>
      </c>
      <c r="S436">
        <f t="shared" si="977"/>
        <v>-221014.34458275291</v>
      </c>
      <c r="T436">
        <f t="shared" si="978"/>
        <v>-221.0143445827529</v>
      </c>
    </row>
    <row r="437" spans="1:20" x14ac:dyDescent="0.25">
      <c r="A437" s="5">
        <v>44156</v>
      </c>
      <c r="B437">
        <v>1.8459999999999999E-4</v>
      </c>
      <c r="C437">
        <v>1.9680000000000001E-4</v>
      </c>
      <c r="D437">
        <v>1.8310000000000001E-4</v>
      </c>
      <c r="E437">
        <v>1.9599999999999999E-4</v>
      </c>
      <c r="F437">
        <v>807557970</v>
      </c>
      <c r="G437">
        <v>0</v>
      </c>
      <c r="L437" t="s">
        <v>7</v>
      </c>
      <c r="M437" t="s">
        <v>8</v>
      </c>
      <c r="N437" t="s">
        <v>7</v>
      </c>
      <c r="P437">
        <f t="shared" si="974"/>
        <v>0.88321167883211404</v>
      </c>
      <c r="Q437">
        <f t="shared" si="975"/>
        <v>713244630.43795395</v>
      </c>
      <c r="R437">
        <f t="shared" si="976"/>
        <v>-21932369732.010391</v>
      </c>
      <c r="S437">
        <f t="shared" si="977"/>
        <v>-219323.69732010391</v>
      </c>
      <c r="T437">
        <f t="shared" si="978"/>
        <v>-219.32369732010392</v>
      </c>
    </row>
    <row r="438" spans="1:20" x14ac:dyDescent="0.25">
      <c r="A438" s="5">
        <v>44155</v>
      </c>
      <c r="B438">
        <v>1.7919999999999999E-4</v>
      </c>
      <c r="C438">
        <v>1.8650000000000001E-4</v>
      </c>
      <c r="D438">
        <v>1.785E-4</v>
      </c>
      <c r="E438">
        <v>1.8459999999999999E-4</v>
      </c>
      <c r="F438">
        <v>722111315</v>
      </c>
      <c r="G438">
        <v>0</v>
      </c>
      <c r="L438" t="s">
        <v>8</v>
      </c>
      <c r="M438" t="s">
        <v>8</v>
      </c>
      <c r="N438" t="s">
        <v>7</v>
      </c>
      <c r="P438">
        <f t="shared" si="974"/>
        <v>0.52499999999999547</v>
      </c>
      <c r="Q438">
        <f t="shared" si="975"/>
        <v>379108440.37499672</v>
      </c>
      <c r="R438">
        <f t="shared" si="976"/>
        <v>-22645614362.448345</v>
      </c>
      <c r="S438">
        <f t="shared" si="977"/>
        <v>-226456.14362448346</v>
      </c>
      <c r="T438">
        <f t="shared" si="978"/>
        <v>-226.45614362448347</v>
      </c>
    </row>
    <row r="439" spans="1:20" x14ac:dyDescent="0.25">
      <c r="A439" s="5">
        <v>44154</v>
      </c>
      <c r="B439">
        <v>1.8139999999999999E-4</v>
      </c>
      <c r="C439">
        <v>1.8540000000000001E-4</v>
      </c>
      <c r="D439">
        <v>1.785E-4</v>
      </c>
      <c r="E439">
        <v>1.795E-4</v>
      </c>
      <c r="F439">
        <v>392377675</v>
      </c>
      <c r="G439">
        <v>0</v>
      </c>
      <c r="L439" t="s">
        <v>7</v>
      </c>
      <c r="M439" t="s">
        <v>8</v>
      </c>
      <c r="N439" t="s">
        <v>7</v>
      </c>
      <c r="P439">
        <f t="shared" si="974"/>
        <v>-0.71014492753623293</v>
      </c>
      <c r="Q439">
        <f t="shared" si="975"/>
        <v>-278645015.57971054</v>
      </c>
      <c r="R439">
        <f t="shared" si="976"/>
        <v>-23024722802.823341</v>
      </c>
      <c r="S439">
        <f t="shared" si="977"/>
        <v>-230247.22802823342</v>
      </c>
      <c r="T439">
        <f t="shared" si="978"/>
        <v>-230.24722802823342</v>
      </c>
    </row>
    <row r="440" spans="1:20" x14ac:dyDescent="0.25">
      <c r="A440" s="5">
        <v>44153</v>
      </c>
      <c r="B440">
        <v>1.875E-4</v>
      </c>
      <c r="C440">
        <v>1.8980000000000001E-4</v>
      </c>
      <c r="D440">
        <v>1.7660000000000001E-4</v>
      </c>
      <c r="E440">
        <v>1.8220000000000001E-4</v>
      </c>
      <c r="F440">
        <v>481354079</v>
      </c>
      <c r="G440">
        <v>0</v>
      </c>
      <c r="L440" t="s">
        <v>8</v>
      </c>
      <c r="M440" t="s">
        <v>8</v>
      </c>
      <c r="N440" t="s">
        <v>7</v>
      </c>
      <c r="P440">
        <f t="shared" si="974"/>
        <v>-0.15151515151515113</v>
      </c>
      <c r="Q440">
        <f t="shared" si="975"/>
        <v>-72932436.212121025</v>
      </c>
      <c r="R440">
        <f t="shared" si="976"/>
        <v>-22746077787.243629</v>
      </c>
      <c r="S440">
        <f t="shared" si="977"/>
        <v>-227460.7778724363</v>
      </c>
      <c r="T440">
        <f t="shared" si="978"/>
        <v>-227.4607778724363</v>
      </c>
    </row>
    <row r="441" spans="1:20" x14ac:dyDescent="0.25">
      <c r="A441" s="5">
        <v>44152</v>
      </c>
      <c r="B441">
        <v>1.8760000000000001E-4</v>
      </c>
      <c r="C441">
        <v>1.919E-4</v>
      </c>
      <c r="D441">
        <v>1.8330000000000001E-4</v>
      </c>
      <c r="E441">
        <v>1.864E-4</v>
      </c>
      <c r="F441">
        <v>427725232</v>
      </c>
      <c r="G441">
        <v>0</v>
      </c>
      <c r="L441" t="s">
        <v>7</v>
      </c>
      <c r="M441" t="s">
        <v>8</v>
      </c>
      <c r="N441" t="s">
        <v>7</v>
      </c>
      <c r="P441">
        <f t="shared" si="974"/>
        <v>-0.27906976744186118</v>
      </c>
      <c r="Q441">
        <f t="shared" si="975"/>
        <v>-119365181.02325612</v>
      </c>
      <c r="R441">
        <f t="shared" si="976"/>
        <v>-22673145351.031509</v>
      </c>
      <c r="S441">
        <f t="shared" si="977"/>
        <v>-226731.4535103151</v>
      </c>
      <c r="T441">
        <f t="shared" si="978"/>
        <v>-226.73145351031511</v>
      </c>
    </row>
    <row r="442" spans="1:20" x14ac:dyDescent="0.25">
      <c r="A442" s="5">
        <v>44151</v>
      </c>
      <c r="B442">
        <v>1.7579999999999999E-4</v>
      </c>
      <c r="C442">
        <v>1.8799999999999999E-4</v>
      </c>
      <c r="D442">
        <v>1.7569999999999999E-4</v>
      </c>
      <c r="E442">
        <v>1.874E-4</v>
      </c>
      <c r="F442">
        <v>500761488</v>
      </c>
      <c r="G442">
        <v>0</v>
      </c>
      <c r="L442" t="s">
        <v>8</v>
      </c>
      <c r="M442" t="s">
        <v>8</v>
      </c>
      <c r="N442" t="s">
        <v>7</v>
      </c>
      <c r="P442">
        <f t="shared" si="974"/>
        <v>0.90243902439024593</v>
      </c>
      <c r="Q442">
        <f t="shared" si="975"/>
        <v>451906708.68292785</v>
      </c>
      <c r="R442">
        <f t="shared" si="976"/>
        <v>-22553780170.008255</v>
      </c>
      <c r="S442">
        <f t="shared" si="977"/>
        <v>-225537.80170008255</v>
      </c>
      <c r="T442">
        <f t="shared" si="978"/>
        <v>-225.53780170008255</v>
      </c>
    </row>
    <row r="443" spans="1:20" x14ac:dyDescent="0.25">
      <c r="A443" s="5">
        <v>44150</v>
      </c>
      <c r="B443">
        <v>1.7929999999999999E-4</v>
      </c>
      <c r="C443">
        <v>1.839E-4</v>
      </c>
      <c r="D443">
        <v>1.75E-4</v>
      </c>
      <c r="E443">
        <v>1.7579999999999999E-4</v>
      </c>
      <c r="F443">
        <v>312095807</v>
      </c>
      <c r="G443">
        <v>0</v>
      </c>
      <c r="L443" t="s">
        <v>7</v>
      </c>
      <c r="M443" t="s">
        <v>8</v>
      </c>
      <c r="N443" t="s">
        <v>7</v>
      </c>
      <c r="P443">
        <f t="shared" si="974"/>
        <v>-0.82022471910112527</v>
      </c>
      <c r="Q443">
        <f t="shared" si="975"/>
        <v>-255988695.62921402</v>
      </c>
      <c r="R443">
        <f t="shared" si="976"/>
        <v>-23005686878.691181</v>
      </c>
      <c r="S443">
        <f t="shared" si="977"/>
        <v>-230056.8687869118</v>
      </c>
      <c r="T443">
        <f t="shared" si="978"/>
        <v>-230.05686878691179</v>
      </c>
    </row>
    <row r="444" spans="1:20" x14ac:dyDescent="0.25">
      <c r="A444" s="5">
        <v>44149</v>
      </c>
      <c r="B444">
        <v>1.8430000000000001E-4</v>
      </c>
      <c r="C444">
        <v>1.8900000000000001E-4</v>
      </c>
      <c r="D444">
        <v>1.7770000000000001E-4</v>
      </c>
      <c r="E444">
        <v>1.7929999999999999E-4</v>
      </c>
      <c r="F444">
        <v>284865925</v>
      </c>
      <c r="G444">
        <v>0</v>
      </c>
      <c r="L444" t="s">
        <v>8</v>
      </c>
      <c r="M444" t="s">
        <v>8</v>
      </c>
      <c r="N444" t="s">
        <v>7</v>
      </c>
      <c r="P444">
        <f t="shared" si="974"/>
        <v>-0.71681415929203818</v>
      </c>
      <c r="Q444">
        <f t="shared" si="975"/>
        <v>-204195928.5398238</v>
      </c>
      <c r="R444">
        <f t="shared" si="976"/>
        <v>-22749698183.061966</v>
      </c>
      <c r="S444">
        <f t="shared" si="977"/>
        <v>-227496.98183061965</v>
      </c>
      <c r="T444">
        <f t="shared" si="978"/>
        <v>-227.49698183061966</v>
      </c>
    </row>
    <row r="445" spans="1:20" x14ac:dyDescent="0.25">
      <c r="A445" s="5">
        <v>44148</v>
      </c>
      <c r="B445">
        <v>1.8129999999999999E-4</v>
      </c>
      <c r="C445">
        <v>1.984E-4</v>
      </c>
      <c r="D445">
        <v>1.805E-4</v>
      </c>
      <c r="E445">
        <v>1.8459999999999999E-4</v>
      </c>
      <c r="F445">
        <v>392097470</v>
      </c>
      <c r="G445">
        <v>0</v>
      </c>
      <c r="L445" t="s">
        <v>7</v>
      </c>
      <c r="M445" t="s">
        <v>8</v>
      </c>
      <c r="N445" t="s">
        <v>7</v>
      </c>
      <c r="P445">
        <f t="shared" si="974"/>
        <v>-0.54189944134078316</v>
      </c>
      <c r="Q445">
        <f t="shared" si="975"/>
        <v>-212477399.94413447</v>
      </c>
      <c r="R445">
        <f t="shared" si="976"/>
        <v>-22545502254.522141</v>
      </c>
      <c r="S445">
        <f t="shared" si="977"/>
        <v>-225455.02254522141</v>
      </c>
      <c r="T445">
        <f t="shared" si="978"/>
        <v>-225.4550225452214</v>
      </c>
    </row>
    <row r="446" spans="1:20" x14ac:dyDescent="0.25">
      <c r="A446" s="5">
        <v>44147</v>
      </c>
      <c r="B446">
        <v>1.8990000000000001E-4</v>
      </c>
      <c r="C446">
        <v>1.908E-4</v>
      </c>
      <c r="D446">
        <v>1.784E-4</v>
      </c>
      <c r="E446">
        <v>1.806E-4</v>
      </c>
      <c r="F446">
        <v>229125708</v>
      </c>
      <c r="G446">
        <v>0</v>
      </c>
      <c r="L446" t="s">
        <v>8</v>
      </c>
      <c r="M446" t="s">
        <v>8</v>
      </c>
      <c r="N446" t="s">
        <v>7</v>
      </c>
      <c r="P446">
        <f t="shared" si="974"/>
        <v>-0.64516129032258085</v>
      </c>
      <c r="Q446">
        <f t="shared" si="975"/>
        <v>-147823037.41935489</v>
      </c>
      <c r="R446">
        <f t="shared" si="976"/>
        <v>-22333024854.578007</v>
      </c>
      <c r="S446">
        <f t="shared" si="977"/>
        <v>-223330.24854578008</v>
      </c>
      <c r="T446">
        <f t="shared" si="978"/>
        <v>-223.33024854578008</v>
      </c>
    </row>
    <row r="447" spans="1:20" x14ac:dyDescent="0.25">
      <c r="A447" s="5">
        <v>44146</v>
      </c>
      <c r="B447">
        <v>1.862E-4</v>
      </c>
      <c r="C447">
        <v>1.9900000000000001E-4</v>
      </c>
      <c r="D447">
        <v>1.827E-4</v>
      </c>
      <c r="E447">
        <v>1.8980000000000001E-4</v>
      </c>
      <c r="F447">
        <v>404739447</v>
      </c>
      <c r="G447">
        <v>0</v>
      </c>
      <c r="L447" t="s">
        <v>7</v>
      </c>
      <c r="M447" t="s">
        <v>8</v>
      </c>
      <c r="N447" t="s">
        <v>7</v>
      </c>
      <c r="P447">
        <f t="shared" si="974"/>
        <v>-0.12883435582822053</v>
      </c>
      <c r="Q447">
        <f t="shared" si="975"/>
        <v>-52144345.932515204</v>
      </c>
      <c r="R447">
        <f t="shared" si="976"/>
        <v>-22185201817.158653</v>
      </c>
      <c r="S447">
        <f t="shared" si="977"/>
        <v>-221852.01817158653</v>
      </c>
      <c r="T447">
        <f t="shared" si="978"/>
        <v>-221.85201817158654</v>
      </c>
    </row>
    <row r="448" spans="1:20" x14ac:dyDescent="0.25">
      <c r="A448" s="5">
        <v>44145</v>
      </c>
      <c r="B448">
        <v>1.7909999999999999E-4</v>
      </c>
      <c r="C448">
        <v>1.9019999999999999E-4</v>
      </c>
      <c r="D448">
        <v>1.7640000000000001E-4</v>
      </c>
      <c r="E448">
        <v>1.8650000000000001E-4</v>
      </c>
      <c r="F448">
        <v>295243759</v>
      </c>
      <c r="G448">
        <v>0</v>
      </c>
      <c r="L448" t="s">
        <v>8</v>
      </c>
      <c r="M448" t="s">
        <v>8</v>
      </c>
      <c r="N448" t="s">
        <v>7</v>
      </c>
      <c r="P448">
        <f t="shared" si="974"/>
        <v>0.46376811594203099</v>
      </c>
      <c r="Q448">
        <f t="shared" si="975"/>
        <v>136924641.85507306</v>
      </c>
      <c r="R448">
        <f t="shared" si="976"/>
        <v>-22133057471.226139</v>
      </c>
      <c r="S448">
        <f t="shared" si="977"/>
        <v>-221330.57471226138</v>
      </c>
      <c r="T448">
        <f t="shared" si="978"/>
        <v>-221.33057471226138</v>
      </c>
    </row>
    <row r="449" spans="1:20" x14ac:dyDescent="0.25">
      <c r="A449" s="5">
        <v>44144</v>
      </c>
      <c r="B449">
        <v>1.773E-4</v>
      </c>
      <c r="C449">
        <v>1.9320000000000001E-4</v>
      </c>
      <c r="D449">
        <v>1.741E-4</v>
      </c>
      <c r="E449">
        <v>1.805E-4</v>
      </c>
      <c r="F449">
        <v>795871651</v>
      </c>
      <c r="G449">
        <v>0</v>
      </c>
      <c r="L449" t="s">
        <v>7</v>
      </c>
      <c r="M449" t="s">
        <v>8</v>
      </c>
      <c r="N449" t="s">
        <v>7</v>
      </c>
      <c r="P449">
        <f t="shared" si="974"/>
        <v>-0.32984293193717362</v>
      </c>
      <c r="Q449">
        <f t="shared" si="975"/>
        <v>-262512638.811519</v>
      </c>
      <c r="R449">
        <f t="shared" si="976"/>
        <v>-22269982113.081211</v>
      </c>
      <c r="S449">
        <f t="shared" si="977"/>
        <v>-222699.82113081211</v>
      </c>
      <c r="T449">
        <f t="shared" si="978"/>
        <v>-222.6998211308121</v>
      </c>
    </row>
    <row r="450" spans="1:20" x14ac:dyDescent="0.25">
      <c r="A450" s="5">
        <v>44143</v>
      </c>
      <c r="B450">
        <v>1.694E-4</v>
      </c>
      <c r="C450">
        <v>1.785E-4</v>
      </c>
      <c r="D450">
        <v>1.6679999999999999E-4</v>
      </c>
      <c r="E450">
        <v>1.785E-4</v>
      </c>
      <c r="F450">
        <v>266965419</v>
      </c>
      <c r="G450">
        <v>0</v>
      </c>
      <c r="L450" t="s">
        <v>8</v>
      </c>
      <c r="M450" t="s">
        <v>7</v>
      </c>
      <c r="N450" t="s">
        <v>7</v>
      </c>
      <c r="P450">
        <f t="shared" si="974"/>
        <v>1</v>
      </c>
      <c r="Q450">
        <f t="shared" si="975"/>
        <v>266965419</v>
      </c>
      <c r="R450">
        <f t="shared" si="976"/>
        <v>-22007469474.269691</v>
      </c>
      <c r="S450">
        <f t="shared" si="977"/>
        <v>-220074.69474269691</v>
      </c>
      <c r="T450">
        <f t="shared" si="978"/>
        <v>-220.07469474269692</v>
      </c>
    </row>
    <row r="451" spans="1:20" x14ac:dyDescent="0.25">
      <c r="A451" s="5">
        <v>44142</v>
      </c>
      <c r="B451">
        <v>1.7579999999999999E-4</v>
      </c>
      <c r="C451">
        <v>1.864E-4</v>
      </c>
      <c r="D451">
        <v>1.65E-4</v>
      </c>
      <c r="E451">
        <v>1.7029999999999999E-4</v>
      </c>
      <c r="F451">
        <v>645430112</v>
      </c>
      <c r="G451">
        <v>0</v>
      </c>
      <c r="L451" t="s">
        <v>7</v>
      </c>
      <c r="M451" t="s">
        <v>7</v>
      </c>
      <c r="N451" t="s">
        <v>7</v>
      </c>
      <c r="P451">
        <f t="shared" si="974"/>
        <v>-0.5046728971962624</v>
      </c>
      <c r="Q451">
        <f t="shared" si="975"/>
        <v>-325731084.5607481</v>
      </c>
      <c r="R451">
        <f t="shared" si="976"/>
        <v>-22274434893.269691</v>
      </c>
      <c r="S451">
        <f t="shared" si="977"/>
        <v>-222744.34893269691</v>
      </c>
      <c r="T451">
        <f t="shared" si="978"/>
        <v>-222.74434893269691</v>
      </c>
    </row>
    <row r="452" spans="1:20" x14ac:dyDescent="0.25">
      <c r="A452" s="5">
        <v>44141</v>
      </c>
      <c r="B452">
        <v>1.6799999999999999E-4</v>
      </c>
      <c r="C452">
        <v>1.8679999999999999E-4</v>
      </c>
      <c r="D452">
        <v>1.6699999999999999E-4</v>
      </c>
      <c r="E452">
        <v>1.7650000000000001E-4</v>
      </c>
      <c r="F452">
        <v>694744927</v>
      </c>
      <c r="G452">
        <v>0</v>
      </c>
      <c r="L452" t="s">
        <v>8</v>
      </c>
      <c r="M452" t="s">
        <v>7</v>
      </c>
      <c r="N452" t="s">
        <v>7</v>
      </c>
      <c r="P452">
        <f t="shared" si="974"/>
        <v>-4.0404040404038659E-2</v>
      </c>
      <c r="Q452">
        <f t="shared" si="975"/>
        <v>-28070502.101008888</v>
      </c>
      <c r="R452">
        <f t="shared" si="976"/>
        <v>-21948703808.708942</v>
      </c>
      <c r="S452">
        <f t="shared" si="977"/>
        <v>-219487.03808708943</v>
      </c>
      <c r="T452">
        <f t="shared" si="978"/>
        <v>-219.48703808708942</v>
      </c>
    </row>
    <row r="453" spans="1:20" x14ac:dyDescent="0.25">
      <c r="A453" s="5">
        <v>44140</v>
      </c>
      <c r="B453">
        <v>1.6880000000000001E-4</v>
      </c>
      <c r="C453">
        <v>1.739E-4</v>
      </c>
      <c r="D453">
        <v>1.5799999999999999E-4</v>
      </c>
      <c r="E453">
        <v>1.6699999999999999E-4</v>
      </c>
      <c r="F453">
        <v>496826217</v>
      </c>
      <c r="G453">
        <v>0</v>
      </c>
      <c r="L453" t="s">
        <v>7</v>
      </c>
      <c r="M453" t="s">
        <v>7</v>
      </c>
      <c r="N453" t="s">
        <v>7</v>
      </c>
      <c r="P453">
        <f t="shared" si="974"/>
        <v>0.13207547169811296</v>
      </c>
      <c r="Q453">
        <f t="shared" si="975"/>
        <v>65618556.962264024</v>
      </c>
      <c r="R453">
        <f t="shared" si="976"/>
        <v>-21920633306.607933</v>
      </c>
      <c r="S453">
        <f t="shared" si="977"/>
        <v>-219206.33306607933</v>
      </c>
      <c r="T453">
        <f t="shared" si="978"/>
        <v>-219.20633306607934</v>
      </c>
    </row>
    <row r="454" spans="1:20" x14ac:dyDescent="0.25">
      <c r="A454" s="5">
        <v>44139</v>
      </c>
      <c r="B454">
        <v>1.7440000000000001E-4</v>
      </c>
      <c r="C454">
        <v>1.8919999999999999E-4</v>
      </c>
      <c r="D454">
        <v>1.6019999999999999E-4</v>
      </c>
      <c r="E454">
        <v>1.6780000000000001E-4</v>
      </c>
      <c r="F454">
        <v>317164157</v>
      </c>
      <c r="G454">
        <v>0</v>
      </c>
      <c r="L454" t="s">
        <v>8</v>
      </c>
      <c r="M454" t="s">
        <v>7</v>
      </c>
      <c r="N454" t="s">
        <v>7</v>
      </c>
      <c r="P454">
        <f t="shared" ref="P454:P517" si="979">IF(C454=D454,0,((E454-D454)-(C454-E454))/(C454-D454))</f>
        <v>-0.47586206896551569</v>
      </c>
      <c r="Q454">
        <f t="shared" ref="Q454:Q517" si="980">F454*P454</f>
        <v>-150926391.95172364</v>
      </c>
      <c r="R454">
        <f t="shared" ref="R454:R517" si="981">R455+Q454</f>
        <v>-21986251863.570198</v>
      </c>
      <c r="S454">
        <f t="shared" ref="S454:S517" si="982">R454/100000</f>
        <v>-219862.51863570197</v>
      </c>
      <c r="T454">
        <f t="shared" ref="T454:T517" si="983">S454/1000</f>
        <v>-219.86251863570197</v>
      </c>
    </row>
    <row r="455" spans="1:20" x14ac:dyDescent="0.25">
      <c r="A455" s="5">
        <v>44138</v>
      </c>
      <c r="B455">
        <v>1.775E-4</v>
      </c>
      <c r="C455">
        <v>1.8249999999999999E-4</v>
      </c>
      <c r="D455">
        <v>1.7110000000000001E-4</v>
      </c>
      <c r="E455">
        <v>1.7430000000000001E-4</v>
      </c>
      <c r="F455">
        <v>326073875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-0.43859649122806976</v>
      </c>
      <c r="Q455">
        <f t="shared" si="980"/>
        <v>-143014857.45614022</v>
      </c>
      <c r="R455">
        <f t="shared" si="981"/>
        <v>-21835325471.618473</v>
      </c>
      <c r="S455">
        <f t="shared" si="982"/>
        <v>-218353.25471618472</v>
      </c>
      <c r="T455">
        <f t="shared" si="983"/>
        <v>-218.35325471618472</v>
      </c>
    </row>
    <row r="456" spans="1:20" x14ac:dyDescent="0.25">
      <c r="A456" s="5">
        <v>44137</v>
      </c>
      <c r="B456">
        <v>1.851E-4</v>
      </c>
      <c r="C456">
        <v>1.897E-4</v>
      </c>
      <c r="D456">
        <v>1.7540000000000001E-4</v>
      </c>
      <c r="E456">
        <v>1.7789999999999999E-4</v>
      </c>
      <c r="F456">
        <v>302772200</v>
      </c>
      <c r="G456">
        <v>0</v>
      </c>
      <c r="L456" t="s">
        <v>8</v>
      </c>
      <c r="M456" t="s">
        <v>7</v>
      </c>
      <c r="N456" t="s">
        <v>7</v>
      </c>
      <c r="P456">
        <f t="shared" si="979"/>
        <v>-0.65034965034965309</v>
      </c>
      <c r="Q456">
        <f t="shared" si="980"/>
        <v>-196907794.40559524</v>
      </c>
      <c r="R456">
        <f t="shared" si="981"/>
        <v>-21692310614.162334</v>
      </c>
      <c r="S456">
        <f t="shared" si="982"/>
        <v>-216923.10614162334</v>
      </c>
      <c r="T456">
        <f t="shared" si="983"/>
        <v>-216.92310614162335</v>
      </c>
    </row>
    <row r="457" spans="1:20" x14ac:dyDescent="0.25">
      <c r="A457" s="5">
        <v>44136</v>
      </c>
      <c r="B457">
        <v>1.862E-4</v>
      </c>
      <c r="C457">
        <v>1.8890000000000001E-4</v>
      </c>
      <c r="D457">
        <v>1.816E-4</v>
      </c>
      <c r="E457">
        <v>1.852E-4</v>
      </c>
      <c r="F457">
        <v>139769157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-1.3698630136986606E-2</v>
      </c>
      <c r="Q457">
        <f t="shared" si="980"/>
        <v>-1914645.9863014123</v>
      </c>
      <c r="R457">
        <f t="shared" si="981"/>
        <v>-21495402819.756741</v>
      </c>
      <c r="S457">
        <f t="shared" si="982"/>
        <v>-214954.02819756742</v>
      </c>
      <c r="T457">
        <f t="shared" si="983"/>
        <v>-214.95402819756742</v>
      </c>
    </row>
    <row r="458" spans="1:20" x14ac:dyDescent="0.25">
      <c r="A458" s="5">
        <v>44135</v>
      </c>
      <c r="B458">
        <v>1.942E-4</v>
      </c>
      <c r="C458">
        <v>1.972E-4</v>
      </c>
      <c r="D458">
        <v>1.8440000000000001E-4</v>
      </c>
      <c r="E458">
        <v>1.862E-4</v>
      </c>
      <c r="F458">
        <v>214660642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-0.71875000000000133</v>
      </c>
      <c r="Q458">
        <f t="shared" si="980"/>
        <v>-154287336.4375003</v>
      </c>
      <c r="R458">
        <f t="shared" si="981"/>
        <v>-21493488173.770439</v>
      </c>
      <c r="S458">
        <f t="shared" si="982"/>
        <v>-214934.88173770439</v>
      </c>
      <c r="T458">
        <f t="shared" si="983"/>
        <v>-214.93488173770439</v>
      </c>
    </row>
    <row r="459" spans="1:20" x14ac:dyDescent="0.25">
      <c r="A459" s="5">
        <v>44134</v>
      </c>
      <c r="B459">
        <v>1.9149999999999999E-4</v>
      </c>
      <c r="C459">
        <v>1.9469999999999999E-4</v>
      </c>
      <c r="D459">
        <v>1.83E-4</v>
      </c>
      <c r="E459">
        <v>1.942E-4</v>
      </c>
      <c r="F459">
        <v>123337112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0.91452991452991694</v>
      </c>
      <c r="Q459">
        <f t="shared" si="980"/>
        <v>112795478.49572679</v>
      </c>
      <c r="R459">
        <f t="shared" si="981"/>
        <v>-21339200837.332939</v>
      </c>
      <c r="S459">
        <f t="shared" si="982"/>
        <v>-213392.00837332939</v>
      </c>
      <c r="T459">
        <f t="shared" si="983"/>
        <v>-213.39200837332939</v>
      </c>
    </row>
    <row r="460" spans="1:20" x14ac:dyDescent="0.25">
      <c r="A460" s="5">
        <v>44133</v>
      </c>
      <c r="B460">
        <v>1.928E-4</v>
      </c>
      <c r="C460">
        <v>2.0139999999999999E-4</v>
      </c>
      <c r="D460">
        <v>1.9029999999999999E-4</v>
      </c>
      <c r="E460">
        <v>1.9220000000000001E-4</v>
      </c>
      <c r="F460">
        <v>271229816</v>
      </c>
      <c r="G460">
        <v>0</v>
      </c>
      <c r="L460" t="s">
        <v>8</v>
      </c>
      <c r="M460" t="s">
        <v>7</v>
      </c>
      <c r="N460" t="s">
        <v>7</v>
      </c>
      <c r="P460">
        <f t="shared" si="979"/>
        <v>-0.65765765765765416</v>
      </c>
      <c r="Q460">
        <f t="shared" si="980"/>
        <v>-178376365.47747654</v>
      </c>
      <c r="R460">
        <f t="shared" si="981"/>
        <v>-21451996315.828667</v>
      </c>
      <c r="S460">
        <f t="shared" si="982"/>
        <v>-214519.96315828667</v>
      </c>
      <c r="T460">
        <f t="shared" si="983"/>
        <v>-214.51996315828666</v>
      </c>
    </row>
    <row r="461" spans="1:20" x14ac:dyDescent="0.25">
      <c r="A461" s="5">
        <v>44132</v>
      </c>
      <c r="B461">
        <v>2.0479999999999999E-4</v>
      </c>
      <c r="C461">
        <v>2.0680000000000001E-4</v>
      </c>
      <c r="D461">
        <v>1.886E-4</v>
      </c>
      <c r="E461">
        <v>1.93E-4</v>
      </c>
      <c r="F461">
        <v>325497945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-0.51648351648351687</v>
      </c>
      <c r="Q461">
        <f t="shared" si="980"/>
        <v>-168114323.24175838</v>
      </c>
      <c r="R461">
        <f t="shared" si="981"/>
        <v>-21273619950.351189</v>
      </c>
      <c r="S461">
        <f t="shared" si="982"/>
        <v>-212736.19950351189</v>
      </c>
      <c r="T461">
        <f t="shared" si="983"/>
        <v>-212.7361995035119</v>
      </c>
    </row>
    <row r="462" spans="1:20" x14ac:dyDescent="0.25">
      <c r="A462" s="5">
        <v>44131</v>
      </c>
      <c r="B462">
        <v>2.0430000000000001E-4</v>
      </c>
      <c r="C462">
        <v>2.108E-4</v>
      </c>
      <c r="D462">
        <v>2.02E-4</v>
      </c>
      <c r="E462">
        <v>2.0579999999999999E-4</v>
      </c>
      <c r="F462">
        <v>206384828</v>
      </c>
      <c r="G462">
        <v>0</v>
      </c>
      <c r="L462" t="s">
        <v>8</v>
      </c>
      <c r="M462" t="s">
        <v>7</v>
      </c>
      <c r="N462" t="s">
        <v>7</v>
      </c>
      <c r="P462">
        <f t="shared" si="979"/>
        <v>-0.13636363636363971</v>
      </c>
      <c r="Q462">
        <f t="shared" si="980"/>
        <v>-28143385.636364326</v>
      </c>
      <c r="R462">
        <f t="shared" si="981"/>
        <v>-21105505627.109428</v>
      </c>
      <c r="S462">
        <f t="shared" si="982"/>
        <v>-211055.05627109428</v>
      </c>
      <c r="T462">
        <f t="shared" si="983"/>
        <v>-211.05505627109429</v>
      </c>
    </row>
    <row r="463" spans="1:20" x14ac:dyDescent="0.25">
      <c r="A463" s="5">
        <v>44130</v>
      </c>
      <c r="B463">
        <v>2.0929999999999999E-4</v>
      </c>
      <c r="C463">
        <v>2.118E-4</v>
      </c>
      <c r="D463">
        <v>2.0039999999999999E-4</v>
      </c>
      <c r="E463">
        <v>2.0440000000000001E-4</v>
      </c>
      <c r="F463">
        <v>313548137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-0.29824561403508532</v>
      </c>
      <c r="Q463">
        <f t="shared" si="980"/>
        <v>-93514356.649122059</v>
      </c>
      <c r="R463">
        <f t="shared" si="981"/>
        <v>-21077362241.473064</v>
      </c>
      <c r="S463">
        <f t="shared" si="982"/>
        <v>-210773.62241473063</v>
      </c>
      <c r="T463">
        <f t="shared" si="983"/>
        <v>-210.77362241473062</v>
      </c>
    </row>
    <row r="464" spans="1:20" x14ac:dyDescent="0.25">
      <c r="A464" s="5">
        <v>44129</v>
      </c>
      <c r="B464">
        <v>2.141E-4</v>
      </c>
      <c r="C464">
        <v>2.2890000000000001E-4</v>
      </c>
      <c r="D464">
        <v>2.0579999999999999E-4</v>
      </c>
      <c r="E464">
        <v>2.0939999999999999E-4</v>
      </c>
      <c r="F464">
        <v>247402206</v>
      </c>
      <c r="G464">
        <v>0</v>
      </c>
      <c r="L464" t="s">
        <v>8</v>
      </c>
      <c r="M464" t="s">
        <v>7</v>
      </c>
      <c r="N464" t="s">
        <v>7</v>
      </c>
      <c r="P464">
        <f t="shared" si="979"/>
        <v>-0.68831168831168799</v>
      </c>
      <c r="Q464">
        <f t="shared" si="980"/>
        <v>-170289830.10389602</v>
      </c>
      <c r="R464">
        <f t="shared" si="981"/>
        <v>-20983847884.823944</v>
      </c>
      <c r="S464">
        <f t="shared" si="982"/>
        <v>-209838.47884823944</v>
      </c>
      <c r="T464">
        <f t="shared" si="983"/>
        <v>-209.83847884823945</v>
      </c>
    </row>
    <row r="465" spans="1:20" x14ac:dyDescent="0.25">
      <c r="A465" s="5">
        <v>44128</v>
      </c>
      <c r="B465">
        <v>2.1440000000000001E-4</v>
      </c>
      <c r="C465">
        <v>2.175E-4</v>
      </c>
      <c r="D465">
        <v>2.118E-4</v>
      </c>
      <c r="E465">
        <v>2.141E-4</v>
      </c>
      <c r="F465">
        <v>121375164</v>
      </c>
      <c r="G465">
        <v>0</v>
      </c>
      <c r="L465" t="s">
        <v>7</v>
      </c>
      <c r="M465" t="s">
        <v>7</v>
      </c>
      <c r="N465" t="s">
        <v>7</v>
      </c>
      <c r="P465">
        <f t="shared" si="979"/>
        <v>-0.1929824561403507</v>
      </c>
      <c r="Q465">
        <f t="shared" si="980"/>
        <v>-23423277.263157874</v>
      </c>
      <c r="R465">
        <f t="shared" si="981"/>
        <v>-20813558054.720047</v>
      </c>
      <c r="S465">
        <f t="shared" si="982"/>
        <v>-208135.58054720046</v>
      </c>
      <c r="T465">
        <f t="shared" si="983"/>
        <v>-208.13558054720045</v>
      </c>
    </row>
    <row r="466" spans="1:20" x14ac:dyDescent="0.25">
      <c r="A466" s="5">
        <v>44127</v>
      </c>
      <c r="B466">
        <v>2.1499999999999999E-4</v>
      </c>
      <c r="C466">
        <v>2.3780000000000001E-4</v>
      </c>
      <c r="D466">
        <v>2.1130000000000001E-4</v>
      </c>
      <c r="E466">
        <v>2.1450000000000001E-4</v>
      </c>
      <c r="F466">
        <v>450769256</v>
      </c>
      <c r="G466">
        <v>0</v>
      </c>
      <c r="L466" t="s">
        <v>8</v>
      </c>
      <c r="M466" t="s">
        <v>7</v>
      </c>
      <c r="N466" t="s">
        <v>7</v>
      </c>
      <c r="P466">
        <f t="shared" si="979"/>
        <v>-0.75849056603773601</v>
      </c>
      <c r="Q466">
        <f t="shared" si="980"/>
        <v>-341904228.13584912</v>
      </c>
      <c r="R466">
        <f t="shared" si="981"/>
        <v>-20790134777.45689</v>
      </c>
      <c r="S466">
        <f t="shared" si="982"/>
        <v>-207901.34777456889</v>
      </c>
      <c r="T466">
        <f t="shared" si="983"/>
        <v>-207.90134777456888</v>
      </c>
    </row>
    <row r="467" spans="1:20" x14ac:dyDescent="0.25">
      <c r="A467" s="5">
        <v>44126</v>
      </c>
      <c r="B467">
        <v>2.1699999999999999E-4</v>
      </c>
      <c r="C467">
        <v>2.209E-4</v>
      </c>
      <c r="D467">
        <v>2.1379999999999999E-4</v>
      </c>
      <c r="E467">
        <v>2.1499999999999999E-4</v>
      </c>
      <c r="F467">
        <v>227149721</v>
      </c>
      <c r="G467">
        <v>0</v>
      </c>
      <c r="L467" t="s">
        <v>7</v>
      </c>
      <c r="M467" t="s">
        <v>7</v>
      </c>
      <c r="N467" t="s">
        <v>7</v>
      </c>
      <c r="P467">
        <f t="shared" si="979"/>
        <v>-0.66197183098591539</v>
      </c>
      <c r="Q467">
        <f t="shared" si="980"/>
        <v>-150366716.71830985</v>
      </c>
      <c r="R467">
        <f t="shared" si="981"/>
        <v>-20448230549.321041</v>
      </c>
      <c r="S467">
        <f t="shared" si="982"/>
        <v>-204482.30549321041</v>
      </c>
      <c r="T467">
        <f t="shared" si="983"/>
        <v>-204.48230549321042</v>
      </c>
    </row>
    <row r="468" spans="1:20" x14ac:dyDescent="0.25">
      <c r="A468" s="5">
        <v>44125</v>
      </c>
      <c r="B468">
        <v>2.141E-4</v>
      </c>
      <c r="C468">
        <v>2.221E-4</v>
      </c>
      <c r="D468">
        <v>2.1340000000000001E-4</v>
      </c>
      <c r="E468">
        <v>2.175E-4</v>
      </c>
      <c r="F468">
        <v>172207278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-5.7471264367817528E-2</v>
      </c>
      <c r="Q468">
        <f t="shared" si="980"/>
        <v>-9896970.0000002477</v>
      </c>
      <c r="R468">
        <f t="shared" si="981"/>
        <v>-20297863832.60273</v>
      </c>
      <c r="S468">
        <f t="shared" si="982"/>
        <v>-202978.63832602729</v>
      </c>
      <c r="T468">
        <f t="shared" si="983"/>
        <v>-202.97863832602729</v>
      </c>
    </row>
    <row r="469" spans="1:20" x14ac:dyDescent="0.25">
      <c r="A469" s="5">
        <v>44124</v>
      </c>
      <c r="B469">
        <v>2.2269999999999999E-4</v>
      </c>
      <c r="C469">
        <v>2.2269999999999999E-4</v>
      </c>
      <c r="D469">
        <v>2.1240000000000001E-4</v>
      </c>
      <c r="E469">
        <v>2.1680000000000001E-4</v>
      </c>
      <c r="F469">
        <v>167393207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-0.14563106796116362</v>
      </c>
      <c r="Q469">
        <f t="shared" si="980"/>
        <v>-24377651.504854131</v>
      </c>
      <c r="R469">
        <f t="shared" si="981"/>
        <v>-20287966862.60273</v>
      </c>
      <c r="S469">
        <f t="shared" si="982"/>
        <v>-202879.6686260273</v>
      </c>
      <c r="T469">
        <f t="shared" si="983"/>
        <v>-202.8796686260273</v>
      </c>
    </row>
    <row r="470" spans="1:20" x14ac:dyDescent="0.25">
      <c r="A470" s="5">
        <v>44123</v>
      </c>
      <c r="B470">
        <v>2.2020000000000001E-4</v>
      </c>
      <c r="C470">
        <v>2.2800000000000001E-4</v>
      </c>
      <c r="D470">
        <v>2.1809999999999999E-4</v>
      </c>
      <c r="E470">
        <v>2.2139999999999999E-4</v>
      </c>
      <c r="F470">
        <v>189857653</v>
      </c>
      <c r="G470">
        <v>0</v>
      </c>
      <c r="L470" t="s">
        <v>8</v>
      </c>
      <c r="M470" t="s">
        <v>7</v>
      </c>
      <c r="N470" t="s">
        <v>7</v>
      </c>
      <c r="P470">
        <f t="shared" si="979"/>
        <v>-0.33333333333333515</v>
      </c>
      <c r="Q470">
        <f t="shared" si="980"/>
        <v>-63285884.333333679</v>
      </c>
      <c r="R470">
        <f t="shared" si="981"/>
        <v>-20263589211.097878</v>
      </c>
      <c r="S470">
        <f t="shared" si="982"/>
        <v>-202635.89211097878</v>
      </c>
      <c r="T470">
        <f t="shared" si="983"/>
        <v>-202.63589211097877</v>
      </c>
    </row>
    <row r="471" spans="1:20" x14ac:dyDescent="0.25">
      <c r="A471" s="5">
        <v>44122</v>
      </c>
      <c r="B471">
        <v>2.1910000000000001E-4</v>
      </c>
      <c r="C471">
        <v>2.2249999999999999E-4</v>
      </c>
      <c r="D471">
        <v>2.152E-4</v>
      </c>
      <c r="E471">
        <v>2.195E-4</v>
      </c>
      <c r="F471">
        <v>96292521</v>
      </c>
      <c r="G471">
        <v>0</v>
      </c>
      <c r="L471" t="s">
        <v>7</v>
      </c>
      <c r="M471" t="s">
        <v>7</v>
      </c>
      <c r="N471" t="s">
        <v>7</v>
      </c>
      <c r="P471">
        <f t="shared" si="979"/>
        <v>0.17808219178082282</v>
      </c>
      <c r="Q471">
        <f t="shared" si="980"/>
        <v>17147983.19178091</v>
      </c>
      <c r="R471">
        <f t="shared" si="981"/>
        <v>-20200303326.764545</v>
      </c>
      <c r="S471">
        <f t="shared" si="982"/>
        <v>-202003.03326764546</v>
      </c>
      <c r="T471">
        <f t="shared" si="983"/>
        <v>-202.00303326764546</v>
      </c>
    </row>
    <row r="472" spans="1:20" x14ac:dyDescent="0.25">
      <c r="A472" s="5">
        <v>44121</v>
      </c>
      <c r="B472">
        <v>2.1770000000000001E-4</v>
      </c>
      <c r="C472">
        <v>2.2550000000000001E-4</v>
      </c>
      <c r="D472">
        <v>2.163E-4</v>
      </c>
      <c r="E472">
        <v>2.1919999999999999E-4</v>
      </c>
      <c r="F472">
        <v>83977817</v>
      </c>
      <c r="G472">
        <v>0</v>
      </c>
      <c r="L472" t="s">
        <v>8</v>
      </c>
      <c r="M472" t="s">
        <v>7</v>
      </c>
      <c r="N472" t="s">
        <v>7</v>
      </c>
      <c r="P472">
        <f t="shared" si="979"/>
        <v>-0.36956521739130715</v>
      </c>
      <c r="Q472">
        <f t="shared" si="980"/>
        <v>-31035280.19565241</v>
      </c>
      <c r="R472">
        <f t="shared" si="981"/>
        <v>-20217451309.956326</v>
      </c>
      <c r="S472">
        <f t="shared" si="982"/>
        <v>-202174.51309956325</v>
      </c>
      <c r="T472">
        <f t="shared" si="983"/>
        <v>-202.17451309956326</v>
      </c>
    </row>
    <row r="473" spans="1:20" x14ac:dyDescent="0.25">
      <c r="A473" s="5">
        <v>44120</v>
      </c>
      <c r="B473">
        <v>2.2499999999999999E-4</v>
      </c>
      <c r="C473">
        <v>2.2580000000000001E-4</v>
      </c>
      <c r="D473">
        <v>2.1379999999999999E-4</v>
      </c>
      <c r="E473">
        <v>2.176E-4</v>
      </c>
      <c r="F473">
        <v>192133842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-0.36666666666666592</v>
      </c>
      <c r="Q473">
        <f t="shared" si="980"/>
        <v>-70449075.399999857</v>
      </c>
      <c r="R473">
        <f t="shared" si="981"/>
        <v>-20186416029.760674</v>
      </c>
      <c r="S473">
        <f t="shared" si="982"/>
        <v>-201864.16029760672</v>
      </c>
      <c r="T473">
        <f t="shared" si="983"/>
        <v>-201.86416029760673</v>
      </c>
    </row>
    <row r="474" spans="1:20" x14ac:dyDescent="0.25">
      <c r="A474" s="5">
        <v>44119</v>
      </c>
      <c r="B474">
        <v>2.2100000000000001E-4</v>
      </c>
      <c r="C474">
        <v>2.2680000000000001E-4</v>
      </c>
      <c r="D474">
        <v>2.1939999999999999E-4</v>
      </c>
      <c r="E474">
        <v>2.252E-4</v>
      </c>
      <c r="F474">
        <v>136261299</v>
      </c>
      <c r="G474">
        <v>0</v>
      </c>
      <c r="L474" t="s">
        <v>8</v>
      </c>
      <c r="M474" t="s">
        <v>7</v>
      </c>
      <c r="N474" t="s">
        <v>7</v>
      </c>
      <c r="P474">
        <f t="shared" si="979"/>
        <v>0.56756756756756543</v>
      </c>
      <c r="Q474">
        <f t="shared" si="980"/>
        <v>77337494.027026743</v>
      </c>
      <c r="R474">
        <f t="shared" si="981"/>
        <v>-20115966954.360672</v>
      </c>
      <c r="S474">
        <f t="shared" si="982"/>
        <v>-201159.66954360672</v>
      </c>
      <c r="T474">
        <f t="shared" si="983"/>
        <v>-201.15966954360673</v>
      </c>
    </row>
    <row r="475" spans="1:20" x14ac:dyDescent="0.25">
      <c r="A475" s="5">
        <v>44118</v>
      </c>
      <c r="B475">
        <v>2.207E-4</v>
      </c>
      <c r="C475">
        <v>2.2389999999999999E-4</v>
      </c>
      <c r="D475">
        <v>2.1780000000000001E-4</v>
      </c>
      <c r="E475">
        <v>2.2100000000000001E-4</v>
      </c>
      <c r="F475">
        <v>142033206</v>
      </c>
      <c r="G475">
        <v>0</v>
      </c>
      <c r="L475" t="s">
        <v>7</v>
      </c>
      <c r="M475" t="s">
        <v>7</v>
      </c>
      <c r="N475" t="s">
        <v>7</v>
      </c>
      <c r="P475">
        <f t="shared" si="979"/>
        <v>4.918032786885377E-2</v>
      </c>
      <c r="Q475">
        <f t="shared" si="980"/>
        <v>6985239.6393444482</v>
      </c>
      <c r="R475">
        <f t="shared" si="981"/>
        <v>-20193304448.387699</v>
      </c>
      <c r="S475">
        <f t="shared" si="982"/>
        <v>-201933.04448387699</v>
      </c>
      <c r="T475">
        <f t="shared" si="983"/>
        <v>-201.93304448387698</v>
      </c>
    </row>
    <row r="476" spans="1:20" x14ac:dyDescent="0.25">
      <c r="A476" s="5">
        <v>44117</v>
      </c>
      <c r="B476">
        <v>2.2809999999999999E-4</v>
      </c>
      <c r="C476">
        <v>2.3159999999999999E-4</v>
      </c>
      <c r="D476">
        <v>2.1880000000000001E-4</v>
      </c>
      <c r="E476">
        <v>2.2230000000000001E-4</v>
      </c>
      <c r="F476">
        <v>380016014</v>
      </c>
      <c r="G476">
        <v>0</v>
      </c>
      <c r="L476" t="s">
        <v>8</v>
      </c>
      <c r="M476" t="s">
        <v>7</v>
      </c>
      <c r="N476" t="s">
        <v>7</v>
      </c>
      <c r="P476">
        <f t="shared" si="979"/>
        <v>-0.45312499999999883</v>
      </c>
      <c r="Q476">
        <f t="shared" si="980"/>
        <v>-172194756.34374955</v>
      </c>
      <c r="R476">
        <f t="shared" si="981"/>
        <v>-20200289688.027042</v>
      </c>
      <c r="S476">
        <f t="shared" si="982"/>
        <v>-202002.89688027042</v>
      </c>
      <c r="T476">
        <f t="shared" si="983"/>
        <v>-202.00289688027041</v>
      </c>
    </row>
    <row r="477" spans="1:20" x14ac:dyDescent="0.25">
      <c r="A477" s="5">
        <v>44116</v>
      </c>
      <c r="B477">
        <v>2.2929999999999999E-4</v>
      </c>
      <c r="C477">
        <v>2.321E-4</v>
      </c>
      <c r="D477">
        <v>2.209E-4</v>
      </c>
      <c r="E477">
        <v>2.2890000000000001E-4</v>
      </c>
      <c r="F477">
        <v>276876680</v>
      </c>
      <c r="G477">
        <v>0</v>
      </c>
      <c r="L477" t="s">
        <v>7</v>
      </c>
      <c r="M477" t="s">
        <v>7</v>
      </c>
      <c r="N477" t="s">
        <v>7</v>
      </c>
      <c r="P477">
        <f t="shared" si="979"/>
        <v>0.42857142857142927</v>
      </c>
      <c r="Q477">
        <f t="shared" si="980"/>
        <v>118661434.28571448</v>
      </c>
      <c r="R477">
        <f t="shared" si="981"/>
        <v>-20028094931.683292</v>
      </c>
      <c r="S477">
        <f t="shared" si="982"/>
        <v>-200280.94931683294</v>
      </c>
      <c r="T477">
        <f t="shared" si="983"/>
        <v>-200.28094931683293</v>
      </c>
    </row>
    <row r="478" spans="1:20" x14ac:dyDescent="0.25">
      <c r="A478" s="5">
        <v>44115</v>
      </c>
      <c r="B478">
        <v>2.265E-4</v>
      </c>
      <c r="C478">
        <v>2.3159999999999999E-4</v>
      </c>
      <c r="D478">
        <v>2.2139999999999999E-4</v>
      </c>
      <c r="E478">
        <v>2.2770000000000001E-4</v>
      </c>
      <c r="F478">
        <v>85068820</v>
      </c>
      <c r="G478">
        <v>0</v>
      </c>
      <c r="L478" t="s">
        <v>8</v>
      </c>
      <c r="M478" t="s">
        <v>7</v>
      </c>
      <c r="N478" t="s">
        <v>7</v>
      </c>
      <c r="P478">
        <f t="shared" si="979"/>
        <v>0.23529411764706179</v>
      </c>
      <c r="Q478">
        <f t="shared" si="980"/>
        <v>20016192.941176724</v>
      </c>
      <c r="R478">
        <f t="shared" si="981"/>
        <v>-20146756365.969006</v>
      </c>
      <c r="S478">
        <f t="shared" si="982"/>
        <v>-201467.56365969006</v>
      </c>
      <c r="T478">
        <f t="shared" si="983"/>
        <v>-201.46756365969006</v>
      </c>
    </row>
    <row r="479" spans="1:20" x14ac:dyDescent="0.25">
      <c r="A479" s="5">
        <v>44114</v>
      </c>
      <c r="B479">
        <v>2.2690000000000001E-4</v>
      </c>
      <c r="C479">
        <v>2.31E-4</v>
      </c>
      <c r="D479">
        <v>2.174E-4</v>
      </c>
      <c r="E479">
        <v>2.2440000000000001E-4</v>
      </c>
      <c r="F479">
        <v>312413775</v>
      </c>
      <c r="G479">
        <v>0</v>
      </c>
      <c r="L479" t="s">
        <v>7</v>
      </c>
      <c r="M479" t="s">
        <v>7</v>
      </c>
      <c r="N479" t="s">
        <v>7</v>
      </c>
      <c r="P479">
        <f t="shared" si="979"/>
        <v>2.9411764705883057E-2</v>
      </c>
      <c r="Q479">
        <f t="shared" si="980"/>
        <v>9188640.4411766902</v>
      </c>
      <c r="R479">
        <f t="shared" si="981"/>
        <v>-20166772558.910183</v>
      </c>
      <c r="S479">
        <f t="shared" si="982"/>
        <v>-201667.72558910184</v>
      </c>
      <c r="T479">
        <f t="shared" si="983"/>
        <v>-201.66772558910185</v>
      </c>
    </row>
    <row r="480" spans="1:20" x14ac:dyDescent="0.25">
      <c r="A480" s="5">
        <v>44113</v>
      </c>
      <c r="B480">
        <v>2.1330000000000001E-4</v>
      </c>
      <c r="C480">
        <v>2.288E-4</v>
      </c>
      <c r="D480">
        <v>2.1240000000000001E-4</v>
      </c>
      <c r="E480">
        <v>2.2690000000000001E-4</v>
      </c>
      <c r="F480">
        <v>447001060</v>
      </c>
      <c r="G480">
        <v>0</v>
      </c>
      <c r="L480" t="s">
        <v>8</v>
      </c>
      <c r="M480" t="s">
        <v>7</v>
      </c>
      <c r="N480" t="s">
        <v>7</v>
      </c>
      <c r="P480">
        <f t="shared" si="979"/>
        <v>0.76829268292683017</v>
      </c>
      <c r="Q480">
        <f t="shared" si="980"/>
        <v>343427643.65853697</v>
      </c>
      <c r="R480">
        <f t="shared" si="981"/>
        <v>-20175961199.35136</v>
      </c>
      <c r="S480">
        <f t="shared" si="982"/>
        <v>-201759.61199351359</v>
      </c>
      <c r="T480">
        <f t="shared" si="983"/>
        <v>-201.7596119935136</v>
      </c>
    </row>
    <row r="481" spans="1:20" x14ac:dyDescent="0.25">
      <c r="A481" s="5">
        <v>44112</v>
      </c>
      <c r="B481">
        <v>2.0880000000000001E-4</v>
      </c>
      <c r="C481">
        <v>2.153E-4</v>
      </c>
      <c r="D481">
        <v>2.0479999999999999E-4</v>
      </c>
      <c r="E481">
        <v>2.1460000000000001E-4</v>
      </c>
      <c r="F481">
        <v>365686581</v>
      </c>
      <c r="G481">
        <v>0</v>
      </c>
      <c r="L481" t="s">
        <v>7</v>
      </c>
      <c r="M481" t="s">
        <v>7</v>
      </c>
      <c r="N481" t="s">
        <v>7</v>
      </c>
      <c r="P481">
        <f t="shared" si="979"/>
        <v>0.86666666666666869</v>
      </c>
      <c r="Q481">
        <f t="shared" si="980"/>
        <v>316928370.20000076</v>
      </c>
      <c r="R481">
        <f t="shared" si="981"/>
        <v>-20519388843.009899</v>
      </c>
      <c r="S481">
        <f t="shared" si="982"/>
        <v>-205193.888430099</v>
      </c>
      <c r="T481">
        <f t="shared" si="983"/>
        <v>-205.19388843009901</v>
      </c>
    </row>
    <row r="482" spans="1:20" x14ac:dyDescent="0.25">
      <c r="A482" s="5">
        <v>44111</v>
      </c>
      <c r="B482">
        <v>2.084E-4</v>
      </c>
      <c r="C482">
        <v>2.1230000000000001E-4</v>
      </c>
      <c r="D482">
        <v>2.0000000000000001E-4</v>
      </c>
      <c r="E482">
        <v>2.0909999999999999E-4</v>
      </c>
      <c r="F482">
        <v>451922506</v>
      </c>
      <c r="G482">
        <v>0</v>
      </c>
      <c r="L482" t="s">
        <v>8</v>
      </c>
      <c r="M482" t="s">
        <v>7</v>
      </c>
      <c r="N482" t="s">
        <v>7</v>
      </c>
      <c r="P482">
        <f t="shared" si="979"/>
        <v>0.47967479674796371</v>
      </c>
      <c r="Q482">
        <f t="shared" si="980"/>
        <v>216775836.21138042</v>
      </c>
      <c r="R482">
        <f t="shared" si="981"/>
        <v>-20836317213.2099</v>
      </c>
      <c r="S482">
        <f t="shared" si="982"/>
        <v>-208363.17213209899</v>
      </c>
      <c r="T482">
        <f t="shared" si="983"/>
        <v>-208.36317213209898</v>
      </c>
    </row>
    <row r="483" spans="1:20" x14ac:dyDescent="0.25">
      <c r="A483" s="5">
        <v>44110</v>
      </c>
      <c r="B483">
        <v>2.1269999999999999E-4</v>
      </c>
      <c r="C483">
        <v>2.143E-4</v>
      </c>
      <c r="D483">
        <v>2.074E-4</v>
      </c>
      <c r="E483">
        <v>2.085E-4</v>
      </c>
      <c r="F483">
        <v>153457113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-0.68115942028985543</v>
      </c>
      <c r="Q483">
        <f t="shared" si="980"/>
        <v>-104528758.13043484</v>
      </c>
      <c r="R483">
        <f t="shared" si="981"/>
        <v>-21053093049.42128</v>
      </c>
      <c r="S483">
        <f t="shared" si="982"/>
        <v>-210530.93049421281</v>
      </c>
      <c r="T483">
        <f t="shared" si="983"/>
        <v>-210.53093049421281</v>
      </c>
    </row>
    <row r="484" spans="1:20" x14ac:dyDescent="0.25">
      <c r="A484" s="5">
        <v>44109</v>
      </c>
      <c r="B484">
        <v>2.12E-4</v>
      </c>
      <c r="C484">
        <v>2.151E-4</v>
      </c>
      <c r="D484">
        <v>2.1039999999999999E-4</v>
      </c>
      <c r="E484">
        <v>2.1269999999999999E-4</v>
      </c>
      <c r="F484">
        <v>92368182</v>
      </c>
      <c r="G484">
        <v>0</v>
      </c>
      <c r="L484" t="s">
        <v>8</v>
      </c>
      <c r="M484" t="s">
        <v>7</v>
      </c>
      <c r="N484" t="s">
        <v>7</v>
      </c>
      <c r="P484">
        <f t="shared" si="979"/>
        <v>-2.1276595744681343E-2</v>
      </c>
      <c r="Q484">
        <f t="shared" si="980"/>
        <v>-1965280.4680851519</v>
      </c>
      <c r="R484">
        <f t="shared" si="981"/>
        <v>-20948564291.290844</v>
      </c>
      <c r="S484">
        <f t="shared" si="982"/>
        <v>-209485.64291290843</v>
      </c>
      <c r="T484">
        <f t="shared" si="983"/>
        <v>-209.48564291290842</v>
      </c>
    </row>
    <row r="485" spans="1:20" x14ac:dyDescent="0.25">
      <c r="A485" s="5">
        <v>44108</v>
      </c>
      <c r="B485">
        <v>2.1249999999999999E-4</v>
      </c>
      <c r="C485">
        <v>2.1499999999999999E-4</v>
      </c>
      <c r="D485">
        <v>2.1000000000000001E-4</v>
      </c>
      <c r="E485">
        <v>2.1230000000000001E-4</v>
      </c>
      <c r="F485">
        <v>126919031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-7.9999999999996754E-2</v>
      </c>
      <c r="Q485">
        <f t="shared" si="980"/>
        <v>-10153522.479999589</v>
      </c>
      <c r="R485">
        <f t="shared" si="981"/>
        <v>-20946599010.822758</v>
      </c>
      <c r="S485">
        <f t="shared" si="982"/>
        <v>-209465.99010822759</v>
      </c>
      <c r="T485">
        <f t="shared" si="983"/>
        <v>-209.4659901082276</v>
      </c>
    </row>
    <row r="486" spans="1:20" x14ac:dyDescent="0.25">
      <c r="A486" s="5">
        <v>44107</v>
      </c>
      <c r="B486">
        <v>2.154E-4</v>
      </c>
      <c r="C486">
        <v>2.1699999999999999E-4</v>
      </c>
      <c r="D486">
        <v>2.1029999999999999E-4</v>
      </c>
      <c r="E486">
        <v>2.142E-4</v>
      </c>
      <c r="F486">
        <v>104413046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0.16417910447761594</v>
      </c>
      <c r="Q486">
        <f t="shared" si="980"/>
        <v>17142440.388060119</v>
      </c>
      <c r="R486">
        <f t="shared" si="981"/>
        <v>-20936445488.342758</v>
      </c>
      <c r="S486">
        <f t="shared" si="982"/>
        <v>-209364.45488342759</v>
      </c>
      <c r="T486">
        <f t="shared" si="983"/>
        <v>-209.36445488342758</v>
      </c>
    </row>
    <row r="487" spans="1:20" x14ac:dyDescent="0.25">
      <c r="A487" s="5">
        <v>44106</v>
      </c>
      <c r="B487">
        <v>2.1130000000000001E-4</v>
      </c>
      <c r="C487">
        <v>2.1880000000000001E-4</v>
      </c>
      <c r="D487">
        <v>2.0129999999999999E-4</v>
      </c>
      <c r="E487">
        <v>2.153E-4</v>
      </c>
      <c r="F487">
        <v>286769817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0.6</v>
      </c>
      <c r="Q487">
        <f t="shared" si="980"/>
        <v>172061890.19999999</v>
      </c>
      <c r="R487">
        <f t="shared" si="981"/>
        <v>-20953587928.73082</v>
      </c>
      <c r="S487">
        <f t="shared" si="982"/>
        <v>-209535.8792873082</v>
      </c>
      <c r="T487">
        <f t="shared" si="983"/>
        <v>-209.53587928730821</v>
      </c>
    </row>
    <row r="488" spans="1:20" x14ac:dyDescent="0.25">
      <c r="A488" s="5">
        <v>44105</v>
      </c>
      <c r="B488">
        <v>2.1780000000000001E-4</v>
      </c>
      <c r="C488">
        <v>2.5000000000000001E-4</v>
      </c>
      <c r="D488">
        <v>2.051E-4</v>
      </c>
      <c r="E488">
        <v>2.1120000000000001E-4</v>
      </c>
      <c r="F488">
        <v>432034446</v>
      </c>
      <c r="G488">
        <v>0</v>
      </c>
      <c r="L488" t="s">
        <v>8</v>
      </c>
      <c r="M488" t="s">
        <v>8</v>
      </c>
      <c r="N488" t="s">
        <v>7</v>
      </c>
      <c r="P488">
        <f t="shared" si="979"/>
        <v>-0.72828507795100172</v>
      </c>
      <c r="Q488">
        <f t="shared" si="980"/>
        <v>-314644240.18262786</v>
      </c>
      <c r="R488">
        <f t="shared" si="981"/>
        <v>-21125649818.93082</v>
      </c>
      <c r="S488">
        <f t="shared" si="982"/>
        <v>-211256.49818930821</v>
      </c>
      <c r="T488">
        <f t="shared" si="983"/>
        <v>-211.25649818930822</v>
      </c>
    </row>
    <row r="489" spans="1:20" x14ac:dyDescent="0.25">
      <c r="A489" s="5">
        <v>44104</v>
      </c>
      <c r="B489">
        <v>2.173E-4</v>
      </c>
      <c r="C489">
        <v>2.1880000000000001E-4</v>
      </c>
      <c r="D489">
        <v>2.1029999999999999E-4</v>
      </c>
      <c r="E489">
        <v>2.1770000000000001E-4</v>
      </c>
      <c r="F489">
        <v>145842568</v>
      </c>
      <c r="G489">
        <v>0</v>
      </c>
      <c r="L489" t="s">
        <v>7</v>
      </c>
      <c r="M489" t="s">
        <v>8</v>
      </c>
      <c r="N489" t="s">
        <v>7</v>
      </c>
      <c r="P489">
        <f t="shared" si="979"/>
        <v>0.74117647058823588</v>
      </c>
      <c r="Q489">
        <f t="shared" si="980"/>
        <v>108095079.81176479</v>
      </c>
      <c r="R489">
        <f t="shared" si="981"/>
        <v>-20811005578.748192</v>
      </c>
      <c r="S489">
        <f t="shared" si="982"/>
        <v>-208110.05578748192</v>
      </c>
      <c r="T489">
        <f t="shared" si="983"/>
        <v>-208.11005578748191</v>
      </c>
    </row>
    <row r="490" spans="1:20" x14ac:dyDescent="0.25">
      <c r="A490" s="5">
        <v>44103</v>
      </c>
      <c r="B490">
        <v>2.1269999999999999E-4</v>
      </c>
      <c r="C490">
        <v>2.2010000000000001E-4</v>
      </c>
      <c r="D490">
        <v>2.0770000000000001E-4</v>
      </c>
      <c r="E490">
        <v>2.154E-4</v>
      </c>
      <c r="F490">
        <v>227974345</v>
      </c>
      <c r="G490">
        <v>0</v>
      </c>
      <c r="L490" t="s">
        <v>8</v>
      </c>
      <c r="M490" t="s">
        <v>8</v>
      </c>
      <c r="N490" t="s">
        <v>7</v>
      </c>
      <c r="P490">
        <f t="shared" si="979"/>
        <v>0.241935483870967</v>
      </c>
      <c r="Q490">
        <f t="shared" si="980"/>
        <v>55155083.467741765</v>
      </c>
      <c r="R490">
        <f t="shared" si="981"/>
        <v>-20919100658.559956</v>
      </c>
      <c r="S490">
        <f t="shared" si="982"/>
        <v>-209191.00658559956</v>
      </c>
      <c r="T490">
        <f t="shared" si="983"/>
        <v>-209.19100658559955</v>
      </c>
    </row>
    <row r="491" spans="1:20" x14ac:dyDescent="0.25">
      <c r="A491" s="5">
        <v>44102</v>
      </c>
      <c r="B491">
        <v>2.2020000000000001E-4</v>
      </c>
      <c r="C491">
        <v>2.284E-4</v>
      </c>
      <c r="D491">
        <v>2.1320000000000001E-4</v>
      </c>
      <c r="E491">
        <v>2.1320000000000001E-4</v>
      </c>
      <c r="F491">
        <v>363174568</v>
      </c>
      <c r="G491">
        <v>0</v>
      </c>
      <c r="L491" t="s">
        <v>7</v>
      </c>
      <c r="M491" t="s">
        <v>8</v>
      </c>
      <c r="N491" t="s">
        <v>7</v>
      </c>
      <c r="P491">
        <f t="shared" si="979"/>
        <v>-1</v>
      </c>
      <c r="Q491">
        <f t="shared" si="980"/>
        <v>-363174568</v>
      </c>
      <c r="R491">
        <f t="shared" si="981"/>
        <v>-20974255742.027699</v>
      </c>
      <c r="S491">
        <f t="shared" si="982"/>
        <v>-209742.55742027698</v>
      </c>
      <c r="T491">
        <f t="shared" si="983"/>
        <v>-209.74255742027697</v>
      </c>
    </row>
    <row r="492" spans="1:20" x14ac:dyDescent="0.25">
      <c r="A492" s="5">
        <v>44101</v>
      </c>
      <c r="B492">
        <v>2.2389999999999999E-4</v>
      </c>
      <c r="C492">
        <v>2.287E-4</v>
      </c>
      <c r="D492">
        <v>2.1379999999999999E-4</v>
      </c>
      <c r="E492">
        <v>2.2010000000000001E-4</v>
      </c>
      <c r="F492">
        <v>181710466</v>
      </c>
      <c r="G492">
        <v>0</v>
      </c>
      <c r="L492" t="s">
        <v>8</v>
      </c>
      <c r="M492" t="s">
        <v>8</v>
      </c>
      <c r="N492" t="s">
        <v>7</v>
      </c>
      <c r="P492">
        <f t="shared" si="979"/>
        <v>-0.15436241610738075</v>
      </c>
      <c r="Q492">
        <f t="shared" si="980"/>
        <v>-28049266.56375806</v>
      </c>
      <c r="R492">
        <f t="shared" si="981"/>
        <v>-20611081174.027699</v>
      </c>
      <c r="S492">
        <f t="shared" si="982"/>
        <v>-206110.81174027699</v>
      </c>
      <c r="T492">
        <f t="shared" si="983"/>
        <v>-206.11081174027697</v>
      </c>
    </row>
    <row r="493" spans="1:20" x14ac:dyDescent="0.25">
      <c r="A493" s="5">
        <v>44100</v>
      </c>
      <c r="B493">
        <v>2.284E-4</v>
      </c>
      <c r="C493">
        <v>2.33E-4</v>
      </c>
      <c r="D493">
        <v>2.1829999999999999E-4</v>
      </c>
      <c r="E493">
        <v>2.2389999999999999E-4</v>
      </c>
      <c r="F493">
        <v>203782647</v>
      </c>
      <c r="G493">
        <v>0</v>
      </c>
      <c r="L493" t="s">
        <v>7</v>
      </c>
      <c r="M493" t="s">
        <v>8</v>
      </c>
      <c r="N493" t="s">
        <v>7</v>
      </c>
      <c r="P493">
        <f t="shared" si="979"/>
        <v>-0.23809523809523828</v>
      </c>
      <c r="Q493">
        <f t="shared" si="980"/>
        <v>-48519677.857142895</v>
      </c>
      <c r="R493">
        <f t="shared" si="981"/>
        <v>-20583031907.46394</v>
      </c>
      <c r="S493">
        <f t="shared" si="982"/>
        <v>-205830.31907463941</v>
      </c>
      <c r="T493">
        <f t="shared" si="983"/>
        <v>-205.83031907463942</v>
      </c>
    </row>
    <row r="494" spans="1:20" x14ac:dyDescent="0.25">
      <c r="A494" s="5">
        <v>44099</v>
      </c>
      <c r="B494">
        <v>2.2809999999999999E-4</v>
      </c>
      <c r="C494">
        <v>2.342E-4</v>
      </c>
      <c r="D494">
        <v>2.1599999999999999E-4</v>
      </c>
      <c r="E494">
        <v>2.2800000000000001E-4</v>
      </c>
      <c r="F494">
        <v>250066599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0.31868131868132032</v>
      </c>
      <c r="Q494">
        <f t="shared" si="980"/>
        <v>79691553.527472943</v>
      </c>
      <c r="R494">
        <f t="shared" si="981"/>
        <v>-20534512229.606796</v>
      </c>
      <c r="S494">
        <f t="shared" si="982"/>
        <v>-205345.12229606797</v>
      </c>
      <c r="T494">
        <f t="shared" si="983"/>
        <v>-205.34512229606798</v>
      </c>
    </row>
    <row r="495" spans="1:20" x14ac:dyDescent="0.25">
      <c r="A495" s="5">
        <v>44098</v>
      </c>
      <c r="B495">
        <v>1.996E-4</v>
      </c>
      <c r="C495">
        <v>2.3000000000000001E-4</v>
      </c>
      <c r="D495">
        <v>1.985E-4</v>
      </c>
      <c r="E495">
        <v>2.2809999999999999E-4</v>
      </c>
      <c r="F495">
        <v>410338874</v>
      </c>
      <c r="G495">
        <v>0</v>
      </c>
      <c r="L495" t="s">
        <v>7</v>
      </c>
      <c r="M495" t="s">
        <v>7</v>
      </c>
      <c r="N495" t="s">
        <v>7</v>
      </c>
      <c r="P495">
        <f t="shared" si="979"/>
        <v>0.87936507936507813</v>
      </c>
      <c r="Q495">
        <f t="shared" si="980"/>
        <v>360837676.50158679</v>
      </c>
      <c r="R495">
        <f t="shared" si="981"/>
        <v>-20614203783.13427</v>
      </c>
      <c r="S495">
        <f t="shared" si="982"/>
        <v>-206142.03783134269</v>
      </c>
      <c r="T495">
        <f t="shared" si="983"/>
        <v>-206.14203783134269</v>
      </c>
    </row>
    <row r="496" spans="1:20" x14ac:dyDescent="0.25">
      <c r="A496" s="5">
        <v>44097</v>
      </c>
      <c r="B496">
        <v>2.118E-4</v>
      </c>
      <c r="C496">
        <v>2.141E-4</v>
      </c>
      <c r="D496">
        <v>1.95E-4</v>
      </c>
      <c r="E496">
        <v>2.0019999999999999E-4</v>
      </c>
      <c r="F496">
        <v>306407767</v>
      </c>
      <c r="G496">
        <v>0</v>
      </c>
      <c r="L496" t="s">
        <v>8</v>
      </c>
      <c r="M496" t="s">
        <v>7</v>
      </c>
      <c r="N496" t="s">
        <v>7</v>
      </c>
      <c r="P496">
        <f t="shared" si="979"/>
        <v>-0.45549738219895392</v>
      </c>
      <c r="Q496">
        <f t="shared" si="980"/>
        <v>-139567935.75392702</v>
      </c>
      <c r="R496">
        <f t="shared" si="981"/>
        <v>-20975041459.635857</v>
      </c>
      <c r="S496">
        <f t="shared" si="982"/>
        <v>-209750.41459635858</v>
      </c>
      <c r="T496">
        <f t="shared" si="983"/>
        <v>-209.75041459635858</v>
      </c>
    </row>
    <row r="497" spans="1:20" x14ac:dyDescent="0.25">
      <c r="A497" s="5">
        <v>44096</v>
      </c>
      <c r="B497">
        <v>2.086E-4</v>
      </c>
      <c r="C497">
        <v>2.1460000000000001E-4</v>
      </c>
      <c r="D497">
        <v>2.039E-4</v>
      </c>
      <c r="E497">
        <v>2.1010000000000001E-4</v>
      </c>
      <c r="F497">
        <v>311016621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0.1588785046728983</v>
      </c>
      <c r="Q497">
        <f t="shared" si="980"/>
        <v>49413855.67289754</v>
      </c>
      <c r="R497">
        <f t="shared" si="981"/>
        <v>-20835473523.881931</v>
      </c>
      <c r="S497">
        <f t="shared" si="982"/>
        <v>-208354.73523881932</v>
      </c>
      <c r="T497">
        <f t="shared" si="983"/>
        <v>-208.35473523881933</v>
      </c>
    </row>
    <row r="498" spans="1:20" x14ac:dyDescent="0.25">
      <c r="A498" s="5">
        <v>44095</v>
      </c>
      <c r="B498">
        <v>2.1709999999999999E-4</v>
      </c>
      <c r="C498">
        <v>2.4389999999999999E-4</v>
      </c>
      <c r="D498">
        <v>1.9599999999999999E-4</v>
      </c>
      <c r="E498">
        <v>2.0900000000000001E-4</v>
      </c>
      <c r="F498">
        <v>1864702561</v>
      </c>
      <c r="G498">
        <v>0</v>
      </c>
      <c r="L498" t="s">
        <v>8</v>
      </c>
      <c r="M498" t="s">
        <v>7</v>
      </c>
      <c r="N498" t="s">
        <v>7</v>
      </c>
      <c r="P498">
        <f t="shared" si="979"/>
        <v>-0.45720250521920591</v>
      </c>
      <c r="Q498">
        <f t="shared" si="980"/>
        <v>-852546682.37786913</v>
      </c>
      <c r="R498">
        <f t="shared" si="981"/>
        <v>-20884887379.554829</v>
      </c>
      <c r="S498">
        <f t="shared" si="982"/>
        <v>-208848.87379554828</v>
      </c>
      <c r="T498">
        <f t="shared" si="983"/>
        <v>-208.84887379554829</v>
      </c>
    </row>
    <row r="499" spans="1:20" x14ac:dyDescent="0.25">
      <c r="A499" s="5">
        <v>44094</v>
      </c>
      <c r="B499">
        <v>2.2690000000000001E-4</v>
      </c>
      <c r="C499">
        <v>2.2690000000000001E-4</v>
      </c>
      <c r="D499">
        <v>2.1499999999999999E-4</v>
      </c>
      <c r="E499">
        <v>2.1709999999999999E-4</v>
      </c>
      <c r="F499">
        <v>273708714</v>
      </c>
      <c r="G499">
        <v>0</v>
      </c>
      <c r="L499" t="s">
        <v>7</v>
      </c>
      <c r="M499" t="s">
        <v>8</v>
      </c>
      <c r="N499" t="s">
        <v>7</v>
      </c>
      <c r="P499">
        <f t="shared" si="979"/>
        <v>-0.6470588235294128</v>
      </c>
      <c r="Q499">
        <f t="shared" si="980"/>
        <v>-177105638.47058851</v>
      </c>
      <c r="R499">
        <f t="shared" si="981"/>
        <v>-20032340697.17696</v>
      </c>
      <c r="S499">
        <f t="shared" si="982"/>
        <v>-200323.40697176961</v>
      </c>
      <c r="T499">
        <f t="shared" si="983"/>
        <v>-200.3234069717696</v>
      </c>
    </row>
    <row r="500" spans="1:20" x14ac:dyDescent="0.25">
      <c r="A500" s="5">
        <v>44093</v>
      </c>
      <c r="B500">
        <v>2.2259999999999999E-4</v>
      </c>
      <c r="C500">
        <v>2.275E-4</v>
      </c>
      <c r="D500">
        <v>2.2020000000000001E-4</v>
      </c>
      <c r="E500">
        <v>2.2690000000000001E-4</v>
      </c>
      <c r="F500">
        <v>146669866</v>
      </c>
      <c r="G500">
        <v>0</v>
      </c>
      <c r="L500" t="s">
        <v>8</v>
      </c>
      <c r="M500" t="s">
        <v>8</v>
      </c>
      <c r="N500" t="s">
        <v>7</v>
      </c>
      <c r="P500">
        <f t="shared" si="979"/>
        <v>0.8356164383561675</v>
      </c>
      <c r="Q500">
        <f t="shared" si="980"/>
        <v>122559751.04109634</v>
      </c>
      <c r="R500">
        <f t="shared" si="981"/>
        <v>-19855235058.706371</v>
      </c>
      <c r="S500">
        <f t="shared" si="982"/>
        <v>-198552.3505870637</v>
      </c>
      <c r="T500">
        <f t="shared" si="983"/>
        <v>-198.5523505870637</v>
      </c>
    </row>
    <row r="501" spans="1:20" x14ac:dyDescent="0.25">
      <c r="A501" s="5">
        <v>44092</v>
      </c>
      <c r="B501">
        <v>2.287E-4</v>
      </c>
      <c r="C501">
        <v>2.2929999999999999E-4</v>
      </c>
      <c r="D501">
        <v>2.2000000000000001E-4</v>
      </c>
      <c r="E501">
        <v>2.23E-4</v>
      </c>
      <c r="F501">
        <v>157413216</v>
      </c>
      <c r="G501">
        <v>0</v>
      </c>
      <c r="L501" t="s">
        <v>7</v>
      </c>
      <c r="M501" t="s">
        <v>8</v>
      </c>
      <c r="N501" t="s">
        <v>7</v>
      </c>
      <c r="P501">
        <f t="shared" si="979"/>
        <v>-0.35483870967741993</v>
      </c>
      <c r="Q501">
        <f t="shared" si="980"/>
        <v>-55856302.451612994</v>
      </c>
      <c r="R501">
        <f t="shared" si="981"/>
        <v>-19977794809.747467</v>
      </c>
      <c r="S501">
        <f t="shared" si="982"/>
        <v>-199777.94809747467</v>
      </c>
      <c r="T501">
        <f t="shared" si="983"/>
        <v>-199.77794809747468</v>
      </c>
    </row>
    <row r="502" spans="1:20" x14ac:dyDescent="0.25">
      <c r="A502" s="5">
        <v>44091</v>
      </c>
      <c r="B502">
        <v>2.23E-4</v>
      </c>
      <c r="C502">
        <v>2.3279999999999999E-4</v>
      </c>
      <c r="D502">
        <v>2.2049999999999999E-4</v>
      </c>
      <c r="E502">
        <v>2.2929999999999999E-4</v>
      </c>
      <c r="F502">
        <v>279893867</v>
      </c>
      <c r="G502">
        <v>0</v>
      </c>
      <c r="L502" t="s">
        <v>8</v>
      </c>
      <c r="M502" t="s">
        <v>8</v>
      </c>
      <c r="N502" t="s">
        <v>7</v>
      </c>
      <c r="P502">
        <f t="shared" si="979"/>
        <v>0.43089430894308883</v>
      </c>
      <c r="Q502">
        <f t="shared" si="980"/>
        <v>120604674.39837381</v>
      </c>
      <c r="R502">
        <f t="shared" si="981"/>
        <v>-19921938507.295853</v>
      </c>
      <c r="S502">
        <f t="shared" si="982"/>
        <v>-199219.38507295854</v>
      </c>
      <c r="T502">
        <f t="shared" si="983"/>
        <v>-199.21938507295854</v>
      </c>
    </row>
    <row r="503" spans="1:20" x14ac:dyDescent="0.25">
      <c r="A503" s="5">
        <v>44090</v>
      </c>
      <c r="B503">
        <v>2.1560000000000001E-4</v>
      </c>
      <c r="C503">
        <v>2.4000000000000001E-4</v>
      </c>
      <c r="D503">
        <v>2.1340000000000001E-4</v>
      </c>
      <c r="E503">
        <v>2.229E-4</v>
      </c>
      <c r="F503">
        <v>557617318</v>
      </c>
      <c r="G503">
        <v>0</v>
      </c>
      <c r="L503" t="s">
        <v>7</v>
      </c>
      <c r="M503" t="s">
        <v>8</v>
      </c>
      <c r="N503" t="s">
        <v>7</v>
      </c>
      <c r="P503">
        <f t="shared" si="979"/>
        <v>-0.28571428571428659</v>
      </c>
      <c r="Q503">
        <f t="shared" si="980"/>
        <v>-159319233.71428621</v>
      </c>
      <c r="R503">
        <f t="shared" si="981"/>
        <v>-20042543181.694225</v>
      </c>
      <c r="S503">
        <f t="shared" si="982"/>
        <v>-200425.43181694226</v>
      </c>
      <c r="T503">
        <f t="shared" si="983"/>
        <v>-200.42543181694225</v>
      </c>
    </row>
    <row r="504" spans="1:20" x14ac:dyDescent="0.25">
      <c r="A504" s="5">
        <v>44089</v>
      </c>
      <c r="B504">
        <v>2.2359999999999999E-4</v>
      </c>
      <c r="C504">
        <v>2.2790000000000001E-4</v>
      </c>
      <c r="D504">
        <v>2.142E-4</v>
      </c>
      <c r="E504">
        <v>2.1560000000000001E-4</v>
      </c>
      <c r="F504">
        <v>211732465</v>
      </c>
      <c r="G504">
        <v>0</v>
      </c>
      <c r="L504" t="s">
        <v>8</v>
      </c>
      <c r="M504" t="s">
        <v>8</v>
      </c>
      <c r="N504" t="s">
        <v>7</v>
      </c>
      <c r="P504">
        <f t="shared" si="979"/>
        <v>-0.79562043795620352</v>
      </c>
      <c r="Q504">
        <f t="shared" si="980"/>
        <v>-168458676.53284654</v>
      </c>
      <c r="R504">
        <f t="shared" si="981"/>
        <v>-19883223947.979939</v>
      </c>
      <c r="S504">
        <f t="shared" si="982"/>
        <v>-198832.23947979938</v>
      </c>
      <c r="T504">
        <f t="shared" si="983"/>
        <v>-198.83223947979937</v>
      </c>
    </row>
    <row r="505" spans="1:20" x14ac:dyDescent="0.25">
      <c r="A505" s="5">
        <v>44088</v>
      </c>
      <c r="B505">
        <v>2.2330000000000001E-4</v>
      </c>
      <c r="C505">
        <v>2.307E-4</v>
      </c>
      <c r="D505">
        <v>2.1819999999999999E-4</v>
      </c>
      <c r="E505">
        <v>2.2379999999999999E-4</v>
      </c>
      <c r="F505">
        <v>248144322</v>
      </c>
      <c r="G505">
        <v>0</v>
      </c>
      <c r="L505" t="s">
        <v>7</v>
      </c>
      <c r="M505" t="s">
        <v>8</v>
      </c>
      <c r="N505" t="s">
        <v>7</v>
      </c>
      <c r="P505">
        <f t="shared" si="979"/>
        <v>-0.10400000000000031</v>
      </c>
      <c r="Q505">
        <f t="shared" si="980"/>
        <v>-25807009.488000076</v>
      </c>
      <c r="R505">
        <f t="shared" si="981"/>
        <v>-19714765271.44709</v>
      </c>
      <c r="S505">
        <f t="shared" si="982"/>
        <v>-197147.6527144709</v>
      </c>
      <c r="T505">
        <f t="shared" si="983"/>
        <v>-197.14765271447089</v>
      </c>
    </row>
    <row r="506" spans="1:20" x14ac:dyDescent="0.25">
      <c r="A506" s="5">
        <v>44087</v>
      </c>
      <c r="B506">
        <v>2.34E-4</v>
      </c>
      <c r="C506">
        <v>2.3709999999999999E-4</v>
      </c>
      <c r="D506">
        <v>2.1350000000000001E-4</v>
      </c>
      <c r="E506">
        <v>2.1939999999999999E-4</v>
      </c>
      <c r="F506">
        <v>493847919</v>
      </c>
      <c r="G506">
        <v>0</v>
      </c>
      <c r="L506" t="s">
        <v>8</v>
      </c>
      <c r="M506" t="s">
        <v>8</v>
      </c>
      <c r="N506" t="s">
        <v>7</v>
      </c>
      <c r="P506">
        <f t="shared" si="979"/>
        <v>-0.50000000000000111</v>
      </c>
      <c r="Q506">
        <f t="shared" si="980"/>
        <v>-246923959.50000054</v>
      </c>
      <c r="R506">
        <f t="shared" si="981"/>
        <v>-19688958261.959091</v>
      </c>
      <c r="S506">
        <f t="shared" si="982"/>
        <v>-196889.58261959092</v>
      </c>
      <c r="T506">
        <f t="shared" si="983"/>
        <v>-196.88958261959093</v>
      </c>
    </row>
    <row r="507" spans="1:20" x14ac:dyDescent="0.25">
      <c r="A507" s="5">
        <v>44086</v>
      </c>
      <c r="B507">
        <v>2.363E-4</v>
      </c>
      <c r="C507">
        <v>2.3929999999999999E-4</v>
      </c>
      <c r="D507">
        <v>2.2469999999999999E-4</v>
      </c>
      <c r="E507">
        <v>2.3550000000000001E-4</v>
      </c>
      <c r="F507">
        <v>629667051</v>
      </c>
      <c r="G507">
        <v>0</v>
      </c>
      <c r="L507" t="s">
        <v>7</v>
      </c>
      <c r="M507" t="s">
        <v>8</v>
      </c>
      <c r="N507" t="s">
        <v>7</v>
      </c>
      <c r="P507">
        <f t="shared" si="979"/>
        <v>0.47945205479452285</v>
      </c>
      <c r="Q507">
        <f t="shared" si="980"/>
        <v>301895161.43835759</v>
      </c>
      <c r="R507">
        <f t="shared" si="981"/>
        <v>-19442034302.459091</v>
      </c>
      <c r="S507">
        <f t="shared" si="982"/>
        <v>-194420.34302459093</v>
      </c>
      <c r="T507">
        <f t="shared" si="983"/>
        <v>-194.42034302459092</v>
      </c>
    </row>
    <row r="508" spans="1:20" x14ac:dyDescent="0.25">
      <c r="A508" s="5">
        <v>44085</v>
      </c>
      <c r="B508">
        <v>2.3499999999999999E-4</v>
      </c>
      <c r="C508">
        <v>2.3900000000000001E-4</v>
      </c>
      <c r="D508">
        <v>2.273E-4</v>
      </c>
      <c r="E508">
        <v>2.362E-4</v>
      </c>
      <c r="F508">
        <v>293700187</v>
      </c>
      <c r="G508">
        <v>0</v>
      </c>
      <c r="L508" t="s">
        <v>8</v>
      </c>
      <c r="M508" t="s">
        <v>8</v>
      </c>
      <c r="N508" t="s">
        <v>7</v>
      </c>
      <c r="P508">
        <f t="shared" si="979"/>
        <v>0.52136752136751952</v>
      </c>
      <c r="Q508">
        <f t="shared" si="980"/>
        <v>153125738.52136698</v>
      </c>
      <c r="R508">
        <f t="shared" si="981"/>
        <v>-19743929463.897449</v>
      </c>
      <c r="S508">
        <f t="shared" si="982"/>
        <v>-197439.2946389745</v>
      </c>
      <c r="T508">
        <f t="shared" si="983"/>
        <v>-197.4392946389745</v>
      </c>
    </row>
    <row r="509" spans="1:20" x14ac:dyDescent="0.25">
      <c r="A509" s="5">
        <v>44084</v>
      </c>
      <c r="B509">
        <v>2.2919999999999999E-4</v>
      </c>
      <c r="C509">
        <v>2.399E-4</v>
      </c>
      <c r="D509">
        <v>2.252E-4</v>
      </c>
      <c r="E509">
        <v>2.3279999999999999E-4</v>
      </c>
      <c r="F509">
        <v>411634937</v>
      </c>
      <c r="G509">
        <v>0</v>
      </c>
      <c r="L509" t="s">
        <v>7</v>
      </c>
      <c r="M509" t="s">
        <v>8</v>
      </c>
      <c r="N509" t="s">
        <v>7</v>
      </c>
      <c r="P509">
        <f t="shared" si="979"/>
        <v>3.401360544217584E-2</v>
      </c>
      <c r="Q509">
        <f t="shared" si="980"/>
        <v>14001188.333332909</v>
      </c>
      <c r="R509">
        <f t="shared" si="981"/>
        <v>-19897055202.418816</v>
      </c>
      <c r="S509">
        <f t="shared" si="982"/>
        <v>-198970.55202418816</v>
      </c>
      <c r="T509">
        <f t="shared" si="983"/>
        <v>-198.97055202418815</v>
      </c>
    </row>
    <row r="510" spans="1:20" x14ac:dyDescent="0.25">
      <c r="A510" s="5">
        <v>44083</v>
      </c>
      <c r="B510">
        <v>2.2000000000000001E-4</v>
      </c>
      <c r="C510">
        <v>2.399E-4</v>
      </c>
      <c r="D510">
        <v>2.1320000000000001E-4</v>
      </c>
      <c r="E510">
        <v>2.2829999999999999E-4</v>
      </c>
      <c r="F510">
        <v>436608088</v>
      </c>
      <c r="G510">
        <v>0</v>
      </c>
      <c r="L510" t="s">
        <v>8</v>
      </c>
      <c r="M510" t="s">
        <v>8</v>
      </c>
      <c r="N510" t="s">
        <v>7</v>
      </c>
      <c r="P510">
        <f t="shared" si="979"/>
        <v>0.1310861423220965</v>
      </c>
      <c r="Q510">
        <f t="shared" si="980"/>
        <v>57233269.962546438</v>
      </c>
      <c r="R510">
        <f t="shared" si="981"/>
        <v>-19911056390.752148</v>
      </c>
      <c r="S510">
        <f t="shared" si="982"/>
        <v>-199110.56390752149</v>
      </c>
      <c r="T510">
        <f t="shared" si="983"/>
        <v>-199.11056390752148</v>
      </c>
    </row>
    <row r="511" spans="1:20" x14ac:dyDescent="0.25">
      <c r="A511" s="5">
        <v>44082</v>
      </c>
      <c r="B511">
        <v>2.209E-4</v>
      </c>
      <c r="C511">
        <v>2.243E-4</v>
      </c>
      <c r="D511">
        <v>2.0990000000000001E-4</v>
      </c>
      <c r="E511">
        <v>2.2000000000000001E-4</v>
      </c>
      <c r="F511">
        <v>499329707</v>
      </c>
      <c r="G511">
        <v>0</v>
      </c>
      <c r="L511" t="s">
        <v>7</v>
      </c>
      <c r="M511" t="s">
        <v>8</v>
      </c>
      <c r="N511" t="s">
        <v>7</v>
      </c>
      <c r="P511">
        <f t="shared" si="979"/>
        <v>0.40277777777777823</v>
      </c>
      <c r="Q511">
        <f t="shared" si="980"/>
        <v>201118909.7638891</v>
      </c>
      <c r="R511">
        <f t="shared" si="981"/>
        <v>-19968289660.714695</v>
      </c>
      <c r="S511">
        <f t="shared" si="982"/>
        <v>-199682.89660714695</v>
      </c>
      <c r="T511">
        <f t="shared" si="983"/>
        <v>-199.68289660714694</v>
      </c>
    </row>
    <row r="512" spans="1:20" x14ac:dyDescent="0.25">
      <c r="A512" s="5">
        <v>44081</v>
      </c>
      <c r="B512">
        <v>2.2379999999999999E-4</v>
      </c>
      <c r="C512">
        <v>2.4379999999999999E-4</v>
      </c>
      <c r="D512">
        <v>2.0110000000000001E-4</v>
      </c>
      <c r="E512">
        <v>2.1890000000000001E-4</v>
      </c>
      <c r="F512">
        <v>645625694</v>
      </c>
      <c r="G512">
        <v>0</v>
      </c>
      <c r="L512" t="s">
        <v>8</v>
      </c>
      <c r="M512" t="s">
        <v>8</v>
      </c>
      <c r="N512" t="s">
        <v>7</v>
      </c>
      <c r="P512">
        <f t="shared" si="979"/>
        <v>-0.16627634660421514</v>
      </c>
      <c r="Q512">
        <f t="shared" si="980"/>
        <v>-107352281.67213094</v>
      </c>
      <c r="R512">
        <f t="shared" si="981"/>
        <v>-20169408570.478584</v>
      </c>
      <c r="S512">
        <f t="shared" si="982"/>
        <v>-201694.08570478583</v>
      </c>
      <c r="T512">
        <f t="shared" si="983"/>
        <v>-201.69408570478583</v>
      </c>
    </row>
    <row r="513" spans="1:20" x14ac:dyDescent="0.25">
      <c r="A513" s="5">
        <v>44080</v>
      </c>
      <c r="B513">
        <v>2.109E-4</v>
      </c>
      <c r="C513">
        <v>2.3039999999999999E-4</v>
      </c>
      <c r="D513">
        <v>2.0010000000000001E-4</v>
      </c>
      <c r="E513">
        <v>2.2359999999999999E-4</v>
      </c>
      <c r="F513">
        <v>626115135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0.55115511551155061</v>
      </c>
      <c r="Q513">
        <f t="shared" si="980"/>
        <v>345086559.5544551</v>
      </c>
      <c r="R513">
        <f t="shared" si="981"/>
        <v>-20062056288.806454</v>
      </c>
      <c r="S513">
        <f t="shared" si="982"/>
        <v>-200620.56288806454</v>
      </c>
      <c r="T513">
        <f t="shared" si="983"/>
        <v>-200.62056288806454</v>
      </c>
    </row>
    <row r="514" spans="1:20" x14ac:dyDescent="0.25">
      <c r="A514" s="5">
        <v>44079</v>
      </c>
      <c r="B514">
        <v>2.4570000000000001E-4</v>
      </c>
      <c r="C514">
        <v>2.4919999999999999E-4</v>
      </c>
      <c r="D514">
        <v>2.0010000000000001E-4</v>
      </c>
      <c r="E514">
        <v>2.13E-4</v>
      </c>
      <c r="F514">
        <v>887981214</v>
      </c>
      <c r="G514">
        <v>0</v>
      </c>
      <c r="L514" t="s">
        <v>8</v>
      </c>
      <c r="M514" t="s">
        <v>7</v>
      </c>
      <c r="N514" t="s">
        <v>7</v>
      </c>
      <c r="P514">
        <f t="shared" si="979"/>
        <v>-0.47454175152749511</v>
      </c>
      <c r="Q514">
        <f t="shared" si="980"/>
        <v>-421384160.61507148</v>
      </c>
      <c r="R514">
        <f t="shared" si="981"/>
        <v>-20407142848.360909</v>
      </c>
      <c r="S514">
        <f t="shared" si="982"/>
        <v>-204071.42848360908</v>
      </c>
      <c r="T514">
        <f t="shared" si="983"/>
        <v>-204.07142848360908</v>
      </c>
    </row>
    <row r="515" spans="1:20" x14ac:dyDescent="0.25">
      <c r="A515" s="5">
        <v>44078</v>
      </c>
      <c r="B515">
        <v>2.5179999999999999E-4</v>
      </c>
      <c r="C515">
        <v>2.6279999999999999E-4</v>
      </c>
      <c r="D515">
        <v>2.3389999999999999E-4</v>
      </c>
      <c r="E515">
        <v>2.4570000000000001E-4</v>
      </c>
      <c r="F515">
        <v>896058857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-0.18339100346020645</v>
      </c>
      <c r="Q515">
        <f t="shared" si="980"/>
        <v>-164329132.94463563</v>
      </c>
      <c r="R515">
        <f t="shared" si="981"/>
        <v>-19985758687.745838</v>
      </c>
      <c r="S515">
        <f t="shared" si="982"/>
        <v>-199857.58687745838</v>
      </c>
      <c r="T515">
        <f t="shared" si="983"/>
        <v>-199.85758687745837</v>
      </c>
    </row>
    <row r="516" spans="1:20" x14ac:dyDescent="0.25">
      <c r="A516" s="5">
        <v>44077</v>
      </c>
      <c r="B516">
        <v>2.8380000000000001E-4</v>
      </c>
      <c r="C516">
        <v>2.898E-4</v>
      </c>
      <c r="D516">
        <v>2.5000000000000001E-4</v>
      </c>
      <c r="E516">
        <v>2.52E-4</v>
      </c>
      <c r="F516">
        <v>896688192</v>
      </c>
      <c r="G516">
        <v>0</v>
      </c>
      <c r="L516" t="s">
        <v>8</v>
      </c>
      <c r="M516" t="s">
        <v>7</v>
      </c>
      <c r="N516" t="s">
        <v>7</v>
      </c>
      <c r="P516">
        <f t="shared" si="979"/>
        <v>-0.89949748743718616</v>
      </c>
      <c r="Q516">
        <f t="shared" si="980"/>
        <v>-806568775.71859312</v>
      </c>
      <c r="R516">
        <f t="shared" si="981"/>
        <v>-19821429554.801201</v>
      </c>
      <c r="S516">
        <f t="shared" si="982"/>
        <v>-198214.29554801201</v>
      </c>
      <c r="T516">
        <f t="shared" si="983"/>
        <v>-198.21429554801202</v>
      </c>
    </row>
    <row r="517" spans="1:20" x14ac:dyDescent="0.25">
      <c r="A517" s="5">
        <v>44076</v>
      </c>
      <c r="B517">
        <v>3.0299999999999999E-4</v>
      </c>
      <c r="C517">
        <v>3.0949999999999999E-4</v>
      </c>
      <c r="D517">
        <v>2.6870000000000003E-4</v>
      </c>
      <c r="E517">
        <v>2.8299999999999999E-4</v>
      </c>
      <c r="F517">
        <v>950682086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-0.29901960784313814</v>
      </c>
      <c r="Q517">
        <f t="shared" si="980"/>
        <v>-284272584.53921652</v>
      </c>
      <c r="R517">
        <f t="shared" si="981"/>
        <v>-19014860779.082607</v>
      </c>
      <c r="S517">
        <f t="shared" si="982"/>
        <v>-190148.60779082606</v>
      </c>
      <c r="T517">
        <f t="shared" si="983"/>
        <v>-190.14860779082608</v>
      </c>
    </row>
    <row r="518" spans="1:20" x14ac:dyDescent="0.25">
      <c r="A518" s="5">
        <v>44075</v>
      </c>
      <c r="B518">
        <v>3.0959999999999999E-4</v>
      </c>
      <c r="C518">
        <v>3.2499999999999999E-4</v>
      </c>
      <c r="D518">
        <v>2.9720000000000001E-4</v>
      </c>
      <c r="E518">
        <v>3.0309999999999999E-4</v>
      </c>
      <c r="F518">
        <v>829666415</v>
      </c>
      <c r="G518">
        <v>0</v>
      </c>
      <c r="L518" t="s">
        <v>8</v>
      </c>
      <c r="M518" t="s">
        <v>8</v>
      </c>
      <c r="N518" t="s">
        <v>7</v>
      </c>
      <c r="P518">
        <f t="shared" ref="P518:P581" si="984">IF(C518=D518,0,((E518-D518)-(C518-E518))/(C518-D518))</f>
        <v>-0.57553956834532471</v>
      </c>
      <c r="Q518">
        <f t="shared" ref="Q518:Q581" si="985">F518*P518</f>
        <v>-477505850.35971302</v>
      </c>
      <c r="R518">
        <f t="shared" ref="R518:R581" si="986">R519+Q518</f>
        <v>-18730588194.543392</v>
      </c>
      <c r="S518">
        <f t="shared" ref="S518:S581" si="987">R518/100000</f>
        <v>-187305.88194543391</v>
      </c>
      <c r="T518">
        <f t="shared" ref="T518:T581" si="988">S518/1000</f>
        <v>-187.3058819454339</v>
      </c>
    </row>
    <row r="519" spans="1:20" x14ac:dyDescent="0.25">
      <c r="A519" s="5">
        <v>44074</v>
      </c>
      <c r="B519">
        <v>3.0449999999999997E-4</v>
      </c>
      <c r="C519">
        <v>3.2370000000000001E-4</v>
      </c>
      <c r="D519">
        <v>2.99E-4</v>
      </c>
      <c r="E519">
        <v>3.099E-4</v>
      </c>
      <c r="F519">
        <v>723876164</v>
      </c>
      <c r="G519">
        <v>0</v>
      </c>
      <c r="L519" t="s">
        <v>7</v>
      </c>
      <c r="M519" t="s">
        <v>8</v>
      </c>
      <c r="N519" t="s">
        <v>7</v>
      </c>
      <c r="P519">
        <f t="shared" si="984"/>
        <v>-0.11740890688259173</v>
      </c>
      <c r="Q519">
        <f t="shared" si="985"/>
        <v>-84989509.133603692</v>
      </c>
      <c r="R519">
        <f t="shared" si="986"/>
        <v>-18253082344.183678</v>
      </c>
      <c r="S519">
        <f t="shared" si="987"/>
        <v>-182530.82344183678</v>
      </c>
      <c r="T519">
        <f t="shared" si="988"/>
        <v>-182.53082344183679</v>
      </c>
    </row>
    <row r="520" spans="1:20" x14ac:dyDescent="0.25">
      <c r="A520" s="5">
        <v>44073</v>
      </c>
      <c r="B520">
        <v>3.032E-4</v>
      </c>
      <c r="C520">
        <v>3.0830000000000001E-4</v>
      </c>
      <c r="D520">
        <v>2.92E-4</v>
      </c>
      <c r="E520">
        <v>3.0440000000000003E-4</v>
      </c>
      <c r="F520">
        <v>820545771</v>
      </c>
      <c r="G520">
        <v>0</v>
      </c>
      <c r="L520" t="s">
        <v>8</v>
      </c>
      <c r="M520" t="s">
        <v>8</v>
      </c>
      <c r="N520" t="s">
        <v>7</v>
      </c>
      <c r="P520">
        <f t="shared" si="984"/>
        <v>0.52147239263803902</v>
      </c>
      <c r="Q520">
        <f t="shared" si="985"/>
        <v>427891966.47239447</v>
      </c>
      <c r="R520">
        <f t="shared" si="986"/>
        <v>-18168092835.050076</v>
      </c>
      <c r="S520">
        <f t="shared" si="987"/>
        <v>-181680.92835050076</v>
      </c>
      <c r="T520">
        <f t="shared" si="988"/>
        <v>-181.68092835050075</v>
      </c>
    </row>
    <row r="521" spans="1:20" x14ac:dyDescent="0.25">
      <c r="A521" s="5">
        <v>44072</v>
      </c>
      <c r="B521">
        <v>3.1119999999999997E-4</v>
      </c>
      <c r="C521">
        <v>3.1399999999999999E-4</v>
      </c>
      <c r="D521">
        <v>2.9829999999999999E-4</v>
      </c>
      <c r="E521">
        <v>3.032E-4</v>
      </c>
      <c r="F521">
        <v>775462191</v>
      </c>
      <c r="G521">
        <v>0</v>
      </c>
      <c r="L521" t="s">
        <v>7</v>
      </c>
      <c r="M521" t="s">
        <v>8</v>
      </c>
      <c r="N521" t="s">
        <v>7</v>
      </c>
      <c r="P521">
        <f t="shared" si="984"/>
        <v>-0.3757961783439478</v>
      </c>
      <c r="Q521">
        <f t="shared" si="985"/>
        <v>-291415727.82802451</v>
      </c>
      <c r="R521">
        <f t="shared" si="986"/>
        <v>-18595984801.522469</v>
      </c>
      <c r="S521">
        <f t="shared" si="987"/>
        <v>-185959.84801522468</v>
      </c>
      <c r="T521">
        <f t="shared" si="988"/>
        <v>-185.95984801522468</v>
      </c>
    </row>
    <row r="522" spans="1:20" x14ac:dyDescent="0.25">
      <c r="A522" s="5">
        <v>44071</v>
      </c>
      <c r="B522">
        <v>3.1310000000000002E-4</v>
      </c>
      <c r="C522">
        <v>3.3500000000000001E-4</v>
      </c>
      <c r="D522">
        <v>3.0850000000000002E-4</v>
      </c>
      <c r="E522">
        <v>3.0889999999999997E-4</v>
      </c>
      <c r="F522">
        <v>1287095374</v>
      </c>
      <c r="G522">
        <v>0</v>
      </c>
      <c r="L522" t="s">
        <v>8</v>
      </c>
      <c r="M522" t="s">
        <v>8</v>
      </c>
      <c r="N522" t="s">
        <v>7</v>
      </c>
      <c r="P522">
        <f t="shared" si="984"/>
        <v>-0.96981132075472032</v>
      </c>
      <c r="Q522">
        <f t="shared" si="985"/>
        <v>-1248239664.5962307</v>
      </c>
      <c r="R522">
        <f t="shared" si="986"/>
        <v>-18304569073.694443</v>
      </c>
      <c r="S522">
        <f t="shared" si="987"/>
        <v>-183045.69073694444</v>
      </c>
      <c r="T522">
        <f t="shared" si="988"/>
        <v>-183.04569073694444</v>
      </c>
    </row>
    <row r="523" spans="1:20" x14ac:dyDescent="0.25">
      <c r="A523" s="5">
        <v>44070</v>
      </c>
      <c r="B523">
        <v>3.0069999999999999E-4</v>
      </c>
      <c r="C523">
        <v>3.4249999999999998E-4</v>
      </c>
      <c r="D523">
        <v>2.9639999999999999E-4</v>
      </c>
      <c r="E523">
        <v>3.1320000000000002E-4</v>
      </c>
      <c r="F523">
        <v>2088754707</v>
      </c>
      <c r="G523">
        <v>0</v>
      </c>
      <c r="L523" t="s">
        <v>7</v>
      </c>
      <c r="M523" t="s">
        <v>8</v>
      </c>
      <c r="N523" t="s">
        <v>7</v>
      </c>
      <c r="P523">
        <f t="shared" si="984"/>
        <v>-0.27114967462038891</v>
      </c>
      <c r="Q523">
        <f t="shared" si="985"/>
        <v>-566365159.16485584</v>
      </c>
      <c r="R523">
        <f t="shared" si="986"/>
        <v>-17056329409.098213</v>
      </c>
      <c r="S523">
        <f t="shared" si="987"/>
        <v>-170563.29409098212</v>
      </c>
      <c r="T523">
        <f t="shared" si="988"/>
        <v>-170.56329409098211</v>
      </c>
    </row>
    <row r="524" spans="1:20" x14ac:dyDescent="0.25">
      <c r="A524" s="5">
        <v>44069</v>
      </c>
      <c r="B524">
        <v>2.6820000000000001E-4</v>
      </c>
      <c r="C524">
        <v>3.4000000000000002E-4</v>
      </c>
      <c r="D524">
        <v>2.6400000000000002E-4</v>
      </c>
      <c r="E524">
        <v>2.9930000000000001E-4</v>
      </c>
      <c r="F524">
        <v>4513151449</v>
      </c>
      <c r="G524">
        <v>0</v>
      </c>
      <c r="L524" t="s">
        <v>8</v>
      </c>
      <c r="M524" t="s">
        <v>8</v>
      </c>
      <c r="N524" t="s">
        <v>7</v>
      </c>
      <c r="P524">
        <f t="shared" si="984"/>
        <v>-7.1052631578947659E-2</v>
      </c>
      <c r="Q524">
        <f t="shared" si="985"/>
        <v>-320671287.1657908</v>
      </c>
      <c r="R524">
        <f t="shared" si="986"/>
        <v>-16489964249.933357</v>
      </c>
      <c r="S524">
        <f t="shared" si="987"/>
        <v>-164899.64249933357</v>
      </c>
      <c r="T524">
        <f t="shared" si="988"/>
        <v>-164.89964249933357</v>
      </c>
    </row>
    <row r="525" spans="1:20" x14ac:dyDescent="0.25">
      <c r="A525" s="5">
        <v>44068</v>
      </c>
      <c r="B525">
        <v>2.9030000000000001E-4</v>
      </c>
      <c r="C525">
        <v>2.9149999999999998E-4</v>
      </c>
      <c r="D525">
        <v>2.61E-4</v>
      </c>
      <c r="E525">
        <v>2.6860000000000002E-4</v>
      </c>
      <c r="F525">
        <v>712104651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-0.5016393442622934</v>
      </c>
      <c r="Q525">
        <f t="shared" si="985"/>
        <v>-357219710.1737693</v>
      </c>
      <c r="R525">
        <f t="shared" si="986"/>
        <v>-16169292962.767567</v>
      </c>
      <c r="S525">
        <f t="shared" si="987"/>
        <v>-161692.92962767568</v>
      </c>
      <c r="T525">
        <f t="shared" si="988"/>
        <v>-161.69292962767568</v>
      </c>
    </row>
    <row r="526" spans="1:20" x14ac:dyDescent="0.25">
      <c r="A526" s="5">
        <v>44067</v>
      </c>
      <c r="B526">
        <v>2.7579999999999998E-4</v>
      </c>
      <c r="C526">
        <v>2.9349999999999998E-4</v>
      </c>
      <c r="D526">
        <v>2.744E-4</v>
      </c>
      <c r="E526">
        <v>2.9030000000000001E-4</v>
      </c>
      <c r="F526">
        <v>634891689</v>
      </c>
      <c r="G526">
        <v>0</v>
      </c>
      <c r="L526" t="s">
        <v>8</v>
      </c>
      <c r="M526" t="s">
        <v>7</v>
      </c>
      <c r="N526" t="s">
        <v>7</v>
      </c>
      <c r="P526">
        <f t="shared" si="984"/>
        <v>0.66492146596858914</v>
      </c>
      <c r="Q526">
        <f t="shared" si="985"/>
        <v>422153112.58115357</v>
      </c>
      <c r="R526">
        <f t="shared" si="986"/>
        <v>-15812073252.593798</v>
      </c>
      <c r="S526">
        <f t="shared" si="987"/>
        <v>-158120.73252593799</v>
      </c>
      <c r="T526">
        <f t="shared" si="988"/>
        <v>-158.120732525938</v>
      </c>
    </row>
    <row r="527" spans="1:20" x14ac:dyDescent="0.25">
      <c r="A527" s="5">
        <v>44066</v>
      </c>
      <c r="B527">
        <v>2.7099999999999997E-4</v>
      </c>
      <c r="C527">
        <v>2.832E-4</v>
      </c>
      <c r="D527">
        <v>2.6469999999999998E-4</v>
      </c>
      <c r="E527">
        <v>2.7609999999999999E-4</v>
      </c>
      <c r="F527">
        <v>998381327</v>
      </c>
      <c r="G527">
        <v>0</v>
      </c>
      <c r="L527" t="s">
        <v>7</v>
      </c>
      <c r="M527" t="s">
        <v>7</v>
      </c>
      <c r="N527" t="s">
        <v>7</v>
      </c>
      <c r="P527">
        <f t="shared" si="984"/>
        <v>0.23243243243243203</v>
      </c>
      <c r="Q527">
        <f t="shared" si="985"/>
        <v>232056200.32972932</v>
      </c>
      <c r="R527">
        <f t="shared" si="986"/>
        <v>-16234226365.174952</v>
      </c>
      <c r="S527">
        <f t="shared" si="987"/>
        <v>-162342.26365174953</v>
      </c>
      <c r="T527">
        <f t="shared" si="988"/>
        <v>-162.34226365174953</v>
      </c>
    </row>
    <row r="528" spans="1:20" x14ac:dyDescent="0.25">
      <c r="A528" s="5">
        <v>44065</v>
      </c>
      <c r="B528">
        <v>2.834E-4</v>
      </c>
      <c r="C528">
        <v>2.8610000000000002E-4</v>
      </c>
      <c r="D528">
        <v>2.6810000000000001E-4</v>
      </c>
      <c r="E528">
        <v>2.7099999999999997E-4</v>
      </c>
      <c r="F528">
        <v>1019450153</v>
      </c>
      <c r="G528">
        <v>0</v>
      </c>
      <c r="L528" t="s">
        <v>8</v>
      </c>
      <c r="M528" t="s">
        <v>7</v>
      </c>
      <c r="N528" t="s">
        <v>7</v>
      </c>
      <c r="P528">
        <f t="shared" si="984"/>
        <v>-0.67777777777778203</v>
      </c>
      <c r="Q528">
        <f t="shared" si="985"/>
        <v>-690960659.25555992</v>
      </c>
      <c r="R528">
        <f t="shared" si="986"/>
        <v>-16466282565.504681</v>
      </c>
      <c r="S528">
        <f t="shared" si="987"/>
        <v>-164662.82565504679</v>
      </c>
      <c r="T528">
        <f t="shared" si="988"/>
        <v>-164.66282565504679</v>
      </c>
    </row>
    <row r="529" spans="1:20" x14ac:dyDescent="0.25">
      <c r="A529" s="5">
        <v>44064</v>
      </c>
      <c r="B529">
        <v>3.0430000000000002E-4</v>
      </c>
      <c r="C529">
        <v>3.0810000000000001E-4</v>
      </c>
      <c r="D529">
        <v>2.7999999999999998E-4</v>
      </c>
      <c r="E529">
        <v>2.832E-4</v>
      </c>
      <c r="F529">
        <v>685607198</v>
      </c>
      <c r="G529">
        <v>0</v>
      </c>
      <c r="L529" t="s">
        <v>7</v>
      </c>
      <c r="M529" t="s">
        <v>7</v>
      </c>
      <c r="N529" t="s">
        <v>7</v>
      </c>
      <c r="P529">
        <f t="shared" si="984"/>
        <v>-0.7722419928825609</v>
      </c>
      <c r="Q529">
        <f t="shared" si="985"/>
        <v>-529454668.91814852</v>
      </c>
      <c r="R529">
        <f t="shared" si="986"/>
        <v>-15775321906.249121</v>
      </c>
      <c r="S529">
        <f t="shared" si="987"/>
        <v>-157753.2190624912</v>
      </c>
      <c r="T529">
        <f t="shared" si="988"/>
        <v>-157.75321906249121</v>
      </c>
    </row>
    <row r="530" spans="1:20" x14ac:dyDescent="0.25">
      <c r="A530" s="5">
        <v>44063</v>
      </c>
      <c r="B530">
        <v>3.0160000000000001E-4</v>
      </c>
      <c r="C530">
        <v>3.0929999999999998E-4</v>
      </c>
      <c r="D530">
        <v>2.9760000000000002E-4</v>
      </c>
      <c r="E530">
        <v>3.0430000000000002E-4</v>
      </c>
      <c r="F530">
        <v>579189675</v>
      </c>
      <c r="G530">
        <v>0</v>
      </c>
      <c r="L530" t="s">
        <v>8</v>
      </c>
      <c r="M530" t="s">
        <v>7</v>
      </c>
      <c r="N530" t="s">
        <v>7</v>
      </c>
      <c r="P530">
        <f t="shared" si="984"/>
        <v>0.14529914529914933</v>
      </c>
      <c r="Q530">
        <f t="shared" si="985"/>
        <v>84155764.743592083</v>
      </c>
      <c r="R530">
        <f t="shared" si="986"/>
        <v>-15245867237.330973</v>
      </c>
      <c r="S530">
        <f t="shared" si="987"/>
        <v>-152458.67237330973</v>
      </c>
      <c r="T530">
        <f t="shared" si="988"/>
        <v>-152.45867237330972</v>
      </c>
    </row>
    <row r="531" spans="1:20" x14ac:dyDescent="0.25">
      <c r="A531" s="5">
        <v>44062</v>
      </c>
      <c r="B531">
        <v>3.232E-4</v>
      </c>
      <c r="C531">
        <v>3.3579999999999998E-4</v>
      </c>
      <c r="D531">
        <v>2.9510000000000002E-4</v>
      </c>
      <c r="E531">
        <v>3.0009999999999998E-4</v>
      </c>
      <c r="F531">
        <v>767963126</v>
      </c>
      <c r="G531">
        <v>0</v>
      </c>
      <c r="L531" t="s">
        <v>7</v>
      </c>
      <c r="M531" t="s">
        <v>7</v>
      </c>
      <c r="N531" t="s">
        <v>7</v>
      </c>
      <c r="P531">
        <f t="shared" si="984"/>
        <v>-0.75429975429975604</v>
      </c>
      <c r="Q531">
        <f t="shared" si="985"/>
        <v>-579274397.25307262</v>
      </c>
      <c r="R531">
        <f t="shared" si="986"/>
        <v>-15330023002.074564</v>
      </c>
      <c r="S531">
        <f t="shared" si="987"/>
        <v>-153300.23002074563</v>
      </c>
      <c r="T531">
        <f t="shared" si="988"/>
        <v>-153.30023002074563</v>
      </c>
    </row>
    <row r="532" spans="1:20" x14ac:dyDescent="0.25">
      <c r="A532" s="5">
        <v>44061</v>
      </c>
      <c r="B532">
        <v>3.4440000000000002E-4</v>
      </c>
      <c r="C532">
        <v>3.5090000000000002E-4</v>
      </c>
      <c r="D532">
        <v>3.1330000000000003E-4</v>
      </c>
      <c r="E532">
        <v>3.2309999999999999E-4</v>
      </c>
      <c r="F532">
        <v>869834926</v>
      </c>
      <c r="G532">
        <v>0</v>
      </c>
      <c r="L532" t="s">
        <v>8</v>
      </c>
      <c r="M532" t="s">
        <v>8</v>
      </c>
      <c r="N532" t="s">
        <v>7</v>
      </c>
      <c r="P532">
        <f t="shared" si="984"/>
        <v>-0.47872340425532078</v>
      </c>
      <c r="Q532">
        <f t="shared" si="985"/>
        <v>-416410336.91489506</v>
      </c>
      <c r="R532">
        <f t="shared" si="986"/>
        <v>-14750748604.821491</v>
      </c>
      <c r="S532">
        <f t="shared" si="987"/>
        <v>-147507.48604821492</v>
      </c>
      <c r="T532">
        <f t="shared" si="988"/>
        <v>-147.50748604821493</v>
      </c>
    </row>
    <row r="533" spans="1:20" x14ac:dyDescent="0.25">
      <c r="A533" s="5">
        <v>44060</v>
      </c>
      <c r="B533">
        <v>3.3040000000000001E-4</v>
      </c>
      <c r="C533">
        <v>3.5560000000000002E-4</v>
      </c>
      <c r="D533">
        <v>3.2049999999999998E-4</v>
      </c>
      <c r="E533">
        <v>3.4440000000000002E-4</v>
      </c>
      <c r="F533">
        <v>1345366641</v>
      </c>
      <c r="G533">
        <v>0</v>
      </c>
      <c r="L533" t="s">
        <v>7</v>
      </c>
      <c r="M533" t="s">
        <v>8</v>
      </c>
      <c r="N533" t="s">
        <v>7</v>
      </c>
      <c r="P533">
        <f t="shared" si="984"/>
        <v>0.3618233618233625</v>
      </c>
      <c r="Q533">
        <f t="shared" si="985"/>
        <v>486785080.93162483</v>
      </c>
      <c r="R533">
        <f t="shared" si="986"/>
        <v>-14334338267.906595</v>
      </c>
      <c r="S533">
        <f t="shared" si="987"/>
        <v>-143343.38267906595</v>
      </c>
      <c r="T533">
        <f t="shared" si="988"/>
        <v>-143.34338267906594</v>
      </c>
    </row>
    <row r="534" spans="1:20" x14ac:dyDescent="0.25">
      <c r="A534" s="5">
        <v>44059</v>
      </c>
      <c r="B534">
        <v>3.1799999999999998E-4</v>
      </c>
      <c r="C534">
        <v>3.325E-4</v>
      </c>
      <c r="D534">
        <v>3.0899999999999998E-4</v>
      </c>
      <c r="E534">
        <v>3.3050000000000001E-4</v>
      </c>
      <c r="F534">
        <v>916768741</v>
      </c>
      <c r="G534">
        <v>0</v>
      </c>
      <c r="L534" t="s">
        <v>8</v>
      </c>
      <c r="M534" t="s">
        <v>7</v>
      </c>
      <c r="N534" t="s">
        <v>7</v>
      </c>
      <c r="P534">
        <f t="shared" si="984"/>
        <v>0.82978723404255383</v>
      </c>
      <c r="Q534">
        <f t="shared" si="985"/>
        <v>760722997.85106444</v>
      </c>
      <c r="R534">
        <f t="shared" si="986"/>
        <v>-14821123348.838221</v>
      </c>
      <c r="S534">
        <f t="shared" si="987"/>
        <v>-148211.23348838222</v>
      </c>
      <c r="T534">
        <f t="shared" si="988"/>
        <v>-148.21123348838222</v>
      </c>
    </row>
    <row r="535" spans="1:20" x14ac:dyDescent="0.25">
      <c r="A535" s="5">
        <v>44058</v>
      </c>
      <c r="B535">
        <v>3.1369999999999998E-4</v>
      </c>
      <c r="C535">
        <v>3.2000000000000003E-4</v>
      </c>
      <c r="D535">
        <v>3.1070000000000002E-4</v>
      </c>
      <c r="E535">
        <v>3.1789999999999998E-4</v>
      </c>
      <c r="F535">
        <v>610971442</v>
      </c>
      <c r="G535">
        <v>0</v>
      </c>
      <c r="L535" t="s">
        <v>7</v>
      </c>
      <c r="M535" t="s">
        <v>7</v>
      </c>
      <c r="N535" t="s">
        <v>7</v>
      </c>
      <c r="P535">
        <f t="shared" si="984"/>
        <v>0.54838709677418307</v>
      </c>
      <c r="Q535">
        <f t="shared" si="985"/>
        <v>335048855.29031616</v>
      </c>
      <c r="R535">
        <f t="shared" si="986"/>
        <v>-15581846346.689285</v>
      </c>
      <c r="S535">
        <f t="shared" si="987"/>
        <v>-155818.46346689286</v>
      </c>
      <c r="T535">
        <f t="shared" si="988"/>
        <v>-155.81846346689287</v>
      </c>
    </row>
    <row r="536" spans="1:20" x14ac:dyDescent="0.25">
      <c r="A536" s="5">
        <v>44057</v>
      </c>
      <c r="B536">
        <v>3.165E-4</v>
      </c>
      <c r="C536">
        <v>3.167E-4</v>
      </c>
      <c r="D536">
        <v>3.0610000000000001E-4</v>
      </c>
      <c r="E536">
        <v>3.1480000000000001E-4</v>
      </c>
      <c r="F536">
        <v>726675612</v>
      </c>
      <c r="G536">
        <v>0</v>
      </c>
      <c r="L536" t="s">
        <v>8</v>
      </c>
      <c r="M536" t="s">
        <v>7</v>
      </c>
      <c r="N536" t="s">
        <v>7</v>
      </c>
      <c r="P536">
        <f t="shared" si="984"/>
        <v>0.64150943396226523</v>
      </c>
      <c r="Q536">
        <f t="shared" si="985"/>
        <v>466169260.52830267</v>
      </c>
      <c r="R536">
        <f t="shared" si="986"/>
        <v>-15916895201.979601</v>
      </c>
      <c r="S536">
        <f t="shared" si="987"/>
        <v>-159168.95201979601</v>
      </c>
      <c r="T536">
        <f t="shared" si="988"/>
        <v>-159.168952019796</v>
      </c>
    </row>
    <row r="537" spans="1:20" x14ac:dyDescent="0.25">
      <c r="A537" s="5">
        <v>44056</v>
      </c>
      <c r="B537">
        <v>3.1500000000000001E-4</v>
      </c>
      <c r="C537">
        <v>3.2459999999999998E-4</v>
      </c>
      <c r="D537">
        <v>3.079E-4</v>
      </c>
      <c r="E537">
        <v>3.1510000000000002E-4</v>
      </c>
      <c r="F537">
        <v>1001390889</v>
      </c>
      <c r="G537">
        <v>0</v>
      </c>
      <c r="L537" t="s">
        <v>7</v>
      </c>
      <c r="M537" t="s">
        <v>7</v>
      </c>
      <c r="N537" t="s">
        <v>7</v>
      </c>
      <c r="P537">
        <f t="shared" si="984"/>
        <v>-0.13772455089820068</v>
      </c>
      <c r="Q537">
        <f t="shared" si="985"/>
        <v>-137916110.46107492</v>
      </c>
      <c r="R537">
        <f t="shared" si="986"/>
        <v>-16383064462.507904</v>
      </c>
      <c r="S537">
        <f t="shared" si="987"/>
        <v>-163830.64462507903</v>
      </c>
      <c r="T537">
        <f t="shared" si="988"/>
        <v>-163.83064462507903</v>
      </c>
    </row>
    <row r="538" spans="1:20" x14ac:dyDescent="0.25">
      <c r="A538" s="5">
        <v>44055</v>
      </c>
      <c r="B538">
        <v>3.1030000000000001E-4</v>
      </c>
      <c r="C538">
        <v>3.232E-4</v>
      </c>
      <c r="D538">
        <v>2.9550000000000003E-4</v>
      </c>
      <c r="E538">
        <v>3.1500000000000001E-4</v>
      </c>
      <c r="F538">
        <v>1331242698</v>
      </c>
      <c r="G538">
        <v>0</v>
      </c>
      <c r="L538" t="s">
        <v>8</v>
      </c>
      <c r="M538" t="s">
        <v>7</v>
      </c>
      <c r="N538" t="s">
        <v>7</v>
      </c>
      <c r="P538">
        <f t="shared" si="984"/>
        <v>0.40794223826714859</v>
      </c>
      <c r="Q538">
        <f t="shared" si="985"/>
        <v>543070125.89891779</v>
      </c>
      <c r="R538">
        <f t="shared" si="986"/>
        <v>-16245148352.046829</v>
      </c>
      <c r="S538">
        <f t="shared" si="987"/>
        <v>-162451.48352046829</v>
      </c>
      <c r="T538">
        <f t="shared" si="988"/>
        <v>-162.45148352046829</v>
      </c>
    </row>
    <row r="539" spans="1:20" x14ac:dyDescent="0.25">
      <c r="A539" s="5">
        <v>44054</v>
      </c>
      <c r="B539">
        <v>3.4759999999999999E-4</v>
      </c>
      <c r="C539">
        <v>3.4759999999999999E-4</v>
      </c>
      <c r="D539">
        <v>2.965E-4</v>
      </c>
      <c r="E539">
        <v>3.1199999999999999E-4</v>
      </c>
      <c r="F539">
        <v>1360505916</v>
      </c>
      <c r="G539">
        <v>0</v>
      </c>
      <c r="L539" t="s">
        <v>7</v>
      </c>
      <c r="M539" t="s">
        <v>7</v>
      </c>
      <c r="N539" t="s">
        <v>7</v>
      </c>
      <c r="P539">
        <f t="shared" si="984"/>
        <v>-0.39334637964774954</v>
      </c>
      <c r="Q539">
        <f t="shared" si="985"/>
        <v>-535150076.54794526</v>
      </c>
      <c r="R539">
        <f t="shared" si="986"/>
        <v>-16788218477.945747</v>
      </c>
      <c r="S539">
        <f t="shared" si="987"/>
        <v>-167882.18477945749</v>
      </c>
      <c r="T539">
        <f t="shared" si="988"/>
        <v>-167.88218477945748</v>
      </c>
    </row>
    <row r="540" spans="1:20" x14ac:dyDescent="0.25">
      <c r="A540" s="5">
        <v>44053</v>
      </c>
      <c r="B540">
        <v>3.3100000000000002E-4</v>
      </c>
      <c r="C540">
        <v>3.5500000000000001E-4</v>
      </c>
      <c r="D540">
        <v>3.1869999999999999E-4</v>
      </c>
      <c r="E540">
        <v>3.4590000000000001E-4</v>
      </c>
      <c r="F540">
        <v>2177171267</v>
      </c>
      <c r="G540">
        <v>0</v>
      </c>
      <c r="L540" t="s">
        <v>8</v>
      </c>
      <c r="M540" t="s">
        <v>7</v>
      </c>
      <c r="N540" t="s">
        <v>8</v>
      </c>
      <c r="P540">
        <f t="shared" si="984"/>
        <v>0.49862258953168043</v>
      </c>
      <c r="Q540">
        <f t="shared" si="985"/>
        <v>1085586775.0055096</v>
      </c>
      <c r="R540">
        <f t="shared" si="986"/>
        <v>-16253068401.397802</v>
      </c>
      <c r="S540">
        <f t="shared" si="987"/>
        <v>-162530.68401397803</v>
      </c>
      <c r="T540">
        <f t="shared" si="988"/>
        <v>-162.53068401397803</v>
      </c>
    </row>
    <row r="541" spans="1:20" x14ac:dyDescent="0.25">
      <c r="A541" s="5">
        <v>44052</v>
      </c>
      <c r="B541">
        <v>3.2620000000000001E-4</v>
      </c>
      <c r="C541">
        <v>3.347E-4</v>
      </c>
      <c r="D541">
        <v>3.2180000000000002E-4</v>
      </c>
      <c r="E541">
        <v>3.3090000000000002E-4</v>
      </c>
      <c r="F541">
        <v>911509738</v>
      </c>
      <c r="G541">
        <v>0</v>
      </c>
      <c r="L541" t="s">
        <v>7</v>
      </c>
      <c r="M541" t="s">
        <v>7</v>
      </c>
      <c r="N541" t="s">
        <v>8</v>
      </c>
      <c r="P541">
        <f t="shared" si="984"/>
        <v>0.41085271317829652</v>
      </c>
      <c r="Q541">
        <f t="shared" si="985"/>
        <v>374496248.9457382</v>
      </c>
      <c r="R541">
        <f t="shared" si="986"/>
        <v>-17338655176.403313</v>
      </c>
      <c r="S541">
        <f t="shared" si="987"/>
        <v>-173386.55176403312</v>
      </c>
      <c r="T541">
        <f t="shared" si="988"/>
        <v>-173.38655176403313</v>
      </c>
    </row>
    <row r="542" spans="1:20" x14ac:dyDescent="0.25">
      <c r="A542" s="5">
        <v>44051</v>
      </c>
      <c r="B542">
        <v>3.277E-4</v>
      </c>
      <c r="C542">
        <v>3.4450000000000003E-4</v>
      </c>
      <c r="D542">
        <v>3.2190000000000002E-4</v>
      </c>
      <c r="E542">
        <v>3.2590000000000001E-4</v>
      </c>
      <c r="F542">
        <v>1682634119</v>
      </c>
      <c r="G542">
        <v>0</v>
      </c>
      <c r="L542" t="s">
        <v>8</v>
      </c>
      <c r="M542" t="s">
        <v>7</v>
      </c>
      <c r="N542" t="s">
        <v>8</v>
      </c>
      <c r="P542">
        <f t="shared" si="984"/>
        <v>-0.64601769911504536</v>
      </c>
      <c r="Q542">
        <f t="shared" si="985"/>
        <v>-1087011422.0088515</v>
      </c>
      <c r="R542">
        <f t="shared" si="986"/>
        <v>-17713151425.349052</v>
      </c>
      <c r="S542">
        <f t="shared" si="987"/>
        <v>-177131.51425349052</v>
      </c>
      <c r="T542">
        <f t="shared" si="988"/>
        <v>-177.13151425349051</v>
      </c>
    </row>
    <row r="543" spans="1:20" x14ac:dyDescent="0.25">
      <c r="A543" s="5">
        <v>44050</v>
      </c>
      <c r="B543">
        <v>3.4509999999999999E-4</v>
      </c>
      <c r="C543">
        <v>3.9350000000000002E-4</v>
      </c>
      <c r="D543">
        <v>3.1839999999999999E-4</v>
      </c>
      <c r="E543">
        <v>3.278E-4</v>
      </c>
      <c r="F543">
        <v>4740012386</v>
      </c>
      <c r="G543">
        <v>0</v>
      </c>
      <c r="L543" t="s">
        <v>7</v>
      </c>
      <c r="M543" t="s">
        <v>7</v>
      </c>
      <c r="N543" t="s">
        <v>8</v>
      </c>
      <c r="P543">
        <f t="shared" si="984"/>
        <v>-0.74966711051930746</v>
      </c>
      <c r="Q543">
        <f t="shared" si="985"/>
        <v>-3553431389.238348</v>
      </c>
      <c r="R543">
        <f t="shared" si="986"/>
        <v>-16626140003.340202</v>
      </c>
      <c r="S543">
        <f t="shared" si="987"/>
        <v>-166261.40003340202</v>
      </c>
      <c r="T543">
        <f t="shared" si="988"/>
        <v>-166.26140003340203</v>
      </c>
    </row>
    <row r="544" spans="1:20" x14ac:dyDescent="0.25">
      <c r="A544" s="5">
        <v>44049</v>
      </c>
      <c r="B544">
        <v>2.4689999999999998E-4</v>
      </c>
      <c r="C544">
        <v>4.3360000000000002E-4</v>
      </c>
      <c r="D544">
        <v>2.4689999999999998E-4</v>
      </c>
      <c r="E544">
        <v>3.4509999999999999E-4</v>
      </c>
      <c r="F544">
        <v>13277623975</v>
      </c>
      <c r="G544">
        <v>0</v>
      </c>
      <c r="L544" t="s">
        <v>8</v>
      </c>
      <c r="M544" t="s">
        <v>8</v>
      </c>
      <c r="N544" t="s">
        <v>8</v>
      </c>
      <c r="P544">
        <f t="shared" si="984"/>
        <v>5.1955008034279396E-2</v>
      </c>
      <c r="Q544">
        <f t="shared" si="985"/>
        <v>689839060.29726577</v>
      </c>
      <c r="R544">
        <f t="shared" si="986"/>
        <v>-13072708614.101854</v>
      </c>
      <c r="S544">
        <f t="shared" si="987"/>
        <v>-130727.08614101855</v>
      </c>
      <c r="T544">
        <f t="shared" si="988"/>
        <v>-130.72708614101856</v>
      </c>
    </row>
    <row r="545" spans="1:20" x14ac:dyDescent="0.25">
      <c r="A545" s="5">
        <v>44048</v>
      </c>
      <c r="B545">
        <v>2.264E-4</v>
      </c>
      <c r="C545">
        <v>2.5000000000000001E-4</v>
      </c>
      <c r="D545">
        <v>2.2000000000000001E-4</v>
      </c>
      <c r="E545">
        <v>2.4689999999999998E-4</v>
      </c>
      <c r="F545">
        <v>1337503780</v>
      </c>
      <c r="G545">
        <v>0</v>
      </c>
      <c r="L545" t="s">
        <v>7</v>
      </c>
      <c r="M545" t="s">
        <v>8</v>
      </c>
      <c r="N545" t="s">
        <v>7</v>
      </c>
      <c r="P545">
        <f t="shared" si="984"/>
        <v>0.79333333333333189</v>
      </c>
      <c r="Q545">
        <f t="shared" si="985"/>
        <v>1061086332.1333314</v>
      </c>
      <c r="R545">
        <f t="shared" si="986"/>
        <v>-13762547674.39912</v>
      </c>
      <c r="S545">
        <f t="shared" si="987"/>
        <v>-137625.4767439912</v>
      </c>
      <c r="T545">
        <f t="shared" si="988"/>
        <v>-137.62547674399119</v>
      </c>
    </row>
    <row r="546" spans="1:20" x14ac:dyDescent="0.25">
      <c r="A546" s="5">
        <v>44047</v>
      </c>
      <c r="B546">
        <v>2.253E-4</v>
      </c>
      <c r="C546">
        <v>2.2780000000000001E-4</v>
      </c>
      <c r="D546">
        <v>2.231E-4</v>
      </c>
      <c r="E546">
        <v>2.252E-4</v>
      </c>
      <c r="F546">
        <v>415496723</v>
      </c>
      <c r="G546">
        <v>0</v>
      </c>
      <c r="L546" t="s">
        <v>8</v>
      </c>
      <c r="M546" t="s">
        <v>8</v>
      </c>
      <c r="N546" t="s">
        <v>7</v>
      </c>
      <c r="P546">
        <f t="shared" si="984"/>
        <v>-0.10638297872340671</v>
      </c>
      <c r="Q546">
        <f t="shared" si="985"/>
        <v>-44201779.042554215</v>
      </c>
      <c r="R546">
        <f t="shared" si="986"/>
        <v>-14823634006.532452</v>
      </c>
      <c r="S546">
        <f t="shared" si="987"/>
        <v>-148236.3400653245</v>
      </c>
      <c r="T546">
        <f t="shared" si="988"/>
        <v>-148.2363400653245</v>
      </c>
    </row>
    <row r="547" spans="1:20" x14ac:dyDescent="0.25">
      <c r="A547" s="5">
        <v>44046</v>
      </c>
      <c r="B547">
        <v>2.3000000000000001E-4</v>
      </c>
      <c r="C547">
        <v>2.34E-4</v>
      </c>
      <c r="D547">
        <v>2.2350000000000001E-4</v>
      </c>
      <c r="E547">
        <v>2.251E-4</v>
      </c>
      <c r="F547">
        <v>547234864</v>
      </c>
      <c r="G547">
        <v>0</v>
      </c>
      <c r="L547" t="s">
        <v>7</v>
      </c>
      <c r="M547" t="s">
        <v>8</v>
      </c>
      <c r="N547" t="s">
        <v>7</v>
      </c>
      <c r="P547">
        <f t="shared" si="984"/>
        <v>-0.69523809523809765</v>
      </c>
      <c r="Q547">
        <f t="shared" si="985"/>
        <v>-380458524.49523944</v>
      </c>
      <c r="R547">
        <f t="shared" si="986"/>
        <v>-14779432227.489897</v>
      </c>
      <c r="S547">
        <f t="shared" si="987"/>
        <v>-147794.32227489896</v>
      </c>
      <c r="T547">
        <f t="shared" si="988"/>
        <v>-147.79432227489897</v>
      </c>
    </row>
    <row r="548" spans="1:20" x14ac:dyDescent="0.25">
      <c r="A548" s="5">
        <v>44045</v>
      </c>
      <c r="B548">
        <v>2.3599999999999999E-4</v>
      </c>
      <c r="C548">
        <v>2.4240000000000001E-4</v>
      </c>
      <c r="D548">
        <v>2.1929999999999999E-4</v>
      </c>
      <c r="E548">
        <v>2.287E-4</v>
      </c>
      <c r="F548">
        <v>920560925</v>
      </c>
      <c r="G548">
        <v>0</v>
      </c>
      <c r="L548" t="s">
        <v>8</v>
      </c>
      <c r="M548" t="s">
        <v>8</v>
      </c>
      <c r="N548" t="s">
        <v>7</v>
      </c>
      <c r="P548">
        <f t="shared" si="984"/>
        <v>-0.18614718614718581</v>
      </c>
      <c r="Q548">
        <f t="shared" si="985"/>
        <v>-171359825.86580056</v>
      </c>
      <c r="R548">
        <f t="shared" si="986"/>
        <v>-14398973702.994658</v>
      </c>
      <c r="S548">
        <f t="shared" si="987"/>
        <v>-143989.73702994658</v>
      </c>
      <c r="T548">
        <f t="shared" si="988"/>
        <v>-143.98973702994658</v>
      </c>
    </row>
    <row r="549" spans="1:20" x14ac:dyDescent="0.25">
      <c r="A549" s="5">
        <v>44044</v>
      </c>
      <c r="B549">
        <v>2.2800000000000001E-4</v>
      </c>
      <c r="C549">
        <v>2.4110000000000001E-4</v>
      </c>
      <c r="D549">
        <v>2.2780000000000001E-4</v>
      </c>
      <c r="E549">
        <v>2.3599999999999999E-4</v>
      </c>
      <c r="F549">
        <v>702595205</v>
      </c>
      <c r="G549">
        <v>0</v>
      </c>
      <c r="L549" t="s">
        <v>7</v>
      </c>
      <c r="M549" t="s">
        <v>8</v>
      </c>
      <c r="N549" t="s">
        <v>7</v>
      </c>
      <c r="P549">
        <f t="shared" si="984"/>
        <v>0.23308270676691484</v>
      </c>
      <c r="Q549">
        <f t="shared" si="985"/>
        <v>163762792.14285541</v>
      </c>
      <c r="R549">
        <f t="shared" si="986"/>
        <v>-14227613877.128857</v>
      </c>
      <c r="S549">
        <f t="shared" si="987"/>
        <v>-142276.13877128856</v>
      </c>
      <c r="T549">
        <f t="shared" si="988"/>
        <v>-142.27613877128857</v>
      </c>
    </row>
    <row r="550" spans="1:20" x14ac:dyDescent="0.25">
      <c r="A550" s="5">
        <v>44043</v>
      </c>
      <c r="B550">
        <v>2.3890000000000001E-4</v>
      </c>
      <c r="C550">
        <v>2.41E-4</v>
      </c>
      <c r="D550">
        <v>2.231E-4</v>
      </c>
      <c r="E550">
        <v>2.2890000000000001E-4</v>
      </c>
      <c r="F550">
        <v>1379192036</v>
      </c>
      <c r="G550">
        <v>0</v>
      </c>
      <c r="L550" t="s">
        <v>8</v>
      </c>
      <c r="M550" t="s">
        <v>8</v>
      </c>
      <c r="N550" t="s">
        <v>7</v>
      </c>
      <c r="P550">
        <f t="shared" si="984"/>
        <v>-0.35195530726256929</v>
      </c>
      <c r="Q550">
        <f t="shared" si="985"/>
        <v>-485413956.80446851</v>
      </c>
      <c r="R550">
        <f t="shared" si="986"/>
        <v>-14391376669.271711</v>
      </c>
      <c r="S550">
        <f t="shared" si="987"/>
        <v>-143913.76669271712</v>
      </c>
      <c r="T550">
        <f t="shared" si="988"/>
        <v>-143.91376669271713</v>
      </c>
    </row>
    <row r="551" spans="1:20" x14ac:dyDescent="0.25">
      <c r="A551" s="5">
        <v>44042</v>
      </c>
      <c r="B551">
        <v>2.0350000000000001E-4</v>
      </c>
      <c r="C551">
        <v>2.4499999999999999E-4</v>
      </c>
      <c r="D551">
        <v>2.02E-4</v>
      </c>
      <c r="E551">
        <v>2.386E-4</v>
      </c>
      <c r="F551">
        <v>3397110107</v>
      </c>
      <c r="G551">
        <v>0</v>
      </c>
      <c r="L551" t="s">
        <v>7</v>
      </c>
      <c r="M551" t="s">
        <v>8</v>
      </c>
      <c r="N551" t="s">
        <v>7</v>
      </c>
      <c r="P551">
        <f t="shared" si="984"/>
        <v>0.70232558139534906</v>
      </c>
      <c r="Q551">
        <f t="shared" si="985"/>
        <v>2385877330.9627914</v>
      </c>
      <c r="R551">
        <f t="shared" si="986"/>
        <v>-13905962712.467243</v>
      </c>
      <c r="S551">
        <f t="shared" si="987"/>
        <v>-139059.62712467244</v>
      </c>
      <c r="T551">
        <f t="shared" si="988"/>
        <v>-139.05962712467243</v>
      </c>
    </row>
    <row r="552" spans="1:20" x14ac:dyDescent="0.25">
      <c r="A552" s="5">
        <v>44041</v>
      </c>
      <c r="B552">
        <v>2.0359999999999999E-4</v>
      </c>
      <c r="C552">
        <v>2.0709999999999999E-4</v>
      </c>
      <c r="D552">
        <v>1.997E-4</v>
      </c>
      <c r="E552">
        <v>2.0350000000000001E-4</v>
      </c>
      <c r="F552">
        <v>590489073</v>
      </c>
      <c r="G552">
        <v>0</v>
      </c>
      <c r="L552" t="s">
        <v>8</v>
      </c>
      <c r="M552" t="s">
        <v>7</v>
      </c>
      <c r="N552" t="s">
        <v>7</v>
      </c>
      <c r="P552">
        <f t="shared" si="984"/>
        <v>2.7027027027031383E-2</v>
      </c>
      <c r="Q552">
        <f t="shared" si="985"/>
        <v>15959164.135137707</v>
      </c>
      <c r="R552">
        <f t="shared" si="986"/>
        <v>-16291840043.430035</v>
      </c>
      <c r="S552">
        <f t="shared" si="987"/>
        <v>-162918.40043430033</v>
      </c>
      <c r="T552">
        <f t="shared" si="988"/>
        <v>-162.91840043430034</v>
      </c>
    </row>
    <row r="553" spans="1:20" x14ac:dyDescent="0.25">
      <c r="A553" s="5">
        <v>44040</v>
      </c>
      <c r="B553">
        <v>2.0129999999999999E-4</v>
      </c>
      <c r="C553">
        <v>2.052E-4</v>
      </c>
      <c r="D553">
        <v>1.9709999999999999E-4</v>
      </c>
      <c r="E553">
        <v>2.0369999999999999E-4</v>
      </c>
      <c r="F553">
        <v>797763680</v>
      </c>
      <c r="G553">
        <v>0</v>
      </c>
      <c r="L553" t="s">
        <v>7</v>
      </c>
      <c r="M553" t="s">
        <v>7</v>
      </c>
      <c r="N553" t="s">
        <v>7</v>
      </c>
      <c r="P553">
        <f t="shared" si="984"/>
        <v>0.62962962962962765</v>
      </c>
      <c r="Q553">
        <f t="shared" si="985"/>
        <v>502295650.37036878</v>
      </c>
      <c r="R553">
        <f t="shared" si="986"/>
        <v>-16307799207.565172</v>
      </c>
      <c r="S553">
        <f t="shared" si="987"/>
        <v>-163077.99207565171</v>
      </c>
      <c r="T553">
        <f t="shared" si="988"/>
        <v>-163.07799207565171</v>
      </c>
    </row>
    <row r="554" spans="1:20" x14ac:dyDescent="0.25">
      <c r="A554" s="5">
        <v>44039</v>
      </c>
      <c r="B554">
        <v>2.1499999999999999E-4</v>
      </c>
      <c r="C554">
        <v>2.242E-4</v>
      </c>
      <c r="D554">
        <v>1.995E-4</v>
      </c>
      <c r="E554">
        <v>2.0149999999999999E-4</v>
      </c>
      <c r="F554">
        <v>1927837457</v>
      </c>
      <c r="G554">
        <v>0</v>
      </c>
      <c r="L554" t="s">
        <v>8</v>
      </c>
      <c r="M554" t="s">
        <v>7</v>
      </c>
      <c r="N554" t="s">
        <v>7</v>
      </c>
      <c r="P554">
        <f t="shared" si="984"/>
        <v>-0.83805668016194379</v>
      </c>
      <c r="Q554">
        <f t="shared" si="985"/>
        <v>-1615637059.1052639</v>
      </c>
      <c r="R554">
        <f t="shared" si="986"/>
        <v>-16810094857.935541</v>
      </c>
      <c r="S554">
        <f t="shared" si="987"/>
        <v>-168100.9485793554</v>
      </c>
      <c r="T554">
        <f t="shared" si="988"/>
        <v>-168.10094857935542</v>
      </c>
    </row>
    <row r="555" spans="1:20" x14ac:dyDescent="0.25">
      <c r="A555" s="5">
        <v>44038</v>
      </c>
      <c r="B555">
        <v>2.173E-4</v>
      </c>
      <c r="C555">
        <v>2.187E-4</v>
      </c>
      <c r="D555">
        <v>2.063E-4</v>
      </c>
      <c r="E555">
        <v>2.1460000000000001E-4</v>
      </c>
      <c r="F555">
        <v>769532893</v>
      </c>
      <c r="G555">
        <v>0</v>
      </c>
      <c r="L555" t="s">
        <v>7</v>
      </c>
      <c r="M555" t="s">
        <v>7</v>
      </c>
      <c r="N555" t="s">
        <v>7</v>
      </c>
      <c r="P555">
        <f t="shared" si="984"/>
        <v>0.33870967741935643</v>
      </c>
      <c r="Q555">
        <f t="shared" si="985"/>
        <v>260648237.95161411</v>
      </c>
      <c r="R555">
        <f t="shared" si="986"/>
        <v>-15194457798.830276</v>
      </c>
      <c r="S555">
        <f t="shared" si="987"/>
        <v>-151944.57798830277</v>
      </c>
      <c r="T555">
        <f t="shared" si="988"/>
        <v>-151.94457798830277</v>
      </c>
    </row>
    <row r="556" spans="1:20" x14ac:dyDescent="0.25">
      <c r="A556" s="5">
        <v>44037</v>
      </c>
      <c r="B556">
        <v>2.0719999999999999E-4</v>
      </c>
      <c r="C556">
        <v>2.174E-4</v>
      </c>
      <c r="D556">
        <v>2.0589999999999999E-4</v>
      </c>
      <c r="E556">
        <v>2.162E-4</v>
      </c>
      <c r="F556">
        <v>848902591</v>
      </c>
      <c r="G556">
        <v>0</v>
      </c>
      <c r="L556" t="s">
        <v>8</v>
      </c>
      <c r="M556" t="s">
        <v>7</v>
      </c>
      <c r="N556" t="s">
        <v>7</v>
      </c>
      <c r="P556">
        <f t="shared" si="984"/>
        <v>0.79130434782608672</v>
      </c>
      <c r="Q556">
        <f t="shared" si="985"/>
        <v>671740311.13913023</v>
      </c>
      <c r="R556">
        <f t="shared" si="986"/>
        <v>-15455106036.781891</v>
      </c>
      <c r="S556">
        <f t="shared" si="987"/>
        <v>-154551.06036781892</v>
      </c>
      <c r="T556">
        <f t="shared" si="988"/>
        <v>-154.55106036781893</v>
      </c>
    </row>
    <row r="557" spans="1:20" x14ac:dyDescent="0.25">
      <c r="A557" s="5">
        <v>44036</v>
      </c>
      <c r="B557">
        <v>2.1000000000000001E-4</v>
      </c>
      <c r="C557">
        <v>2.2149999999999999E-4</v>
      </c>
      <c r="D557">
        <v>2.0560000000000001E-4</v>
      </c>
      <c r="E557">
        <v>2.0579999999999999E-4</v>
      </c>
      <c r="F557">
        <v>1036368158</v>
      </c>
      <c r="G557">
        <v>0</v>
      </c>
      <c r="L557" t="s">
        <v>7</v>
      </c>
      <c r="M557" t="s">
        <v>7</v>
      </c>
      <c r="N557" t="s">
        <v>7</v>
      </c>
      <c r="P557">
        <f t="shared" si="984"/>
        <v>-0.97484276729560027</v>
      </c>
      <c r="Q557">
        <f t="shared" si="985"/>
        <v>-1010296003.0817639</v>
      </c>
      <c r="R557">
        <f t="shared" si="986"/>
        <v>-16126846347.921021</v>
      </c>
      <c r="S557">
        <f t="shared" si="987"/>
        <v>-161268.46347921022</v>
      </c>
      <c r="T557">
        <f t="shared" si="988"/>
        <v>-161.26846347921023</v>
      </c>
    </row>
    <row r="558" spans="1:20" x14ac:dyDescent="0.25">
      <c r="A558" s="5">
        <v>44035</v>
      </c>
      <c r="B558">
        <v>2.1579999999999999E-4</v>
      </c>
      <c r="C558">
        <v>2.185E-4</v>
      </c>
      <c r="D558">
        <v>2.1010000000000001E-4</v>
      </c>
      <c r="E558">
        <v>2.106E-4</v>
      </c>
      <c r="F558">
        <v>627681387</v>
      </c>
      <c r="G558">
        <v>0</v>
      </c>
      <c r="L558" t="s">
        <v>8</v>
      </c>
      <c r="M558" t="s">
        <v>7</v>
      </c>
      <c r="N558" t="s">
        <v>7</v>
      </c>
      <c r="P558">
        <f t="shared" si="984"/>
        <v>-0.88095238095238437</v>
      </c>
      <c r="Q558">
        <f t="shared" si="985"/>
        <v>-552957412.35714495</v>
      </c>
      <c r="R558">
        <f t="shared" si="986"/>
        <v>-15116550344.839256</v>
      </c>
      <c r="S558">
        <f t="shared" si="987"/>
        <v>-151165.50344839256</v>
      </c>
      <c r="T558">
        <f t="shared" si="988"/>
        <v>-151.16550344839254</v>
      </c>
    </row>
    <row r="559" spans="1:20" x14ac:dyDescent="0.25">
      <c r="A559" s="5">
        <v>44034</v>
      </c>
      <c r="B559">
        <v>2.0809999999999999E-4</v>
      </c>
      <c r="C559">
        <v>2.218E-4</v>
      </c>
      <c r="D559">
        <v>2.0440000000000001E-4</v>
      </c>
      <c r="E559">
        <v>2.143E-4</v>
      </c>
      <c r="F559">
        <v>857909727</v>
      </c>
      <c r="G559">
        <v>0</v>
      </c>
      <c r="L559" t="s">
        <v>7</v>
      </c>
      <c r="M559" t="s">
        <v>7</v>
      </c>
      <c r="N559" t="s">
        <v>7</v>
      </c>
      <c r="P559">
        <f t="shared" si="984"/>
        <v>0.13793103448275895</v>
      </c>
      <c r="Q559">
        <f t="shared" si="985"/>
        <v>118332376.13793132</v>
      </c>
      <c r="R559">
        <f t="shared" si="986"/>
        <v>-14563592932.482111</v>
      </c>
      <c r="S559">
        <f t="shared" si="987"/>
        <v>-145635.9293248211</v>
      </c>
      <c r="T559">
        <f t="shared" si="988"/>
        <v>-145.63592932482109</v>
      </c>
    </row>
    <row r="560" spans="1:20" x14ac:dyDescent="0.25">
      <c r="A560" s="5">
        <v>44033</v>
      </c>
      <c r="B560">
        <v>2.0799999999999999E-4</v>
      </c>
      <c r="C560">
        <v>2.117E-4</v>
      </c>
      <c r="D560">
        <v>2.063E-4</v>
      </c>
      <c r="E560">
        <v>2.0799999999999999E-4</v>
      </c>
      <c r="F560">
        <v>492137115</v>
      </c>
      <c r="G560">
        <v>0</v>
      </c>
      <c r="L560" t="s">
        <v>8</v>
      </c>
      <c r="M560" t="s">
        <v>7</v>
      </c>
      <c r="N560" t="s">
        <v>7</v>
      </c>
      <c r="P560">
        <f t="shared" si="984"/>
        <v>-0.37037037037037462</v>
      </c>
      <c r="Q560">
        <f t="shared" si="985"/>
        <v>-182273005.55555764</v>
      </c>
      <c r="R560">
        <f t="shared" si="986"/>
        <v>-14681925308.620043</v>
      </c>
      <c r="S560">
        <f t="shared" si="987"/>
        <v>-146819.25308620042</v>
      </c>
      <c r="T560">
        <f t="shared" si="988"/>
        <v>-146.81925308620043</v>
      </c>
    </row>
    <row r="561" spans="1:104" x14ac:dyDescent="0.25">
      <c r="A561" s="5">
        <v>44032</v>
      </c>
      <c r="B561">
        <v>2.062E-4</v>
      </c>
      <c r="C561">
        <v>2.13E-4</v>
      </c>
      <c r="D561">
        <v>2.0440000000000001E-4</v>
      </c>
      <c r="E561">
        <v>2.0799999999999999E-4</v>
      </c>
      <c r="F561">
        <v>635584117</v>
      </c>
      <c r="G561">
        <v>0</v>
      </c>
      <c r="L561" t="s">
        <v>7</v>
      </c>
      <c r="M561" t="s">
        <v>7</v>
      </c>
      <c r="N561" t="s">
        <v>7</v>
      </c>
      <c r="P561">
        <f t="shared" si="984"/>
        <v>-0.1627906976744227</v>
      </c>
      <c r="Q561">
        <f t="shared" si="985"/>
        <v>-103467181.83721191</v>
      </c>
      <c r="R561">
        <f t="shared" si="986"/>
        <v>-14499652303.064486</v>
      </c>
      <c r="S561">
        <f t="shared" si="987"/>
        <v>-144996.52303064486</v>
      </c>
      <c r="T561">
        <f t="shared" si="988"/>
        <v>-144.99652303064485</v>
      </c>
      <c r="CZ561" t="s">
        <v>7</v>
      </c>
    </row>
    <row r="562" spans="1:104" x14ac:dyDescent="0.25">
      <c r="A562" s="5">
        <v>44031</v>
      </c>
      <c r="B562">
        <v>2.087E-4</v>
      </c>
      <c r="C562">
        <v>2.153E-4</v>
      </c>
      <c r="D562">
        <v>1.986E-4</v>
      </c>
      <c r="E562">
        <v>2.0560000000000001E-4</v>
      </c>
      <c r="F562">
        <v>685011182</v>
      </c>
      <c r="G562">
        <v>0</v>
      </c>
      <c r="L562" t="s">
        <v>8</v>
      </c>
      <c r="M562" t="s">
        <v>7</v>
      </c>
      <c r="N562" t="s">
        <v>7</v>
      </c>
      <c r="P562">
        <f t="shared" si="984"/>
        <v>-0.16167664670658588</v>
      </c>
      <c r="Q562">
        <f t="shared" si="985"/>
        <v>-110750310.8622748</v>
      </c>
      <c r="R562">
        <f t="shared" si="986"/>
        <v>-14396185121.227274</v>
      </c>
      <c r="S562">
        <f t="shared" si="987"/>
        <v>-143961.85121227274</v>
      </c>
      <c r="T562">
        <f t="shared" si="988"/>
        <v>-143.96185121227273</v>
      </c>
      <c r="CZ562" t="s">
        <v>7</v>
      </c>
    </row>
    <row r="563" spans="1:104" x14ac:dyDescent="0.25">
      <c r="A563" s="5">
        <v>44030</v>
      </c>
      <c r="B563">
        <v>2.0049999999999999E-4</v>
      </c>
      <c r="C563">
        <v>2.1460000000000001E-4</v>
      </c>
      <c r="D563">
        <v>1.9709999999999999E-4</v>
      </c>
      <c r="E563">
        <v>2.0880000000000001E-4</v>
      </c>
      <c r="F563">
        <v>825896004</v>
      </c>
      <c r="G563">
        <v>0</v>
      </c>
      <c r="L563" t="s">
        <v>7</v>
      </c>
      <c r="M563" t="s">
        <v>7</v>
      </c>
      <c r="N563" t="s">
        <v>7</v>
      </c>
      <c r="P563">
        <f t="shared" si="984"/>
        <v>0.33714285714285724</v>
      </c>
      <c r="Q563">
        <f t="shared" si="985"/>
        <v>278444938.49142867</v>
      </c>
      <c r="R563">
        <f t="shared" si="986"/>
        <v>-14285434810.365</v>
      </c>
      <c r="S563">
        <f t="shared" si="987"/>
        <v>-142854.34810365</v>
      </c>
      <c r="T563">
        <f t="shared" si="988"/>
        <v>-142.85434810365001</v>
      </c>
      <c r="CZ563" t="s">
        <v>7</v>
      </c>
    </row>
    <row r="564" spans="1:104" x14ac:dyDescent="0.25">
      <c r="A564" s="5">
        <v>44029</v>
      </c>
      <c r="B564">
        <v>2.1019999999999999E-4</v>
      </c>
      <c r="C564">
        <v>2.1120000000000001E-4</v>
      </c>
      <c r="D564">
        <v>2.0010000000000001E-4</v>
      </c>
      <c r="E564">
        <v>2.0049999999999999E-4</v>
      </c>
      <c r="F564">
        <v>617406277</v>
      </c>
      <c r="G564">
        <v>0</v>
      </c>
      <c r="L564" t="s">
        <v>8</v>
      </c>
      <c r="M564" t="s">
        <v>7</v>
      </c>
      <c r="N564" t="s">
        <v>7</v>
      </c>
      <c r="P564">
        <f t="shared" si="984"/>
        <v>-0.92792792792793111</v>
      </c>
      <c r="Q564">
        <f t="shared" si="985"/>
        <v>-572908527.30630827</v>
      </c>
      <c r="R564">
        <f t="shared" si="986"/>
        <v>-14563879748.856428</v>
      </c>
      <c r="S564">
        <f t="shared" si="987"/>
        <v>-145638.79748856428</v>
      </c>
      <c r="T564">
        <f t="shared" si="988"/>
        <v>-145.63879748856428</v>
      </c>
    </row>
    <row r="565" spans="1:104" x14ac:dyDescent="0.25">
      <c r="A565" s="5">
        <v>44028</v>
      </c>
      <c r="B565">
        <v>2.0550000000000001E-4</v>
      </c>
      <c r="C565">
        <v>2.174E-4</v>
      </c>
      <c r="D565">
        <v>1.983E-4</v>
      </c>
      <c r="E565">
        <v>2.1029999999999999E-4</v>
      </c>
      <c r="F565">
        <v>1177386142</v>
      </c>
      <c r="G565">
        <v>0</v>
      </c>
      <c r="L565" t="s">
        <v>7</v>
      </c>
      <c r="M565" t="s">
        <v>7</v>
      </c>
      <c r="N565" t="s">
        <v>7</v>
      </c>
      <c r="P565">
        <f t="shared" si="984"/>
        <v>0.25654450261780015</v>
      </c>
      <c r="Q565">
        <f t="shared" si="985"/>
        <v>302051942.18848062</v>
      </c>
      <c r="R565">
        <f t="shared" si="986"/>
        <v>-13990971221.550119</v>
      </c>
      <c r="S565">
        <f t="shared" si="987"/>
        <v>-139909.7122155012</v>
      </c>
      <c r="T565">
        <f t="shared" si="988"/>
        <v>-139.9097122155012</v>
      </c>
    </row>
    <row r="566" spans="1:104" x14ac:dyDescent="0.25">
      <c r="A566" s="5">
        <v>44027</v>
      </c>
      <c r="B566">
        <v>2.13E-4</v>
      </c>
      <c r="C566">
        <v>2.1440000000000001E-4</v>
      </c>
      <c r="D566">
        <v>1.9000000000000001E-4</v>
      </c>
      <c r="E566">
        <v>2.05E-4</v>
      </c>
      <c r="F566">
        <v>1472489885</v>
      </c>
      <c r="G566">
        <v>0</v>
      </c>
      <c r="L566" t="s">
        <v>8</v>
      </c>
      <c r="M566" t="s">
        <v>7</v>
      </c>
      <c r="N566" t="s">
        <v>7</v>
      </c>
      <c r="P566">
        <f t="shared" si="984"/>
        <v>0.22950819672131043</v>
      </c>
      <c r="Q566">
        <f t="shared" si="985"/>
        <v>337948498.19671977</v>
      </c>
      <c r="R566">
        <f t="shared" si="986"/>
        <v>-14293023163.7386</v>
      </c>
      <c r="S566">
        <f t="shared" si="987"/>
        <v>-142930.23163738599</v>
      </c>
      <c r="T566">
        <f t="shared" si="988"/>
        <v>-142.93023163738599</v>
      </c>
    </row>
    <row r="567" spans="1:104" x14ac:dyDescent="0.25">
      <c r="A567" s="5">
        <v>44026</v>
      </c>
      <c r="B567">
        <v>2.1210000000000001E-4</v>
      </c>
      <c r="C567">
        <v>2.173E-4</v>
      </c>
      <c r="D567">
        <v>2.0249999999999999E-4</v>
      </c>
      <c r="E567">
        <v>2.13E-4</v>
      </c>
      <c r="F567">
        <v>555999843</v>
      </c>
      <c r="G567">
        <v>0</v>
      </c>
      <c r="L567" t="s">
        <v>7</v>
      </c>
      <c r="M567" t="s">
        <v>7</v>
      </c>
      <c r="N567" t="s">
        <v>7</v>
      </c>
      <c r="P567">
        <f t="shared" si="984"/>
        <v>0.41891891891891975</v>
      </c>
      <c r="Q567">
        <f t="shared" si="985"/>
        <v>232918853.1486491</v>
      </c>
      <c r="R567">
        <f t="shared" si="986"/>
        <v>-14630971661.93532</v>
      </c>
      <c r="S567">
        <f t="shared" si="987"/>
        <v>-146309.71661935319</v>
      </c>
      <c r="T567">
        <f t="shared" si="988"/>
        <v>-146.3097166193532</v>
      </c>
    </row>
    <row r="568" spans="1:104" x14ac:dyDescent="0.25">
      <c r="A568" s="5">
        <v>44025</v>
      </c>
      <c r="B568">
        <v>2.2589999999999999E-4</v>
      </c>
      <c r="C568">
        <v>2.2690000000000001E-4</v>
      </c>
      <c r="D568">
        <v>2.1100000000000001E-4</v>
      </c>
      <c r="E568">
        <v>2.119E-4</v>
      </c>
      <c r="F568">
        <v>887340827</v>
      </c>
      <c r="G568">
        <v>0</v>
      </c>
      <c r="L568" t="s">
        <v>8</v>
      </c>
      <c r="M568" t="s">
        <v>7</v>
      </c>
      <c r="N568" t="s">
        <v>7</v>
      </c>
      <c r="P568">
        <f t="shared" si="984"/>
        <v>-0.88679245283018937</v>
      </c>
      <c r="Q568">
        <f t="shared" si="985"/>
        <v>-786887148.47169876</v>
      </c>
      <c r="R568">
        <f t="shared" si="986"/>
        <v>-14863890515.083969</v>
      </c>
      <c r="S568">
        <f t="shared" si="987"/>
        <v>-148638.90515083968</v>
      </c>
      <c r="T568">
        <f t="shared" si="988"/>
        <v>-148.63890515083969</v>
      </c>
    </row>
    <row r="569" spans="1:104" x14ac:dyDescent="0.25">
      <c r="A569" s="5">
        <v>44024</v>
      </c>
      <c r="B569">
        <v>2.1699999999999999E-4</v>
      </c>
      <c r="C569">
        <v>2.263E-4</v>
      </c>
      <c r="D569">
        <v>2.1139999999999999E-4</v>
      </c>
      <c r="E569">
        <v>2.2589999999999999E-4</v>
      </c>
      <c r="F569">
        <v>906270250</v>
      </c>
      <c r="G569">
        <v>0</v>
      </c>
      <c r="L569" t="s">
        <v>7</v>
      </c>
      <c r="M569" t="s">
        <v>8</v>
      </c>
      <c r="N569" t="s">
        <v>7</v>
      </c>
      <c r="P569">
        <f t="shared" si="984"/>
        <v>0.94630872483221351</v>
      </c>
      <c r="Q569">
        <f t="shared" si="985"/>
        <v>857611444.6308713</v>
      </c>
      <c r="R569">
        <f t="shared" si="986"/>
        <v>-14077003366.61227</v>
      </c>
      <c r="S569">
        <f t="shared" si="987"/>
        <v>-140770.0336661227</v>
      </c>
      <c r="T569">
        <f t="shared" si="988"/>
        <v>-140.77003366612271</v>
      </c>
    </row>
    <row r="570" spans="1:104" x14ac:dyDescent="0.25">
      <c r="A570" s="5">
        <v>44023</v>
      </c>
      <c r="B570">
        <v>2.2609999999999999E-4</v>
      </c>
      <c r="C570">
        <v>2.2829999999999999E-4</v>
      </c>
      <c r="D570">
        <v>2.1220000000000001E-4</v>
      </c>
      <c r="E570">
        <v>2.185E-4</v>
      </c>
      <c r="F570">
        <v>753707457</v>
      </c>
      <c r="G570">
        <v>0</v>
      </c>
      <c r="L570" t="s">
        <v>8</v>
      </c>
      <c r="M570" t="s">
        <v>8</v>
      </c>
      <c r="N570" t="s">
        <v>7</v>
      </c>
      <c r="P570">
        <f t="shared" si="984"/>
        <v>-0.21739130434782653</v>
      </c>
      <c r="Q570">
        <f t="shared" si="985"/>
        <v>-163849447.17391336</v>
      </c>
      <c r="R570">
        <f t="shared" si="986"/>
        <v>-14934614811.243141</v>
      </c>
      <c r="S570">
        <f t="shared" si="987"/>
        <v>-149346.1481124314</v>
      </c>
      <c r="T570">
        <f t="shared" si="988"/>
        <v>-149.34614811243139</v>
      </c>
    </row>
    <row r="571" spans="1:104" x14ac:dyDescent="0.25">
      <c r="A571" s="5">
        <v>44022</v>
      </c>
      <c r="B571">
        <v>2.1230000000000001E-4</v>
      </c>
      <c r="C571">
        <v>2.499E-4</v>
      </c>
      <c r="D571">
        <v>2.1120000000000001E-4</v>
      </c>
      <c r="E571">
        <v>2.2599999999999999E-4</v>
      </c>
      <c r="F571">
        <v>3352839874</v>
      </c>
      <c r="G571">
        <v>0</v>
      </c>
      <c r="L571" t="s">
        <v>7</v>
      </c>
      <c r="M571" t="s">
        <v>8</v>
      </c>
      <c r="N571" t="s">
        <v>7</v>
      </c>
      <c r="P571">
        <f t="shared" si="984"/>
        <v>-0.23514211886304995</v>
      </c>
      <c r="Q571">
        <f t="shared" si="985"/>
        <v>-788393872.18088138</v>
      </c>
      <c r="R571">
        <f t="shared" si="986"/>
        <v>-14770765364.069227</v>
      </c>
      <c r="S571">
        <f t="shared" si="987"/>
        <v>-147707.65364069227</v>
      </c>
      <c r="T571">
        <f t="shared" si="988"/>
        <v>-147.70765364069226</v>
      </c>
    </row>
    <row r="572" spans="1:104" x14ac:dyDescent="0.25">
      <c r="A572" s="5">
        <v>44021</v>
      </c>
      <c r="B572">
        <v>2.1780000000000001E-4</v>
      </c>
      <c r="C572">
        <v>2.2149999999999999E-4</v>
      </c>
      <c r="D572">
        <v>2.062E-4</v>
      </c>
      <c r="E572">
        <v>2.12E-4</v>
      </c>
      <c r="F572">
        <v>660066688</v>
      </c>
      <c r="G572">
        <v>0</v>
      </c>
      <c r="L572" t="s">
        <v>8</v>
      </c>
      <c r="M572" t="s">
        <v>7</v>
      </c>
      <c r="N572" t="s">
        <v>7</v>
      </c>
      <c r="P572">
        <f t="shared" si="984"/>
        <v>-0.24183006535947604</v>
      </c>
      <c r="Q572">
        <f t="shared" si="985"/>
        <v>-159623970.30065289</v>
      </c>
      <c r="R572">
        <f t="shared" si="986"/>
        <v>-13982371491.888346</v>
      </c>
      <c r="S572">
        <f t="shared" si="987"/>
        <v>-139823.71491888346</v>
      </c>
      <c r="T572">
        <f t="shared" si="988"/>
        <v>-139.82371491888347</v>
      </c>
    </row>
    <row r="573" spans="1:104" x14ac:dyDescent="0.25">
      <c r="A573" s="5">
        <v>44020</v>
      </c>
      <c r="B573">
        <v>2.0670000000000001E-4</v>
      </c>
      <c r="C573">
        <v>2.1890000000000001E-4</v>
      </c>
      <c r="D573">
        <v>2.0249999999999999E-4</v>
      </c>
      <c r="E573">
        <v>2.1689999999999999E-4</v>
      </c>
      <c r="F573">
        <v>1111257893</v>
      </c>
      <c r="G573">
        <v>0</v>
      </c>
      <c r="L573" t="s">
        <v>7</v>
      </c>
      <c r="M573" t="s">
        <v>7</v>
      </c>
      <c r="N573" t="s">
        <v>7</v>
      </c>
      <c r="P573">
        <f t="shared" si="984"/>
        <v>0.75609756097560743</v>
      </c>
      <c r="Q573">
        <f t="shared" si="985"/>
        <v>840219382.51219249</v>
      </c>
      <c r="R573">
        <f t="shared" si="986"/>
        <v>-13822747521.587692</v>
      </c>
      <c r="S573">
        <f t="shared" si="987"/>
        <v>-138227.47521587691</v>
      </c>
      <c r="T573">
        <f t="shared" si="988"/>
        <v>-138.22747521587692</v>
      </c>
    </row>
    <row r="574" spans="1:104" x14ac:dyDescent="0.25">
      <c r="A574" s="5">
        <v>44019</v>
      </c>
      <c r="B574">
        <v>2.098E-4</v>
      </c>
      <c r="C574">
        <v>2.1000000000000001E-4</v>
      </c>
      <c r="D574">
        <v>2.0479999999999999E-4</v>
      </c>
      <c r="E574">
        <v>2.0670000000000001E-4</v>
      </c>
      <c r="F574">
        <v>369721281</v>
      </c>
      <c r="G574">
        <v>0</v>
      </c>
      <c r="L574" t="s">
        <v>8</v>
      </c>
      <c r="M574" t="s">
        <v>7</v>
      </c>
      <c r="N574" t="s">
        <v>7</v>
      </c>
      <c r="P574">
        <f t="shared" si="984"/>
        <v>-0.26923076923076444</v>
      </c>
      <c r="Q574">
        <f t="shared" si="985"/>
        <v>-99540344.884613618</v>
      </c>
      <c r="R574">
        <f t="shared" si="986"/>
        <v>-14662966904.099884</v>
      </c>
      <c r="S574">
        <f t="shared" si="987"/>
        <v>-146629.66904099885</v>
      </c>
      <c r="T574">
        <f t="shared" si="988"/>
        <v>-146.62966904099886</v>
      </c>
    </row>
    <row r="575" spans="1:104" x14ac:dyDescent="0.25">
      <c r="A575" s="5">
        <v>44018</v>
      </c>
      <c r="B575">
        <v>2.0239999999999999E-4</v>
      </c>
      <c r="C575">
        <v>2.1240000000000001E-4</v>
      </c>
      <c r="D575">
        <v>2.0049999999999999E-4</v>
      </c>
      <c r="E575">
        <v>2.098E-4</v>
      </c>
      <c r="F575">
        <v>744255261</v>
      </c>
      <c r="G575">
        <v>0</v>
      </c>
      <c r="L575" t="s">
        <v>7</v>
      </c>
      <c r="M575" t="s">
        <v>7</v>
      </c>
      <c r="N575" t="s">
        <v>7</v>
      </c>
      <c r="P575">
        <f t="shared" si="984"/>
        <v>0.56302521008403272</v>
      </c>
      <c r="Q575">
        <f t="shared" si="985"/>
        <v>419034474.68067163</v>
      </c>
      <c r="R575">
        <f t="shared" si="986"/>
        <v>-14563426559.215271</v>
      </c>
      <c r="S575">
        <f t="shared" si="987"/>
        <v>-145634.26559215272</v>
      </c>
      <c r="T575">
        <f t="shared" si="988"/>
        <v>-145.63426559215273</v>
      </c>
    </row>
    <row r="576" spans="1:104" x14ac:dyDescent="0.25">
      <c r="A576" s="5">
        <v>44017</v>
      </c>
      <c r="B576">
        <v>2.1230000000000001E-4</v>
      </c>
      <c r="C576">
        <v>2.139E-4</v>
      </c>
      <c r="D576">
        <v>2.0000000000000001E-4</v>
      </c>
      <c r="E576">
        <v>2.0340000000000001E-4</v>
      </c>
      <c r="F576">
        <v>1051397995</v>
      </c>
      <c r="G576">
        <v>0</v>
      </c>
      <c r="L576" t="s">
        <v>8</v>
      </c>
      <c r="M576" t="s">
        <v>7</v>
      </c>
      <c r="N576" t="s">
        <v>7</v>
      </c>
      <c r="P576">
        <f t="shared" si="984"/>
        <v>-0.51079136690647409</v>
      </c>
      <c r="Q576">
        <f t="shared" si="985"/>
        <v>-537045019.02877617</v>
      </c>
      <c r="R576">
        <f t="shared" si="986"/>
        <v>-14982461033.895943</v>
      </c>
      <c r="S576">
        <f t="shared" si="987"/>
        <v>-149824.61033895944</v>
      </c>
      <c r="T576">
        <f t="shared" si="988"/>
        <v>-149.82461033895945</v>
      </c>
    </row>
    <row r="577" spans="1:20" x14ac:dyDescent="0.25">
      <c r="A577" s="5">
        <v>44016</v>
      </c>
      <c r="B577">
        <v>2.152E-4</v>
      </c>
      <c r="C577">
        <v>2.1790000000000001E-4</v>
      </c>
      <c r="D577">
        <v>2.0430000000000001E-4</v>
      </c>
      <c r="E577">
        <v>2.106E-4</v>
      </c>
      <c r="F577">
        <v>2141970037</v>
      </c>
      <c r="G577">
        <v>0</v>
      </c>
      <c r="L577" t="s">
        <v>7</v>
      </c>
      <c r="M577" t="s">
        <v>7</v>
      </c>
      <c r="N577" t="s">
        <v>7</v>
      </c>
      <c r="P577">
        <f t="shared" si="984"/>
        <v>-7.3529411764707647E-2</v>
      </c>
      <c r="Q577">
        <f t="shared" si="985"/>
        <v>-157497796.83823907</v>
      </c>
      <c r="R577">
        <f t="shared" si="986"/>
        <v>-14445416014.867167</v>
      </c>
      <c r="S577">
        <f t="shared" si="987"/>
        <v>-144454.16014867165</v>
      </c>
      <c r="T577">
        <f t="shared" si="988"/>
        <v>-144.45416014867166</v>
      </c>
    </row>
    <row r="578" spans="1:20" x14ac:dyDescent="0.25">
      <c r="A578" s="5">
        <v>44015</v>
      </c>
      <c r="B578">
        <v>2.152E-4</v>
      </c>
      <c r="C578">
        <v>2.8909999999999998E-4</v>
      </c>
      <c r="D578">
        <v>2.1139999999999999E-4</v>
      </c>
      <c r="E578">
        <v>2.14E-4</v>
      </c>
      <c r="F578">
        <v>7826267676</v>
      </c>
      <c r="G578">
        <v>0</v>
      </c>
      <c r="L578" t="s">
        <v>8</v>
      </c>
      <c r="M578" t="s">
        <v>8</v>
      </c>
      <c r="N578" t="s">
        <v>8</v>
      </c>
      <c r="P578">
        <f t="shared" si="984"/>
        <v>-0.93307593307593284</v>
      </c>
      <c r="Q578">
        <f t="shared" si="985"/>
        <v>-7302502014.2857122</v>
      </c>
      <c r="R578">
        <f t="shared" si="986"/>
        <v>-14287918218.028927</v>
      </c>
      <c r="S578">
        <f t="shared" si="987"/>
        <v>-142879.18218028927</v>
      </c>
      <c r="T578">
        <f t="shared" si="988"/>
        <v>-142.87918218028926</v>
      </c>
    </row>
    <row r="579" spans="1:20" x14ac:dyDescent="0.25">
      <c r="A579" s="5">
        <v>44014</v>
      </c>
      <c r="B579">
        <v>2.0709999999999999E-4</v>
      </c>
      <c r="C579">
        <v>2.2440000000000001E-4</v>
      </c>
      <c r="D579">
        <v>1.9809999999999999E-4</v>
      </c>
      <c r="E579">
        <v>2.1599999999999999E-4</v>
      </c>
      <c r="F579">
        <v>1644919384</v>
      </c>
      <c r="G579">
        <v>0</v>
      </c>
      <c r="L579" t="s">
        <v>7</v>
      </c>
      <c r="M579" t="s">
        <v>8</v>
      </c>
      <c r="N579" t="s">
        <v>7</v>
      </c>
      <c r="P579">
        <f t="shared" si="984"/>
        <v>0.36121673003802213</v>
      </c>
      <c r="Q579">
        <f t="shared" si="985"/>
        <v>594172401.06463766</v>
      </c>
      <c r="R579">
        <f t="shared" si="986"/>
        <v>-6985416203.7432156</v>
      </c>
      <c r="S579">
        <f t="shared" si="987"/>
        <v>-69854.16203743215</v>
      </c>
      <c r="T579">
        <f t="shared" si="988"/>
        <v>-69.854162037432147</v>
      </c>
    </row>
    <row r="580" spans="1:20" x14ac:dyDescent="0.25">
      <c r="A580" s="5">
        <v>44013</v>
      </c>
      <c r="B580">
        <v>1.9450000000000001E-4</v>
      </c>
      <c r="C580">
        <v>2.0709999999999999E-4</v>
      </c>
      <c r="D580">
        <v>1.931E-4</v>
      </c>
      <c r="E580">
        <v>2.0709999999999999E-4</v>
      </c>
      <c r="F580">
        <v>238625318</v>
      </c>
      <c r="G580">
        <v>0</v>
      </c>
      <c r="L580" t="s">
        <v>8</v>
      </c>
      <c r="M580" t="s">
        <v>7</v>
      </c>
      <c r="N580" t="s">
        <v>7</v>
      </c>
      <c r="P580">
        <f t="shared" si="984"/>
        <v>1</v>
      </c>
      <c r="Q580">
        <f t="shared" si="985"/>
        <v>238625318</v>
      </c>
      <c r="R580">
        <f t="shared" si="986"/>
        <v>-7579588604.8078537</v>
      </c>
      <c r="S580">
        <f t="shared" si="987"/>
        <v>-75795.886048078537</v>
      </c>
      <c r="T580">
        <f t="shared" si="988"/>
        <v>-75.795886048078543</v>
      </c>
    </row>
    <row r="581" spans="1:20" x14ac:dyDescent="0.25">
      <c r="A581" s="5">
        <v>44012</v>
      </c>
      <c r="B581">
        <v>1.9430000000000001E-4</v>
      </c>
      <c r="C581">
        <v>2.0350000000000001E-4</v>
      </c>
      <c r="D581">
        <v>1.9379999999999999E-4</v>
      </c>
      <c r="E581">
        <v>1.9450000000000001E-4</v>
      </c>
      <c r="F581">
        <v>287270323</v>
      </c>
      <c r="G581">
        <v>0</v>
      </c>
      <c r="L581" t="s">
        <v>7</v>
      </c>
      <c r="M581" t="s">
        <v>7</v>
      </c>
      <c r="N581" t="s">
        <v>7</v>
      </c>
      <c r="P581">
        <f t="shared" si="984"/>
        <v>-0.85567010309278024</v>
      </c>
      <c r="Q581">
        <f t="shared" si="985"/>
        <v>-245808626.89690629</v>
      </c>
      <c r="R581">
        <f t="shared" si="986"/>
        <v>-7818213922.8078537</v>
      </c>
      <c r="S581">
        <f t="shared" si="987"/>
        <v>-78182.139228078537</v>
      </c>
      <c r="T581">
        <f t="shared" si="988"/>
        <v>-78.18213922807854</v>
      </c>
    </row>
    <row r="582" spans="1:20" x14ac:dyDescent="0.25">
      <c r="A582" s="5">
        <v>44011</v>
      </c>
      <c r="B582">
        <v>1.9129999999999999E-4</v>
      </c>
      <c r="C582">
        <v>1.985E-4</v>
      </c>
      <c r="D582">
        <v>1.8799999999999999E-4</v>
      </c>
      <c r="E582">
        <v>1.9589999999999999E-4</v>
      </c>
      <c r="F582">
        <v>195959796</v>
      </c>
      <c r="G582">
        <v>0</v>
      </c>
      <c r="L582" t="s">
        <v>8</v>
      </c>
      <c r="M582" t="s">
        <v>7</v>
      </c>
      <c r="N582" t="s">
        <v>7</v>
      </c>
      <c r="P582">
        <f t="shared" ref="P582:P645" si="989">IF(C582=D582,0,((E582-D582)-(C582-E582))/(C582-D582))</f>
        <v>0.50476190476190363</v>
      </c>
      <c r="Q582">
        <f t="shared" ref="Q582:Q645" si="990">F582*P582</f>
        <v>98913039.885714069</v>
      </c>
      <c r="R582">
        <f t="shared" ref="R582:R645" si="991">R583+Q582</f>
        <v>-7572405295.9109478</v>
      </c>
      <c r="S582">
        <f t="shared" ref="S582:S645" si="992">R582/100000</f>
        <v>-75724.052959109482</v>
      </c>
      <c r="T582">
        <f t="shared" ref="T582:T645" si="993">S582/1000</f>
        <v>-75.724052959109486</v>
      </c>
    </row>
    <row r="583" spans="1:20" x14ac:dyDescent="0.25">
      <c r="A583" s="5">
        <v>44010</v>
      </c>
      <c r="B583">
        <v>1.9259999999999999E-4</v>
      </c>
      <c r="C583">
        <v>1.94E-4</v>
      </c>
      <c r="D583">
        <v>1.8489999999999999E-4</v>
      </c>
      <c r="E583">
        <v>1.9149999999999999E-4</v>
      </c>
      <c r="F583">
        <v>234215197</v>
      </c>
      <c r="G583">
        <v>0</v>
      </c>
      <c r="L583" t="s">
        <v>7</v>
      </c>
      <c r="M583" t="s">
        <v>7</v>
      </c>
      <c r="N583" t="s">
        <v>7</v>
      </c>
      <c r="P583">
        <f t="shared" si="989"/>
        <v>0.45054945054944939</v>
      </c>
      <c r="Q583">
        <f t="shared" si="990"/>
        <v>105525528.31868105</v>
      </c>
      <c r="R583">
        <f t="shared" si="991"/>
        <v>-7671318335.7966623</v>
      </c>
      <c r="S583">
        <f t="shared" si="992"/>
        <v>-76713.183357966627</v>
      </c>
      <c r="T583">
        <f t="shared" si="993"/>
        <v>-76.713183357966628</v>
      </c>
    </row>
    <row r="584" spans="1:20" x14ac:dyDescent="0.25">
      <c r="A584" s="5">
        <v>44009</v>
      </c>
      <c r="B584">
        <v>1.973E-4</v>
      </c>
      <c r="C584">
        <v>1.998E-4</v>
      </c>
      <c r="D584">
        <v>1.8430000000000001E-4</v>
      </c>
      <c r="E584">
        <v>1.8980000000000001E-4</v>
      </c>
      <c r="F584">
        <v>295658464</v>
      </c>
      <c r="G584">
        <v>0</v>
      </c>
      <c r="L584" t="s">
        <v>8</v>
      </c>
      <c r="M584" t="s">
        <v>7</v>
      </c>
      <c r="N584" t="s">
        <v>7</v>
      </c>
      <c r="P584">
        <f t="shared" si="989"/>
        <v>-0.29032258064516142</v>
      </c>
      <c r="Q584">
        <f t="shared" si="990"/>
        <v>-85836328.258064553</v>
      </c>
      <c r="R584">
        <f t="shared" si="991"/>
        <v>-7776843864.1153431</v>
      </c>
      <c r="S584">
        <f t="shared" si="992"/>
        <v>-77768.438641153436</v>
      </c>
      <c r="T584">
        <f t="shared" si="993"/>
        <v>-77.768438641153438</v>
      </c>
    </row>
    <row r="585" spans="1:20" x14ac:dyDescent="0.25">
      <c r="A585" s="5">
        <v>44008</v>
      </c>
      <c r="B585">
        <v>2.0790000000000001E-4</v>
      </c>
      <c r="C585">
        <v>2.0790000000000001E-4</v>
      </c>
      <c r="D585">
        <v>1.9459999999999999E-4</v>
      </c>
      <c r="E585">
        <v>1.9790000000000001E-4</v>
      </c>
      <c r="F585">
        <v>317567324</v>
      </c>
      <c r="G585">
        <v>0</v>
      </c>
      <c r="L585" t="s">
        <v>7</v>
      </c>
      <c r="M585" t="s">
        <v>7</v>
      </c>
      <c r="N585" t="s">
        <v>8</v>
      </c>
      <c r="P585">
        <f t="shared" si="989"/>
        <v>-0.50375939849623763</v>
      </c>
      <c r="Q585">
        <f t="shared" si="990"/>
        <v>-159977524.12029982</v>
      </c>
      <c r="R585">
        <f t="shared" si="991"/>
        <v>-7691007535.8572788</v>
      </c>
      <c r="S585">
        <f t="shared" si="992"/>
        <v>-76910.075358572794</v>
      </c>
      <c r="T585">
        <f t="shared" si="993"/>
        <v>-76.910075358572797</v>
      </c>
    </row>
    <row r="586" spans="1:20" x14ac:dyDescent="0.25">
      <c r="A586" s="5">
        <v>44007</v>
      </c>
      <c r="B586">
        <v>2.04E-4</v>
      </c>
      <c r="C586">
        <v>2.175E-4</v>
      </c>
      <c r="D586">
        <v>1.972E-4</v>
      </c>
      <c r="E586">
        <v>2.0780000000000001E-4</v>
      </c>
      <c r="F586">
        <v>561784326</v>
      </c>
      <c r="G586">
        <v>0</v>
      </c>
      <c r="L586" t="s">
        <v>8</v>
      </c>
      <c r="M586" t="s">
        <v>7</v>
      </c>
      <c r="N586" t="s">
        <v>8</v>
      </c>
      <c r="P586">
        <f t="shared" si="989"/>
        <v>4.4334975369459191E-2</v>
      </c>
      <c r="Q586">
        <f t="shared" si="990"/>
        <v>24906694.256158233</v>
      </c>
      <c r="R586">
        <f t="shared" si="991"/>
        <v>-7531030011.7369795</v>
      </c>
      <c r="S586">
        <f t="shared" si="992"/>
        <v>-75310.300117369799</v>
      </c>
      <c r="T586">
        <f t="shared" si="993"/>
        <v>-75.310300117369806</v>
      </c>
    </row>
    <row r="587" spans="1:20" x14ac:dyDescent="0.25">
      <c r="A587" s="5">
        <v>44006</v>
      </c>
      <c r="B587">
        <v>2.129E-4</v>
      </c>
      <c r="C587">
        <v>2.1599999999999999E-4</v>
      </c>
      <c r="D587">
        <v>1.985E-4</v>
      </c>
      <c r="E587">
        <v>2.042E-4</v>
      </c>
      <c r="F587">
        <v>443167570</v>
      </c>
      <c r="G587">
        <v>0</v>
      </c>
      <c r="L587" t="s">
        <v>7</v>
      </c>
      <c r="M587" t="s">
        <v>7</v>
      </c>
      <c r="N587" t="s">
        <v>8</v>
      </c>
      <c r="P587">
        <f t="shared" si="989"/>
        <v>-0.34857142857142792</v>
      </c>
      <c r="Q587">
        <f t="shared" si="990"/>
        <v>-154475552.97142828</v>
      </c>
      <c r="R587">
        <f t="shared" si="991"/>
        <v>-7555936705.9931374</v>
      </c>
      <c r="S587">
        <f t="shared" si="992"/>
        <v>-75559.367059931377</v>
      </c>
      <c r="T587">
        <f t="shared" si="993"/>
        <v>-75.559367059931375</v>
      </c>
    </row>
    <row r="588" spans="1:20" x14ac:dyDescent="0.25">
      <c r="A588" s="5">
        <v>44005</v>
      </c>
      <c r="B588">
        <v>2.1049999999999999E-4</v>
      </c>
      <c r="C588">
        <v>2.128E-4</v>
      </c>
      <c r="D588">
        <v>2.0660000000000001E-4</v>
      </c>
      <c r="E588">
        <v>2.128E-4</v>
      </c>
      <c r="F588">
        <v>274270479</v>
      </c>
      <c r="G588">
        <v>0</v>
      </c>
      <c r="L588" t="s">
        <v>8</v>
      </c>
      <c r="M588" t="s">
        <v>7</v>
      </c>
      <c r="N588" t="s">
        <v>8</v>
      </c>
      <c r="P588">
        <f t="shared" si="989"/>
        <v>1</v>
      </c>
      <c r="Q588">
        <f t="shared" si="990"/>
        <v>274270479</v>
      </c>
      <c r="R588">
        <f t="shared" si="991"/>
        <v>-7401461153.0217094</v>
      </c>
      <c r="S588">
        <f t="shared" si="992"/>
        <v>-74014.611530217095</v>
      </c>
      <c r="T588">
        <f t="shared" si="993"/>
        <v>-74.014611530217095</v>
      </c>
    </row>
    <row r="589" spans="1:20" x14ac:dyDescent="0.25">
      <c r="A589" s="5">
        <v>44004</v>
      </c>
      <c r="B589">
        <v>2.0259999999999999E-4</v>
      </c>
      <c r="C589">
        <v>2.13E-4</v>
      </c>
      <c r="D589">
        <v>2.0259999999999999E-4</v>
      </c>
      <c r="E589">
        <v>2.106E-4</v>
      </c>
      <c r="F589">
        <v>421004394</v>
      </c>
      <c r="G589">
        <v>0</v>
      </c>
      <c r="L589" t="s">
        <v>7</v>
      </c>
      <c r="M589" t="s">
        <v>7</v>
      </c>
      <c r="N589" t="s">
        <v>8</v>
      </c>
      <c r="P589">
        <f t="shared" si="989"/>
        <v>0.5384615384615381</v>
      </c>
      <c r="Q589">
        <f t="shared" si="990"/>
        <v>226694673.69230753</v>
      </c>
      <c r="R589">
        <f t="shared" si="991"/>
        <v>-7675731632.0217094</v>
      </c>
      <c r="S589">
        <f t="shared" si="992"/>
        <v>-76757.316320217098</v>
      </c>
      <c r="T589">
        <f t="shared" si="993"/>
        <v>-76.7573163202171</v>
      </c>
    </row>
    <row r="590" spans="1:20" x14ac:dyDescent="0.25">
      <c r="A590" s="5">
        <v>44003</v>
      </c>
      <c r="B590">
        <v>2.076E-4</v>
      </c>
      <c r="C590">
        <v>2.184E-4</v>
      </c>
      <c r="D590">
        <v>2.02E-4</v>
      </c>
      <c r="E590">
        <v>2.0359999999999999E-4</v>
      </c>
      <c r="F590">
        <v>507696045</v>
      </c>
      <c r="G590">
        <v>0</v>
      </c>
      <c r="L590" t="s">
        <v>8</v>
      </c>
      <c r="M590" t="s">
        <v>7</v>
      </c>
      <c r="N590" t="s">
        <v>8</v>
      </c>
      <c r="P590">
        <f t="shared" si="989"/>
        <v>-0.80487804878048963</v>
      </c>
      <c r="Q590">
        <f t="shared" si="990"/>
        <v>-408633402.07317168</v>
      </c>
      <c r="R590">
        <f t="shared" si="991"/>
        <v>-7902426305.7140169</v>
      </c>
      <c r="S590">
        <f t="shared" si="992"/>
        <v>-79024.263057140168</v>
      </c>
      <c r="T590">
        <f t="shared" si="993"/>
        <v>-79.024263057140175</v>
      </c>
    </row>
    <row r="591" spans="1:20" x14ac:dyDescent="0.25">
      <c r="A591" s="5">
        <v>44002</v>
      </c>
      <c r="B591">
        <v>2.0340000000000001E-4</v>
      </c>
      <c r="C591">
        <v>2.1489999999999999E-4</v>
      </c>
      <c r="D591">
        <v>2.0210000000000001E-4</v>
      </c>
      <c r="E591">
        <v>2.075E-4</v>
      </c>
      <c r="F591">
        <v>582626449</v>
      </c>
      <c r="G591">
        <v>0</v>
      </c>
      <c r="L591" t="s">
        <v>7</v>
      </c>
      <c r="M591" t="s">
        <v>7</v>
      </c>
      <c r="N591" t="s">
        <v>8</v>
      </c>
      <c r="P591">
        <f t="shared" si="989"/>
        <v>-0.15624999999999972</v>
      </c>
      <c r="Q591">
        <f t="shared" si="990"/>
        <v>-91035382.656249836</v>
      </c>
      <c r="R591">
        <f t="shared" si="991"/>
        <v>-7493792903.6408453</v>
      </c>
      <c r="S591">
        <f t="shared" si="992"/>
        <v>-74937.929036408459</v>
      </c>
      <c r="T591">
        <f t="shared" si="993"/>
        <v>-74.937929036408462</v>
      </c>
    </row>
    <row r="592" spans="1:20" x14ac:dyDescent="0.25">
      <c r="A592" s="5">
        <v>44001</v>
      </c>
      <c r="B592">
        <v>2.0430000000000001E-4</v>
      </c>
      <c r="C592">
        <v>2.075E-4</v>
      </c>
      <c r="D592">
        <v>1.962E-4</v>
      </c>
      <c r="E592">
        <v>2.0320000000000001E-4</v>
      </c>
      <c r="F592">
        <v>428000619</v>
      </c>
      <c r="G592">
        <v>0</v>
      </c>
      <c r="L592" t="s">
        <v>8</v>
      </c>
      <c r="M592" t="s">
        <v>7</v>
      </c>
      <c r="N592" t="s">
        <v>8</v>
      </c>
      <c r="P592">
        <f t="shared" si="989"/>
        <v>0.23893805309734606</v>
      </c>
      <c r="Q592">
        <f t="shared" si="990"/>
        <v>102265634.62831898</v>
      </c>
      <c r="R592">
        <f t="shared" si="991"/>
        <v>-7402757520.9845953</v>
      </c>
      <c r="S592">
        <f t="shared" si="992"/>
        <v>-74027.575209845949</v>
      </c>
      <c r="T592">
        <f t="shared" si="993"/>
        <v>-74.027575209845949</v>
      </c>
    </row>
    <row r="593" spans="1:20" x14ac:dyDescent="0.25">
      <c r="A593" s="5">
        <v>44000</v>
      </c>
      <c r="B593">
        <v>2.039E-4</v>
      </c>
      <c r="C593">
        <v>2.076E-4</v>
      </c>
      <c r="D593">
        <v>2.017E-4</v>
      </c>
      <c r="E593">
        <v>2.0440000000000001E-4</v>
      </c>
      <c r="F593">
        <v>455614058</v>
      </c>
      <c r="G593">
        <v>0</v>
      </c>
      <c r="L593" t="s">
        <v>7</v>
      </c>
      <c r="M593" t="s">
        <v>7</v>
      </c>
      <c r="N593" t="s">
        <v>8</v>
      </c>
      <c r="P593">
        <f t="shared" si="989"/>
        <v>-8.4745762711861766E-2</v>
      </c>
      <c r="Q593">
        <f t="shared" si="990"/>
        <v>-38611360.847456425</v>
      </c>
      <c r="R593">
        <f t="shared" si="991"/>
        <v>-7505023155.6129141</v>
      </c>
      <c r="S593">
        <f t="shared" si="992"/>
        <v>-75050.231556129147</v>
      </c>
      <c r="T593">
        <f t="shared" si="993"/>
        <v>-75.050231556129148</v>
      </c>
    </row>
    <row r="594" spans="1:20" x14ac:dyDescent="0.25">
      <c r="A594" s="5">
        <v>43999</v>
      </c>
      <c r="B594">
        <v>2.0890000000000001E-4</v>
      </c>
      <c r="C594">
        <v>2.1660000000000001E-4</v>
      </c>
      <c r="D594">
        <v>2.0210000000000001E-4</v>
      </c>
      <c r="E594">
        <v>2.039E-4</v>
      </c>
      <c r="F594">
        <v>565545887</v>
      </c>
      <c r="G594">
        <v>0</v>
      </c>
      <c r="L594" t="s">
        <v>8</v>
      </c>
      <c r="M594" t="s">
        <v>7</v>
      </c>
      <c r="N594" t="s">
        <v>8</v>
      </c>
      <c r="P594">
        <f t="shared" si="989"/>
        <v>-0.75172413793103587</v>
      </c>
      <c r="Q594">
        <f t="shared" si="990"/>
        <v>-425134494.36551803</v>
      </c>
      <c r="R594">
        <f t="shared" si="991"/>
        <v>-7466411794.7654581</v>
      </c>
      <c r="S594">
        <f t="shared" si="992"/>
        <v>-74664.11794765458</v>
      </c>
      <c r="T594">
        <f t="shared" si="993"/>
        <v>-74.664117947654574</v>
      </c>
    </row>
    <row r="595" spans="1:20" x14ac:dyDescent="0.25">
      <c r="A595" s="5">
        <v>43998</v>
      </c>
      <c r="B595">
        <v>2.084E-4</v>
      </c>
      <c r="C595">
        <v>2.1369999999999999E-4</v>
      </c>
      <c r="D595">
        <v>2.039E-4</v>
      </c>
      <c r="E595">
        <v>2.087E-4</v>
      </c>
      <c r="F595">
        <v>393834865</v>
      </c>
      <c r="G595">
        <v>0</v>
      </c>
      <c r="L595" t="s">
        <v>7</v>
      </c>
      <c r="M595" t="s">
        <v>7</v>
      </c>
      <c r="N595" t="s">
        <v>8</v>
      </c>
      <c r="P595">
        <f t="shared" si="989"/>
        <v>-2.0408163265303866E-2</v>
      </c>
      <c r="Q595">
        <f t="shared" si="990"/>
        <v>-8037446.2244889075</v>
      </c>
      <c r="R595">
        <f t="shared" si="991"/>
        <v>-7041277300.3999405</v>
      </c>
      <c r="S595">
        <f t="shared" si="992"/>
        <v>-70412.773003999406</v>
      </c>
      <c r="T595">
        <f t="shared" si="993"/>
        <v>-70.412773003999405</v>
      </c>
    </row>
    <row r="596" spans="1:20" x14ac:dyDescent="0.25">
      <c r="A596" s="5">
        <v>43997</v>
      </c>
      <c r="B596">
        <v>2.108E-4</v>
      </c>
      <c r="C596">
        <v>2.184E-4</v>
      </c>
      <c r="D596">
        <v>1.9349999999999999E-4</v>
      </c>
      <c r="E596">
        <v>2.084E-4</v>
      </c>
      <c r="F596">
        <v>995234512</v>
      </c>
      <c r="G596">
        <v>0</v>
      </c>
      <c r="L596" t="s">
        <v>8</v>
      </c>
      <c r="M596" t="s">
        <v>7</v>
      </c>
      <c r="N596" t="s">
        <v>8</v>
      </c>
      <c r="P596">
        <f t="shared" si="989"/>
        <v>0.19678714859437788</v>
      </c>
      <c r="Q596">
        <f t="shared" si="990"/>
        <v>195849361.79919714</v>
      </c>
      <c r="R596">
        <f t="shared" si="991"/>
        <v>-7033239854.1754513</v>
      </c>
      <c r="S596">
        <f t="shared" si="992"/>
        <v>-70332.398541754519</v>
      </c>
      <c r="T596">
        <f t="shared" si="993"/>
        <v>-70.332398541754515</v>
      </c>
    </row>
    <row r="597" spans="1:20" x14ac:dyDescent="0.25">
      <c r="A597" s="5">
        <v>43996</v>
      </c>
      <c r="B597">
        <v>2.13E-4</v>
      </c>
      <c r="C597">
        <v>2.2350000000000001E-4</v>
      </c>
      <c r="D597">
        <v>2.0909999999999999E-4</v>
      </c>
      <c r="E597">
        <v>2.118E-4</v>
      </c>
      <c r="F597">
        <v>884842527</v>
      </c>
      <c r="G597">
        <v>0</v>
      </c>
      <c r="L597" t="s">
        <v>7</v>
      </c>
      <c r="M597" t="s">
        <v>7</v>
      </c>
      <c r="N597" t="s">
        <v>8</v>
      </c>
      <c r="P597">
        <f t="shared" si="989"/>
        <v>-0.62499999999999911</v>
      </c>
      <c r="Q597">
        <f t="shared" si="990"/>
        <v>-553026579.37499917</v>
      </c>
      <c r="R597">
        <f t="shared" si="991"/>
        <v>-7229089215.9746485</v>
      </c>
      <c r="S597">
        <f t="shared" si="992"/>
        <v>-72290.89215974648</v>
      </c>
      <c r="T597">
        <f t="shared" si="993"/>
        <v>-72.290892159746477</v>
      </c>
    </row>
    <row r="598" spans="1:20" x14ac:dyDescent="0.25">
      <c r="A598" s="5">
        <v>43995</v>
      </c>
      <c r="B598">
        <v>2.1149999999999999E-4</v>
      </c>
      <c r="C598">
        <v>2.1560000000000001E-4</v>
      </c>
      <c r="D598">
        <v>2.0809999999999999E-4</v>
      </c>
      <c r="E598">
        <v>2.14E-4</v>
      </c>
      <c r="F598">
        <v>358071325</v>
      </c>
      <c r="G598">
        <v>0</v>
      </c>
      <c r="L598" t="s">
        <v>8</v>
      </c>
      <c r="M598" t="s">
        <v>7</v>
      </c>
      <c r="N598" t="s">
        <v>8</v>
      </c>
      <c r="P598">
        <f t="shared" si="989"/>
        <v>0.57333333333333136</v>
      </c>
      <c r="Q598">
        <f t="shared" si="990"/>
        <v>205294226.33333263</v>
      </c>
      <c r="R598">
        <f t="shared" si="991"/>
        <v>-6676062636.5996494</v>
      </c>
      <c r="S598">
        <f t="shared" si="992"/>
        <v>-66760.62636599649</v>
      </c>
      <c r="T598">
        <f t="shared" si="993"/>
        <v>-66.760626365996487</v>
      </c>
    </row>
    <row r="599" spans="1:20" x14ac:dyDescent="0.25">
      <c r="A599" s="5">
        <v>43994</v>
      </c>
      <c r="B599">
        <v>2.0719999999999999E-4</v>
      </c>
      <c r="C599">
        <v>2.1149999999999999E-4</v>
      </c>
      <c r="D599">
        <v>2.0210000000000001E-4</v>
      </c>
      <c r="E599">
        <v>2.1149999999999999E-4</v>
      </c>
      <c r="F599">
        <v>496220388</v>
      </c>
      <c r="G599">
        <v>0</v>
      </c>
      <c r="L599" t="s">
        <v>7</v>
      </c>
      <c r="M599" t="s">
        <v>7</v>
      </c>
      <c r="N599" t="s">
        <v>8</v>
      </c>
      <c r="P599">
        <f t="shared" si="989"/>
        <v>1</v>
      </c>
      <c r="Q599">
        <f t="shared" si="990"/>
        <v>496220388</v>
      </c>
      <c r="R599">
        <f t="shared" si="991"/>
        <v>-6881356862.9329824</v>
      </c>
      <c r="S599">
        <f t="shared" si="992"/>
        <v>-68813.56862932982</v>
      </c>
      <c r="T599">
        <f t="shared" si="993"/>
        <v>-68.813568629329822</v>
      </c>
    </row>
    <row r="600" spans="1:20" x14ac:dyDescent="0.25">
      <c r="A600" s="5">
        <v>43993</v>
      </c>
      <c r="B600">
        <v>2.2230000000000001E-4</v>
      </c>
      <c r="C600">
        <v>2.2450000000000001E-4</v>
      </c>
      <c r="D600">
        <v>2.028E-4</v>
      </c>
      <c r="E600">
        <v>2.0799999999999999E-4</v>
      </c>
      <c r="F600">
        <v>1060964146</v>
      </c>
      <c r="G600">
        <v>0</v>
      </c>
      <c r="L600" t="s">
        <v>8</v>
      </c>
      <c r="M600" t="s">
        <v>7</v>
      </c>
      <c r="N600" t="s">
        <v>8</v>
      </c>
      <c r="P600">
        <f t="shared" si="989"/>
        <v>-0.52073732718894117</v>
      </c>
      <c r="Q600">
        <f t="shared" si="990"/>
        <v>-552483633.63133752</v>
      </c>
      <c r="R600">
        <f t="shared" si="991"/>
        <v>-7377577250.9329824</v>
      </c>
      <c r="S600">
        <f t="shared" si="992"/>
        <v>-73775.772509329821</v>
      </c>
      <c r="T600">
        <f t="shared" si="993"/>
        <v>-73.775772509329826</v>
      </c>
    </row>
    <row r="601" spans="1:20" x14ac:dyDescent="0.25">
      <c r="A601" s="5">
        <v>43992</v>
      </c>
      <c r="B601">
        <v>2.363E-4</v>
      </c>
      <c r="C601">
        <v>2.3680000000000001E-4</v>
      </c>
      <c r="D601">
        <v>2.13E-4</v>
      </c>
      <c r="E601">
        <v>2.2230000000000001E-4</v>
      </c>
      <c r="F601">
        <v>847818781</v>
      </c>
      <c r="G601">
        <v>0</v>
      </c>
      <c r="L601" t="s">
        <v>7</v>
      </c>
      <c r="M601" t="s">
        <v>8</v>
      </c>
      <c r="N601" t="s">
        <v>8</v>
      </c>
      <c r="P601">
        <f t="shared" si="989"/>
        <v>-0.21848739495798272</v>
      </c>
      <c r="Q601">
        <f t="shared" si="990"/>
        <v>-185237716.85714245</v>
      </c>
      <c r="R601">
        <f t="shared" si="991"/>
        <v>-6825093617.3016453</v>
      </c>
      <c r="S601">
        <f t="shared" si="992"/>
        <v>-68250.936173016453</v>
      </c>
      <c r="T601">
        <f t="shared" si="993"/>
        <v>-68.250936173016456</v>
      </c>
    </row>
    <row r="602" spans="1:20" x14ac:dyDescent="0.25">
      <c r="A602" s="5">
        <v>43991</v>
      </c>
      <c r="B602">
        <v>2.354E-4</v>
      </c>
      <c r="C602">
        <v>2.3819999999999999E-4</v>
      </c>
      <c r="D602">
        <v>2.2709999999999999E-4</v>
      </c>
      <c r="E602">
        <v>2.3809999999999999E-4</v>
      </c>
      <c r="F602">
        <v>582643781</v>
      </c>
      <c r="G602">
        <v>0</v>
      </c>
      <c r="L602" t="s">
        <v>8</v>
      </c>
      <c r="M602" t="s">
        <v>8</v>
      </c>
      <c r="N602" t="s">
        <v>8</v>
      </c>
      <c r="P602">
        <f t="shared" si="989"/>
        <v>0.9819819819819815</v>
      </c>
      <c r="Q602">
        <f t="shared" si="990"/>
        <v>572145694.85585558</v>
      </c>
      <c r="R602">
        <f t="shared" si="991"/>
        <v>-6639855900.4445028</v>
      </c>
      <c r="S602">
        <f t="shared" si="992"/>
        <v>-66398.559004445022</v>
      </c>
      <c r="T602">
        <f t="shared" si="993"/>
        <v>-66.398559004445019</v>
      </c>
    </row>
    <row r="603" spans="1:20" x14ac:dyDescent="0.25">
      <c r="A603" s="5">
        <v>43990</v>
      </c>
      <c r="B603">
        <v>2.4340000000000001E-4</v>
      </c>
      <c r="C603">
        <v>2.4499999999999999E-4</v>
      </c>
      <c r="D603">
        <v>2.309E-4</v>
      </c>
      <c r="E603">
        <v>2.342E-4</v>
      </c>
      <c r="F603">
        <v>692684912</v>
      </c>
      <c r="G603">
        <v>0</v>
      </c>
      <c r="L603" t="s">
        <v>7</v>
      </c>
      <c r="M603" t="s">
        <v>8</v>
      </c>
      <c r="N603" t="s">
        <v>8</v>
      </c>
      <c r="P603">
        <f t="shared" si="989"/>
        <v>-0.53191489361702116</v>
      </c>
      <c r="Q603">
        <f t="shared" si="990"/>
        <v>-368449421.27659565</v>
      </c>
      <c r="R603">
        <f t="shared" si="991"/>
        <v>-7212001595.3003588</v>
      </c>
      <c r="S603">
        <f t="shared" si="992"/>
        <v>-72120.015953003589</v>
      </c>
      <c r="T603">
        <f t="shared" si="993"/>
        <v>-72.120015953003588</v>
      </c>
    </row>
    <row r="604" spans="1:20" x14ac:dyDescent="0.25">
      <c r="A604" s="5">
        <v>43989</v>
      </c>
      <c r="B604">
        <v>2.2690000000000001E-4</v>
      </c>
      <c r="C604">
        <v>2.542E-4</v>
      </c>
      <c r="D604">
        <v>2.262E-4</v>
      </c>
      <c r="E604">
        <v>2.4140000000000001E-4</v>
      </c>
      <c r="F604">
        <v>1889851267</v>
      </c>
      <c r="G604">
        <v>0</v>
      </c>
      <c r="L604" t="s">
        <v>8</v>
      </c>
      <c r="M604" t="s">
        <v>8</v>
      </c>
      <c r="N604" t="s">
        <v>8</v>
      </c>
      <c r="P604">
        <f t="shared" si="989"/>
        <v>8.5714285714286825E-2</v>
      </c>
      <c r="Q604">
        <f t="shared" si="990"/>
        <v>161987251.45714495</v>
      </c>
      <c r="R604">
        <f t="shared" si="991"/>
        <v>-6843552174.0237627</v>
      </c>
      <c r="S604">
        <f t="shared" si="992"/>
        <v>-68435.521740237629</v>
      </c>
      <c r="T604">
        <f t="shared" si="993"/>
        <v>-68.435521740237633</v>
      </c>
    </row>
    <row r="605" spans="1:20" x14ac:dyDescent="0.25">
      <c r="A605" s="5">
        <v>43988</v>
      </c>
      <c r="B605">
        <v>2.12E-4</v>
      </c>
      <c r="C605">
        <v>2.351E-4</v>
      </c>
      <c r="D605">
        <v>2.1110000000000001E-4</v>
      </c>
      <c r="E605">
        <v>2.274E-4</v>
      </c>
      <c r="F605">
        <v>874417353</v>
      </c>
      <c r="G605">
        <v>0</v>
      </c>
      <c r="L605" t="s">
        <v>7</v>
      </c>
      <c r="M605" t="s">
        <v>8</v>
      </c>
      <c r="N605" t="s">
        <v>8</v>
      </c>
      <c r="P605">
        <f t="shared" si="989"/>
        <v>0.35833333333333323</v>
      </c>
      <c r="Q605">
        <f t="shared" si="990"/>
        <v>313332884.82499993</v>
      </c>
      <c r="R605">
        <f t="shared" si="991"/>
        <v>-7005539425.4809074</v>
      </c>
      <c r="S605">
        <f t="shared" si="992"/>
        <v>-70055.394254809071</v>
      </c>
      <c r="T605">
        <f t="shared" si="993"/>
        <v>-70.055394254809073</v>
      </c>
    </row>
    <row r="606" spans="1:20" x14ac:dyDescent="0.25">
      <c r="A606" s="5">
        <v>43987</v>
      </c>
      <c r="B606">
        <v>2.1240000000000001E-4</v>
      </c>
      <c r="C606">
        <v>2.1819999999999999E-4</v>
      </c>
      <c r="D606">
        <v>2.0770000000000001E-4</v>
      </c>
      <c r="E606">
        <v>2.1269999999999999E-4</v>
      </c>
      <c r="F606">
        <v>323586748</v>
      </c>
      <c r="G606">
        <v>0</v>
      </c>
      <c r="L606" t="s">
        <v>8</v>
      </c>
      <c r="M606" t="s">
        <v>7</v>
      </c>
      <c r="N606" t="s">
        <v>8</v>
      </c>
      <c r="P606">
        <f t="shared" si="989"/>
        <v>-4.7619047619048852E-2</v>
      </c>
      <c r="Q606">
        <f t="shared" si="990"/>
        <v>-15408892.76190516</v>
      </c>
      <c r="R606">
        <f t="shared" si="991"/>
        <v>-7318872310.3059072</v>
      </c>
      <c r="S606">
        <f t="shared" si="992"/>
        <v>-73188.723103059077</v>
      </c>
      <c r="T606">
        <f t="shared" si="993"/>
        <v>-73.188723103059075</v>
      </c>
    </row>
    <row r="607" spans="1:20" x14ac:dyDescent="0.25">
      <c r="A607" s="5">
        <v>43986</v>
      </c>
      <c r="B607">
        <v>2.1560000000000001E-4</v>
      </c>
      <c r="C607">
        <v>2.1579999999999999E-4</v>
      </c>
      <c r="D607">
        <v>2.0550000000000001E-4</v>
      </c>
      <c r="E607">
        <v>2.1220000000000001E-4</v>
      </c>
      <c r="F607">
        <v>534741234</v>
      </c>
      <c r="G607">
        <v>0</v>
      </c>
      <c r="L607" t="s">
        <v>7</v>
      </c>
      <c r="M607" t="s">
        <v>7</v>
      </c>
      <c r="N607" t="s">
        <v>8</v>
      </c>
      <c r="P607">
        <f t="shared" si="989"/>
        <v>0.30097087378641041</v>
      </c>
      <c r="Q607">
        <f t="shared" si="990"/>
        <v>160941536.44660336</v>
      </c>
      <c r="R607">
        <f t="shared" si="991"/>
        <v>-7303463417.5440025</v>
      </c>
      <c r="S607">
        <f t="shared" si="992"/>
        <v>-73034.63417544002</v>
      </c>
      <c r="T607">
        <f t="shared" si="993"/>
        <v>-73.034634175440019</v>
      </c>
    </row>
    <row r="608" spans="1:20" x14ac:dyDescent="0.25">
      <c r="A608" s="5">
        <v>43985</v>
      </c>
      <c r="B608">
        <v>2.0120000000000001E-4</v>
      </c>
      <c r="C608">
        <v>2.209E-4</v>
      </c>
      <c r="D608">
        <v>1.941E-4</v>
      </c>
      <c r="E608">
        <v>2.154E-4</v>
      </c>
      <c r="F608">
        <v>957420878</v>
      </c>
      <c r="G608">
        <v>0</v>
      </c>
      <c r="L608" t="s">
        <v>8</v>
      </c>
      <c r="M608" t="s">
        <v>7</v>
      </c>
      <c r="N608" t="s">
        <v>8</v>
      </c>
      <c r="P608">
        <f t="shared" si="989"/>
        <v>0.5895522388059703</v>
      </c>
      <c r="Q608">
        <f t="shared" si="990"/>
        <v>564449622.10447776</v>
      </c>
      <c r="R608">
        <f t="shared" si="991"/>
        <v>-7464404953.9906063</v>
      </c>
      <c r="S608">
        <f t="shared" si="992"/>
        <v>-74644.04953990606</v>
      </c>
      <c r="T608">
        <f t="shared" si="993"/>
        <v>-74.644049539906064</v>
      </c>
    </row>
    <row r="609" spans="1:20" x14ac:dyDescent="0.25">
      <c r="A609" s="5">
        <v>43984</v>
      </c>
      <c r="B609">
        <v>2.1039999999999999E-4</v>
      </c>
      <c r="C609">
        <v>2.219E-4</v>
      </c>
      <c r="D609">
        <v>1.918E-4</v>
      </c>
      <c r="E609">
        <v>2.0239999999999999E-4</v>
      </c>
      <c r="F609">
        <v>1192488660</v>
      </c>
      <c r="G609">
        <v>0</v>
      </c>
      <c r="L609" t="s">
        <v>7</v>
      </c>
      <c r="M609" t="s">
        <v>7</v>
      </c>
      <c r="N609" t="s">
        <v>8</v>
      </c>
      <c r="P609">
        <f t="shared" si="989"/>
        <v>-0.29568106312292447</v>
      </c>
      <c r="Q609">
        <f t="shared" si="990"/>
        <v>-352596314.7508316</v>
      </c>
      <c r="R609">
        <f t="shared" si="991"/>
        <v>-8028854576.0950842</v>
      </c>
      <c r="S609">
        <f t="shared" si="992"/>
        <v>-80288.545760950845</v>
      </c>
      <c r="T609">
        <f t="shared" si="993"/>
        <v>-80.288545760950839</v>
      </c>
    </row>
    <row r="610" spans="1:20" x14ac:dyDescent="0.25">
      <c r="A610" s="5">
        <v>43983</v>
      </c>
      <c r="B610">
        <v>1.9220000000000001E-4</v>
      </c>
      <c r="C610">
        <v>2.1249999999999999E-4</v>
      </c>
      <c r="D610">
        <v>1.9100000000000001E-4</v>
      </c>
      <c r="E610">
        <v>2.1000000000000001E-4</v>
      </c>
      <c r="F610">
        <v>598510363</v>
      </c>
      <c r="G610">
        <v>0</v>
      </c>
      <c r="L610" t="s">
        <v>8</v>
      </c>
      <c r="M610" t="s">
        <v>7</v>
      </c>
      <c r="N610" t="s">
        <v>8</v>
      </c>
      <c r="P610">
        <f t="shared" si="989"/>
        <v>0.76744186046511798</v>
      </c>
      <c r="Q610">
        <f t="shared" si="990"/>
        <v>459321906.4883731</v>
      </c>
      <c r="R610">
        <f t="shared" si="991"/>
        <v>-7676258261.3442526</v>
      </c>
      <c r="S610">
        <f t="shared" si="992"/>
        <v>-76762.58261344253</v>
      </c>
      <c r="T610">
        <f t="shared" si="993"/>
        <v>-76.762582613442532</v>
      </c>
    </row>
    <row r="611" spans="1:20" x14ac:dyDescent="0.25">
      <c r="A611" s="5">
        <v>43982</v>
      </c>
      <c r="B611">
        <v>1.9599999999999999E-4</v>
      </c>
      <c r="C611">
        <v>2.1000000000000001E-4</v>
      </c>
      <c r="D611">
        <v>1.9220000000000001E-4</v>
      </c>
      <c r="E611">
        <v>1.929E-4</v>
      </c>
      <c r="F611">
        <v>994550956</v>
      </c>
      <c r="G611">
        <v>0</v>
      </c>
      <c r="L611" t="s">
        <v>7</v>
      </c>
      <c r="M611" t="s">
        <v>7</v>
      </c>
      <c r="N611" t="s">
        <v>8</v>
      </c>
      <c r="P611">
        <f t="shared" si="989"/>
        <v>-0.92134831460674271</v>
      </c>
      <c r="Q611">
        <f t="shared" si="990"/>
        <v>-916327847.10112476</v>
      </c>
      <c r="R611">
        <f t="shared" si="991"/>
        <v>-8135580167.8326254</v>
      </c>
      <c r="S611">
        <f t="shared" si="992"/>
        <v>-81355.801678326257</v>
      </c>
      <c r="T611">
        <f t="shared" si="993"/>
        <v>-81.355801678326259</v>
      </c>
    </row>
    <row r="612" spans="1:20" x14ac:dyDescent="0.25">
      <c r="A612" s="5">
        <v>43981</v>
      </c>
      <c r="B612">
        <v>1.9249999999999999E-4</v>
      </c>
      <c r="C612">
        <v>2.0379999999999999E-4</v>
      </c>
      <c r="D612">
        <v>1.908E-4</v>
      </c>
      <c r="E612">
        <v>1.9770000000000001E-4</v>
      </c>
      <c r="F612">
        <v>821983649</v>
      </c>
      <c r="G612">
        <v>0</v>
      </c>
      <c r="L612" t="s">
        <v>8</v>
      </c>
      <c r="M612" t="s">
        <v>7</v>
      </c>
      <c r="N612" t="s">
        <v>8</v>
      </c>
      <c r="P612">
        <f t="shared" si="989"/>
        <v>6.1538461538463075E-2</v>
      </c>
      <c r="Q612">
        <f t="shared" si="990"/>
        <v>50583609.169232033</v>
      </c>
      <c r="R612">
        <f t="shared" si="991"/>
        <v>-7219252320.7315006</v>
      </c>
      <c r="S612">
        <f t="shared" si="992"/>
        <v>-72192.523207315011</v>
      </c>
      <c r="T612">
        <f t="shared" si="993"/>
        <v>-72.192523207315006</v>
      </c>
    </row>
    <row r="613" spans="1:20" x14ac:dyDescent="0.25">
      <c r="A613" s="5">
        <v>43980</v>
      </c>
      <c r="B613">
        <v>2.1159999999999999E-4</v>
      </c>
      <c r="C613">
        <v>2.141E-4</v>
      </c>
      <c r="D613">
        <v>1.9010000000000001E-4</v>
      </c>
      <c r="E613">
        <v>1.9249999999999999E-4</v>
      </c>
      <c r="F613">
        <v>1211519183</v>
      </c>
      <c r="G613">
        <v>0</v>
      </c>
      <c r="L613" t="s">
        <v>7</v>
      </c>
      <c r="M613" t="s">
        <v>7</v>
      </c>
      <c r="N613" t="s">
        <v>8</v>
      </c>
      <c r="P613">
        <f t="shared" si="989"/>
        <v>-0.80000000000000182</v>
      </c>
      <c r="Q613">
        <f t="shared" si="990"/>
        <v>-969215346.40000224</v>
      </c>
      <c r="R613">
        <f t="shared" si="991"/>
        <v>-7269835929.900733</v>
      </c>
      <c r="S613">
        <f t="shared" si="992"/>
        <v>-72698.359299007323</v>
      </c>
      <c r="T613">
        <f t="shared" si="993"/>
        <v>-72.698359299007322</v>
      </c>
    </row>
    <row r="614" spans="1:20" x14ac:dyDescent="0.25">
      <c r="A614" s="5">
        <v>43979</v>
      </c>
      <c r="B614">
        <v>2.13E-4</v>
      </c>
      <c r="C614">
        <v>2.174E-4</v>
      </c>
      <c r="D614">
        <v>2.0440000000000001E-4</v>
      </c>
      <c r="E614">
        <v>2.1039999999999999E-4</v>
      </c>
      <c r="F614">
        <v>964774071</v>
      </c>
      <c r="G614">
        <v>0</v>
      </c>
      <c r="L614" t="s">
        <v>8</v>
      </c>
      <c r="M614" t="s">
        <v>7</v>
      </c>
      <c r="N614" t="s">
        <v>8</v>
      </c>
      <c r="P614">
        <f t="shared" si="989"/>
        <v>-7.6923076923078842E-2</v>
      </c>
      <c r="Q614">
        <f t="shared" si="990"/>
        <v>-74213390.076924935</v>
      </c>
      <c r="R614">
        <f t="shared" si="991"/>
        <v>-6300620583.5007305</v>
      </c>
      <c r="S614">
        <f t="shared" si="992"/>
        <v>-63006.205835007306</v>
      </c>
      <c r="T614">
        <f t="shared" si="993"/>
        <v>-63.006205835007307</v>
      </c>
    </row>
    <row r="615" spans="1:20" x14ac:dyDescent="0.25">
      <c r="A615" s="5">
        <v>43978</v>
      </c>
      <c r="B615">
        <v>1.9110000000000001E-4</v>
      </c>
      <c r="C615">
        <v>2.2900000000000001E-4</v>
      </c>
      <c r="D615">
        <v>1.907E-4</v>
      </c>
      <c r="E615">
        <v>2.128E-4</v>
      </c>
      <c r="F615">
        <v>2041950052</v>
      </c>
      <c r="G615">
        <v>0</v>
      </c>
      <c r="L615" t="s">
        <v>7</v>
      </c>
      <c r="M615" t="s">
        <v>7</v>
      </c>
      <c r="N615" t="s">
        <v>8</v>
      </c>
      <c r="P615">
        <f t="shared" si="989"/>
        <v>0.15404699738903341</v>
      </c>
      <c r="Q615">
        <f t="shared" si="990"/>
        <v>314556274.32898062</v>
      </c>
      <c r="R615">
        <f t="shared" si="991"/>
        <v>-6226407193.4238052</v>
      </c>
      <c r="S615">
        <f t="shared" si="992"/>
        <v>-62264.071934238054</v>
      </c>
      <c r="T615">
        <f t="shared" si="993"/>
        <v>-62.264071934238054</v>
      </c>
    </row>
    <row r="616" spans="1:20" x14ac:dyDescent="0.25">
      <c r="A616" s="5">
        <v>43977</v>
      </c>
      <c r="B616">
        <v>1.94E-4</v>
      </c>
      <c r="C616">
        <v>2.4379999999999999E-4</v>
      </c>
      <c r="D616">
        <v>1.8009999999999999E-4</v>
      </c>
      <c r="E616">
        <v>1.907E-4</v>
      </c>
      <c r="F616">
        <v>4080705910</v>
      </c>
      <c r="G616">
        <v>0</v>
      </c>
      <c r="L616" t="s">
        <v>8</v>
      </c>
      <c r="M616" t="s">
        <v>8</v>
      </c>
      <c r="N616" t="s">
        <v>8</v>
      </c>
      <c r="P616">
        <f t="shared" si="989"/>
        <v>-0.66718995290423821</v>
      </c>
      <c r="Q616">
        <f t="shared" si="990"/>
        <v>-2722605983.9089465</v>
      </c>
      <c r="R616">
        <f t="shared" si="991"/>
        <v>-6540963467.7527857</v>
      </c>
      <c r="S616">
        <f t="shared" si="992"/>
        <v>-65409.634677527858</v>
      </c>
      <c r="T616">
        <f t="shared" si="993"/>
        <v>-65.409634677527862</v>
      </c>
    </row>
    <row r="617" spans="1:20" x14ac:dyDescent="0.25">
      <c r="A617" s="5">
        <v>43976</v>
      </c>
      <c r="B617">
        <v>1.6789999999999999E-4</v>
      </c>
      <c r="C617">
        <v>1.9760000000000001E-4</v>
      </c>
      <c r="D617">
        <v>1.652E-4</v>
      </c>
      <c r="E617">
        <v>1.9450000000000001E-4</v>
      </c>
      <c r="F617">
        <v>1601314587</v>
      </c>
      <c r="G617">
        <v>0</v>
      </c>
      <c r="L617" t="s">
        <v>7</v>
      </c>
      <c r="M617" t="s">
        <v>8</v>
      </c>
      <c r="N617" t="s">
        <v>8</v>
      </c>
      <c r="P617">
        <f t="shared" si="989"/>
        <v>0.80864197530864235</v>
      </c>
      <c r="Q617">
        <f t="shared" si="990"/>
        <v>1294890190.7222228</v>
      </c>
      <c r="R617">
        <f t="shared" si="991"/>
        <v>-3818357483.8438392</v>
      </c>
      <c r="S617">
        <f t="shared" si="992"/>
        <v>-38183.574838438391</v>
      </c>
      <c r="T617">
        <f t="shared" si="993"/>
        <v>-38.183574838438389</v>
      </c>
    </row>
    <row r="618" spans="1:20" x14ac:dyDescent="0.25">
      <c r="A618" s="5">
        <v>43975</v>
      </c>
      <c r="B618">
        <v>1.5980000000000001E-4</v>
      </c>
      <c r="C618">
        <v>1.953E-4</v>
      </c>
      <c r="D618">
        <v>1.5880000000000001E-4</v>
      </c>
      <c r="E618">
        <v>1.683E-4</v>
      </c>
      <c r="F618">
        <v>2252218003</v>
      </c>
      <c r="G618">
        <v>0</v>
      </c>
      <c r="L618" t="s">
        <v>8</v>
      </c>
      <c r="M618" t="s">
        <v>8</v>
      </c>
      <c r="N618" t="s">
        <v>8</v>
      </c>
      <c r="P618">
        <f t="shared" si="989"/>
        <v>-0.47945205479452113</v>
      </c>
      <c r="Q618">
        <f t="shared" si="990"/>
        <v>-1079830549.383563</v>
      </c>
      <c r="R618">
        <f t="shared" si="991"/>
        <v>-5113247674.566062</v>
      </c>
      <c r="S618">
        <f t="shared" si="992"/>
        <v>-51132.476745660621</v>
      </c>
      <c r="T618">
        <f t="shared" si="993"/>
        <v>-51.132476745660618</v>
      </c>
    </row>
    <row r="619" spans="1:20" x14ac:dyDescent="0.25">
      <c r="A619" s="5">
        <v>43974</v>
      </c>
      <c r="B619">
        <v>1.538E-4</v>
      </c>
      <c r="C619">
        <v>1.6100000000000001E-4</v>
      </c>
      <c r="D619">
        <v>1.5249999999999999E-4</v>
      </c>
      <c r="E619">
        <v>1.596E-4</v>
      </c>
      <c r="F619">
        <v>472645584</v>
      </c>
      <c r="G619">
        <v>0</v>
      </c>
      <c r="L619" t="s">
        <v>7</v>
      </c>
      <c r="M619" t="s">
        <v>8</v>
      </c>
      <c r="N619" t="s">
        <v>8</v>
      </c>
      <c r="P619">
        <f t="shared" si="989"/>
        <v>0.67058823529411671</v>
      </c>
      <c r="Q619">
        <f t="shared" si="990"/>
        <v>316950568.09411722</v>
      </c>
      <c r="R619">
        <f t="shared" si="991"/>
        <v>-4033417125.1824989</v>
      </c>
      <c r="S619">
        <f t="shared" si="992"/>
        <v>-40334.171251824991</v>
      </c>
      <c r="T619">
        <f t="shared" si="993"/>
        <v>-40.334171251824991</v>
      </c>
    </row>
    <row r="620" spans="1:20" x14ac:dyDescent="0.25">
      <c r="A620" s="5">
        <v>43973</v>
      </c>
      <c r="B620">
        <v>1.484E-4</v>
      </c>
      <c r="C620">
        <v>1.5669999999999999E-4</v>
      </c>
      <c r="D620">
        <v>1.473E-4</v>
      </c>
      <c r="E620">
        <v>1.529E-4</v>
      </c>
      <c r="F620">
        <v>535811827</v>
      </c>
      <c r="G620">
        <v>0</v>
      </c>
      <c r="L620" t="s">
        <v>8</v>
      </c>
      <c r="M620" t="s">
        <v>8</v>
      </c>
      <c r="N620" t="s">
        <v>8</v>
      </c>
      <c r="P620">
        <f t="shared" si="989"/>
        <v>0.19148936170212974</v>
      </c>
      <c r="Q620">
        <f t="shared" si="990"/>
        <v>102602264.74468197</v>
      </c>
      <c r="R620">
        <f t="shared" si="991"/>
        <v>-4350367693.2766161</v>
      </c>
      <c r="S620">
        <f t="shared" si="992"/>
        <v>-43503.67693276616</v>
      </c>
      <c r="T620">
        <f t="shared" si="993"/>
        <v>-43.503676932766162</v>
      </c>
    </row>
    <row r="621" spans="1:20" x14ac:dyDescent="0.25">
      <c r="A621" s="5">
        <v>43972</v>
      </c>
      <c r="B621">
        <v>1.507E-4</v>
      </c>
      <c r="C621">
        <v>1.5540000000000001E-4</v>
      </c>
      <c r="D621">
        <v>1.404E-4</v>
      </c>
      <c r="E621">
        <v>1.484E-4</v>
      </c>
      <c r="F621">
        <v>446156196</v>
      </c>
      <c r="G621">
        <v>0</v>
      </c>
      <c r="L621" t="s">
        <v>7</v>
      </c>
      <c r="M621" t="s">
        <v>8</v>
      </c>
      <c r="N621" t="s">
        <v>8</v>
      </c>
      <c r="P621">
        <f t="shared" si="989"/>
        <v>6.666666666666643E-2</v>
      </c>
      <c r="Q621">
        <f t="shared" si="990"/>
        <v>29743746.399999894</v>
      </c>
      <c r="R621">
        <f t="shared" si="991"/>
        <v>-4452969958.0212984</v>
      </c>
      <c r="S621">
        <f t="shared" si="992"/>
        <v>-44529.699580212982</v>
      </c>
      <c r="T621">
        <f t="shared" si="993"/>
        <v>-44.529699580212984</v>
      </c>
    </row>
    <row r="622" spans="1:20" x14ac:dyDescent="0.25">
      <c r="A622" s="5">
        <v>43971</v>
      </c>
      <c r="B622">
        <v>1.5440000000000001E-4</v>
      </c>
      <c r="C622">
        <v>1.5530000000000001E-4</v>
      </c>
      <c r="D622">
        <v>1.4980000000000001E-4</v>
      </c>
      <c r="E622">
        <v>1.507E-4</v>
      </c>
      <c r="F622">
        <v>450149279</v>
      </c>
      <c r="G622">
        <v>0</v>
      </c>
      <c r="L622" t="s">
        <v>8</v>
      </c>
      <c r="M622" t="s">
        <v>8</v>
      </c>
      <c r="N622" t="s">
        <v>8</v>
      </c>
      <c r="P622">
        <f t="shared" si="989"/>
        <v>-0.67272727272727451</v>
      </c>
      <c r="Q622">
        <f t="shared" si="990"/>
        <v>-302827696.78181899</v>
      </c>
      <c r="R622">
        <f t="shared" si="991"/>
        <v>-4482713704.421298</v>
      </c>
      <c r="S622">
        <f t="shared" si="992"/>
        <v>-44827.137044212977</v>
      </c>
      <c r="T622">
        <f t="shared" si="993"/>
        <v>-44.827137044212975</v>
      </c>
    </row>
    <row r="623" spans="1:20" x14ac:dyDescent="0.25">
      <c r="A623" s="5">
        <v>43970</v>
      </c>
      <c r="B623">
        <v>1.5190000000000001E-4</v>
      </c>
      <c r="C623">
        <v>1.5669999999999999E-4</v>
      </c>
      <c r="D623">
        <v>1.471E-4</v>
      </c>
      <c r="E623">
        <v>1.528E-4</v>
      </c>
      <c r="F623">
        <v>393668350</v>
      </c>
      <c r="G623">
        <v>0</v>
      </c>
      <c r="L623" t="s">
        <v>7</v>
      </c>
      <c r="M623" t="s">
        <v>8</v>
      </c>
      <c r="N623" t="s">
        <v>8</v>
      </c>
      <c r="P623">
        <f t="shared" si="989"/>
        <v>0.18750000000000194</v>
      </c>
      <c r="Q623">
        <f t="shared" si="990"/>
        <v>73812815.62500076</v>
      </c>
      <c r="R623">
        <f t="shared" si="991"/>
        <v>-4179886007.6394787</v>
      </c>
      <c r="S623">
        <f t="shared" si="992"/>
        <v>-41798.860076394783</v>
      </c>
      <c r="T623">
        <f t="shared" si="993"/>
        <v>-41.798860076394782</v>
      </c>
    </row>
    <row r="624" spans="1:20" x14ac:dyDescent="0.25">
      <c r="A624" s="5">
        <v>43969</v>
      </c>
      <c r="B624">
        <v>1.4550000000000001E-4</v>
      </c>
      <c r="C624">
        <v>1.5200000000000001E-4</v>
      </c>
      <c r="D624">
        <v>1.4420000000000001E-4</v>
      </c>
      <c r="E624">
        <v>1.5200000000000001E-4</v>
      </c>
      <c r="F624">
        <v>240613585</v>
      </c>
      <c r="G624">
        <v>0</v>
      </c>
      <c r="L624" t="s">
        <v>8</v>
      </c>
      <c r="M624" t="s">
        <v>8</v>
      </c>
      <c r="N624" t="s">
        <v>8</v>
      </c>
      <c r="P624">
        <f t="shared" si="989"/>
        <v>1</v>
      </c>
      <c r="Q624">
        <f t="shared" si="990"/>
        <v>240613585</v>
      </c>
      <c r="R624">
        <f t="shared" si="991"/>
        <v>-4253698823.2644796</v>
      </c>
      <c r="S624">
        <f t="shared" si="992"/>
        <v>-42536.988232644799</v>
      </c>
      <c r="T624">
        <f t="shared" si="993"/>
        <v>-42.536988232644802</v>
      </c>
    </row>
    <row r="625" spans="1:20" x14ac:dyDescent="0.25">
      <c r="A625" s="5">
        <v>43968</v>
      </c>
      <c r="B625">
        <v>1.4310000000000001E-4</v>
      </c>
      <c r="C625">
        <v>1.471E-4</v>
      </c>
      <c r="D625">
        <v>1.426E-4</v>
      </c>
      <c r="E625">
        <v>1.438E-4</v>
      </c>
      <c r="F625">
        <v>255281233</v>
      </c>
      <c r="G625">
        <v>0</v>
      </c>
      <c r="L625" t="s">
        <v>7</v>
      </c>
      <c r="M625" t="s">
        <v>8</v>
      </c>
      <c r="N625" t="s">
        <v>8</v>
      </c>
      <c r="P625">
        <f t="shared" si="989"/>
        <v>-0.46666666666666584</v>
      </c>
      <c r="Q625">
        <f t="shared" si="990"/>
        <v>-119131242.06666645</v>
      </c>
      <c r="R625">
        <f t="shared" si="991"/>
        <v>-4494312408.2644796</v>
      </c>
      <c r="S625">
        <f t="shared" si="992"/>
        <v>-44943.124082644797</v>
      </c>
      <c r="T625">
        <f t="shared" si="993"/>
        <v>-44.9431240826448</v>
      </c>
    </row>
    <row r="626" spans="1:20" x14ac:dyDescent="0.25">
      <c r="A626" s="5">
        <v>43967</v>
      </c>
      <c r="B626">
        <v>1.472E-4</v>
      </c>
      <c r="C626">
        <v>1.4750000000000001E-4</v>
      </c>
      <c r="D626">
        <v>1.4090000000000001E-4</v>
      </c>
      <c r="E626">
        <v>1.4329999999999999E-4</v>
      </c>
      <c r="F626">
        <v>521687916</v>
      </c>
      <c r="G626">
        <v>0</v>
      </c>
      <c r="L626" t="s">
        <v>8</v>
      </c>
      <c r="M626" t="s">
        <v>8</v>
      </c>
      <c r="N626" t="s">
        <v>8</v>
      </c>
      <c r="P626">
        <f t="shared" si="989"/>
        <v>-0.27272727272727942</v>
      </c>
      <c r="Q626">
        <f t="shared" si="990"/>
        <v>-142278522.54545805</v>
      </c>
      <c r="R626">
        <f t="shared" si="991"/>
        <v>-4375181166.197813</v>
      </c>
      <c r="S626">
        <f t="shared" si="992"/>
        <v>-43751.811661978129</v>
      </c>
      <c r="T626">
        <f t="shared" si="993"/>
        <v>-43.751811661978131</v>
      </c>
    </row>
    <row r="627" spans="1:20" x14ac:dyDescent="0.25">
      <c r="A627" s="5">
        <v>43966</v>
      </c>
      <c r="B627">
        <v>1.505E-4</v>
      </c>
      <c r="C627">
        <v>1.5220000000000001E-4</v>
      </c>
      <c r="D627">
        <v>1.46E-4</v>
      </c>
      <c r="E627">
        <v>1.472E-4</v>
      </c>
      <c r="F627">
        <v>409764274</v>
      </c>
      <c r="G627">
        <v>0</v>
      </c>
      <c r="L627" t="s">
        <v>7</v>
      </c>
      <c r="M627" t="s">
        <v>8</v>
      </c>
      <c r="N627" t="s">
        <v>8</v>
      </c>
      <c r="P627">
        <f t="shared" si="989"/>
        <v>-0.61290322580645185</v>
      </c>
      <c r="Q627">
        <f t="shared" si="990"/>
        <v>-251145845.35483882</v>
      </c>
      <c r="R627">
        <f t="shared" si="991"/>
        <v>-4232902643.6523547</v>
      </c>
      <c r="S627">
        <f t="shared" si="992"/>
        <v>-42329.026436523549</v>
      </c>
      <c r="T627">
        <f t="shared" si="993"/>
        <v>-42.329026436523549</v>
      </c>
    </row>
    <row r="628" spans="1:20" x14ac:dyDescent="0.25">
      <c r="A628" s="5">
        <v>43965</v>
      </c>
      <c r="B628">
        <v>1.5090000000000001E-4</v>
      </c>
      <c r="C628">
        <v>1.6119999999999999E-4</v>
      </c>
      <c r="D628">
        <v>1.4999999999999999E-4</v>
      </c>
      <c r="E628">
        <v>1.505E-4</v>
      </c>
      <c r="F628">
        <v>797234291</v>
      </c>
      <c r="G628">
        <v>0</v>
      </c>
      <c r="L628" t="s">
        <v>8</v>
      </c>
      <c r="M628" t="s">
        <v>8</v>
      </c>
      <c r="N628" t="s">
        <v>8</v>
      </c>
      <c r="P628">
        <f t="shared" si="989"/>
        <v>-0.91071428571428359</v>
      </c>
      <c r="Q628">
        <f t="shared" si="990"/>
        <v>-726052657.87499833</v>
      </c>
      <c r="R628">
        <f t="shared" si="991"/>
        <v>-3981756798.2975159</v>
      </c>
      <c r="S628">
        <f t="shared" si="992"/>
        <v>-39817.567982975161</v>
      </c>
      <c r="T628">
        <f t="shared" si="993"/>
        <v>-39.817567982975163</v>
      </c>
    </row>
    <row r="629" spans="1:20" x14ac:dyDescent="0.25">
      <c r="A629" s="5">
        <v>43964</v>
      </c>
      <c r="B629">
        <v>1.451E-4</v>
      </c>
      <c r="C629">
        <v>1.549E-4</v>
      </c>
      <c r="D629">
        <v>1.4410000000000001E-4</v>
      </c>
      <c r="E629">
        <v>1.5090000000000001E-4</v>
      </c>
      <c r="F629">
        <v>354720118</v>
      </c>
      <c r="G629">
        <v>0</v>
      </c>
      <c r="L629" t="s">
        <v>7</v>
      </c>
      <c r="M629" t="s">
        <v>8</v>
      </c>
      <c r="N629" t="s">
        <v>8</v>
      </c>
      <c r="P629">
        <f t="shared" si="989"/>
        <v>0.25925925925926074</v>
      </c>
      <c r="Q629">
        <f t="shared" si="990"/>
        <v>91964475.037037566</v>
      </c>
      <c r="R629">
        <f t="shared" si="991"/>
        <v>-3255704140.4225178</v>
      </c>
      <c r="S629">
        <f t="shared" si="992"/>
        <v>-32557.04140422518</v>
      </c>
      <c r="T629">
        <f t="shared" si="993"/>
        <v>-32.557041404225181</v>
      </c>
    </row>
    <row r="630" spans="1:20" x14ac:dyDescent="0.25">
      <c r="A630" s="5">
        <v>43963</v>
      </c>
      <c r="B630">
        <v>1.3999999999999999E-4</v>
      </c>
      <c r="C630">
        <v>1.5359999999999999E-4</v>
      </c>
      <c r="D630">
        <v>1.3889999999999999E-4</v>
      </c>
      <c r="E630">
        <v>1.459E-4</v>
      </c>
      <c r="F630">
        <v>589573073</v>
      </c>
      <c r="G630">
        <v>0</v>
      </c>
      <c r="L630" t="s">
        <v>8</v>
      </c>
      <c r="M630" t="s">
        <v>8</v>
      </c>
      <c r="N630" t="s">
        <v>8</v>
      </c>
      <c r="P630">
        <f t="shared" si="989"/>
        <v>-4.7619047619046916E-2</v>
      </c>
      <c r="Q630">
        <f t="shared" si="990"/>
        <v>-28074908.238094822</v>
      </c>
      <c r="R630">
        <f t="shared" si="991"/>
        <v>-3347668615.4595551</v>
      </c>
      <c r="S630">
        <f t="shared" si="992"/>
        <v>-33476.686154595554</v>
      </c>
      <c r="T630">
        <f t="shared" si="993"/>
        <v>-33.476686154595555</v>
      </c>
    </row>
    <row r="631" spans="1:20" x14ac:dyDescent="0.25">
      <c r="A631" s="5">
        <v>43962</v>
      </c>
      <c r="B631">
        <v>1.3860000000000001E-4</v>
      </c>
      <c r="C631">
        <v>1.4249999999999999E-4</v>
      </c>
      <c r="D631">
        <v>1.303E-4</v>
      </c>
      <c r="E631">
        <v>1.3999999999999999E-4</v>
      </c>
      <c r="F631">
        <v>539795773</v>
      </c>
      <c r="G631">
        <v>0</v>
      </c>
      <c r="L631" t="s">
        <v>7</v>
      </c>
      <c r="M631" t="s">
        <v>7</v>
      </c>
      <c r="N631" t="s">
        <v>8</v>
      </c>
      <c r="P631">
        <f t="shared" si="989"/>
        <v>0.59016393442622839</v>
      </c>
      <c r="Q631">
        <f t="shared" si="990"/>
        <v>318567997.18032724</v>
      </c>
      <c r="R631">
        <f t="shared" si="991"/>
        <v>-3319593707.2214603</v>
      </c>
      <c r="S631">
        <f t="shared" si="992"/>
        <v>-33195.937072214605</v>
      </c>
      <c r="T631">
        <f t="shared" si="993"/>
        <v>-33.195937072214605</v>
      </c>
    </row>
    <row r="632" spans="1:20" x14ac:dyDescent="0.25">
      <c r="A632" s="5">
        <v>43961</v>
      </c>
      <c r="B632">
        <v>1.4909999999999999E-4</v>
      </c>
      <c r="C632">
        <v>1.5420000000000001E-4</v>
      </c>
      <c r="D632">
        <v>1.2400000000000001E-4</v>
      </c>
      <c r="E632">
        <v>1.3750000000000001E-4</v>
      </c>
      <c r="F632">
        <v>641120925</v>
      </c>
      <c r="G632">
        <v>0</v>
      </c>
      <c r="L632" t="s">
        <v>8</v>
      </c>
      <c r="M632" t="s">
        <v>7</v>
      </c>
      <c r="N632" t="s">
        <v>8</v>
      </c>
      <c r="P632">
        <f t="shared" si="989"/>
        <v>-0.10596026490066213</v>
      </c>
      <c r="Q632">
        <f t="shared" si="990"/>
        <v>-67933343.046357542</v>
      </c>
      <c r="R632">
        <f t="shared" si="991"/>
        <v>-3638161704.4017878</v>
      </c>
      <c r="S632">
        <f t="shared" si="992"/>
        <v>-36381.617044017876</v>
      </c>
      <c r="T632">
        <f t="shared" si="993"/>
        <v>-36.381617044017872</v>
      </c>
    </row>
    <row r="633" spans="1:20" x14ac:dyDescent="0.25">
      <c r="A633" s="5">
        <v>43960</v>
      </c>
      <c r="B633">
        <v>1.5220000000000001E-4</v>
      </c>
      <c r="C633">
        <v>1.5669999999999999E-4</v>
      </c>
      <c r="D633">
        <v>1.4449999999999999E-4</v>
      </c>
      <c r="E633">
        <v>1.4899999999999999E-4</v>
      </c>
      <c r="F633">
        <v>412132597</v>
      </c>
      <c r="G633">
        <v>0</v>
      </c>
      <c r="L633" t="s">
        <v>7</v>
      </c>
      <c r="M633" t="s">
        <v>8</v>
      </c>
      <c r="N633" t="s">
        <v>8</v>
      </c>
      <c r="P633">
        <f t="shared" si="989"/>
        <v>-0.26229508196721285</v>
      </c>
      <c r="Q633">
        <f t="shared" si="990"/>
        <v>-108100353.31147531</v>
      </c>
      <c r="R633">
        <f t="shared" si="991"/>
        <v>-3570228361.3554301</v>
      </c>
      <c r="S633">
        <f t="shared" si="992"/>
        <v>-35702.283613554304</v>
      </c>
      <c r="T633">
        <f t="shared" si="993"/>
        <v>-35.702283613554307</v>
      </c>
    </row>
    <row r="634" spans="1:20" x14ac:dyDescent="0.25">
      <c r="A634" s="5">
        <v>43959</v>
      </c>
      <c r="B634">
        <v>1.6100000000000001E-4</v>
      </c>
      <c r="C634">
        <v>1.6100000000000001E-4</v>
      </c>
      <c r="D634">
        <v>1.4669999999999999E-4</v>
      </c>
      <c r="E634">
        <v>1.5220000000000001E-4</v>
      </c>
      <c r="F634">
        <v>680809592</v>
      </c>
      <c r="G634">
        <v>0</v>
      </c>
      <c r="L634" t="s">
        <v>8</v>
      </c>
      <c r="M634" t="s">
        <v>8</v>
      </c>
      <c r="N634" t="s">
        <v>8</v>
      </c>
      <c r="P634">
        <f t="shared" si="989"/>
        <v>-0.23076923076922842</v>
      </c>
      <c r="Q634">
        <f t="shared" si="990"/>
        <v>-157109905.84615225</v>
      </c>
      <c r="R634">
        <f t="shared" si="991"/>
        <v>-3462128008.0439548</v>
      </c>
      <c r="S634">
        <f t="shared" si="992"/>
        <v>-34621.280080439552</v>
      </c>
      <c r="T634">
        <f t="shared" si="993"/>
        <v>-34.621280080439554</v>
      </c>
    </row>
    <row r="635" spans="1:20" x14ac:dyDescent="0.25">
      <c r="A635" s="5">
        <v>43958</v>
      </c>
      <c r="B635">
        <v>1.4880000000000001E-4</v>
      </c>
      <c r="C635">
        <v>1.6100000000000001E-4</v>
      </c>
      <c r="D635">
        <v>1.403E-4</v>
      </c>
      <c r="E635">
        <v>1.6100000000000001E-4</v>
      </c>
      <c r="F635">
        <v>1070482005</v>
      </c>
      <c r="G635">
        <v>0</v>
      </c>
      <c r="L635" t="s">
        <v>7</v>
      </c>
      <c r="M635" t="s">
        <v>8</v>
      </c>
      <c r="N635" t="s">
        <v>8</v>
      </c>
      <c r="P635">
        <f t="shared" si="989"/>
        <v>1</v>
      </c>
      <c r="Q635">
        <f t="shared" si="990"/>
        <v>1070482005</v>
      </c>
      <c r="R635">
        <f t="shared" si="991"/>
        <v>-3305018102.1978025</v>
      </c>
      <c r="S635">
        <f t="shared" si="992"/>
        <v>-33050.181021978024</v>
      </c>
      <c r="T635">
        <f t="shared" si="993"/>
        <v>-33.050181021978027</v>
      </c>
    </row>
    <row r="636" spans="1:20" x14ac:dyDescent="0.25">
      <c r="A636" s="5">
        <v>43957</v>
      </c>
      <c r="B636">
        <v>1.3899999999999999E-4</v>
      </c>
      <c r="C636">
        <v>1.6799999999999999E-4</v>
      </c>
      <c r="D636">
        <v>1.373E-4</v>
      </c>
      <c r="E636">
        <v>1.4889999999999999E-4</v>
      </c>
      <c r="F636">
        <v>1644164628</v>
      </c>
      <c r="G636">
        <v>0</v>
      </c>
      <c r="L636" t="s">
        <v>8</v>
      </c>
      <c r="M636" t="s">
        <v>8</v>
      </c>
      <c r="N636" t="s">
        <v>8</v>
      </c>
      <c r="P636">
        <f t="shared" si="989"/>
        <v>-0.24429967426710172</v>
      </c>
      <c r="Q636">
        <f t="shared" si="990"/>
        <v>-401668883.06189048</v>
      </c>
      <c r="R636">
        <f t="shared" si="991"/>
        <v>-4375500107.1978025</v>
      </c>
      <c r="S636">
        <f t="shared" si="992"/>
        <v>-43755.001071978026</v>
      </c>
      <c r="T636">
        <f t="shared" si="993"/>
        <v>-43.755001071978029</v>
      </c>
    </row>
    <row r="637" spans="1:20" x14ac:dyDescent="0.25">
      <c r="A637" s="5">
        <v>43956</v>
      </c>
      <c r="B637">
        <v>1.4320000000000001E-4</v>
      </c>
      <c r="C637">
        <v>1.472E-4</v>
      </c>
      <c r="D637">
        <v>1.2999999999999999E-4</v>
      </c>
      <c r="E637">
        <v>1.394E-4</v>
      </c>
      <c r="F637">
        <v>512799284</v>
      </c>
      <c r="G637">
        <v>0</v>
      </c>
      <c r="L637" t="s">
        <v>7</v>
      </c>
      <c r="M637" t="s">
        <v>7</v>
      </c>
      <c r="N637" t="s">
        <v>8</v>
      </c>
      <c r="P637">
        <f t="shared" si="989"/>
        <v>9.3023255813954112E-2</v>
      </c>
      <c r="Q637">
        <f t="shared" si="990"/>
        <v>47702258.976744503</v>
      </c>
      <c r="R637">
        <f t="shared" si="991"/>
        <v>-3973831224.1359119</v>
      </c>
      <c r="S637">
        <f t="shared" si="992"/>
        <v>-39738.312241359119</v>
      </c>
      <c r="T637">
        <f t="shared" si="993"/>
        <v>-39.738312241359118</v>
      </c>
    </row>
    <row r="638" spans="1:20" x14ac:dyDescent="0.25">
      <c r="A638" s="5">
        <v>43955</v>
      </c>
      <c r="B638">
        <v>1.5100000000000001E-4</v>
      </c>
      <c r="C638">
        <v>1.5679999999999999E-4</v>
      </c>
      <c r="D638">
        <v>1.362E-4</v>
      </c>
      <c r="E638">
        <v>1.4249999999999999E-4</v>
      </c>
      <c r="F638">
        <v>1791733605</v>
      </c>
      <c r="G638">
        <v>0</v>
      </c>
      <c r="L638" t="s">
        <v>8</v>
      </c>
      <c r="M638" t="s">
        <v>7</v>
      </c>
      <c r="N638" t="s">
        <v>8</v>
      </c>
      <c r="P638">
        <f t="shared" si="989"/>
        <v>-0.38834951456310729</v>
      </c>
      <c r="Q638">
        <f t="shared" si="990"/>
        <v>-695818875.72815621</v>
      </c>
      <c r="R638">
        <f t="shared" si="991"/>
        <v>-4021533483.1126566</v>
      </c>
      <c r="S638">
        <f t="shared" si="992"/>
        <v>-40215.334831126565</v>
      </c>
      <c r="T638">
        <f t="shared" si="993"/>
        <v>-40.215334831126569</v>
      </c>
    </row>
    <row r="639" spans="1:20" x14ac:dyDescent="0.25">
      <c r="A639" s="5">
        <v>43954</v>
      </c>
      <c r="B639">
        <v>1.35E-4</v>
      </c>
      <c r="C639">
        <v>1.7650000000000001E-4</v>
      </c>
      <c r="D639">
        <v>1.3100000000000001E-4</v>
      </c>
      <c r="E639">
        <v>1.5090000000000001E-4</v>
      </c>
      <c r="F639">
        <v>5959380190</v>
      </c>
      <c r="G639">
        <v>0</v>
      </c>
      <c r="L639" t="s">
        <v>7</v>
      </c>
      <c r="M639" t="s">
        <v>8</v>
      </c>
      <c r="N639" t="s">
        <v>8</v>
      </c>
      <c r="P639">
        <f t="shared" si="989"/>
        <v>-0.12527472527472536</v>
      </c>
      <c r="Q639">
        <f t="shared" si="990"/>
        <v>-746559716.10989058</v>
      </c>
      <c r="R639">
        <f t="shared" si="991"/>
        <v>-3325714607.3845005</v>
      </c>
      <c r="S639">
        <f t="shared" si="992"/>
        <v>-33257.146073845004</v>
      </c>
      <c r="T639">
        <f t="shared" si="993"/>
        <v>-33.257146073845007</v>
      </c>
    </row>
    <row r="640" spans="1:20" x14ac:dyDescent="0.25">
      <c r="A640" s="5">
        <v>43953</v>
      </c>
      <c r="B640">
        <v>1.2850000000000001E-4</v>
      </c>
      <c r="C640">
        <v>1.382E-4</v>
      </c>
      <c r="D640">
        <v>1.2669999999999999E-4</v>
      </c>
      <c r="E640">
        <v>1.3579999999999999E-4</v>
      </c>
      <c r="F640">
        <v>1186783413</v>
      </c>
      <c r="G640">
        <v>0</v>
      </c>
      <c r="L640" t="s">
        <v>8</v>
      </c>
      <c r="M640" t="s">
        <v>8</v>
      </c>
      <c r="N640" t="s">
        <v>8</v>
      </c>
      <c r="P640">
        <f t="shared" si="989"/>
        <v>0.58260869565217355</v>
      </c>
      <c r="Q640">
        <f t="shared" si="990"/>
        <v>691430336.26956475</v>
      </c>
      <c r="R640">
        <f t="shared" si="991"/>
        <v>-2579154891.27461</v>
      </c>
      <c r="S640">
        <f t="shared" si="992"/>
        <v>-25791.548912746101</v>
      </c>
      <c r="T640">
        <f t="shared" si="993"/>
        <v>-25.791548912746102</v>
      </c>
    </row>
    <row r="641" spans="1:20" x14ac:dyDescent="0.25">
      <c r="A641" s="5">
        <v>43952</v>
      </c>
      <c r="B641">
        <v>1.2120000000000001E-4</v>
      </c>
      <c r="C641">
        <v>1.306E-4</v>
      </c>
      <c r="D641">
        <v>1.2120000000000001E-4</v>
      </c>
      <c r="E641">
        <v>1.2760000000000001E-4</v>
      </c>
      <c r="F641">
        <v>566647267</v>
      </c>
      <c r="G641">
        <v>0</v>
      </c>
      <c r="L641" t="s">
        <v>7</v>
      </c>
      <c r="M641" t="s">
        <v>8</v>
      </c>
      <c r="N641" t="s">
        <v>8</v>
      </c>
      <c r="P641">
        <f t="shared" si="989"/>
        <v>0.3617021276595761</v>
      </c>
      <c r="Q641">
        <f t="shared" si="990"/>
        <v>204957522.10638389</v>
      </c>
      <c r="R641">
        <f t="shared" si="991"/>
        <v>-3270585227.5441747</v>
      </c>
      <c r="S641">
        <f t="shared" si="992"/>
        <v>-32705.852275441746</v>
      </c>
      <c r="T641">
        <f t="shared" si="993"/>
        <v>-32.70585227544175</v>
      </c>
    </row>
    <row r="642" spans="1:20" x14ac:dyDescent="0.25">
      <c r="A642" s="5">
        <v>43951</v>
      </c>
      <c r="B642">
        <v>1.2850000000000001E-4</v>
      </c>
      <c r="C642">
        <v>1.3329999999999999E-4</v>
      </c>
      <c r="D642">
        <v>1.194E-4</v>
      </c>
      <c r="E642">
        <v>1.2229999999999999E-4</v>
      </c>
      <c r="F642">
        <v>608915063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-0.58273381294964144</v>
      </c>
      <c r="Q642">
        <f t="shared" si="990"/>
        <v>-354835396.42446113</v>
      </c>
      <c r="R642">
        <f t="shared" si="991"/>
        <v>-3475542749.6505585</v>
      </c>
      <c r="S642">
        <f t="shared" si="992"/>
        <v>-34755.427496505588</v>
      </c>
      <c r="T642">
        <f t="shared" si="993"/>
        <v>-34.75542749650559</v>
      </c>
    </row>
    <row r="643" spans="1:20" x14ac:dyDescent="0.25">
      <c r="A643" s="5">
        <v>43950</v>
      </c>
      <c r="B643">
        <v>1.2329999999999999E-4</v>
      </c>
      <c r="C643">
        <v>1.2980000000000001E-4</v>
      </c>
      <c r="D643">
        <v>1.2239999999999999E-4</v>
      </c>
      <c r="E643">
        <v>1.2860000000000001E-4</v>
      </c>
      <c r="F643">
        <v>695389848</v>
      </c>
      <c r="G643">
        <v>0</v>
      </c>
      <c r="L643" t="s">
        <v>7</v>
      </c>
      <c r="M643" t="s">
        <v>8</v>
      </c>
      <c r="N643" t="s">
        <v>8</v>
      </c>
      <c r="P643">
        <f t="shared" si="989"/>
        <v>0.67567567567567588</v>
      </c>
      <c r="Q643">
        <f t="shared" si="990"/>
        <v>469858005.40540552</v>
      </c>
      <c r="R643">
        <f t="shared" si="991"/>
        <v>-3120707353.2260976</v>
      </c>
      <c r="S643">
        <f t="shared" si="992"/>
        <v>-31207.073532260976</v>
      </c>
      <c r="T643">
        <f t="shared" si="993"/>
        <v>-31.207073532260978</v>
      </c>
    </row>
    <row r="644" spans="1:20" x14ac:dyDescent="0.25">
      <c r="A644" s="5">
        <v>43949</v>
      </c>
      <c r="B644">
        <v>1.2420000000000001E-4</v>
      </c>
      <c r="C644">
        <v>1.2689999999999999E-4</v>
      </c>
      <c r="D644">
        <v>1.225E-4</v>
      </c>
      <c r="E644">
        <v>1.227E-4</v>
      </c>
      <c r="F644">
        <v>340518756</v>
      </c>
      <c r="G644">
        <v>0</v>
      </c>
      <c r="L644" t="s">
        <v>8</v>
      </c>
      <c r="M644" t="s">
        <v>8</v>
      </c>
      <c r="N644" t="s">
        <v>8</v>
      </c>
      <c r="P644">
        <f t="shared" si="989"/>
        <v>-0.90909090909090684</v>
      </c>
      <c r="Q644">
        <f t="shared" si="990"/>
        <v>-309562505.45454466</v>
      </c>
      <c r="R644">
        <f t="shared" si="991"/>
        <v>-3590565358.6315031</v>
      </c>
      <c r="S644">
        <f t="shared" si="992"/>
        <v>-35905.653586315027</v>
      </c>
      <c r="T644">
        <f t="shared" si="993"/>
        <v>-35.905653586315026</v>
      </c>
    </row>
    <row r="645" spans="1:20" x14ac:dyDescent="0.25">
      <c r="A645" s="5">
        <v>43948</v>
      </c>
      <c r="B645">
        <v>1.2449999999999999E-4</v>
      </c>
      <c r="C645">
        <v>1.2549999999999999E-4</v>
      </c>
      <c r="D645">
        <v>1.215E-4</v>
      </c>
      <c r="E645">
        <v>1.2420000000000001E-4</v>
      </c>
      <c r="F645">
        <v>222904103</v>
      </c>
      <c r="G645">
        <v>0</v>
      </c>
      <c r="L645" t="s">
        <v>7</v>
      </c>
      <c r="M645" t="s">
        <v>8</v>
      </c>
      <c r="N645" t="s">
        <v>8</v>
      </c>
      <c r="P645">
        <f t="shared" si="989"/>
        <v>0.35000000000000947</v>
      </c>
      <c r="Q645">
        <f t="shared" si="990"/>
        <v>78016436.050002113</v>
      </c>
      <c r="R645">
        <f t="shared" si="991"/>
        <v>-3281002853.1769586</v>
      </c>
      <c r="S645">
        <f t="shared" si="992"/>
        <v>-32810.028531769589</v>
      </c>
      <c r="T645">
        <f t="shared" si="993"/>
        <v>-32.810028531769589</v>
      </c>
    </row>
    <row r="646" spans="1:20" x14ac:dyDescent="0.25">
      <c r="A646" s="5">
        <v>43947</v>
      </c>
      <c r="B646">
        <v>1.209E-4</v>
      </c>
      <c r="C646">
        <v>1.247E-4</v>
      </c>
      <c r="D646">
        <v>1.1959999999999999E-4</v>
      </c>
      <c r="E646">
        <v>1.2430000000000001E-4</v>
      </c>
      <c r="F646">
        <v>185535406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4">IF(C646=D646,0,((E646-D646)-(C646-E646))/(C646-D646))</f>
        <v>0.84313725490196767</v>
      </c>
      <c r="Q646">
        <f t="shared" ref="Q646:Q709" si="995">F646*P646</f>
        <v>156431812.90196207</v>
      </c>
      <c r="R646">
        <f t="shared" ref="R646:R709" si="996">R647+Q646</f>
        <v>-3359019289.2269607</v>
      </c>
      <c r="S646">
        <f t="shared" ref="S646:S709" si="997">R646/100000</f>
        <v>-33590.19289226961</v>
      </c>
      <c r="T646">
        <f t="shared" ref="T646:T709" si="998">S646/1000</f>
        <v>-33.590192892269613</v>
      </c>
    </row>
    <row r="647" spans="1:20" x14ac:dyDescent="0.25">
      <c r="A647" s="5">
        <v>43946</v>
      </c>
      <c r="B647">
        <v>1.199E-4</v>
      </c>
      <c r="C647">
        <v>1.239E-4</v>
      </c>
      <c r="D647">
        <v>1.192E-4</v>
      </c>
      <c r="E647">
        <v>1.209E-4</v>
      </c>
      <c r="F647">
        <v>277765849</v>
      </c>
      <c r="G647">
        <v>0</v>
      </c>
      <c r="L647" t="s">
        <v>7</v>
      </c>
      <c r="M647" t="s">
        <v>8</v>
      </c>
      <c r="N647" t="s">
        <v>8</v>
      </c>
      <c r="P647">
        <f t="shared" si="994"/>
        <v>-0.27659574468085169</v>
      </c>
      <c r="Q647">
        <f t="shared" si="995"/>
        <v>-76828851.851063997</v>
      </c>
      <c r="R647">
        <f t="shared" si="996"/>
        <v>-3515451102.1289229</v>
      </c>
      <c r="S647">
        <f t="shared" si="997"/>
        <v>-35154.511021289232</v>
      </c>
      <c r="T647">
        <f t="shared" si="998"/>
        <v>-35.154511021289231</v>
      </c>
    </row>
    <row r="648" spans="1:20" x14ac:dyDescent="0.25">
      <c r="A648" s="5">
        <v>43945</v>
      </c>
      <c r="B648">
        <v>1.171E-4</v>
      </c>
      <c r="C648">
        <v>1.2300000000000001E-4</v>
      </c>
      <c r="D648">
        <v>1.171E-4</v>
      </c>
      <c r="E648">
        <v>1.2070000000000001E-4</v>
      </c>
      <c r="F648">
        <v>443827324</v>
      </c>
      <c r="G648">
        <v>0</v>
      </c>
      <c r="L648" t="s">
        <v>8</v>
      </c>
      <c r="M648" t="s">
        <v>8</v>
      </c>
      <c r="N648" t="s">
        <v>8</v>
      </c>
      <c r="P648">
        <f t="shared" si="994"/>
        <v>0.22033898305084793</v>
      </c>
      <c r="Q648">
        <f t="shared" si="995"/>
        <v>97792461.220339194</v>
      </c>
      <c r="R648">
        <f t="shared" si="996"/>
        <v>-3438622250.2778587</v>
      </c>
      <c r="S648">
        <f t="shared" si="997"/>
        <v>-34386.22250277859</v>
      </c>
      <c r="T648">
        <f t="shared" si="998"/>
        <v>-34.386222502778587</v>
      </c>
    </row>
    <row r="649" spans="1:20" x14ac:dyDescent="0.25">
      <c r="A649" s="5">
        <v>43944</v>
      </c>
      <c r="B649">
        <v>1.189E-4</v>
      </c>
      <c r="C649">
        <v>1.2219999999999999E-4</v>
      </c>
      <c r="D649">
        <v>1.1510000000000001E-4</v>
      </c>
      <c r="E649">
        <v>1.171E-4</v>
      </c>
      <c r="F649">
        <v>775401818</v>
      </c>
      <c r="G649">
        <v>0</v>
      </c>
      <c r="L649" t="s">
        <v>7</v>
      </c>
      <c r="M649" t="s">
        <v>8</v>
      </c>
      <c r="N649" t="s">
        <v>8</v>
      </c>
      <c r="P649">
        <f t="shared" si="994"/>
        <v>-0.43661971830985935</v>
      </c>
      <c r="Q649">
        <f t="shared" si="995"/>
        <v>-338555723.35211283</v>
      </c>
      <c r="R649">
        <f t="shared" si="996"/>
        <v>-3536414711.498198</v>
      </c>
      <c r="S649">
        <f t="shared" si="997"/>
        <v>-35364.147114981977</v>
      </c>
      <c r="T649">
        <f t="shared" si="998"/>
        <v>-35.364147114981975</v>
      </c>
    </row>
    <row r="650" spans="1:20" x14ac:dyDescent="0.25">
      <c r="A650" s="5">
        <v>43943</v>
      </c>
      <c r="B650">
        <v>1.145E-4</v>
      </c>
      <c r="C650">
        <v>1.22E-4</v>
      </c>
      <c r="D650">
        <v>1.13E-4</v>
      </c>
      <c r="E650">
        <v>1.184E-4</v>
      </c>
      <c r="F650">
        <v>162712709</v>
      </c>
      <c r="G650">
        <v>0</v>
      </c>
      <c r="L650" t="s">
        <v>8</v>
      </c>
      <c r="M650" t="s">
        <v>8</v>
      </c>
      <c r="N650" t="s">
        <v>8</v>
      </c>
      <c r="P650">
        <f t="shared" si="994"/>
        <v>0.20000000000000182</v>
      </c>
      <c r="Q650">
        <f t="shared" si="995"/>
        <v>32542541.800000295</v>
      </c>
      <c r="R650">
        <f t="shared" si="996"/>
        <v>-3197858988.1460853</v>
      </c>
      <c r="S650">
        <f t="shared" si="997"/>
        <v>-31978.589881460852</v>
      </c>
      <c r="T650">
        <f t="shared" si="998"/>
        <v>-31.978589881460852</v>
      </c>
    </row>
    <row r="651" spans="1:20" x14ac:dyDescent="0.25">
      <c r="A651" s="5">
        <v>43942</v>
      </c>
      <c r="B651">
        <v>1.1519999999999999E-4</v>
      </c>
      <c r="C651">
        <v>1.18E-4</v>
      </c>
      <c r="D651">
        <v>1.131E-4</v>
      </c>
      <c r="E651">
        <v>1.1400000000000001E-4</v>
      </c>
      <c r="F651">
        <v>265433206</v>
      </c>
      <c r="G651">
        <v>0</v>
      </c>
      <c r="L651" t="s">
        <v>7</v>
      </c>
      <c r="M651" t="s">
        <v>8</v>
      </c>
      <c r="N651" t="s">
        <v>8</v>
      </c>
      <c r="P651">
        <f t="shared" si="994"/>
        <v>-0.63265306122448617</v>
      </c>
      <c r="Q651">
        <f t="shared" si="995"/>
        <v>-167927130.32652965</v>
      </c>
      <c r="R651">
        <f t="shared" si="996"/>
        <v>-3230401529.9460855</v>
      </c>
      <c r="S651">
        <f t="shared" si="997"/>
        <v>-32304.015299460854</v>
      </c>
      <c r="T651">
        <f t="shared" si="998"/>
        <v>-32.304015299460858</v>
      </c>
    </row>
    <row r="652" spans="1:20" x14ac:dyDescent="0.25">
      <c r="A652" s="5">
        <v>43941</v>
      </c>
      <c r="B652">
        <v>1.214E-4</v>
      </c>
      <c r="C652">
        <v>1.2540000000000001E-4</v>
      </c>
      <c r="D652">
        <v>1.128E-4</v>
      </c>
      <c r="E652">
        <v>1.1620000000000001E-4</v>
      </c>
      <c r="F652">
        <v>456834153</v>
      </c>
      <c r="G652">
        <v>0</v>
      </c>
      <c r="L652" t="s">
        <v>8</v>
      </c>
      <c r="M652" t="s">
        <v>8</v>
      </c>
      <c r="N652" t="s">
        <v>8</v>
      </c>
      <c r="P652">
        <f t="shared" si="994"/>
        <v>-0.46031746031746046</v>
      </c>
      <c r="Q652">
        <f t="shared" si="995"/>
        <v>-210288737.09523815</v>
      </c>
      <c r="R652">
        <f t="shared" si="996"/>
        <v>-3062474399.619556</v>
      </c>
      <c r="S652">
        <f t="shared" si="997"/>
        <v>-30624.743996195561</v>
      </c>
      <c r="T652">
        <f t="shared" si="998"/>
        <v>-30.624743996195562</v>
      </c>
    </row>
    <row r="653" spans="1:20" x14ac:dyDescent="0.25">
      <c r="A653" s="5">
        <v>43940</v>
      </c>
      <c r="B653">
        <v>1.259E-4</v>
      </c>
      <c r="C653">
        <v>1.2870000000000001E-4</v>
      </c>
      <c r="D653">
        <v>1.203E-4</v>
      </c>
      <c r="E653">
        <v>1.216E-4</v>
      </c>
      <c r="F653">
        <v>208454972</v>
      </c>
      <c r="G653">
        <v>0</v>
      </c>
      <c r="L653" t="s">
        <v>7</v>
      </c>
      <c r="M653" t="s">
        <v>8</v>
      </c>
      <c r="N653" t="s">
        <v>8</v>
      </c>
      <c r="P653">
        <f t="shared" si="994"/>
        <v>-0.69047619047618991</v>
      </c>
      <c r="Q653">
        <f t="shared" si="995"/>
        <v>-143933194.95238084</v>
      </c>
      <c r="R653">
        <f t="shared" si="996"/>
        <v>-2852185662.5243177</v>
      </c>
      <c r="S653">
        <f t="shared" si="997"/>
        <v>-28521.856625243177</v>
      </c>
      <c r="T653">
        <f t="shared" si="998"/>
        <v>-28.521856625243178</v>
      </c>
    </row>
    <row r="654" spans="1:20" x14ac:dyDescent="0.25">
      <c r="A654" s="5">
        <v>43939</v>
      </c>
      <c r="B654">
        <v>1.208E-4</v>
      </c>
      <c r="C654">
        <v>1.3129999999999999E-4</v>
      </c>
      <c r="D654">
        <v>1.1959999999999999E-4</v>
      </c>
      <c r="E654">
        <v>1.2799999999999999E-4</v>
      </c>
      <c r="F654">
        <v>273751071</v>
      </c>
      <c r="G654">
        <v>0</v>
      </c>
      <c r="L654" t="s">
        <v>8</v>
      </c>
      <c r="M654" t="s">
        <v>8</v>
      </c>
      <c r="N654" t="s">
        <v>8</v>
      </c>
      <c r="P654">
        <f t="shared" si="994"/>
        <v>0.43589743589743607</v>
      </c>
      <c r="Q654">
        <f t="shared" si="995"/>
        <v>119327389.92307697</v>
      </c>
      <c r="R654">
        <f t="shared" si="996"/>
        <v>-2708252467.5719371</v>
      </c>
      <c r="S654">
        <f t="shared" si="997"/>
        <v>-27082.524675719371</v>
      </c>
      <c r="T654">
        <f t="shared" si="998"/>
        <v>-27.08252467571937</v>
      </c>
    </row>
    <row r="655" spans="1:20" x14ac:dyDescent="0.25">
      <c r="A655" s="5">
        <v>43938</v>
      </c>
      <c r="B655">
        <v>1.195E-4</v>
      </c>
      <c r="C655">
        <v>1.208E-4</v>
      </c>
      <c r="D655">
        <v>1.171E-4</v>
      </c>
      <c r="E655">
        <v>1.194E-4</v>
      </c>
      <c r="F655">
        <v>155106810</v>
      </c>
      <c r="G655">
        <v>0</v>
      </c>
      <c r="L655" t="s">
        <v>7</v>
      </c>
      <c r="M655" t="s">
        <v>8</v>
      </c>
      <c r="N655" t="s">
        <v>8</v>
      </c>
      <c r="P655">
        <f t="shared" si="994"/>
        <v>0.24324324324324581</v>
      </c>
      <c r="Q655">
        <f t="shared" si="995"/>
        <v>37728683.513513915</v>
      </c>
      <c r="R655">
        <f t="shared" si="996"/>
        <v>-2827579857.4950142</v>
      </c>
      <c r="S655">
        <f t="shared" si="997"/>
        <v>-28275.798574950142</v>
      </c>
      <c r="T655">
        <f t="shared" si="998"/>
        <v>-28.275798574950141</v>
      </c>
    </row>
    <row r="656" spans="1:20" x14ac:dyDescent="0.25">
      <c r="A656" s="5">
        <v>43937</v>
      </c>
      <c r="B656">
        <v>1.1069999999999999E-4</v>
      </c>
      <c r="C656">
        <v>1.247E-4</v>
      </c>
      <c r="D656">
        <v>1.071E-4</v>
      </c>
      <c r="E656">
        <v>1.209E-4</v>
      </c>
      <c r="F656">
        <v>354165424</v>
      </c>
      <c r="G656">
        <v>0</v>
      </c>
      <c r="L656" t="s">
        <v>8</v>
      </c>
      <c r="M656" t="s">
        <v>8</v>
      </c>
      <c r="N656" t="s">
        <v>8</v>
      </c>
      <c r="P656">
        <f t="shared" si="994"/>
        <v>0.56818181818181834</v>
      </c>
      <c r="Q656">
        <f t="shared" si="995"/>
        <v>201230354.54545459</v>
      </c>
      <c r="R656">
        <f t="shared" si="996"/>
        <v>-2865308541.0085282</v>
      </c>
      <c r="S656">
        <f t="shared" si="997"/>
        <v>-28653.085410085281</v>
      </c>
      <c r="T656">
        <f t="shared" si="998"/>
        <v>-28.653085410085282</v>
      </c>
    </row>
    <row r="657" spans="1:20" x14ac:dyDescent="0.25">
      <c r="A657" s="5">
        <v>43936</v>
      </c>
      <c r="B657">
        <v>1.141E-4</v>
      </c>
      <c r="C657">
        <v>1.161E-4</v>
      </c>
      <c r="D657">
        <v>1.089E-4</v>
      </c>
      <c r="E657">
        <v>1.1010000000000001E-4</v>
      </c>
      <c r="F657">
        <v>205551133</v>
      </c>
      <c r="G657">
        <v>0</v>
      </c>
      <c r="L657" t="s">
        <v>7</v>
      </c>
      <c r="M657" t="s">
        <v>7</v>
      </c>
      <c r="N657" t="s">
        <v>8</v>
      </c>
      <c r="P657">
        <f t="shared" si="994"/>
        <v>-0.66666666666666607</v>
      </c>
      <c r="Q657">
        <f t="shared" si="995"/>
        <v>-137034088.66666654</v>
      </c>
      <c r="R657">
        <f t="shared" si="996"/>
        <v>-3066538895.5539827</v>
      </c>
      <c r="S657">
        <f t="shared" si="997"/>
        <v>-30665.388955539827</v>
      </c>
      <c r="T657">
        <f t="shared" si="998"/>
        <v>-30.665388955539829</v>
      </c>
    </row>
    <row r="658" spans="1:20" x14ac:dyDescent="0.25">
      <c r="A658" s="5">
        <v>43935</v>
      </c>
      <c r="B658">
        <v>1.145E-4</v>
      </c>
      <c r="C658">
        <v>1.1739999999999999E-4</v>
      </c>
      <c r="D658">
        <v>1.13E-4</v>
      </c>
      <c r="E658">
        <v>1.156E-4</v>
      </c>
      <c r="F658">
        <v>148434383</v>
      </c>
      <c r="G658">
        <v>0</v>
      </c>
      <c r="L658" t="s">
        <v>8</v>
      </c>
      <c r="M658" t="s">
        <v>7</v>
      </c>
      <c r="N658" t="s">
        <v>8</v>
      </c>
      <c r="P658">
        <f t="shared" si="994"/>
        <v>0.18181818181818629</v>
      </c>
      <c r="Q658">
        <f t="shared" si="995"/>
        <v>26988069.6363643</v>
      </c>
      <c r="R658">
        <f t="shared" si="996"/>
        <v>-2929504806.8873162</v>
      </c>
      <c r="S658">
        <f t="shared" si="997"/>
        <v>-29295.048068873162</v>
      </c>
      <c r="T658">
        <f t="shared" si="998"/>
        <v>-29.295048068873161</v>
      </c>
    </row>
    <row r="659" spans="1:20" x14ac:dyDescent="0.25">
      <c r="A659" s="5">
        <v>43934</v>
      </c>
      <c r="B659">
        <v>1.133E-4</v>
      </c>
      <c r="C659">
        <v>1.169E-4</v>
      </c>
      <c r="D659">
        <v>1.1E-4</v>
      </c>
      <c r="E659">
        <v>1.145E-4</v>
      </c>
      <c r="F659">
        <v>312315418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0.30434782608695837</v>
      </c>
      <c r="Q659">
        <f t="shared" si="995"/>
        <v>95052518.521739706</v>
      </c>
      <c r="R659">
        <f t="shared" si="996"/>
        <v>-2956492876.5236807</v>
      </c>
      <c r="S659">
        <f t="shared" si="997"/>
        <v>-29564.928765236808</v>
      </c>
      <c r="T659">
        <f t="shared" si="998"/>
        <v>-29.564928765236807</v>
      </c>
    </row>
    <row r="660" spans="1:20" x14ac:dyDescent="0.25">
      <c r="A660" s="5">
        <v>43933</v>
      </c>
      <c r="B660">
        <v>1.1620000000000001E-4</v>
      </c>
      <c r="C660">
        <v>1.206E-4</v>
      </c>
      <c r="D660">
        <v>1.047E-4</v>
      </c>
      <c r="E660">
        <v>1.137E-4</v>
      </c>
      <c r="F660">
        <v>408203629</v>
      </c>
      <c r="G660">
        <v>0</v>
      </c>
      <c r="L660" t="s">
        <v>8</v>
      </c>
      <c r="M660" t="s">
        <v>7</v>
      </c>
      <c r="N660" t="s">
        <v>8</v>
      </c>
      <c r="P660">
        <f t="shared" si="994"/>
        <v>0.13207547169811296</v>
      </c>
      <c r="Q660">
        <f t="shared" si="995"/>
        <v>53913686.849056505</v>
      </c>
      <c r="R660">
        <f t="shared" si="996"/>
        <v>-3051545395.0454202</v>
      </c>
      <c r="S660">
        <f t="shared" si="997"/>
        <v>-30515.453950454201</v>
      </c>
      <c r="T660">
        <f t="shared" si="998"/>
        <v>-30.515453950454202</v>
      </c>
    </row>
    <row r="661" spans="1:20" x14ac:dyDescent="0.25">
      <c r="A661" s="5">
        <v>43932</v>
      </c>
      <c r="B661">
        <v>1.18E-4</v>
      </c>
      <c r="C661">
        <v>1.197E-4</v>
      </c>
      <c r="D661">
        <v>1.1179999999999999E-4</v>
      </c>
      <c r="E661">
        <v>1.169E-4</v>
      </c>
      <c r="F661">
        <v>202553380</v>
      </c>
      <c r="G661">
        <v>0</v>
      </c>
      <c r="L661" t="s">
        <v>7</v>
      </c>
      <c r="M661" t="s">
        <v>8</v>
      </c>
      <c r="N661" t="s">
        <v>8</v>
      </c>
      <c r="P661">
        <f t="shared" si="994"/>
        <v>0.29113924050632922</v>
      </c>
      <c r="Q661">
        <f t="shared" si="995"/>
        <v>58971237.215189897</v>
      </c>
      <c r="R661">
        <f t="shared" si="996"/>
        <v>-3105459081.8944769</v>
      </c>
      <c r="S661">
        <f t="shared" si="997"/>
        <v>-31054.590818944769</v>
      </c>
      <c r="T661">
        <f t="shared" si="998"/>
        <v>-31.054590818944771</v>
      </c>
    </row>
    <row r="662" spans="1:20" x14ac:dyDescent="0.25">
      <c r="A662" s="5">
        <v>43931</v>
      </c>
      <c r="B662">
        <v>1.2850000000000001E-4</v>
      </c>
      <c r="C662">
        <v>1.2850000000000001E-4</v>
      </c>
      <c r="D662">
        <v>1.12E-4</v>
      </c>
      <c r="E662">
        <v>1.182E-4</v>
      </c>
      <c r="F662">
        <v>637539438</v>
      </c>
      <c r="G662">
        <v>0</v>
      </c>
      <c r="L662" t="s">
        <v>8</v>
      </c>
      <c r="M662" t="s">
        <v>8</v>
      </c>
      <c r="N662" t="s">
        <v>8</v>
      </c>
      <c r="P662">
        <f t="shared" si="994"/>
        <v>-0.24848484848484864</v>
      </c>
      <c r="Q662">
        <f t="shared" si="995"/>
        <v>-158418890.65454555</v>
      </c>
      <c r="R662">
        <f t="shared" si="996"/>
        <v>-3164430319.1096668</v>
      </c>
      <c r="S662">
        <f t="shared" si="997"/>
        <v>-31644.303191096667</v>
      </c>
      <c r="T662">
        <f t="shared" si="998"/>
        <v>-31.644303191096668</v>
      </c>
    </row>
    <row r="663" spans="1:20" x14ac:dyDescent="0.25">
      <c r="A663" s="5">
        <v>43930</v>
      </c>
      <c r="B663">
        <v>1.2879999999999999E-4</v>
      </c>
      <c r="C663">
        <v>1.3090000000000001E-4</v>
      </c>
      <c r="D663">
        <v>1.1900000000000001E-4</v>
      </c>
      <c r="E663">
        <v>1.2750000000000001E-4</v>
      </c>
      <c r="F663">
        <v>267221624</v>
      </c>
      <c r="G663">
        <v>0</v>
      </c>
      <c r="L663" t="s">
        <v>7</v>
      </c>
      <c r="M663" t="s">
        <v>8</v>
      </c>
      <c r="N663" t="s">
        <v>8</v>
      </c>
      <c r="P663">
        <f t="shared" si="994"/>
        <v>0.42857142857142855</v>
      </c>
      <c r="Q663">
        <f t="shared" si="995"/>
        <v>114523553.14285713</v>
      </c>
      <c r="R663">
        <f t="shared" si="996"/>
        <v>-3006011428.455121</v>
      </c>
      <c r="S663">
        <f t="shared" si="997"/>
        <v>-30060.114284551211</v>
      </c>
      <c r="T663">
        <f t="shared" si="998"/>
        <v>-30.060114284551211</v>
      </c>
    </row>
    <row r="664" spans="1:20" x14ac:dyDescent="0.25">
      <c r="A664" s="5">
        <v>43929</v>
      </c>
      <c r="B664">
        <v>1.188E-4</v>
      </c>
      <c r="C664">
        <v>1.2999999999999999E-4</v>
      </c>
      <c r="D664">
        <v>1.187E-4</v>
      </c>
      <c r="E664">
        <v>1.2769999999999999E-4</v>
      </c>
      <c r="F664">
        <v>333945967</v>
      </c>
      <c r="G664">
        <v>0</v>
      </c>
      <c r="L664" t="s">
        <v>8</v>
      </c>
      <c r="M664" t="s">
        <v>8</v>
      </c>
      <c r="N664" t="s">
        <v>8</v>
      </c>
      <c r="P664">
        <f t="shared" si="994"/>
        <v>0.59292035398230025</v>
      </c>
      <c r="Q664">
        <f t="shared" si="995"/>
        <v>198003360.96460155</v>
      </c>
      <c r="R664">
        <f t="shared" si="996"/>
        <v>-3120534981.5979781</v>
      </c>
      <c r="S664">
        <f t="shared" si="997"/>
        <v>-31205.349815979782</v>
      </c>
      <c r="T664">
        <f t="shared" si="998"/>
        <v>-31.205349815979783</v>
      </c>
    </row>
    <row r="665" spans="1:20" x14ac:dyDescent="0.25">
      <c r="A665" s="5">
        <v>43928</v>
      </c>
      <c r="B665">
        <v>1.272E-4</v>
      </c>
      <c r="C665">
        <v>1.2990000000000001E-4</v>
      </c>
      <c r="D665">
        <v>1.17E-4</v>
      </c>
      <c r="E665">
        <v>1.204E-4</v>
      </c>
      <c r="F665">
        <v>399888547</v>
      </c>
      <c r="G665">
        <v>0</v>
      </c>
      <c r="L665" t="s">
        <v>7</v>
      </c>
      <c r="M665" t="s">
        <v>8</v>
      </c>
      <c r="N665" t="s">
        <v>8</v>
      </c>
      <c r="P665">
        <f t="shared" si="994"/>
        <v>-0.47286821705426396</v>
      </c>
      <c r="Q665">
        <f t="shared" si="995"/>
        <v>-189094584.24031022</v>
      </c>
      <c r="R665">
        <f t="shared" si="996"/>
        <v>-3318538342.5625796</v>
      </c>
      <c r="S665">
        <f t="shared" si="997"/>
        <v>-33185.383425625798</v>
      </c>
      <c r="T665">
        <f t="shared" si="998"/>
        <v>-33.185383425625801</v>
      </c>
    </row>
    <row r="666" spans="1:20" x14ac:dyDescent="0.25">
      <c r="A666" s="5">
        <v>43927</v>
      </c>
      <c r="B666">
        <v>1.164E-4</v>
      </c>
      <c r="C666">
        <v>1.27E-4</v>
      </c>
      <c r="D666">
        <v>1.153E-4</v>
      </c>
      <c r="E666">
        <v>1.27E-4</v>
      </c>
      <c r="F666">
        <v>426730642</v>
      </c>
      <c r="G666">
        <v>0</v>
      </c>
      <c r="L666" t="s">
        <v>8</v>
      </c>
      <c r="M666" t="s">
        <v>8</v>
      </c>
      <c r="N666" t="s">
        <v>7</v>
      </c>
      <c r="P666">
        <f t="shared" si="994"/>
        <v>1</v>
      </c>
      <c r="Q666">
        <f t="shared" si="995"/>
        <v>426730642</v>
      </c>
      <c r="R666">
        <f t="shared" si="996"/>
        <v>-3129443758.3222694</v>
      </c>
      <c r="S666">
        <f t="shared" si="997"/>
        <v>-31294.437583222694</v>
      </c>
      <c r="T666">
        <f t="shared" si="998"/>
        <v>-31.294437583222695</v>
      </c>
    </row>
    <row r="667" spans="1:20" x14ac:dyDescent="0.25">
      <c r="A667" s="5">
        <v>43926</v>
      </c>
      <c r="B667">
        <v>1.172E-4</v>
      </c>
      <c r="C667">
        <v>1.182E-4</v>
      </c>
      <c r="D667">
        <v>1.132E-4</v>
      </c>
      <c r="E667">
        <v>1.153E-4</v>
      </c>
      <c r="F667">
        <v>144751329</v>
      </c>
      <c r="G667">
        <v>0</v>
      </c>
      <c r="L667" t="s">
        <v>7</v>
      </c>
      <c r="M667" t="s">
        <v>8</v>
      </c>
      <c r="N667" t="s">
        <v>7</v>
      </c>
      <c r="P667">
        <f t="shared" si="994"/>
        <v>-0.1600000000000012</v>
      </c>
      <c r="Q667">
        <f t="shared" si="995"/>
        <v>-23160212.640000172</v>
      </c>
      <c r="R667">
        <f t="shared" si="996"/>
        <v>-3556174400.3222694</v>
      </c>
      <c r="S667">
        <f t="shared" si="997"/>
        <v>-35561.744003222695</v>
      </c>
      <c r="T667">
        <f t="shared" si="998"/>
        <v>-35.561744003222692</v>
      </c>
    </row>
    <row r="668" spans="1:20" x14ac:dyDescent="0.25">
      <c r="A668" s="5">
        <v>43925</v>
      </c>
      <c r="B668">
        <v>1.17E-4</v>
      </c>
      <c r="C668">
        <v>1.2E-4</v>
      </c>
      <c r="D668">
        <v>1.139E-4</v>
      </c>
      <c r="E668">
        <v>1.1620000000000001E-4</v>
      </c>
      <c r="F668">
        <v>288535428</v>
      </c>
      <c r="G668">
        <v>0</v>
      </c>
      <c r="L668" t="s">
        <v>8</v>
      </c>
      <c r="M668" t="s">
        <v>8</v>
      </c>
      <c r="N668" t="s">
        <v>7</v>
      </c>
      <c r="P668">
        <f t="shared" si="994"/>
        <v>-0.24590163934426165</v>
      </c>
      <c r="Q668">
        <f t="shared" si="995"/>
        <v>-70951334.754098177</v>
      </c>
      <c r="R668">
        <f t="shared" si="996"/>
        <v>-3533014187.6822691</v>
      </c>
      <c r="S668">
        <f t="shared" si="997"/>
        <v>-35330.141876822694</v>
      </c>
      <c r="T668">
        <f t="shared" si="998"/>
        <v>-35.330141876822694</v>
      </c>
    </row>
    <row r="669" spans="1:20" x14ac:dyDescent="0.25">
      <c r="A669" s="5">
        <v>43924</v>
      </c>
      <c r="B669">
        <v>1.164E-4</v>
      </c>
      <c r="C669">
        <v>1.211E-4</v>
      </c>
      <c r="D669">
        <v>1.1340000000000001E-4</v>
      </c>
      <c r="E669">
        <v>1.17E-4</v>
      </c>
      <c r="F669">
        <v>531370403</v>
      </c>
      <c r="G669">
        <v>0</v>
      </c>
      <c r="L669" t="s">
        <v>7</v>
      </c>
      <c r="M669" t="s">
        <v>8</v>
      </c>
      <c r="N669" t="s">
        <v>7</v>
      </c>
      <c r="P669">
        <f t="shared" si="994"/>
        <v>-6.4935064935066539E-2</v>
      </c>
      <c r="Q669">
        <f t="shared" si="995"/>
        <v>-34504571.623377472</v>
      </c>
      <c r="R669">
        <f t="shared" si="996"/>
        <v>-3462062852.9281712</v>
      </c>
      <c r="S669">
        <f t="shared" si="997"/>
        <v>-34620.628529281712</v>
      </c>
      <c r="T669">
        <f t="shared" si="998"/>
        <v>-34.62062852928171</v>
      </c>
    </row>
    <row r="670" spans="1:20" x14ac:dyDescent="0.25">
      <c r="A670" s="5">
        <v>43923</v>
      </c>
      <c r="B670">
        <v>1.133E-4</v>
      </c>
      <c r="C670">
        <v>1.211E-4</v>
      </c>
      <c r="D670">
        <v>1.11E-4</v>
      </c>
      <c r="E670">
        <v>1.161E-4</v>
      </c>
      <c r="F670">
        <v>519547663</v>
      </c>
      <c r="G670">
        <v>0</v>
      </c>
      <c r="L670" t="s">
        <v>8</v>
      </c>
      <c r="M670" t="s">
        <v>8</v>
      </c>
      <c r="N670" t="s">
        <v>7</v>
      </c>
      <c r="P670">
        <f t="shared" si="994"/>
        <v>9.9009900990101405E-3</v>
      </c>
      <c r="Q670">
        <f t="shared" si="995"/>
        <v>5144036.267326857</v>
      </c>
      <c r="R670">
        <f t="shared" si="996"/>
        <v>-3427558281.3047938</v>
      </c>
      <c r="S670">
        <f t="shared" si="997"/>
        <v>-34275.582813047935</v>
      </c>
      <c r="T670">
        <f t="shared" si="998"/>
        <v>-34.275582813047933</v>
      </c>
    </row>
    <row r="671" spans="1:20" x14ac:dyDescent="0.25">
      <c r="A671" s="5">
        <v>43922</v>
      </c>
      <c r="B671">
        <v>1.102E-4</v>
      </c>
      <c r="C671">
        <v>1.1349999999999999E-4</v>
      </c>
      <c r="D671">
        <v>1.058E-4</v>
      </c>
      <c r="E671">
        <v>1.1239999999999999E-4</v>
      </c>
      <c r="F671">
        <v>345557841</v>
      </c>
      <c r="G671">
        <v>0</v>
      </c>
      <c r="L671" t="s">
        <v>7</v>
      </c>
      <c r="M671" t="s">
        <v>8</v>
      </c>
      <c r="N671" t="s">
        <v>7</v>
      </c>
      <c r="P671">
        <f t="shared" si="994"/>
        <v>0.7142857142857143</v>
      </c>
      <c r="Q671">
        <f t="shared" si="995"/>
        <v>246827029.2857143</v>
      </c>
      <c r="R671">
        <f t="shared" si="996"/>
        <v>-3432702317.5721207</v>
      </c>
      <c r="S671">
        <f t="shared" si="997"/>
        <v>-34327.02317572121</v>
      </c>
      <c r="T671">
        <f t="shared" si="998"/>
        <v>-34.327023175721209</v>
      </c>
    </row>
    <row r="672" spans="1:20" x14ac:dyDescent="0.25">
      <c r="A672" s="5">
        <v>43921</v>
      </c>
      <c r="B672">
        <v>1.1069999999999999E-4</v>
      </c>
      <c r="C672">
        <v>1.132E-4</v>
      </c>
      <c r="D672">
        <v>1.026E-4</v>
      </c>
      <c r="E672">
        <v>1.094E-4</v>
      </c>
      <c r="F672">
        <v>233990845</v>
      </c>
      <c r="G672">
        <v>0</v>
      </c>
      <c r="L672" t="s">
        <v>8</v>
      </c>
      <c r="M672" t="s">
        <v>8</v>
      </c>
      <c r="N672" t="s">
        <v>7</v>
      </c>
      <c r="P672">
        <f t="shared" si="994"/>
        <v>0.28301886792452879</v>
      </c>
      <c r="Q672">
        <f t="shared" si="995"/>
        <v>66223824.056603886</v>
      </c>
      <c r="R672">
        <f t="shared" si="996"/>
        <v>-3679529346.8578348</v>
      </c>
      <c r="S672">
        <f t="shared" si="997"/>
        <v>-36795.293468578348</v>
      </c>
      <c r="T672">
        <f t="shared" si="998"/>
        <v>-36.79529346857835</v>
      </c>
    </row>
    <row r="673" spans="1:20" x14ac:dyDescent="0.25">
      <c r="A673" s="5">
        <v>43920</v>
      </c>
      <c r="B673">
        <v>1.015E-4</v>
      </c>
      <c r="C673">
        <v>1.3559999999999999E-4</v>
      </c>
      <c r="D673">
        <v>9.5400000000000001E-5</v>
      </c>
      <c r="E673">
        <v>1.108E-4</v>
      </c>
      <c r="F673">
        <v>980147880</v>
      </c>
      <c r="G673">
        <v>0</v>
      </c>
      <c r="L673" t="s">
        <v>7</v>
      </c>
      <c r="M673" t="s">
        <v>7</v>
      </c>
      <c r="N673" t="s">
        <v>7</v>
      </c>
      <c r="P673">
        <f t="shared" si="994"/>
        <v>-0.2338308457711443</v>
      </c>
      <c r="Q673">
        <f t="shared" si="995"/>
        <v>-229188807.76119405</v>
      </c>
      <c r="R673">
        <f t="shared" si="996"/>
        <v>-3745753170.9144387</v>
      </c>
      <c r="S673">
        <f t="shared" si="997"/>
        <v>-37457.531709144387</v>
      </c>
      <c r="T673">
        <f t="shared" si="998"/>
        <v>-37.457531709144384</v>
      </c>
    </row>
    <row r="674" spans="1:20" x14ac:dyDescent="0.25">
      <c r="A674" s="5">
        <v>43919</v>
      </c>
      <c r="B674">
        <v>1.063E-4</v>
      </c>
      <c r="C674">
        <v>1.0739999999999999E-4</v>
      </c>
      <c r="D674">
        <v>9.8900000000000005E-5</v>
      </c>
      <c r="E674">
        <v>1.015E-4</v>
      </c>
      <c r="F674">
        <v>446492085</v>
      </c>
      <c r="G674">
        <v>0</v>
      </c>
      <c r="L674" t="s">
        <v>8</v>
      </c>
      <c r="M674" t="s">
        <v>7</v>
      </c>
      <c r="N674" t="s">
        <v>7</v>
      </c>
      <c r="P674">
        <f t="shared" si="994"/>
        <v>-0.3882352941176474</v>
      </c>
      <c r="Q674">
        <f t="shared" si="995"/>
        <v>-173343985.94117662</v>
      </c>
      <c r="R674">
        <f t="shared" si="996"/>
        <v>-3516564363.1532445</v>
      </c>
      <c r="S674">
        <f t="shared" si="997"/>
        <v>-35165.643631532446</v>
      </c>
      <c r="T674">
        <f t="shared" si="998"/>
        <v>-35.165643631532447</v>
      </c>
    </row>
    <row r="675" spans="1:20" x14ac:dyDescent="0.25">
      <c r="A675" s="5">
        <v>43918</v>
      </c>
      <c r="B675">
        <v>1.064E-4</v>
      </c>
      <c r="C675">
        <v>1.082E-4</v>
      </c>
      <c r="D675">
        <v>1.01E-4</v>
      </c>
      <c r="E675">
        <v>1.0679999999999999E-4</v>
      </c>
      <c r="F675">
        <v>504156139</v>
      </c>
      <c r="G675">
        <v>0</v>
      </c>
      <c r="L675" t="s">
        <v>7</v>
      </c>
      <c r="M675" t="s">
        <v>7</v>
      </c>
      <c r="N675" t="s">
        <v>7</v>
      </c>
      <c r="P675">
        <f t="shared" si="994"/>
        <v>0.61111111111110916</v>
      </c>
      <c r="Q675">
        <f t="shared" si="995"/>
        <v>308095418.27777678</v>
      </c>
      <c r="R675">
        <f t="shared" si="996"/>
        <v>-3343220377.2120681</v>
      </c>
      <c r="S675">
        <f t="shared" si="997"/>
        <v>-33432.20377212068</v>
      </c>
      <c r="T675">
        <f t="shared" si="998"/>
        <v>-33.43220377212068</v>
      </c>
    </row>
    <row r="676" spans="1:20" x14ac:dyDescent="0.25">
      <c r="A676" s="5">
        <v>43917</v>
      </c>
      <c r="B676">
        <v>1.164E-4</v>
      </c>
      <c r="C676">
        <v>1.176E-4</v>
      </c>
      <c r="D676">
        <v>1.05E-4</v>
      </c>
      <c r="E676">
        <v>1.0620000000000001E-4</v>
      </c>
      <c r="F676">
        <v>451475358</v>
      </c>
      <c r="G676">
        <v>0</v>
      </c>
      <c r="L676" t="s">
        <v>8</v>
      </c>
      <c r="M676" t="s">
        <v>7</v>
      </c>
      <c r="N676" t="s">
        <v>7</v>
      </c>
      <c r="P676">
        <f t="shared" si="994"/>
        <v>-0.80952380952380909</v>
      </c>
      <c r="Q676">
        <f t="shared" si="995"/>
        <v>-365480051.71428549</v>
      </c>
      <c r="R676">
        <f t="shared" si="996"/>
        <v>-3651315795.4898448</v>
      </c>
      <c r="S676">
        <f t="shared" si="997"/>
        <v>-36513.157954898445</v>
      </c>
      <c r="T676">
        <f t="shared" si="998"/>
        <v>-36.513157954898446</v>
      </c>
    </row>
    <row r="677" spans="1:20" x14ac:dyDescent="0.25">
      <c r="A677" s="5">
        <v>43916</v>
      </c>
      <c r="B677">
        <v>1.1680000000000001E-4</v>
      </c>
      <c r="C677">
        <v>1.197E-4</v>
      </c>
      <c r="D677">
        <v>1.0119999999999999E-4</v>
      </c>
      <c r="E677">
        <v>1.164E-4</v>
      </c>
      <c r="F677">
        <v>596570676</v>
      </c>
      <c r="G677">
        <v>0</v>
      </c>
      <c r="L677" t="s">
        <v>7</v>
      </c>
      <c r="M677" t="s">
        <v>7</v>
      </c>
      <c r="N677" t="s">
        <v>7</v>
      </c>
      <c r="P677">
        <f t="shared" si="994"/>
        <v>0.64324324324324345</v>
      </c>
      <c r="Q677">
        <f t="shared" si="995"/>
        <v>383740056.45405418</v>
      </c>
      <c r="R677">
        <f t="shared" si="996"/>
        <v>-3285835743.7755594</v>
      </c>
      <c r="S677">
        <f t="shared" si="997"/>
        <v>-32858.357437755592</v>
      </c>
      <c r="T677">
        <f t="shared" si="998"/>
        <v>-32.858357437755593</v>
      </c>
    </row>
    <row r="678" spans="1:20" x14ac:dyDescent="0.25">
      <c r="A678" s="5">
        <v>43915</v>
      </c>
      <c r="B678">
        <v>1.1680000000000001E-4</v>
      </c>
      <c r="C678">
        <v>1.248E-4</v>
      </c>
      <c r="D678">
        <v>1.1400000000000001E-4</v>
      </c>
      <c r="E678">
        <v>1.1680000000000001E-4</v>
      </c>
      <c r="F678">
        <v>385891216</v>
      </c>
      <c r="G678">
        <v>0</v>
      </c>
      <c r="L678" t="s">
        <v>8</v>
      </c>
      <c r="M678" t="s">
        <v>8</v>
      </c>
      <c r="N678" t="s">
        <v>7</v>
      </c>
      <c r="P678">
        <f t="shared" si="994"/>
        <v>-0.48148148148148101</v>
      </c>
      <c r="Q678">
        <f t="shared" si="995"/>
        <v>-185799474.37037018</v>
      </c>
      <c r="R678">
        <f t="shared" si="996"/>
        <v>-3669575800.2296138</v>
      </c>
      <c r="S678">
        <f t="shared" si="997"/>
        <v>-36695.758002296141</v>
      </c>
      <c r="T678">
        <f t="shared" si="998"/>
        <v>-36.695758002296138</v>
      </c>
    </row>
    <row r="679" spans="1:20" x14ac:dyDescent="0.25">
      <c r="A679" s="5">
        <v>43914</v>
      </c>
      <c r="B679">
        <v>1.161E-4</v>
      </c>
      <c r="C679">
        <v>1.198E-4</v>
      </c>
      <c r="D679">
        <v>1.122E-4</v>
      </c>
      <c r="E679">
        <v>1.172E-4</v>
      </c>
      <c r="F679">
        <v>373533712</v>
      </c>
      <c r="G679">
        <v>0</v>
      </c>
      <c r="L679" t="s">
        <v>7</v>
      </c>
      <c r="M679" t="s">
        <v>8</v>
      </c>
      <c r="N679" t="s">
        <v>7</v>
      </c>
      <c r="P679">
        <f t="shared" si="994"/>
        <v>0.31578947368421129</v>
      </c>
      <c r="Q679">
        <f t="shared" si="995"/>
        <v>117958014.31578976</v>
      </c>
      <c r="R679">
        <f t="shared" si="996"/>
        <v>-3483776325.8592434</v>
      </c>
      <c r="S679">
        <f t="shared" si="997"/>
        <v>-34837.763258592437</v>
      </c>
      <c r="T679">
        <f t="shared" si="998"/>
        <v>-34.837763258592439</v>
      </c>
    </row>
    <row r="680" spans="1:20" x14ac:dyDescent="0.25">
      <c r="A680" s="5">
        <v>43913</v>
      </c>
      <c r="B680">
        <v>1.025E-4</v>
      </c>
      <c r="C680">
        <v>1.2E-4</v>
      </c>
      <c r="D680">
        <v>1E-4</v>
      </c>
      <c r="E680">
        <v>1.153E-4</v>
      </c>
      <c r="F680">
        <v>657225761</v>
      </c>
      <c r="G680">
        <v>0</v>
      </c>
      <c r="L680" t="s">
        <v>8</v>
      </c>
      <c r="M680" t="s">
        <v>8</v>
      </c>
      <c r="N680" t="s">
        <v>7</v>
      </c>
      <c r="P680">
        <f t="shared" si="994"/>
        <v>0.52999999999999936</v>
      </c>
      <c r="Q680">
        <f t="shared" si="995"/>
        <v>348329653.32999957</v>
      </c>
      <c r="R680">
        <f t="shared" si="996"/>
        <v>-3601734340.1750331</v>
      </c>
      <c r="S680">
        <f t="shared" si="997"/>
        <v>-36017.343401750331</v>
      </c>
      <c r="T680">
        <f t="shared" si="998"/>
        <v>-36.017343401750331</v>
      </c>
    </row>
    <row r="681" spans="1:20" x14ac:dyDescent="0.25">
      <c r="A681" s="5">
        <v>43912</v>
      </c>
      <c r="B681">
        <v>1.1340000000000001E-4</v>
      </c>
      <c r="C681">
        <v>1.194E-4</v>
      </c>
      <c r="D681">
        <v>1E-4</v>
      </c>
      <c r="E681">
        <v>1.0280000000000001E-4</v>
      </c>
      <c r="F681">
        <v>483825416</v>
      </c>
      <c r="G681">
        <v>0</v>
      </c>
      <c r="L681" t="s">
        <v>7</v>
      </c>
      <c r="M681" t="s">
        <v>7</v>
      </c>
      <c r="N681" t="s">
        <v>7</v>
      </c>
      <c r="P681">
        <f t="shared" si="994"/>
        <v>-0.71134020618556693</v>
      </c>
      <c r="Q681">
        <f t="shared" si="995"/>
        <v>-344164471.17525768</v>
      </c>
      <c r="R681">
        <f t="shared" si="996"/>
        <v>-3950063993.5050325</v>
      </c>
      <c r="S681">
        <f t="shared" si="997"/>
        <v>-39500.639935050327</v>
      </c>
      <c r="T681">
        <f t="shared" si="998"/>
        <v>-39.50063993505033</v>
      </c>
    </row>
    <row r="682" spans="1:20" x14ac:dyDescent="0.25">
      <c r="A682" s="5">
        <v>43911</v>
      </c>
      <c r="B682">
        <v>1.131E-4</v>
      </c>
      <c r="C682">
        <v>1.2999999999999999E-4</v>
      </c>
      <c r="D682">
        <v>1.066E-4</v>
      </c>
      <c r="E682">
        <v>1.143E-4</v>
      </c>
      <c r="F682">
        <v>435034735</v>
      </c>
      <c r="G682">
        <v>0</v>
      </c>
      <c r="L682" t="s">
        <v>8</v>
      </c>
      <c r="M682" t="s">
        <v>8</v>
      </c>
      <c r="N682" t="s">
        <v>7</v>
      </c>
      <c r="P682">
        <f t="shared" si="994"/>
        <v>-0.34188034188034172</v>
      </c>
      <c r="Q682">
        <f t="shared" si="995"/>
        <v>-148729823.93162388</v>
      </c>
      <c r="R682">
        <f t="shared" si="996"/>
        <v>-3605899522.3297749</v>
      </c>
      <c r="S682">
        <f t="shared" si="997"/>
        <v>-36058.995223297752</v>
      </c>
      <c r="T682">
        <f t="shared" si="998"/>
        <v>-36.05899522329775</v>
      </c>
    </row>
    <row r="683" spans="1:20" x14ac:dyDescent="0.25">
      <c r="A683" s="5">
        <v>43910</v>
      </c>
      <c r="B683">
        <v>1.2219999999999999E-4</v>
      </c>
      <c r="C683">
        <v>1.3999999999999999E-4</v>
      </c>
      <c r="D683">
        <v>1E-4</v>
      </c>
      <c r="E683">
        <v>1.13E-4</v>
      </c>
      <c r="F683">
        <v>1138314864</v>
      </c>
      <c r="G683">
        <v>0</v>
      </c>
      <c r="L683" t="s">
        <v>7</v>
      </c>
      <c r="M683" t="s">
        <v>7</v>
      </c>
      <c r="N683" t="s">
        <v>7</v>
      </c>
      <c r="P683">
        <f t="shared" si="994"/>
        <v>-0.3500000000000002</v>
      </c>
      <c r="Q683">
        <f t="shared" si="995"/>
        <v>-398410202.40000021</v>
      </c>
      <c r="R683">
        <f t="shared" si="996"/>
        <v>-3457169698.3981509</v>
      </c>
      <c r="S683">
        <f t="shared" si="997"/>
        <v>-34571.696983981506</v>
      </c>
      <c r="T683">
        <f t="shared" si="998"/>
        <v>-34.571696983981504</v>
      </c>
    </row>
    <row r="684" spans="1:20" x14ac:dyDescent="0.25">
      <c r="A684" s="5">
        <v>43909</v>
      </c>
      <c r="B684">
        <v>9.6799999999999995E-5</v>
      </c>
      <c r="C684">
        <v>1.4999999999999999E-4</v>
      </c>
      <c r="D684">
        <v>9.1399999999999999E-5</v>
      </c>
      <c r="E684">
        <v>1.227E-4</v>
      </c>
      <c r="F684">
        <v>1362683982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6.825938566552929E-2</v>
      </c>
      <c r="Q684">
        <f t="shared" si="995"/>
        <v>93015971.467577174</v>
      </c>
      <c r="R684">
        <f t="shared" si="996"/>
        <v>-3058759495.9981508</v>
      </c>
      <c r="S684">
        <f t="shared" si="997"/>
        <v>-30587.594959981507</v>
      </c>
      <c r="T684">
        <f t="shared" si="998"/>
        <v>-30.587594959981505</v>
      </c>
    </row>
    <row r="685" spans="1:20" x14ac:dyDescent="0.25">
      <c r="A685" s="5">
        <v>43908</v>
      </c>
      <c r="B685">
        <v>8.7399999999999997E-5</v>
      </c>
      <c r="C685">
        <v>9.8499999999999995E-5</v>
      </c>
      <c r="D685">
        <v>8.6000000000000003E-5</v>
      </c>
      <c r="E685">
        <v>9.6799999999999995E-5</v>
      </c>
      <c r="F685">
        <v>502449678</v>
      </c>
      <c r="G685">
        <v>0</v>
      </c>
      <c r="L685" t="s">
        <v>7</v>
      </c>
      <c r="M685" t="s">
        <v>8</v>
      </c>
      <c r="N685" t="s">
        <v>8</v>
      </c>
      <c r="P685">
        <f t="shared" si="994"/>
        <v>0.72799999999999976</v>
      </c>
      <c r="Q685">
        <f t="shared" si="995"/>
        <v>365783365.58399987</v>
      </c>
      <c r="R685">
        <f t="shared" si="996"/>
        <v>-3151775467.4657278</v>
      </c>
      <c r="S685">
        <f t="shared" si="997"/>
        <v>-31517.754674657277</v>
      </c>
      <c r="T685">
        <f t="shared" si="998"/>
        <v>-31.517754674657276</v>
      </c>
    </row>
    <row r="686" spans="1:20" x14ac:dyDescent="0.25">
      <c r="A686" s="5">
        <v>43907</v>
      </c>
      <c r="B686">
        <v>8.3300000000000005E-5</v>
      </c>
      <c r="C686">
        <v>9.1600000000000004E-5</v>
      </c>
      <c r="D686">
        <v>8.3300000000000005E-5</v>
      </c>
      <c r="E686">
        <v>8.8599999999999999E-5</v>
      </c>
      <c r="F686">
        <v>449366205</v>
      </c>
      <c r="G686">
        <v>0</v>
      </c>
      <c r="L686" t="s">
        <v>8</v>
      </c>
      <c r="M686" t="s">
        <v>8</v>
      </c>
      <c r="N686" t="s">
        <v>8</v>
      </c>
      <c r="P686">
        <f t="shared" si="994"/>
        <v>0.27710843373493838</v>
      </c>
      <c r="Q686">
        <f t="shared" si="995"/>
        <v>124523165.24096324</v>
      </c>
      <c r="R686">
        <f t="shared" si="996"/>
        <v>-3517558833.0497279</v>
      </c>
      <c r="S686">
        <f t="shared" si="997"/>
        <v>-35175.588330497281</v>
      </c>
      <c r="T686">
        <f t="shared" si="998"/>
        <v>-35.175588330497284</v>
      </c>
    </row>
    <row r="687" spans="1:20" x14ac:dyDescent="0.25">
      <c r="A687" s="5">
        <v>43906</v>
      </c>
      <c r="B687">
        <v>9.59E-5</v>
      </c>
      <c r="C687">
        <v>1.05E-4</v>
      </c>
      <c r="D687">
        <v>7.3999999999999996E-5</v>
      </c>
      <c r="E687">
        <v>8.42E-5</v>
      </c>
      <c r="F687">
        <v>651364117</v>
      </c>
      <c r="G687">
        <v>0</v>
      </c>
      <c r="L687" t="s">
        <v>7</v>
      </c>
      <c r="M687" t="s">
        <v>7</v>
      </c>
      <c r="N687" t="s">
        <v>8</v>
      </c>
      <c r="P687">
        <f t="shared" si="994"/>
        <v>-0.34193548387096767</v>
      </c>
      <c r="Q687">
        <f t="shared" si="995"/>
        <v>-222724504.52258059</v>
      </c>
      <c r="R687">
        <f t="shared" si="996"/>
        <v>-3642081998.2906914</v>
      </c>
      <c r="S687">
        <f t="shared" si="997"/>
        <v>-36420.819982906913</v>
      </c>
      <c r="T687">
        <f t="shared" si="998"/>
        <v>-36.420819982906913</v>
      </c>
    </row>
    <row r="688" spans="1:20" x14ac:dyDescent="0.25">
      <c r="A688" s="5">
        <v>43905</v>
      </c>
      <c r="B688">
        <v>9.3399999999999993E-5</v>
      </c>
      <c r="C688">
        <v>1.0280000000000001E-4</v>
      </c>
      <c r="D688">
        <v>9.1100000000000005E-5</v>
      </c>
      <c r="E688">
        <v>9.6799999999999995E-5</v>
      </c>
      <c r="F688">
        <v>406978308</v>
      </c>
      <c r="G688">
        <v>0</v>
      </c>
      <c r="L688" t="s">
        <v>8</v>
      </c>
      <c r="M688" t="s">
        <v>8</v>
      </c>
      <c r="N688" t="s">
        <v>8</v>
      </c>
      <c r="P688">
        <f t="shared" si="994"/>
        <v>-2.5641025641027423E-2</v>
      </c>
      <c r="Q688">
        <f t="shared" si="995"/>
        <v>-10435341.230769956</v>
      </c>
      <c r="R688">
        <f t="shared" si="996"/>
        <v>-3419357493.7681108</v>
      </c>
      <c r="S688">
        <f t="shared" si="997"/>
        <v>-34193.574937681107</v>
      </c>
      <c r="T688">
        <f t="shared" si="998"/>
        <v>-34.193574937681106</v>
      </c>
    </row>
    <row r="689" spans="1:20" x14ac:dyDescent="0.25">
      <c r="A689" s="5">
        <v>43904</v>
      </c>
      <c r="B689">
        <v>9.4900000000000003E-5</v>
      </c>
      <c r="C689">
        <v>1.0060000000000001E-4</v>
      </c>
      <c r="D689">
        <v>9.1299999999999997E-5</v>
      </c>
      <c r="E689">
        <v>9.2899999999999995E-5</v>
      </c>
      <c r="F689">
        <v>405652062</v>
      </c>
      <c r="G689">
        <v>0</v>
      </c>
      <c r="L689" t="s">
        <v>7</v>
      </c>
      <c r="M689" t="s">
        <v>8</v>
      </c>
      <c r="N689" t="s">
        <v>8</v>
      </c>
      <c r="P689">
        <f t="shared" si="994"/>
        <v>-0.65591397849462441</v>
      </c>
      <c r="Q689">
        <f t="shared" si="995"/>
        <v>-266072857.87096804</v>
      </c>
      <c r="R689">
        <f t="shared" si="996"/>
        <v>-3408922152.5373406</v>
      </c>
      <c r="S689">
        <f t="shared" si="997"/>
        <v>-34089.221525373403</v>
      </c>
      <c r="T689">
        <f t="shared" si="998"/>
        <v>-34.089221525373404</v>
      </c>
    </row>
    <row r="690" spans="1:20" x14ac:dyDescent="0.25">
      <c r="A690" s="5">
        <v>43903</v>
      </c>
      <c r="B690">
        <v>8.0099999999999995E-5</v>
      </c>
      <c r="C690">
        <v>1.049E-4</v>
      </c>
      <c r="D690">
        <v>6.5500000000000006E-5</v>
      </c>
      <c r="E690">
        <v>9.4900000000000003E-5</v>
      </c>
      <c r="F690">
        <v>1804984665</v>
      </c>
      <c r="G690">
        <v>0</v>
      </c>
      <c r="L690" t="s">
        <v>8</v>
      </c>
      <c r="M690" t="s">
        <v>7</v>
      </c>
      <c r="N690" t="s">
        <v>7</v>
      </c>
      <c r="P690">
        <f t="shared" si="994"/>
        <v>0.49238578680203043</v>
      </c>
      <c r="Q690">
        <f t="shared" si="995"/>
        <v>888748794.44162428</v>
      </c>
      <c r="R690">
        <f t="shared" si="996"/>
        <v>-3142849294.6663728</v>
      </c>
      <c r="S690">
        <f t="shared" si="997"/>
        <v>-31428.49294666373</v>
      </c>
      <c r="T690">
        <f t="shared" si="998"/>
        <v>-31.428492946663731</v>
      </c>
    </row>
    <row r="691" spans="1:20" x14ac:dyDescent="0.25">
      <c r="A691" s="5">
        <v>43902</v>
      </c>
      <c r="B691">
        <v>1.55E-4</v>
      </c>
      <c r="C691">
        <v>1.5589999999999999E-4</v>
      </c>
      <c r="D691">
        <v>7.5500000000000006E-5</v>
      </c>
      <c r="E691">
        <v>7.8899999999999993E-5</v>
      </c>
      <c r="F691">
        <v>2141567885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-0.91542288557213958</v>
      </c>
      <c r="Q691">
        <f t="shared" si="995"/>
        <v>-1960440252.935324</v>
      </c>
      <c r="R691">
        <f t="shared" si="996"/>
        <v>-4031598089.1079969</v>
      </c>
      <c r="S691">
        <f t="shared" si="997"/>
        <v>-40315.980891079969</v>
      </c>
      <c r="T691">
        <f t="shared" si="998"/>
        <v>-40.315980891079967</v>
      </c>
    </row>
    <row r="692" spans="1:20" x14ac:dyDescent="0.25">
      <c r="A692" s="5">
        <v>43901</v>
      </c>
      <c r="B692">
        <v>1.5890000000000001E-4</v>
      </c>
      <c r="C692">
        <v>1.64E-4</v>
      </c>
      <c r="D692">
        <v>1.4660000000000001E-4</v>
      </c>
      <c r="E692">
        <v>1.54E-4</v>
      </c>
      <c r="F692">
        <v>397445573</v>
      </c>
      <c r="G692">
        <v>0</v>
      </c>
      <c r="L692" t="s">
        <v>8</v>
      </c>
      <c r="M692" t="s">
        <v>7</v>
      </c>
      <c r="N692" t="s">
        <v>7</v>
      </c>
      <c r="P692">
        <f t="shared" si="994"/>
        <v>-0.14942528735632246</v>
      </c>
      <c r="Q692">
        <f t="shared" si="995"/>
        <v>-59388418.954023235</v>
      </c>
      <c r="R692">
        <f t="shared" si="996"/>
        <v>-2071157836.1726727</v>
      </c>
      <c r="S692">
        <f t="shared" si="997"/>
        <v>-20711.578361726726</v>
      </c>
      <c r="T692">
        <f t="shared" si="998"/>
        <v>-20.711578361726726</v>
      </c>
    </row>
    <row r="693" spans="1:20" x14ac:dyDescent="0.25">
      <c r="A693" s="5">
        <v>43900</v>
      </c>
      <c r="B693">
        <v>1.582E-4</v>
      </c>
      <c r="C693">
        <v>1.6420000000000001E-4</v>
      </c>
      <c r="D693">
        <v>1.5410000000000001E-4</v>
      </c>
      <c r="E693">
        <v>1.5899999999999999E-4</v>
      </c>
      <c r="F693">
        <v>253185675</v>
      </c>
      <c r="G693">
        <v>0</v>
      </c>
      <c r="L693" t="s">
        <v>7</v>
      </c>
      <c r="M693" t="s">
        <v>7</v>
      </c>
      <c r="N693" t="s">
        <v>7</v>
      </c>
      <c r="P693">
        <f t="shared" si="994"/>
        <v>-2.9702970297033105E-2</v>
      </c>
      <c r="Q693">
        <f t="shared" si="995"/>
        <v>-7520366.5841592774</v>
      </c>
      <c r="R693">
        <f t="shared" si="996"/>
        <v>-2011769417.2186496</v>
      </c>
      <c r="S693">
        <f t="shared" si="997"/>
        <v>-20117.694172186497</v>
      </c>
      <c r="T693">
        <f t="shared" si="998"/>
        <v>-20.117694172186496</v>
      </c>
    </row>
    <row r="694" spans="1:20" x14ac:dyDescent="0.25">
      <c r="A694" s="5">
        <v>43899</v>
      </c>
      <c r="B694">
        <v>1.5770000000000001E-4</v>
      </c>
      <c r="C694">
        <v>1.672E-4</v>
      </c>
      <c r="D694">
        <v>1.4650000000000001E-4</v>
      </c>
      <c r="E694">
        <v>1.618E-4</v>
      </c>
      <c r="F694">
        <v>608729912</v>
      </c>
      <c r="G694">
        <v>0</v>
      </c>
      <c r="L694" t="s">
        <v>8</v>
      </c>
      <c r="M694" t="s">
        <v>7</v>
      </c>
      <c r="N694" t="s">
        <v>7</v>
      </c>
      <c r="P694">
        <f t="shared" si="994"/>
        <v>0.47826086956521752</v>
      </c>
      <c r="Q694">
        <f t="shared" si="995"/>
        <v>291131697.04347831</v>
      </c>
      <c r="R694">
        <f t="shared" si="996"/>
        <v>-2004249050.6344903</v>
      </c>
      <c r="S694">
        <f t="shared" si="997"/>
        <v>-20042.490506344904</v>
      </c>
      <c r="T694">
        <f t="shared" si="998"/>
        <v>-20.042490506344905</v>
      </c>
    </row>
    <row r="695" spans="1:20" x14ac:dyDescent="0.25">
      <c r="A695" s="5">
        <v>43898</v>
      </c>
      <c r="B695">
        <v>1.8139999999999999E-4</v>
      </c>
      <c r="C695">
        <v>1.8589999999999999E-4</v>
      </c>
      <c r="D695">
        <v>1.55E-4</v>
      </c>
      <c r="E695">
        <v>1.55E-4</v>
      </c>
      <c r="F695">
        <v>421225272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-1</v>
      </c>
      <c r="Q695">
        <f t="shared" si="995"/>
        <v>-421225272</v>
      </c>
      <c r="R695">
        <f t="shared" si="996"/>
        <v>-2295380747.6779685</v>
      </c>
      <c r="S695">
        <f t="shared" si="997"/>
        <v>-22953.807476779686</v>
      </c>
      <c r="T695">
        <f t="shared" si="998"/>
        <v>-22.953807476779687</v>
      </c>
    </row>
    <row r="696" spans="1:20" x14ac:dyDescent="0.25">
      <c r="A696" s="5">
        <v>43897</v>
      </c>
      <c r="B696">
        <v>1.908E-4</v>
      </c>
      <c r="C696">
        <v>2.0350000000000001E-4</v>
      </c>
      <c r="D696">
        <v>1.7890000000000001E-4</v>
      </c>
      <c r="E696">
        <v>1.8330000000000001E-4</v>
      </c>
      <c r="F696">
        <v>664168415</v>
      </c>
      <c r="G696">
        <v>0</v>
      </c>
      <c r="L696" t="s">
        <v>8</v>
      </c>
      <c r="M696" t="s">
        <v>8</v>
      </c>
      <c r="N696" t="s">
        <v>7</v>
      </c>
      <c r="P696">
        <f t="shared" si="994"/>
        <v>-0.64227642276422781</v>
      </c>
      <c r="Q696">
        <f t="shared" si="995"/>
        <v>-426579713.6991871</v>
      </c>
      <c r="R696">
        <f t="shared" si="996"/>
        <v>-1874155475.6779685</v>
      </c>
      <c r="S696">
        <f t="shared" si="997"/>
        <v>-18741.554756779686</v>
      </c>
      <c r="T696">
        <f t="shared" si="998"/>
        <v>-18.741554756779685</v>
      </c>
    </row>
    <row r="697" spans="1:20" x14ac:dyDescent="0.25">
      <c r="A697" s="5">
        <v>43896</v>
      </c>
      <c r="B697">
        <v>1.752E-4</v>
      </c>
      <c r="C697">
        <v>1.9349999999999999E-4</v>
      </c>
      <c r="D697">
        <v>1.74E-4</v>
      </c>
      <c r="E697">
        <v>1.908E-4</v>
      </c>
      <c r="F697">
        <v>294135121</v>
      </c>
      <c r="G697">
        <v>0</v>
      </c>
      <c r="L697" t="s">
        <v>7</v>
      </c>
      <c r="M697" t="s">
        <v>8</v>
      </c>
      <c r="N697" t="s">
        <v>7</v>
      </c>
      <c r="P697">
        <f t="shared" si="994"/>
        <v>0.7230769230769245</v>
      </c>
      <c r="Q697">
        <f t="shared" si="995"/>
        <v>212682318.26153889</v>
      </c>
      <c r="R697">
        <f t="shared" si="996"/>
        <v>-1447575761.9787815</v>
      </c>
      <c r="S697">
        <f t="shared" si="997"/>
        <v>-14475.757619787815</v>
      </c>
      <c r="T697">
        <f t="shared" si="998"/>
        <v>-14.475757619787815</v>
      </c>
    </row>
    <row r="698" spans="1:20" x14ac:dyDescent="0.25">
      <c r="A698" s="5">
        <v>43895</v>
      </c>
      <c r="B698">
        <v>1.7139999999999999E-4</v>
      </c>
      <c r="C698">
        <v>1.817E-4</v>
      </c>
      <c r="D698">
        <v>1.7139999999999999E-4</v>
      </c>
      <c r="E698">
        <v>1.752E-4</v>
      </c>
      <c r="F698">
        <v>275770846</v>
      </c>
      <c r="G698">
        <v>0</v>
      </c>
      <c r="L698" t="s">
        <v>8</v>
      </c>
      <c r="M698" t="s">
        <v>8</v>
      </c>
      <c r="N698" t="s">
        <v>7</v>
      </c>
      <c r="P698">
        <f t="shared" si="994"/>
        <v>-0.26213592233009542</v>
      </c>
      <c r="Q698">
        <f t="shared" si="995"/>
        <v>-72289445.067960709</v>
      </c>
      <c r="R698">
        <f t="shared" si="996"/>
        <v>-1660258080.2403204</v>
      </c>
      <c r="S698">
        <f t="shared" si="997"/>
        <v>-16602.580802403205</v>
      </c>
      <c r="T698">
        <f t="shared" si="998"/>
        <v>-16.602580802403203</v>
      </c>
    </row>
    <row r="699" spans="1:20" x14ac:dyDescent="0.25">
      <c r="A699" s="5">
        <v>43894</v>
      </c>
      <c r="B699">
        <v>1.6890000000000001E-4</v>
      </c>
      <c r="C699">
        <v>1.749E-4</v>
      </c>
      <c r="D699">
        <v>1.65E-4</v>
      </c>
      <c r="E699">
        <v>1.7129999999999999E-4</v>
      </c>
      <c r="F699">
        <v>477271571</v>
      </c>
      <c r="G699">
        <v>0</v>
      </c>
      <c r="L699" t="s">
        <v>7</v>
      </c>
      <c r="M699" t="s">
        <v>7</v>
      </c>
      <c r="N699" t="s">
        <v>7</v>
      </c>
      <c r="P699">
        <f t="shared" si="994"/>
        <v>0.27272727272727121</v>
      </c>
      <c r="Q699">
        <f t="shared" si="995"/>
        <v>130164973.90909019</v>
      </c>
      <c r="R699">
        <f t="shared" si="996"/>
        <v>-1587968635.1723597</v>
      </c>
      <c r="S699">
        <f t="shared" si="997"/>
        <v>-15879.686351723598</v>
      </c>
      <c r="T699">
        <f t="shared" si="998"/>
        <v>-15.879686351723597</v>
      </c>
    </row>
    <row r="700" spans="1:20" x14ac:dyDescent="0.25">
      <c r="A700" s="5">
        <v>43893</v>
      </c>
      <c r="B700">
        <v>1.708E-4</v>
      </c>
      <c r="C700">
        <v>1.7139999999999999E-4</v>
      </c>
      <c r="D700">
        <v>1.605E-4</v>
      </c>
      <c r="E700">
        <v>1.6990000000000001E-4</v>
      </c>
      <c r="F700">
        <v>285908025</v>
      </c>
      <c r="G700">
        <v>0</v>
      </c>
      <c r="L700" t="s">
        <v>8</v>
      </c>
      <c r="M700" t="s">
        <v>7</v>
      </c>
      <c r="N700" t="s">
        <v>7</v>
      </c>
      <c r="P700">
        <f t="shared" si="994"/>
        <v>0.72477064220183796</v>
      </c>
      <c r="Q700">
        <f t="shared" si="995"/>
        <v>207217742.88990915</v>
      </c>
      <c r="R700">
        <f t="shared" si="996"/>
        <v>-1718133609.08145</v>
      </c>
      <c r="S700">
        <f t="shared" si="997"/>
        <v>-17181.3360908145</v>
      </c>
      <c r="T700">
        <f t="shared" si="998"/>
        <v>-17.181336090814501</v>
      </c>
    </row>
    <row r="701" spans="1:20" x14ac:dyDescent="0.25">
      <c r="A701" s="5">
        <v>43892</v>
      </c>
      <c r="B701">
        <v>1.5860000000000001E-4</v>
      </c>
      <c r="C701">
        <v>1.872E-4</v>
      </c>
      <c r="D701">
        <v>1.5200000000000001E-4</v>
      </c>
      <c r="E701">
        <v>1.708E-4</v>
      </c>
      <c r="F701">
        <v>671584879</v>
      </c>
      <c r="G701">
        <v>0</v>
      </c>
      <c r="L701" t="s">
        <v>7</v>
      </c>
      <c r="M701" t="s">
        <v>7</v>
      </c>
      <c r="N701" t="s">
        <v>7</v>
      </c>
      <c r="P701">
        <f t="shared" si="994"/>
        <v>6.8181818181818316E-2</v>
      </c>
      <c r="Q701">
        <f t="shared" si="995"/>
        <v>45789878.113636456</v>
      </c>
      <c r="R701">
        <f t="shared" si="996"/>
        <v>-1925351351.971359</v>
      </c>
      <c r="S701">
        <f t="shared" si="997"/>
        <v>-19253.51351971359</v>
      </c>
      <c r="T701">
        <f t="shared" si="998"/>
        <v>-19.253513519713589</v>
      </c>
    </row>
    <row r="702" spans="1:20" x14ac:dyDescent="0.25">
      <c r="A702" s="5">
        <v>43891</v>
      </c>
      <c r="B702">
        <v>1.5899999999999999E-4</v>
      </c>
      <c r="C702">
        <v>1.6330000000000001E-4</v>
      </c>
      <c r="D702">
        <v>1.55E-4</v>
      </c>
      <c r="E702">
        <v>1.5919999999999999E-4</v>
      </c>
      <c r="F702">
        <v>295627770</v>
      </c>
      <c r="G702">
        <v>0</v>
      </c>
      <c r="L702" t="s">
        <v>8</v>
      </c>
      <c r="M702" t="s">
        <v>7</v>
      </c>
      <c r="N702" t="s">
        <v>7</v>
      </c>
      <c r="P702">
        <f t="shared" si="994"/>
        <v>1.2048192771081347E-2</v>
      </c>
      <c r="Q702">
        <f t="shared" si="995"/>
        <v>3561780.3614448993</v>
      </c>
      <c r="R702">
        <f t="shared" si="996"/>
        <v>-1971141230.0849955</v>
      </c>
      <c r="S702">
        <f t="shared" si="997"/>
        <v>-19711.412300849955</v>
      </c>
      <c r="T702">
        <f t="shared" si="998"/>
        <v>-19.711412300849954</v>
      </c>
    </row>
    <row r="703" spans="1:20" x14ac:dyDescent="0.25">
      <c r="A703" s="5">
        <v>43890</v>
      </c>
      <c r="B703">
        <v>1.6640000000000001E-4</v>
      </c>
      <c r="C703">
        <v>1.7039999999999999E-4</v>
      </c>
      <c r="D703">
        <v>1.585E-4</v>
      </c>
      <c r="E703">
        <v>1.585E-4</v>
      </c>
      <c r="F703">
        <v>675386254</v>
      </c>
      <c r="G703">
        <v>0</v>
      </c>
      <c r="L703" t="s">
        <v>7</v>
      </c>
      <c r="M703" t="s">
        <v>7</v>
      </c>
      <c r="N703" t="s">
        <v>7</v>
      </c>
      <c r="P703">
        <f t="shared" si="994"/>
        <v>-1</v>
      </c>
      <c r="Q703">
        <f t="shared" si="995"/>
        <v>-675386254</v>
      </c>
      <c r="R703">
        <f t="shared" si="996"/>
        <v>-1974703010.4464405</v>
      </c>
      <c r="S703">
        <f t="shared" si="997"/>
        <v>-19747.030104464404</v>
      </c>
      <c r="T703">
        <f t="shared" si="998"/>
        <v>-19.747030104464404</v>
      </c>
    </row>
    <row r="704" spans="1:20" x14ac:dyDescent="0.25">
      <c r="A704" s="5">
        <v>43889</v>
      </c>
      <c r="B704">
        <v>1.771E-4</v>
      </c>
      <c r="C704">
        <v>1.8090000000000001E-4</v>
      </c>
      <c r="D704">
        <v>1.6359999999999999E-4</v>
      </c>
      <c r="E704">
        <v>1.6640000000000001E-4</v>
      </c>
      <c r="F704">
        <v>351283671</v>
      </c>
      <c r="G704">
        <v>0</v>
      </c>
      <c r="L704" t="s">
        <v>8</v>
      </c>
      <c r="M704" t="s">
        <v>7</v>
      </c>
      <c r="N704" t="s">
        <v>7</v>
      </c>
      <c r="P704">
        <f t="shared" si="994"/>
        <v>-0.67630057803468069</v>
      </c>
      <c r="Q704">
        <f t="shared" si="995"/>
        <v>-237573349.75144461</v>
      </c>
      <c r="R704">
        <f t="shared" si="996"/>
        <v>-1299316756.4464405</v>
      </c>
      <c r="S704">
        <f t="shared" si="997"/>
        <v>-12993.167564464404</v>
      </c>
      <c r="T704">
        <f t="shared" si="998"/>
        <v>-12.993167564464404</v>
      </c>
    </row>
    <row r="705" spans="1:20" x14ac:dyDescent="0.25">
      <c r="A705" s="5">
        <v>43888</v>
      </c>
      <c r="B705">
        <v>1.682E-4</v>
      </c>
      <c r="C705">
        <v>1.8440000000000001E-4</v>
      </c>
      <c r="D705">
        <v>1.605E-4</v>
      </c>
      <c r="E705">
        <v>1.7560000000000001E-4</v>
      </c>
      <c r="F705">
        <v>420130640</v>
      </c>
      <c r="G705">
        <v>0</v>
      </c>
      <c r="L705" t="s">
        <v>7</v>
      </c>
      <c r="M705" t="s">
        <v>7</v>
      </c>
      <c r="N705" t="s">
        <v>7</v>
      </c>
      <c r="P705">
        <f t="shared" si="994"/>
        <v>0.26359832635983327</v>
      </c>
      <c r="Q705">
        <f t="shared" si="995"/>
        <v>110745733.55648562</v>
      </c>
      <c r="R705">
        <f t="shared" si="996"/>
        <v>-1061743406.6949959</v>
      </c>
      <c r="S705">
        <f t="shared" si="997"/>
        <v>-10617.434066949958</v>
      </c>
      <c r="T705">
        <f t="shared" si="998"/>
        <v>-10.617434066949958</v>
      </c>
    </row>
    <row r="706" spans="1:20" x14ac:dyDescent="0.25">
      <c r="A706" s="5">
        <v>43887</v>
      </c>
      <c r="B706">
        <v>1.8819999999999999E-4</v>
      </c>
      <c r="C706">
        <v>1.883E-4</v>
      </c>
      <c r="D706">
        <v>1.651E-4</v>
      </c>
      <c r="E706">
        <v>1.6880000000000001E-4</v>
      </c>
      <c r="F706">
        <v>978527767</v>
      </c>
      <c r="G706">
        <v>0</v>
      </c>
      <c r="L706" t="s">
        <v>8</v>
      </c>
      <c r="M706" t="s">
        <v>7</v>
      </c>
      <c r="N706" t="s">
        <v>7</v>
      </c>
      <c r="P706">
        <f t="shared" si="994"/>
        <v>-0.68103448275861989</v>
      </c>
      <c r="Q706">
        <f t="shared" si="995"/>
        <v>-666411151.66379237</v>
      </c>
      <c r="R706">
        <f t="shared" si="996"/>
        <v>-1172489140.2514815</v>
      </c>
      <c r="S706">
        <f t="shared" si="997"/>
        <v>-11724.891402514815</v>
      </c>
      <c r="T706">
        <f t="shared" si="998"/>
        <v>-11.724891402514816</v>
      </c>
    </row>
    <row r="707" spans="1:20" x14ac:dyDescent="0.25">
      <c r="A707" s="5">
        <v>43886</v>
      </c>
      <c r="B707">
        <v>2.095E-4</v>
      </c>
      <c r="C707">
        <v>2.095E-4</v>
      </c>
      <c r="D707">
        <v>1.84E-4</v>
      </c>
      <c r="E707">
        <v>1.8819999999999999E-4</v>
      </c>
      <c r="F707">
        <v>711276952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-0.67058823529411815</v>
      </c>
      <c r="Q707">
        <f t="shared" si="995"/>
        <v>-476973956.04705918</v>
      </c>
      <c r="R707">
        <f t="shared" si="996"/>
        <v>-506077988.58768928</v>
      </c>
      <c r="S707">
        <f t="shared" si="997"/>
        <v>-5060.7798858768929</v>
      </c>
      <c r="T707">
        <f t="shared" si="998"/>
        <v>-5.0607798858768929</v>
      </c>
    </row>
    <row r="708" spans="1:20" x14ac:dyDescent="0.25">
      <c r="A708" s="5">
        <v>43885</v>
      </c>
      <c r="B708">
        <v>2.1819999999999999E-4</v>
      </c>
      <c r="C708">
        <v>2.2149999999999999E-4</v>
      </c>
      <c r="D708">
        <v>2.0230000000000001E-4</v>
      </c>
      <c r="E708">
        <v>2.0939999999999999E-4</v>
      </c>
      <c r="F708">
        <v>531448691</v>
      </c>
      <c r="G708">
        <v>0</v>
      </c>
      <c r="L708" t="s">
        <v>8</v>
      </c>
      <c r="M708" t="s">
        <v>7</v>
      </c>
      <c r="N708" t="s">
        <v>7</v>
      </c>
      <c r="P708">
        <f t="shared" si="994"/>
        <v>-0.26041666666666763</v>
      </c>
      <c r="Q708">
        <f t="shared" si="995"/>
        <v>-138398096.61458385</v>
      </c>
      <c r="R708">
        <f t="shared" si="996"/>
        <v>-29104032.540630072</v>
      </c>
      <c r="S708">
        <f t="shared" si="997"/>
        <v>-291.04032540630072</v>
      </c>
      <c r="T708">
        <f t="shared" si="998"/>
        <v>-0.2910403254063007</v>
      </c>
    </row>
    <row r="709" spans="1:20" x14ac:dyDescent="0.25">
      <c r="A709" s="5">
        <v>43884</v>
      </c>
      <c r="B709">
        <v>2.119E-4</v>
      </c>
      <c r="C709">
        <v>2.22E-4</v>
      </c>
      <c r="D709">
        <v>2.0900000000000001E-4</v>
      </c>
      <c r="E709">
        <v>2.1699999999999999E-4</v>
      </c>
      <c r="F709">
        <v>406659813</v>
      </c>
      <c r="G709">
        <v>0</v>
      </c>
      <c r="L709" t="s">
        <v>7</v>
      </c>
      <c r="M709" t="s">
        <v>7</v>
      </c>
      <c r="N709" t="s">
        <v>7</v>
      </c>
      <c r="P709">
        <f t="shared" si="994"/>
        <v>0.2307692307692282</v>
      </c>
      <c r="Q709">
        <f t="shared" si="995"/>
        <v>93844572.230768189</v>
      </c>
      <c r="R709">
        <f t="shared" si="996"/>
        <v>109294064.07395378</v>
      </c>
      <c r="S709">
        <f t="shared" si="997"/>
        <v>1092.9406407395377</v>
      </c>
      <c r="T709">
        <f t="shared" si="998"/>
        <v>1.0929406407395377</v>
      </c>
    </row>
    <row r="710" spans="1:20" x14ac:dyDescent="0.25">
      <c r="A710" s="5">
        <v>43883</v>
      </c>
      <c r="B710">
        <v>2.118E-4</v>
      </c>
      <c r="C710">
        <v>2.142E-4</v>
      </c>
      <c r="D710">
        <v>2.04E-4</v>
      </c>
      <c r="E710">
        <v>2.119E-4</v>
      </c>
      <c r="F710">
        <v>162241678</v>
      </c>
      <c r="G710">
        <v>0</v>
      </c>
      <c r="L710" t="s">
        <v>8</v>
      </c>
      <c r="M710" t="s">
        <v>7</v>
      </c>
      <c r="N710" t="s">
        <v>7</v>
      </c>
      <c r="P710">
        <f t="shared" ref="P710:P766" si="999">IF(C710=D710,0,((E710-D710)-(C710-E710))/(C710-D710))</f>
        <v>0.54901960784313708</v>
      </c>
      <c r="Q710">
        <f t="shared" ref="Q710:Q766" si="1000">F710*P710</f>
        <v>89073862.431372523</v>
      </c>
      <c r="R710">
        <f t="shared" ref="R710:R766" si="1001">R711+Q710</f>
        <v>15449491.843185589</v>
      </c>
      <c r="S710">
        <f t="shared" ref="S710:S766" si="1002">R710/100000</f>
        <v>154.49491843185589</v>
      </c>
      <c r="T710">
        <f t="shared" ref="T710:T766" si="1003">S710/1000</f>
        <v>0.15449491843185589</v>
      </c>
    </row>
    <row r="711" spans="1:20" x14ac:dyDescent="0.25">
      <c r="A711" s="5">
        <v>43882</v>
      </c>
      <c r="B711">
        <v>2.153E-4</v>
      </c>
      <c r="C711">
        <v>2.2000000000000001E-4</v>
      </c>
      <c r="D711">
        <v>2.0599999999999999E-4</v>
      </c>
      <c r="E711">
        <v>2.1019999999999999E-4</v>
      </c>
      <c r="F711">
        <v>323420457</v>
      </c>
      <c r="G711">
        <v>0</v>
      </c>
      <c r="L711" t="s">
        <v>7</v>
      </c>
      <c r="M711" t="s">
        <v>7</v>
      </c>
      <c r="N711" t="s">
        <v>7</v>
      </c>
      <c r="P711">
        <f t="shared" si="999"/>
        <v>-0.40000000000000158</v>
      </c>
      <c r="Q711">
        <f t="shared" si="1000"/>
        <v>-129368182.8000005</v>
      </c>
      <c r="R711">
        <f t="shared" si="1001"/>
        <v>-73624370.588186935</v>
      </c>
      <c r="S711">
        <f t="shared" si="1002"/>
        <v>-736.24370588186935</v>
      </c>
      <c r="T711">
        <f t="shared" si="1003"/>
        <v>-0.73624370588186938</v>
      </c>
    </row>
    <row r="712" spans="1:20" x14ac:dyDescent="0.25">
      <c r="A712" s="5">
        <v>43881</v>
      </c>
      <c r="B712">
        <v>2.1000000000000001E-4</v>
      </c>
      <c r="C712">
        <v>2.184E-4</v>
      </c>
      <c r="D712">
        <v>2.0000000000000001E-4</v>
      </c>
      <c r="E712">
        <v>2.1599999999999999E-4</v>
      </c>
      <c r="F712">
        <v>573800903</v>
      </c>
      <c r="G712">
        <v>0</v>
      </c>
      <c r="L712" t="s">
        <v>8</v>
      </c>
      <c r="M712" t="s">
        <v>7</v>
      </c>
      <c r="N712" t="s">
        <v>7</v>
      </c>
      <c r="P712">
        <f t="shared" si="999"/>
        <v>0.73913043478260809</v>
      </c>
      <c r="Q712">
        <f t="shared" si="1000"/>
        <v>424113710.91304314</v>
      </c>
      <c r="R712">
        <f t="shared" si="1001"/>
        <v>55743812.211813569</v>
      </c>
      <c r="S712">
        <f t="shared" si="1002"/>
        <v>557.43812211813565</v>
      </c>
      <c r="T712">
        <f t="shared" si="1003"/>
        <v>0.5574381221181357</v>
      </c>
    </row>
    <row r="713" spans="1:20" x14ac:dyDescent="0.25">
      <c r="A713" s="5">
        <v>43880</v>
      </c>
      <c r="B713">
        <v>2.3550000000000001E-4</v>
      </c>
      <c r="C713">
        <v>2.5999999999999998E-4</v>
      </c>
      <c r="D713">
        <v>2.0440000000000001E-4</v>
      </c>
      <c r="E713">
        <v>2.1130000000000001E-4</v>
      </c>
      <c r="F713">
        <v>1344328036</v>
      </c>
      <c r="G713">
        <v>0</v>
      </c>
      <c r="L713" t="s">
        <v>7</v>
      </c>
      <c r="M713" t="s">
        <v>8</v>
      </c>
      <c r="N713" t="s">
        <v>7</v>
      </c>
      <c r="P713">
        <f t="shared" si="999"/>
        <v>-0.75179856115107879</v>
      </c>
      <c r="Q713">
        <f t="shared" si="1000"/>
        <v>-1010663883.1798557</v>
      </c>
      <c r="R713">
        <f t="shared" si="1001"/>
        <v>-368369898.70122957</v>
      </c>
      <c r="S713">
        <f t="shared" si="1002"/>
        <v>-3683.6989870122957</v>
      </c>
      <c r="T713">
        <f t="shared" si="1003"/>
        <v>-3.6836989870122956</v>
      </c>
    </row>
    <row r="714" spans="1:20" x14ac:dyDescent="0.25">
      <c r="A714" s="5">
        <v>43879</v>
      </c>
      <c r="B714">
        <v>2.2900000000000001E-4</v>
      </c>
      <c r="C714">
        <v>2.3890000000000001E-4</v>
      </c>
      <c r="D714">
        <v>2.2029999999999999E-4</v>
      </c>
      <c r="E714">
        <v>2.3479999999999999E-4</v>
      </c>
      <c r="F714">
        <v>531130154</v>
      </c>
      <c r="G714">
        <v>0</v>
      </c>
      <c r="L714" t="s">
        <v>8</v>
      </c>
      <c r="M714" t="s">
        <v>7</v>
      </c>
      <c r="N714" t="s">
        <v>7</v>
      </c>
      <c r="P714">
        <f t="shared" si="999"/>
        <v>0.55913978494623506</v>
      </c>
      <c r="Q714">
        <f t="shared" si="1000"/>
        <v>296976000.08602071</v>
      </c>
      <c r="R714">
        <f t="shared" si="1001"/>
        <v>642293984.47862613</v>
      </c>
      <c r="S714">
        <f t="shared" si="1002"/>
        <v>6422.9398447862613</v>
      </c>
      <c r="T714">
        <f t="shared" si="1003"/>
        <v>6.4229398447862618</v>
      </c>
    </row>
    <row r="715" spans="1:20" x14ac:dyDescent="0.25">
      <c r="A715" s="5">
        <v>43878</v>
      </c>
      <c r="B715">
        <v>2.2220000000000001E-4</v>
      </c>
      <c r="C715">
        <v>2.3220000000000001E-4</v>
      </c>
      <c r="D715">
        <v>2.0550000000000001E-4</v>
      </c>
      <c r="E715">
        <v>2.3000000000000001E-4</v>
      </c>
      <c r="F715">
        <v>647082607</v>
      </c>
      <c r="G715">
        <v>0</v>
      </c>
      <c r="L715" t="s">
        <v>7</v>
      </c>
      <c r="M715" t="s">
        <v>7</v>
      </c>
      <c r="N715" t="s">
        <v>7</v>
      </c>
      <c r="P715">
        <f t="shared" si="999"/>
        <v>0.83520599250936334</v>
      </c>
      <c r="Q715">
        <f t="shared" si="1000"/>
        <v>540447271.01498127</v>
      </c>
      <c r="R715">
        <f t="shared" si="1001"/>
        <v>345317984.39260542</v>
      </c>
      <c r="S715">
        <f t="shared" si="1002"/>
        <v>3453.1798439260542</v>
      </c>
      <c r="T715">
        <f t="shared" si="1003"/>
        <v>3.4531798439260544</v>
      </c>
    </row>
    <row r="716" spans="1:20" x14ac:dyDescent="0.25">
      <c r="A716" s="5">
        <v>43877</v>
      </c>
      <c r="B716">
        <v>2.3599999999999999E-4</v>
      </c>
      <c r="C716">
        <v>2.4379999999999999E-4</v>
      </c>
      <c r="D716">
        <v>2.0000000000000001E-4</v>
      </c>
      <c r="E716">
        <v>2.2220000000000001E-4</v>
      </c>
      <c r="F716">
        <v>1088070083</v>
      </c>
      <c r="G716">
        <v>0</v>
      </c>
      <c r="L716" t="s">
        <v>8</v>
      </c>
      <c r="M716" t="s">
        <v>7</v>
      </c>
      <c r="N716" t="s">
        <v>7</v>
      </c>
      <c r="P716">
        <f t="shared" si="999"/>
        <v>1.3698630136986641E-2</v>
      </c>
      <c r="Q716">
        <f t="shared" si="1000"/>
        <v>14905069.630137356</v>
      </c>
      <c r="R716">
        <f t="shared" si="1001"/>
        <v>-195129286.62237582</v>
      </c>
      <c r="S716">
        <f t="shared" si="1002"/>
        <v>-1951.2928662237582</v>
      </c>
      <c r="T716">
        <f t="shared" si="1003"/>
        <v>-1.9512928662237583</v>
      </c>
    </row>
    <row r="717" spans="1:20" x14ac:dyDescent="0.25">
      <c r="A717" s="5">
        <v>43876</v>
      </c>
      <c r="B717">
        <v>2.5099999999999998E-4</v>
      </c>
      <c r="C717">
        <v>2.7609999999999999E-4</v>
      </c>
      <c r="D717">
        <v>2.298E-4</v>
      </c>
      <c r="E717">
        <v>2.3699999999999999E-4</v>
      </c>
      <c r="F717">
        <v>1633200485</v>
      </c>
      <c r="G717">
        <v>0</v>
      </c>
      <c r="L717" t="s">
        <v>7</v>
      </c>
      <c r="M717" t="s">
        <v>8</v>
      </c>
      <c r="N717" t="s">
        <v>8</v>
      </c>
      <c r="P717">
        <f t="shared" si="999"/>
        <v>-0.68898488120950374</v>
      </c>
      <c r="Q717">
        <f t="shared" si="1000"/>
        <v>-1125250442.1490288</v>
      </c>
      <c r="R717">
        <f t="shared" si="1001"/>
        <v>-210034356.25251317</v>
      </c>
      <c r="S717">
        <f t="shared" si="1002"/>
        <v>-2100.3435625251318</v>
      </c>
      <c r="T717">
        <f t="shared" si="1003"/>
        <v>-2.1003435625251319</v>
      </c>
    </row>
    <row r="718" spans="1:20" x14ac:dyDescent="0.25">
      <c r="A718" s="5">
        <v>43875</v>
      </c>
      <c r="B718">
        <v>2.41E-4</v>
      </c>
      <c r="C718">
        <v>2.5700000000000001E-4</v>
      </c>
      <c r="D718">
        <v>2.3709999999999999E-4</v>
      </c>
      <c r="E718">
        <v>2.5250000000000001E-4</v>
      </c>
      <c r="F718">
        <v>694730759</v>
      </c>
      <c r="G718">
        <v>0</v>
      </c>
      <c r="L718" t="s">
        <v>8</v>
      </c>
      <c r="M718" t="s">
        <v>7</v>
      </c>
      <c r="N718" t="s">
        <v>8</v>
      </c>
      <c r="P718">
        <f t="shared" si="999"/>
        <v>0.54773869346733706</v>
      </c>
      <c r="Q718">
        <f t="shared" si="1000"/>
        <v>380530918.24623144</v>
      </c>
      <c r="R718">
        <f t="shared" si="1001"/>
        <v>915216085.89651561</v>
      </c>
      <c r="S718">
        <f t="shared" si="1002"/>
        <v>9152.1608589651569</v>
      </c>
      <c r="T718">
        <f t="shared" si="1003"/>
        <v>9.1521608589651571</v>
      </c>
    </row>
    <row r="719" spans="1:20" x14ac:dyDescent="0.25">
      <c r="A719" s="5">
        <v>43874</v>
      </c>
      <c r="B719">
        <v>2.5030000000000001E-4</v>
      </c>
      <c r="C719">
        <v>2.589E-4</v>
      </c>
      <c r="D719">
        <v>2.3389999999999999E-4</v>
      </c>
      <c r="E719">
        <v>2.409E-4</v>
      </c>
      <c r="F719">
        <v>1716441254</v>
      </c>
      <c r="G719">
        <v>0</v>
      </c>
      <c r="L719" t="s">
        <v>7</v>
      </c>
      <c r="M719" t="s">
        <v>7</v>
      </c>
      <c r="N719" t="s">
        <v>8</v>
      </c>
      <c r="P719">
        <f t="shared" si="999"/>
        <v>-0.43999999999999967</v>
      </c>
      <c r="Q719">
        <f t="shared" si="1000"/>
        <v>-755234151.75999939</v>
      </c>
      <c r="R719">
        <f t="shared" si="1001"/>
        <v>534685167.65028417</v>
      </c>
      <c r="S719">
        <f t="shared" si="1002"/>
        <v>5346.8516765028417</v>
      </c>
      <c r="T719">
        <f t="shared" si="1003"/>
        <v>5.3468516765028413</v>
      </c>
    </row>
    <row r="720" spans="1:20" x14ac:dyDescent="0.25">
      <c r="A720" s="5">
        <v>43873</v>
      </c>
      <c r="B720">
        <v>2.52E-4</v>
      </c>
      <c r="C720">
        <v>2.5829999999999999E-4</v>
      </c>
      <c r="D720">
        <v>2.4449999999999998E-4</v>
      </c>
      <c r="E720">
        <v>2.4899999999999998E-4</v>
      </c>
      <c r="F720">
        <v>1665876851</v>
      </c>
      <c r="G720">
        <v>0</v>
      </c>
      <c r="L720" t="s">
        <v>8</v>
      </c>
      <c r="M720" t="s">
        <v>7</v>
      </c>
      <c r="N720" t="s">
        <v>8</v>
      </c>
      <c r="P720">
        <f t="shared" si="999"/>
        <v>-0.34782608695652206</v>
      </c>
      <c r="Q720">
        <f t="shared" si="1000"/>
        <v>-579435426.4347831</v>
      </c>
      <c r="R720">
        <f t="shared" si="1001"/>
        <v>1289919319.4102836</v>
      </c>
      <c r="S720">
        <f t="shared" si="1002"/>
        <v>12899.193194102836</v>
      </c>
      <c r="T720">
        <f t="shared" si="1003"/>
        <v>12.899193194102835</v>
      </c>
    </row>
    <row r="721" spans="1:20" x14ac:dyDescent="0.25">
      <c r="A721" s="5">
        <v>43872</v>
      </c>
      <c r="B721">
        <v>2.5230000000000001E-4</v>
      </c>
      <c r="C721">
        <v>2.5829999999999999E-4</v>
      </c>
      <c r="D721">
        <v>2.3499999999999999E-4</v>
      </c>
      <c r="E721">
        <v>2.5300000000000002E-4</v>
      </c>
      <c r="F721">
        <v>974439269</v>
      </c>
      <c r="G721">
        <v>0</v>
      </c>
      <c r="L721" t="s">
        <v>7</v>
      </c>
      <c r="M721" t="s">
        <v>7</v>
      </c>
      <c r="N721" t="s">
        <v>8</v>
      </c>
      <c r="P721">
        <f t="shared" si="999"/>
        <v>0.54506437768240623</v>
      </c>
      <c r="Q721">
        <f t="shared" si="1000"/>
        <v>531132133.74678385</v>
      </c>
      <c r="R721">
        <f t="shared" si="1001"/>
        <v>1869354745.8450665</v>
      </c>
      <c r="S721">
        <f t="shared" si="1002"/>
        <v>18693.547458450666</v>
      </c>
      <c r="T721">
        <f t="shared" si="1003"/>
        <v>18.693547458450666</v>
      </c>
    </row>
    <row r="722" spans="1:20" x14ac:dyDescent="0.25">
      <c r="A722" s="5">
        <v>43871</v>
      </c>
      <c r="B722">
        <v>2.5609999999999999E-4</v>
      </c>
      <c r="C722">
        <v>2.611E-4</v>
      </c>
      <c r="D722">
        <v>2.3029999999999999E-4</v>
      </c>
      <c r="E722">
        <v>2.5230000000000001E-4</v>
      </c>
      <c r="F722">
        <v>1475458110</v>
      </c>
      <c r="G722">
        <v>0</v>
      </c>
      <c r="L722" t="s">
        <v>8</v>
      </c>
      <c r="M722" t="s">
        <v>7</v>
      </c>
      <c r="N722" t="s">
        <v>8</v>
      </c>
      <c r="P722">
        <f t="shared" si="999"/>
        <v>0.42857142857142905</v>
      </c>
      <c r="Q722">
        <f t="shared" si="1000"/>
        <v>632339190.00000072</v>
      </c>
      <c r="R722">
        <f t="shared" si="1001"/>
        <v>1338222612.0982828</v>
      </c>
      <c r="S722">
        <f t="shared" si="1002"/>
        <v>13382.226120982828</v>
      </c>
      <c r="T722">
        <f t="shared" si="1003"/>
        <v>13.382226120982828</v>
      </c>
    </row>
    <row r="723" spans="1:20" x14ac:dyDescent="0.25">
      <c r="A723" s="5">
        <v>43870</v>
      </c>
      <c r="B723">
        <v>2.3369999999999999E-4</v>
      </c>
      <c r="C723">
        <v>2.7250000000000001E-4</v>
      </c>
      <c r="D723">
        <v>2.2599999999999999E-4</v>
      </c>
      <c r="E723">
        <v>2.5730000000000002E-4</v>
      </c>
      <c r="F723">
        <v>1858061174</v>
      </c>
      <c r="G723">
        <v>0</v>
      </c>
      <c r="L723" t="s">
        <v>7</v>
      </c>
      <c r="M723" t="s">
        <v>7</v>
      </c>
      <c r="N723" t="s">
        <v>8</v>
      </c>
      <c r="P723">
        <f t="shared" si="999"/>
        <v>0.34623655913978563</v>
      </c>
      <c r="Q723">
        <f t="shared" si="1000"/>
        <v>643328707.5569905</v>
      </c>
      <c r="R723">
        <f t="shared" si="1001"/>
        <v>705883422.09828198</v>
      </c>
      <c r="S723">
        <f t="shared" si="1002"/>
        <v>7058.8342209828197</v>
      </c>
      <c r="T723">
        <f t="shared" si="1003"/>
        <v>7.0588342209828197</v>
      </c>
    </row>
    <row r="724" spans="1:20" x14ac:dyDescent="0.25">
      <c r="A724" s="5">
        <v>43869</v>
      </c>
      <c r="B724">
        <v>2.1670000000000001E-4</v>
      </c>
      <c r="C724">
        <v>2.9500000000000001E-4</v>
      </c>
      <c r="D724">
        <v>2.061E-4</v>
      </c>
      <c r="E724">
        <v>2.3360000000000001E-4</v>
      </c>
      <c r="F724">
        <v>4065741364</v>
      </c>
      <c r="G724">
        <v>0</v>
      </c>
      <c r="L724" t="s">
        <v>8</v>
      </c>
      <c r="M724" t="s">
        <v>8</v>
      </c>
      <c r="N724" t="s">
        <v>8</v>
      </c>
      <c r="P724">
        <f t="shared" si="999"/>
        <v>-0.38132733408323932</v>
      </c>
      <c r="Q724">
        <f t="shared" si="1000"/>
        <v>-1550378315.4060731</v>
      </c>
      <c r="R724">
        <f t="shared" si="1001"/>
        <v>62554714.541291475</v>
      </c>
      <c r="S724">
        <f t="shared" si="1002"/>
        <v>625.5471454129148</v>
      </c>
      <c r="T724">
        <f t="shared" si="1003"/>
        <v>0.62554714541291478</v>
      </c>
    </row>
    <row r="725" spans="1:20" x14ac:dyDescent="0.25">
      <c r="A725" s="5">
        <v>43868</v>
      </c>
      <c r="B725">
        <v>1.9819999999999999E-4</v>
      </c>
      <c r="C725">
        <v>2.2000000000000001E-4</v>
      </c>
      <c r="D725">
        <v>1.9819999999999999E-4</v>
      </c>
      <c r="E725">
        <v>2.1340000000000001E-4</v>
      </c>
      <c r="F725">
        <v>654707041</v>
      </c>
      <c r="G725">
        <v>0</v>
      </c>
      <c r="L725" t="s">
        <v>7</v>
      </c>
      <c r="M725" t="s">
        <v>8</v>
      </c>
      <c r="N725" t="s">
        <v>8</v>
      </c>
      <c r="P725">
        <f t="shared" si="999"/>
        <v>0.39449541284403733</v>
      </c>
      <c r="Q725">
        <f t="shared" si="1000"/>
        <v>258278924.43119308</v>
      </c>
      <c r="R725">
        <f t="shared" si="1001"/>
        <v>1612933029.9473646</v>
      </c>
      <c r="S725">
        <f t="shared" si="1002"/>
        <v>16129.330299473646</v>
      </c>
      <c r="T725">
        <f t="shared" si="1003"/>
        <v>16.129330299473647</v>
      </c>
    </row>
    <row r="726" spans="1:20" x14ac:dyDescent="0.25">
      <c r="A726" s="5">
        <v>43867</v>
      </c>
      <c r="B726">
        <v>1.94E-4</v>
      </c>
      <c r="C726">
        <v>2.028E-4</v>
      </c>
      <c r="D726">
        <v>1.8900000000000001E-4</v>
      </c>
      <c r="E726">
        <v>1.994E-4</v>
      </c>
      <c r="F726">
        <v>629825838</v>
      </c>
      <c r="G726">
        <v>0</v>
      </c>
      <c r="L726" t="s">
        <v>8</v>
      </c>
      <c r="M726" t="s">
        <v>8</v>
      </c>
      <c r="N726" t="s">
        <v>7</v>
      </c>
      <c r="P726">
        <f t="shared" si="999"/>
        <v>0.50724637681159346</v>
      </c>
      <c r="Q726">
        <f t="shared" si="1000"/>
        <v>319476874.34782565</v>
      </c>
      <c r="R726">
        <f t="shared" si="1001"/>
        <v>1354654105.5161715</v>
      </c>
      <c r="S726">
        <f t="shared" si="1002"/>
        <v>13546.541055161715</v>
      </c>
      <c r="T726">
        <f t="shared" si="1003"/>
        <v>13.546541055161715</v>
      </c>
    </row>
    <row r="727" spans="1:20" x14ac:dyDescent="0.25">
      <c r="A727" s="5">
        <v>43866</v>
      </c>
      <c r="B727">
        <v>1.827E-4</v>
      </c>
      <c r="C727">
        <v>1.953E-4</v>
      </c>
      <c r="D727">
        <v>1.816E-4</v>
      </c>
      <c r="E727">
        <v>1.9269999999999999E-4</v>
      </c>
      <c r="F727">
        <v>575675855</v>
      </c>
      <c r="G727">
        <v>0</v>
      </c>
      <c r="L727" t="s">
        <v>7</v>
      </c>
      <c r="M727" t="s">
        <v>8</v>
      </c>
      <c r="N727" t="s">
        <v>7</v>
      </c>
      <c r="P727">
        <f t="shared" si="999"/>
        <v>0.62043795620437847</v>
      </c>
      <c r="Q727">
        <f t="shared" si="1000"/>
        <v>357171150.91240811</v>
      </c>
      <c r="R727">
        <f t="shared" si="1001"/>
        <v>1035177231.1683459</v>
      </c>
      <c r="S727">
        <f t="shared" si="1002"/>
        <v>10351.772311683459</v>
      </c>
      <c r="T727">
        <f t="shared" si="1003"/>
        <v>10.351772311683458</v>
      </c>
    </row>
    <row r="728" spans="1:20" x14ac:dyDescent="0.25">
      <c r="A728" s="5">
        <v>43865</v>
      </c>
      <c r="B728">
        <v>1.796E-4</v>
      </c>
      <c r="C728">
        <v>1.85E-4</v>
      </c>
      <c r="D728">
        <v>1.7530000000000001E-4</v>
      </c>
      <c r="E728">
        <v>1.8200000000000001E-4</v>
      </c>
      <c r="F728">
        <v>283833026</v>
      </c>
      <c r="G728">
        <v>0</v>
      </c>
      <c r="L728" t="s">
        <v>8</v>
      </c>
      <c r="M728" t="s">
        <v>7</v>
      </c>
      <c r="N728" t="s">
        <v>7</v>
      </c>
      <c r="P728">
        <f t="shared" si="999"/>
        <v>0.38144329896907336</v>
      </c>
      <c r="Q728">
        <f t="shared" si="1000"/>
        <v>108266205.79381478</v>
      </c>
      <c r="R728">
        <f t="shared" si="1001"/>
        <v>678006080.25593781</v>
      </c>
      <c r="S728">
        <f t="shared" si="1002"/>
        <v>6780.0608025593783</v>
      </c>
      <c r="T728">
        <f t="shared" si="1003"/>
        <v>6.7800608025593787</v>
      </c>
    </row>
    <row r="729" spans="1:20" x14ac:dyDescent="0.25">
      <c r="A729" s="5">
        <v>43864</v>
      </c>
      <c r="B729">
        <v>1.7259999999999999E-4</v>
      </c>
      <c r="C729">
        <v>1.796E-4</v>
      </c>
      <c r="D729">
        <v>1.7200000000000001E-4</v>
      </c>
      <c r="E729">
        <v>1.796E-4</v>
      </c>
      <c r="F729">
        <v>183724973</v>
      </c>
      <c r="G729">
        <v>0</v>
      </c>
      <c r="L729" t="s">
        <v>7</v>
      </c>
      <c r="M729" t="s">
        <v>7</v>
      </c>
      <c r="N729" t="s">
        <v>7</v>
      </c>
      <c r="P729">
        <f t="shared" si="999"/>
        <v>1</v>
      </c>
      <c r="Q729">
        <f t="shared" si="1000"/>
        <v>183724973</v>
      </c>
      <c r="R729">
        <f t="shared" si="1001"/>
        <v>569739874.46212304</v>
      </c>
      <c r="S729">
        <f t="shared" si="1002"/>
        <v>5697.3987446212304</v>
      </c>
      <c r="T729">
        <f t="shared" si="1003"/>
        <v>5.6973987446212302</v>
      </c>
    </row>
    <row r="730" spans="1:20" x14ac:dyDescent="0.25">
      <c r="A730" s="5">
        <v>43863</v>
      </c>
      <c r="B730">
        <v>1.7029999999999999E-4</v>
      </c>
      <c r="C730">
        <v>1.7550000000000001E-4</v>
      </c>
      <c r="D730">
        <v>1.6579999999999999E-4</v>
      </c>
      <c r="E730">
        <v>1.729E-4</v>
      </c>
      <c r="F730">
        <v>404153569</v>
      </c>
      <c r="G730">
        <v>0</v>
      </c>
      <c r="L730" t="s">
        <v>8</v>
      </c>
      <c r="M730" t="s">
        <v>7</v>
      </c>
      <c r="N730" t="s">
        <v>7</v>
      </c>
      <c r="P730">
        <f t="shared" si="999"/>
        <v>0.46391752577319506</v>
      </c>
      <c r="Q730">
        <f t="shared" si="1000"/>
        <v>187493923.76288626</v>
      </c>
      <c r="R730">
        <f t="shared" si="1001"/>
        <v>386014901.46212304</v>
      </c>
      <c r="S730">
        <f t="shared" si="1002"/>
        <v>3860.1490146212304</v>
      </c>
      <c r="T730">
        <f t="shared" si="1003"/>
        <v>3.8601490146212303</v>
      </c>
    </row>
    <row r="731" spans="1:20" x14ac:dyDescent="0.25">
      <c r="A731" s="5">
        <v>43862</v>
      </c>
      <c r="B731">
        <v>1.695E-4</v>
      </c>
      <c r="C731">
        <v>1.7139999999999999E-4</v>
      </c>
      <c r="D731">
        <v>1.6660000000000001E-4</v>
      </c>
      <c r="E731">
        <v>1.7039999999999999E-4</v>
      </c>
      <c r="F731">
        <v>115714744</v>
      </c>
      <c r="G731">
        <v>0</v>
      </c>
      <c r="L731" t="s">
        <v>7</v>
      </c>
      <c r="M731" t="s">
        <v>7</v>
      </c>
      <c r="N731" t="s">
        <v>7</v>
      </c>
      <c r="P731">
        <f t="shared" si="999"/>
        <v>0.58333333333333282</v>
      </c>
      <c r="Q731">
        <f t="shared" si="1000"/>
        <v>67500267.333333269</v>
      </c>
      <c r="R731">
        <f t="shared" si="1001"/>
        <v>198520977.69923675</v>
      </c>
      <c r="S731">
        <f t="shared" si="1002"/>
        <v>1985.2097769923676</v>
      </c>
      <c r="T731">
        <f t="shared" si="1003"/>
        <v>1.9852097769923676</v>
      </c>
    </row>
    <row r="732" spans="1:20" x14ac:dyDescent="0.25">
      <c r="A732" s="5">
        <v>43861</v>
      </c>
      <c r="B732">
        <v>1.694E-4</v>
      </c>
      <c r="C732">
        <v>1.74E-4</v>
      </c>
      <c r="D732">
        <v>1.651E-4</v>
      </c>
      <c r="E732">
        <v>1.695E-4</v>
      </c>
      <c r="F732">
        <v>258816053</v>
      </c>
      <c r="G732">
        <v>0</v>
      </c>
      <c r="L732" t="s">
        <v>8</v>
      </c>
      <c r="M732" t="s">
        <v>7</v>
      </c>
      <c r="N732" t="s">
        <v>7</v>
      </c>
      <c r="P732">
        <f t="shared" si="999"/>
        <v>-1.1235955056180049E-2</v>
      </c>
      <c r="Q732">
        <f t="shared" si="1000"/>
        <v>-2908045.5393259134</v>
      </c>
      <c r="R732">
        <f t="shared" si="1001"/>
        <v>131020710.36590348</v>
      </c>
      <c r="S732">
        <f t="shared" si="1002"/>
        <v>1310.2071036590348</v>
      </c>
      <c r="T732">
        <f t="shared" si="1003"/>
        <v>1.3102071036590348</v>
      </c>
    </row>
    <row r="733" spans="1:20" x14ac:dyDescent="0.25">
      <c r="A733" s="5">
        <v>43860</v>
      </c>
      <c r="B733">
        <v>1.618E-4</v>
      </c>
      <c r="C733">
        <v>1.7330000000000001E-4</v>
      </c>
      <c r="D733">
        <v>1.607E-4</v>
      </c>
      <c r="E733">
        <v>1.7100000000000001E-4</v>
      </c>
      <c r="F733">
        <v>264179033</v>
      </c>
      <c r="G733">
        <v>0</v>
      </c>
      <c r="L733" t="s">
        <v>7</v>
      </c>
      <c r="M733" t="s">
        <v>7</v>
      </c>
      <c r="N733" t="s">
        <v>7</v>
      </c>
      <c r="P733">
        <f t="shared" si="999"/>
        <v>0.63492063492063489</v>
      </c>
      <c r="Q733">
        <f t="shared" si="1000"/>
        <v>167732719.36507934</v>
      </c>
      <c r="R733">
        <f t="shared" si="1001"/>
        <v>133928755.90522939</v>
      </c>
      <c r="S733">
        <f t="shared" si="1002"/>
        <v>1339.287559052294</v>
      </c>
      <c r="T733">
        <f t="shared" si="1003"/>
        <v>1.3392875590522939</v>
      </c>
    </row>
    <row r="734" spans="1:20" x14ac:dyDescent="0.25">
      <c r="A734" s="5">
        <v>43859</v>
      </c>
      <c r="B734">
        <v>1.7239999999999999E-4</v>
      </c>
      <c r="C734">
        <v>1.7239999999999999E-4</v>
      </c>
      <c r="D734">
        <v>1.6129999999999999E-4</v>
      </c>
      <c r="E734">
        <v>1.617E-4</v>
      </c>
      <c r="F734">
        <v>453284607</v>
      </c>
      <c r="G734">
        <v>0</v>
      </c>
      <c r="L734" t="s">
        <v>8</v>
      </c>
      <c r="M734" t="s">
        <v>7</v>
      </c>
      <c r="N734" t="s">
        <v>7</v>
      </c>
      <c r="P734">
        <f t="shared" si="999"/>
        <v>-0.92792792792792622</v>
      </c>
      <c r="Q734">
        <f t="shared" si="1000"/>
        <v>-420615446.13513434</v>
      </c>
      <c r="R734">
        <f t="shared" si="1001"/>
        <v>-33803963.459849954</v>
      </c>
      <c r="S734">
        <f t="shared" si="1002"/>
        <v>-338.03963459849956</v>
      </c>
      <c r="T734">
        <f t="shared" si="1003"/>
        <v>-0.33803963459849956</v>
      </c>
    </row>
    <row r="735" spans="1:20" x14ac:dyDescent="0.25">
      <c r="A735" s="5">
        <v>43858</v>
      </c>
      <c r="B735">
        <v>1.728E-4</v>
      </c>
      <c r="C735">
        <v>1.774E-4</v>
      </c>
      <c r="D735">
        <v>1.6789999999999999E-4</v>
      </c>
      <c r="E735">
        <v>1.7239999999999999E-4</v>
      </c>
      <c r="F735">
        <v>223667625</v>
      </c>
      <c r="G735">
        <v>0</v>
      </c>
      <c r="L735" t="s">
        <v>7</v>
      </c>
      <c r="M735" t="s">
        <v>7</v>
      </c>
      <c r="N735" t="s">
        <v>7</v>
      </c>
      <c r="P735">
        <f t="shared" si="999"/>
        <v>-5.2631578947369625E-2</v>
      </c>
      <c r="Q735">
        <f t="shared" si="1000"/>
        <v>-11771980.263158165</v>
      </c>
      <c r="R735">
        <f t="shared" si="1001"/>
        <v>386811482.67528439</v>
      </c>
      <c r="S735">
        <f t="shared" si="1002"/>
        <v>3868.1148267528438</v>
      </c>
      <c r="T735">
        <f t="shared" si="1003"/>
        <v>3.8681148267528438</v>
      </c>
    </row>
    <row r="736" spans="1:20" x14ac:dyDescent="0.25">
      <c r="A736" s="5">
        <v>43857</v>
      </c>
      <c r="B736">
        <v>1.7090000000000001E-4</v>
      </c>
      <c r="C736">
        <v>1.774E-4</v>
      </c>
      <c r="D736">
        <v>1.6799999999999999E-4</v>
      </c>
      <c r="E736">
        <v>1.7110000000000001E-4</v>
      </c>
      <c r="F736">
        <v>235336956</v>
      </c>
      <c r="G736">
        <v>0</v>
      </c>
      <c r="L736" t="s">
        <v>8</v>
      </c>
      <c r="M736" t="s">
        <v>7</v>
      </c>
      <c r="N736" t="s">
        <v>7</v>
      </c>
      <c r="P736">
        <f t="shared" si="999"/>
        <v>-0.34042553191488995</v>
      </c>
      <c r="Q736">
        <f t="shared" si="1000"/>
        <v>-80114708.425531045</v>
      </c>
      <c r="R736">
        <f t="shared" si="1001"/>
        <v>398583462.93844253</v>
      </c>
      <c r="S736">
        <f t="shared" si="1002"/>
        <v>3985.8346293844252</v>
      </c>
      <c r="T736">
        <f t="shared" si="1003"/>
        <v>3.9858346293844251</v>
      </c>
    </row>
    <row r="737" spans="1:20" x14ac:dyDescent="0.25">
      <c r="A737" s="5">
        <v>43856</v>
      </c>
      <c r="B737">
        <v>1.66E-4</v>
      </c>
      <c r="C737">
        <v>1.7090000000000001E-4</v>
      </c>
      <c r="D737">
        <v>1.6589999999999999E-4</v>
      </c>
      <c r="E737">
        <v>1.7090000000000001E-4</v>
      </c>
      <c r="F737">
        <v>54157005</v>
      </c>
      <c r="G737">
        <v>0</v>
      </c>
      <c r="L737" t="s">
        <v>7</v>
      </c>
      <c r="M737" t="s">
        <v>7</v>
      </c>
      <c r="N737" t="s">
        <v>7</v>
      </c>
      <c r="P737">
        <f t="shared" si="999"/>
        <v>1</v>
      </c>
      <c r="Q737">
        <f t="shared" si="1000"/>
        <v>54157005</v>
      </c>
      <c r="R737">
        <f t="shared" si="1001"/>
        <v>478698171.36397356</v>
      </c>
      <c r="S737">
        <f t="shared" si="1002"/>
        <v>4786.981713639736</v>
      </c>
      <c r="T737">
        <f t="shared" si="1003"/>
        <v>4.7869817136397357</v>
      </c>
    </row>
    <row r="738" spans="1:20" x14ac:dyDescent="0.25">
      <c r="A738" s="5">
        <v>43855</v>
      </c>
      <c r="B738">
        <v>1.6919999999999999E-4</v>
      </c>
      <c r="C738">
        <v>1.7019999999999999E-4</v>
      </c>
      <c r="D738">
        <v>1.6459999999999999E-4</v>
      </c>
      <c r="E738">
        <v>1.682E-4</v>
      </c>
      <c r="F738">
        <v>72739841</v>
      </c>
      <c r="G738">
        <v>0</v>
      </c>
      <c r="L738" t="s">
        <v>8</v>
      </c>
      <c r="M738" t="s">
        <v>7</v>
      </c>
      <c r="N738" t="s">
        <v>7</v>
      </c>
      <c r="P738">
        <f t="shared" si="999"/>
        <v>0.28571428571428781</v>
      </c>
      <c r="Q738">
        <f t="shared" si="1000"/>
        <v>20782811.714285865</v>
      </c>
      <c r="R738">
        <f t="shared" si="1001"/>
        <v>424541166.36397356</v>
      </c>
      <c r="S738">
        <f t="shared" si="1002"/>
        <v>4245.4116636397357</v>
      </c>
      <c r="T738">
        <f t="shared" si="1003"/>
        <v>4.2454116636397359</v>
      </c>
    </row>
    <row r="739" spans="1:20" x14ac:dyDescent="0.25">
      <c r="A739" s="5">
        <v>43854</v>
      </c>
      <c r="B739">
        <v>1.674E-4</v>
      </c>
      <c r="C739">
        <v>1.7039999999999999E-4</v>
      </c>
      <c r="D739">
        <v>1.6200000000000001E-4</v>
      </c>
      <c r="E739">
        <v>1.6899999999999999E-4</v>
      </c>
      <c r="F739">
        <v>199921289</v>
      </c>
      <c r="G739">
        <v>0</v>
      </c>
      <c r="L739" t="s">
        <v>7</v>
      </c>
      <c r="M739" t="s">
        <v>7</v>
      </c>
      <c r="N739" t="s">
        <v>7</v>
      </c>
      <c r="P739">
        <f t="shared" si="999"/>
        <v>0.66666666666666452</v>
      </c>
      <c r="Q739">
        <f t="shared" si="1000"/>
        <v>133280859.33333291</v>
      </c>
      <c r="R739">
        <f t="shared" si="1001"/>
        <v>403758354.64968771</v>
      </c>
      <c r="S739">
        <f t="shared" si="1002"/>
        <v>4037.5835464968773</v>
      </c>
      <c r="T739">
        <f t="shared" si="1003"/>
        <v>4.0375835464968777</v>
      </c>
    </row>
    <row r="740" spans="1:20" x14ac:dyDescent="0.25">
      <c r="A740" s="5">
        <v>43853</v>
      </c>
      <c r="B740">
        <v>1.6899999999999999E-4</v>
      </c>
      <c r="C740">
        <v>1.705E-4</v>
      </c>
      <c r="D740">
        <v>1.6249999999999999E-4</v>
      </c>
      <c r="E740">
        <v>1.674E-4</v>
      </c>
      <c r="F740">
        <v>120198884</v>
      </c>
      <c r="G740">
        <v>0</v>
      </c>
      <c r="L740" t="s">
        <v>8</v>
      </c>
      <c r="M740" t="s">
        <v>7</v>
      </c>
      <c r="N740" t="s">
        <v>7</v>
      </c>
      <c r="P740">
        <f t="shared" si="999"/>
        <v>0.22500000000000195</v>
      </c>
      <c r="Q740">
        <f t="shared" si="1000"/>
        <v>27044748.900000233</v>
      </c>
      <c r="R740">
        <f t="shared" si="1001"/>
        <v>270477495.31635481</v>
      </c>
      <c r="S740">
        <f t="shared" si="1002"/>
        <v>2704.7749531635482</v>
      </c>
      <c r="T740">
        <f t="shared" si="1003"/>
        <v>2.7047749531635481</v>
      </c>
    </row>
    <row r="741" spans="1:20" x14ac:dyDescent="0.25">
      <c r="A741" s="5">
        <v>43852</v>
      </c>
      <c r="B741">
        <v>1.707E-4</v>
      </c>
      <c r="C741">
        <v>1.7229999999999999E-4</v>
      </c>
      <c r="D741">
        <v>1.682E-4</v>
      </c>
      <c r="E741">
        <v>1.6890000000000001E-4</v>
      </c>
      <c r="F741">
        <v>124156525</v>
      </c>
      <c r="G741">
        <v>0</v>
      </c>
      <c r="L741" t="s">
        <v>7</v>
      </c>
      <c r="M741" t="s">
        <v>8</v>
      </c>
      <c r="N741" t="s">
        <v>7</v>
      </c>
      <c r="P741">
        <f t="shared" si="999"/>
        <v>-0.65853658536584458</v>
      </c>
      <c r="Q741">
        <f t="shared" si="1000"/>
        <v>-81761614.024389118</v>
      </c>
      <c r="R741">
        <f t="shared" si="1001"/>
        <v>243432746.41635457</v>
      </c>
      <c r="S741">
        <f t="shared" si="1002"/>
        <v>2434.3274641635458</v>
      </c>
      <c r="T741">
        <f t="shared" si="1003"/>
        <v>2.434327464163546</v>
      </c>
    </row>
    <row r="742" spans="1:20" x14ac:dyDescent="0.25">
      <c r="A742" s="5">
        <v>43851</v>
      </c>
      <c r="B742">
        <v>1.674E-4</v>
      </c>
      <c r="C742">
        <v>1.7259999999999999E-4</v>
      </c>
      <c r="D742">
        <v>1.651E-4</v>
      </c>
      <c r="E742">
        <v>1.707E-4</v>
      </c>
      <c r="F742">
        <v>126211368</v>
      </c>
      <c r="G742">
        <v>0</v>
      </c>
      <c r="L742" t="s">
        <v>8</v>
      </c>
      <c r="M742" t="s">
        <v>8</v>
      </c>
      <c r="N742" t="s">
        <v>7</v>
      </c>
      <c r="P742">
        <f t="shared" si="999"/>
        <v>0.49333333333333496</v>
      </c>
      <c r="Q742">
        <f t="shared" si="1000"/>
        <v>62264274.880000204</v>
      </c>
      <c r="R742">
        <f t="shared" si="1001"/>
        <v>325194360.44074368</v>
      </c>
      <c r="S742">
        <f t="shared" si="1002"/>
        <v>3251.9436044074369</v>
      </c>
      <c r="T742">
        <f t="shared" si="1003"/>
        <v>3.2519436044074368</v>
      </c>
    </row>
    <row r="743" spans="1:20" x14ac:dyDescent="0.25">
      <c r="A743" s="5">
        <v>43850</v>
      </c>
      <c r="B743">
        <v>1.7129999999999999E-4</v>
      </c>
      <c r="C743">
        <v>1.7220000000000001E-4</v>
      </c>
      <c r="D743">
        <v>1.65E-4</v>
      </c>
      <c r="E743">
        <v>1.6909999999999999E-4</v>
      </c>
      <c r="F743">
        <v>170126674</v>
      </c>
      <c r="G743">
        <v>0</v>
      </c>
      <c r="L743" t="s">
        <v>7</v>
      </c>
      <c r="M743" t="s">
        <v>8</v>
      </c>
      <c r="N743" t="s">
        <v>7</v>
      </c>
      <c r="P743">
        <f t="shared" si="999"/>
        <v>0.13888888888888451</v>
      </c>
      <c r="Q743">
        <f t="shared" si="1000"/>
        <v>23628704.722221479</v>
      </c>
      <c r="R743">
        <f t="shared" si="1001"/>
        <v>262930085.56074351</v>
      </c>
      <c r="S743">
        <f t="shared" si="1002"/>
        <v>2629.3008556074351</v>
      </c>
      <c r="T743">
        <f t="shared" si="1003"/>
        <v>2.6293008556074353</v>
      </c>
    </row>
    <row r="744" spans="1:20" x14ac:dyDescent="0.25">
      <c r="A744" s="5">
        <v>43849</v>
      </c>
      <c r="B744">
        <v>1.7799999999999999E-4</v>
      </c>
      <c r="C744">
        <v>1.8009999999999999E-4</v>
      </c>
      <c r="D744">
        <v>1.6699999999999999E-4</v>
      </c>
      <c r="E744">
        <v>1.7129999999999999E-4</v>
      </c>
      <c r="F744">
        <v>247924366</v>
      </c>
      <c r="G744">
        <v>0</v>
      </c>
      <c r="L744" t="s">
        <v>8</v>
      </c>
      <c r="M744" t="s">
        <v>8</v>
      </c>
      <c r="N744" t="s">
        <v>7</v>
      </c>
      <c r="P744">
        <f t="shared" si="999"/>
        <v>-0.34351145038167963</v>
      </c>
      <c r="Q744">
        <f t="shared" si="1000"/>
        <v>-85164858.549618378</v>
      </c>
      <c r="R744">
        <f t="shared" si="1001"/>
        <v>239301380.83852202</v>
      </c>
      <c r="S744">
        <f t="shared" si="1002"/>
        <v>2393.0138083852203</v>
      </c>
      <c r="T744">
        <f t="shared" si="1003"/>
        <v>2.3930138083852204</v>
      </c>
    </row>
    <row r="745" spans="1:20" x14ac:dyDescent="0.25">
      <c r="A745" s="5">
        <v>43848</v>
      </c>
      <c r="B745">
        <v>1.7890000000000001E-4</v>
      </c>
      <c r="C745">
        <v>1.8090000000000001E-4</v>
      </c>
      <c r="D745">
        <v>1.7430000000000001E-4</v>
      </c>
      <c r="E745">
        <v>1.762E-4</v>
      </c>
      <c r="F745">
        <v>234308005</v>
      </c>
      <c r="G745">
        <v>0</v>
      </c>
      <c r="L745" t="s">
        <v>7</v>
      </c>
      <c r="M745" t="s">
        <v>8</v>
      </c>
      <c r="N745" t="s">
        <v>7</v>
      </c>
      <c r="P745">
        <f t="shared" si="999"/>
        <v>-0.42424242424242647</v>
      </c>
      <c r="Q745">
        <f t="shared" si="1000"/>
        <v>-99403396.060606584</v>
      </c>
      <c r="R745">
        <f t="shared" si="1001"/>
        <v>324466239.38814038</v>
      </c>
      <c r="S745">
        <f t="shared" si="1002"/>
        <v>3244.6623938814037</v>
      </c>
      <c r="T745">
        <f t="shared" si="1003"/>
        <v>3.2446623938814039</v>
      </c>
    </row>
    <row r="746" spans="1:20" x14ac:dyDescent="0.25">
      <c r="A746" s="5">
        <v>43847</v>
      </c>
      <c r="B746">
        <v>1.7249999999999999E-4</v>
      </c>
      <c r="C746">
        <v>1.8489999999999999E-4</v>
      </c>
      <c r="D746">
        <v>1.7139999999999999E-4</v>
      </c>
      <c r="E746">
        <v>1.7689999999999999E-4</v>
      </c>
      <c r="F746">
        <v>438520285</v>
      </c>
      <c r="G746">
        <v>0</v>
      </c>
      <c r="L746" t="s">
        <v>8</v>
      </c>
      <c r="M746" t="s">
        <v>8</v>
      </c>
      <c r="N746" t="s">
        <v>7</v>
      </c>
      <c r="P746">
        <f t="shared" si="999"/>
        <v>-0.18518518518518562</v>
      </c>
      <c r="Q746">
        <f t="shared" si="1000"/>
        <v>-81207460.185185373</v>
      </c>
      <c r="R746">
        <f t="shared" si="1001"/>
        <v>423869635.44874698</v>
      </c>
      <c r="S746">
        <f t="shared" si="1002"/>
        <v>4238.6963544874698</v>
      </c>
      <c r="T746">
        <f t="shared" si="1003"/>
        <v>4.2386963544874696</v>
      </c>
    </row>
    <row r="747" spans="1:20" x14ac:dyDescent="0.25">
      <c r="A747" s="5">
        <v>43846</v>
      </c>
      <c r="B747">
        <v>1.839E-4</v>
      </c>
      <c r="C747">
        <v>1.895E-4</v>
      </c>
      <c r="D747">
        <v>1.7100000000000001E-4</v>
      </c>
      <c r="E747">
        <v>1.7110000000000001E-4</v>
      </c>
      <c r="F747">
        <v>313257788</v>
      </c>
      <c r="G747">
        <v>0</v>
      </c>
      <c r="L747" t="s">
        <v>7</v>
      </c>
      <c r="M747" t="s">
        <v>8</v>
      </c>
      <c r="N747" t="s">
        <v>7</v>
      </c>
      <c r="P747">
        <f t="shared" si="999"/>
        <v>-0.98918918918918897</v>
      </c>
      <c r="Q747">
        <f t="shared" si="1000"/>
        <v>-309871217.31891882</v>
      </c>
      <c r="R747">
        <f t="shared" si="1001"/>
        <v>505077095.63393235</v>
      </c>
      <c r="S747">
        <f t="shared" si="1002"/>
        <v>5050.7709563393237</v>
      </c>
      <c r="T747">
        <f t="shared" si="1003"/>
        <v>5.0507709563393233</v>
      </c>
    </row>
    <row r="748" spans="1:20" x14ac:dyDescent="0.25">
      <c r="A748" s="5">
        <v>43845</v>
      </c>
      <c r="B748">
        <v>1.7100000000000001E-4</v>
      </c>
      <c r="C748">
        <v>1.84E-4</v>
      </c>
      <c r="D748">
        <v>1.6530000000000001E-4</v>
      </c>
      <c r="E748">
        <v>1.839E-4</v>
      </c>
      <c r="F748">
        <v>656572297</v>
      </c>
      <c r="G748">
        <v>0</v>
      </c>
      <c r="L748" t="s">
        <v>8</v>
      </c>
      <c r="M748" t="s">
        <v>8</v>
      </c>
      <c r="N748" t="s">
        <v>7</v>
      </c>
      <c r="P748">
        <f t="shared" si="999"/>
        <v>0.98930481283422433</v>
      </c>
      <c r="Q748">
        <f t="shared" si="1000"/>
        <v>649550133.39572179</v>
      </c>
      <c r="R748">
        <f t="shared" si="1001"/>
        <v>814948312.95285118</v>
      </c>
      <c r="S748">
        <f t="shared" si="1002"/>
        <v>8149.4831295285121</v>
      </c>
      <c r="T748">
        <f t="shared" si="1003"/>
        <v>8.1494831295285124</v>
      </c>
    </row>
    <row r="749" spans="1:20" x14ac:dyDescent="0.25">
      <c r="A749" s="5">
        <v>43844</v>
      </c>
      <c r="B749">
        <v>1.616E-4</v>
      </c>
      <c r="C749">
        <v>1.7780000000000001E-4</v>
      </c>
      <c r="D749">
        <v>1.615E-4</v>
      </c>
      <c r="E749">
        <v>1.7100000000000001E-4</v>
      </c>
      <c r="F749">
        <v>577498011</v>
      </c>
      <c r="G749">
        <v>0</v>
      </c>
      <c r="L749" t="s">
        <v>7</v>
      </c>
      <c r="M749" t="s">
        <v>7</v>
      </c>
      <c r="N749" t="s">
        <v>7</v>
      </c>
      <c r="P749">
        <f t="shared" si="999"/>
        <v>0.16564417177914165</v>
      </c>
      <c r="Q749">
        <f t="shared" si="1000"/>
        <v>95659179.736196637</v>
      </c>
      <c r="R749">
        <f t="shared" si="1001"/>
        <v>165398179.55712938</v>
      </c>
      <c r="S749">
        <f t="shared" si="1002"/>
        <v>1653.9817955712938</v>
      </c>
      <c r="T749">
        <f t="shared" si="1003"/>
        <v>1.6539817955712939</v>
      </c>
    </row>
    <row r="750" spans="1:20" x14ac:dyDescent="0.25">
      <c r="A750" s="5">
        <v>43843</v>
      </c>
      <c r="B750">
        <v>1.6139999999999999E-4</v>
      </c>
      <c r="C750">
        <v>1.6249999999999999E-4</v>
      </c>
      <c r="D750">
        <v>1.585E-4</v>
      </c>
      <c r="E750">
        <v>1.6190000000000001E-4</v>
      </c>
      <c r="F750">
        <v>125711826</v>
      </c>
      <c r="G750">
        <v>0</v>
      </c>
      <c r="L750" t="s">
        <v>8</v>
      </c>
      <c r="M750" t="s">
        <v>7</v>
      </c>
      <c r="N750" t="s">
        <v>7</v>
      </c>
      <c r="P750">
        <f t="shared" si="999"/>
        <v>0.7000000000000054</v>
      </c>
      <c r="Q750">
        <f t="shared" si="1000"/>
        <v>87998278.200000674</v>
      </c>
      <c r="R750">
        <f t="shared" si="1001"/>
        <v>69738999.820932761</v>
      </c>
      <c r="S750">
        <f t="shared" si="1002"/>
        <v>697.38999820932759</v>
      </c>
      <c r="T750">
        <f t="shared" si="1003"/>
        <v>0.69738999820932757</v>
      </c>
    </row>
    <row r="751" spans="1:20" x14ac:dyDescent="0.25">
      <c r="A751" s="5">
        <v>43842</v>
      </c>
      <c r="B751">
        <v>1.593E-4</v>
      </c>
      <c r="C751">
        <v>1.6249999999999999E-4</v>
      </c>
      <c r="D751">
        <v>1.572E-4</v>
      </c>
      <c r="E751">
        <v>1.6129999999999999E-4</v>
      </c>
      <c r="F751">
        <v>171468110</v>
      </c>
      <c r="G751">
        <v>0</v>
      </c>
      <c r="L751" t="s">
        <v>7</v>
      </c>
      <c r="M751" t="s">
        <v>7</v>
      </c>
      <c r="N751" t="s">
        <v>7</v>
      </c>
      <c r="P751">
        <f t="shared" si="999"/>
        <v>0.54716981132075337</v>
      </c>
      <c r="Q751">
        <f t="shared" si="1000"/>
        <v>93822173.396226183</v>
      </c>
      <c r="R751">
        <f t="shared" si="1001"/>
        <v>-18259278.379067913</v>
      </c>
      <c r="S751">
        <f t="shared" si="1002"/>
        <v>-182.59278379067914</v>
      </c>
      <c r="T751">
        <f t="shared" si="1003"/>
        <v>-0.18259278379067914</v>
      </c>
    </row>
    <row r="752" spans="1:20" x14ac:dyDescent="0.25">
      <c r="A752" s="5">
        <v>43841</v>
      </c>
      <c r="B752">
        <v>1.617E-4</v>
      </c>
      <c r="C752">
        <v>1.638E-4</v>
      </c>
      <c r="D752">
        <v>1.593E-4</v>
      </c>
      <c r="E752">
        <v>1.6000000000000001E-4</v>
      </c>
      <c r="F752">
        <v>189321824</v>
      </c>
      <c r="G752">
        <v>0</v>
      </c>
      <c r="L752" t="s">
        <v>8</v>
      </c>
      <c r="M752" t="s">
        <v>7</v>
      </c>
      <c r="N752" t="s">
        <v>7</v>
      </c>
      <c r="P752">
        <f t="shared" si="999"/>
        <v>-0.68888888888888145</v>
      </c>
      <c r="Q752">
        <f t="shared" si="1000"/>
        <v>-130421700.97777636</v>
      </c>
      <c r="R752">
        <f t="shared" si="1001"/>
        <v>-112081451.7752941</v>
      </c>
      <c r="S752">
        <f t="shared" si="1002"/>
        <v>-1120.8145177529409</v>
      </c>
      <c r="T752">
        <f t="shared" si="1003"/>
        <v>-1.1208145177529409</v>
      </c>
    </row>
    <row r="753" spans="1:20" x14ac:dyDescent="0.25">
      <c r="A753" s="5">
        <v>43840</v>
      </c>
      <c r="B753">
        <v>1.571E-4</v>
      </c>
      <c r="C753">
        <v>1.6220000000000001E-4</v>
      </c>
      <c r="D753">
        <v>1.5540000000000001E-4</v>
      </c>
      <c r="E753">
        <v>1.617E-4</v>
      </c>
      <c r="F753">
        <v>112632976</v>
      </c>
      <c r="G753">
        <v>0</v>
      </c>
      <c r="L753" t="s">
        <v>7</v>
      </c>
      <c r="M753" t="s">
        <v>7</v>
      </c>
      <c r="N753" t="s">
        <v>7</v>
      </c>
      <c r="P753">
        <f t="shared" si="999"/>
        <v>0.85294117647058476</v>
      </c>
      <c r="Q753">
        <f t="shared" si="1000"/>
        <v>96069303.058823138</v>
      </c>
      <c r="R753">
        <f t="shared" si="1001"/>
        <v>18340249.202482268</v>
      </c>
      <c r="S753">
        <f t="shared" si="1002"/>
        <v>183.40249202482269</v>
      </c>
      <c r="T753">
        <f t="shared" si="1003"/>
        <v>0.1834024920248227</v>
      </c>
    </row>
    <row r="754" spans="1:20" x14ac:dyDescent="0.25">
      <c r="A754" s="5">
        <v>43839</v>
      </c>
      <c r="B754">
        <v>1.5750000000000001E-4</v>
      </c>
      <c r="C754">
        <v>1.585E-4</v>
      </c>
      <c r="D754">
        <v>1.5410000000000001E-4</v>
      </c>
      <c r="E754">
        <v>1.5650000000000001E-4</v>
      </c>
      <c r="F754">
        <v>76774976</v>
      </c>
      <c r="G754">
        <v>0</v>
      </c>
      <c r="L754" t="s">
        <v>8</v>
      </c>
      <c r="M754" t="s">
        <v>7</v>
      </c>
      <c r="N754" t="s">
        <v>7</v>
      </c>
      <c r="P754">
        <f t="shared" si="999"/>
        <v>9.0909090909093146E-2</v>
      </c>
      <c r="Q754">
        <f t="shared" si="1000"/>
        <v>6979543.2727274448</v>
      </c>
      <c r="R754">
        <f t="shared" si="1001"/>
        <v>-77729053.85634087</v>
      </c>
      <c r="S754">
        <f t="shared" si="1002"/>
        <v>-777.29053856340875</v>
      </c>
      <c r="T754">
        <f t="shared" si="1003"/>
        <v>-0.77729053856340879</v>
      </c>
    </row>
    <row r="755" spans="1:20" x14ac:dyDescent="0.25">
      <c r="A755" s="5">
        <v>43838</v>
      </c>
      <c r="B755">
        <v>1.6090000000000001E-4</v>
      </c>
      <c r="C755">
        <v>1.6699999999999999E-4</v>
      </c>
      <c r="D755">
        <v>1.5589999999999999E-4</v>
      </c>
      <c r="E755">
        <v>1.5870000000000001E-4</v>
      </c>
      <c r="F755">
        <v>380116242</v>
      </c>
      <c r="G755">
        <v>0</v>
      </c>
      <c r="L755" t="s">
        <v>7</v>
      </c>
      <c r="M755" t="s">
        <v>7</v>
      </c>
      <c r="N755" t="s">
        <v>7</v>
      </c>
      <c r="P755">
        <f t="shared" si="999"/>
        <v>-0.49549549549549293</v>
      </c>
      <c r="Q755">
        <f t="shared" si="1000"/>
        <v>-188345885.67567471</v>
      </c>
      <c r="R755">
        <f t="shared" si="1001"/>
        <v>-84708597.129068315</v>
      </c>
      <c r="S755">
        <f t="shared" si="1002"/>
        <v>-847.08597129068312</v>
      </c>
      <c r="T755">
        <f t="shared" si="1003"/>
        <v>-0.84708597129068308</v>
      </c>
    </row>
    <row r="756" spans="1:20" x14ac:dyDescent="0.25">
      <c r="A756" s="5">
        <v>43837</v>
      </c>
      <c r="B756">
        <v>1.641E-4</v>
      </c>
      <c r="C756">
        <v>1.6589999999999999E-4</v>
      </c>
      <c r="D756">
        <v>1.5809999999999999E-4</v>
      </c>
      <c r="E756">
        <v>1.6110000000000001E-4</v>
      </c>
      <c r="F756">
        <v>255427551</v>
      </c>
      <c r="G756">
        <v>0</v>
      </c>
      <c r="L756" t="s">
        <v>8</v>
      </c>
      <c r="M756" t="s">
        <v>7</v>
      </c>
      <c r="N756" t="s">
        <v>7</v>
      </c>
      <c r="P756">
        <f t="shared" si="999"/>
        <v>-0.23076923076922595</v>
      </c>
      <c r="Q756">
        <f t="shared" si="1000"/>
        <v>-58944819.461537234</v>
      </c>
      <c r="R756">
        <f t="shared" si="1001"/>
        <v>103637288.54660639</v>
      </c>
      <c r="S756">
        <f t="shared" si="1002"/>
        <v>1036.372885466064</v>
      </c>
      <c r="T756">
        <f t="shared" si="1003"/>
        <v>1.0363728854660639</v>
      </c>
    </row>
    <row r="757" spans="1:20" x14ac:dyDescent="0.25">
      <c r="A757" s="5">
        <v>43836</v>
      </c>
      <c r="B757">
        <v>1.6339999999999999E-4</v>
      </c>
      <c r="C757">
        <v>1.6799999999999999E-4</v>
      </c>
      <c r="D757">
        <v>1.6019999999999999E-4</v>
      </c>
      <c r="E757">
        <v>1.64E-4</v>
      </c>
      <c r="F757">
        <v>284047893</v>
      </c>
      <c r="G757">
        <v>0</v>
      </c>
      <c r="L757" t="s">
        <v>7</v>
      </c>
      <c r="M757" t="s">
        <v>7</v>
      </c>
      <c r="N757" t="s">
        <v>7</v>
      </c>
      <c r="P757">
        <f t="shared" si="999"/>
        <v>-2.5641025641022788E-2</v>
      </c>
      <c r="Q757">
        <f t="shared" si="1000"/>
        <v>-7283279.3076914977</v>
      </c>
      <c r="R757">
        <f t="shared" si="1001"/>
        <v>162582108.00814363</v>
      </c>
      <c r="S757">
        <f t="shared" si="1002"/>
        <v>1625.8210800814363</v>
      </c>
      <c r="T757">
        <f t="shared" si="1003"/>
        <v>1.6258210800814363</v>
      </c>
    </row>
    <row r="758" spans="1:20" x14ac:dyDescent="0.25">
      <c r="A758" s="5">
        <v>43835</v>
      </c>
      <c r="B758">
        <v>1.6679999999999999E-4</v>
      </c>
      <c r="C758">
        <v>1.695E-4</v>
      </c>
      <c r="D758">
        <v>1.6310000000000001E-4</v>
      </c>
      <c r="E758">
        <v>1.639E-4</v>
      </c>
      <c r="F758">
        <v>163372199</v>
      </c>
      <c r="G758">
        <v>0</v>
      </c>
      <c r="L758" t="s">
        <v>8</v>
      </c>
      <c r="M758" t="s">
        <v>7</v>
      </c>
      <c r="N758" t="s">
        <v>7</v>
      </c>
      <c r="P758">
        <f t="shared" si="999"/>
        <v>-0.75000000000000211</v>
      </c>
      <c r="Q758">
        <f t="shared" si="1000"/>
        <v>-122529149.25000034</v>
      </c>
      <c r="R758">
        <f t="shared" si="1001"/>
        <v>169865387.31583512</v>
      </c>
      <c r="S758">
        <f t="shared" si="1002"/>
        <v>1698.6538731583512</v>
      </c>
      <c r="T758">
        <f t="shared" si="1003"/>
        <v>1.6986538731583511</v>
      </c>
    </row>
    <row r="759" spans="1:20" x14ac:dyDescent="0.25">
      <c r="A759" s="5">
        <v>43834</v>
      </c>
      <c r="B759">
        <v>1.6469999999999999E-4</v>
      </c>
      <c r="C759">
        <v>1.695E-4</v>
      </c>
      <c r="D759">
        <v>1.6229999999999999E-4</v>
      </c>
      <c r="E759">
        <v>1.6679999999999999E-4</v>
      </c>
      <c r="F759">
        <v>181557817</v>
      </c>
      <c r="G759">
        <v>0</v>
      </c>
      <c r="L759" t="s">
        <v>7</v>
      </c>
      <c r="M759" t="s">
        <v>7</v>
      </c>
      <c r="N759" t="s">
        <v>7</v>
      </c>
      <c r="P759">
        <f t="shared" si="999"/>
        <v>0.24999999999999811</v>
      </c>
      <c r="Q759">
        <f t="shared" si="1000"/>
        <v>45389454.249999657</v>
      </c>
      <c r="R759">
        <f t="shared" si="1001"/>
        <v>292394536.56583548</v>
      </c>
      <c r="S759">
        <f t="shared" si="1002"/>
        <v>2923.9453656583546</v>
      </c>
      <c r="T759">
        <f t="shared" si="1003"/>
        <v>2.9239453656583545</v>
      </c>
    </row>
    <row r="760" spans="1:20" x14ac:dyDescent="0.25">
      <c r="A760" s="5">
        <v>43833</v>
      </c>
      <c r="B760">
        <v>1.5760000000000001E-4</v>
      </c>
      <c r="C760">
        <v>1.6479999999999999E-4</v>
      </c>
      <c r="D760">
        <v>1.5440000000000001E-4</v>
      </c>
      <c r="E760">
        <v>1.6469999999999999E-4</v>
      </c>
      <c r="F760">
        <v>229678219</v>
      </c>
      <c r="G760">
        <v>0</v>
      </c>
      <c r="L760" t="s">
        <v>8</v>
      </c>
      <c r="M760" t="s">
        <v>7</v>
      </c>
      <c r="N760" t="s">
        <v>7</v>
      </c>
      <c r="P760">
        <f t="shared" si="999"/>
        <v>0.98076923076923028</v>
      </c>
      <c r="Q760">
        <f t="shared" si="1000"/>
        <v>225261330.17307681</v>
      </c>
      <c r="R760">
        <f t="shared" si="1001"/>
        <v>247005082.3158358</v>
      </c>
      <c r="S760">
        <f t="shared" si="1002"/>
        <v>2470.0508231583581</v>
      </c>
      <c r="T760">
        <f t="shared" si="1003"/>
        <v>2.470050823158358</v>
      </c>
    </row>
    <row r="761" spans="1:20" x14ac:dyDescent="0.25">
      <c r="A761" s="5">
        <v>43832</v>
      </c>
      <c r="B761">
        <v>1.5789999999999999E-4</v>
      </c>
      <c r="C761">
        <v>1.629E-4</v>
      </c>
      <c r="D761">
        <v>1.5129999999999999E-4</v>
      </c>
      <c r="E761">
        <v>1.5860000000000001E-4</v>
      </c>
      <c r="F761">
        <v>308451799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0.25862068965517376</v>
      </c>
      <c r="Q761">
        <f t="shared" si="1000"/>
        <v>79772016.982759044</v>
      </c>
      <c r="R761">
        <f t="shared" si="1001"/>
        <v>21743752.142758995</v>
      </c>
      <c r="S761">
        <f t="shared" si="1002"/>
        <v>217.43752142758996</v>
      </c>
      <c r="T761">
        <f t="shared" si="1003"/>
        <v>0.21743752142758996</v>
      </c>
    </row>
    <row r="762" spans="1:20" x14ac:dyDescent="0.25">
      <c r="A762" s="5">
        <v>43831</v>
      </c>
      <c r="B762">
        <v>1.5689999999999999E-4</v>
      </c>
      <c r="C762">
        <v>1.617E-4</v>
      </c>
      <c r="D762">
        <v>1.5669999999999999E-4</v>
      </c>
      <c r="E762">
        <v>1.5789999999999999E-4</v>
      </c>
      <c r="F762">
        <v>111592817</v>
      </c>
      <c r="G762">
        <v>0</v>
      </c>
      <c r="P762">
        <f t="shared" si="999"/>
        <v>-0.52000000000000046</v>
      </c>
      <c r="Q762">
        <f t="shared" si="1000"/>
        <v>-58028264.840000048</v>
      </c>
      <c r="R762">
        <f t="shared" si="1001"/>
        <v>-58028264.840000048</v>
      </c>
      <c r="S762">
        <f t="shared" si="1002"/>
        <v>-580.28264840000054</v>
      </c>
      <c r="T762">
        <f t="shared" si="1003"/>
        <v>-0.58028264840000054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8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7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WB890" sqref="WB890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6" hidden="1" customWidth="1"/>
    <col min="7" max="1378" width="3" style="26" customWidth="1"/>
  </cols>
  <sheetData>
    <row r="1" spans="1:21" x14ac:dyDescent="0.25">
      <c r="A1" s="15"/>
      <c r="B1"/>
      <c r="C1"/>
      <c r="D1" s="16"/>
      <c r="E1" s="16"/>
      <c r="S1" s="26" t="s">
        <v>7</v>
      </c>
      <c r="U1" s="26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$A$889</v>
      </c>
      <c r="D111" s="1" t="str">
        <f>ADDRESS(C121-1,D121,1,1)</f>
        <v>$WB$889</v>
      </c>
      <c r="E111"/>
    </row>
    <row r="112" spans="1:5" x14ac:dyDescent="0.25">
      <c r="A112" s="7">
        <v>12164.144957890772</v>
      </c>
      <c r="C112" s="1" t="str">
        <f>ADDRESS(C121,1,1,1)</f>
        <v>$A$890</v>
      </c>
      <c r="D112" s="1" t="str">
        <f>ADDRESS(C121,D121-1,1,1)</f>
        <v>$WA$890</v>
      </c>
      <c r="E112"/>
    </row>
    <row r="113" spans="1:5" x14ac:dyDescent="0.25">
      <c r="A113" s="7">
        <v>11925.63231165762</v>
      </c>
      <c r="C113" s="1" t="str">
        <f>ADDRESS(C121+1,1,1,1)</f>
        <v>$A$891</v>
      </c>
      <c r="D113" s="1" t="str">
        <f>ADDRESS(C121-1,D121+1,1,1)</f>
        <v>$WC$889</v>
      </c>
    </row>
    <row r="114" spans="1:5" x14ac:dyDescent="0.25">
      <c r="A114" s="7">
        <v>11691.796383978059</v>
      </c>
      <c r="C114" s="1" t="str">
        <f>ADDRESS(C121,D121,1,1)</f>
        <v>$WB$890</v>
      </c>
      <c r="D114" s="1" t="str">
        <f>ADDRESS(C121+1,D121+1,1,1)</f>
        <v>$WC$891</v>
      </c>
    </row>
    <row r="115" spans="1:5" x14ac:dyDescent="0.25">
      <c r="A115" s="7">
        <v>11462.545474488292</v>
      </c>
      <c r="C115" s="1" t="str">
        <f>ADDRESS(C121+1,D121,1,1)</f>
        <v>$WB$891</v>
      </c>
    </row>
    <row r="116" spans="1:5" x14ac:dyDescent="0.25">
      <c r="A116" s="7">
        <v>11237.789680870874</v>
      </c>
      <c r="C116" s="1">
        <f>C117-1</f>
        <v>889</v>
      </c>
    </row>
    <row r="117" spans="1:5" x14ac:dyDescent="0.25">
      <c r="A117" s="7">
        <v>11017.440863598895</v>
      </c>
      <c r="C117" s="1">
        <f>C121</f>
        <v>890</v>
      </c>
      <c r="D117" s="1">
        <f>D121</f>
        <v>600</v>
      </c>
    </row>
    <row r="118" spans="1:5" x14ac:dyDescent="0.25">
      <c r="A118" s="7">
        <v>10801.412611371465</v>
      </c>
      <c r="C118" s="1">
        <f>C117+1</f>
        <v>891</v>
      </c>
      <c r="D118" s="1">
        <f>D117+1</f>
        <v>601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890</v>
      </c>
      <c r="D121" s="19">
        <v>600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R890</v>
      </c>
      <c r="D123" s="1" t="str">
        <f>"C"&amp;D121</f>
        <v>C600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2.4782662135298603E-3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8" t="s">
        <v>8</v>
      </c>
    </row>
    <row r="588" spans="1:6" x14ac:dyDescent="0.25">
      <c r="A588" s="7">
        <v>0.98039215686274506</v>
      </c>
      <c r="B588"/>
      <c r="C588"/>
      <c r="D588"/>
      <c r="E588"/>
      <c r="F588" s="26" t="s">
        <v>7</v>
      </c>
    </row>
    <row r="589" spans="1:6" x14ac:dyDescent="0.25">
      <c r="A589" s="7">
        <v>0.96116878123798544</v>
      </c>
      <c r="B589"/>
      <c r="C589"/>
      <c r="D589"/>
      <c r="E589"/>
      <c r="F589" s="26" t="s">
        <v>7</v>
      </c>
    </row>
    <row r="590" spans="1:6" x14ac:dyDescent="0.25">
      <c r="A590" s="7">
        <v>0.94232233454704462</v>
      </c>
      <c r="B590"/>
      <c r="C590"/>
      <c r="D590"/>
      <c r="E590"/>
      <c r="F590" s="26" t="s">
        <v>7</v>
      </c>
    </row>
    <row r="591" spans="1:6" x14ac:dyDescent="0.25">
      <c r="A591" s="7">
        <v>0.92384542602651432</v>
      </c>
      <c r="B591"/>
      <c r="C591"/>
      <c r="D591"/>
      <c r="E591"/>
      <c r="F591" s="26" t="s">
        <v>7</v>
      </c>
    </row>
    <row r="592" spans="1:6" x14ac:dyDescent="0.25">
      <c r="A592" s="7">
        <v>0.90573080982991594</v>
      </c>
      <c r="B592"/>
      <c r="C592"/>
      <c r="D592"/>
      <c r="E592"/>
      <c r="F592" s="26" t="s">
        <v>7</v>
      </c>
    </row>
    <row r="593" spans="1:6" x14ac:dyDescent="0.25">
      <c r="A593" s="7">
        <v>0.8879713821861922</v>
      </c>
      <c r="B593"/>
      <c r="C593"/>
      <c r="D593"/>
      <c r="E593"/>
      <c r="F593" s="26" t="s">
        <v>7</v>
      </c>
    </row>
    <row r="594" spans="1:6" x14ac:dyDescent="0.25">
      <c r="A594" s="7">
        <v>0.87056017861391399</v>
      </c>
      <c r="B594"/>
      <c r="C594"/>
      <c r="D594"/>
      <c r="E594"/>
      <c r="F594" s="26" t="s">
        <v>7</v>
      </c>
    </row>
    <row r="595" spans="1:6" x14ac:dyDescent="0.25">
      <c r="A595" s="7">
        <v>0.85349037119011173</v>
      </c>
      <c r="B595"/>
      <c r="C595"/>
      <c r="D595"/>
      <c r="E595"/>
      <c r="F595" s="26" t="s">
        <v>7</v>
      </c>
    </row>
    <row r="596" spans="1:6" x14ac:dyDescent="0.25">
      <c r="A596" s="7">
        <v>0.83675526587265858</v>
      </c>
      <c r="B596"/>
      <c r="C596"/>
      <c r="D596"/>
      <c r="E596"/>
      <c r="F596" s="26" t="s">
        <v>7</v>
      </c>
    </row>
    <row r="597" spans="1:6" x14ac:dyDescent="0.25">
      <c r="A597" s="7">
        <v>0.82034829987515545</v>
      </c>
      <c r="B597"/>
      <c r="C597"/>
      <c r="D597"/>
      <c r="E597"/>
      <c r="F597" s="26" t="s">
        <v>7</v>
      </c>
    </row>
    <row r="598" spans="1:6" x14ac:dyDescent="0.25">
      <c r="A598" s="7">
        <v>0.80426303909328967</v>
      </c>
      <c r="B598"/>
      <c r="C598"/>
      <c r="D598"/>
      <c r="E598"/>
      <c r="F598" s="26" t="s">
        <v>7</v>
      </c>
    </row>
    <row r="599" spans="1:6" x14ac:dyDescent="0.25">
      <c r="A599" s="7">
        <v>0.78849317558165644</v>
      </c>
      <c r="B599"/>
      <c r="C599"/>
      <c r="D599"/>
      <c r="E599"/>
      <c r="F599" s="26" t="s">
        <v>7</v>
      </c>
    </row>
    <row r="600" spans="1:6" x14ac:dyDescent="0.25">
      <c r="A600" s="7">
        <v>0.77303252508005538</v>
      </c>
      <c r="B600"/>
      <c r="C600"/>
      <c r="D600"/>
      <c r="E600"/>
      <c r="F600" s="26" t="s">
        <v>7</v>
      </c>
    </row>
    <row r="601" spans="1:6" x14ac:dyDescent="0.25">
      <c r="A601" s="7">
        <v>0.75787502458828959</v>
      </c>
      <c r="B601"/>
      <c r="C601"/>
      <c r="D601"/>
      <c r="E601"/>
      <c r="F601" s="26" t="s">
        <v>7</v>
      </c>
    </row>
    <row r="602" spans="1:6" x14ac:dyDescent="0.25">
      <c r="A602" s="7">
        <v>0.74301472998851925</v>
      </c>
      <c r="B602"/>
      <c r="C602"/>
      <c r="D602"/>
      <c r="E602"/>
      <c r="F602" s="26" t="s">
        <v>7</v>
      </c>
    </row>
    <row r="603" spans="1:6" x14ac:dyDescent="0.25">
      <c r="A603" s="7">
        <v>0.72844581371423456</v>
      </c>
      <c r="B603"/>
      <c r="C603"/>
      <c r="D603"/>
      <c r="E603"/>
      <c r="F603" s="26" t="s">
        <v>7</v>
      </c>
    </row>
    <row r="604" spans="1:6" x14ac:dyDescent="0.25">
      <c r="A604" s="7">
        <v>0.71416256246493581</v>
      </c>
      <c r="B604"/>
      <c r="C604"/>
      <c r="D604"/>
      <c r="E604"/>
      <c r="F604" s="26" t="s">
        <v>7</v>
      </c>
    </row>
    <row r="605" spans="1:6" x14ac:dyDescent="0.25">
      <c r="A605" s="7">
        <v>0.7001593749656233</v>
      </c>
      <c r="B605"/>
      <c r="C605"/>
      <c r="D605"/>
      <c r="E605"/>
      <c r="F605" s="26" t="s">
        <v>7</v>
      </c>
    </row>
    <row r="606" spans="1:6" x14ac:dyDescent="0.25">
      <c r="A606" s="7">
        <v>0.68643075977021883</v>
      </c>
      <c r="B606"/>
      <c r="C606"/>
      <c r="D606"/>
      <c r="E606"/>
      <c r="F606" s="26" t="s">
        <v>7</v>
      </c>
    </row>
    <row r="607" spans="1:6" x14ac:dyDescent="0.25">
      <c r="A607" s="7">
        <v>0.67297133310805768</v>
      </c>
      <c r="B607"/>
      <c r="C607"/>
      <c r="D607"/>
      <c r="E607"/>
      <c r="F607" s="26" t="s">
        <v>7</v>
      </c>
    </row>
    <row r="608" spans="1:6" x14ac:dyDescent="0.25">
      <c r="A608" s="7">
        <v>0.65977581677260566</v>
      </c>
      <c r="B608"/>
      <c r="C608"/>
      <c r="D608"/>
      <c r="E608"/>
      <c r="F608" s="26" t="s">
        <v>7</v>
      </c>
    </row>
    <row r="609" spans="1:6" x14ac:dyDescent="0.25">
      <c r="A609" s="7">
        <v>0.64683903605157422</v>
      </c>
      <c r="B609"/>
      <c r="C609"/>
      <c r="D609"/>
      <c r="E609"/>
      <c r="F609" s="26" t="s">
        <v>7</v>
      </c>
    </row>
    <row r="610" spans="1:6" x14ac:dyDescent="0.25">
      <c r="A610" s="7">
        <v>0.63415591769762181</v>
      </c>
      <c r="B610"/>
      <c r="C610"/>
      <c r="D610"/>
      <c r="E610"/>
      <c r="F610" s="26" t="s">
        <v>7</v>
      </c>
    </row>
    <row r="611" spans="1:6" x14ac:dyDescent="0.25">
      <c r="A611" s="7">
        <v>0.62172148793884496</v>
      </c>
      <c r="B611"/>
      <c r="C611"/>
      <c r="D611"/>
      <c r="E611"/>
      <c r="F611" s="26" t="s">
        <v>7</v>
      </c>
    </row>
    <row r="612" spans="1:6" x14ac:dyDescent="0.25">
      <c r="A612" s="7">
        <v>0.60953087052827937</v>
      </c>
      <c r="B612"/>
      <c r="C612"/>
      <c r="D612"/>
      <c r="E612"/>
      <c r="F612" s="26" t="s">
        <v>7</v>
      </c>
    </row>
    <row r="613" spans="1:6" x14ac:dyDescent="0.25">
      <c r="A613" s="7">
        <v>0.59757928483164646</v>
      </c>
      <c r="B613"/>
      <c r="C613"/>
      <c r="D613"/>
      <c r="E613"/>
      <c r="F613" s="26" t="s">
        <v>7</v>
      </c>
    </row>
    <row r="614" spans="1:6" x14ac:dyDescent="0.25">
      <c r="A614" s="7">
        <v>0.58586204395259456</v>
      </c>
      <c r="B614"/>
      <c r="C614"/>
      <c r="D614"/>
      <c r="E614"/>
      <c r="F614" s="26" t="s">
        <v>7</v>
      </c>
    </row>
    <row r="615" spans="1:6" x14ac:dyDescent="0.25">
      <c r="A615" s="7">
        <v>0.57437455289470052</v>
      </c>
      <c r="B615"/>
      <c r="C615"/>
      <c r="D615"/>
      <c r="E615"/>
      <c r="F615" s="26" t="s">
        <v>7</v>
      </c>
    </row>
    <row r="616" spans="1:6" x14ac:dyDescent="0.25">
      <c r="A616" s="7">
        <v>0.56311230675951029</v>
      </c>
      <c r="B616"/>
      <c r="C616"/>
      <c r="D616"/>
      <c r="E616"/>
      <c r="F616" s="26" t="s">
        <v>7</v>
      </c>
    </row>
    <row r="617" spans="1:6" x14ac:dyDescent="0.25">
      <c r="A617" s="7">
        <v>0.55207088897991208</v>
      </c>
      <c r="B617"/>
      <c r="C617"/>
      <c r="D617"/>
      <c r="E617"/>
      <c r="F617" s="26" t="s">
        <v>7</v>
      </c>
    </row>
    <row r="618" spans="1:6" x14ac:dyDescent="0.25">
      <c r="A618" s="7">
        <v>0.54124596958814908</v>
      </c>
      <c r="B618"/>
      <c r="C618"/>
      <c r="D618"/>
      <c r="E618"/>
      <c r="F618" s="26" t="s">
        <v>7</v>
      </c>
    </row>
    <row r="619" spans="1:6" x14ac:dyDescent="0.25">
      <c r="A619" s="7">
        <v>0.53063330351779314</v>
      </c>
      <c r="B619"/>
      <c r="C619"/>
      <c r="D619"/>
      <c r="E619"/>
      <c r="F619" s="26" t="s">
        <v>7</v>
      </c>
    </row>
    <row r="620" spans="1:6" x14ac:dyDescent="0.25">
      <c r="A620" s="7">
        <v>0.52022872893901284</v>
      </c>
      <c r="B620"/>
      <c r="C620"/>
      <c r="D620"/>
      <c r="E620"/>
      <c r="F620" s="26" t="s">
        <v>7</v>
      </c>
    </row>
    <row r="621" spans="1:6" x14ac:dyDescent="0.25">
      <c r="A621" s="7">
        <v>0.51002816562648323</v>
      </c>
      <c r="B621"/>
      <c r="C621"/>
      <c r="D621"/>
      <c r="E621"/>
      <c r="F621" s="26" t="s">
        <v>7</v>
      </c>
    </row>
    <row r="622" spans="1:6" x14ac:dyDescent="0.25">
      <c r="A622" s="7">
        <v>0.50002761335929735</v>
      </c>
      <c r="B622"/>
      <c r="C622"/>
      <c r="D622"/>
      <c r="E622"/>
      <c r="F622" s="26" t="s">
        <v>7</v>
      </c>
    </row>
    <row r="623" spans="1:6" x14ac:dyDescent="0.25">
      <c r="A623" s="7">
        <v>0.49022315035225228</v>
      </c>
      <c r="B623"/>
      <c r="C623"/>
      <c r="D623"/>
      <c r="E623"/>
      <c r="F623" s="26" t="s">
        <v>7</v>
      </c>
    </row>
    <row r="624" spans="1:6" x14ac:dyDescent="0.25">
      <c r="A624" s="7">
        <v>0.48061093171789437</v>
      </c>
      <c r="B624"/>
      <c r="C624"/>
      <c r="D624"/>
      <c r="E624"/>
      <c r="F624" s="26" t="s">
        <v>7</v>
      </c>
    </row>
    <row r="625" spans="1:6" x14ac:dyDescent="0.25">
      <c r="A625" s="7">
        <v>0.47118718795871994</v>
      </c>
      <c r="B625"/>
      <c r="C625"/>
      <c r="D625"/>
      <c r="E625"/>
      <c r="F625" s="26" t="s">
        <v>7</v>
      </c>
    </row>
    <row r="626" spans="1:6" x14ac:dyDescent="0.25">
      <c r="A626" s="7">
        <v>0.46194822348894116</v>
      </c>
      <c r="B626"/>
      <c r="C626"/>
      <c r="D626"/>
      <c r="E626"/>
      <c r="F626" s="26" t="s">
        <v>7</v>
      </c>
    </row>
    <row r="627" spans="1:6" x14ac:dyDescent="0.25">
      <c r="A627" s="7">
        <v>0.45289041518523643</v>
      </c>
      <c r="B627"/>
      <c r="C627"/>
      <c r="D627"/>
      <c r="E627"/>
      <c r="F627" s="26" t="s">
        <v>7</v>
      </c>
    </row>
    <row r="628" spans="1:6" x14ac:dyDescent="0.25">
      <c r="A628" s="7">
        <v>0.44401021096591808</v>
      </c>
      <c r="B628"/>
      <c r="C628"/>
      <c r="D628"/>
      <c r="E628"/>
      <c r="F628" s="26" t="s">
        <v>7</v>
      </c>
    </row>
    <row r="629" spans="1:6" x14ac:dyDescent="0.25">
      <c r="A629" s="7">
        <v>0.4353041283979589</v>
      </c>
      <c r="B629"/>
      <c r="C629"/>
      <c r="D629"/>
      <c r="E629"/>
      <c r="F629" s="26" t="s">
        <v>7</v>
      </c>
    </row>
    <row r="630" spans="1:6" x14ac:dyDescent="0.25">
      <c r="A630" s="7">
        <v>0.4267687533313323</v>
      </c>
      <c r="B630"/>
      <c r="C630"/>
      <c r="D630"/>
      <c r="E630"/>
      <c r="F630" s="26" t="s">
        <v>7</v>
      </c>
    </row>
    <row r="631" spans="1:6" x14ac:dyDescent="0.25">
      <c r="A631" s="7">
        <v>0.41840073856012971</v>
      </c>
      <c r="B631"/>
      <c r="C631"/>
      <c r="D631"/>
      <c r="E631"/>
      <c r="F631" s="26" t="s">
        <v>7</v>
      </c>
    </row>
    <row r="632" spans="1:6" x14ac:dyDescent="0.25">
      <c r="A632" s="7">
        <v>0.41019680250993112</v>
      </c>
      <c r="B632"/>
      <c r="C632"/>
      <c r="D632"/>
      <c r="E632"/>
      <c r="F632" s="26" t="s">
        <v>7</v>
      </c>
    </row>
    <row r="633" spans="1:6" x14ac:dyDescent="0.25">
      <c r="A633" s="7">
        <v>0.40215372795091286</v>
      </c>
      <c r="B633"/>
      <c r="C633"/>
      <c r="D633"/>
      <c r="E633"/>
      <c r="F633" s="26" t="s">
        <v>7</v>
      </c>
    </row>
    <row r="634" spans="1:6" x14ac:dyDescent="0.25">
      <c r="A634" s="7">
        <v>0.39426836073618904</v>
      </c>
      <c r="B634"/>
      <c r="C634"/>
      <c r="D634"/>
      <c r="E634"/>
      <c r="F634" s="26" t="s">
        <v>7</v>
      </c>
    </row>
    <row r="635" spans="1:6" x14ac:dyDescent="0.25">
      <c r="A635" s="7">
        <v>0.38653760856489122</v>
      </c>
      <c r="B635"/>
      <c r="C635"/>
      <c r="D635"/>
      <c r="E635"/>
      <c r="F635" s="26" t="s">
        <v>7</v>
      </c>
    </row>
    <row r="636" spans="1:6" x14ac:dyDescent="0.25">
      <c r="A636" s="7">
        <v>0.37895843976950117</v>
      </c>
      <c r="B636"/>
      <c r="C636"/>
      <c r="D636"/>
      <c r="E636"/>
      <c r="F636" s="26" t="s">
        <v>7</v>
      </c>
    </row>
    <row r="637" spans="1:6" x14ac:dyDescent="0.25">
      <c r="A637" s="7">
        <v>0.37152788212696197</v>
      </c>
      <c r="B637"/>
      <c r="C637"/>
      <c r="D637"/>
      <c r="E637"/>
      <c r="F637" s="26" t="s">
        <v>7</v>
      </c>
    </row>
    <row r="638" spans="1:6" x14ac:dyDescent="0.25">
      <c r="A638" s="7">
        <v>0.36424302169310002</v>
      </c>
      <c r="B638"/>
      <c r="C638"/>
      <c r="D638"/>
      <c r="E638"/>
      <c r="F638" s="26" t="s">
        <v>7</v>
      </c>
    </row>
    <row r="639" spans="1:6" x14ac:dyDescent="0.25">
      <c r="A639" s="7">
        <v>0.35710100165990194</v>
      </c>
      <c r="B639"/>
      <c r="C639"/>
      <c r="D639"/>
      <c r="E639"/>
      <c r="F639" s="26" t="s">
        <v>7</v>
      </c>
    </row>
    <row r="640" spans="1:6" x14ac:dyDescent="0.25">
      <c r="A640" s="7">
        <v>0.35009902123519804</v>
      </c>
      <c r="B640"/>
      <c r="C640"/>
      <c r="D640"/>
      <c r="E640"/>
      <c r="F640" s="26" t="s">
        <v>7</v>
      </c>
    </row>
    <row r="641" spans="1:6" x14ac:dyDescent="0.25">
      <c r="A641" s="7">
        <v>0.34323433454431179</v>
      </c>
      <c r="B641"/>
      <c r="C641"/>
      <c r="D641"/>
      <c r="E641"/>
      <c r="F641" s="26" t="s">
        <v>7</v>
      </c>
    </row>
    <row r="642" spans="1:6" x14ac:dyDescent="0.25">
      <c r="A642" s="7">
        <v>0.33650424955324681</v>
      </c>
      <c r="B642"/>
      <c r="C642"/>
      <c r="D642"/>
      <c r="E642"/>
      <c r="F642" s="26" t="s">
        <v>7</v>
      </c>
    </row>
    <row r="643" spans="1:6" x14ac:dyDescent="0.25">
      <c r="A643" s="7">
        <v>0.3299061270129871</v>
      </c>
      <c r="B643"/>
      <c r="C643"/>
      <c r="D643"/>
      <c r="E643"/>
      <c r="F643" s="26" t="s">
        <v>7</v>
      </c>
    </row>
    <row r="644" spans="1:6" x14ac:dyDescent="0.25">
      <c r="A644" s="7">
        <v>0.32343737942449713</v>
      </c>
      <c r="B644"/>
      <c r="C644"/>
      <c r="D644"/>
      <c r="E644"/>
      <c r="F644" s="26" t="s">
        <v>7</v>
      </c>
    </row>
    <row r="645" spans="1:6" x14ac:dyDescent="0.25">
      <c r="A645" s="7">
        <v>0.31709547002401678</v>
      </c>
      <c r="B645"/>
      <c r="C645"/>
      <c r="D645"/>
      <c r="E645"/>
      <c r="F645" s="26" t="s">
        <v>7</v>
      </c>
    </row>
    <row r="646" spans="1:6" x14ac:dyDescent="0.25">
      <c r="A646" s="7">
        <v>0.31087791178825175</v>
      </c>
      <c r="B646"/>
      <c r="C646"/>
      <c r="D646"/>
      <c r="E646"/>
      <c r="F646" s="26" t="s">
        <v>7</v>
      </c>
    </row>
    <row r="647" spans="1:6" x14ac:dyDescent="0.25">
      <c r="A647" s="7">
        <v>0.30478226645907036</v>
      </c>
      <c r="B647"/>
      <c r="C647"/>
      <c r="D647"/>
      <c r="E647"/>
      <c r="F647" s="26" t="s">
        <v>7</v>
      </c>
    </row>
    <row r="648" spans="1:6" x14ac:dyDescent="0.25">
      <c r="A648" s="7">
        <v>0.29880614358732388</v>
      </c>
      <c r="B648"/>
      <c r="C648"/>
      <c r="D648"/>
      <c r="E648"/>
      <c r="F648" s="26" t="s">
        <v>7</v>
      </c>
    </row>
    <row r="649" spans="1:6" x14ac:dyDescent="0.25">
      <c r="A649" s="7">
        <v>0.2929471995954156</v>
      </c>
      <c r="B649"/>
      <c r="C649"/>
      <c r="D649"/>
      <c r="E649"/>
      <c r="F649" s="26" t="s">
        <v>7</v>
      </c>
    </row>
    <row r="650" spans="1:6" x14ac:dyDescent="0.25">
      <c r="A650" s="7">
        <v>0.28720313685825055</v>
      </c>
      <c r="B650"/>
      <c r="C650"/>
      <c r="D650"/>
      <c r="E650"/>
      <c r="F650" s="26" t="s">
        <v>7</v>
      </c>
    </row>
    <row r="651" spans="1:6" x14ac:dyDescent="0.25">
      <c r="A651" s="7">
        <v>0.28157170280220645</v>
      </c>
      <c r="B651"/>
      <c r="C651"/>
      <c r="D651"/>
      <c r="E651"/>
      <c r="F651" s="26" t="s">
        <v>7</v>
      </c>
    </row>
    <row r="652" spans="1:6" x14ac:dyDescent="0.25">
      <c r="A652" s="7">
        <v>0.27605068902177105</v>
      </c>
      <c r="B652"/>
      <c r="C652"/>
      <c r="D652"/>
      <c r="E652"/>
      <c r="F652" s="26" t="s">
        <v>7</v>
      </c>
    </row>
    <row r="653" spans="1:6" x14ac:dyDescent="0.25">
      <c r="A653" s="7">
        <v>0.27063793041350104</v>
      </c>
      <c r="B653"/>
      <c r="C653"/>
      <c r="D653"/>
      <c r="E653"/>
      <c r="F653" s="26" t="s">
        <v>7</v>
      </c>
    </row>
    <row r="654" spans="1:6" x14ac:dyDescent="0.25">
      <c r="A654" s="7">
        <v>0.26533130432696184</v>
      </c>
      <c r="B654"/>
      <c r="C654"/>
      <c r="D654"/>
      <c r="E654"/>
      <c r="F654" s="26" t="s">
        <v>7</v>
      </c>
    </row>
    <row r="655" spans="1:6" x14ac:dyDescent="0.25">
      <c r="A655" s="7">
        <v>0.26012872973231554</v>
      </c>
      <c r="B655"/>
      <c r="C655"/>
      <c r="D655"/>
      <c r="E655"/>
      <c r="F655" s="26" t="s">
        <v>7</v>
      </c>
    </row>
    <row r="656" spans="1:6" x14ac:dyDescent="0.25">
      <c r="A656" s="7">
        <v>0.25502816640423093</v>
      </c>
      <c r="B656"/>
      <c r="C656"/>
      <c r="D656"/>
      <c r="E656"/>
      <c r="F656" s="26" t="s">
        <v>7</v>
      </c>
    </row>
    <row r="657" spans="1:6" x14ac:dyDescent="0.25">
      <c r="A657" s="7">
        <v>0.25002761412179503</v>
      </c>
      <c r="B657"/>
      <c r="C657"/>
      <c r="D657"/>
      <c r="E657"/>
      <c r="F657" s="26" t="s">
        <v>7</v>
      </c>
    </row>
    <row r="658" spans="1:6" x14ac:dyDescent="0.25">
      <c r="A658" s="7">
        <v>0.24512511188411276</v>
      </c>
      <c r="B658"/>
      <c r="C658"/>
      <c r="D658"/>
      <c r="E658"/>
      <c r="F658" s="26" t="s">
        <v>7</v>
      </c>
    </row>
    <row r="659" spans="1:6" x14ac:dyDescent="0.25">
      <c r="A659" s="7">
        <v>0.24031873714128701</v>
      </c>
      <c r="B659"/>
      <c r="C659"/>
      <c r="D659"/>
      <c r="E659"/>
      <c r="F659" s="26" t="s">
        <v>7</v>
      </c>
    </row>
    <row r="660" spans="1:6" x14ac:dyDescent="0.25">
      <c r="A660" s="7">
        <v>0.23560660504047748</v>
      </c>
      <c r="B660"/>
      <c r="C660"/>
      <c r="D660"/>
      <c r="E660"/>
      <c r="F660" s="26" t="s">
        <v>7</v>
      </c>
    </row>
    <row r="661" spans="1:6" x14ac:dyDescent="0.25">
      <c r="A661" s="7">
        <v>0.23098686768674265</v>
      </c>
      <c r="B661"/>
      <c r="C661"/>
      <c r="D661"/>
      <c r="E661"/>
      <c r="F661" s="26" t="s">
        <v>7</v>
      </c>
    </row>
    <row r="662" spans="1:6" x14ac:dyDescent="0.25">
      <c r="A662" s="7">
        <v>0.22645771341837515</v>
      </c>
      <c r="B662"/>
      <c r="C662"/>
      <c r="D662"/>
      <c r="E662"/>
      <c r="F662" s="26" t="s">
        <v>7</v>
      </c>
    </row>
    <row r="663" spans="1:6" x14ac:dyDescent="0.25">
      <c r="A663" s="7">
        <v>0.22201736609644623</v>
      </c>
      <c r="B663"/>
      <c r="C663"/>
      <c r="D663"/>
      <c r="E663"/>
      <c r="F663" s="26" t="s">
        <v>7</v>
      </c>
    </row>
    <row r="664" spans="1:6" x14ac:dyDescent="0.25">
      <c r="A664" s="7">
        <v>0.21766408440828061</v>
      </c>
      <c r="B664"/>
      <c r="C664"/>
      <c r="D664"/>
      <c r="E664"/>
      <c r="F664" s="26" t="s">
        <v>7</v>
      </c>
    </row>
    <row r="665" spans="1:6" x14ac:dyDescent="0.25">
      <c r="A665" s="7">
        <v>0.21339616118458882</v>
      </c>
      <c r="B665"/>
      <c r="C665"/>
      <c r="D665"/>
      <c r="E665"/>
      <c r="F665" s="26" t="s">
        <v>7</v>
      </c>
    </row>
    <row r="666" spans="1:6" x14ac:dyDescent="0.25">
      <c r="A666" s="7">
        <v>0.20921192272998904</v>
      </c>
      <c r="B666"/>
      <c r="C666"/>
      <c r="D666"/>
      <c r="E666"/>
      <c r="F666" s="26" t="s">
        <v>7</v>
      </c>
    </row>
    <row r="667" spans="1:6" x14ac:dyDescent="0.25">
      <c r="A667" s="7">
        <v>0.20510972816665593</v>
      </c>
      <c r="B667"/>
      <c r="C667"/>
      <c r="D667"/>
      <c r="E667"/>
      <c r="F667" s="26" t="s">
        <v>7</v>
      </c>
    </row>
    <row r="668" spans="1:6" x14ac:dyDescent="0.25">
      <c r="A668" s="7">
        <v>0.20108796879083912</v>
      </c>
      <c r="B668"/>
      <c r="C668"/>
      <c r="D668"/>
      <c r="E668"/>
      <c r="F668" s="26" t="s">
        <v>7</v>
      </c>
    </row>
    <row r="669" spans="1:6" x14ac:dyDescent="0.25">
      <c r="A669" s="7">
        <v>0.19714506744199917</v>
      </c>
      <c r="B669"/>
      <c r="C669"/>
      <c r="D669"/>
      <c r="E669"/>
      <c r="F669" s="26" t="s">
        <v>7</v>
      </c>
    </row>
    <row r="670" spans="1:6" x14ac:dyDescent="0.25">
      <c r="A670" s="7">
        <v>0.19327947788431293</v>
      </c>
      <c r="B670"/>
      <c r="C670"/>
      <c r="D670"/>
      <c r="E670"/>
      <c r="F670" s="26" t="s">
        <v>7</v>
      </c>
    </row>
    <row r="671" spans="1:6" x14ac:dyDescent="0.25">
      <c r="A671" s="7">
        <v>0.18948968420030682</v>
      </c>
      <c r="B671"/>
      <c r="C671"/>
      <c r="D671"/>
      <c r="E671"/>
      <c r="F671" s="26" t="s">
        <v>7</v>
      </c>
    </row>
    <row r="672" spans="1:6" x14ac:dyDescent="0.25">
      <c r="A672" s="7">
        <v>0.18577420019637925</v>
      </c>
      <c r="B672"/>
      <c r="C672"/>
      <c r="D672"/>
      <c r="E672"/>
      <c r="F672" s="26" t="s">
        <v>7</v>
      </c>
    </row>
    <row r="673" spans="1:6" x14ac:dyDescent="0.25">
      <c r="A673" s="7">
        <v>0.18213156881997963</v>
      </c>
      <c r="B673"/>
      <c r="C673"/>
      <c r="D673"/>
      <c r="E673"/>
      <c r="F673" s="26" t="s">
        <v>7</v>
      </c>
    </row>
    <row r="674" spans="1:6" x14ac:dyDescent="0.25">
      <c r="A674" s="7">
        <v>0.17856036158821534</v>
      </c>
      <c r="B674"/>
      <c r="C674"/>
      <c r="D674"/>
      <c r="E674"/>
      <c r="F674" s="26" t="s">
        <v>7</v>
      </c>
    </row>
    <row r="675" spans="1:6" x14ac:dyDescent="0.25">
      <c r="A675" s="7">
        <v>0.17505917802766208</v>
      </c>
      <c r="B675"/>
      <c r="C675"/>
      <c r="D675"/>
      <c r="E675"/>
      <c r="F675" s="26" t="s">
        <v>7</v>
      </c>
    </row>
    <row r="676" spans="1:6" x14ac:dyDescent="0.25">
      <c r="A676" s="7">
        <v>0.17162664512515888</v>
      </c>
      <c r="B676"/>
      <c r="C676"/>
      <c r="D676"/>
      <c r="E676"/>
      <c r="F676" s="26" t="s">
        <v>7</v>
      </c>
    </row>
    <row r="677" spans="1:6" x14ac:dyDescent="0.25">
      <c r="A677" s="7">
        <v>0.16826141678937145</v>
      </c>
      <c r="B677"/>
      <c r="C677"/>
      <c r="D677"/>
      <c r="E677"/>
      <c r="F677" s="26" t="s">
        <v>7</v>
      </c>
    </row>
    <row r="678" spans="1:6" x14ac:dyDescent="0.25">
      <c r="A678" s="7">
        <v>0.16496217332291319</v>
      </c>
      <c r="B678"/>
      <c r="C678"/>
      <c r="D678"/>
      <c r="E678"/>
      <c r="F678" s="26" t="s">
        <v>7</v>
      </c>
    </row>
    <row r="679" spans="1:6" x14ac:dyDescent="0.25">
      <c r="A679" s="7">
        <v>0.16172762090481685</v>
      </c>
      <c r="B679"/>
      <c r="C679"/>
      <c r="D679"/>
      <c r="E679"/>
      <c r="F679" s="26" t="s">
        <v>7</v>
      </c>
    </row>
    <row r="680" spans="1:6" x14ac:dyDescent="0.25">
      <c r="A680" s="7">
        <v>0.15855649108315376</v>
      </c>
      <c r="B680"/>
      <c r="C680"/>
      <c r="D680"/>
      <c r="E680"/>
      <c r="F680" s="26" t="s">
        <v>7</v>
      </c>
    </row>
    <row r="681" spans="1:6" x14ac:dyDescent="0.25">
      <c r="A681" s="7">
        <v>0.15544754027760171</v>
      </c>
      <c r="B681"/>
      <c r="C681"/>
      <c r="D681"/>
      <c r="E681"/>
      <c r="F681" s="26" t="s">
        <v>7</v>
      </c>
    </row>
    <row r="682" spans="1:6" x14ac:dyDescent="0.25">
      <c r="A682" s="7">
        <v>0.15239954929176638</v>
      </c>
      <c r="B682"/>
      <c r="C682"/>
      <c r="D682"/>
      <c r="E682"/>
      <c r="F682" s="26" t="s">
        <v>7</v>
      </c>
    </row>
    <row r="683" spans="1:6" x14ac:dyDescent="0.25">
      <c r="A683" s="7">
        <v>0.14941132283506509</v>
      </c>
      <c r="B683"/>
      <c r="C683"/>
      <c r="D683"/>
      <c r="E683"/>
      <c r="F683" s="26" t="s">
        <v>7</v>
      </c>
    </row>
    <row r="684" spans="1:6" x14ac:dyDescent="0.25">
      <c r="A684" s="7">
        <v>0.14648168905398537</v>
      </c>
      <c r="B684"/>
      <c r="C684"/>
      <c r="D684"/>
      <c r="E684"/>
      <c r="F684" s="26" t="s">
        <v>7</v>
      </c>
    </row>
    <row r="685" spans="1:6" x14ac:dyDescent="0.25">
      <c r="A685" s="7">
        <v>0.14360949907253467</v>
      </c>
      <c r="B685"/>
      <c r="C685"/>
      <c r="D685"/>
      <c r="E685"/>
      <c r="F685" s="26" t="s">
        <v>7</v>
      </c>
    </row>
    <row r="686" spans="1:6" x14ac:dyDescent="0.25">
      <c r="A686" s="7">
        <v>0.14079362654170066</v>
      </c>
      <c r="B686"/>
      <c r="C686"/>
      <c r="D686"/>
      <c r="E686"/>
      <c r="F686" s="26" t="s">
        <v>7</v>
      </c>
    </row>
    <row r="687" spans="1:6" x14ac:dyDescent="0.25">
      <c r="A687" s="7">
        <v>0.13803296719774574</v>
      </c>
      <c r="B687"/>
      <c r="C687"/>
      <c r="D687"/>
      <c r="E687"/>
      <c r="F687" s="26" t="s">
        <v>7</v>
      </c>
    </row>
    <row r="688" spans="1:6" x14ac:dyDescent="0.25">
      <c r="A688" s="7">
        <v>0.1353264384291625</v>
      </c>
      <c r="B688"/>
      <c r="C688"/>
      <c r="D688"/>
      <c r="E688"/>
      <c r="F688" s="26" t="s">
        <v>7</v>
      </c>
    </row>
    <row r="689" spans="1:6" x14ac:dyDescent="0.25">
      <c r="A689" s="7">
        <v>0.13267297885212009</v>
      </c>
      <c r="B689"/>
      <c r="C689"/>
      <c r="D689"/>
      <c r="E689"/>
      <c r="F689" s="26" t="s">
        <v>7</v>
      </c>
    </row>
    <row r="690" spans="1:6" x14ac:dyDescent="0.25">
      <c r="A690" s="7">
        <v>0.13007154789423539</v>
      </c>
      <c r="B690"/>
      <c r="C690"/>
      <c r="D690"/>
      <c r="E690"/>
      <c r="F690" s="26" t="s">
        <v>7</v>
      </c>
    </row>
    <row r="691" spans="1:6" x14ac:dyDescent="0.25">
      <c r="A691" s="7">
        <v>0.12752112538650529</v>
      </c>
      <c r="B691"/>
      <c r="C691"/>
      <c r="D691"/>
      <c r="E691"/>
      <c r="F691" s="26" t="s">
        <v>7</v>
      </c>
    </row>
    <row r="692" spans="1:6" x14ac:dyDescent="0.25">
      <c r="A692" s="7">
        <v>0.12502071116324048</v>
      </c>
      <c r="B692"/>
      <c r="C692"/>
      <c r="D692"/>
      <c r="E692"/>
      <c r="F692" s="26" t="s">
        <v>7</v>
      </c>
    </row>
    <row r="693" spans="1:6" x14ac:dyDescent="0.25">
      <c r="A693" s="7">
        <v>0.1225693246698436</v>
      </c>
      <c r="B693"/>
      <c r="C693"/>
      <c r="D693"/>
      <c r="E693"/>
      <c r="F693" s="26" t="s">
        <v>7</v>
      </c>
    </row>
    <row r="694" spans="1:6" x14ac:dyDescent="0.25">
      <c r="A694" s="7">
        <v>0.12016600457827803</v>
      </c>
      <c r="B694"/>
      <c r="C694"/>
      <c r="D694"/>
      <c r="E694"/>
      <c r="F694" s="26" t="s">
        <v>7</v>
      </c>
    </row>
    <row r="695" spans="1:6" x14ac:dyDescent="0.25">
      <c r="A695" s="7">
        <v>0.1178098084100765</v>
      </c>
      <c r="B695"/>
      <c r="C695"/>
      <c r="D695"/>
      <c r="E695"/>
      <c r="F695" s="26" t="s">
        <v>7</v>
      </c>
    </row>
    <row r="696" spans="1:6" x14ac:dyDescent="0.25">
      <c r="A696" s="7">
        <v>0.11549981216674166</v>
      </c>
      <c r="B696"/>
      <c r="C696"/>
      <c r="D696"/>
      <c r="E696"/>
      <c r="F696" s="26" t="s">
        <v>7</v>
      </c>
    </row>
    <row r="697" spans="1:6" x14ac:dyDescent="0.25">
      <c r="A697" s="7">
        <v>0.11323510996739378</v>
      </c>
      <c r="B697"/>
      <c r="C697"/>
      <c r="D697"/>
      <c r="E697"/>
      <c r="F697" s="26" t="s">
        <v>7</v>
      </c>
    </row>
    <row r="698" spans="1:6" x14ac:dyDescent="0.25">
      <c r="A698" s="7">
        <v>0.11101481369352331</v>
      </c>
      <c r="B698"/>
      <c r="C698"/>
      <c r="D698"/>
      <c r="E698"/>
      <c r="F698" s="26" t="s">
        <v>7</v>
      </c>
    </row>
    <row r="699" spans="1:6" x14ac:dyDescent="0.25">
      <c r="A699" s="7">
        <v>0.10883805264070913</v>
      </c>
      <c r="B699"/>
      <c r="C699"/>
      <c r="D699"/>
      <c r="E699"/>
      <c r="F699" s="26" t="s">
        <v>7</v>
      </c>
    </row>
    <row r="700" spans="1:6" x14ac:dyDescent="0.25">
      <c r="A700" s="7">
        <v>0.10670397317716582</v>
      </c>
      <c r="B700"/>
      <c r="C700"/>
      <c r="D700"/>
      <c r="E700"/>
      <c r="F700" s="26" t="s">
        <v>7</v>
      </c>
    </row>
    <row r="701" spans="1:6" x14ac:dyDescent="0.25">
      <c r="A701" s="7">
        <v>0.1046117384089861</v>
      </c>
      <c r="B701"/>
      <c r="C701"/>
      <c r="D701"/>
      <c r="E701"/>
      <c r="F701" s="26" t="s">
        <v>7</v>
      </c>
    </row>
    <row r="702" spans="1:6" x14ac:dyDescent="0.25">
      <c r="A702" s="7">
        <v>0.10256052785194716</v>
      </c>
      <c r="B702"/>
      <c r="C702"/>
      <c r="D702"/>
      <c r="E702"/>
      <c r="F702" s="26" t="s">
        <v>7</v>
      </c>
    </row>
    <row r="703" spans="1:6" x14ac:dyDescent="0.25">
      <c r="A703" s="7">
        <v>0.10054953710975212</v>
      </c>
      <c r="B703"/>
      <c r="C703"/>
      <c r="D703"/>
      <c r="E703"/>
      <c r="F703" s="26" t="s">
        <v>7</v>
      </c>
    </row>
    <row r="704" spans="1:6" x14ac:dyDescent="0.25">
      <c r="A704" s="7">
        <v>9.8577977558580512E-2</v>
      </c>
      <c r="B704"/>
      <c r="C704"/>
      <c r="D704"/>
      <c r="E704"/>
      <c r="F704" s="26" t="s">
        <v>7</v>
      </c>
    </row>
    <row r="705" spans="1:6" x14ac:dyDescent="0.25">
      <c r="A705" s="7">
        <v>9.6645076037824032E-2</v>
      </c>
      <c r="B705"/>
      <c r="C705"/>
      <c r="D705"/>
      <c r="E705"/>
      <c r="F705" s="26" t="s">
        <v>7</v>
      </c>
    </row>
    <row r="706" spans="1:6" x14ac:dyDescent="0.25">
      <c r="A706" s="7">
        <v>9.4750074546886304E-2</v>
      </c>
      <c r="B706"/>
      <c r="C706"/>
      <c r="D706"/>
      <c r="E706"/>
      <c r="F706" s="26" t="s">
        <v>7</v>
      </c>
    </row>
    <row r="707" spans="1:6" x14ac:dyDescent="0.25">
      <c r="A707" s="7">
        <v>9.2892229947927743E-2</v>
      </c>
      <c r="B707"/>
      <c r="C707"/>
      <c r="D707"/>
      <c r="E707"/>
      <c r="F707" s="26" t="s">
        <v>7</v>
      </c>
    </row>
    <row r="708" spans="1:6" x14ac:dyDescent="0.25">
      <c r="A708" s="7">
        <v>9.1070813674438963E-2</v>
      </c>
      <c r="B708"/>
      <c r="C708"/>
      <c r="D708"/>
      <c r="E708"/>
      <c r="F708" s="26" t="s">
        <v>7</v>
      </c>
    </row>
    <row r="709" spans="1:6" x14ac:dyDescent="0.25">
      <c r="A709" s="7">
        <v>8.9285111445528392E-2</v>
      </c>
      <c r="B709"/>
      <c r="C709"/>
      <c r="D709"/>
      <c r="E709"/>
      <c r="F709" s="26" t="s">
        <v>7</v>
      </c>
    </row>
    <row r="710" spans="1:6" x14ac:dyDescent="0.25">
      <c r="A710" s="7">
        <v>8.7534422985812155E-2</v>
      </c>
      <c r="B710"/>
      <c r="C710"/>
      <c r="D710"/>
      <c r="E710"/>
      <c r="F710" s="26" t="s">
        <v>7</v>
      </c>
    </row>
    <row r="711" spans="1:6" x14ac:dyDescent="0.25">
      <c r="A711" s="7">
        <v>8.5818061750796232E-2</v>
      </c>
      <c r="B711"/>
      <c r="C711"/>
      <c r="D711"/>
      <c r="E711"/>
      <c r="F711" s="26" t="s">
        <v>7</v>
      </c>
    </row>
    <row r="712" spans="1:6" x14ac:dyDescent="0.25">
      <c r="A712" s="7">
        <v>8.4135354657643366E-2</v>
      </c>
      <c r="B712"/>
      <c r="C712"/>
      <c r="D712"/>
      <c r="E712"/>
      <c r="F712" s="26" t="s">
        <v>7</v>
      </c>
    </row>
    <row r="713" spans="1:6" x14ac:dyDescent="0.25">
      <c r="A713" s="7">
        <v>8.248564182121898E-2</v>
      </c>
      <c r="B713"/>
      <c r="C713"/>
      <c r="D713"/>
      <c r="E713"/>
      <c r="F713" s="26" t="s">
        <v>7</v>
      </c>
    </row>
    <row r="714" spans="1:6" x14ac:dyDescent="0.25">
      <c r="A714" s="7">
        <v>8.0868276295312735E-2</v>
      </c>
      <c r="B714"/>
      <c r="C714"/>
      <c r="D714"/>
      <c r="E714"/>
      <c r="F714" s="26" t="s">
        <v>7</v>
      </c>
    </row>
    <row r="715" spans="1:6" x14ac:dyDescent="0.25">
      <c r="A715" s="7">
        <v>7.9282623818934056E-2</v>
      </c>
      <c r="B715"/>
      <c r="C715"/>
      <c r="D715"/>
      <c r="E715"/>
      <c r="F715" s="26" t="s">
        <v>7</v>
      </c>
    </row>
    <row r="716" spans="1:6" x14ac:dyDescent="0.25">
      <c r="A716" s="7">
        <v>7.7728062567582412E-2</v>
      </c>
      <c r="B716"/>
      <c r="C716"/>
      <c r="D716"/>
      <c r="E716"/>
      <c r="F716" s="26" t="s">
        <v>7</v>
      </c>
    </row>
    <row r="717" spans="1:6" x14ac:dyDescent="0.25">
      <c r="A717" s="7">
        <v>7.6203982909394521E-2</v>
      </c>
      <c r="B717"/>
      <c r="C717"/>
      <c r="D717"/>
      <c r="E717"/>
      <c r="F717" s="26" t="s">
        <v>7</v>
      </c>
    </row>
    <row r="718" spans="1:6" x14ac:dyDescent="0.25">
      <c r="A718" s="7">
        <v>7.4709787166073058E-2</v>
      </c>
      <c r="B718"/>
      <c r="C718"/>
      <c r="D718"/>
      <c r="E718"/>
      <c r="F718" s="26" t="s">
        <v>7</v>
      </c>
    </row>
    <row r="719" spans="1:6" x14ac:dyDescent="0.25">
      <c r="A719" s="7">
        <v>7.3244889378503E-2</v>
      </c>
      <c r="B719"/>
      <c r="C719"/>
      <c r="D719"/>
      <c r="E719"/>
      <c r="F719" s="26" t="s">
        <v>7</v>
      </c>
    </row>
    <row r="720" spans="1:6" x14ac:dyDescent="0.25">
      <c r="A720" s="7">
        <v>7.1808715076963722E-2</v>
      </c>
      <c r="B720"/>
      <c r="C720"/>
      <c r="D720"/>
      <c r="E720"/>
      <c r="F720" s="26" t="s">
        <v>7</v>
      </c>
    </row>
    <row r="721" spans="1:6" x14ac:dyDescent="0.25">
      <c r="A721" s="7">
        <v>7.0400701055846782E-2</v>
      </c>
      <c r="B721"/>
      <c r="C721"/>
      <c r="D721"/>
      <c r="E721"/>
      <c r="F721" s="26" t="s">
        <v>7</v>
      </c>
    </row>
    <row r="722" spans="1:6" x14ac:dyDescent="0.25">
      <c r="A722" s="7">
        <v>6.9020295152790956E-2</v>
      </c>
      <c r="B722"/>
      <c r="C722"/>
      <c r="D722"/>
      <c r="E722"/>
      <c r="F722" s="26" t="s">
        <v>7</v>
      </c>
    </row>
    <row r="723" spans="1:6" x14ac:dyDescent="0.25">
      <c r="A723" s="7">
        <v>6.7666956032147993E-2</v>
      </c>
      <c r="B723"/>
      <c r="C723"/>
      <c r="D723"/>
      <c r="E723"/>
      <c r="F723" s="26" t="s">
        <v>7</v>
      </c>
    </row>
    <row r="724" spans="1:6" x14ac:dyDescent="0.25">
      <c r="A724" s="7">
        <v>6.6340152972694105E-2</v>
      </c>
      <c r="B724"/>
      <c r="C724"/>
      <c r="D724"/>
      <c r="E724"/>
      <c r="F724" s="26" t="s">
        <v>7</v>
      </c>
    </row>
    <row r="725" spans="1:6" x14ac:dyDescent="0.25">
      <c r="A725" s="7">
        <v>6.5039365659504023E-2</v>
      </c>
      <c r="B725"/>
      <c r="C725"/>
      <c r="D725"/>
      <c r="E725"/>
      <c r="F725" s="26" t="s">
        <v>7</v>
      </c>
    </row>
    <row r="726" spans="1:6" x14ac:dyDescent="0.25">
      <c r="A726" s="7">
        <v>6.3764083979905906E-2</v>
      </c>
      <c r="B726"/>
      <c r="C726"/>
      <c r="D726"/>
      <c r="E726"/>
      <c r="F726" s="26" t="s">
        <v>7</v>
      </c>
    </row>
    <row r="727" spans="1:6" x14ac:dyDescent="0.25">
      <c r="A727" s="7">
        <v>6.251380782343717E-2</v>
      </c>
      <c r="B727"/>
      <c r="C727"/>
      <c r="D727"/>
      <c r="E727"/>
      <c r="F727" s="26" t="s">
        <v>7</v>
      </c>
    </row>
    <row r="728" spans="1:6" x14ac:dyDescent="0.25">
      <c r="A728" s="7">
        <v>6.1288046885722716E-2</v>
      </c>
      <c r="B728"/>
      <c r="C728"/>
      <c r="D728"/>
      <c r="E728"/>
      <c r="F728" s="26" t="s">
        <v>7</v>
      </c>
    </row>
    <row r="729" spans="1:6" x14ac:dyDescent="0.25">
      <c r="A729" s="7">
        <v>6.0086320476198739E-2</v>
      </c>
      <c r="B729"/>
      <c r="C729"/>
      <c r="D729"/>
      <c r="E729"/>
      <c r="F729" s="26" t="s">
        <v>7</v>
      </c>
    </row>
    <row r="730" spans="1:6" x14ac:dyDescent="0.25">
      <c r="A730" s="7">
        <v>5.8908157329606609E-2</v>
      </c>
      <c r="B730"/>
      <c r="C730"/>
      <c r="D730"/>
      <c r="E730"/>
      <c r="F730" s="26" t="s">
        <v>7</v>
      </c>
    </row>
    <row r="731" spans="1:6" x14ac:dyDescent="0.25">
      <c r="A731" s="7">
        <v>5.7753095421182947E-2</v>
      </c>
      <c r="B731"/>
      <c r="C731"/>
      <c r="D731"/>
      <c r="E731"/>
      <c r="F731" s="26" t="s">
        <v>7</v>
      </c>
    </row>
    <row r="732" spans="1:6" x14ac:dyDescent="0.25">
      <c r="A732" s="7">
        <v>5.6620681785473484E-2</v>
      </c>
      <c r="B732"/>
      <c r="C732"/>
      <c r="D732"/>
      <c r="E732"/>
      <c r="F732" s="26" t="s">
        <v>7</v>
      </c>
    </row>
    <row r="733" spans="1:6" x14ac:dyDescent="0.25">
      <c r="A733" s="7">
        <v>5.5510472338699497E-2</v>
      </c>
      <c r="B733"/>
      <c r="C733"/>
      <c r="D733"/>
      <c r="E733"/>
      <c r="F733" s="26" t="s">
        <v>7</v>
      </c>
    </row>
    <row r="734" spans="1:6" x14ac:dyDescent="0.25">
      <c r="A734" s="7">
        <v>5.4422031704607354E-2</v>
      </c>
      <c r="B734"/>
      <c r="C734"/>
      <c r="D734"/>
      <c r="E734"/>
      <c r="F734" s="26" t="s">
        <v>7</v>
      </c>
    </row>
    <row r="735" spans="1:6" x14ac:dyDescent="0.25">
      <c r="A735" s="7">
        <v>5.3354933043732705E-2</v>
      </c>
      <c r="B735"/>
      <c r="C735"/>
      <c r="D735"/>
      <c r="E735"/>
      <c r="F735" s="26" t="s">
        <v>7</v>
      </c>
    </row>
    <row r="736" spans="1:6" x14ac:dyDescent="0.25">
      <c r="A736" s="7">
        <v>5.2308757886012455E-2</v>
      </c>
      <c r="B736"/>
      <c r="C736"/>
      <c r="D736"/>
      <c r="E736"/>
      <c r="F736" s="26" t="s">
        <v>7</v>
      </c>
    </row>
    <row r="737" spans="1:6" x14ac:dyDescent="0.25">
      <c r="A737" s="7">
        <v>5.1283095966678877E-2</v>
      </c>
      <c r="B737"/>
      <c r="C737"/>
      <c r="D737"/>
      <c r="E737"/>
      <c r="F737" s="26" t="s">
        <v>7</v>
      </c>
    </row>
    <row r="738" spans="1:6" x14ac:dyDescent="0.25">
      <c r="A738" s="7">
        <v>5.0277545065371444E-2</v>
      </c>
      <c r="B738"/>
      <c r="C738"/>
      <c r="D738"/>
      <c r="E738"/>
      <c r="F738" s="26" t="s">
        <v>7</v>
      </c>
    </row>
    <row r="739" spans="1:6" x14ac:dyDescent="0.25">
      <c r="A739" s="7">
        <v>4.9291710848403378E-2</v>
      </c>
      <c r="B739"/>
      <c r="C739"/>
      <c r="D739"/>
      <c r="E739"/>
      <c r="F739" s="26" t="s">
        <v>7</v>
      </c>
    </row>
    <row r="740" spans="1:6" x14ac:dyDescent="0.25">
      <c r="A740" s="7">
        <v>4.8325206714120959E-2</v>
      </c>
      <c r="B740"/>
      <c r="C740"/>
      <c r="D740"/>
      <c r="E740"/>
      <c r="F740" s="26" t="s">
        <v>7</v>
      </c>
    </row>
    <row r="741" spans="1:6" x14ac:dyDescent="0.25">
      <c r="A741" s="7">
        <v>4.7377653641295057E-2</v>
      </c>
      <c r="B741"/>
      <c r="C741"/>
      <c r="D741"/>
      <c r="E741"/>
      <c r="F741" s="26" t="s">
        <v>7</v>
      </c>
    </row>
    <row r="742" spans="1:6" x14ac:dyDescent="0.25">
      <c r="A742" s="7">
        <v>4.644868004048535E-2</v>
      </c>
      <c r="B742"/>
      <c r="C742"/>
      <c r="D742"/>
      <c r="E742"/>
      <c r="F742" s="26" t="s">
        <v>7</v>
      </c>
    </row>
    <row r="743" spans="1:6" x14ac:dyDescent="0.25">
      <c r="A743" s="7">
        <v>4.5537921608318974E-2</v>
      </c>
      <c r="B743"/>
      <c r="C743"/>
      <c r="D743"/>
      <c r="E743"/>
      <c r="F743" s="26" t="s">
        <v>7</v>
      </c>
    </row>
    <row r="744" spans="1:6" x14ac:dyDescent="0.25">
      <c r="A744" s="7">
        <v>4.4645021184626446E-2</v>
      </c>
      <c r="B744"/>
      <c r="C744"/>
      <c r="D744"/>
      <c r="E744"/>
      <c r="F744" s="26" t="s">
        <v>7</v>
      </c>
    </row>
    <row r="745" spans="1:6" x14ac:dyDescent="0.25">
      <c r="A745" s="7">
        <v>4.3769628612378868E-2</v>
      </c>
      <c r="B745"/>
      <c r="C745"/>
      <c r="D745"/>
      <c r="E745"/>
      <c r="F745" s="26" t="s">
        <v>7</v>
      </c>
    </row>
    <row r="746" spans="1:6" x14ac:dyDescent="0.25">
      <c r="A746" s="7">
        <v>4.2911400600371442E-2</v>
      </c>
      <c r="B746"/>
      <c r="C746"/>
      <c r="D746"/>
      <c r="E746"/>
      <c r="F746" s="26" t="s">
        <v>7</v>
      </c>
    </row>
    <row r="747" spans="1:6" x14ac:dyDescent="0.25">
      <c r="A747" s="7">
        <v>4.2070000588599457E-2</v>
      </c>
      <c r="B747"/>
      <c r="C747"/>
      <c r="D747"/>
      <c r="E747"/>
      <c r="F747" s="26" t="s">
        <v>7</v>
      </c>
    </row>
    <row r="748" spans="1:6" x14ac:dyDescent="0.25">
      <c r="A748" s="7">
        <v>4.1245098616273977E-2</v>
      </c>
      <c r="B748"/>
      <c r="C748"/>
      <c r="D748"/>
      <c r="E748"/>
      <c r="F748" s="26" t="s">
        <v>7</v>
      </c>
    </row>
    <row r="749" spans="1:6" x14ac:dyDescent="0.25">
      <c r="A749" s="7">
        <v>4.043637119242547E-2</v>
      </c>
      <c r="B749"/>
      <c r="C749"/>
      <c r="D749"/>
      <c r="E749"/>
      <c r="F749" s="26" t="s">
        <v>7</v>
      </c>
    </row>
    <row r="750" spans="1:6" x14ac:dyDescent="0.25">
      <c r="A750" s="7">
        <v>3.9643501169044582E-2</v>
      </c>
      <c r="B750"/>
      <c r="C750"/>
      <c r="D750"/>
      <c r="E750"/>
      <c r="F750" s="26" t="s">
        <v>7</v>
      </c>
    </row>
    <row r="751" spans="1:6" x14ac:dyDescent="0.25">
      <c r="A751" s="7">
        <v>3.8866177616710372E-2</v>
      </c>
      <c r="B751"/>
      <c r="C751"/>
      <c r="D751"/>
      <c r="E751"/>
      <c r="F751" s="26" t="s">
        <v>7</v>
      </c>
    </row>
    <row r="752" spans="1:6" x14ac:dyDescent="0.25">
      <c r="A752" s="7">
        <v>3.8104095702657229E-2</v>
      </c>
      <c r="B752"/>
      <c r="C752"/>
      <c r="D752"/>
      <c r="E752"/>
      <c r="F752" s="26" t="s">
        <v>7</v>
      </c>
    </row>
    <row r="753" spans="1:6" x14ac:dyDescent="0.25">
      <c r="A753" s="7">
        <v>3.7356956571232579E-2</v>
      </c>
      <c r="B753"/>
      <c r="C753"/>
      <c r="D753"/>
      <c r="E753"/>
      <c r="F753" s="26" t="s">
        <v>7</v>
      </c>
    </row>
    <row r="754" spans="1:6" x14ac:dyDescent="0.25">
      <c r="A754" s="7">
        <v>3.6624467226698605E-2</v>
      </c>
      <c r="B754"/>
      <c r="C754"/>
      <c r="D754"/>
      <c r="E754"/>
      <c r="F754" s="26" t="s">
        <v>7</v>
      </c>
    </row>
    <row r="755" spans="1:6" x14ac:dyDescent="0.25">
      <c r="A755" s="7">
        <v>3.5906340418331961E-2</v>
      </c>
      <c r="B755"/>
      <c r="C755"/>
      <c r="D755"/>
      <c r="E755"/>
      <c r="F755" s="26" t="s">
        <v>7</v>
      </c>
    </row>
    <row r="756" spans="1:6" x14ac:dyDescent="0.25">
      <c r="A756" s="7">
        <v>3.5202294527776436E-2</v>
      </c>
      <c r="B756"/>
      <c r="C756"/>
      <c r="D756"/>
      <c r="E756"/>
      <c r="F756" s="26" t="s">
        <v>7</v>
      </c>
    </row>
    <row r="757" spans="1:6" x14ac:dyDescent="0.25">
      <c r="A757" s="7">
        <v>3.451205345860435E-2</v>
      </c>
      <c r="B757"/>
      <c r="C757"/>
      <c r="D757"/>
      <c r="E757"/>
      <c r="F757" s="26" t="s">
        <v>7</v>
      </c>
    </row>
    <row r="758" spans="1:6" x14ac:dyDescent="0.25">
      <c r="A758" s="7">
        <v>3.3835346528043479E-2</v>
      </c>
      <c r="B758"/>
      <c r="C758"/>
      <c r="D758"/>
      <c r="E758"/>
      <c r="F758" s="26" t="s">
        <v>7</v>
      </c>
    </row>
    <row r="759" spans="1:6" x14ac:dyDescent="0.25">
      <c r="A759" s="7">
        <v>3.3171908360826938E-2</v>
      </c>
      <c r="B759"/>
      <c r="C759"/>
      <c r="D759"/>
      <c r="E759"/>
      <c r="F759" s="26" t="s">
        <v>7</v>
      </c>
    </row>
    <row r="760" spans="1:6" x14ac:dyDescent="0.25">
      <c r="A760" s="7">
        <v>3.2521478785124451E-2</v>
      </c>
      <c r="B760"/>
      <c r="C760"/>
      <c r="D760"/>
      <c r="E760"/>
      <c r="F760" s="26" t="s">
        <v>7</v>
      </c>
    </row>
    <row r="761" spans="1:6" x14ac:dyDescent="0.25">
      <c r="A761" s="7">
        <v>3.1883802730514173E-2</v>
      </c>
      <c r="B761"/>
      <c r="C761"/>
      <c r="D761"/>
      <c r="E761"/>
      <c r="F761" s="26" t="s">
        <v>7</v>
      </c>
    </row>
    <row r="762" spans="1:6" x14ac:dyDescent="0.25">
      <c r="A762" s="7">
        <v>3.1258630127955073E-2</v>
      </c>
      <c r="B762"/>
      <c r="C762"/>
      <c r="D762"/>
      <c r="E762"/>
      <c r="F762" s="26" t="s">
        <v>7</v>
      </c>
    </row>
    <row r="763" spans="1:6" x14ac:dyDescent="0.25">
      <c r="A763" s="7">
        <v>3.064571581172066E-2</v>
      </c>
      <c r="B763"/>
      <c r="C763"/>
      <c r="D763"/>
      <c r="E763"/>
      <c r="F763" s="26" t="s">
        <v>7</v>
      </c>
    </row>
    <row r="764" spans="1:6" x14ac:dyDescent="0.25">
      <c r="A764" s="7">
        <v>3.0044819423255549E-2</v>
      </c>
      <c r="B764"/>
      <c r="C764"/>
      <c r="D764"/>
      <c r="E764"/>
      <c r="F764" s="26" t="s">
        <v>7</v>
      </c>
    </row>
    <row r="765" spans="1:6" x14ac:dyDescent="0.25">
      <c r="A765" s="7">
        <v>2.9455705316917203E-2</v>
      </c>
      <c r="B765"/>
      <c r="C765"/>
      <c r="D765"/>
      <c r="E765"/>
      <c r="F765" s="26" t="s">
        <v>7</v>
      </c>
    </row>
    <row r="766" spans="1:6" x14ac:dyDescent="0.25">
      <c r="A766" s="7">
        <v>2.8878142467565884E-2</v>
      </c>
      <c r="B766"/>
      <c r="C766"/>
      <c r="D766"/>
      <c r="E766"/>
      <c r="F766" s="26" t="s">
        <v>7</v>
      </c>
    </row>
    <row r="767" spans="1:6" x14ac:dyDescent="0.25">
      <c r="A767" s="7">
        <v>2.8311904379966554E-2</v>
      </c>
      <c r="B767"/>
      <c r="C767"/>
      <c r="D767"/>
      <c r="E767"/>
      <c r="F767" s="26" t="s">
        <v>7</v>
      </c>
    </row>
    <row r="768" spans="1:6" x14ac:dyDescent="0.25">
      <c r="A768" s="7">
        <v>2.7756768999967207E-2</v>
      </c>
      <c r="B768"/>
      <c r="C768"/>
      <c r="D768"/>
      <c r="E768"/>
      <c r="F768" s="26" t="s">
        <v>7</v>
      </c>
    </row>
    <row r="769" spans="1:442" x14ac:dyDescent="0.25">
      <c r="A769" s="7">
        <v>2.7212518627418834E-2</v>
      </c>
      <c r="B769"/>
      <c r="C769"/>
      <c r="D769"/>
      <c r="E769"/>
      <c r="F769" s="26" t="s">
        <v>7</v>
      </c>
    </row>
    <row r="770" spans="1:442" x14ac:dyDescent="0.25">
      <c r="A770" s="7">
        <v>2.6678939830802779E-2</v>
      </c>
      <c r="B770"/>
      <c r="C770"/>
      <c r="D770"/>
      <c r="E770"/>
      <c r="F770" s="26" t="s">
        <v>7</v>
      </c>
    </row>
    <row r="771" spans="1:442" x14ac:dyDescent="0.25">
      <c r="A771" s="7">
        <v>2.615582336353214E-2</v>
      </c>
      <c r="B771"/>
      <c r="C771"/>
      <c r="D771"/>
      <c r="E771"/>
      <c r="F771" s="26" t="s">
        <v>7</v>
      </c>
    </row>
    <row r="772" spans="1:442" x14ac:dyDescent="0.25">
      <c r="A772" s="7">
        <v>2.5642964081894253E-2</v>
      </c>
      <c r="B772"/>
      <c r="C772"/>
      <c r="D772"/>
      <c r="E772"/>
      <c r="F772" s="26" t="s">
        <v>7</v>
      </c>
    </row>
    <row r="773" spans="1:442" x14ac:dyDescent="0.25">
      <c r="A773" s="7">
        <v>2.5140160864602207E-2</v>
      </c>
      <c r="B773"/>
      <c r="C773"/>
      <c r="D773"/>
      <c r="E773"/>
      <c r="F773" s="26" t="s">
        <v>7</v>
      </c>
    </row>
    <row r="774" spans="1:442" x14ac:dyDescent="0.25">
      <c r="A774" s="7">
        <v>2.4647216533923735E-2</v>
      </c>
      <c r="B774"/>
      <c r="C774"/>
      <c r="D774"/>
      <c r="E774"/>
      <c r="F774" s="26" t="s">
        <v>7</v>
      </c>
    </row>
    <row r="775" spans="1:442" x14ac:dyDescent="0.25">
      <c r="A775" s="7">
        <v>2.4163937778356601E-2</v>
      </c>
      <c r="B775"/>
      <c r="C775"/>
      <c r="D775"/>
      <c r="E775"/>
      <c r="F775" s="26" t="s">
        <v>7</v>
      </c>
    </row>
    <row r="776" spans="1:442" x14ac:dyDescent="0.25">
      <c r="A776" s="7">
        <v>2.3690135076820197E-2</v>
      </c>
      <c r="B776"/>
      <c r="C776"/>
      <c r="D776"/>
      <c r="E776"/>
      <c r="F776" s="26" t="s">
        <v>7</v>
      </c>
    </row>
    <row r="777" spans="1:442" x14ac:dyDescent="0.25">
      <c r="A777" s="7">
        <v>2.3225622624333527E-2</v>
      </c>
      <c r="B777"/>
      <c r="C777"/>
      <c r="D777"/>
      <c r="E777"/>
      <c r="F777" s="26" t="s">
        <v>7</v>
      </c>
    </row>
    <row r="778" spans="1:442" x14ac:dyDescent="0.25">
      <c r="A778" s="7">
        <v>2.2770218259150519E-2</v>
      </c>
      <c r="B778"/>
      <c r="C778"/>
      <c r="D778"/>
      <c r="E778"/>
      <c r="F778" s="26" t="s">
        <v>7</v>
      </c>
    </row>
    <row r="779" spans="1:442" x14ac:dyDescent="0.25">
      <c r="A779" s="7">
        <v>2.2323743391324039E-2</v>
      </c>
      <c r="B779"/>
      <c r="C779"/>
      <c r="D779"/>
      <c r="E779"/>
      <c r="F779" s="26" t="s">
        <v>7</v>
      </c>
      <c r="PY779" s="26" t="s">
        <v>8</v>
      </c>
    </row>
    <row r="780" spans="1:442" x14ac:dyDescent="0.25">
      <c r="A780" s="7">
        <v>2.188602293267063E-2</v>
      </c>
      <c r="B780"/>
      <c r="C780"/>
      <c r="D780"/>
      <c r="E780"/>
      <c r="F780" s="26" t="s">
        <v>7</v>
      </c>
      <c r="PY780" s="26" t="s">
        <v>8</v>
      </c>
      <c r="PZ780" s="26" t="s">
        <v>7</v>
      </c>
    </row>
    <row r="781" spans="1:442" x14ac:dyDescent="0.25">
      <c r="A781" s="7">
        <v>2.1456885228108461E-2</v>
      </c>
      <c r="B781"/>
      <c r="C781"/>
      <c r="D781"/>
      <c r="E781"/>
      <c r="F781" s="26" t="s">
        <v>7</v>
      </c>
      <c r="PY781" s="26" t="s">
        <v>8</v>
      </c>
      <c r="PZ781" s="26" t="s">
        <v>7</v>
      </c>
    </row>
    <row r="782" spans="1:442" x14ac:dyDescent="0.25">
      <c r="A782" s="7">
        <v>2.1036161988341632E-2</v>
      </c>
      <c r="B782"/>
      <c r="C782"/>
      <c r="D782"/>
      <c r="E782"/>
      <c r="F782" s="26" t="s">
        <v>7</v>
      </c>
      <c r="PY782" s="26" t="s">
        <v>8</v>
      </c>
      <c r="PZ782" s="26" t="s">
        <v>7</v>
      </c>
    </row>
    <row r="783" spans="1:442" x14ac:dyDescent="0.25">
      <c r="A783" s="7">
        <v>2.0623688223864345E-2</v>
      </c>
      <c r="B783"/>
      <c r="C783"/>
      <c r="D783"/>
      <c r="E783"/>
      <c r="F783" s="26" t="s">
        <v>7</v>
      </c>
      <c r="PY783" s="26" t="s">
        <v>8</v>
      </c>
      <c r="PZ783" s="26" t="s">
        <v>7</v>
      </c>
    </row>
    <row r="784" spans="1:442" x14ac:dyDescent="0.25">
      <c r="A784" s="7">
        <v>2.021930218025916E-2</v>
      </c>
      <c r="B784"/>
      <c r="C784"/>
      <c r="D784"/>
      <c r="E784"/>
      <c r="F784" s="26" t="s">
        <v>7</v>
      </c>
      <c r="PY784" s="26" t="s">
        <v>8</v>
      </c>
      <c r="PZ784" s="26" t="s">
        <v>7</v>
      </c>
    </row>
    <row r="785" spans="1:445" x14ac:dyDescent="0.25">
      <c r="A785" s="7">
        <v>1.9822845274763884E-2</v>
      </c>
      <c r="B785"/>
      <c r="C785"/>
      <c r="D785"/>
      <c r="E785"/>
      <c r="F785" s="26" t="s">
        <v>7</v>
      </c>
      <c r="PY785" s="26" t="s">
        <v>8</v>
      </c>
      <c r="PZ785" s="26" t="s">
        <v>7</v>
      </c>
    </row>
    <row r="786" spans="1:445" x14ac:dyDescent="0.25">
      <c r="A786" s="7">
        <v>1.9434162034082238E-2</v>
      </c>
      <c r="B786"/>
      <c r="C786"/>
      <c r="D786"/>
      <c r="E786"/>
      <c r="F786" s="26" t="s">
        <v>7</v>
      </c>
      <c r="PY786" s="26" t="s">
        <v>8</v>
      </c>
      <c r="PZ786" s="26" t="s">
        <v>7</v>
      </c>
    </row>
    <row r="787" spans="1:445" x14ac:dyDescent="0.25">
      <c r="A787" s="7">
        <v>1.9053100033413959E-2</v>
      </c>
      <c r="B787"/>
      <c r="C787"/>
      <c r="D787"/>
      <c r="E787"/>
      <c r="F787" s="26" t="s">
        <v>7</v>
      </c>
      <c r="PY787" s="26" t="s">
        <v>8</v>
      </c>
      <c r="PZ787" s="26" t="s">
        <v>7</v>
      </c>
    </row>
    <row r="788" spans="1:445" x14ac:dyDescent="0.25">
      <c r="A788" s="7">
        <v>1.867950983668035E-2</v>
      </c>
      <c r="B788"/>
      <c r="C788"/>
      <c r="D788"/>
      <c r="E788"/>
      <c r="F788" s="26" t="s">
        <v>7</v>
      </c>
      <c r="PW788" s="26" t="s">
        <v>8</v>
      </c>
      <c r="PY788" s="26" t="s">
        <v>8</v>
      </c>
      <c r="PZ788" s="26" t="s">
        <v>7</v>
      </c>
    </row>
    <row r="789" spans="1:445" x14ac:dyDescent="0.25">
      <c r="A789" s="7">
        <v>1.8313244937921913E-2</v>
      </c>
      <c r="B789"/>
      <c r="C789"/>
      <c r="D789"/>
      <c r="E789"/>
      <c r="F789" s="26" t="s">
        <v>7</v>
      </c>
      <c r="PW789" s="26" t="s">
        <v>8</v>
      </c>
      <c r="PX789" s="26" t="s">
        <v>7</v>
      </c>
      <c r="PY789" s="26" t="s">
        <v>8</v>
      </c>
      <c r="PZ789" s="26" t="s">
        <v>7</v>
      </c>
    </row>
    <row r="790" spans="1:445" x14ac:dyDescent="0.25">
      <c r="A790" s="7">
        <v>1.7954161703845013E-2</v>
      </c>
      <c r="B790"/>
      <c r="C790"/>
      <c r="D790"/>
      <c r="E790"/>
      <c r="F790" s="26" t="s">
        <v>7</v>
      </c>
      <c r="PW790" s="26" t="s">
        <v>8</v>
      </c>
      <c r="PX790" s="26" t="s">
        <v>7</v>
      </c>
      <c r="PY790" s="26" t="s">
        <v>8</v>
      </c>
      <c r="PZ790" s="26" t="s">
        <v>7</v>
      </c>
    </row>
    <row r="791" spans="1:445" x14ac:dyDescent="0.25">
      <c r="A791" s="7">
        <v>1.7602119317495109E-2</v>
      </c>
      <c r="B791"/>
      <c r="C791"/>
      <c r="D791"/>
      <c r="E791"/>
      <c r="F791" s="26" t="s">
        <v>7</v>
      </c>
      <c r="PW791" s="26" t="s">
        <v>8</v>
      </c>
      <c r="PX791" s="26" t="s">
        <v>7</v>
      </c>
      <c r="PY791" s="26" t="s">
        <v>8</v>
      </c>
      <c r="PZ791" s="26" t="s">
        <v>7</v>
      </c>
    </row>
    <row r="792" spans="1:445" x14ac:dyDescent="0.25">
      <c r="A792" s="7">
        <v>1.7256979723034419E-2</v>
      </c>
      <c r="B792"/>
      <c r="C792"/>
      <c r="D792"/>
      <c r="E792"/>
      <c r="F792" s="26" t="s">
        <v>7</v>
      </c>
      <c r="PW792" s="26" t="s">
        <v>8</v>
      </c>
      <c r="PX792" s="26" t="s">
        <v>7</v>
      </c>
      <c r="PY792" s="26" t="s">
        <v>8</v>
      </c>
      <c r="PZ792" s="26" t="s">
        <v>7</v>
      </c>
      <c r="QA792" s="26" t="s">
        <v>8</v>
      </c>
    </row>
    <row r="793" spans="1:445" x14ac:dyDescent="0.25">
      <c r="A793" s="7">
        <v>1.6918607571602372E-2</v>
      </c>
      <c r="B793"/>
      <c r="C793"/>
      <c r="D793"/>
      <c r="E793"/>
      <c r="F793" s="26" t="s">
        <v>7</v>
      </c>
      <c r="PW793" s="26" t="s">
        <v>8</v>
      </c>
      <c r="PX793" s="26" t="s">
        <v>7</v>
      </c>
      <c r="PY793" s="26" t="s">
        <v>8</v>
      </c>
      <c r="PZ793" s="26" t="s">
        <v>7</v>
      </c>
      <c r="QA793" s="26" t="s">
        <v>8</v>
      </c>
      <c r="QB793" s="26" t="s">
        <v>7</v>
      </c>
    </row>
    <row r="794" spans="1:445" x14ac:dyDescent="0.25">
      <c r="A794" s="7">
        <v>1.6586870168237622E-2</v>
      </c>
      <c r="B794"/>
      <c r="C794"/>
      <c r="D794"/>
      <c r="E794"/>
      <c r="F794" s="26" t="s">
        <v>7</v>
      </c>
      <c r="PW794" s="26" t="s">
        <v>8</v>
      </c>
      <c r="PX794" s="26" t="s">
        <v>7</v>
      </c>
      <c r="PY794" s="26" t="s">
        <v>8</v>
      </c>
      <c r="PZ794" s="26" t="s">
        <v>7</v>
      </c>
      <c r="QA794" s="26" t="s">
        <v>8</v>
      </c>
      <c r="QB794" s="26" t="s">
        <v>7</v>
      </c>
    </row>
    <row r="795" spans="1:445" x14ac:dyDescent="0.25">
      <c r="A795" s="7">
        <v>1.6261637419840807E-2</v>
      </c>
      <c r="B795"/>
      <c r="C795"/>
      <c r="D795"/>
      <c r="E795"/>
      <c r="F795" s="26" t="s">
        <v>7</v>
      </c>
      <c r="PW795" s="26" t="s">
        <v>8</v>
      </c>
      <c r="PX795" s="26" t="s">
        <v>7</v>
      </c>
      <c r="PY795" s="26" t="s">
        <v>8</v>
      </c>
      <c r="PZ795" s="26" t="s">
        <v>7</v>
      </c>
      <c r="QA795" s="26" t="s">
        <v>8</v>
      </c>
      <c r="QB795" s="26" t="s">
        <v>7</v>
      </c>
    </row>
    <row r="796" spans="1:445" x14ac:dyDescent="0.25">
      <c r="A796" s="7">
        <v>1.5942781784157655E-2</v>
      </c>
      <c r="B796"/>
      <c r="C796"/>
      <c r="D796"/>
      <c r="E796"/>
      <c r="F796" s="26" t="s">
        <v>7</v>
      </c>
      <c r="PW796" s="26" t="s">
        <v>8</v>
      </c>
      <c r="PX796" s="26" t="s">
        <v>7</v>
      </c>
      <c r="PY796" s="26" t="s">
        <v>8</v>
      </c>
      <c r="PZ796" s="26" t="s">
        <v>7</v>
      </c>
      <c r="QA796" s="26" t="s">
        <v>8</v>
      </c>
      <c r="QB796" s="26" t="s">
        <v>7</v>
      </c>
    </row>
    <row r="797" spans="1:445" x14ac:dyDescent="0.25">
      <c r="A797" s="7">
        <v>1.5630178219762408E-2</v>
      </c>
      <c r="B797"/>
      <c r="C797"/>
      <c r="D797"/>
      <c r="E797"/>
      <c r="F797" s="26" t="s">
        <v>7</v>
      </c>
      <c r="PW797" s="26" t="s">
        <v>8</v>
      </c>
      <c r="PX797" s="26" t="s">
        <v>7</v>
      </c>
      <c r="PZ797" s="26" t="s">
        <v>7</v>
      </c>
      <c r="QA797" s="26" t="s">
        <v>8</v>
      </c>
      <c r="QB797" s="26" t="s">
        <v>7</v>
      </c>
    </row>
    <row r="798" spans="1:445" x14ac:dyDescent="0.25">
      <c r="A798" s="7">
        <v>1.5323704137021967E-2</v>
      </c>
      <c r="B798"/>
      <c r="C798"/>
      <c r="D798"/>
      <c r="E798"/>
      <c r="F798" s="26" t="s">
        <v>7</v>
      </c>
      <c r="PW798" s="26" t="s">
        <v>8</v>
      </c>
      <c r="PZ798" s="26" t="s">
        <v>7</v>
      </c>
      <c r="QA798" s="26" t="s">
        <v>8</v>
      </c>
      <c r="QB798" s="26" t="s">
        <v>7</v>
      </c>
    </row>
    <row r="799" spans="1:445" x14ac:dyDescent="0.25">
      <c r="A799" s="7">
        <v>1.5023239350021535E-2</v>
      </c>
      <c r="B799"/>
      <c r="C799"/>
      <c r="D799"/>
      <c r="E799"/>
      <c r="F799" s="26" t="s">
        <v>7</v>
      </c>
      <c r="PW799" s="26" t="s">
        <v>8</v>
      </c>
      <c r="PZ799" s="26" t="s">
        <v>7</v>
      </c>
      <c r="QA799" s="26" t="s">
        <v>8</v>
      </c>
      <c r="QB799" s="26" t="s">
        <v>7</v>
      </c>
    </row>
    <row r="800" spans="1:445" x14ac:dyDescent="0.25">
      <c r="A800" s="7">
        <v>1.4728666029432878E-2</v>
      </c>
      <c r="B800"/>
      <c r="C800"/>
      <c r="D800"/>
      <c r="E800"/>
      <c r="F800" s="26" t="s">
        <v>7</v>
      </c>
      <c r="PO800" s="26" t="s">
        <v>8</v>
      </c>
      <c r="PU800" s="26" t="s">
        <v>8</v>
      </c>
      <c r="PW800" s="26" t="s">
        <v>8</v>
      </c>
      <c r="PZ800" s="26" t="s">
        <v>7</v>
      </c>
      <c r="QA800" s="26" t="s">
        <v>8</v>
      </c>
      <c r="QB800" s="26" t="s">
        <v>7</v>
      </c>
      <c r="QC800" s="26" t="s">
        <v>8</v>
      </c>
    </row>
    <row r="801" spans="1:464" x14ac:dyDescent="0.25">
      <c r="A801" s="7">
        <v>1.4439868656306743E-2</v>
      </c>
      <c r="B801"/>
      <c r="C801"/>
      <c r="D801"/>
      <c r="E801"/>
      <c r="F801" s="26" t="s">
        <v>7</v>
      </c>
      <c r="PO801" s="26" t="s">
        <v>8</v>
      </c>
      <c r="PP801" s="26" t="s">
        <v>7</v>
      </c>
      <c r="PU801" s="26" t="s">
        <v>8</v>
      </c>
      <c r="PV801" s="26" t="s">
        <v>7</v>
      </c>
      <c r="PW801" s="26" t="s">
        <v>8</v>
      </c>
      <c r="PZ801" s="26" t="s">
        <v>7</v>
      </c>
      <c r="QA801" s="26" t="s">
        <v>8</v>
      </c>
      <c r="QB801" s="26" t="s">
        <v>7</v>
      </c>
      <c r="QC801" s="26" t="s">
        <v>8</v>
      </c>
      <c r="QD801" s="26" t="s">
        <v>7</v>
      </c>
    </row>
    <row r="802" spans="1:464" x14ac:dyDescent="0.25">
      <c r="A802" s="7">
        <v>1.4156733976771318E-2</v>
      </c>
      <c r="B802"/>
      <c r="C802"/>
      <c r="D802"/>
      <c r="E802"/>
      <c r="F802" s="26" t="s">
        <v>7</v>
      </c>
      <c r="PO802" s="26" t="s">
        <v>8</v>
      </c>
      <c r="PP802" s="26" t="s">
        <v>7</v>
      </c>
      <c r="PU802" s="26" t="s">
        <v>8</v>
      </c>
      <c r="PV802" s="26" t="s">
        <v>7</v>
      </c>
      <c r="PW802" s="26" t="s">
        <v>8</v>
      </c>
      <c r="PZ802" s="26" t="s">
        <v>7</v>
      </c>
      <c r="QA802" s="26" t="s">
        <v>8</v>
      </c>
      <c r="QB802" s="26" t="s">
        <v>7</v>
      </c>
      <c r="QC802" s="26" t="s">
        <v>8</v>
      </c>
      <c r="QD802" s="26" t="s">
        <v>7</v>
      </c>
    </row>
    <row r="803" spans="1:464" x14ac:dyDescent="0.25">
      <c r="A803" s="7">
        <v>1.3879150957618939E-2</v>
      </c>
      <c r="B803"/>
      <c r="C803"/>
      <c r="D803"/>
      <c r="E803"/>
      <c r="F803" s="26" t="s">
        <v>7</v>
      </c>
      <c r="PO803" s="26" t="s">
        <v>8</v>
      </c>
      <c r="PP803" s="26" t="s">
        <v>7</v>
      </c>
      <c r="PU803" s="26" t="s">
        <v>8</v>
      </c>
      <c r="PV803" s="26" t="s">
        <v>7</v>
      </c>
      <c r="PW803" s="26" t="s">
        <v>8</v>
      </c>
      <c r="PZ803" s="26" t="s">
        <v>7</v>
      </c>
      <c r="QA803" s="26" t="s">
        <v>8</v>
      </c>
      <c r="QB803" s="26" t="s">
        <v>7</v>
      </c>
      <c r="QC803" s="26" t="s">
        <v>8</v>
      </c>
      <c r="QD803" s="26" t="s">
        <v>7</v>
      </c>
    </row>
    <row r="804" spans="1:464" x14ac:dyDescent="0.25">
      <c r="A804" s="7">
        <v>1.3607010742763666E-2</v>
      </c>
      <c r="B804"/>
      <c r="C804"/>
      <c r="D804"/>
      <c r="E804"/>
      <c r="F804" s="26" t="s">
        <v>7</v>
      </c>
      <c r="PO804" s="26" t="s">
        <v>8</v>
      </c>
      <c r="PP804" s="26" t="s">
        <v>7</v>
      </c>
      <c r="PU804" s="26" t="s">
        <v>8</v>
      </c>
      <c r="PV804" s="26" t="s">
        <v>7</v>
      </c>
      <c r="PW804" s="26" t="s">
        <v>8</v>
      </c>
      <c r="PZ804" s="26" t="s">
        <v>7</v>
      </c>
      <c r="QA804" s="26" t="s">
        <v>8</v>
      </c>
      <c r="QB804" s="26" t="s">
        <v>7</v>
      </c>
      <c r="QC804" s="26" t="s">
        <v>8</v>
      </c>
      <c r="QD804" s="26" t="s">
        <v>7</v>
      </c>
      <c r="QG804" s="26" t="s">
        <v>8</v>
      </c>
    </row>
    <row r="805" spans="1:464" x14ac:dyDescent="0.25">
      <c r="A805" s="7">
        <v>1.3340206610552614E-2</v>
      </c>
      <c r="B805"/>
      <c r="C805"/>
      <c r="D805"/>
      <c r="E805"/>
      <c r="F805" s="26" t="s">
        <v>7</v>
      </c>
      <c r="PO805" s="26" t="s">
        <v>8</v>
      </c>
      <c r="PP805" s="26" t="s">
        <v>7</v>
      </c>
      <c r="PU805" s="26" t="s">
        <v>8</v>
      </c>
      <c r="PV805" s="26" t="s">
        <v>7</v>
      </c>
      <c r="PW805" s="26" t="s">
        <v>8</v>
      </c>
      <c r="PZ805" s="26" t="s">
        <v>7</v>
      </c>
      <c r="QA805" s="26" t="s">
        <v>8</v>
      </c>
      <c r="QB805" s="26" t="s">
        <v>7</v>
      </c>
      <c r="QC805" s="26" t="s">
        <v>8</v>
      </c>
      <c r="QD805" s="26" t="s">
        <v>7</v>
      </c>
      <c r="QG805" s="26" t="s">
        <v>8</v>
      </c>
      <c r="QH805" s="26" t="s">
        <v>7</v>
      </c>
    </row>
    <row r="806" spans="1:464" x14ac:dyDescent="0.25">
      <c r="A806" s="7">
        <v>1.3078633931914328E-2</v>
      </c>
      <c r="B806"/>
      <c r="C806"/>
      <c r="D806"/>
      <c r="E806"/>
      <c r="F806" s="26" t="s">
        <v>7</v>
      </c>
      <c r="PO806" s="26" t="s">
        <v>8</v>
      </c>
      <c r="PP806" s="26" t="s">
        <v>7</v>
      </c>
      <c r="PU806" s="26" t="s">
        <v>8</v>
      </c>
      <c r="PV806" s="26" t="s">
        <v>7</v>
      </c>
      <c r="PW806" s="26" t="s">
        <v>8</v>
      </c>
      <c r="PZ806" s="26" t="s">
        <v>7</v>
      </c>
      <c r="QB806" s="26" t="s">
        <v>7</v>
      </c>
      <c r="QC806" s="26" t="s">
        <v>8</v>
      </c>
      <c r="QD806" s="26" t="s">
        <v>7</v>
      </c>
      <c r="QG806" s="26" t="s">
        <v>8</v>
      </c>
      <c r="QH806" s="26" t="s">
        <v>7</v>
      </c>
    </row>
    <row r="807" spans="1:464" x14ac:dyDescent="0.25">
      <c r="A807" s="7">
        <v>1.2822190129327771E-2</v>
      </c>
      <c r="B807"/>
      <c r="C807"/>
      <c r="D807"/>
      <c r="E807"/>
      <c r="F807" s="26" t="s">
        <v>7</v>
      </c>
      <c r="PO807" s="26" t="s">
        <v>8</v>
      </c>
      <c r="PP807" s="26" t="s">
        <v>7</v>
      </c>
      <c r="PU807" s="26" t="s">
        <v>8</v>
      </c>
      <c r="PV807" s="26" t="s">
        <v>7</v>
      </c>
      <c r="PW807" s="26" t="s">
        <v>8</v>
      </c>
      <c r="QB807" s="26" t="s">
        <v>7</v>
      </c>
      <c r="QC807" s="26" t="s">
        <v>8</v>
      </c>
      <c r="QD807" s="26" t="s">
        <v>7</v>
      </c>
      <c r="QE807" s="26" t="s">
        <v>8</v>
      </c>
      <c r="QG807" s="26" t="s">
        <v>8</v>
      </c>
      <c r="QH807" s="26" t="s">
        <v>7</v>
      </c>
      <c r="QO807" s="26" t="s">
        <v>8</v>
      </c>
    </row>
    <row r="808" spans="1:464" x14ac:dyDescent="0.25">
      <c r="A808" s="7">
        <v>1.2570774636595854E-2</v>
      </c>
      <c r="B808"/>
      <c r="C808"/>
      <c r="D808"/>
      <c r="E808"/>
      <c r="F808" s="26" t="s">
        <v>7</v>
      </c>
      <c r="PO808" s="26" t="s">
        <v>8</v>
      </c>
      <c r="PP808" s="26" t="s">
        <v>7</v>
      </c>
      <c r="PU808" s="26" t="s">
        <v>8</v>
      </c>
      <c r="PV808" s="26" t="s">
        <v>7</v>
      </c>
      <c r="PW808" s="26" t="s">
        <v>8</v>
      </c>
      <c r="QB808" s="26" t="s">
        <v>7</v>
      </c>
      <c r="QD808" s="26" t="s">
        <v>7</v>
      </c>
      <c r="QE808" s="26" t="s">
        <v>8</v>
      </c>
      <c r="QF808" s="26" t="s">
        <v>7</v>
      </c>
      <c r="QG808" s="26" t="s">
        <v>8</v>
      </c>
      <c r="QH808" s="26" t="s">
        <v>7</v>
      </c>
      <c r="QO808" s="26" t="s">
        <v>8</v>
      </c>
      <c r="QP808" s="26" t="s">
        <v>7</v>
      </c>
    </row>
    <row r="809" spans="1:464" x14ac:dyDescent="0.25">
      <c r="A809" s="7">
        <v>1.23242888594077E-2</v>
      </c>
      <c r="B809"/>
      <c r="C809"/>
      <c r="D809"/>
      <c r="E809"/>
      <c r="F809" s="26" t="s">
        <v>7</v>
      </c>
      <c r="PO809" s="26" t="s">
        <v>8</v>
      </c>
      <c r="PP809" s="26" t="s">
        <v>7</v>
      </c>
      <c r="PU809" s="26" t="s">
        <v>8</v>
      </c>
      <c r="PV809" s="26" t="s">
        <v>7</v>
      </c>
      <c r="PW809" s="26" t="s">
        <v>8</v>
      </c>
      <c r="QD809" s="26" t="s">
        <v>7</v>
      </c>
      <c r="QE809" s="26" t="s">
        <v>8</v>
      </c>
      <c r="QF809" s="26" t="s">
        <v>7</v>
      </c>
      <c r="QG809" s="26" t="s">
        <v>8</v>
      </c>
      <c r="QH809" s="26" t="s">
        <v>7</v>
      </c>
      <c r="QO809" s="26" t="s">
        <v>8</v>
      </c>
      <c r="QP809" s="26" t="s">
        <v>7</v>
      </c>
    </row>
    <row r="810" spans="1:464" x14ac:dyDescent="0.25">
      <c r="A810" s="7">
        <v>1.2082636136674216E-2</v>
      </c>
      <c r="B810"/>
      <c r="C810"/>
      <c r="D810"/>
      <c r="E810"/>
      <c r="F810" s="26" t="s">
        <v>7</v>
      </c>
      <c r="PO810" s="26" t="s">
        <v>8</v>
      </c>
      <c r="PP810" s="26" t="s">
        <v>7</v>
      </c>
      <c r="PU810" s="26" t="s">
        <v>8</v>
      </c>
      <c r="PV810" s="26" t="s">
        <v>7</v>
      </c>
      <c r="PW810" s="26" t="s">
        <v>8</v>
      </c>
      <c r="QD810" s="26" t="s">
        <v>7</v>
      </c>
      <c r="QE810" s="26" t="s">
        <v>8</v>
      </c>
      <c r="QF810" s="26" t="s">
        <v>7</v>
      </c>
      <c r="QG810" s="26" t="s">
        <v>8</v>
      </c>
      <c r="QH810" s="26" t="s">
        <v>7</v>
      </c>
      <c r="QO810" s="26" t="s">
        <v>8</v>
      </c>
      <c r="QP810" s="26" t="s">
        <v>7</v>
      </c>
    </row>
    <row r="811" spans="1:464" x14ac:dyDescent="0.25">
      <c r="A811" s="7">
        <v>1.184572170262178E-2</v>
      </c>
      <c r="B811"/>
      <c r="C811"/>
      <c r="D811"/>
      <c r="E811"/>
      <c r="F811" s="26" t="s">
        <v>7</v>
      </c>
      <c r="PO811" s="26" t="s">
        <v>8</v>
      </c>
      <c r="PP811" s="26" t="s">
        <v>7</v>
      </c>
      <c r="PU811" s="26" t="s">
        <v>8</v>
      </c>
      <c r="PV811" s="26" t="s">
        <v>7</v>
      </c>
      <c r="QD811" s="26" t="s">
        <v>7</v>
      </c>
      <c r="QE811" s="26" t="s">
        <v>8</v>
      </c>
      <c r="QF811" s="26" t="s">
        <v>7</v>
      </c>
      <c r="QG811" s="26" t="s">
        <v>8</v>
      </c>
      <c r="QH811" s="26" t="s">
        <v>7</v>
      </c>
      <c r="QO811" s="26" t="s">
        <v>8</v>
      </c>
      <c r="QP811" s="26" t="s">
        <v>7</v>
      </c>
      <c r="QQ811" s="26" t="s">
        <v>8</v>
      </c>
      <c r="QS811" s="26" t="s">
        <v>8</v>
      </c>
    </row>
    <row r="812" spans="1:464" x14ac:dyDescent="0.25">
      <c r="A812" s="7">
        <v>1.1613452649629196E-2</v>
      </c>
      <c r="B812"/>
      <c r="C812"/>
      <c r="D812"/>
      <c r="E812"/>
      <c r="F812" s="26" t="s">
        <v>7</v>
      </c>
      <c r="PO812" s="26" t="s">
        <v>8</v>
      </c>
      <c r="PP812" s="26" t="s">
        <v>7</v>
      </c>
      <c r="PU812" s="26" t="s">
        <v>8</v>
      </c>
      <c r="QD812" s="26" t="s">
        <v>7</v>
      </c>
      <c r="QE812" s="26" t="s">
        <v>8</v>
      </c>
      <c r="QF812" s="26" t="s">
        <v>7</v>
      </c>
      <c r="QG812" s="26" t="s">
        <v>8</v>
      </c>
      <c r="QH812" s="26" t="s">
        <v>7</v>
      </c>
      <c r="QO812" s="26" t="s">
        <v>8</v>
      </c>
      <c r="QP812" s="26" t="s">
        <v>7</v>
      </c>
      <c r="QQ812" s="26" t="s">
        <v>8</v>
      </c>
      <c r="QR812" s="26" t="s">
        <v>7</v>
      </c>
      <c r="QS812" s="26" t="s">
        <v>8</v>
      </c>
      <c r="QT812" s="26" t="s">
        <v>7</v>
      </c>
      <c r="QU812" s="26" t="s">
        <v>8</v>
      </c>
    </row>
    <row r="813" spans="1:464" x14ac:dyDescent="0.25">
      <c r="A813" s="7">
        <v>1.138573789179333E-2</v>
      </c>
      <c r="B813"/>
      <c r="C813"/>
      <c r="D813"/>
      <c r="E813"/>
      <c r="F813" s="26" t="s">
        <v>7</v>
      </c>
      <c r="PO813" s="26" t="s">
        <v>8</v>
      </c>
      <c r="PP813" s="26" t="s">
        <v>7</v>
      </c>
      <c r="PQ813" s="26" t="s">
        <v>8</v>
      </c>
      <c r="PU813" s="26" t="s">
        <v>8</v>
      </c>
      <c r="QD813" s="26" t="s">
        <v>7</v>
      </c>
      <c r="QE813" s="26" t="s">
        <v>8</v>
      </c>
      <c r="QF813" s="26" t="s">
        <v>7</v>
      </c>
      <c r="QG813" s="26" t="s">
        <v>8</v>
      </c>
      <c r="QH813" s="26" t="s">
        <v>7</v>
      </c>
      <c r="QO813" s="26" t="s">
        <v>8</v>
      </c>
      <c r="QP813" s="26" t="s">
        <v>7</v>
      </c>
      <c r="QQ813" s="26" t="s">
        <v>8</v>
      </c>
      <c r="QR813" s="26" t="s">
        <v>7</v>
      </c>
      <c r="QS813" s="26" t="s">
        <v>8</v>
      </c>
      <c r="QT813" s="26" t="s">
        <v>7</v>
      </c>
      <c r="QU813" s="26" t="s">
        <v>8</v>
      </c>
      <c r="QV813" s="26" t="s">
        <v>7</v>
      </c>
    </row>
    <row r="814" spans="1:464" x14ac:dyDescent="0.25">
      <c r="A814" s="7">
        <v>1.1162488129209149E-2</v>
      </c>
      <c r="B814"/>
      <c r="C814"/>
      <c r="D814"/>
      <c r="E814"/>
      <c r="F814" s="26" t="s">
        <v>7</v>
      </c>
      <c r="PO814" s="26" t="s">
        <v>8</v>
      </c>
      <c r="PP814" s="26" t="s">
        <v>7</v>
      </c>
      <c r="PQ814" s="26" t="s">
        <v>8</v>
      </c>
      <c r="PR814" s="26" t="s">
        <v>7</v>
      </c>
      <c r="PS814" s="26" t="s">
        <v>8</v>
      </c>
      <c r="PU814" s="26" t="s">
        <v>8</v>
      </c>
      <c r="QD814" s="26" t="s">
        <v>7</v>
      </c>
      <c r="QE814" s="26" t="s">
        <v>8</v>
      </c>
      <c r="QF814" s="26" t="s">
        <v>7</v>
      </c>
      <c r="QG814" s="26" t="s">
        <v>8</v>
      </c>
      <c r="QH814" s="26" t="s">
        <v>7</v>
      </c>
      <c r="QI814" s="26" t="s">
        <v>8</v>
      </c>
      <c r="QO814" s="26" t="s">
        <v>8</v>
      </c>
      <c r="QP814" s="26" t="s">
        <v>7</v>
      </c>
      <c r="QQ814" s="26" t="s">
        <v>8</v>
      </c>
      <c r="QR814" s="26" t="s">
        <v>7</v>
      </c>
      <c r="QS814" s="26" t="s">
        <v>8</v>
      </c>
      <c r="QT814" s="26" t="s">
        <v>7</v>
      </c>
      <c r="QU814" s="26" t="s">
        <v>8</v>
      </c>
      <c r="QV814" s="26" t="s">
        <v>7</v>
      </c>
    </row>
    <row r="815" spans="1:464" x14ac:dyDescent="0.25">
      <c r="A815" s="7">
        <v>1.0943615812950145E-2</v>
      </c>
      <c r="B815"/>
      <c r="C815"/>
      <c r="D815"/>
      <c r="E815"/>
      <c r="F815" s="26" t="s">
        <v>7</v>
      </c>
      <c r="PO815" s="26" t="s">
        <v>8</v>
      </c>
      <c r="PP815" s="26" t="s">
        <v>7</v>
      </c>
      <c r="PQ815" s="26" t="s">
        <v>8</v>
      </c>
      <c r="PR815" s="26" t="s">
        <v>7</v>
      </c>
      <c r="PS815" s="26" t="s">
        <v>8</v>
      </c>
      <c r="PT815" s="26" t="s">
        <v>7</v>
      </c>
      <c r="PU815" s="26" t="s">
        <v>8</v>
      </c>
      <c r="QD815" s="26" t="s">
        <v>7</v>
      </c>
      <c r="QE815" s="26" t="s">
        <v>8</v>
      </c>
      <c r="QF815" s="26" t="s">
        <v>7</v>
      </c>
      <c r="QG815" s="26" t="s">
        <v>8</v>
      </c>
      <c r="QH815" s="26" t="s">
        <v>7</v>
      </c>
      <c r="QI815" s="26" t="s">
        <v>8</v>
      </c>
      <c r="QJ815" s="26" t="s">
        <v>7</v>
      </c>
      <c r="QO815" s="26" t="s">
        <v>8</v>
      </c>
      <c r="QP815" s="26" t="s">
        <v>7</v>
      </c>
      <c r="QQ815" s="26" t="s">
        <v>8</v>
      </c>
      <c r="QR815" s="26" t="s">
        <v>7</v>
      </c>
      <c r="QT815" s="26" t="s">
        <v>7</v>
      </c>
      <c r="QU815" s="26" t="s">
        <v>8</v>
      </c>
      <c r="QV815" s="26" t="s">
        <v>7</v>
      </c>
    </row>
    <row r="816" spans="1:464" x14ac:dyDescent="0.25">
      <c r="A816" s="7">
        <v>1.0729035110735436E-2</v>
      </c>
      <c r="B816"/>
      <c r="C816"/>
      <c r="D816"/>
      <c r="E816"/>
      <c r="F816" s="26" t="s">
        <v>7</v>
      </c>
      <c r="PO816" s="26" t="s">
        <v>8</v>
      </c>
      <c r="PP816" s="26" t="s">
        <v>7</v>
      </c>
      <c r="PQ816" s="26" t="s">
        <v>8</v>
      </c>
      <c r="PR816" s="26" t="s">
        <v>7</v>
      </c>
      <c r="PS816" s="26" t="s">
        <v>8</v>
      </c>
      <c r="PT816" s="26" t="s">
        <v>7</v>
      </c>
      <c r="PU816" s="26" t="s">
        <v>8</v>
      </c>
      <c r="QD816" s="26" t="s">
        <v>7</v>
      </c>
      <c r="QE816" s="26" t="s">
        <v>8</v>
      </c>
      <c r="QF816" s="26" t="s">
        <v>7</v>
      </c>
      <c r="QH816" s="26" t="s">
        <v>7</v>
      </c>
      <c r="QI816" s="26" t="s">
        <v>8</v>
      </c>
      <c r="QJ816" s="26" t="s">
        <v>7</v>
      </c>
      <c r="QO816" s="26" t="s">
        <v>8</v>
      </c>
      <c r="QP816" s="26" t="s">
        <v>7</v>
      </c>
      <c r="QQ816" s="26" t="s">
        <v>8</v>
      </c>
      <c r="QT816" s="26" t="s">
        <v>7</v>
      </c>
      <c r="QU816" s="26" t="s">
        <v>8</v>
      </c>
      <c r="QV816" s="26" t="s">
        <v>7</v>
      </c>
    </row>
    <row r="817" spans="1:554" x14ac:dyDescent="0.25">
      <c r="A817" s="7">
        <v>1.0518661873270036E-2</v>
      </c>
      <c r="B817"/>
      <c r="C817"/>
      <c r="D817"/>
      <c r="E817"/>
      <c r="F817" s="26" t="s">
        <v>7</v>
      </c>
      <c r="PO817" s="26" t="s">
        <v>8</v>
      </c>
      <c r="PP817" s="26" t="s">
        <v>7</v>
      </c>
      <c r="PQ817" s="26" t="s">
        <v>8</v>
      </c>
      <c r="PR817" s="26" t="s">
        <v>7</v>
      </c>
      <c r="PS817" s="26" t="s">
        <v>8</v>
      </c>
      <c r="PT817" s="26" t="s">
        <v>7</v>
      </c>
      <c r="PU817" s="26" t="s">
        <v>8</v>
      </c>
      <c r="QD817" s="26" t="s">
        <v>7</v>
      </c>
      <c r="QH817" s="26" t="s">
        <v>7</v>
      </c>
      <c r="QI817" s="26" t="s">
        <v>8</v>
      </c>
      <c r="QJ817" s="26" t="s">
        <v>7</v>
      </c>
      <c r="QO817" s="26" t="s">
        <v>8</v>
      </c>
      <c r="QP817" s="26" t="s">
        <v>7</v>
      </c>
      <c r="QQ817" s="26" t="s">
        <v>8</v>
      </c>
      <c r="QT817" s="26" t="s">
        <v>7</v>
      </c>
      <c r="QU817" s="26" t="s">
        <v>8</v>
      </c>
      <c r="QV817" s="26" t="s">
        <v>7</v>
      </c>
    </row>
    <row r="818" spans="1:554" x14ac:dyDescent="0.25">
      <c r="A818" s="7">
        <v>1.0312413601245135E-2</v>
      </c>
      <c r="B818"/>
      <c r="C818"/>
      <c r="D818"/>
      <c r="E818"/>
      <c r="F818" s="26" t="s">
        <v>7</v>
      </c>
      <c r="PO818" s="26" t="s">
        <v>8</v>
      </c>
      <c r="PP818" s="26" t="s">
        <v>7</v>
      </c>
      <c r="PQ818" s="26" t="s">
        <v>8</v>
      </c>
      <c r="PR818" s="26" t="s">
        <v>7</v>
      </c>
      <c r="PS818" s="26" t="s">
        <v>8</v>
      </c>
      <c r="PT818" s="26" t="s">
        <v>7</v>
      </c>
      <c r="PU818" s="26" t="s">
        <v>8</v>
      </c>
      <c r="QH818" s="26" t="s">
        <v>7</v>
      </c>
      <c r="QI818" s="26" t="s">
        <v>8</v>
      </c>
      <c r="QJ818" s="26" t="s">
        <v>7</v>
      </c>
      <c r="QO818" s="26" t="s">
        <v>8</v>
      </c>
      <c r="QP818" s="26" t="s">
        <v>7</v>
      </c>
      <c r="QQ818" s="26" t="s">
        <v>8</v>
      </c>
      <c r="QT818" s="26" t="s">
        <v>7</v>
      </c>
      <c r="QU818" s="26" t="s">
        <v>8</v>
      </c>
      <c r="QV818" s="26" t="s">
        <v>7</v>
      </c>
      <c r="QW818" s="26" t="s">
        <v>8</v>
      </c>
    </row>
    <row r="819" spans="1:554" x14ac:dyDescent="0.25">
      <c r="A819" s="7">
        <v>1.0110209412985426E-2</v>
      </c>
      <c r="B819"/>
      <c r="C819"/>
      <c r="D819"/>
      <c r="E819"/>
      <c r="F819" s="26" t="s">
        <v>7</v>
      </c>
      <c r="PO819" s="26" t="s">
        <v>8</v>
      </c>
      <c r="PP819" s="26" t="s">
        <v>7</v>
      </c>
      <c r="PQ819" s="26" t="s">
        <v>8</v>
      </c>
      <c r="PR819" s="26" t="s">
        <v>7</v>
      </c>
      <c r="PS819" s="26" t="s">
        <v>8</v>
      </c>
      <c r="PT819" s="26" t="s">
        <v>7</v>
      </c>
      <c r="PU819" s="26" t="s">
        <v>8</v>
      </c>
      <c r="QH819" s="26" t="s">
        <v>7</v>
      </c>
      <c r="QI819" s="26" t="s">
        <v>8</v>
      </c>
      <c r="QJ819" s="26" t="s">
        <v>7</v>
      </c>
      <c r="QO819" s="26" t="s">
        <v>8</v>
      </c>
      <c r="QP819" s="26" t="s">
        <v>7</v>
      </c>
      <c r="QQ819" s="26" t="s">
        <v>8</v>
      </c>
      <c r="QT819" s="26" t="s">
        <v>7</v>
      </c>
      <c r="QV819" s="26" t="s">
        <v>7</v>
      </c>
      <c r="QW819" s="26" t="s">
        <v>8</v>
      </c>
      <c r="QX819" s="26" t="s">
        <v>7</v>
      </c>
      <c r="QY819" s="26" t="s">
        <v>8</v>
      </c>
    </row>
    <row r="820" spans="1:554" x14ac:dyDescent="0.25">
      <c r="A820" s="7">
        <v>9.9119700127308103E-3</v>
      </c>
      <c r="B820"/>
      <c r="C820"/>
      <c r="D820"/>
      <c r="E820"/>
      <c r="F820" s="26" t="s">
        <v>7</v>
      </c>
      <c r="PO820" s="26" t="s">
        <v>8</v>
      </c>
      <c r="PP820" s="26" t="s">
        <v>7</v>
      </c>
      <c r="PQ820" s="26" t="s">
        <v>8</v>
      </c>
      <c r="PR820" s="26" t="s">
        <v>7</v>
      </c>
      <c r="PT820" s="26" t="s">
        <v>7</v>
      </c>
      <c r="PU820" s="26" t="s">
        <v>8</v>
      </c>
      <c r="QH820" s="26" t="s">
        <v>7</v>
      </c>
      <c r="QI820" s="26" t="s">
        <v>8</v>
      </c>
      <c r="QJ820" s="26" t="s">
        <v>7</v>
      </c>
      <c r="QO820" s="26" t="s">
        <v>8</v>
      </c>
      <c r="QP820" s="26" t="s">
        <v>7</v>
      </c>
      <c r="QV820" s="26" t="s">
        <v>7</v>
      </c>
      <c r="QW820" s="26" t="s">
        <v>8</v>
      </c>
      <c r="QX820" s="26" t="s">
        <v>7</v>
      </c>
      <c r="QY820" s="26" t="s">
        <v>8</v>
      </c>
      <c r="QZ820" s="26" t="s">
        <v>7</v>
      </c>
    </row>
    <row r="821" spans="1:554" x14ac:dyDescent="0.25">
      <c r="A821" s="7">
        <v>9.717617659540009E-3</v>
      </c>
      <c r="B821"/>
      <c r="C821"/>
      <c r="D821"/>
      <c r="E821"/>
      <c r="F821" s="26" t="s">
        <v>7</v>
      </c>
      <c r="PO821" s="26" t="s">
        <v>8</v>
      </c>
      <c r="PP821" s="26" t="s">
        <v>7</v>
      </c>
      <c r="PQ821" s="26" t="s">
        <v>8</v>
      </c>
      <c r="PT821" s="26" t="s">
        <v>7</v>
      </c>
      <c r="QH821" s="26" t="s">
        <v>7</v>
      </c>
      <c r="QI821" s="26" t="s">
        <v>8</v>
      </c>
      <c r="QJ821" s="26" t="s">
        <v>7</v>
      </c>
      <c r="QK821" s="26" t="s">
        <v>8</v>
      </c>
      <c r="QO821" s="26" t="s">
        <v>8</v>
      </c>
      <c r="QV821" s="26" t="s">
        <v>7</v>
      </c>
      <c r="QW821" s="26" t="s">
        <v>8</v>
      </c>
      <c r="QX821" s="26" t="s">
        <v>7</v>
      </c>
      <c r="QY821" s="26" t="s">
        <v>8</v>
      </c>
      <c r="QZ821" s="26" t="s">
        <v>7</v>
      </c>
    </row>
    <row r="822" spans="1:554" x14ac:dyDescent="0.25">
      <c r="A822" s="7">
        <v>9.5270761368039299E-3</v>
      </c>
      <c r="B822"/>
      <c r="C822"/>
      <c r="D822"/>
      <c r="E822"/>
      <c r="F822" s="26" t="s">
        <v>7</v>
      </c>
      <c r="PO822" s="26" t="s">
        <v>8</v>
      </c>
      <c r="PP822" s="26" t="s">
        <v>7</v>
      </c>
      <c r="PQ822" s="26" t="s">
        <v>8</v>
      </c>
      <c r="QH822" s="26" t="s">
        <v>7</v>
      </c>
      <c r="QI822" s="26" t="s">
        <v>8</v>
      </c>
      <c r="QJ822" s="26" t="s">
        <v>7</v>
      </c>
      <c r="QK822" s="26" t="s">
        <v>8</v>
      </c>
      <c r="QL822" s="26" t="s">
        <v>7</v>
      </c>
      <c r="QO822" s="26" t="s">
        <v>8</v>
      </c>
      <c r="QV822" s="26" t="s">
        <v>7</v>
      </c>
      <c r="QW822" s="26" t="s">
        <v>8</v>
      </c>
      <c r="QX822" s="26" t="s">
        <v>7</v>
      </c>
      <c r="QY822" s="26" t="s">
        <v>8</v>
      </c>
      <c r="QZ822" s="26" t="s">
        <v>7</v>
      </c>
    </row>
    <row r="823" spans="1:554" x14ac:dyDescent="0.25">
      <c r="A823" s="7">
        <v>9.3402707223567936E-3</v>
      </c>
      <c r="B823"/>
      <c r="C823"/>
      <c r="D823"/>
      <c r="E823"/>
      <c r="F823" s="26" t="s">
        <v>7</v>
      </c>
      <c r="PO823" s="26" t="s">
        <v>8</v>
      </c>
      <c r="PP823" s="26" t="s">
        <v>7</v>
      </c>
      <c r="PQ823" s="26" t="s">
        <v>8</v>
      </c>
      <c r="QH823" s="26" t="s">
        <v>7</v>
      </c>
      <c r="QI823" s="26" t="s">
        <v>8</v>
      </c>
      <c r="QJ823" s="26" t="s">
        <v>7</v>
      </c>
      <c r="QK823" s="26" t="s">
        <v>8</v>
      </c>
      <c r="QL823" s="26" t="s">
        <v>7</v>
      </c>
      <c r="QM823" s="26" t="s">
        <v>8</v>
      </c>
      <c r="QO823" s="26" t="s">
        <v>8</v>
      </c>
      <c r="QV823" s="26" t="s">
        <v>7</v>
      </c>
      <c r="QW823" s="26" t="s">
        <v>8</v>
      </c>
      <c r="QX823" s="26" t="s">
        <v>7</v>
      </c>
      <c r="QZ823" s="26" t="s">
        <v>7</v>
      </c>
    </row>
    <row r="824" spans="1:554" x14ac:dyDescent="0.25">
      <c r="A824" s="7">
        <v>9.1571281591733261E-3</v>
      </c>
      <c r="B824"/>
      <c r="C824"/>
      <c r="D824"/>
      <c r="E824"/>
      <c r="F824" s="26" t="s">
        <v>7</v>
      </c>
      <c r="PO824" s="26" t="s">
        <v>8</v>
      </c>
      <c r="PP824" s="26" t="s">
        <v>7</v>
      </c>
      <c r="QH824" s="26" t="s">
        <v>7</v>
      </c>
      <c r="QI824" s="26" t="s">
        <v>8</v>
      </c>
      <c r="QJ824" s="26" t="s">
        <v>7</v>
      </c>
      <c r="QK824" s="26" t="s">
        <v>8</v>
      </c>
      <c r="QL824" s="26" t="s">
        <v>7</v>
      </c>
      <c r="QM824" s="26" t="s">
        <v>8</v>
      </c>
      <c r="QN824" s="26" t="s">
        <v>7</v>
      </c>
      <c r="QO824" s="26" t="s">
        <v>8</v>
      </c>
      <c r="QV824" s="26" t="s">
        <v>7</v>
      </c>
      <c r="QZ824" s="26" t="s">
        <v>7</v>
      </c>
    </row>
    <row r="825" spans="1:554" x14ac:dyDescent="0.25">
      <c r="A825" s="7">
        <v>8.9775766266405148E-3</v>
      </c>
      <c r="B825"/>
      <c r="C825"/>
      <c r="D825"/>
      <c r="E825"/>
      <c r="F825" s="26" t="s">
        <v>7</v>
      </c>
      <c r="PO825" s="26" t="s">
        <v>8</v>
      </c>
      <c r="QH825" s="26" t="s">
        <v>7</v>
      </c>
      <c r="QI825" s="26" t="s">
        <v>8</v>
      </c>
      <c r="QJ825" s="26" t="s">
        <v>7</v>
      </c>
      <c r="QK825" s="26" t="s">
        <v>8</v>
      </c>
      <c r="QL825" s="26" t="s">
        <v>7</v>
      </c>
      <c r="QM825" s="26" t="s">
        <v>8</v>
      </c>
      <c r="QN825" s="26" t="s">
        <v>7</v>
      </c>
      <c r="QO825" s="26" t="s">
        <v>8</v>
      </c>
      <c r="QZ825" s="26" t="s">
        <v>7</v>
      </c>
    </row>
    <row r="826" spans="1:554" x14ac:dyDescent="0.25">
      <c r="A826" s="7">
        <v>8.8015457123926614E-3</v>
      </c>
      <c r="B826"/>
      <c r="C826"/>
      <c r="D826"/>
      <c r="E826"/>
      <c r="F826" s="26" t="s">
        <v>7</v>
      </c>
      <c r="PO826" s="26" t="s">
        <v>8</v>
      </c>
      <c r="QH826" s="26" t="s">
        <v>7</v>
      </c>
      <c r="QI826" s="26" t="s">
        <v>8</v>
      </c>
      <c r="QJ826" s="26" t="s">
        <v>7</v>
      </c>
      <c r="QK826" s="26" t="s">
        <v>8</v>
      </c>
      <c r="QL826" s="26" t="s">
        <v>7</v>
      </c>
      <c r="QM826" s="26" t="s">
        <v>8</v>
      </c>
      <c r="QN826" s="26" t="s">
        <v>7</v>
      </c>
      <c r="QO826" s="26" t="s">
        <v>8</v>
      </c>
      <c r="QZ826" s="26" t="s">
        <v>7</v>
      </c>
      <c r="SS826" s="26" t="s">
        <v>8</v>
      </c>
    </row>
    <row r="827" spans="1:554" x14ac:dyDescent="0.25">
      <c r="A827" s="7">
        <v>8.6289663846986879E-3</v>
      </c>
      <c r="B827"/>
      <c r="C827"/>
      <c r="D827"/>
      <c r="E827"/>
      <c r="F827" s="26" t="s">
        <v>7</v>
      </c>
      <c r="PO827" s="26" t="s">
        <v>8</v>
      </c>
      <c r="QH827" s="26" t="s">
        <v>7</v>
      </c>
      <c r="QI827" s="26" t="s">
        <v>8</v>
      </c>
      <c r="QJ827" s="26" t="s">
        <v>7</v>
      </c>
      <c r="QK827" s="26" t="s">
        <v>8</v>
      </c>
      <c r="QL827" s="26" t="s">
        <v>7</v>
      </c>
      <c r="QM827" s="26" t="s">
        <v>8</v>
      </c>
      <c r="QN827" s="26" t="s">
        <v>7</v>
      </c>
      <c r="QO827" s="26" t="s">
        <v>8</v>
      </c>
      <c r="QZ827" s="26" t="s">
        <v>7</v>
      </c>
      <c r="SS827" s="26" t="s">
        <v>8</v>
      </c>
      <c r="ST827" s="26" t="s">
        <v>7</v>
      </c>
    </row>
    <row r="828" spans="1:554" x14ac:dyDescent="0.25">
      <c r="A828" s="7">
        <v>8.4597709653908715E-3</v>
      </c>
      <c r="B828"/>
      <c r="C828"/>
      <c r="D828"/>
      <c r="E828"/>
      <c r="F828" s="26" t="s">
        <v>7</v>
      </c>
      <c r="PO828" s="26" t="s">
        <v>8</v>
      </c>
      <c r="QH828" s="26" t="s">
        <v>7</v>
      </c>
      <c r="QI828" s="26" t="s">
        <v>8</v>
      </c>
      <c r="QJ828" s="26" t="s">
        <v>7</v>
      </c>
      <c r="QK828" s="26" t="s">
        <v>8</v>
      </c>
      <c r="QL828" s="26" t="s">
        <v>7</v>
      </c>
      <c r="QM828" s="26" t="s">
        <v>8</v>
      </c>
      <c r="QN828" s="26" t="s">
        <v>7</v>
      </c>
      <c r="QO828" s="26" t="s">
        <v>8</v>
      </c>
      <c r="QZ828" s="26" t="s">
        <v>7</v>
      </c>
      <c r="SS828" s="26" t="s">
        <v>8</v>
      </c>
      <c r="ST828" s="26" t="s">
        <v>7</v>
      </c>
      <c r="UG828" s="26" t="s">
        <v>8</v>
      </c>
    </row>
    <row r="829" spans="1:554" x14ac:dyDescent="0.25">
      <c r="A829" s="7">
        <v>8.2938931033243839E-3</v>
      </c>
      <c r="B829"/>
      <c r="C829"/>
      <c r="D829"/>
      <c r="E829"/>
      <c r="F829" s="26" t="s">
        <v>7</v>
      </c>
      <c r="PO829" s="26" t="s">
        <v>8</v>
      </c>
      <c r="QH829" s="26" t="s">
        <v>7</v>
      </c>
      <c r="QI829" s="26" t="s">
        <v>8</v>
      </c>
      <c r="QJ829" s="26" t="s">
        <v>7</v>
      </c>
      <c r="QK829" s="26" t="s">
        <v>8</v>
      </c>
      <c r="QL829" s="26" t="s">
        <v>7</v>
      </c>
      <c r="QM829" s="26" t="s">
        <v>8</v>
      </c>
      <c r="QN829" s="26" t="s">
        <v>7</v>
      </c>
      <c r="QO829" s="26" t="s">
        <v>8</v>
      </c>
      <c r="QZ829" s="26" t="s">
        <v>7</v>
      </c>
      <c r="SS829" s="26" t="s">
        <v>8</v>
      </c>
      <c r="ST829" s="26" t="s">
        <v>7</v>
      </c>
      <c r="UG829" s="26" t="s">
        <v>8</v>
      </c>
      <c r="UH829" s="26" t="s">
        <v>7</v>
      </c>
    </row>
    <row r="830" spans="1:554" x14ac:dyDescent="0.25">
      <c r="A830" s="7">
        <v>8.1312677483572383E-3</v>
      </c>
      <c r="B830"/>
      <c r="C830"/>
      <c r="D830"/>
      <c r="E830"/>
      <c r="F830" s="26" t="s">
        <v>7</v>
      </c>
      <c r="PO830" s="26" t="s">
        <v>8</v>
      </c>
      <c r="QH830" s="26" t="s">
        <v>7</v>
      </c>
      <c r="QI830" s="26" t="s">
        <v>8</v>
      </c>
      <c r="QJ830" s="26" t="s">
        <v>7</v>
      </c>
      <c r="QK830" s="26" t="s">
        <v>8</v>
      </c>
      <c r="QL830" s="26" t="s">
        <v>7</v>
      </c>
      <c r="QM830" s="26" t="s">
        <v>8</v>
      </c>
      <c r="QN830" s="26" t="s">
        <v>7</v>
      </c>
      <c r="QO830" s="26" t="s">
        <v>8</v>
      </c>
      <c r="QZ830" s="26" t="s">
        <v>7</v>
      </c>
      <c r="RA830" s="26" t="s">
        <v>8</v>
      </c>
      <c r="SS830" s="26" t="s">
        <v>8</v>
      </c>
      <c r="ST830" s="26" t="s">
        <v>7</v>
      </c>
      <c r="UG830" s="26" t="s">
        <v>8</v>
      </c>
      <c r="UH830" s="26" t="s">
        <v>7</v>
      </c>
    </row>
    <row r="831" spans="1:554" x14ac:dyDescent="0.25">
      <c r="A831" s="7">
        <v>7.9718311258404305E-3</v>
      </c>
      <c r="B831"/>
      <c r="C831"/>
      <c r="D831"/>
      <c r="E831"/>
      <c r="F831" s="26" t="s">
        <v>7</v>
      </c>
      <c r="PO831" s="26" t="s">
        <v>8</v>
      </c>
      <c r="QH831" s="26" t="s">
        <v>7</v>
      </c>
      <c r="QI831" s="26" t="s">
        <v>8</v>
      </c>
      <c r="QJ831" s="26" t="s">
        <v>7</v>
      </c>
      <c r="QK831" s="26" t="s">
        <v>8</v>
      </c>
      <c r="QL831" s="26" t="s">
        <v>7</v>
      </c>
      <c r="QM831" s="26" t="s">
        <v>8</v>
      </c>
      <c r="QN831" s="26" t="s">
        <v>7</v>
      </c>
      <c r="QO831" s="26" t="s">
        <v>8</v>
      </c>
      <c r="QZ831" s="26" t="s">
        <v>7</v>
      </c>
      <c r="RA831" s="26" t="s">
        <v>8</v>
      </c>
      <c r="RB831" s="26" t="s">
        <v>7</v>
      </c>
      <c r="SS831" s="26" t="s">
        <v>8</v>
      </c>
      <c r="ST831" s="26" t="s">
        <v>7</v>
      </c>
      <c r="UG831" s="26" t="s">
        <v>8</v>
      </c>
      <c r="UH831" s="26" t="s">
        <v>7</v>
      </c>
    </row>
    <row r="832" spans="1:554" x14ac:dyDescent="0.25">
      <c r="A832" s="7">
        <v>7.8155207116082648E-3</v>
      </c>
      <c r="B832"/>
      <c r="C832"/>
      <c r="D832"/>
      <c r="E832"/>
      <c r="F832" s="26" t="s">
        <v>7</v>
      </c>
      <c r="PO832" s="26" t="s">
        <v>8</v>
      </c>
      <c r="QH832" s="26" t="s">
        <v>7</v>
      </c>
      <c r="QI832" s="26" t="s">
        <v>8</v>
      </c>
      <c r="QJ832" s="26" t="s">
        <v>7</v>
      </c>
      <c r="QL832" s="26" t="s">
        <v>7</v>
      </c>
      <c r="QM832" s="26" t="s">
        <v>8</v>
      </c>
      <c r="QN832" s="26" t="s">
        <v>7</v>
      </c>
      <c r="QO832" s="26" t="s">
        <v>8</v>
      </c>
      <c r="QZ832" s="26" t="s">
        <v>7</v>
      </c>
      <c r="RA832" s="26" t="s">
        <v>8</v>
      </c>
      <c r="RB832" s="26" t="s">
        <v>7</v>
      </c>
      <c r="RE832" s="26" t="s">
        <v>8</v>
      </c>
      <c r="SS832" s="26" t="s">
        <v>8</v>
      </c>
      <c r="ST832" s="26" t="s">
        <v>7</v>
      </c>
      <c r="UG832" s="26" t="s">
        <v>8</v>
      </c>
      <c r="UH832" s="26" t="s">
        <v>7</v>
      </c>
    </row>
    <row r="833" spans="1:566" x14ac:dyDescent="0.25">
      <c r="A833" s="7">
        <v>7.6622752074590825E-3</v>
      </c>
      <c r="B833"/>
      <c r="C833"/>
      <c r="D833"/>
      <c r="E833"/>
      <c r="F833" s="26" t="s">
        <v>7</v>
      </c>
      <c r="PO833" s="26" t="s">
        <v>8</v>
      </c>
      <c r="QH833" s="26" t="s">
        <v>7</v>
      </c>
      <c r="QL833" s="26" t="s">
        <v>7</v>
      </c>
      <c r="QM833" s="26" t="s">
        <v>8</v>
      </c>
      <c r="QN833" s="26" t="s">
        <v>7</v>
      </c>
      <c r="QO833" s="26" t="s">
        <v>8</v>
      </c>
      <c r="QZ833" s="26" t="s">
        <v>7</v>
      </c>
      <c r="RA833" s="26" t="s">
        <v>8</v>
      </c>
      <c r="RB833" s="26" t="s">
        <v>7</v>
      </c>
      <c r="RE833" s="26" t="s">
        <v>8</v>
      </c>
      <c r="RF833" s="26" t="s">
        <v>7</v>
      </c>
      <c r="SS833" s="26" t="s">
        <v>8</v>
      </c>
      <c r="ST833" s="26" t="s">
        <v>7</v>
      </c>
      <c r="SU833" s="26" t="s">
        <v>8</v>
      </c>
      <c r="UG833" s="26" t="s">
        <v>8</v>
      </c>
      <c r="UH833" s="26" t="s">
        <v>7</v>
      </c>
    </row>
    <row r="834" spans="1:566" x14ac:dyDescent="0.25">
      <c r="A834" s="7">
        <v>7.5120345171167469E-3</v>
      </c>
      <c r="B834"/>
      <c r="C834"/>
      <c r="D834"/>
      <c r="E834"/>
      <c r="F834" s="26" t="s">
        <v>7</v>
      </c>
      <c r="PO834" s="26" t="s">
        <v>8</v>
      </c>
      <c r="QL834" s="26" t="s">
        <v>7</v>
      </c>
      <c r="QM834" s="26" t="s">
        <v>8</v>
      </c>
      <c r="QN834" s="26" t="s">
        <v>7</v>
      </c>
      <c r="QO834" s="26" t="s">
        <v>8</v>
      </c>
      <c r="QZ834" s="26" t="s">
        <v>7</v>
      </c>
      <c r="RA834" s="26" t="s">
        <v>8</v>
      </c>
      <c r="RB834" s="26" t="s">
        <v>7</v>
      </c>
      <c r="RE834" s="26" t="s">
        <v>8</v>
      </c>
      <c r="RF834" s="26" t="s">
        <v>7</v>
      </c>
      <c r="SS834" s="26" t="s">
        <v>8</v>
      </c>
      <c r="ST834" s="26" t="s">
        <v>7</v>
      </c>
      <c r="SU834" s="26" t="s">
        <v>8</v>
      </c>
      <c r="SV834" s="26" t="s">
        <v>7</v>
      </c>
      <c r="SW834" s="26" t="s">
        <v>8</v>
      </c>
      <c r="UG834" s="26" t="s">
        <v>8</v>
      </c>
      <c r="UH834" s="26" t="s">
        <v>7</v>
      </c>
      <c r="UO834" s="26" t="s">
        <v>8</v>
      </c>
    </row>
    <row r="835" spans="1:566" x14ac:dyDescent="0.25">
      <c r="A835" s="7">
        <v>7.3647397226634772E-3</v>
      </c>
      <c r="B835"/>
      <c r="C835"/>
      <c r="D835"/>
      <c r="E835"/>
      <c r="F835" s="26" t="s">
        <v>7</v>
      </c>
      <c r="PO835" s="26" t="s">
        <v>8</v>
      </c>
      <c r="QL835" s="26" t="s">
        <v>7</v>
      </c>
      <c r="QM835" s="26" t="s">
        <v>8</v>
      </c>
      <c r="QN835" s="26" t="s">
        <v>7</v>
      </c>
      <c r="QO835" s="26" t="s">
        <v>8</v>
      </c>
      <c r="QZ835" s="26" t="s">
        <v>7</v>
      </c>
      <c r="RA835" s="26" t="s">
        <v>8</v>
      </c>
      <c r="RB835" s="26" t="s">
        <v>7</v>
      </c>
      <c r="RC835" s="26" t="s">
        <v>8</v>
      </c>
      <c r="RE835" s="26" t="s">
        <v>8</v>
      </c>
      <c r="RF835" s="26" t="s">
        <v>7</v>
      </c>
      <c r="SS835" s="26" t="s">
        <v>8</v>
      </c>
      <c r="ST835" s="26" t="s">
        <v>7</v>
      </c>
      <c r="SU835" s="26" t="s">
        <v>8</v>
      </c>
      <c r="SV835" s="26" t="s">
        <v>7</v>
      </c>
      <c r="SW835" s="26" t="s">
        <v>8</v>
      </c>
      <c r="SX835" s="26" t="s">
        <v>7</v>
      </c>
      <c r="TA835" s="26" t="s">
        <v>8</v>
      </c>
      <c r="TC835" s="26" t="s">
        <v>8</v>
      </c>
      <c r="UE835" s="26" t="s">
        <v>8</v>
      </c>
      <c r="UG835" s="26" t="s">
        <v>8</v>
      </c>
      <c r="UH835" s="26" t="s">
        <v>7</v>
      </c>
      <c r="UK835" s="26" t="s">
        <v>8</v>
      </c>
      <c r="UM835" s="26" t="s">
        <v>8</v>
      </c>
      <c r="UO835" s="26" t="s">
        <v>8</v>
      </c>
      <c r="UP835" s="26" t="s">
        <v>7</v>
      </c>
    </row>
    <row r="836" spans="1:566" x14ac:dyDescent="0.25">
      <c r="A836" s="7">
        <v>7.2203330614347815E-3</v>
      </c>
      <c r="B836"/>
      <c r="C836"/>
      <c r="D836"/>
      <c r="E836"/>
      <c r="F836" s="26" t="s">
        <v>7</v>
      </c>
      <c r="PO836" s="26" t="s">
        <v>8</v>
      </c>
      <c r="QL836" s="26" t="s">
        <v>7</v>
      </c>
      <c r="QM836" s="26" t="s">
        <v>8</v>
      </c>
      <c r="QN836" s="26" t="s">
        <v>7</v>
      </c>
      <c r="QO836" s="26" t="s">
        <v>8</v>
      </c>
      <c r="QZ836" s="26" t="s">
        <v>7</v>
      </c>
      <c r="RA836" s="26" t="s">
        <v>8</v>
      </c>
      <c r="RB836" s="26" t="s">
        <v>7</v>
      </c>
      <c r="RC836" s="26" t="s">
        <v>8</v>
      </c>
      <c r="RD836" s="26" t="s">
        <v>7</v>
      </c>
      <c r="RE836" s="26" t="s">
        <v>8</v>
      </c>
      <c r="RF836" s="26" t="s">
        <v>7</v>
      </c>
      <c r="SS836" s="26" t="s">
        <v>8</v>
      </c>
      <c r="ST836" s="26" t="s">
        <v>7</v>
      </c>
      <c r="SU836" s="26" t="s">
        <v>8</v>
      </c>
      <c r="SV836" s="26" t="s">
        <v>7</v>
      </c>
      <c r="SW836" s="26" t="s">
        <v>8</v>
      </c>
      <c r="SX836" s="26" t="s">
        <v>7</v>
      </c>
      <c r="TA836" s="26" t="s">
        <v>8</v>
      </c>
      <c r="TB836" s="26" t="s">
        <v>7</v>
      </c>
      <c r="TC836" s="26" t="s">
        <v>8</v>
      </c>
      <c r="TD836" s="26" t="s">
        <v>7</v>
      </c>
      <c r="UE836" s="26" t="s">
        <v>8</v>
      </c>
      <c r="UF836" s="26" t="s">
        <v>7</v>
      </c>
      <c r="UG836" s="26" t="s">
        <v>8</v>
      </c>
      <c r="UH836" s="26" t="s">
        <v>7</v>
      </c>
      <c r="UI836" s="26" t="s">
        <v>8</v>
      </c>
      <c r="UK836" s="26" t="s">
        <v>8</v>
      </c>
      <c r="UL836" s="26" t="s">
        <v>7</v>
      </c>
      <c r="UM836" s="26" t="s">
        <v>8</v>
      </c>
      <c r="UN836" s="26" t="s">
        <v>7</v>
      </c>
      <c r="UO836" s="26" t="s">
        <v>8</v>
      </c>
      <c r="UP836" s="26" t="s">
        <v>7</v>
      </c>
    </row>
    <row r="837" spans="1:566" x14ac:dyDescent="0.25">
      <c r="A837" s="7">
        <v>7.0787579033674327E-3</v>
      </c>
      <c r="B837"/>
      <c r="C837"/>
      <c r="D837"/>
      <c r="E837"/>
      <c r="F837" s="26" t="s">
        <v>7</v>
      </c>
      <c r="PO837" s="26" t="s">
        <v>8</v>
      </c>
      <c r="QL837" s="26" t="s">
        <v>7</v>
      </c>
      <c r="QM837" s="26" t="s">
        <v>8</v>
      </c>
      <c r="QN837" s="26" t="s">
        <v>7</v>
      </c>
      <c r="QZ837" s="26" t="s">
        <v>7</v>
      </c>
      <c r="RA837" s="26" t="s">
        <v>8</v>
      </c>
      <c r="RB837" s="26" t="s">
        <v>7</v>
      </c>
      <c r="RC837" s="26" t="s">
        <v>8</v>
      </c>
      <c r="RD837" s="26" t="s">
        <v>7</v>
      </c>
      <c r="RE837" s="26" t="s">
        <v>8</v>
      </c>
      <c r="RF837" s="26" t="s">
        <v>7</v>
      </c>
      <c r="SS837" s="26" t="s">
        <v>8</v>
      </c>
      <c r="ST837" s="26" t="s">
        <v>7</v>
      </c>
      <c r="SU837" s="26" t="s">
        <v>8</v>
      </c>
      <c r="SV837" s="26" t="s">
        <v>7</v>
      </c>
      <c r="SW837" s="26" t="s">
        <v>8</v>
      </c>
      <c r="SX837" s="26" t="s">
        <v>7</v>
      </c>
      <c r="TA837" s="26" t="s">
        <v>8</v>
      </c>
      <c r="TB837" s="26" t="s">
        <v>7</v>
      </c>
      <c r="TC837" s="26" t="s">
        <v>8</v>
      </c>
      <c r="TD837" s="26" t="s">
        <v>7</v>
      </c>
      <c r="UE837" s="26" t="s">
        <v>8</v>
      </c>
      <c r="UF837" s="26" t="s">
        <v>7</v>
      </c>
      <c r="UG837" s="26" t="s">
        <v>8</v>
      </c>
      <c r="UH837" s="26" t="s">
        <v>7</v>
      </c>
      <c r="UI837" s="26" t="s">
        <v>8</v>
      </c>
      <c r="UJ837" s="26" t="s">
        <v>7</v>
      </c>
      <c r="UK837" s="26" t="s">
        <v>8</v>
      </c>
      <c r="UL837" s="26" t="s">
        <v>7</v>
      </c>
      <c r="UM837" s="26" t="s">
        <v>8</v>
      </c>
      <c r="UN837" s="26" t="s">
        <v>7</v>
      </c>
      <c r="UO837" s="26" t="s">
        <v>8</v>
      </c>
      <c r="UP837" s="26" t="s">
        <v>7</v>
      </c>
    </row>
    <row r="838" spans="1:566" x14ac:dyDescent="0.25">
      <c r="A838" s="7">
        <v>6.9399587287916013E-3</v>
      </c>
      <c r="B838"/>
      <c r="C838"/>
      <c r="D838"/>
      <c r="E838"/>
      <c r="F838" s="26" t="s">
        <v>7</v>
      </c>
      <c r="PO838" s="26" t="s">
        <v>8</v>
      </c>
      <c r="QL838" s="26" t="s">
        <v>7</v>
      </c>
      <c r="QM838" s="26" t="s">
        <v>8</v>
      </c>
      <c r="QZ838" s="26" t="s">
        <v>7</v>
      </c>
      <c r="RA838" s="26" t="s">
        <v>8</v>
      </c>
      <c r="RB838" s="26" t="s">
        <v>7</v>
      </c>
      <c r="RC838" s="26" t="s">
        <v>8</v>
      </c>
      <c r="RD838" s="26" t="s">
        <v>7</v>
      </c>
      <c r="RE838" s="26" t="s">
        <v>8</v>
      </c>
      <c r="RF838" s="26" t="s">
        <v>7</v>
      </c>
      <c r="SS838" s="26" t="s">
        <v>8</v>
      </c>
      <c r="ST838" s="26" t="s">
        <v>7</v>
      </c>
      <c r="SU838" s="26" t="s">
        <v>8</v>
      </c>
      <c r="SV838" s="26" t="s">
        <v>7</v>
      </c>
      <c r="SW838" s="26" t="s">
        <v>8</v>
      </c>
      <c r="SX838" s="26" t="s">
        <v>7</v>
      </c>
      <c r="TA838" s="26" t="s">
        <v>8</v>
      </c>
      <c r="TB838" s="26" t="s">
        <v>7</v>
      </c>
      <c r="TC838" s="26" t="s">
        <v>8</v>
      </c>
      <c r="TD838" s="26" t="s">
        <v>7</v>
      </c>
      <c r="UE838" s="26" t="s">
        <v>8</v>
      </c>
      <c r="UF838" s="26" t="s">
        <v>7</v>
      </c>
      <c r="UG838" s="26" t="s">
        <v>8</v>
      </c>
      <c r="UH838" s="26" t="s">
        <v>7</v>
      </c>
      <c r="UI838" s="26" t="s">
        <v>8</v>
      </c>
      <c r="UJ838" s="26" t="s">
        <v>7</v>
      </c>
      <c r="UK838" s="26" t="s">
        <v>8</v>
      </c>
      <c r="UL838" s="26" t="s">
        <v>7</v>
      </c>
      <c r="UM838" s="26" t="s">
        <v>8</v>
      </c>
      <c r="UN838" s="26" t="s">
        <v>7</v>
      </c>
      <c r="UO838" s="26" t="s">
        <v>8</v>
      </c>
      <c r="UP838" s="26" t="s">
        <v>7</v>
      </c>
    </row>
    <row r="839" spans="1:566" x14ac:dyDescent="0.25">
      <c r="A839" s="7">
        <v>6.8038811066584333E-3</v>
      </c>
      <c r="B839"/>
      <c r="C839"/>
      <c r="D839"/>
      <c r="E839"/>
      <c r="F839" s="26" t="s">
        <v>7</v>
      </c>
      <c r="PO839" s="26" t="s">
        <v>8</v>
      </c>
      <c r="QL839" s="26" t="s">
        <v>7</v>
      </c>
      <c r="QM839" s="26" t="s">
        <v>8</v>
      </c>
      <c r="QZ839" s="26" t="s">
        <v>7</v>
      </c>
      <c r="RB839" s="26" t="s">
        <v>7</v>
      </c>
      <c r="RC839" s="26" t="s">
        <v>8</v>
      </c>
      <c r="RD839" s="26" t="s">
        <v>7</v>
      </c>
      <c r="RE839" s="26" t="s">
        <v>8</v>
      </c>
      <c r="RF839" s="26" t="s">
        <v>7</v>
      </c>
      <c r="SS839" s="26" t="s">
        <v>8</v>
      </c>
      <c r="ST839" s="26" t="s">
        <v>7</v>
      </c>
      <c r="SU839" s="26" t="s">
        <v>8</v>
      </c>
      <c r="SV839" s="26" t="s">
        <v>7</v>
      </c>
      <c r="SW839" s="26" t="s">
        <v>8</v>
      </c>
      <c r="SX839" s="26" t="s">
        <v>7</v>
      </c>
      <c r="TA839" s="26" t="s">
        <v>8</v>
      </c>
      <c r="TB839" s="26" t="s">
        <v>7</v>
      </c>
      <c r="TC839" s="26" t="s">
        <v>8</v>
      </c>
      <c r="TD839" s="26" t="s">
        <v>7</v>
      </c>
      <c r="TU839" s="26" t="s">
        <v>8</v>
      </c>
      <c r="UE839" s="26" t="s">
        <v>8</v>
      </c>
      <c r="UF839" s="26" t="s">
        <v>7</v>
      </c>
      <c r="UG839" s="26" t="s">
        <v>8</v>
      </c>
      <c r="UH839" s="26" t="s">
        <v>7</v>
      </c>
      <c r="UJ839" s="26" t="s">
        <v>7</v>
      </c>
      <c r="UK839" s="26" t="s">
        <v>8</v>
      </c>
      <c r="UL839" s="26" t="s">
        <v>7</v>
      </c>
      <c r="UM839" s="26" t="s">
        <v>8</v>
      </c>
      <c r="UN839" s="26" t="s">
        <v>7</v>
      </c>
      <c r="UO839" s="26" t="s">
        <v>8</v>
      </c>
      <c r="UP839" s="26" t="s">
        <v>7</v>
      </c>
    </row>
    <row r="840" spans="1:566" x14ac:dyDescent="0.25">
      <c r="A840" s="7">
        <v>6.6704716731945425E-3</v>
      </c>
      <c r="B840"/>
      <c r="C840"/>
      <c r="D840"/>
      <c r="E840"/>
      <c r="F840" s="26" t="s">
        <v>7</v>
      </c>
      <c r="PO840" s="26" t="s">
        <v>8</v>
      </c>
      <c r="QL840" s="26" t="s">
        <v>7</v>
      </c>
      <c r="QM840" s="26" t="s">
        <v>8</v>
      </c>
      <c r="RB840" s="26" t="s">
        <v>7</v>
      </c>
      <c r="RC840" s="26" t="s">
        <v>8</v>
      </c>
      <c r="RD840" s="26" t="s">
        <v>7</v>
      </c>
      <c r="RE840" s="26" t="s">
        <v>8</v>
      </c>
      <c r="RF840" s="26" t="s">
        <v>7</v>
      </c>
      <c r="SS840" s="26" t="s">
        <v>8</v>
      </c>
      <c r="ST840" s="26" t="s">
        <v>7</v>
      </c>
      <c r="SU840" s="26" t="s">
        <v>8</v>
      </c>
      <c r="SV840" s="26" t="s">
        <v>7</v>
      </c>
      <c r="SX840" s="26" t="s">
        <v>7</v>
      </c>
      <c r="TA840" s="26" t="s">
        <v>8</v>
      </c>
      <c r="TB840" s="26" t="s">
        <v>7</v>
      </c>
      <c r="TC840" s="26" t="s">
        <v>8</v>
      </c>
      <c r="TD840" s="26" t="s">
        <v>7</v>
      </c>
      <c r="TU840" s="26" t="s">
        <v>8</v>
      </c>
      <c r="TV840" s="26" t="s">
        <v>7</v>
      </c>
      <c r="UA840" s="26" t="s">
        <v>8</v>
      </c>
      <c r="UE840" s="26" t="s">
        <v>8</v>
      </c>
      <c r="UF840" s="26" t="s">
        <v>7</v>
      </c>
      <c r="UG840" s="26" t="s">
        <v>8</v>
      </c>
      <c r="UJ840" s="26" t="s">
        <v>7</v>
      </c>
      <c r="UK840" s="26" t="s">
        <v>8</v>
      </c>
      <c r="UL840" s="26" t="s">
        <v>7</v>
      </c>
      <c r="UM840" s="26" t="s">
        <v>8</v>
      </c>
      <c r="UN840" s="26" t="s">
        <v>7</v>
      </c>
      <c r="UO840" s="26" t="s">
        <v>8</v>
      </c>
      <c r="UP840" s="26" t="s">
        <v>7</v>
      </c>
    </row>
    <row r="841" spans="1:566" x14ac:dyDescent="0.25">
      <c r="A841" s="7">
        <v>6.5396781109750427E-3</v>
      </c>
      <c r="B841"/>
      <c r="C841"/>
      <c r="D841"/>
      <c r="E841"/>
      <c r="F841" s="26" t="s">
        <v>7</v>
      </c>
      <c r="PO841" s="26" t="s">
        <v>8</v>
      </c>
      <c r="QL841" s="26" t="s">
        <v>7</v>
      </c>
      <c r="QM841" s="26" t="s">
        <v>8</v>
      </c>
      <c r="RB841" s="26" t="s">
        <v>7</v>
      </c>
      <c r="RC841" s="26" t="s">
        <v>8</v>
      </c>
      <c r="RD841" s="26" t="s">
        <v>7</v>
      </c>
      <c r="RE841" s="26" t="s">
        <v>8</v>
      </c>
      <c r="RF841" s="26" t="s">
        <v>7</v>
      </c>
      <c r="SS841" s="26" t="s">
        <v>8</v>
      </c>
      <c r="ST841" s="26" t="s">
        <v>7</v>
      </c>
      <c r="SU841" s="26" t="s">
        <v>8</v>
      </c>
      <c r="SX841" s="26" t="s">
        <v>7</v>
      </c>
      <c r="SY841" s="26" t="s">
        <v>8</v>
      </c>
      <c r="TA841" s="26" t="s">
        <v>8</v>
      </c>
      <c r="TB841" s="26" t="s">
        <v>7</v>
      </c>
      <c r="TC841" s="26" t="s">
        <v>8</v>
      </c>
      <c r="TD841" s="26" t="s">
        <v>7</v>
      </c>
      <c r="TU841" s="26" t="s">
        <v>8</v>
      </c>
      <c r="TV841" s="26" t="s">
        <v>7</v>
      </c>
      <c r="UA841" s="26" t="s">
        <v>8</v>
      </c>
      <c r="UB841" s="26" t="s">
        <v>7</v>
      </c>
      <c r="UC841" s="26" t="s">
        <v>8</v>
      </c>
      <c r="UE841" s="26" t="s">
        <v>8</v>
      </c>
      <c r="UF841" s="26" t="s">
        <v>7</v>
      </c>
      <c r="UG841" s="26" t="s">
        <v>8</v>
      </c>
      <c r="UJ841" s="26" t="s">
        <v>7</v>
      </c>
      <c r="UL841" s="26" t="s">
        <v>7</v>
      </c>
      <c r="UM841" s="26" t="s">
        <v>8</v>
      </c>
      <c r="UN841" s="26" t="s">
        <v>7</v>
      </c>
      <c r="UP841" s="26" t="s">
        <v>7</v>
      </c>
    </row>
    <row r="842" spans="1:566" x14ac:dyDescent="0.25">
      <c r="A842" s="7">
        <v>6.4114491284069045E-3</v>
      </c>
      <c r="B842"/>
      <c r="C842"/>
      <c r="D842"/>
      <c r="E842"/>
      <c r="F842" s="26" t="s">
        <v>7</v>
      </c>
      <c r="PO842" s="26" t="s">
        <v>8</v>
      </c>
      <c r="QL842" s="26" t="s">
        <v>7</v>
      </c>
      <c r="QM842" s="26" t="s">
        <v>8</v>
      </c>
      <c r="RB842" s="26" t="s">
        <v>7</v>
      </c>
      <c r="RC842" s="26" t="s">
        <v>8</v>
      </c>
      <c r="RD842" s="26" t="s">
        <v>7</v>
      </c>
      <c r="RE842" s="26" t="s">
        <v>8</v>
      </c>
      <c r="RF842" s="26" t="s">
        <v>7</v>
      </c>
      <c r="SS842" s="26" t="s">
        <v>8</v>
      </c>
      <c r="ST842" s="26" t="s">
        <v>7</v>
      </c>
      <c r="SU842" s="26" t="s">
        <v>8</v>
      </c>
      <c r="SX842" s="26" t="s">
        <v>7</v>
      </c>
      <c r="SY842" s="26" t="s">
        <v>8</v>
      </c>
      <c r="SZ842" s="26" t="s">
        <v>7</v>
      </c>
      <c r="TA842" s="26" t="s">
        <v>8</v>
      </c>
      <c r="TB842" s="26" t="s">
        <v>7</v>
      </c>
      <c r="TD842" s="26" t="s">
        <v>7</v>
      </c>
      <c r="TS842" s="26" t="s">
        <v>8</v>
      </c>
      <c r="TU842" s="26" t="s">
        <v>8</v>
      </c>
      <c r="TV842" s="26" t="s">
        <v>7</v>
      </c>
      <c r="UA842" s="26" t="s">
        <v>8</v>
      </c>
      <c r="UB842" s="26" t="s">
        <v>7</v>
      </c>
      <c r="UC842" s="26" t="s">
        <v>8</v>
      </c>
      <c r="UD842" s="26" t="s">
        <v>7</v>
      </c>
      <c r="UE842" s="26" t="s">
        <v>8</v>
      </c>
      <c r="UF842" s="26" t="s">
        <v>7</v>
      </c>
      <c r="UL842" s="26" t="s">
        <v>7</v>
      </c>
      <c r="UM842" s="26" t="s">
        <v>8</v>
      </c>
      <c r="UP842" s="26" t="s">
        <v>7</v>
      </c>
    </row>
    <row r="843" spans="1:566" x14ac:dyDescent="0.25">
      <c r="A843" s="7">
        <v>6.2857344396146115E-3</v>
      </c>
      <c r="B843"/>
      <c r="C843"/>
      <c r="D843"/>
      <c r="E843"/>
      <c r="F843" s="26" t="s">
        <v>7</v>
      </c>
      <c r="PO843" s="26" t="s">
        <v>8</v>
      </c>
      <c r="QL843" s="26" t="s">
        <v>7</v>
      </c>
      <c r="QM843" s="26" t="s">
        <v>8</v>
      </c>
      <c r="RB843" s="26" t="s">
        <v>7</v>
      </c>
      <c r="RC843" s="26" t="s">
        <v>8</v>
      </c>
      <c r="RD843" s="26" t="s">
        <v>7</v>
      </c>
      <c r="RE843" s="26" t="s">
        <v>8</v>
      </c>
      <c r="RF843" s="26" t="s">
        <v>7</v>
      </c>
      <c r="SS843" s="26" t="s">
        <v>8</v>
      </c>
      <c r="ST843" s="26" t="s">
        <v>7</v>
      </c>
      <c r="SU843" s="26" t="s">
        <v>8</v>
      </c>
      <c r="SX843" s="26" t="s">
        <v>7</v>
      </c>
      <c r="SY843" s="26" t="s">
        <v>8</v>
      </c>
      <c r="SZ843" s="26" t="s">
        <v>7</v>
      </c>
      <c r="TA843" s="26" t="s">
        <v>8</v>
      </c>
      <c r="TD843" s="26" t="s">
        <v>7</v>
      </c>
      <c r="TS843" s="26" t="s">
        <v>8</v>
      </c>
      <c r="TT843" s="26" t="s">
        <v>7</v>
      </c>
      <c r="TU843" s="26" t="s">
        <v>8</v>
      </c>
      <c r="TV843" s="26" t="s">
        <v>7</v>
      </c>
      <c r="TW843" s="26" t="s">
        <v>8</v>
      </c>
      <c r="UA843" s="26" t="s">
        <v>8</v>
      </c>
      <c r="UB843" s="26" t="s">
        <v>7</v>
      </c>
      <c r="UC843" s="26" t="s">
        <v>8</v>
      </c>
      <c r="UD843" s="26" t="s">
        <v>7</v>
      </c>
      <c r="UE843" s="26" t="s">
        <v>8</v>
      </c>
      <c r="UL843" s="26" t="s">
        <v>7</v>
      </c>
      <c r="UM843" s="26" t="s">
        <v>8</v>
      </c>
      <c r="UP843" s="26" t="s">
        <v>7</v>
      </c>
      <c r="UQ843" s="26" t="s">
        <v>8</v>
      </c>
      <c r="US843" s="26" t="s">
        <v>8</v>
      </c>
    </row>
    <row r="844" spans="1:566" x14ac:dyDescent="0.25">
      <c r="A844" s="7">
        <v>6.1624847447202076E-3</v>
      </c>
      <c r="B844"/>
      <c r="C844"/>
      <c r="D844"/>
      <c r="E844"/>
      <c r="F844" s="26" t="s">
        <v>7</v>
      </c>
      <c r="PO844" s="26" t="s">
        <v>8</v>
      </c>
      <c r="QL844" s="26" t="s">
        <v>7</v>
      </c>
      <c r="QM844" s="26" t="s">
        <v>8</v>
      </c>
      <c r="RB844" s="26" t="s">
        <v>7</v>
      </c>
      <c r="RC844" s="26" t="s">
        <v>8</v>
      </c>
      <c r="RD844" s="26" t="s">
        <v>7</v>
      </c>
      <c r="RF844" s="26" t="s">
        <v>7</v>
      </c>
      <c r="SS844" s="26" t="s">
        <v>8</v>
      </c>
      <c r="ST844" s="26" t="s">
        <v>7</v>
      </c>
      <c r="SU844" s="26" t="s">
        <v>8</v>
      </c>
      <c r="SX844" s="26" t="s">
        <v>7</v>
      </c>
      <c r="SY844" s="26" t="s">
        <v>8</v>
      </c>
      <c r="SZ844" s="26" t="s">
        <v>7</v>
      </c>
      <c r="TA844" s="26" t="s">
        <v>8</v>
      </c>
      <c r="TD844" s="26" t="s">
        <v>7</v>
      </c>
      <c r="TS844" s="26" t="s">
        <v>8</v>
      </c>
      <c r="TT844" s="26" t="s">
        <v>7</v>
      </c>
      <c r="TU844" s="26" t="s">
        <v>8</v>
      </c>
      <c r="TV844" s="26" t="s">
        <v>7</v>
      </c>
      <c r="TW844" s="26" t="s">
        <v>8</v>
      </c>
      <c r="TX844" s="26" t="s">
        <v>7</v>
      </c>
      <c r="TY844" s="26" t="s">
        <v>8</v>
      </c>
      <c r="UA844" s="26" t="s">
        <v>8</v>
      </c>
      <c r="UB844" s="26" t="s">
        <v>7</v>
      </c>
      <c r="UC844" s="26" t="s">
        <v>8</v>
      </c>
      <c r="UD844" s="26" t="s">
        <v>7</v>
      </c>
      <c r="UE844" s="26" t="s">
        <v>8</v>
      </c>
      <c r="UL844" s="26" t="s">
        <v>7</v>
      </c>
      <c r="UM844" s="26" t="s">
        <v>8</v>
      </c>
      <c r="UP844" s="26" t="s">
        <v>7</v>
      </c>
      <c r="UQ844" s="26" t="s">
        <v>8</v>
      </c>
      <c r="UR844" s="26" t="s">
        <v>7</v>
      </c>
      <c r="US844" s="26" t="s">
        <v>8</v>
      </c>
      <c r="UT844" s="26" t="s">
        <v>7</v>
      </c>
    </row>
    <row r="845" spans="1:566" x14ac:dyDescent="0.25">
      <c r="A845" s="7">
        <v>6.0416517105100079E-3</v>
      </c>
      <c r="B845"/>
      <c r="C845"/>
      <c r="D845"/>
      <c r="E845"/>
      <c r="F845" s="26" t="s">
        <v>7</v>
      </c>
      <c r="PO845" s="26" t="s">
        <v>8</v>
      </c>
      <c r="QL845" s="26" t="s">
        <v>7</v>
      </c>
      <c r="QM845" s="26" t="s">
        <v>8</v>
      </c>
      <c r="RB845" s="26" t="s">
        <v>7</v>
      </c>
      <c r="RC845" s="26" t="s">
        <v>8</v>
      </c>
      <c r="RF845" s="26" t="s">
        <v>7</v>
      </c>
      <c r="SS845" s="26" t="s">
        <v>8</v>
      </c>
      <c r="ST845" s="26" t="s">
        <v>7</v>
      </c>
      <c r="SU845" s="26" t="s">
        <v>8</v>
      </c>
      <c r="SX845" s="26" t="s">
        <v>7</v>
      </c>
      <c r="SY845" s="26" t="s">
        <v>8</v>
      </c>
      <c r="SZ845" s="26" t="s">
        <v>7</v>
      </c>
      <c r="TA845" s="26" t="s">
        <v>8</v>
      </c>
      <c r="TD845" s="26" t="s">
        <v>7</v>
      </c>
      <c r="TS845" s="26" t="s">
        <v>8</v>
      </c>
      <c r="TT845" s="26" t="s">
        <v>7</v>
      </c>
      <c r="TU845" s="26" t="s">
        <v>8</v>
      </c>
      <c r="TV845" s="26" t="s">
        <v>7</v>
      </c>
      <c r="TW845" s="26" t="s">
        <v>8</v>
      </c>
      <c r="TX845" s="26" t="s">
        <v>7</v>
      </c>
      <c r="TY845" s="26" t="s">
        <v>8</v>
      </c>
      <c r="TZ845" s="26" t="s">
        <v>7</v>
      </c>
      <c r="UA845" s="26" t="s">
        <v>8</v>
      </c>
      <c r="UB845" s="26" t="s">
        <v>7</v>
      </c>
      <c r="UC845" s="26" t="s">
        <v>8</v>
      </c>
      <c r="UD845" s="26" t="s">
        <v>7</v>
      </c>
      <c r="UE845" s="26" t="s">
        <v>8</v>
      </c>
      <c r="UL845" s="26" t="s">
        <v>7</v>
      </c>
      <c r="UM845" s="26" t="s">
        <v>8</v>
      </c>
      <c r="UP845" s="26" t="s">
        <v>7</v>
      </c>
      <c r="UQ845" s="26" t="s">
        <v>8</v>
      </c>
      <c r="UR845" s="26" t="s">
        <v>7</v>
      </c>
      <c r="US845" s="26" t="s">
        <v>8</v>
      </c>
      <c r="UT845" s="26" t="s">
        <v>7</v>
      </c>
    </row>
    <row r="846" spans="1:566" x14ac:dyDescent="0.25">
      <c r="A846" s="7">
        <v>5.9231879514803996E-3</v>
      </c>
      <c r="B846"/>
      <c r="C846"/>
      <c r="D846"/>
      <c r="E846"/>
      <c r="F846" s="26" t="s">
        <v>7</v>
      </c>
      <c r="PO846" s="26" t="s">
        <v>8</v>
      </c>
      <c r="QL846" s="26" t="s">
        <v>7</v>
      </c>
      <c r="QM846" s="26" t="s">
        <v>8</v>
      </c>
      <c r="RB846" s="26" t="s">
        <v>7</v>
      </c>
      <c r="RC846" s="26" t="s">
        <v>8</v>
      </c>
      <c r="RF846" s="26" t="s">
        <v>7</v>
      </c>
      <c r="SS846" s="26" t="s">
        <v>8</v>
      </c>
      <c r="ST846" s="26" t="s">
        <v>7</v>
      </c>
      <c r="SU846" s="26" t="s">
        <v>8</v>
      </c>
      <c r="SX846" s="26" t="s">
        <v>7</v>
      </c>
      <c r="SY846" s="26" t="s">
        <v>8</v>
      </c>
      <c r="SZ846" s="26" t="s">
        <v>7</v>
      </c>
      <c r="TA846" s="26" t="s">
        <v>8</v>
      </c>
      <c r="TD846" s="26" t="s">
        <v>7</v>
      </c>
      <c r="TS846" s="26" t="s">
        <v>8</v>
      </c>
      <c r="TT846" s="26" t="s">
        <v>7</v>
      </c>
      <c r="TU846" s="26" t="s">
        <v>8</v>
      </c>
      <c r="TV846" s="26" t="s">
        <v>7</v>
      </c>
      <c r="TW846" s="26" t="s">
        <v>8</v>
      </c>
      <c r="TX846" s="26" t="s">
        <v>7</v>
      </c>
      <c r="TY846" s="26" t="s">
        <v>8</v>
      </c>
      <c r="TZ846" s="26" t="s">
        <v>7</v>
      </c>
      <c r="UA846" s="26" t="s">
        <v>8</v>
      </c>
      <c r="UB846" s="26" t="s">
        <v>7</v>
      </c>
      <c r="UC846" s="26" t="s">
        <v>8</v>
      </c>
      <c r="UD846" s="26" t="s">
        <v>7</v>
      </c>
      <c r="UE846" s="26" t="s">
        <v>8</v>
      </c>
      <c r="UL846" s="26" t="s">
        <v>7</v>
      </c>
      <c r="UM846" s="26" t="s">
        <v>8</v>
      </c>
      <c r="UP846" s="26" t="s">
        <v>7</v>
      </c>
      <c r="UQ846" s="26" t="s">
        <v>8</v>
      </c>
      <c r="UR846" s="26" t="s">
        <v>7</v>
      </c>
      <c r="US846" s="26" t="s">
        <v>8</v>
      </c>
      <c r="UT846" s="26" t="s">
        <v>7</v>
      </c>
    </row>
    <row r="847" spans="1:566" x14ac:dyDescent="0.25">
      <c r="A847" s="7">
        <v>5.8070470112552936E-3</v>
      </c>
      <c r="B847"/>
      <c r="C847"/>
      <c r="D847"/>
      <c r="E847"/>
      <c r="F847" s="26" t="s">
        <v>7</v>
      </c>
      <c r="PO847" s="26" t="s">
        <v>8</v>
      </c>
      <c r="QL847" s="26" t="s">
        <v>7</v>
      </c>
      <c r="QM847" s="26" t="s">
        <v>8</v>
      </c>
      <c r="RB847" s="26" t="s">
        <v>7</v>
      </c>
      <c r="RC847" s="26" t="s">
        <v>8</v>
      </c>
      <c r="RF847" s="26" t="s">
        <v>7</v>
      </c>
      <c r="SS847" s="26" t="s">
        <v>8</v>
      </c>
      <c r="ST847" s="26" t="s">
        <v>7</v>
      </c>
      <c r="SX847" s="26" t="s">
        <v>7</v>
      </c>
      <c r="SY847" s="26" t="s">
        <v>8</v>
      </c>
      <c r="SZ847" s="26" t="s">
        <v>7</v>
      </c>
      <c r="TA847" s="26" t="s">
        <v>8</v>
      </c>
      <c r="TD847" s="26" t="s">
        <v>7</v>
      </c>
      <c r="TS847" s="26" t="s">
        <v>8</v>
      </c>
      <c r="TT847" s="26" t="s">
        <v>7</v>
      </c>
      <c r="TU847" s="26" t="s">
        <v>8</v>
      </c>
      <c r="TV847" s="26" t="s">
        <v>7</v>
      </c>
      <c r="TW847" s="26" t="s">
        <v>8</v>
      </c>
      <c r="TX847" s="26" t="s">
        <v>7</v>
      </c>
      <c r="TY847" s="26" t="s">
        <v>8</v>
      </c>
      <c r="TZ847" s="26" t="s">
        <v>7</v>
      </c>
      <c r="UA847" s="26" t="s">
        <v>8</v>
      </c>
      <c r="UB847" s="26" t="s">
        <v>7</v>
      </c>
      <c r="UC847" s="26" t="s">
        <v>8</v>
      </c>
      <c r="UD847" s="26" t="s">
        <v>7</v>
      </c>
      <c r="UE847" s="26" t="s">
        <v>8</v>
      </c>
      <c r="UL847" s="26" t="s">
        <v>7</v>
      </c>
      <c r="UP847" s="26" t="s">
        <v>7</v>
      </c>
      <c r="UR847" s="26" t="s">
        <v>7</v>
      </c>
      <c r="US847" s="26" t="s">
        <v>8</v>
      </c>
      <c r="UT847" s="26" t="s">
        <v>7</v>
      </c>
    </row>
    <row r="848" spans="1:566" x14ac:dyDescent="0.25">
      <c r="A848" s="7">
        <v>5.6931833443679353E-3</v>
      </c>
      <c r="B848"/>
      <c r="C848"/>
      <c r="D848"/>
      <c r="E848"/>
      <c r="F848" s="26" t="s">
        <v>7</v>
      </c>
      <c r="PO848" s="26" t="s">
        <v>8</v>
      </c>
      <c r="QL848" s="26" t="s">
        <v>7</v>
      </c>
      <c r="QM848" s="26" t="s">
        <v>8</v>
      </c>
      <c r="RB848" s="26" t="s">
        <v>7</v>
      </c>
      <c r="RC848" s="26" t="s">
        <v>8</v>
      </c>
      <c r="RF848" s="26" t="s">
        <v>7</v>
      </c>
      <c r="SS848" s="26" t="s">
        <v>8</v>
      </c>
      <c r="SX848" s="26" t="s">
        <v>7</v>
      </c>
      <c r="SY848" s="26" t="s">
        <v>8</v>
      </c>
      <c r="SZ848" s="26" t="s">
        <v>7</v>
      </c>
      <c r="TD848" s="26" t="s">
        <v>7</v>
      </c>
      <c r="TS848" s="26" t="s">
        <v>8</v>
      </c>
      <c r="TT848" s="26" t="s">
        <v>7</v>
      </c>
      <c r="TU848" s="26" t="s">
        <v>8</v>
      </c>
      <c r="TV848" s="26" t="s">
        <v>7</v>
      </c>
      <c r="TW848" s="26" t="s">
        <v>8</v>
      </c>
      <c r="TX848" s="26" t="s">
        <v>7</v>
      </c>
      <c r="TY848" s="26" t="s">
        <v>8</v>
      </c>
      <c r="TZ848" s="26" t="s">
        <v>7</v>
      </c>
      <c r="UB848" s="26" t="s">
        <v>7</v>
      </c>
      <c r="UD848" s="26" t="s">
        <v>7</v>
      </c>
      <c r="UE848" s="26" t="s">
        <v>8</v>
      </c>
      <c r="UR848" s="26" t="s">
        <v>7</v>
      </c>
      <c r="US848" s="26" t="s">
        <v>8</v>
      </c>
      <c r="UT848" s="26" t="s">
        <v>7</v>
      </c>
    </row>
    <row r="849" spans="1:591" x14ac:dyDescent="0.25">
      <c r="A849" s="7">
        <v>5.5815522983999367E-3</v>
      </c>
      <c r="B849"/>
      <c r="C849"/>
      <c r="D849"/>
      <c r="E849"/>
      <c r="F849" s="26" t="s">
        <v>7</v>
      </c>
      <c r="PO849" s="26" t="s">
        <v>8</v>
      </c>
      <c r="QL849" s="26" t="s">
        <v>7</v>
      </c>
      <c r="QM849" s="26" t="s">
        <v>8</v>
      </c>
      <c r="RB849" s="26" t="s">
        <v>7</v>
      </c>
      <c r="RF849" s="26" t="s">
        <v>7</v>
      </c>
      <c r="SS849" s="26" t="s">
        <v>8</v>
      </c>
      <c r="SX849" s="26" t="s">
        <v>7</v>
      </c>
      <c r="TD849" s="26" t="s">
        <v>7</v>
      </c>
      <c r="TS849" s="26" t="s">
        <v>8</v>
      </c>
      <c r="TT849" s="26" t="s">
        <v>7</v>
      </c>
      <c r="TV849" s="26" t="s">
        <v>7</v>
      </c>
      <c r="TW849" s="26" t="s">
        <v>8</v>
      </c>
      <c r="TX849" s="26" t="s">
        <v>7</v>
      </c>
      <c r="TY849" s="26" t="s">
        <v>8</v>
      </c>
      <c r="UD849" s="26" t="s">
        <v>7</v>
      </c>
      <c r="UE849" s="26" t="s">
        <v>8</v>
      </c>
      <c r="UR849" s="26" t="s">
        <v>7</v>
      </c>
      <c r="US849" s="26" t="s">
        <v>8</v>
      </c>
      <c r="UT849" s="26" t="s">
        <v>7</v>
      </c>
    </row>
    <row r="850" spans="1:591" x14ac:dyDescent="0.25">
      <c r="A850" s="7">
        <v>5.4721100964705257E-3</v>
      </c>
      <c r="B850"/>
      <c r="C850"/>
      <c r="D850"/>
      <c r="E850"/>
      <c r="F850" s="26" t="s">
        <v>7</v>
      </c>
      <c r="PO850" s="26" t="s">
        <v>8</v>
      </c>
      <c r="QL850" s="26" t="s">
        <v>7</v>
      </c>
      <c r="QM850" s="26" t="s">
        <v>8</v>
      </c>
      <c r="RF850" s="26" t="s">
        <v>7</v>
      </c>
      <c r="SS850" s="26" t="s">
        <v>8</v>
      </c>
      <c r="TD850" s="26" t="s">
        <v>7</v>
      </c>
      <c r="TS850" s="26" t="s">
        <v>8</v>
      </c>
      <c r="TV850" s="26" t="s">
        <v>7</v>
      </c>
      <c r="TW850" s="26" t="s">
        <v>8</v>
      </c>
      <c r="TX850" s="26" t="s">
        <v>7</v>
      </c>
      <c r="UD850" s="26" t="s">
        <v>7</v>
      </c>
      <c r="UE850" s="26" t="s">
        <v>8</v>
      </c>
      <c r="UR850" s="26" t="s">
        <v>7</v>
      </c>
      <c r="UT850" s="26" t="s">
        <v>7</v>
      </c>
      <c r="VA850" s="26" t="s">
        <v>8</v>
      </c>
      <c r="VI850" s="26" t="s">
        <v>8</v>
      </c>
    </row>
    <row r="851" spans="1:591" x14ac:dyDescent="0.25">
      <c r="A851" s="7">
        <v>5.3648138200691423E-3</v>
      </c>
      <c r="B851"/>
      <c r="C851"/>
      <c r="D851"/>
      <c r="E851"/>
      <c r="F851" s="26" t="s">
        <v>7</v>
      </c>
      <c r="PO851" s="26" t="s">
        <v>8</v>
      </c>
      <c r="QL851" s="26" t="s">
        <v>7</v>
      </c>
      <c r="QM851" s="26" t="s">
        <v>8</v>
      </c>
      <c r="RF851" s="26" t="s">
        <v>7</v>
      </c>
      <c r="SS851" s="26" t="s">
        <v>8</v>
      </c>
      <c r="TD851" s="26" t="s">
        <v>7</v>
      </c>
      <c r="TE851" s="26" t="s">
        <v>8</v>
      </c>
      <c r="TS851" s="26" t="s">
        <v>8</v>
      </c>
      <c r="TV851" s="26" t="s">
        <v>7</v>
      </c>
      <c r="TW851" s="26" t="s">
        <v>8</v>
      </c>
      <c r="UD851" s="26" t="s">
        <v>7</v>
      </c>
      <c r="UE851" s="26" t="s">
        <v>8</v>
      </c>
      <c r="UT851" s="26" t="s">
        <v>7</v>
      </c>
      <c r="VA851" s="26" t="s">
        <v>8</v>
      </c>
      <c r="VB851" s="26" t="s">
        <v>7</v>
      </c>
      <c r="VI851" s="26" t="s">
        <v>8</v>
      </c>
      <c r="VJ851" s="26" t="s">
        <v>7</v>
      </c>
    </row>
    <row r="852" spans="1:591" x14ac:dyDescent="0.25">
      <c r="A852" s="7">
        <v>5.2596213922246494E-3</v>
      </c>
      <c r="B852"/>
      <c r="C852"/>
      <c r="D852"/>
      <c r="E852"/>
      <c r="F852" s="26" t="s">
        <v>7</v>
      </c>
      <c r="PO852" s="26" t="s">
        <v>8</v>
      </c>
      <c r="QL852" s="26" t="s">
        <v>7</v>
      </c>
      <c r="QM852" s="26" t="s">
        <v>8</v>
      </c>
      <c r="RF852" s="26" t="s">
        <v>7</v>
      </c>
      <c r="SS852" s="26" t="s">
        <v>8</v>
      </c>
      <c r="TD852" s="26" t="s">
        <v>7</v>
      </c>
      <c r="TE852" s="26" t="s">
        <v>8</v>
      </c>
      <c r="TF852" s="26" t="s">
        <v>7</v>
      </c>
      <c r="TS852" s="26" t="s">
        <v>8</v>
      </c>
      <c r="TV852" s="26" t="s">
        <v>7</v>
      </c>
      <c r="TW852" s="26" t="s">
        <v>8</v>
      </c>
      <c r="UD852" s="26" t="s">
        <v>7</v>
      </c>
      <c r="UE852" s="26" t="s">
        <v>8</v>
      </c>
      <c r="UT852" s="26" t="s">
        <v>7</v>
      </c>
      <c r="VA852" s="26" t="s">
        <v>8</v>
      </c>
      <c r="VB852" s="26" t="s">
        <v>7</v>
      </c>
      <c r="VI852" s="26" t="s">
        <v>8</v>
      </c>
      <c r="VJ852" s="26" t="s">
        <v>7</v>
      </c>
    </row>
    <row r="853" spans="1:591" x14ac:dyDescent="0.25">
      <c r="A853" s="7">
        <v>5.1564915610045588E-3</v>
      </c>
      <c r="B853"/>
      <c r="C853"/>
      <c r="D853"/>
      <c r="E853"/>
      <c r="F853" s="26" t="s">
        <v>7</v>
      </c>
      <c r="PO853" s="26" t="s">
        <v>8</v>
      </c>
      <c r="QL853" s="26" t="s">
        <v>7</v>
      </c>
      <c r="QM853" s="26" t="s">
        <v>8</v>
      </c>
      <c r="RF853" s="26" t="s">
        <v>7</v>
      </c>
      <c r="SS853" s="26" t="s">
        <v>8</v>
      </c>
      <c r="TD853" s="26" t="s">
        <v>7</v>
      </c>
      <c r="TE853" s="26" t="s">
        <v>8</v>
      </c>
      <c r="TF853" s="26" t="s">
        <v>7</v>
      </c>
      <c r="TG853" s="26" t="s">
        <v>8</v>
      </c>
      <c r="TI853" s="26" t="s">
        <v>8</v>
      </c>
      <c r="TS853" s="26" t="s">
        <v>8</v>
      </c>
      <c r="TV853" s="26" t="s">
        <v>7</v>
      </c>
      <c r="TW853" s="26" t="s">
        <v>8</v>
      </c>
      <c r="UD853" s="26" t="s">
        <v>7</v>
      </c>
      <c r="UE853" s="26" t="s">
        <v>8</v>
      </c>
      <c r="UT853" s="26" t="s">
        <v>7</v>
      </c>
      <c r="UW853" s="26" t="s">
        <v>8</v>
      </c>
      <c r="VA853" s="26" t="s">
        <v>8</v>
      </c>
      <c r="VB853" s="26" t="s">
        <v>7</v>
      </c>
      <c r="VI853" s="26" t="s">
        <v>8</v>
      </c>
      <c r="VJ853" s="26" t="s">
        <v>7</v>
      </c>
    </row>
    <row r="854" spans="1:591" x14ac:dyDescent="0.25">
      <c r="A854" s="7">
        <v>5.0553838833378023E-3</v>
      </c>
      <c r="B854"/>
      <c r="C854"/>
      <c r="D854"/>
      <c r="E854"/>
      <c r="F854" s="26" t="s">
        <v>7</v>
      </c>
      <c r="PO854" s="26" t="s">
        <v>8</v>
      </c>
      <c r="QL854" s="26" t="s">
        <v>7</v>
      </c>
      <c r="RF854" s="26" t="s">
        <v>7</v>
      </c>
      <c r="SS854" s="26" t="s">
        <v>8</v>
      </c>
      <c r="TD854" s="26" t="s">
        <v>7</v>
      </c>
      <c r="TE854" s="26" t="s">
        <v>8</v>
      </c>
      <c r="TF854" s="26" t="s">
        <v>7</v>
      </c>
      <c r="TG854" s="26" t="s">
        <v>8</v>
      </c>
      <c r="TH854" s="26" t="s">
        <v>7</v>
      </c>
      <c r="TI854" s="26" t="s">
        <v>8</v>
      </c>
      <c r="TJ854" s="26" t="s">
        <v>7</v>
      </c>
      <c r="TS854" s="26" t="s">
        <v>8</v>
      </c>
      <c r="TV854" s="26" t="s">
        <v>7</v>
      </c>
      <c r="UD854" s="26" t="s">
        <v>7</v>
      </c>
      <c r="UE854" s="26" t="s">
        <v>8</v>
      </c>
      <c r="UT854" s="26" t="s">
        <v>7</v>
      </c>
      <c r="UU854" s="26" t="s">
        <v>8</v>
      </c>
      <c r="UW854" s="26" t="s">
        <v>8</v>
      </c>
      <c r="UX854" s="26" t="s">
        <v>7</v>
      </c>
      <c r="UY854" s="26" t="s">
        <v>8</v>
      </c>
      <c r="VA854" s="26" t="s">
        <v>8</v>
      </c>
      <c r="VB854" s="26" t="s">
        <v>7</v>
      </c>
      <c r="VI854" s="26" t="s">
        <v>8</v>
      </c>
      <c r="VJ854" s="26" t="s">
        <v>7</v>
      </c>
    </row>
    <row r="855" spans="1:591" x14ac:dyDescent="0.25">
      <c r="A855" s="7">
        <v>4.9562587091547079E-3</v>
      </c>
      <c r="B855"/>
      <c r="C855"/>
      <c r="D855"/>
      <c r="E855"/>
      <c r="F855" s="26" t="s">
        <v>7</v>
      </c>
      <c r="PO855" s="26" t="s">
        <v>8</v>
      </c>
      <c r="RF855" s="26" t="s">
        <v>7</v>
      </c>
      <c r="SS855" s="26" t="s">
        <v>8</v>
      </c>
      <c r="TD855" s="26" t="s">
        <v>7</v>
      </c>
      <c r="TE855" s="26" t="s">
        <v>8</v>
      </c>
      <c r="TF855" s="26" t="s">
        <v>7</v>
      </c>
      <c r="TG855" s="26" t="s">
        <v>8</v>
      </c>
      <c r="TH855" s="26" t="s">
        <v>7</v>
      </c>
      <c r="TI855" s="26" t="s">
        <v>8</v>
      </c>
      <c r="TJ855" s="26" t="s">
        <v>7</v>
      </c>
      <c r="TK855" s="26" t="s">
        <v>8</v>
      </c>
      <c r="TS855" s="26" t="s">
        <v>8</v>
      </c>
      <c r="UD855" s="26" t="s">
        <v>7</v>
      </c>
      <c r="UE855" s="26" t="s">
        <v>8</v>
      </c>
      <c r="UT855" s="26" t="s">
        <v>7</v>
      </c>
      <c r="UU855" s="26" t="s">
        <v>8</v>
      </c>
      <c r="UV855" s="26" t="s">
        <v>7</v>
      </c>
      <c r="UW855" s="26" t="s">
        <v>8</v>
      </c>
      <c r="UX855" s="26" t="s">
        <v>7</v>
      </c>
      <c r="UY855" s="26" t="s">
        <v>8</v>
      </c>
      <c r="UZ855" s="26" t="s">
        <v>7</v>
      </c>
      <c r="VA855" s="26" t="s">
        <v>8</v>
      </c>
      <c r="VB855" s="26" t="s">
        <v>7</v>
      </c>
      <c r="VI855" s="26" t="s">
        <v>8</v>
      </c>
      <c r="VJ855" s="26" t="s">
        <v>7</v>
      </c>
    </row>
    <row r="856" spans="1:591" x14ac:dyDescent="0.25">
      <c r="A856" s="7">
        <v>4.8590771658379491E-3</v>
      </c>
      <c r="B856"/>
      <c r="C856"/>
      <c r="D856"/>
      <c r="E856"/>
      <c r="F856" s="26" t="s">
        <v>7</v>
      </c>
      <c r="PO856" s="26" t="s">
        <v>8</v>
      </c>
      <c r="RF856" s="26" t="s">
        <v>7</v>
      </c>
      <c r="RK856" s="26" t="s">
        <v>8</v>
      </c>
      <c r="SS856" s="26" t="s">
        <v>8</v>
      </c>
      <c r="TD856" s="26" t="s">
        <v>7</v>
      </c>
      <c r="TE856" s="26" t="s">
        <v>8</v>
      </c>
      <c r="TF856" s="26" t="s">
        <v>7</v>
      </c>
      <c r="TG856" s="26" t="s">
        <v>8</v>
      </c>
      <c r="TH856" s="26" t="s">
        <v>7</v>
      </c>
      <c r="TI856" s="26" t="s">
        <v>8</v>
      </c>
      <c r="TJ856" s="26" t="s">
        <v>7</v>
      </c>
      <c r="TK856" s="26" t="s">
        <v>8</v>
      </c>
      <c r="TL856" s="26" t="s">
        <v>7</v>
      </c>
      <c r="TS856" s="26" t="s">
        <v>8</v>
      </c>
      <c r="UD856" s="26" t="s">
        <v>7</v>
      </c>
      <c r="UE856" s="26" t="s">
        <v>8</v>
      </c>
      <c r="UT856" s="26" t="s">
        <v>7</v>
      </c>
      <c r="UU856" s="26" t="s">
        <v>8</v>
      </c>
      <c r="UV856" s="26" t="s">
        <v>7</v>
      </c>
      <c r="UW856" s="26" t="s">
        <v>8</v>
      </c>
      <c r="UX856" s="26" t="s">
        <v>7</v>
      </c>
      <c r="UY856" s="26" t="s">
        <v>8</v>
      </c>
      <c r="UZ856" s="26" t="s">
        <v>7</v>
      </c>
      <c r="VA856" s="26" t="s">
        <v>8</v>
      </c>
      <c r="VB856" s="26" t="s">
        <v>7</v>
      </c>
      <c r="VI856" s="26" t="s">
        <v>8</v>
      </c>
      <c r="VJ856" s="26" t="s">
        <v>7</v>
      </c>
      <c r="VK856" s="26" t="s">
        <v>8</v>
      </c>
    </row>
    <row r="857" spans="1:591" x14ac:dyDescent="0.25">
      <c r="A857" s="7">
        <v>4.7638011429783815E-3</v>
      </c>
      <c r="B857"/>
      <c r="C857"/>
      <c r="D857"/>
      <c r="E857"/>
      <c r="F857" s="26" t="s">
        <v>7</v>
      </c>
      <c r="PO857" s="26" t="s">
        <v>8</v>
      </c>
      <c r="RF857" s="26" t="s">
        <v>7</v>
      </c>
      <c r="RG857" s="26" t="s">
        <v>8</v>
      </c>
      <c r="RK857" s="26" t="s">
        <v>8</v>
      </c>
      <c r="RL857" s="26" t="s">
        <v>7</v>
      </c>
      <c r="SS857" s="26" t="s">
        <v>8</v>
      </c>
      <c r="TD857" s="26" t="s">
        <v>7</v>
      </c>
      <c r="TE857" s="26" t="s">
        <v>8</v>
      </c>
      <c r="TF857" s="26" t="s">
        <v>7</v>
      </c>
      <c r="TG857" s="26" t="s">
        <v>8</v>
      </c>
      <c r="TH857" s="26" t="s">
        <v>7</v>
      </c>
      <c r="TI857" s="26" t="s">
        <v>8</v>
      </c>
      <c r="TJ857" s="26" t="s">
        <v>7</v>
      </c>
      <c r="TK857" s="26" t="s">
        <v>8</v>
      </c>
      <c r="TL857" s="26" t="s">
        <v>7</v>
      </c>
      <c r="TS857" s="26" t="s">
        <v>8</v>
      </c>
      <c r="UD857" s="26" t="s">
        <v>7</v>
      </c>
      <c r="UT857" s="26" t="s">
        <v>7</v>
      </c>
      <c r="UV857" s="26" t="s">
        <v>7</v>
      </c>
      <c r="UW857" s="26" t="s">
        <v>8</v>
      </c>
      <c r="UX857" s="26" t="s">
        <v>7</v>
      </c>
      <c r="UZ857" s="26" t="s">
        <v>7</v>
      </c>
      <c r="VA857" s="26" t="s">
        <v>8</v>
      </c>
      <c r="VB857" s="26" t="s">
        <v>7</v>
      </c>
      <c r="VI857" s="26" t="s">
        <v>8</v>
      </c>
      <c r="VJ857" s="26" t="s">
        <v>7</v>
      </c>
      <c r="VK857" s="26" t="s">
        <v>8</v>
      </c>
      <c r="VL857" s="26" t="s">
        <v>7</v>
      </c>
    </row>
    <row r="858" spans="1:591" x14ac:dyDescent="0.25">
      <c r="A858" s="7">
        <v>4.6703932774297859E-3</v>
      </c>
      <c r="B858"/>
      <c r="C858"/>
      <c r="D858"/>
      <c r="E858"/>
      <c r="F858" s="26" t="s">
        <v>7</v>
      </c>
      <c r="PO858" s="26" t="s">
        <v>8</v>
      </c>
      <c r="RF858" s="26" t="s">
        <v>7</v>
      </c>
      <c r="RG858" s="26" t="s">
        <v>8</v>
      </c>
      <c r="RH858" s="26" t="s">
        <v>7</v>
      </c>
      <c r="RK858" s="26" t="s">
        <v>8</v>
      </c>
      <c r="RL858" s="26" t="s">
        <v>7</v>
      </c>
      <c r="SS858" s="26" t="s">
        <v>8</v>
      </c>
      <c r="TD858" s="26" t="s">
        <v>7</v>
      </c>
      <c r="TE858" s="26" t="s">
        <v>8</v>
      </c>
      <c r="TF858" s="26" t="s">
        <v>7</v>
      </c>
      <c r="TH858" s="26" t="s">
        <v>7</v>
      </c>
      <c r="TI858" s="26" t="s">
        <v>8</v>
      </c>
      <c r="TJ858" s="26" t="s">
        <v>7</v>
      </c>
      <c r="TK858" s="26" t="s">
        <v>8</v>
      </c>
      <c r="TL858" s="26" t="s">
        <v>7</v>
      </c>
      <c r="TS858" s="26" t="s">
        <v>8</v>
      </c>
      <c r="UV858" s="26" t="s">
        <v>7</v>
      </c>
      <c r="UW858" s="26" t="s">
        <v>8</v>
      </c>
      <c r="UZ858" s="26" t="s">
        <v>7</v>
      </c>
      <c r="VB858" s="26" t="s">
        <v>7</v>
      </c>
      <c r="VI858" s="26" t="s">
        <v>8</v>
      </c>
      <c r="VJ858" s="26" t="s">
        <v>7</v>
      </c>
      <c r="VK858" s="26" t="s">
        <v>8</v>
      </c>
      <c r="VL858" s="26" t="s">
        <v>7</v>
      </c>
    </row>
    <row r="859" spans="1:591" x14ac:dyDescent="0.25">
      <c r="A859" s="7">
        <v>4.5788169386566527E-3</v>
      </c>
      <c r="B859"/>
      <c r="C859"/>
      <c r="D859"/>
      <c r="E859"/>
      <c r="F859" s="26" t="s">
        <v>7</v>
      </c>
      <c r="PO859" s="26" t="s">
        <v>8</v>
      </c>
      <c r="RF859" s="26" t="s">
        <v>7</v>
      </c>
      <c r="RG859" s="26" t="s">
        <v>8</v>
      </c>
      <c r="RH859" s="26" t="s">
        <v>7</v>
      </c>
      <c r="RK859" s="26" t="s">
        <v>8</v>
      </c>
      <c r="RL859" s="26" t="s">
        <v>7</v>
      </c>
      <c r="SS859" s="26" t="s">
        <v>8</v>
      </c>
      <c r="TD859" s="26" t="s">
        <v>7</v>
      </c>
      <c r="TE859" s="26" t="s">
        <v>8</v>
      </c>
      <c r="TH859" s="26" t="s">
        <v>7</v>
      </c>
      <c r="TI859" s="26" t="s">
        <v>8</v>
      </c>
      <c r="TJ859" s="26" t="s">
        <v>7</v>
      </c>
      <c r="TL859" s="26" t="s">
        <v>7</v>
      </c>
      <c r="TQ859" s="26" t="s">
        <v>8</v>
      </c>
      <c r="TS859" s="26" t="s">
        <v>8</v>
      </c>
      <c r="UV859" s="26" t="s">
        <v>7</v>
      </c>
      <c r="UW859" s="26" t="s">
        <v>8</v>
      </c>
      <c r="VB859" s="26" t="s">
        <v>7</v>
      </c>
      <c r="VI859" s="26" t="s">
        <v>8</v>
      </c>
      <c r="VJ859" s="26" t="s">
        <v>7</v>
      </c>
      <c r="VK859" s="26" t="s">
        <v>8</v>
      </c>
      <c r="VL859" s="26" t="s">
        <v>7</v>
      </c>
    </row>
    <row r="860" spans="1:591" x14ac:dyDescent="0.25">
      <c r="A860" s="7">
        <v>4.4890362143692672E-3</v>
      </c>
      <c r="B860"/>
      <c r="C860"/>
      <c r="D860"/>
      <c r="E860"/>
      <c r="F860" s="26" t="s">
        <v>7</v>
      </c>
      <c r="PO860" s="26" t="s">
        <v>8</v>
      </c>
      <c r="RF860" s="26" t="s">
        <v>7</v>
      </c>
      <c r="RG860" s="26" t="s">
        <v>8</v>
      </c>
      <c r="RH860" s="26" t="s">
        <v>7</v>
      </c>
      <c r="RK860" s="26" t="s">
        <v>8</v>
      </c>
      <c r="RL860" s="26" t="s">
        <v>7</v>
      </c>
      <c r="SS860" s="26" t="s">
        <v>8</v>
      </c>
      <c r="TD860" s="26" t="s">
        <v>7</v>
      </c>
      <c r="TE860" s="26" t="s">
        <v>8</v>
      </c>
      <c r="TH860" s="26" t="s">
        <v>7</v>
      </c>
      <c r="TL860" s="26" t="s">
        <v>7</v>
      </c>
      <c r="TO860" s="26" t="s">
        <v>8</v>
      </c>
      <c r="TQ860" s="26" t="s">
        <v>8</v>
      </c>
      <c r="TR860" s="26" t="s">
        <v>7</v>
      </c>
      <c r="TS860" s="26" t="s">
        <v>8</v>
      </c>
      <c r="UV860" s="26" t="s">
        <v>7</v>
      </c>
      <c r="VB860" s="26" t="s">
        <v>7</v>
      </c>
      <c r="VI860" s="26" t="s">
        <v>8</v>
      </c>
      <c r="VJ860" s="26" t="s">
        <v>7</v>
      </c>
      <c r="VK860" s="26" t="s">
        <v>8</v>
      </c>
      <c r="VL860" s="26" t="s">
        <v>7</v>
      </c>
    </row>
    <row r="861" spans="1:591" x14ac:dyDescent="0.25">
      <c r="A861" s="7">
        <v>4.4010158964404578E-3</v>
      </c>
      <c r="B861"/>
      <c r="C861"/>
      <c r="D861"/>
      <c r="E861"/>
      <c r="F861" s="26" t="s">
        <v>7</v>
      </c>
      <c r="PO861" s="26" t="s">
        <v>8</v>
      </c>
      <c r="RF861" s="26" t="s">
        <v>7</v>
      </c>
      <c r="RG861" s="26" t="s">
        <v>8</v>
      </c>
      <c r="RH861" s="26" t="s">
        <v>7</v>
      </c>
      <c r="RK861" s="26" t="s">
        <v>8</v>
      </c>
      <c r="RL861" s="26" t="s">
        <v>7</v>
      </c>
      <c r="SS861" s="26" t="s">
        <v>8</v>
      </c>
      <c r="TD861" s="26" t="s">
        <v>7</v>
      </c>
      <c r="TE861" s="26" t="s">
        <v>8</v>
      </c>
      <c r="TL861" s="26" t="s">
        <v>7</v>
      </c>
      <c r="TO861" s="26" t="s">
        <v>8</v>
      </c>
      <c r="TP861" s="26" t="s">
        <v>7</v>
      </c>
      <c r="TQ861" s="26" t="s">
        <v>8</v>
      </c>
      <c r="TR861" s="26" t="s">
        <v>7</v>
      </c>
      <c r="TS861" s="26" t="s">
        <v>8</v>
      </c>
      <c r="VB861" s="26" t="s">
        <v>7</v>
      </c>
      <c r="VI861" s="26" t="s">
        <v>8</v>
      </c>
      <c r="VJ861" s="26" t="s">
        <v>7</v>
      </c>
      <c r="VL861" s="26" t="s">
        <v>7</v>
      </c>
    </row>
    <row r="862" spans="1:591" x14ac:dyDescent="0.25">
      <c r="A862" s="7">
        <v>4.314721467098488E-3</v>
      </c>
      <c r="B862"/>
      <c r="C862"/>
      <c r="D862"/>
      <c r="E862"/>
      <c r="F862" s="26" t="s">
        <v>7</v>
      </c>
      <c r="PO862" s="26" t="s">
        <v>8</v>
      </c>
      <c r="RF862" s="26" t="s">
        <v>7</v>
      </c>
      <c r="RG862" s="26" t="s">
        <v>8</v>
      </c>
      <c r="RH862" s="26" t="s">
        <v>7</v>
      </c>
      <c r="RK862" s="26" t="s">
        <v>8</v>
      </c>
      <c r="RL862" s="26" t="s">
        <v>7</v>
      </c>
      <c r="SS862" s="26" t="s">
        <v>8</v>
      </c>
      <c r="TD862" s="26" t="s">
        <v>7</v>
      </c>
      <c r="TE862" s="26" t="s">
        <v>8</v>
      </c>
      <c r="TL862" s="26" t="s">
        <v>7</v>
      </c>
      <c r="TM862" s="26" t="s">
        <v>8</v>
      </c>
      <c r="TO862" s="26" t="s">
        <v>8</v>
      </c>
      <c r="TP862" s="26" t="s">
        <v>7</v>
      </c>
      <c r="TQ862" s="26" t="s">
        <v>8</v>
      </c>
      <c r="TR862" s="26" t="s">
        <v>7</v>
      </c>
      <c r="TS862" s="26" t="s">
        <v>8</v>
      </c>
      <c r="VB862" s="26" t="s">
        <v>7</v>
      </c>
      <c r="VI862" s="26" t="s">
        <v>8</v>
      </c>
      <c r="VL862" s="26" t="s">
        <v>7</v>
      </c>
    </row>
    <row r="863" spans="1:591" x14ac:dyDescent="0.25">
      <c r="A863" s="7">
        <v>4.2301190853906746E-3</v>
      </c>
      <c r="B863"/>
      <c r="C863"/>
      <c r="D863"/>
      <c r="E863"/>
      <c r="F863" s="26" t="s">
        <v>7</v>
      </c>
      <c r="PO863" s="26" t="s">
        <v>8</v>
      </c>
      <c r="RF863" s="26" t="s">
        <v>7</v>
      </c>
      <c r="RG863" s="26" t="s">
        <v>8</v>
      </c>
      <c r="RH863" s="26" t="s">
        <v>7</v>
      </c>
      <c r="RK863" s="26" t="s">
        <v>8</v>
      </c>
      <c r="RL863" s="26" t="s">
        <v>7</v>
      </c>
      <c r="RO863" s="26" t="s">
        <v>8</v>
      </c>
      <c r="SS863" s="26" t="s">
        <v>8</v>
      </c>
      <c r="TD863" s="26" t="s">
        <v>7</v>
      </c>
      <c r="TL863" s="26" t="s">
        <v>7</v>
      </c>
      <c r="TM863" s="26" t="s">
        <v>8</v>
      </c>
      <c r="TN863" s="26" t="s">
        <v>7</v>
      </c>
      <c r="TO863" s="26" t="s">
        <v>8</v>
      </c>
      <c r="TP863" s="26" t="s">
        <v>7</v>
      </c>
      <c r="TQ863" s="26" t="s">
        <v>8</v>
      </c>
      <c r="TR863" s="26" t="s">
        <v>7</v>
      </c>
      <c r="TS863" s="26" t="s">
        <v>8</v>
      </c>
      <c r="VB863" s="26" t="s">
        <v>7</v>
      </c>
      <c r="VI863" s="26" t="s">
        <v>8</v>
      </c>
      <c r="VL863" s="26" t="s">
        <v>7</v>
      </c>
    </row>
    <row r="864" spans="1:591" x14ac:dyDescent="0.25">
      <c r="A864" s="7">
        <v>4.1471755739124266E-3</v>
      </c>
      <c r="B864"/>
      <c r="C864"/>
      <c r="D864"/>
      <c r="E864"/>
      <c r="F864" s="26" t="s">
        <v>7</v>
      </c>
      <c r="PO864" s="26" t="s">
        <v>8</v>
      </c>
      <c r="RF864" s="26" t="s">
        <v>7</v>
      </c>
      <c r="RG864" s="26" t="s">
        <v>8</v>
      </c>
      <c r="RH864" s="26" t="s">
        <v>7</v>
      </c>
      <c r="RK864" s="26" t="s">
        <v>8</v>
      </c>
      <c r="RL864" s="26" t="s">
        <v>7</v>
      </c>
      <c r="RM864" s="26" t="s">
        <v>8</v>
      </c>
      <c r="RO864" s="26" t="s">
        <v>8</v>
      </c>
      <c r="RP864" s="26" t="s">
        <v>7</v>
      </c>
      <c r="SS864" s="26" t="s">
        <v>8</v>
      </c>
      <c r="TL864" s="26" t="s">
        <v>7</v>
      </c>
      <c r="TM864" s="26" t="s">
        <v>8</v>
      </c>
      <c r="TN864" s="26" t="s">
        <v>7</v>
      </c>
      <c r="TO864" s="26" t="s">
        <v>8</v>
      </c>
      <c r="TP864" s="26" t="s">
        <v>7</v>
      </c>
      <c r="TQ864" s="26" t="s">
        <v>8</v>
      </c>
      <c r="TR864" s="26" t="s">
        <v>7</v>
      </c>
      <c r="TS864" s="26" t="s">
        <v>8</v>
      </c>
      <c r="VB864" s="26" t="s">
        <v>7</v>
      </c>
      <c r="VC864" s="26" t="s">
        <v>8</v>
      </c>
      <c r="VI864" s="26" t="s">
        <v>8</v>
      </c>
      <c r="VL864" s="26" t="s">
        <v>7</v>
      </c>
      <c r="VM864" s="26" t="s">
        <v>8</v>
      </c>
      <c r="VS864" s="26" t="s">
        <v>8</v>
      </c>
    </row>
    <row r="865" spans="1:596" x14ac:dyDescent="0.25">
      <c r="A865" s="7">
        <v>4.0658584057964966E-3</v>
      </c>
      <c r="B865"/>
      <c r="C865"/>
      <c r="D865"/>
      <c r="E865"/>
      <c r="F865" s="26" t="s">
        <v>7</v>
      </c>
      <c r="PO865" s="26" t="s">
        <v>8</v>
      </c>
      <c r="RF865" s="26" t="s">
        <v>7</v>
      </c>
      <c r="RG865" s="26" t="s">
        <v>8</v>
      </c>
      <c r="RH865" s="26" t="s">
        <v>7</v>
      </c>
      <c r="RK865" s="26" t="s">
        <v>8</v>
      </c>
      <c r="RL865" s="26" t="s">
        <v>7</v>
      </c>
      <c r="RM865" s="26" t="s">
        <v>8</v>
      </c>
      <c r="RN865" s="26" t="s">
        <v>7</v>
      </c>
      <c r="RO865" s="26" t="s">
        <v>8</v>
      </c>
      <c r="RP865" s="26" t="s">
        <v>7</v>
      </c>
      <c r="SS865" s="26" t="s">
        <v>8</v>
      </c>
      <c r="TL865" s="26" t="s">
        <v>7</v>
      </c>
      <c r="TM865" s="26" t="s">
        <v>8</v>
      </c>
      <c r="TN865" s="26" t="s">
        <v>7</v>
      </c>
      <c r="TO865" s="26" t="s">
        <v>8</v>
      </c>
      <c r="TP865" s="26" t="s">
        <v>7</v>
      </c>
      <c r="TQ865" s="26" t="s">
        <v>8</v>
      </c>
      <c r="TR865" s="26" t="s">
        <v>7</v>
      </c>
      <c r="VB865" s="26" t="s">
        <v>7</v>
      </c>
      <c r="VC865" s="26" t="s">
        <v>8</v>
      </c>
      <c r="VD865" s="26" t="s">
        <v>7</v>
      </c>
      <c r="VI865" s="26" t="s">
        <v>8</v>
      </c>
      <c r="VL865" s="26" t="s">
        <v>7</v>
      </c>
      <c r="VM865" s="26" t="s">
        <v>8</v>
      </c>
      <c r="VN865" s="26" t="s">
        <v>7</v>
      </c>
      <c r="VS865" s="26" t="s">
        <v>8</v>
      </c>
      <c r="VT865" s="26" t="s">
        <v>7</v>
      </c>
    </row>
    <row r="866" spans="1:596" x14ac:dyDescent="0.25">
      <c r="A866" s="7">
        <v>3.9861356919573491E-3</v>
      </c>
      <c r="B866"/>
      <c r="C866"/>
      <c r="D866"/>
      <c r="E866"/>
      <c r="F866" s="26" t="s">
        <v>7</v>
      </c>
      <c r="PM866" s="26" t="s">
        <v>8</v>
      </c>
      <c r="PO866" s="26" t="s">
        <v>8</v>
      </c>
      <c r="RF866" s="26" t="s">
        <v>7</v>
      </c>
      <c r="RG866" s="26" t="s">
        <v>8</v>
      </c>
      <c r="RH866" s="26" t="s">
        <v>7</v>
      </c>
      <c r="RI866" s="26" t="s">
        <v>8</v>
      </c>
      <c r="RK866" s="26" t="s">
        <v>8</v>
      </c>
      <c r="RL866" s="26" t="s">
        <v>7</v>
      </c>
      <c r="RM866" s="26" t="s">
        <v>8</v>
      </c>
      <c r="RN866" s="26" t="s">
        <v>7</v>
      </c>
      <c r="RO866" s="26" t="s">
        <v>8</v>
      </c>
      <c r="RP866" s="26" t="s">
        <v>7</v>
      </c>
      <c r="SS866" s="26" t="s">
        <v>8</v>
      </c>
      <c r="TL866" s="26" t="s">
        <v>7</v>
      </c>
      <c r="TM866" s="26" t="s">
        <v>8</v>
      </c>
      <c r="TN866" s="26" t="s">
        <v>7</v>
      </c>
      <c r="TO866" s="26" t="s">
        <v>8</v>
      </c>
      <c r="TP866" s="26" t="s">
        <v>7</v>
      </c>
      <c r="TQ866" s="26" t="s">
        <v>8</v>
      </c>
      <c r="VB866" s="26" t="s">
        <v>7</v>
      </c>
      <c r="VC866" s="26" t="s">
        <v>8</v>
      </c>
      <c r="VD866" s="26" t="s">
        <v>7</v>
      </c>
      <c r="VI866" s="26" t="s">
        <v>8</v>
      </c>
      <c r="VL866" s="26" t="s">
        <v>7</v>
      </c>
      <c r="VM866" s="26" t="s">
        <v>8</v>
      </c>
      <c r="VN866" s="26" t="s">
        <v>7</v>
      </c>
      <c r="VS866" s="26" t="s">
        <v>8</v>
      </c>
      <c r="VT866" s="26" t="s">
        <v>7</v>
      </c>
    </row>
    <row r="867" spans="1:596" x14ac:dyDescent="0.25">
      <c r="A867" s="7">
        <v>3.9079761685856364E-3</v>
      </c>
      <c r="B867"/>
      <c r="C867"/>
      <c r="D867"/>
      <c r="E867"/>
      <c r="F867" s="26" t="s">
        <v>7</v>
      </c>
      <c r="PM867" s="26" t="s">
        <v>8</v>
      </c>
      <c r="PN867" s="26" t="s">
        <v>7</v>
      </c>
      <c r="PO867" s="26" t="s">
        <v>8</v>
      </c>
      <c r="RF867" s="26" t="s">
        <v>7</v>
      </c>
      <c r="RG867" s="26" t="s">
        <v>8</v>
      </c>
      <c r="RH867" s="26" t="s">
        <v>7</v>
      </c>
      <c r="RI867" s="26" t="s">
        <v>8</v>
      </c>
      <c r="RJ867" s="26" t="s">
        <v>7</v>
      </c>
      <c r="RK867" s="26" t="s">
        <v>8</v>
      </c>
      <c r="RL867" s="26" t="s">
        <v>7</v>
      </c>
      <c r="RM867" s="26" t="s">
        <v>8</v>
      </c>
      <c r="RN867" s="26" t="s">
        <v>7</v>
      </c>
      <c r="RO867" s="26" t="s">
        <v>8</v>
      </c>
      <c r="RP867" s="26" t="s">
        <v>7</v>
      </c>
      <c r="SS867" s="26" t="s">
        <v>8</v>
      </c>
      <c r="TL867" s="26" t="s">
        <v>7</v>
      </c>
      <c r="TM867" s="26" t="s">
        <v>8</v>
      </c>
      <c r="TN867" s="26" t="s">
        <v>7</v>
      </c>
      <c r="TO867" s="26" t="s">
        <v>8</v>
      </c>
      <c r="TP867" s="26" t="s">
        <v>7</v>
      </c>
      <c r="TQ867" s="26" t="s">
        <v>8</v>
      </c>
      <c r="VB867" s="26" t="s">
        <v>7</v>
      </c>
      <c r="VC867" s="26" t="s">
        <v>8</v>
      </c>
      <c r="VD867" s="26" t="s">
        <v>7</v>
      </c>
      <c r="VI867" s="26" t="s">
        <v>8</v>
      </c>
      <c r="VL867" s="26" t="s">
        <v>7</v>
      </c>
      <c r="VM867" s="26" t="s">
        <v>8</v>
      </c>
      <c r="VN867" s="26" t="s">
        <v>7</v>
      </c>
      <c r="VS867" s="26" t="s">
        <v>8</v>
      </c>
      <c r="VT867" s="26" t="s">
        <v>7</v>
      </c>
    </row>
    <row r="868" spans="1:596" x14ac:dyDescent="0.25">
      <c r="A868" s="7">
        <v>3.8313491848878793E-3</v>
      </c>
      <c r="B868"/>
      <c r="C868"/>
      <c r="D868"/>
      <c r="E868"/>
      <c r="F868" s="26" t="s">
        <v>7</v>
      </c>
      <c r="PM868" s="26" t="s">
        <v>8</v>
      </c>
      <c r="PN868" s="26" t="s">
        <v>7</v>
      </c>
      <c r="PO868" s="26" t="s">
        <v>8</v>
      </c>
      <c r="RF868" s="26" t="s">
        <v>7</v>
      </c>
      <c r="RG868" s="26" t="s">
        <v>8</v>
      </c>
      <c r="RH868" s="26" t="s">
        <v>7</v>
      </c>
      <c r="RI868" s="26" t="s">
        <v>8</v>
      </c>
      <c r="RJ868" s="26" t="s">
        <v>7</v>
      </c>
      <c r="RK868" s="26" t="s">
        <v>8</v>
      </c>
      <c r="RL868" s="26" t="s">
        <v>7</v>
      </c>
      <c r="RM868" s="26" t="s">
        <v>8</v>
      </c>
      <c r="RN868" s="26" t="s">
        <v>7</v>
      </c>
      <c r="RO868" s="26" t="s">
        <v>8</v>
      </c>
      <c r="RP868" s="26" t="s">
        <v>7</v>
      </c>
      <c r="RS868" s="26" t="s">
        <v>8</v>
      </c>
      <c r="SS868" s="26" t="s">
        <v>8</v>
      </c>
      <c r="TL868" s="26" t="s">
        <v>7</v>
      </c>
      <c r="TM868" s="26" t="s">
        <v>8</v>
      </c>
      <c r="TN868" s="26" t="s">
        <v>7</v>
      </c>
      <c r="TO868" s="26" t="s">
        <v>8</v>
      </c>
      <c r="TP868" s="26" t="s">
        <v>7</v>
      </c>
      <c r="TQ868" s="26" t="s">
        <v>8</v>
      </c>
      <c r="VB868" s="26" t="s">
        <v>7</v>
      </c>
      <c r="VC868" s="26" t="s">
        <v>8</v>
      </c>
      <c r="VD868" s="26" t="s">
        <v>7</v>
      </c>
      <c r="VI868" s="26" t="s">
        <v>8</v>
      </c>
      <c r="VL868" s="26" t="s">
        <v>7</v>
      </c>
      <c r="VM868" s="26" t="s">
        <v>8</v>
      </c>
      <c r="VN868" s="26" t="s">
        <v>7</v>
      </c>
      <c r="VS868" s="26" t="s">
        <v>8</v>
      </c>
      <c r="VT868" s="26" t="s">
        <v>7</v>
      </c>
      <c r="VU868" s="26" t="s">
        <v>8</v>
      </c>
    </row>
    <row r="869" spans="1:596" x14ac:dyDescent="0.25">
      <c r="A869" s="7">
        <v>3.7562246910665485E-3</v>
      </c>
      <c r="B869"/>
      <c r="C869"/>
      <c r="D869"/>
      <c r="E869"/>
      <c r="F869" s="26" t="s">
        <v>7</v>
      </c>
      <c r="PM869" s="26" t="s">
        <v>8</v>
      </c>
      <c r="PN869" s="26" t="s">
        <v>7</v>
      </c>
      <c r="PO869" s="26" t="s">
        <v>8</v>
      </c>
      <c r="RF869" s="26" t="s">
        <v>7</v>
      </c>
      <c r="RG869" s="26" t="s">
        <v>8</v>
      </c>
      <c r="RH869" s="26" t="s">
        <v>7</v>
      </c>
      <c r="RI869" s="26" t="s">
        <v>8</v>
      </c>
      <c r="RJ869" s="26" t="s">
        <v>7</v>
      </c>
      <c r="RK869" s="26" t="s">
        <v>8</v>
      </c>
      <c r="RL869" s="26" t="s">
        <v>7</v>
      </c>
      <c r="RM869" s="26" t="s">
        <v>8</v>
      </c>
      <c r="RN869" s="26" t="s">
        <v>7</v>
      </c>
      <c r="RO869" s="26" t="s">
        <v>8</v>
      </c>
      <c r="RP869" s="26" t="s">
        <v>7</v>
      </c>
      <c r="RQ869" s="26" t="s">
        <v>8</v>
      </c>
      <c r="RS869" s="26" t="s">
        <v>8</v>
      </c>
      <c r="RT869" s="26" t="s">
        <v>7</v>
      </c>
      <c r="SS869" s="26" t="s">
        <v>8</v>
      </c>
      <c r="TL869" s="26" t="s">
        <v>7</v>
      </c>
      <c r="TM869" s="26" t="s">
        <v>8</v>
      </c>
      <c r="TN869" s="26" t="s">
        <v>7</v>
      </c>
      <c r="TO869" s="26" t="s">
        <v>8</v>
      </c>
      <c r="TP869" s="26" t="s">
        <v>7</v>
      </c>
      <c r="VB869" s="26" t="s">
        <v>7</v>
      </c>
      <c r="VC869" s="26" t="s">
        <v>8</v>
      </c>
      <c r="VD869" s="26" t="s">
        <v>7</v>
      </c>
      <c r="VI869" s="26" t="s">
        <v>8</v>
      </c>
      <c r="VL869" s="26" t="s">
        <v>7</v>
      </c>
      <c r="VN869" s="26" t="s">
        <v>7</v>
      </c>
      <c r="VS869" s="26" t="s">
        <v>8</v>
      </c>
      <c r="VT869" s="26" t="s">
        <v>7</v>
      </c>
      <c r="VU869" s="26" t="s">
        <v>8</v>
      </c>
      <c r="VV869" s="26" t="s">
        <v>7</v>
      </c>
      <c r="VW869" s="26" t="s">
        <v>8</v>
      </c>
    </row>
    <row r="870" spans="1:596" x14ac:dyDescent="0.25">
      <c r="A870" s="7">
        <v>3.6825732265358315E-3</v>
      </c>
      <c r="B870"/>
      <c r="C870"/>
      <c r="D870"/>
      <c r="E870"/>
      <c r="F870" s="26" t="s">
        <v>7</v>
      </c>
      <c r="PM870" s="26" t="s">
        <v>8</v>
      </c>
      <c r="PN870" s="26" t="s">
        <v>7</v>
      </c>
      <c r="PO870" s="26" t="s">
        <v>8</v>
      </c>
      <c r="RF870" s="26" t="s">
        <v>7</v>
      </c>
      <c r="RG870" s="26" t="s">
        <v>8</v>
      </c>
      <c r="RH870" s="26" t="s">
        <v>7</v>
      </c>
      <c r="RI870" s="26" t="s">
        <v>8</v>
      </c>
      <c r="RJ870" s="26" t="s">
        <v>7</v>
      </c>
      <c r="RK870" s="26" t="s">
        <v>8</v>
      </c>
      <c r="RL870" s="26" t="s">
        <v>7</v>
      </c>
      <c r="RM870" s="26" t="s">
        <v>8</v>
      </c>
      <c r="RN870" s="26" t="s">
        <v>7</v>
      </c>
      <c r="RP870" s="26" t="s">
        <v>7</v>
      </c>
      <c r="RQ870" s="26" t="s">
        <v>8</v>
      </c>
      <c r="RR870" s="26" t="s">
        <v>7</v>
      </c>
      <c r="RS870" s="26" t="s">
        <v>8</v>
      </c>
      <c r="RT870" s="26" t="s">
        <v>7</v>
      </c>
      <c r="RU870" s="26" t="s">
        <v>8</v>
      </c>
      <c r="SS870" s="26" t="s">
        <v>8</v>
      </c>
      <c r="TL870" s="26" t="s">
        <v>7</v>
      </c>
      <c r="TM870" s="26" t="s">
        <v>8</v>
      </c>
      <c r="TN870" s="26" t="s">
        <v>7</v>
      </c>
      <c r="VB870" s="26" t="s">
        <v>7</v>
      </c>
      <c r="VC870" s="26" t="s">
        <v>8</v>
      </c>
      <c r="VD870" s="26" t="s">
        <v>7</v>
      </c>
      <c r="VE870" s="26" t="s">
        <v>8</v>
      </c>
      <c r="VI870" s="26" t="s">
        <v>8</v>
      </c>
      <c r="VN870" s="26" t="s">
        <v>7</v>
      </c>
      <c r="VS870" s="26" t="s">
        <v>8</v>
      </c>
      <c r="VT870" s="26" t="s">
        <v>7</v>
      </c>
      <c r="VU870" s="26" t="s">
        <v>8</v>
      </c>
      <c r="VV870" s="26" t="s">
        <v>7</v>
      </c>
      <c r="VW870" s="26" t="s">
        <v>8</v>
      </c>
      <c r="VX870" s="26" t="s">
        <v>7</v>
      </c>
    </row>
    <row r="871" spans="1:596" x14ac:dyDescent="0.25">
      <c r="A871" s="7">
        <v>3.6103659083684624E-3</v>
      </c>
      <c r="B871"/>
      <c r="C871"/>
      <c r="D871"/>
      <c r="E871"/>
      <c r="F871" s="26" t="s">
        <v>7</v>
      </c>
      <c r="PM871" s="26" t="s">
        <v>8</v>
      </c>
      <c r="PN871" s="26" t="s">
        <v>7</v>
      </c>
      <c r="PO871" s="26" t="s">
        <v>8</v>
      </c>
      <c r="RF871" s="26" t="s">
        <v>7</v>
      </c>
      <c r="RG871" s="26" t="s">
        <v>8</v>
      </c>
      <c r="RH871" s="26" t="s">
        <v>7</v>
      </c>
      <c r="RI871" s="26" t="s">
        <v>8</v>
      </c>
      <c r="RJ871" s="26" t="s">
        <v>7</v>
      </c>
      <c r="RK871" s="26" t="s">
        <v>8</v>
      </c>
      <c r="RL871" s="26" t="s">
        <v>7</v>
      </c>
      <c r="RM871" s="26" t="s">
        <v>8</v>
      </c>
      <c r="RP871" s="26" t="s">
        <v>7</v>
      </c>
      <c r="RQ871" s="26" t="s">
        <v>8</v>
      </c>
      <c r="RR871" s="26" t="s">
        <v>7</v>
      </c>
      <c r="RS871" s="26" t="s">
        <v>8</v>
      </c>
      <c r="RT871" s="26" t="s">
        <v>7</v>
      </c>
      <c r="RU871" s="26" t="s">
        <v>8</v>
      </c>
      <c r="RV871" s="26" t="s">
        <v>7</v>
      </c>
      <c r="SS871" s="26" t="s">
        <v>8</v>
      </c>
      <c r="TL871" s="26" t="s">
        <v>7</v>
      </c>
      <c r="TM871" s="26" t="s">
        <v>8</v>
      </c>
      <c r="VB871" s="26" t="s">
        <v>7</v>
      </c>
      <c r="VC871" s="26" t="s">
        <v>8</v>
      </c>
      <c r="VD871" s="26" t="s">
        <v>7</v>
      </c>
      <c r="VE871" s="26" t="s">
        <v>8</v>
      </c>
      <c r="VF871" s="26" t="s">
        <v>7</v>
      </c>
      <c r="VG871" s="26" t="s">
        <v>8</v>
      </c>
      <c r="VI871" s="26" t="s">
        <v>8</v>
      </c>
      <c r="VN871" s="26" t="s">
        <v>7</v>
      </c>
      <c r="VS871" s="26" t="s">
        <v>8</v>
      </c>
      <c r="VT871" s="26" t="s">
        <v>7</v>
      </c>
      <c r="VV871" s="26" t="s">
        <v>7</v>
      </c>
      <c r="VW871" s="26" t="s">
        <v>8</v>
      </c>
      <c r="VX871" s="26" t="s">
        <v>7</v>
      </c>
    </row>
    <row r="872" spans="1:596" x14ac:dyDescent="0.25">
      <c r="A872" s="7">
        <v>3.539574419969081E-3</v>
      </c>
      <c r="B872"/>
      <c r="C872"/>
      <c r="D872"/>
      <c r="E872"/>
      <c r="F872" s="26" t="s">
        <v>7</v>
      </c>
      <c r="PM872" s="26" t="s">
        <v>8</v>
      </c>
      <c r="PN872" s="26" t="s">
        <v>7</v>
      </c>
      <c r="PO872" s="26" t="s">
        <v>8</v>
      </c>
      <c r="RF872" s="26" t="s">
        <v>7</v>
      </c>
      <c r="RG872" s="26" t="s">
        <v>8</v>
      </c>
      <c r="RH872" s="26" t="s">
        <v>7</v>
      </c>
      <c r="RI872" s="26" t="s">
        <v>8</v>
      </c>
      <c r="RJ872" s="26" t="s">
        <v>7</v>
      </c>
      <c r="RK872" s="26" t="s">
        <v>8</v>
      </c>
      <c r="RL872" s="26" t="s">
        <v>7</v>
      </c>
      <c r="RM872" s="26" t="s">
        <v>8</v>
      </c>
      <c r="RP872" s="26" t="s">
        <v>7</v>
      </c>
      <c r="RQ872" s="26" t="s">
        <v>8</v>
      </c>
      <c r="RR872" s="26" t="s">
        <v>7</v>
      </c>
      <c r="RS872" s="26" t="s">
        <v>8</v>
      </c>
      <c r="RT872" s="26" t="s">
        <v>7</v>
      </c>
      <c r="RU872" s="26" t="s">
        <v>8</v>
      </c>
      <c r="RV872" s="26" t="s">
        <v>7</v>
      </c>
      <c r="SS872" s="26" t="s">
        <v>8</v>
      </c>
      <c r="TL872" s="26" t="s">
        <v>7</v>
      </c>
      <c r="VB872" s="26" t="s">
        <v>7</v>
      </c>
      <c r="VC872" s="26" t="s">
        <v>8</v>
      </c>
      <c r="VD872" s="26" t="s">
        <v>7</v>
      </c>
      <c r="VE872" s="26" t="s">
        <v>8</v>
      </c>
      <c r="VF872" s="26" t="s">
        <v>7</v>
      </c>
      <c r="VG872" s="26" t="s">
        <v>8</v>
      </c>
      <c r="VH872" s="26" t="s">
        <v>7</v>
      </c>
      <c r="VI872" s="26" t="s">
        <v>8</v>
      </c>
      <c r="VN872" s="26" t="s">
        <v>7</v>
      </c>
      <c r="VO872" s="26" t="s">
        <v>8</v>
      </c>
      <c r="VS872" s="26" t="s">
        <v>8</v>
      </c>
      <c r="VV872" s="26" t="s">
        <v>7</v>
      </c>
      <c r="VW872" s="26" t="s">
        <v>8</v>
      </c>
      <c r="VX872" s="26" t="s">
        <v>7</v>
      </c>
    </row>
    <row r="873" spans="1:596" x14ac:dyDescent="0.25">
      <c r="A873" s="7">
        <v>3.4701709999696872E-3</v>
      </c>
      <c r="B873"/>
      <c r="C873"/>
      <c r="D873"/>
      <c r="E873"/>
      <c r="F873" s="26" t="s">
        <v>7</v>
      </c>
      <c r="PM873" s="26" t="s">
        <v>8</v>
      </c>
      <c r="PN873" s="26" t="s">
        <v>7</v>
      </c>
      <c r="PO873" s="26" t="s">
        <v>8</v>
      </c>
      <c r="RF873" s="26" t="s">
        <v>7</v>
      </c>
      <c r="RG873" s="26" t="s">
        <v>8</v>
      </c>
      <c r="RH873" s="26" t="s">
        <v>7</v>
      </c>
      <c r="RI873" s="26" t="s">
        <v>8</v>
      </c>
      <c r="RJ873" s="26" t="s">
        <v>7</v>
      </c>
      <c r="RK873" s="26" t="s">
        <v>8</v>
      </c>
      <c r="RL873" s="26" t="s">
        <v>7</v>
      </c>
      <c r="RM873" s="26" t="s">
        <v>8</v>
      </c>
      <c r="RP873" s="26" t="s">
        <v>7</v>
      </c>
      <c r="RQ873" s="26" t="s">
        <v>8</v>
      </c>
      <c r="RR873" s="26" t="s">
        <v>7</v>
      </c>
      <c r="RS873" s="26" t="s">
        <v>8</v>
      </c>
      <c r="RT873" s="26" t="s">
        <v>7</v>
      </c>
      <c r="RU873" s="26" t="s">
        <v>8</v>
      </c>
      <c r="RV873" s="26" t="s">
        <v>7</v>
      </c>
      <c r="SS873" s="26" t="s">
        <v>8</v>
      </c>
      <c r="VB873" s="26" t="s">
        <v>7</v>
      </c>
      <c r="VC873" s="26" t="s">
        <v>8</v>
      </c>
      <c r="VD873" s="26" t="s">
        <v>7</v>
      </c>
      <c r="VF873" s="26" t="s">
        <v>7</v>
      </c>
      <c r="VG873" s="26" t="s">
        <v>8</v>
      </c>
      <c r="VH873" s="26" t="s">
        <v>7</v>
      </c>
      <c r="VI873" s="26" t="s">
        <v>8</v>
      </c>
      <c r="VN873" s="26" t="s">
        <v>7</v>
      </c>
      <c r="VO873" s="26" t="s">
        <v>8</v>
      </c>
      <c r="VP873" s="26" t="s">
        <v>7</v>
      </c>
      <c r="VS873" s="26" t="s">
        <v>8</v>
      </c>
      <c r="VV873" s="26" t="s">
        <v>7</v>
      </c>
      <c r="VX873" s="26" t="s">
        <v>7</v>
      </c>
    </row>
    <row r="874" spans="1:596" x14ac:dyDescent="0.25">
      <c r="A874" s="7">
        <v>3.4021284313428307E-3</v>
      </c>
      <c r="B874"/>
      <c r="C874"/>
      <c r="D874"/>
      <c r="E874"/>
      <c r="F874" s="26" t="s">
        <v>7</v>
      </c>
      <c r="PM874" s="26" t="s">
        <v>8</v>
      </c>
      <c r="PN874" s="26" t="s">
        <v>7</v>
      </c>
      <c r="PO874" s="26" t="s">
        <v>8</v>
      </c>
      <c r="RF874" s="26" t="s">
        <v>7</v>
      </c>
      <c r="RG874" s="26" t="s">
        <v>8</v>
      </c>
      <c r="RH874" s="26" t="s">
        <v>7</v>
      </c>
      <c r="RI874" s="26" t="s">
        <v>8</v>
      </c>
      <c r="RJ874" s="26" t="s">
        <v>7</v>
      </c>
      <c r="RK874" s="26" t="s">
        <v>8</v>
      </c>
      <c r="RL874" s="26" t="s">
        <v>7</v>
      </c>
      <c r="RM874" s="26" t="s">
        <v>8</v>
      </c>
      <c r="RP874" s="26" t="s">
        <v>7</v>
      </c>
      <c r="RQ874" s="26" t="s">
        <v>8</v>
      </c>
      <c r="RR874" s="26" t="s">
        <v>7</v>
      </c>
      <c r="RS874" s="26" t="s">
        <v>8</v>
      </c>
      <c r="RT874" s="26" t="s">
        <v>7</v>
      </c>
      <c r="RU874" s="26" t="s">
        <v>8</v>
      </c>
      <c r="RV874" s="26" t="s">
        <v>7</v>
      </c>
      <c r="SQ874" s="26" t="s">
        <v>8</v>
      </c>
      <c r="SS874" s="26" t="s">
        <v>8</v>
      </c>
      <c r="VB874" s="26" t="s">
        <v>7</v>
      </c>
      <c r="VF874" s="26" t="s">
        <v>7</v>
      </c>
      <c r="VG874" s="26" t="s">
        <v>8</v>
      </c>
      <c r="VH874" s="26" t="s">
        <v>7</v>
      </c>
      <c r="VI874" s="26" t="s">
        <v>8</v>
      </c>
      <c r="VN874" s="26" t="s">
        <v>7</v>
      </c>
      <c r="VO874" s="26" t="s">
        <v>8</v>
      </c>
      <c r="VP874" s="26" t="s">
        <v>7</v>
      </c>
      <c r="VS874" s="26" t="s">
        <v>8</v>
      </c>
      <c r="VX874" s="26" t="s">
        <v>7</v>
      </c>
    </row>
    <row r="875" spans="1:596" x14ac:dyDescent="0.25">
      <c r="A875" s="7">
        <v>3.3354200307282654E-3</v>
      </c>
      <c r="B875"/>
      <c r="C875"/>
      <c r="D875"/>
      <c r="E875"/>
      <c r="F875" s="26" t="s">
        <v>7</v>
      </c>
      <c r="PM875" s="26" t="s">
        <v>8</v>
      </c>
      <c r="PN875" s="26" t="s">
        <v>7</v>
      </c>
      <c r="PO875" s="26" t="s">
        <v>8</v>
      </c>
      <c r="RF875" s="26" t="s">
        <v>7</v>
      </c>
      <c r="RG875" s="26" t="s">
        <v>8</v>
      </c>
      <c r="RH875" s="26" t="s">
        <v>7</v>
      </c>
      <c r="RI875" s="26" t="s">
        <v>8</v>
      </c>
      <c r="RJ875" s="26" t="s">
        <v>7</v>
      </c>
      <c r="RK875" s="26" t="s">
        <v>8</v>
      </c>
      <c r="RL875" s="26" t="s">
        <v>7</v>
      </c>
      <c r="RM875" s="26" t="s">
        <v>8</v>
      </c>
      <c r="RP875" s="26" t="s">
        <v>7</v>
      </c>
      <c r="RR875" s="26" t="s">
        <v>7</v>
      </c>
      <c r="RS875" s="26" t="s">
        <v>8</v>
      </c>
      <c r="RT875" s="26" t="s">
        <v>7</v>
      </c>
      <c r="RU875" s="26" t="s">
        <v>8</v>
      </c>
      <c r="RV875" s="26" t="s">
        <v>7</v>
      </c>
      <c r="SQ875" s="26" t="s">
        <v>8</v>
      </c>
      <c r="SR875" s="26" t="s">
        <v>7</v>
      </c>
      <c r="SS875" s="26" t="s">
        <v>8</v>
      </c>
      <c r="VF875" s="26" t="s">
        <v>7</v>
      </c>
      <c r="VG875" s="26" t="s">
        <v>8</v>
      </c>
      <c r="VH875" s="26" t="s">
        <v>7</v>
      </c>
      <c r="VI875" s="26" t="s">
        <v>8</v>
      </c>
      <c r="VN875" s="26" t="s">
        <v>7</v>
      </c>
      <c r="VP875" s="26" t="s">
        <v>7</v>
      </c>
      <c r="VQ875" s="26" t="s">
        <v>8</v>
      </c>
      <c r="VS875" s="26" t="s">
        <v>8</v>
      </c>
      <c r="VX875" s="26" t="s">
        <v>7</v>
      </c>
    </row>
    <row r="876" spans="1:596" x14ac:dyDescent="0.25">
      <c r="A876" s="7">
        <v>3.2700196379688881E-3</v>
      </c>
      <c r="B876"/>
      <c r="C876"/>
      <c r="D876"/>
      <c r="E876"/>
      <c r="F876" s="26" t="s">
        <v>7</v>
      </c>
      <c r="PM876" s="26" t="s">
        <v>8</v>
      </c>
      <c r="PN876" s="26" t="s">
        <v>7</v>
      </c>
      <c r="PO876" s="26" t="s">
        <v>8</v>
      </c>
      <c r="RF876" s="26" t="s">
        <v>7</v>
      </c>
      <c r="RG876" s="26" t="s">
        <v>8</v>
      </c>
      <c r="RH876" s="26" t="s">
        <v>7</v>
      </c>
      <c r="RI876" s="26" t="s">
        <v>8</v>
      </c>
      <c r="RJ876" s="26" t="s">
        <v>7</v>
      </c>
      <c r="RK876" s="26" t="s">
        <v>8</v>
      </c>
      <c r="RL876" s="26" t="s">
        <v>7</v>
      </c>
      <c r="RM876" s="26" t="s">
        <v>8</v>
      </c>
      <c r="RR876" s="26" t="s">
        <v>7</v>
      </c>
      <c r="RS876" s="26" t="s">
        <v>8</v>
      </c>
      <c r="RT876" s="26" t="s">
        <v>7</v>
      </c>
      <c r="RU876" s="26" t="s">
        <v>8</v>
      </c>
      <c r="RV876" s="26" t="s">
        <v>7</v>
      </c>
      <c r="SQ876" s="26" t="s">
        <v>8</v>
      </c>
      <c r="SR876" s="26" t="s">
        <v>7</v>
      </c>
      <c r="SS876" s="26" t="s">
        <v>8</v>
      </c>
      <c r="VF876" s="26" t="s">
        <v>7</v>
      </c>
      <c r="VG876" s="26" t="s">
        <v>8</v>
      </c>
      <c r="VH876" s="26" t="s">
        <v>7</v>
      </c>
      <c r="VI876" s="26" t="s">
        <v>8</v>
      </c>
      <c r="VP876" s="26" t="s">
        <v>7</v>
      </c>
      <c r="VQ876" s="26" t="s">
        <v>8</v>
      </c>
      <c r="VR876" s="26" t="s">
        <v>7</v>
      </c>
      <c r="VS876" s="26" t="s">
        <v>8</v>
      </c>
      <c r="VX876" s="26" t="s">
        <v>7</v>
      </c>
    </row>
    <row r="877" spans="1:596" x14ac:dyDescent="0.25">
      <c r="A877" s="7">
        <v>3.205901605851851E-3</v>
      </c>
      <c r="B877"/>
      <c r="C877"/>
      <c r="D877"/>
      <c r="E877"/>
      <c r="F877" s="26" t="s">
        <v>7</v>
      </c>
      <c r="PM877" s="26" t="s">
        <v>8</v>
      </c>
      <c r="PN877" s="26" t="s">
        <v>7</v>
      </c>
      <c r="PO877" s="26" t="s">
        <v>8</v>
      </c>
      <c r="RF877" s="26" t="s">
        <v>7</v>
      </c>
      <c r="RG877" s="26" t="s">
        <v>8</v>
      </c>
      <c r="RH877" s="26" t="s">
        <v>7</v>
      </c>
      <c r="RI877" s="26" t="s">
        <v>8</v>
      </c>
      <c r="RJ877" s="26" t="s">
        <v>7</v>
      </c>
      <c r="RK877" s="26" t="s">
        <v>8</v>
      </c>
      <c r="RL877" s="26" t="s">
        <v>7</v>
      </c>
      <c r="RM877" s="26" t="s">
        <v>8</v>
      </c>
      <c r="RR877" s="26" t="s">
        <v>7</v>
      </c>
      <c r="RS877" s="26" t="s">
        <v>8</v>
      </c>
      <c r="RT877" s="26" t="s">
        <v>7</v>
      </c>
      <c r="RU877" s="26" t="s">
        <v>8</v>
      </c>
      <c r="RV877" s="26" t="s">
        <v>7</v>
      </c>
      <c r="SQ877" s="26" t="s">
        <v>8</v>
      </c>
      <c r="SR877" s="26" t="s">
        <v>7</v>
      </c>
      <c r="VF877" s="26" t="s">
        <v>7</v>
      </c>
      <c r="VH877" s="26" t="s">
        <v>7</v>
      </c>
      <c r="VI877" s="26" t="s">
        <v>8</v>
      </c>
      <c r="VP877" s="26" t="s">
        <v>7</v>
      </c>
      <c r="VQ877" s="26" t="s">
        <v>8</v>
      </c>
      <c r="VR877" s="26" t="s">
        <v>7</v>
      </c>
      <c r="VS877" s="26" t="s">
        <v>8</v>
      </c>
      <c r="VX877" s="26" t="s">
        <v>7</v>
      </c>
    </row>
    <row r="878" spans="1:596" x14ac:dyDescent="0.25">
      <c r="A878" s="7">
        <v>3.1430407900508344E-3</v>
      </c>
      <c r="B878"/>
      <c r="C878"/>
      <c r="D878"/>
      <c r="E878"/>
      <c r="F878" s="26" t="s">
        <v>7</v>
      </c>
      <c r="PM878" s="26" t="s">
        <v>8</v>
      </c>
      <c r="PN878" s="26" t="s">
        <v>7</v>
      </c>
      <c r="PO878" s="26" t="s">
        <v>8</v>
      </c>
      <c r="RF878" s="26" t="s">
        <v>7</v>
      </c>
      <c r="RG878" s="26" t="s">
        <v>8</v>
      </c>
      <c r="RH878" s="26" t="s">
        <v>7</v>
      </c>
      <c r="RJ878" s="26" t="s">
        <v>7</v>
      </c>
      <c r="RK878" s="26" t="s">
        <v>8</v>
      </c>
      <c r="RL878" s="26" t="s">
        <v>7</v>
      </c>
      <c r="RR878" s="26" t="s">
        <v>7</v>
      </c>
      <c r="RS878" s="26" t="s">
        <v>8</v>
      </c>
      <c r="RT878" s="26" t="s">
        <v>7</v>
      </c>
      <c r="RU878" s="26" t="s">
        <v>8</v>
      </c>
      <c r="RV878" s="26" t="s">
        <v>7</v>
      </c>
      <c r="SQ878" s="26" t="s">
        <v>8</v>
      </c>
      <c r="VH878" s="26" t="s">
        <v>7</v>
      </c>
      <c r="VI878" s="26" t="s">
        <v>8</v>
      </c>
      <c r="VP878" s="26" t="s">
        <v>7</v>
      </c>
      <c r="VR878" s="26" t="s">
        <v>7</v>
      </c>
      <c r="VS878" s="26" t="s">
        <v>8</v>
      </c>
      <c r="VX878" s="26" t="s">
        <v>7</v>
      </c>
    </row>
    <row r="879" spans="1:596" x14ac:dyDescent="0.25">
      <c r="A879" s="7">
        <v>3.0814125392655241E-3</v>
      </c>
      <c r="B879"/>
      <c r="C879"/>
      <c r="D879"/>
      <c r="E879"/>
      <c r="F879" s="26" t="s">
        <v>7</v>
      </c>
      <c r="PM879" s="26" t="s">
        <v>8</v>
      </c>
      <c r="PN879" s="26" t="s">
        <v>7</v>
      </c>
      <c r="PO879" s="26" t="s">
        <v>8</v>
      </c>
      <c r="RF879" s="26" t="s">
        <v>7</v>
      </c>
      <c r="RG879" s="26" t="s">
        <v>8</v>
      </c>
      <c r="RJ879" s="26" t="s">
        <v>7</v>
      </c>
      <c r="RK879" s="26" t="s">
        <v>8</v>
      </c>
      <c r="RR879" s="26" t="s">
        <v>7</v>
      </c>
      <c r="RS879" s="26" t="s">
        <v>8</v>
      </c>
      <c r="RT879" s="26" t="s">
        <v>7</v>
      </c>
      <c r="RU879" s="26" t="s">
        <v>8</v>
      </c>
      <c r="RV879" s="26" t="s">
        <v>7</v>
      </c>
      <c r="SQ879" s="26" t="s">
        <v>8</v>
      </c>
      <c r="VH879" s="26" t="s">
        <v>7</v>
      </c>
      <c r="VI879" s="26" t="s">
        <v>8</v>
      </c>
      <c r="VR879" s="26" t="s">
        <v>7</v>
      </c>
      <c r="VS879" s="26" t="s">
        <v>8</v>
      </c>
      <c r="VX879" s="26" t="s">
        <v>7</v>
      </c>
    </row>
    <row r="880" spans="1:596" x14ac:dyDescent="0.25">
      <c r="A880" s="7">
        <v>3.0209926855544354E-3</v>
      </c>
      <c r="B880"/>
      <c r="C880"/>
      <c r="D880"/>
      <c r="E880"/>
      <c r="F880" s="26" t="s">
        <v>7</v>
      </c>
      <c r="PM880" s="26" t="s">
        <v>8</v>
      </c>
      <c r="PN880" s="26" t="s">
        <v>7</v>
      </c>
      <c r="PO880" s="26" t="s">
        <v>8</v>
      </c>
      <c r="RF880" s="26" t="s">
        <v>7</v>
      </c>
      <c r="RG880" s="26" t="s">
        <v>8</v>
      </c>
      <c r="RJ880" s="26" t="s">
        <v>7</v>
      </c>
      <c r="RK880" s="26" t="s">
        <v>8</v>
      </c>
      <c r="RR880" s="26" t="s">
        <v>7</v>
      </c>
      <c r="RS880" s="26" t="s">
        <v>8</v>
      </c>
      <c r="RT880" s="26" t="s">
        <v>7</v>
      </c>
      <c r="RV880" s="26" t="s">
        <v>7</v>
      </c>
      <c r="SQ880" s="26" t="s">
        <v>8</v>
      </c>
      <c r="VH880" s="26" t="s">
        <v>7</v>
      </c>
      <c r="VR880" s="26" t="s">
        <v>7</v>
      </c>
      <c r="VS880" s="26" t="s">
        <v>8</v>
      </c>
      <c r="VX880" s="26" t="s">
        <v>7</v>
      </c>
    </row>
    <row r="881" spans="1:600" x14ac:dyDescent="0.25">
      <c r="A881" s="7">
        <v>2.9617575348572897E-3</v>
      </c>
      <c r="B881"/>
      <c r="C881"/>
      <c r="D881"/>
      <c r="E881"/>
      <c r="F881" s="26" t="s">
        <v>7</v>
      </c>
      <c r="PM881" s="26" t="s">
        <v>8</v>
      </c>
      <c r="PN881" s="26" t="s">
        <v>7</v>
      </c>
      <c r="PO881" s="26" t="s">
        <v>8</v>
      </c>
      <c r="RF881" s="26" t="s">
        <v>7</v>
      </c>
      <c r="RG881" s="26" t="s">
        <v>8</v>
      </c>
      <c r="RJ881" s="26" t="s">
        <v>7</v>
      </c>
      <c r="RK881" s="26" t="s">
        <v>8</v>
      </c>
      <c r="RR881" s="26" t="s">
        <v>7</v>
      </c>
      <c r="RS881" s="26" t="s">
        <v>8</v>
      </c>
      <c r="RV881" s="26" t="s">
        <v>7</v>
      </c>
      <c r="SQ881" s="26" t="s">
        <v>8</v>
      </c>
      <c r="VR881" s="26" t="s">
        <v>7</v>
      </c>
      <c r="VX881" s="26" t="s">
        <v>7</v>
      </c>
    </row>
    <row r="882" spans="1:600" x14ac:dyDescent="0.25">
      <c r="A882" s="7">
        <v>2.9036838577032251E-3</v>
      </c>
      <c r="B882"/>
      <c r="C882"/>
      <c r="D882"/>
      <c r="E882"/>
      <c r="F882" s="26" t="s">
        <v>7</v>
      </c>
      <c r="PM882" s="26" t="s">
        <v>8</v>
      </c>
      <c r="PN882" s="26" t="s">
        <v>7</v>
      </c>
      <c r="RF882" s="26" t="s">
        <v>7</v>
      </c>
      <c r="RG882" s="26" t="s">
        <v>8</v>
      </c>
      <c r="RJ882" s="26" t="s">
        <v>7</v>
      </c>
      <c r="RK882" s="26" t="s">
        <v>8</v>
      </c>
      <c r="RR882" s="26" t="s">
        <v>7</v>
      </c>
      <c r="RV882" s="26" t="s">
        <v>7</v>
      </c>
      <c r="SQ882" s="26" t="s">
        <v>8</v>
      </c>
      <c r="VX882" s="26" t="s">
        <v>7</v>
      </c>
    </row>
    <row r="883" spans="1:600" x14ac:dyDescent="0.25">
      <c r="A883" s="7">
        <v>2.8467488801012012E-3</v>
      </c>
      <c r="B883"/>
      <c r="C883"/>
      <c r="D883"/>
      <c r="E883"/>
      <c r="F883" s="26" t="s">
        <v>7</v>
      </c>
      <c r="PM883" s="26" t="s">
        <v>8</v>
      </c>
      <c r="RF883" s="26" t="s">
        <v>7</v>
      </c>
      <c r="RG883" s="26" t="s">
        <v>8</v>
      </c>
      <c r="RJ883" s="26" t="s">
        <v>7</v>
      </c>
      <c r="RK883" s="26" t="s">
        <v>8</v>
      </c>
      <c r="RV883" s="26" t="s">
        <v>7</v>
      </c>
      <c r="SK883" s="26" t="s">
        <v>8</v>
      </c>
      <c r="SQ883" s="26" t="s">
        <v>8</v>
      </c>
      <c r="VX883" s="26" t="s">
        <v>7</v>
      </c>
    </row>
    <row r="884" spans="1:600" x14ac:dyDescent="0.25">
      <c r="A884" s="7">
        <v>2.7909302746090209E-3</v>
      </c>
      <c r="B884"/>
      <c r="C884"/>
      <c r="D884"/>
      <c r="E884"/>
      <c r="F884" s="26" t="s">
        <v>7</v>
      </c>
      <c r="PM884" s="26" t="s">
        <v>8</v>
      </c>
      <c r="RF884" s="26" t="s">
        <v>7</v>
      </c>
      <c r="RG884" s="26" t="s">
        <v>8</v>
      </c>
      <c r="RJ884" s="26" t="s">
        <v>7</v>
      </c>
      <c r="RK884" s="26" t="s">
        <v>8</v>
      </c>
      <c r="RV884" s="26" t="s">
        <v>7</v>
      </c>
      <c r="RY884" s="26" t="s">
        <v>8</v>
      </c>
      <c r="SK884" s="26" t="s">
        <v>8</v>
      </c>
      <c r="SL884" s="26" t="s">
        <v>7</v>
      </c>
      <c r="SQ884" s="26" t="s">
        <v>8</v>
      </c>
      <c r="VX884" s="26" t="s">
        <v>7</v>
      </c>
      <c r="WA884" s="26" t="s">
        <v>8</v>
      </c>
    </row>
    <row r="885" spans="1:600" x14ac:dyDescent="0.25">
      <c r="A885" s="7">
        <v>2.7362061515774716E-3</v>
      </c>
      <c r="B885"/>
      <c r="C885"/>
      <c r="D885"/>
      <c r="E885"/>
      <c r="F885" s="26" t="s">
        <v>7</v>
      </c>
      <c r="PA885" s="26" t="s">
        <v>8</v>
      </c>
      <c r="PM885" s="26" t="s">
        <v>8</v>
      </c>
      <c r="RF885" s="26" t="s">
        <v>7</v>
      </c>
      <c r="RG885" s="26" t="s">
        <v>8</v>
      </c>
      <c r="RJ885" s="26" t="s">
        <v>7</v>
      </c>
      <c r="RK885" s="26" t="s">
        <v>8</v>
      </c>
      <c r="RV885" s="26" t="s">
        <v>7</v>
      </c>
      <c r="RY885" s="26" t="s">
        <v>8</v>
      </c>
      <c r="RZ885" s="26" t="s">
        <v>7</v>
      </c>
      <c r="SK885" s="26" t="s">
        <v>8</v>
      </c>
      <c r="SL885" s="26" t="s">
        <v>7</v>
      </c>
      <c r="SQ885" s="26" t="s">
        <v>8</v>
      </c>
      <c r="VX885" s="26" t="s">
        <v>7</v>
      </c>
      <c r="WA885" s="26" t="s">
        <v>8</v>
      </c>
      <c r="WB885" s="26" t="s">
        <v>7</v>
      </c>
    </row>
    <row r="886" spans="1:600" x14ac:dyDescent="0.25">
      <c r="A886" s="7">
        <v>2.6825550505661486E-3</v>
      </c>
      <c r="B886"/>
      <c r="C886"/>
      <c r="D886"/>
      <c r="E886"/>
      <c r="F886" s="26" t="s">
        <v>7</v>
      </c>
      <c r="PA886" s="26" t="s">
        <v>8</v>
      </c>
      <c r="PB886" s="26" t="s">
        <v>7</v>
      </c>
      <c r="PM886" s="26" t="s">
        <v>8</v>
      </c>
      <c r="RF886" s="26" t="s">
        <v>7</v>
      </c>
      <c r="RJ886" s="26" t="s">
        <v>7</v>
      </c>
      <c r="RK886" s="26" t="s">
        <v>8</v>
      </c>
      <c r="RV886" s="26" t="s">
        <v>7</v>
      </c>
      <c r="RY886" s="26" t="s">
        <v>8</v>
      </c>
      <c r="RZ886" s="26" t="s">
        <v>7</v>
      </c>
      <c r="SK886" s="26" t="s">
        <v>8</v>
      </c>
      <c r="SL886" s="26" t="s">
        <v>7</v>
      </c>
      <c r="SO886" s="26" t="s">
        <v>8</v>
      </c>
      <c r="SQ886" s="26" t="s">
        <v>8</v>
      </c>
      <c r="VX886" s="26" t="s">
        <v>7</v>
      </c>
      <c r="VY886" s="26" t="s">
        <v>8</v>
      </c>
      <c r="WA886" s="26" t="s">
        <v>8</v>
      </c>
      <c r="WB886" s="26" t="s">
        <v>7</v>
      </c>
    </row>
    <row r="887" spans="1:600" x14ac:dyDescent="0.25">
      <c r="A887" s="7">
        <v>2.6299559319275965E-3</v>
      </c>
      <c r="B887"/>
      <c r="C887"/>
      <c r="D887"/>
      <c r="E887"/>
      <c r="F887" s="26" t="s">
        <v>7</v>
      </c>
      <c r="PA887" s="26" t="s">
        <v>8</v>
      </c>
      <c r="PB887" s="26" t="s">
        <v>7</v>
      </c>
      <c r="PM887" s="26" t="s">
        <v>8</v>
      </c>
      <c r="RJ887" s="26" t="s">
        <v>7</v>
      </c>
      <c r="RK887" s="26" t="s">
        <v>8</v>
      </c>
      <c r="RV887" s="26" t="s">
        <v>7</v>
      </c>
      <c r="RY887" s="26" t="s">
        <v>8</v>
      </c>
      <c r="RZ887" s="26" t="s">
        <v>7</v>
      </c>
      <c r="SA887" s="26" t="s">
        <v>8</v>
      </c>
      <c r="SK887" s="26" t="s">
        <v>8</v>
      </c>
      <c r="SL887" s="26" t="s">
        <v>7</v>
      </c>
      <c r="SM887" s="26" t="s">
        <v>8</v>
      </c>
      <c r="SO887" s="26" t="s">
        <v>8</v>
      </c>
      <c r="SP887" s="26" t="s">
        <v>7</v>
      </c>
      <c r="SQ887" s="26" t="s">
        <v>8</v>
      </c>
      <c r="VX887" s="26" t="s">
        <v>7</v>
      </c>
      <c r="VY887" s="26" t="s">
        <v>8</v>
      </c>
      <c r="VZ887" s="26" t="s">
        <v>7</v>
      </c>
      <c r="WA887" s="26" t="s">
        <v>8</v>
      </c>
      <c r="WB887" s="26" t="s">
        <v>7</v>
      </c>
    </row>
    <row r="888" spans="1:600" x14ac:dyDescent="0.25">
      <c r="A888" s="7">
        <v>2.578388168556467E-3</v>
      </c>
      <c r="B888"/>
      <c r="C888"/>
      <c r="D888"/>
      <c r="E888"/>
      <c r="F888" s="26" t="s">
        <v>7</v>
      </c>
      <c r="PA888" s="26" t="s">
        <v>8</v>
      </c>
      <c r="PB888" s="26" t="s">
        <v>7</v>
      </c>
      <c r="PM888" s="26" t="s">
        <v>8</v>
      </c>
      <c r="RJ888" s="26" t="s">
        <v>7</v>
      </c>
      <c r="RK888" s="26" t="s">
        <v>8</v>
      </c>
      <c r="RV888" s="26" t="s">
        <v>7</v>
      </c>
      <c r="RY888" s="26" t="s">
        <v>8</v>
      </c>
      <c r="RZ888" s="26" t="s">
        <v>7</v>
      </c>
      <c r="SA888" s="26" t="s">
        <v>8</v>
      </c>
      <c r="SB888" s="26" t="s">
        <v>7</v>
      </c>
      <c r="SK888" s="26" t="s">
        <v>8</v>
      </c>
      <c r="SL888" s="26" t="s">
        <v>7</v>
      </c>
      <c r="SM888" s="26" t="s">
        <v>8</v>
      </c>
      <c r="SN888" s="26" t="s">
        <v>7</v>
      </c>
      <c r="SO888" s="26" t="s">
        <v>8</v>
      </c>
      <c r="SP888" s="26" t="s">
        <v>7</v>
      </c>
      <c r="SQ888" s="26" t="s">
        <v>8</v>
      </c>
      <c r="VX888" s="26" t="s">
        <v>7</v>
      </c>
      <c r="VY888" s="26" t="s">
        <v>8</v>
      </c>
      <c r="VZ888" s="26" t="s">
        <v>7</v>
      </c>
      <c r="WA888" s="26" t="s">
        <v>8</v>
      </c>
      <c r="WB888" s="26" t="s">
        <v>7</v>
      </c>
    </row>
    <row r="889" spans="1:600" x14ac:dyDescent="0.25">
      <c r="A889" s="7">
        <v>2.5278315378004577E-3</v>
      </c>
      <c r="B889"/>
      <c r="C889"/>
      <c r="D889"/>
      <c r="E889"/>
      <c r="F889" s="26" t="s">
        <v>7</v>
      </c>
      <c r="PA889" s="26" t="s">
        <v>8</v>
      </c>
      <c r="PB889" s="26" t="s">
        <v>7</v>
      </c>
      <c r="PM889" s="26" t="s">
        <v>8</v>
      </c>
      <c r="RJ889" s="26" t="s">
        <v>7</v>
      </c>
      <c r="RK889" s="26" t="s">
        <v>8</v>
      </c>
      <c r="RV889" s="26" t="s">
        <v>7</v>
      </c>
      <c r="RW889" s="26" t="s">
        <v>8</v>
      </c>
      <c r="RY889" s="26" t="s">
        <v>8</v>
      </c>
      <c r="RZ889" s="26" t="s">
        <v>7</v>
      </c>
      <c r="SA889" s="26" t="s">
        <v>8</v>
      </c>
      <c r="SB889" s="26" t="s">
        <v>7</v>
      </c>
      <c r="SC889" s="26" t="s">
        <v>8</v>
      </c>
      <c r="SK889" s="26" t="s">
        <v>8</v>
      </c>
      <c r="SL889" s="26" t="s">
        <v>7</v>
      </c>
      <c r="SM889" s="26" t="s">
        <v>8</v>
      </c>
      <c r="SN889" s="26" t="s">
        <v>7</v>
      </c>
      <c r="SO889" s="26" t="s">
        <v>8</v>
      </c>
      <c r="SP889" s="26" t="s">
        <v>7</v>
      </c>
      <c r="SQ889" s="26" t="s">
        <v>8</v>
      </c>
      <c r="VX889" s="26" t="s">
        <v>7</v>
      </c>
      <c r="VY889" s="26" t="s">
        <v>8</v>
      </c>
      <c r="VZ889" s="26" t="s">
        <v>7</v>
      </c>
      <c r="WA889" s="26" t="s">
        <v>8</v>
      </c>
      <c r="WB889" s="26" t="s">
        <v>7</v>
      </c>
    </row>
    <row r="890" spans="1:600" x14ac:dyDescent="0.25">
      <c r="A890" s="7">
        <v>2.4782662135298603E-3</v>
      </c>
      <c r="B890"/>
      <c r="C890"/>
      <c r="D890"/>
      <c r="E890"/>
      <c r="F890" s="26" t="s">
        <v>7</v>
      </c>
      <c r="PA890" s="26" t="s">
        <v>8</v>
      </c>
      <c r="PB890" s="26" t="s">
        <v>7</v>
      </c>
      <c r="PM890" s="26" t="s">
        <v>8</v>
      </c>
      <c r="RJ890" s="26" t="s">
        <v>7</v>
      </c>
      <c r="RV890" s="26" t="s">
        <v>7</v>
      </c>
      <c r="RW890" s="26" t="s">
        <v>8</v>
      </c>
      <c r="RX890" s="26" t="s">
        <v>7</v>
      </c>
      <c r="RY890" s="26" t="s">
        <v>8</v>
      </c>
      <c r="RZ890" s="26" t="s">
        <v>7</v>
      </c>
      <c r="SA890" s="26" t="s">
        <v>8</v>
      </c>
      <c r="SB890" s="26" t="s">
        <v>7</v>
      </c>
      <c r="SC890" s="26" t="s">
        <v>8</v>
      </c>
      <c r="SD890" s="26" t="s">
        <v>7</v>
      </c>
      <c r="SK890" s="26" t="s">
        <v>8</v>
      </c>
      <c r="SL890" s="26" t="s">
        <v>7</v>
      </c>
      <c r="SM890" s="26" t="s">
        <v>8</v>
      </c>
      <c r="SN890" s="26" t="s">
        <v>7</v>
      </c>
      <c r="SO890" s="26" t="s">
        <v>8</v>
      </c>
      <c r="SP890" s="26" t="s">
        <v>7</v>
      </c>
      <c r="SQ890" s="26" t="s">
        <v>8</v>
      </c>
      <c r="VX890" s="26" t="s">
        <v>7</v>
      </c>
      <c r="VY890" s="26" t="s">
        <v>8</v>
      </c>
      <c r="VZ890" s="26" t="s">
        <v>7</v>
      </c>
      <c r="WA890" s="26" t="s">
        <v>8</v>
      </c>
      <c r="WB890" s="26" t="s">
        <v>7</v>
      </c>
    </row>
    <row r="891" spans="1:600" x14ac:dyDescent="0.25">
      <c r="A891" s="7">
        <v>2.4296727583626083E-3</v>
      </c>
      <c r="B891"/>
      <c r="C891"/>
      <c r="D891"/>
      <c r="E891"/>
      <c r="F891" s="26" t="s">
        <v>7</v>
      </c>
      <c r="PA891" s="26" t="s">
        <v>8</v>
      </c>
      <c r="PB891" s="26" t="s">
        <v>7</v>
      </c>
      <c r="PM891" s="26" t="s">
        <v>8</v>
      </c>
      <c r="RV891" s="26" t="s">
        <v>7</v>
      </c>
      <c r="RW891" s="26" t="s">
        <v>8</v>
      </c>
      <c r="RX891" s="26" t="s">
        <v>7</v>
      </c>
      <c r="RY891" s="26" t="s">
        <v>8</v>
      </c>
      <c r="RZ891" s="26" t="s">
        <v>7</v>
      </c>
      <c r="SA891" s="26" t="s">
        <v>8</v>
      </c>
      <c r="SB891" s="26" t="s">
        <v>7</v>
      </c>
      <c r="SC891" s="26" t="s">
        <v>8</v>
      </c>
      <c r="SD891" s="26" t="s">
        <v>7</v>
      </c>
      <c r="SK891" s="26" t="s">
        <v>8</v>
      </c>
      <c r="SL891" s="26" t="s">
        <v>7</v>
      </c>
      <c r="SM891" s="26" t="s">
        <v>8</v>
      </c>
      <c r="SN891" s="26" t="s">
        <v>7</v>
      </c>
      <c r="SO891" s="26" t="s">
        <v>8</v>
      </c>
      <c r="SP891" s="26" t="s">
        <v>7</v>
      </c>
      <c r="SQ891" s="26" t="s">
        <v>8</v>
      </c>
      <c r="VX891" s="26" t="s">
        <v>7</v>
      </c>
      <c r="VY891" s="26" t="s">
        <v>8</v>
      </c>
      <c r="VZ891" s="26" t="s">
        <v>7</v>
      </c>
      <c r="WA891" s="26" t="s">
        <v>8</v>
      </c>
    </row>
    <row r="892" spans="1:600" x14ac:dyDescent="0.25">
      <c r="A892" s="7">
        <v>2.3820321160417726E-3</v>
      </c>
      <c r="B892"/>
      <c r="C892"/>
      <c r="D892"/>
      <c r="E892"/>
      <c r="F892" s="26" t="s">
        <v>7</v>
      </c>
      <c r="PA892" s="26" t="s">
        <v>8</v>
      </c>
      <c r="PB892" s="26" t="s">
        <v>7</v>
      </c>
      <c r="PC892" s="26" t="s">
        <v>8</v>
      </c>
      <c r="PM892" s="26" t="s">
        <v>8</v>
      </c>
      <c r="RV892" s="26" t="s">
        <v>7</v>
      </c>
      <c r="RW892" s="26" t="s">
        <v>8</v>
      </c>
      <c r="RX892" s="26" t="s">
        <v>7</v>
      </c>
      <c r="RY892" s="26" t="s">
        <v>8</v>
      </c>
      <c r="RZ892" s="26" t="s">
        <v>7</v>
      </c>
      <c r="SA892" s="26" t="s">
        <v>8</v>
      </c>
      <c r="SB892" s="26" t="s">
        <v>7</v>
      </c>
      <c r="SC892" s="26" t="s">
        <v>8</v>
      </c>
      <c r="SD892" s="26" t="s">
        <v>7</v>
      </c>
      <c r="SE892" s="26" t="s">
        <v>8</v>
      </c>
      <c r="SK892" s="26" t="s">
        <v>8</v>
      </c>
      <c r="SL892" s="26" t="s">
        <v>7</v>
      </c>
      <c r="SM892" s="26" t="s">
        <v>8</v>
      </c>
      <c r="SN892" s="26" t="s">
        <v>7</v>
      </c>
      <c r="SO892" s="26" t="s">
        <v>8</v>
      </c>
      <c r="SP892" s="26" t="s">
        <v>7</v>
      </c>
      <c r="SQ892" s="26" t="s">
        <v>8</v>
      </c>
      <c r="VX892" s="26" t="s">
        <v>7</v>
      </c>
      <c r="VY892" s="26" t="s">
        <v>8</v>
      </c>
      <c r="VZ892" s="26" t="s">
        <v>7</v>
      </c>
      <c r="WA892" s="26" t="s">
        <v>8</v>
      </c>
    </row>
    <row r="893" spans="1:600" x14ac:dyDescent="0.25">
      <c r="A893" s="7">
        <v>2.3353256039625224E-3</v>
      </c>
      <c r="B893"/>
      <c r="C893"/>
      <c r="D893"/>
      <c r="E893"/>
      <c r="F893" s="26" t="s">
        <v>7</v>
      </c>
      <c r="PA893" s="26" t="s">
        <v>8</v>
      </c>
      <c r="PB893" s="26" t="s">
        <v>7</v>
      </c>
      <c r="PC893" s="26" t="s">
        <v>8</v>
      </c>
      <c r="PD893" s="26" t="s">
        <v>7</v>
      </c>
      <c r="PM893" s="26" t="s">
        <v>8</v>
      </c>
      <c r="RV893" s="26" t="s">
        <v>7</v>
      </c>
      <c r="RW893" s="26" t="s">
        <v>8</v>
      </c>
      <c r="RX893" s="26" t="s">
        <v>7</v>
      </c>
      <c r="RY893" s="26" t="s">
        <v>8</v>
      </c>
      <c r="RZ893" s="26" t="s">
        <v>7</v>
      </c>
      <c r="SA893" s="26" t="s">
        <v>8</v>
      </c>
      <c r="SB893" s="26" t="s">
        <v>7</v>
      </c>
      <c r="SD893" s="26" t="s">
        <v>7</v>
      </c>
      <c r="SE893" s="26" t="s">
        <v>8</v>
      </c>
      <c r="SF893" s="26" t="s">
        <v>7</v>
      </c>
      <c r="SK893" s="26" t="s">
        <v>8</v>
      </c>
      <c r="SL893" s="26" t="s">
        <v>7</v>
      </c>
      <c r="SN893" s="26" t="s">
        <v>7</v>
      </c>
      <c r="SO893" s="26" t="s">
        <v>8</v>
      </c>
      <c r="SP893" s="26" t="s">
        <v>7</v>
      </c>
      <c r="SQ893" s="26" t="s">
        <v>8</v>
      </c>
      <c r="VX893" s="26" t="s">
        <v>7</v>
      </c>
      <c r="VY893" s="26" t="s">
        <v>8</v>
      </c>
      <c r="VZ893" s="26" t="s">
        <v>7</v>
      </c>
      <c r="WA893" s="26" t="s">
        <v>8</v>
      </c>
    </row>
    <row r="894" spans="1:600" x14ac:dyDescent="0.25">
      <c r="A894" s="7">
        <v>2.2895349058456101E-3</v>
      </c>
      <c r="B894"/>
      <c r="C894"/>
      <c r="D894"/>
      <c r="E894"/>
      <c r="F894" s="26" t="s">
        <v>7</v>
      </c>
      <c r="PA894" s="26" t="s">
        <v>8</v>
      </c>
      <c r="PB894" s="26" t="s">
        <v>7</v>
      </c>
      <c r="PC894" s="26" t="s">
        <v>8</v>
      </c>
      <c r="PD894" s="26" t="s">
        <v>7</v>
      </c>
      <c r="PM894" s="26" t="s">
        <v>8</v>
      </c>
      <c r="RV894" s="26" t="s">
        <v>7</v>
      </c>
      <c r="RW894" s="26" t="s">
        <v>8</v>
      </c>
      <c r="RX894" s="26" t="s">
        <v>7</v>
      </c>
      <c r="RY894" s="26" t="s">
        <v>8</v>
      </c>
      <c r="RZ894" s="26" t="s">
        <v>7</v>
      </c>
      <c r="SD894" s="26" t="s">
        <v>7</v>
      </c>
      <c r="SE894" s="26" t="s">
        <v>8</v>
      </c>
      <c r="SF894" s="26" t="s">
        <v>7</v>
      </c>
      <c r="SK894" s="26" t="s">
        <v>8</v>
      </c>
      <c r="SN894" s="26" t="s">
        <v>7</v>
      </c>
      <c r="SP894" s="26" t="s">
        <v>7</v>
      </c>
      <c r="VX894" s="26" t="s">
        <v>7</v>
      </c>
      <c r="VY894" s="26" t="s">
        <v>8</v>
      </c>
      <c r="VZ894" s="26" t="s">
        <v>7</v>
      </c>
      <c r="WA894" s="26" t="s">
        <v>8</v>
      </c>
    </row>
    <row r="895" spans="1:600" x14ac:dyDescent="0.25">
      <c r="A895" s="7">
        <v>2.24464206455452E-3</v>
      </c>
      <c r="B895"/>
      <c r="C895"/>
      <c r="D895"/>
      <c r="E895"/>
      <c r="F895" s="26" t="s">
        <v>7</v>
      </c>
      <c r="PA895" s="26" t="s">
        <v>8</v>
      </c>
      <c r="PB895" s="26" t="s">
        <v>7</v>
      </c>
      <c r="PC895" s="26" t="s">
        <v>8</v>
      </c>
      <c r="PD895" s="26" t="s">
        <v>7</v>
      </c>
      <c r="PK895" s="26" t="s">
        <v>8</v>
      </c>
      <c r="PM895" s="26" t="s">
        <v>8</v>
      </c>
      <c r="RV895" s="26" t="s">
        <v>7</v>
      </c>
      <c r="RW895" s="26" t="s">
        <v>8</v>
      </c>
      <c r="RX895" s="26" t="s">
        <v>7</v>
      </c>
      <c r="RY895" s="26" t="s">
        <v>8</v>
      </c>
      <c r="SD895" s="26" t="s">
        <v>7</v>
      </c>
      <c r="SE895" s="26" t="s">
        <v>8</v>
      </c>
      <c r="SF895" s="26" t="s">
        <v>7</v>
      </c>
      <c r="SK895" s="26" t="s">
        <v>8</v>
      </c>
      <c r="VX895" s="26" t="s">
        <v>7</v>
      </c>
      <c r="VZ895" s="26" t="s">
        <v>7</v>
      </c>
      <c r="WA895" s="26" t="s">
        <v>8</v>
      </c>
    </row>
    <row r="896" spans="1:600" x14ac:dyDescent="0.25">
      <c r="A896" s="7">
        <v>2.200629475053451E-3</v>
      </c>
      <c r="B896"/>
      <c r="C896"/>
      <c r="D896"/>
      <c r="E896"/>
      <c r="F896" s="26" t="s">
        <v>7</v>
      </c>
      <c r="PA896" s="26" t="s">
        <v>8</v>
      </c>
      <c r="PB896" s="26" t="s">
        <v>7</v>
      </c>
      <c r="PC896" s="26" t="s">
        <v>8</v>
      </c>
      <c r="PD896" s="26" t="s">
        <v>7</v>
      </c>
      <c r="PK896" s="26" t="s">
        <v>8</v>
      </c>
      <c r="PL896" s="26" t="s">
        <v>7</v>
      </c>
      <c r="PM896" s="26" t="s">
        <v>8</v>
      </c>
      <c r="RV896" s="26" t="s">
        <v>7</v>
      </c>
      <c r="RW896" s="26" t="s">
        <v>8</v>
      </c>
      <c r="RX896" s="26" t="s">
        <v>7</v>
      </c>
      <c r="RY896" s="26" t="s">
        <v>8</v>
      </c>
      <c r="SD896" s="26" t="s">
        <v>7</v>
      </c>
      <c r="SE896" s="26" t="s">
        <v>8</v>
      </c>
      <c r="SF896" s="26" t="s">
        <v>7</v>
      </c>
      <c r="SK896" s="26" t="s">
        <v>8</v>
      </c>
      <c r="VZ896" s="26" t="s">
        <v>7</v>
      </c>
    </row>
    <row r="897" spans="1:505" x14ac:dyDescent="0.25">
      <c r="A897" s="7">
        <v>2.1574798775033832E-3</v>
      </c>
      <c r="B897"/>
      <c r="C897"/>
      <c r="D897"/>
      <c r="E897"/>
      <c r="F897" s="26" t="s">
        <v>7</v>
      </c>
      <c r="PA897" s="26" t="s">
        <v>8</v>
      </c>
      <c r="PB897" s="26" t="s">
        <v>7</v>
      </c>
      <c r="PC897" s="26" t="s">
        <v>8</v>
      </c>
      <c r="PD897" s="26" t="s">
        <v>7</v>
      </c>
      <c r="PK897" s="26" t="s">
        <v>8</v>
      </c>
      <c r="PL897" s="26" t="s">
        <v>7</v>
      </c>
      <c r="PM897" s="26" t="s">
        <v>8</v>
      </c>
      <c r="RV897" s="26" t="s">
        <v>7</v>
      </c>
      <c r="RW897" s="26" t="s">
        <v>8</v>
      </c>
      <c r="RX897" s="26" t="s">
        <v>7</v>
      </c>
      <c r="RY897" s="26" t="s">
        <v>8</v>
      </c>
      <c r="SD897" s="26" t="s">
        <v>7</v>
      </c>
      <c r="SF897" s="26" t="s">
        <v>7</v>
      </c>
      <c r="SK897" s="26" t="s">
        <v>8</v>
      </c>
    </row>
    <row r="898" spans="1:505" x14ac:dyDescent="0.25">
      <c r="A898" s="7">
        <v>2.115176350493513E-3</v>
      </c>
      <c r="B898"/>
      <c r="C898"/>
      <c r="D898"/>
      <c r="E898"/>
      <c r="F898" s="26" t="s">
        <v>7</v>
      </c>
      <c r="PA898" s="26" t="s">
        <v>8</v>
      </c>
      <c r="PB898" s="26" t="s">
        <v>7</v>
      </c>
      <c r="PC898" s="26" t="s">
        <v>8</v>
      </c>
      <c r="PD898" s="26" t="s">
        <v>7</v>
      </c>
      <c r="PK898" s="26" t="s">
        <v>8</v>
      </c>
      <c r="PL898" s="26" t="s">
        <v>7</v>
      </c>
      <c r="PM898" s="26" t="s">
        <v>8</v>
      </c>
      <c r="RV898" s="26" t="s">
        <v>7</v>
      </c>
      <c r="RW898" s="26" t="s">
        <v>8</v>
      </c>
      <c r="RX898" s="26" t="s">
        <v>7</v>
      </c>
      <c r="RY898" s="26" t="s">
        <v>8</v>
      </c>
      <c r="SF898" s="26" t="s">
        <v>7</v>
      </c>
      <c r="SG898" s="26" t="s">
        <v>8</v>
      </c>
      <c r="SK898" s="26" t="s">
        <v>8</v>
      </c>
    </row>
    <row r="899" spans="1:505" x14ac:dyDescent="0.25">
      <c r="A899" s="7">
        <v>2.0737023044054047E-3</v>
      </c>
      <c r="B899"/>
      <c r="C899"/>
      <c r="D899"/>
      <c r="E899"/>
      <c r="F899" s="26" t="s">
        <v>7</v>
      </c>
      <c r="PA899" s="26" t="s">
        <v>8</v>
      </c>
      <c r="PB899" s="26" t="s">
        <v>7</v>
      </c>
      <c r="PC899" s="26" t="s">
        <v>8</v>
      </c>
      <c r="PD899" s="26" t="s">
        <v>7</v>
      </c>
      <c r="PK899" s="26" t="s">
        <v>8</v>
      </c>
      <c r="PL899" s="26" t="s">
        <v>7</v>
      </c>
      <c r="PM899" s="26" t="s">
        <v>8</v>
      </c>
      <c r="RV899" s="26" t="s">
        <v>7</v>
      </c>
      <c r="RW899" s="26" t="s">
        <v>8</v>
      </c>
      <c r="RX899" s="26" t="s">
        <v>7</v>
      </c>
      <c r="RY899" s="26" t="s">
        <v>8</v>
      </c>
      <c r="SF899" s="26" t="s">
        <v>7</v>
      </c>
      <c r="SG899" s="26" t="s">
        <v>8</v>
      </c>
      <c r="SH899" s="26" t="s">
        <v>7</v>
      </c>
      <c r="SK899" s="26" t="s">
        <v>8</v>
      </c>
    </row>
    <row r="900" spans="1:505" x14ac:dyDescent="0.25">
      <c r="A900" s="7">
        <v>2.0330414749072595E-3</v>
      </c>
      <c r="B900"/>
      <c r="C900"/>
      <c r="D900"/>
      <c r="E900"/>
      <c r="F900" s="26" t="s">
        <v>7</v>
      </c>
      <c r="PA900" s="26" t="s">
        <v>8</v>
      </c>
      <c r="PB900" s="26" t="s">
        <v>7</v>
      </c>
      <c r="PC900" s="26" t="s">
        <v>8</v>
      </c>
      <c r="PD900" s="26" t="s">
        <v>7</v>
      </c>
      <c r="PK900" s="26" t="s">
        <v>8</v>
      </c>
      <c r="PL900" s="26" t="s">
        <v>7</v>
      </c>
      <c r="PM900" s="26" t="s">
        <v>8</v>
      </c>
      <c r="RV900" s="26" t="s">
        <v>7</v>
      </c>
      <c r="RW900" s="26" t="s">
        <v>8</v>
      </c>
      <c r="RX900" s="26" t="s">
        <v>7</v>
      </c>
      <c r="SF900" s="26" t="s">
        <v>7</v>
      </c>
      <c r="SG900" s="26" t="s">
        <v>8</v>
      </c>
      <c r="SH900" s="26" t="s">
        <v>7</v>
      </c>
      <c r="SI900" s="26" t="s">
        <v>8</v>
      </c>
      <c r="SK900" s="26" t="s">
        <v>8</v>
      </c>
    </row>
    <row r="901" spans="1:505" x14ac:dyDescent="0.25">
      <c r="A901" s="7">
        <v>1.9931779165757446E-3</v>
      </c>
      <c r="B901"/>
      <c r="C901"/>
      <c r="D901"/>
      <c r="E901"/>
      <c r="F901" s="26" t="s">
        <v>7</v>
      </c>
      <c r="OU901" s="26" t="s">
        <v>8</v>
      </c>
      <c r="PA901" s="26" t="s">
        <v>8</v>
      </c>
      <c r="PB901" s="26" t="s">
        <v>7</v>
      </c>
      <c r="PC901" s="26" t="s">
        <v>8</v>
      </c>
      <c r="PD901" s="26" t="s">
        <v>7</v>
      </c>
      <c r="PK901" s="26" t="s">
        <v>8</v>
      </c>
      <c r="PL901" s="26" t="s">
        <v>7</v>
      </c>
      <c r="RV901" s="26" t="s">
        <v>7</v>
      </c>
      <c r="RW901" s="26" t="s">
        <v>8</v>
      </c>
      <c r="SF901" s="26" t="s">
        <v>7</v>
      </c>
      <c r="SH901" s="26" t="s">
        <v>7</v>
      </c>
      <c r="SI901" s="26" t="s">
        <v>8</v>
      </c>
      <c r="SJ901" s="26" t="s">
        <v>7</v>
      </c>
      <c r="SK901" s="26" t="s">
        <v>8</v>
      </c>
    </row>
    <row r="902" spans="1:505" x14ac:dyDescent="0.25">
      <c r="A902" s="7">
        <v>1.954095996642887E-3</v>
      </c>
      <c r="B902"/>
      <c r="C902"/>
      <c r="D902"/>
      <c r="E902"/>
      <c r="F902" s="26" t="s">
        <v>7</v>
      </c>
      <c r="OU902" s="26" t="s">
        <v>8</v>
      </c>
      <c r="OV902" s="26" t="s">
        <v>7</v>
      </c>
      <c r="PA902" s="26" t="s">
        <v>8</v>
      </c>
      <c r="PB902" s="26" t="s">
        <v>7</v>
      </c>
      <c r="PC902" s="26" t="s">
        <v>8</v>
      </c>
      <c r="PD902" s="26" t="s">
        <v>7</v>
      </c>
      <c r="PK902" s="26" t="s">
        <v>8</v>
      </c>
      <c r="RV902" s="26" t="s">
        <v>7</v>
      </c>
      <c r="RW902" s="26" t="s">
        <v>8</v>
      </c>
      <c r="SH902" s="26" t="s">
        <v>7</v>
      </c>
      <c r="SI902" s="26" t="s">
        <v>8</v>
      </c>
      <c r="SJ902" s="26" t="s">
        <v>7</v>
      </c>
      <c r="SK902" s="26" t="s">
        <v>8</v>
      </c>
    </row>
    <row r="903" spans="1:505" x14ac:dyDescent="0.25">
      <c r="A903" s="7">
        <v>1.9157803888655755E-3</v>
      </c>
      <c r="B903"/>
      <c r="C903"/>
      <c r="D903"/>
      <c r="E903"/>
      <c r="F903" s="26" t="s">
        <v>7</v>
      </c>
      <c r="OU903" s="26" t="s">
        <v>8</v>
      </c>
      <c r="OV903" s="26" t="s">
        <v>7</v>
      </c>
      <c r="PA903" s="26" t="s">
        <v>8</v>
      </c>
      <c r="PB903" s="26" t="s">
        <v>7</v>
      </c>
      <c r="PC903" s="26" t="s">
        <v>8</v>
      </c>
      <c r="PD903" s="26" t="s">
        <v>7</v>
      </c>
      <c r="PK903" s="26" t="s">
        <v>8</v>
      </c>
      <c r="RV903" s="26" t="s">
        <v>7</v>
      </c>
      <c r="RW903" s="26" t="s">
        <v>8</v>
      </c>
      <c r="SH903" s="26" t="s">
        <v>7</v>
      </c>
      <c r="SI903" s="26" t="s">
        <v>8</v>
      </c>
      <c r="SJ903" s="26" t="s">
        <v>7</v>
      </c>
      <c r="SK903" s="26" t="s">
        <v>8</v>
      </c>
    </row>
    <row r="904" spans="1:505" x14ac:dyDescent="0.25">
      <c r="A904" s="7">
        <v>1.8782160675152703E-3</v>
      </c>
      <c r="B904"/>
      <c r="C904"/>
      <c r="D904"/>
      <c r="E904"/>
      <c r="F904" s="26" t="s">
        <v>7</v>
      </c>
      <c r="OU904" s="26" t="s">
        <v>8</v>
      </c>
      <c r="OV904" s="26" t="s">
        <v>7</v>
      </c>
      <c r="PA904" s="26" t="s">
        <v>8</v>
      </c>
      <c r="PB904" s="26" t="s">
        <v>7</v>
      </c>
      <c r="PC904" s="26" t="s">
        <v>8</v>
      </c>
      <c r="PD904" s="26" t="s">
        <v>7</v>
      </c>
      <c r="PG904" s="26" t="s">
        <v>8</v>
      </c>
      <c r="PK904" s="26" t="s">
        <v>8</v>
      </c>
      <c r="RV904" s="26" t="s">
        <v>7</v>
      </c>
      <c r="RW904" s="26" t="s">
        <v>8</v>
      </c>
      <c r="SH904" s="26" t="s">
        <v>7</v>
      </c>
      <c r="SI904" s="26" t="s">
        <v>8</v>
      </c>
      <c r="SJ904" s="26" t="s">
        <v>7</v>
      </c>
      <c r="SK904" s="26" t="s">
        <v>8</v>
      </c>
    </row>
    <row r="905" spans="1:505" x14ac:dyDescent="0.25">
      <c r="A905" s="7">
        <v>1.8413883014855592E-3</v>
      </c>
      <c r="B905"/>
      <c r="C905"/>
      <c r="D905"/>
      <c r="E905"/>
      <c r="F905" s="26" t="s">
        <v>7</v>
      </c>
      <c r="OU905" s="26" t="s">
        <v>8</v>
      </c>
      <c r="OV905" s="26" t="s">
        <v>7</v>
      </c>
      <c r="PA905" s="26" t="s">
        <v>8</v>
      </c>
      <c r="PB905" s="26" t="s">
        <v>7</v>
      </c>
      <c r="PC905" s="26" t="s">
        <v>8</v>
      </c>
      <c r="PD905" s="26" t="s">
        <v>7</v>
      </c>
      <c r="PG905" s="26" t="s">
        <v>8</v>
      </c>
      <c r="PH905" s="26" t="s">
        <v>7</v>
      </c>
      <c r="PK905" s="26" t="s">
        <v>8</v>
      </c>
      <c r="RV905" s="26" t="s">
        <v>7</v>
      </c>
      <c r="RW905" s="26" t="s">
        <v>8</v>
      </c>
      <c r="SH905" s="26" t="s">
        <v>7</v>
      </c>
      <c r="SJ905" s="26" t="s">
        <v>7</v>
      </c>
      <c r="SK905" s="26" t="s">
        <v>8</v>
      </c>
    </row>
    <row r="906" spans="1:505" x14ac:dyDescent="0.25">
      <c r="A906" s="7">
        <v>1.8052826485152542E-3</v>
      </c>
      <c r="B906"/>
      <c r="C906"/>
      <c r="D906"/>
      <c r="E906"/>
      <c r="F906" s="26" t="s">
        <v>7</v>
      </c>
      <c r="OU906" s="26" t="s">
        <v>8</v>
      </c>
      <c r="OV906" s="26" t="s">
        <v>7</v>
      </c>
      <c r="PA906" s="26" t="s">
        <v>8</v>
      </c>
      <c r="PB906" s="26" t="s">
        <v>7</v>
      </c>
      <c r="PC906" s="26" t="s">
        <v>8</v>
      </c>
      <c r="PD906" s="26" t="s">
        <v>7</v>
      </c>
      <c r="PG906" s="26" t="s">
        <v>8</v>
      </c>
      <c r="PH906" s="26" t="s">
        <v>7</v>
      </c>
      <c r="PK906" s="26" t="s">
        <v>8</v>
      </c>
      <c r="RV906" s="26" t="s">
        <v>7</v>
      </c>
      <c r="SJ906" s="18" t="s">
        <v>7</v>
      </c>
      <c r="SK906" s="26" t="s">
        <v>8</v>
      </c>
    </row>
    <row r="907" spans="1:505" x14ac:dyDescent="0.25">
      <c r="A907" s="7">
        <v>1.7698849495247592E-3</v>
      </c>
      <c r="B907"/>
      <c r="C907"/>
      <c r="D907"/>
      <c r="E907"/>
      <c r="F907" s="26" t="s">
        <v>7</v>
      </c>
      <c r="OU907" s="26" t="s">
        <v>8</v>
      </c>
      <c r="OV907" s="26" t="s">
        <v>7</v>
      </c>
      <c r="PA907" s="26" t="s">
        <v>8</v>
      </c>
      <c r="PB907" s="26" t="s">
        <v>7</v>
      </c>
      <c r="PC907" s="26" t="s">
        <v>8</v>
      </c>
      <c r="PD907" s="26" t="s">
        <v>7</v>
      </c>
      <c r="PG907" s="26" t="s">
        <v>8</v>
      </c>
      <c r="PH907" s="26" t="s">
        <v>7</v>
      </c>
      <c r="PK907" s="26" t="s">
        <v>8</v>
      </c>
      <c r="SJ907" s="26" t="s">
        <v>7</v>
      </c>
      <c r="SK907" s="26" t="s">
        <v>8</v>
      </c>
    </row>
    <row r="908" spans="1:505" x14ac:dyDescent="0.25">
      <c r="A908" s="7">
        <v>1.7351813230634893E-3</v>
      </c>
      <c r="B908"/>
      <c r="C908"/>
      <c r="D908"/>
      <c r="E908"/>
      <c r="F908" s="26" t="s">
        <v>7</v>
      </c>
      <c r="OU908" s="26" t="s">
        <v>8</v>
      </c>
      <c r="OV908" s="26" t="s">
        <v>7</v>
      </c>
      <c r="PA908" s="26" t="s">
        <v>8</v>
      </c>
      <c r="PB908" s="26" t="s">
        <v>7</v>
      </c>
      <c r="PC908" s="26" t="s">
        <v>8</v>
      </c>
      <c r="PD908" s="26" t="s">
        <v>7</v>
      </c>
      <c r="PE908" s="26" t="s">
        <v>8</v>
      </c>
      <c r="PG908" s="26" t="s">
        <v>8</v>
      </c>
      <c r="PH908" s="26" t="s">
        <v>7</v>
      </c>
      <c r="PI908" s="26" t="s">
        <v>8</v>
      </c>
      <c r="PK908" s="26" t="s">
        <v>8</v>
      </c>
      <c r="SJ908" s="26" t="s">
        <v>7</v>
      </c>
      <c r="SK908" s="26" t="s">
        <v>8</v>
      </c>
    </row>
    <row r="909" spans="1:505" x14ac:dyDescent="0.25">
      <c r="A909" s="7">
        <v>1.701158159866166E-3</v>
      </c>
      <c r="B909"/>
      <c r="C909"/>
      <c r="D909"/>
      <c r="E909"/>
      <c r="F909" s="26" t="s">
        <v>7</v>
      </c>
      <c r="OU909" s="26" t="s">
        <v>8</v>
      </c>
      <c r="OV909" s="26" t="s">
        <v>7</v>
      </c>
      <c r="PA909" s="26" t="s">
        <v>8</v>
      </c>
      <c r="PB909" s="26" t="s">
        <v>7</v>
      </c>
      <c r="PC909" s="26" t="s">
        <v>8</v>
      </c>
      <c r="PD909" s="26" t="s">
        <v>7</v>
      </c>
      <c r="PE909" s="26" t="s">
        <v>8</v>
      </c>
      <c r="PF909" s="26" t="s">
        <v>7</v>
      </c>
      <c r="PG909" s="26" t="s">
        <v>8</v>
      </c>
      <c r="PH909" s="26" t="s">
        <v>7</v>
      </c>
      <c r="PI909" s="26" t="s">
        <v>8</v>
      </c>
      <c r="PJ909" s="26" t="s">
        <v>7</v>
      </c>
      <c r="PK909" s="26" t="s">
        <v>8</v>
      </c>
      <c r="SJ909" s="26" t="s">
        <v>7</v>
      </c>
      <c r="SK909" s="26" t="s">
        <v>8</v>
      </c>
    </row>
    <row r="910" spans="1:505" x14ac:dyDescent="0.25">
      <c r="A910" s="7">
        <v>1.6678021175158492E-3</v>
      </c>
      <c r="B910"/>
      <c r="C910"/>
      <c r="D910"/>
      <c r="E910"/>
      <c r="F910" s="26" t="s">
        <v>7</v>
      </c>
      <c r="OU910" s="26" t="s">
        <v>8</v>
      </c>
      <c r="OV910" s="26" t="s">
        <v>7</v>
      </c>
      <c r="OW910" s="26" t="s">
        <v>8</v>
      </c>
      <c r="PA910" s="26" t="s">
        <v>8</v>
      </c>
      <c r="PB910" s="26" t="s">
        <v>7</v>
      </c>
      <c r="PC910" s="26" t="s">
        <v>8</v>
      </c>
      <c r="PD910" s="26" t="s">
        <v>7</v>
      </c>
      <c r="PE910" s="26" t="s">
        <v>8</v>
      </c>
      <c r="PF910" s="26" t="s">
        <v>7</v>
      </c>
      <c r="PG910" s="26" t="s">
        <v>8</v>
      </c>
      <c r="PH910" s="26" t="s">
        <v>7</v>
      </c>
      <c r="PI910" s="26" t="s">
        <v>8</v>
      </c>
      <c r="PJ910" s="26" t="s">
        <v>7</v>
      </c>
      <c r="PK910" s="26" t="s">
        <v>8</v>
      </c>
      <c r="SJ910" s="26" t="s">
        <v>7</v>
      </c>
      <c r="SK910" s="26" t="s">
        <v>8</v>
      </c>
    </row>
    <row r="911" spans="1:505" x14ac:dyDescent="0.25">
      <c r="A911" s="7">
        <v>1.6351001152116167E-3</v>
      </c>
      <c r="B911"/>
      <c r="C911"/>
      <c r="D911"/>
      <c r="E911"/>
      <c r="F911" s="26" t="s">
        <v>7</v>
      </c>
      <c r="OU911" s="26" t="s">
        <v>8</v>
      </c>
      <c r="OV911" s="26" t="s">
        <v>7</v>
      </c>
      <c r="OW911" s="26" t="s">
        <v>8</v>
      </c>
      <c r="OX911" s="26" t="s">
        <v>7</v>
      </c>
      <c r="PA911" s="26" t="s">
        <v>8</v>
      </c>
      <c r="PB911" s="26" t="s">
        <v>7</v>
      </c>
      <c r="PC911" s="26" t="s">
        <v>8</v>
      </c>
      <c r="PD911" s="26" t="s">
        <v>7</v>
      </c>
      <c r="PE911" s="26" t="s">
        <v>8</v>
      </c>
      <c r="PF911" s="26" t="s">
        <v>7</v>
      </c>
      <c r="PG911" s="26" t="s">
        <v>8</v>
      </c>
      <c r="PH911" s="26" t="s">
        <v>7</v>
      </c>
      <c r="PI911" s="26" t="s">
        <v>8</v>
      </c>
      <c r="PJ911" s="26" t="s">
        <v>7</v>
      </c>
      <c r="PK911" s="26" t="s">
        <v>8</v>
      </c>
      <c r="SJ911" s="26" t="s">
        <v>7</v>
      </c>
      <c r="SK911" s="26" t="s">
        <v>8</v>
      </c>
    </row>
    <row r="912" spans="1:505" x14ac:dyDescent="0.25">
      <c r="A912" s="7">
        <v>1.60303932863884E-3</v>
      </c>
      <c r="B912"/>
      <c r="C912"/>
      <c r="D912"/>
      <c r="E912"/>
      <c r="F912" s="26" t="s">
        <v>7</v>
      </c>
      <c r="OU912" s="26" t="s">
        <v>8</v>
      </c>
      <c r="OV912" s="26" t="s">
        <v>7</v>
      </c>
      <c r="OW912" s="26" t="s">
        <v>8</v>
      </c>
      <c r="OX912" s="26" t="s">
        <v>7</v>
      </c>
      <c r="PA912" s="26" t="s">
        <v>8</v>
      </c>
      <c r="PB912" s="26" t="s">
        <v>7</v>
      </c>
      <c r="PC912" s="26" t="s">
        <v>8</v>
      </c>
      <c r="PD912" s="26" t="s">
        <v>7</v>
      </c>
      <c r="PE912" s="26" t="s">
        <v>8</v>
      </c>
      <c r="PF912" s="26" t="s">
        <v>7</v>
      </c>
      <c r="PG912" s="26" t="s">
        <v>8</v>
      </c>
      <c r="PH912" s="26" t="s">
        <v>7</v>
      </c>
      <c r="PJ912" s="26" t="s">
        <v>7</v>
      </c>
      <c r="SJ912" s="26" t="s">
        <v>7</v>
      </c>
      <c r="SK912" s="26" t="s">
        <v>8</v>
      </c>
    </row>
    <row r="913" spans="1:504" x14ac:dyDescent="0.25">
      <c r="A913" s="7">
        <v>1.5716071849400392E-3</v>
      </c>
      <c r="B913"/>
      <c r="C913"/>
      <c r="D913"/>
      <c r="E913"/>
      <c r="F913" s="26" t="s">
        <v>7</v>
      </c>
      <c r="OU913" s="26" t="s">
        <v>8</v>
      </c>
      <c r="OV913" s="26" t="s">
        <v>7</v>
      </c>
      <c r="OW913" s="26" t="s">
        <v>8</v>
      </c>
      <c r="OX913" s="26" t="s">
        <v>7</v>
      </c>
      <c r="PA913" s="26" t="s">
        <v>8</v>
      </c>
      <c r="PB913" s="26" t="s">
        <v>7</v>
      </c>
      <c r="PC913" s="26" t="s">
        <v>8</v>
      </c>
      <c r="PD913" s="26" t="s">
        <v>7</v>
      </c>
      <c r="PE913" s="26" t="s">
        <v>8</v>
      </c>
      <c r="PF913" s="26" t="s">
        <v>7</v>
      </c>
      <c r="PG913" s="26" t="s">
        <v>8</v>
      </c>
      <c r="SJ913" s="26" t="s">
        <v>7</v>
      </c>
    </row>
    <row r="914" spans="1:504" x14ac:dyDescent="0.25">
      <c r="A914" s="7">
        <v>1.5407913577843522E-3</v>
      </c>
      <c r="B914"/>
      <c r="C914"/>
      <c r="D914"/>
      <c r="E914"/>
      <c r="F914" s="26" t="s">
        <v>7</v>
      </c>
      <c r="OU914" s="26" t="s">
        <v>8</v>
      </c>
      <c r="OV914" s="26" t="s">
        <v>7</v>
      </c>
      <c r="OW914" s="26" t="s">
        <v>8</v>
      </c>
      <c r="OX914" s="26" t="s">
        <v>7</v>
      </c>
      <c r="PA914" s="26" t="s">
        <v>8</v>
      </c>
      <c r="PB914" s="26" t="s">
        <v>7</v>
      </c>
      <c r="PC914" s="26" t="s">
        <v>8</v>
      </c>
      <c r="PD914" s="26" t="s">
        <v>7</v>
      </c>
      <c r="PE914" s="26" t="s">
        <v>8</v>
      </c>
      <c r="PF914" s="26" t="s">
        <v>7</v>
      </c>
      <c r="PG914" s="26" t="s">
        <v>8</v>
      </c>
    </row>
    <row r="915" spans="1:504" x14ac:dyDescent="0.25">
      <c r="A915" s="7">
        <v>1.5105797625336785E-3</v>
      </c>
      <c r="B915"/>
      <c r="C915"/>
      <c r="D915"/>
      <c r="E915"/>
      <c r="F915" s="26" t="s">
        <v>7</v>
      </c>
      <c r="OU915" s="26" t="s">
        <v>8</v>
      </c>
      <c r="OV915" s="26" t="s">
        <v>7</v>
      </c>
      <c r="OW915" s="26" t="s">
        <v>8</v>
      </c>
      <c r="OX915" s="26" t="s">
        <v>7</v>
      </c>
      <c r="PA915" s="26" t="s">
        <v>8</v>
      </c>
      <c r="PB915" s="26" t="s">
        <v>7</v>
      </c>
      <c r="PC915" s="26" t="s">
        <v>8</v>
      </c>
      <c r="PD915" s="26" t="s">
        <v>7</v>
      </c>
      <c r="PE915" s="26" t="s">
        <v>8</v>
      </c>
      <c r="PF915" s="26" t="s">
        <v>7</v>
      </c>
    </row>
    <row r="916" spans="1:504" x14ac:dyDescent="0.25">
      <c r="A916" s="7">
        <v>1.4809605515036064E-3</v>
      </c>
      <c r="B916"/>
      <c r="C916"/>
      <c r="D916"/>
      <c r="E916"/>
      <c r="F916" s="26" t="s">
        <v>7</v>
      </c>
      <c r="OU916" s="26" t="s">
        <v>8</v>
      </c>
      <c r="OV916" s="26" t="s">
        <v>7</v>
      </c>
      <c r="OW916" s="26" t="s">
        <v>8</v>
      </c>
      <c r="OX916" s="26" t="s">
        <v>7</v>
      </c>
      <c r="OY916" s="26" t="s">
        <v>8</v>
      </c>
      <c r="PA916" s="26" t="s">
        <v>8</v>
      </c>
      <c r="PB916" s="26" t="s">
        <v>7</v>
      </c>
      <c r="PC916" s="26" t="s">
        <v>8</v>
      </c>
      <c r="PD916" s="26" t="s">
        <v>7</v>
      </c>
      <c r="PE916" s="26" t="s">
        <v>8</v>
      </c>
    </row>
    <row r="917" spans="1:504" x14ac:dyDescent="0.25">
      <c r="A917" s="7">
        <v>1.4519221093172612E-3</v>
      </c>
      <c r="B917"/>
      <c r="C917"/>
      <c r="D917"/>
      <c r="E917"/>
      <c r="F917" s="26" t="s">
        <v>7</v>
      </c>
      <c r="OU917" s="26" t="s">
        <v>8</v>
      </c>
      <c r="OV917" s="26" t="s">
        <v>7</v>
      </c>
      <c r="OW917" s="26" t="s">
        <v>8</v>
      </c>
      <c r="OX917" s="26" t="s">
        <v>7</v>
      </c>
      <c r="OY917" s="26" t="s">
        <v>8</v>
      </c>
      <c r="OZ917" s="26" t="s">
        <v>7</v>
      </c>
      <c r="PA917" s="26" t="s">
        <v>8</v>
      </c>
      <c r="PB917" s="26" t="s">
        <v>7</v>
      </c>
      <c r="PC917" s="26" t="s">
        <v>8</v>
      </c>
      <c r="PD917" s="26" t="s">
        <v>7</v>
      </c>
      <c r="PE917" s="26" t="s">
        <v>8</v>
      </c>
    </row>
    <row r="918" spans="1:504" x14ac:dyDescent="0.25">
      <c r="A918" s="7">
        <v>1.423453048350256E-3</v>
      </c>
      <c r="B918"/>
      <c r="C918"/>
      <c r="D918"/>
      <c r="E918"/>
      <c r="F918" s="26" t="s">
        <v>7</v>
      </c>
      <c r="OU918" s="26" t="s">
        <v>8</v>
      </c>
      <c r="OV918" s="26" t="s">
        <v>7</v>
      </c>
      <c r="OW918" s="26" t="s">
        <v>8</v>
      </c>
      <c r="OX918" s="26" t="s">
        <v>7</v>
      </c>
      <c r="OY918" s="26" t="s">
        <v>8</v>
      </c>
      <c r="OZ918" s="26" t="s">
        <v>7</v>
      </c>
      <c r="PA918" s="26" t="s">
        <v>8</v>
      </c>
      <c r="PB918" s="26" t="s">
        <v>7</v>
      </c>
      <c r="PC918" s="26" t="s">
        <v>8</v>
      </c>
      <c r="PD918" s="26" t="s">
        <v>7</v>
      </c>
      <c r="PE918" s="26" t="s">
        <v>8</v>
      </c>
    </row>
    <row r="919" spans="1:504" x14ac:dyDescent="0.25">
      <c r="A919" s="7">
        <v>1.3955422042649568E-3</v>
      </c>
      <c r="B919"/>
      <c r="C919"/>
      <c r="D919"/>
      <c r="E919"/>
      <c r="F919" s="26" t="s">
        <v>7</v>
      </c>
      <c r="OU919" s="26" t="s">
        <v>8</v>
      </c>
      <c r="OV919" s="26" t="s">
        <v>7</v>
      </c>
      <c r="OW919" s="26" t="s">
        <v>8</v>
      </c>
      <c r="OX919" s="26" t="s">
        <v>7</v>
      </c>
      <c r="OY919" s="26" t="s">
        <v>8</v>
      </c>
      <c r="OZ919" s="26" t="s">
        <v>7</v>
      </c>
      <c r="PA919" s="26" t="s">
        <v>8</v>
      </c>
      <c r="PB919" s="26" t="s">
        <v>7</v>
      </c>
      <c r="PC919" s="26" t="s">
        <v>8</v>
      </c>
      <c r="PD919" s="26" t="s">
        <v>7</v>
      </c>
      <c r="PE919" s="26" t="s">
        <v>8</v>
      </c>
    </row>
    <row r="920" spans="1:504" x14ac:dyDescent="0.25">
      <c r="A920" s="7">
        <v>1.3681786316323105E-3</v>
      </c>
      <c r="B920"/>
      <c r="C920"/>
      <c r="D920"/>
      <c r="E920"/>
      <c r="F920" s="26" t="s">
        <v>7</v>
      </c>
      <c r="OU920" s="26" t="s">
        <v>8</v>
      </c>
      <c r="OV920" s="26" t="s">
        <v>7</v>
      </c>
      <c r="OW920" s="26" t="s">
        <v>8</v>
      </c>
      <c r="OX920" s="26" t="s">
        <v>7</v>
      </c>
      <c r="OY920" s="26" t="s">
        <v>8</v>
      </c>
      <c r="OZ920" s="26" t="s">
        <v>7</v>
      </c>
      <c r="PA920" s="26" t="s">
        <v>8</v>
      </c>
      <c r="PB920" s="26" t="s">
        <v>7</v>
      </c>
      <c r="PD920" s="26" t="s">
        <v>7</v>
      </c>
      <c r="PE920" s="26" t="s">
        <v>8</v>
      </c>
    </row>
    <row r="921" spans="1:504" x14ac:dyDescent="0.25">
      <c r="A921" s="7">
        <v>1.3413515996395203E-3</v>
      </c>
      <c r="B921"/>
      <c r="C921"/>
      <c r="D921"/>
      <c r="E921"/>
      <c r="F921" s="26" t="s">
        <v>7</v>
      </c>
      <c r="OU921" s="26" t="s">
        <v>8</v>
      </c>
      <c r="OV921" s="26" t="s">
        <v>7</v>
      </c>
      <c r="OW921" s="26" t="s">
        <v>8</v>
      </c>
      <c r="OX921" s="26" t="s">
        <v>7</v>
      </c>
      <c r="OY921" s="26" t="s">
        <v>8</v>
      </c>
      <c r="OZ921" s="26" t="s">
        <v>7</v>
      </c>
      <c r="PA921" s="26" t="s">
        <v>8</v>
      </c>
      <c r="PD921" s="26" t="s">
        <v>7</v>
      </c>
    </row>
    <row r="922" spans="1:504" x14ac:dyDescent="0.25">
      <c r="A922" s="7">
        <v>1.3150505878818826E-3</v>
      </c>
      <c r="B922"/>
      <c r="C922"/>
      <c r="D922"/>
      <c r="E922"/>
      <c r="F922" s="26" t="s">
        <v>7</v>
      </c>
      <c r="OU922" s="26" t="s">
        <v>8</v>
      </c>
      <c r="OV922" s="26" t="s">
        <v>7</v>
      </c>
      <c r="OX922" s="26" t="s">
        <v>7</v>
      </c>
      <c r="OY922" s="26" t="s">
        <v>8</v>
      </c>
      <c r="OZ922" s="26" t="s">
        <v>7</v>
      </c>
      <c r="PA922" s="26" t="s">
        <v>8</v>
      </c>
    </row>
    <row r="923" spans="1:504" x14ac:dyDescent="0.25">
      <c r="A923" s="7">
        <v>1.2892652822371396E-3</v>
      </c>
      <c r="B923"/>
      <c r="C923"/>
      <c r="D923"/>
      <c r="E923"/>
      <c r="F923" s="26" t="s">
        <v>7</v>
      </c>
      <c r="OU923" s="26" t="s">
        <v>8</v>
      </c>
      <c r="OX923" s="26" t="s">
        <v>7</v>
      </c>
      <c r="OY923" s="26" t="s">
        <v>8</v>
      </c>
      <c r="OZ923" s="26" t="s">
        <v>7</v>
      </c>
      <c r="PA923" s="26" t="s">
        <v>8</v>
      </c>
    </row>
    <row r="924" spans="1:504" x14ac:dyDescent="0.25">
      <c r="A924" s="7">
        <v>1.2639855708207251E-3</v>
      </c>
      <c r="B924"/>
      <c r="C924"/>
      <c r="D924"/>
      <c r="E924"/>
      <c r="F924" s="26" t="s">
        <v>7</v>
      </c>
      <c r="OU924" s="26" t="s">
        <v>8</v>
      </c>
      <c r="OX924" s="26" t="s">
        <v>7</v>
      </c>
      <c r="OY924" s="26" t="s">
        <v>8</v>
      </c>
      <c r="OZ924" s="26" t="s">
        <v>7</v>
      </c>
      <c r="PA924" s="26" t="s">
        <v>8</v>
      </c>
    </row>
    <row r="925" spans="1:504" x14ac:dyDescent="0.25">
      <c r="A925" s="7">
        <v>1.2392015400203187E-3</v>
      </c>
      <c r="B925"/>
      <c r="C925"/>
      <c r="D925"/>
      <c r="E925"/>
      <c r="F925" s="26" t="s">
        <v>7</v>
      </c>
      <c r="OU925" s="26" t="s">
        <v>8</v>
      </c>
      <c r="OX925" s="26" t="s">
        <v>7</v>
      </c>
      <c r="OY925" s="26" t="s">
        <v>8</v>
      </c>
      <c r="OZ925" s="26" t="s">
        <v>7</v>
      </c>
    </row>
    <row r="926" spans="1:504" x14ac:dyDescent="0.25">
      <c r="A926" s="7">
        <v>1.2149034706081556E-3</v>
      </c>
      <c r="B926"/>
      <c r="C926"/>
      <c r="D926"/>
      <c r="E926"/>
      <c r="F926" s="26" t="s">
        <v>7</v>
      </c>
      <c r="OU926" s="26" t="s">
        <v>8</v>
      </c>
      <c r="OX926" s="26" t="s">
        <v>7</v>
      </c>
      <c r="OY926" s="26" t="s">
        <v>8</v>
      </c>
    </row>
    <row r="927" spans="1:504" x14ac:dyDescent="0.25">
      <c r="A927" s="7">
        <v>1.1910818339295644E-3</v>
      </c>
      <c r="B927"/>
      <c r="C927"/>
      <c r="D927"/>
      <c r="E927"/>
      <c r="F927" s="26" t="s">
        <v>7</v>
      </c>
      <c r="OU927" s="26" t="s">
        <v>8</v>
      </c>
      <c r="OX927" s="26" t="s">
        <v>7</v>
      </c>
      <c r="OY927" s="26" t="s">
        <v>8</v>
      </c>
    </row>
    <row r="928" spans="1:504" x14ac:dyDescent="0.25">
      <c r="A928" s="7">
        <v>1.1677272881662395E-3</v>
      </c>
      <c r="B928"/>
      <c r="C928"/>
      <c r="D928"/>
      <c r="E928"/>
      <c r="F928" s="26" t="s">
        <v>7</v>
      </c>
      <c r="OU928" s="26" t="s">
        <v>8</v>
      </c>
      <c r="OX928" s="26" t="s">
        <v>7</v>
      </c>
      <c r="OY928" s="26" t="s">
        <v>8</v>
      </c>
    </row>
    <row r="929" spans="1:415" x14ac:dyDescent="0.25">
      <c r="A929" s="7">
        <v>1.1448306746727837E-3</v>
      </c>
      <c r="B929"/>
      <c r="C929"/>
      <c r="D929"/>
      <c r="E929"/>
      <c r="F929" s="26" t="s">
        <v>7</v>
      </c>
      <c r="OU929" s="26" t="s">
        <v>8</v>
      </c>
      <c r="OX929" s="26" t="s">
        <v>7</v>
      </c>
      <c r="OY929" s="26" t="s">
        <v>8</v>
      </c>
    </row>
    <row r="930" spans="1:415" x14ac:dyDescent="0.25">
      <c r="A930" s="7">
        <v>1.1223830143850821E-3</v>
      </c>
      <c r="B930"/>
      <c r="C930"/>
      <c r="D930"/>
      <c r="E930"/>
      <c r="F930" s="26" t="s">
        <v>7</v>
      </c>
      <c r="OU930" s="26" t="s">
        <v>8</v>
      </c>
      <c r="OX930" s="26" t="s">
        <v>7</v>
      </c>
      <c r="OY930" s="26" t="s">
        <v>8</v>
      </c>
    </row>
    <row r="931" spans="1:415" x14ac:dyDescent="0.25">
      <c r="A931" s="7">
        <v>1.1003755042991001E-3</v>
      </c>
      <c r="B931"/>
      <c r="C931"/>
      <c r="D931"/>
      <c r="E931"/>
      <c r="F931" s="26" t="s">
        <v>7</v>
      </c>
      <c r="OU931" s="26" t="s">
        <v>8</v>
      </c>
      <c r="OX931" s="26" t="s">
        <v>7</v>
      </c>
      <c r="OY931" s="26" t="s">
        <v>8</v>
      </c>
    </row>
    <row r="932" spans="1:415" x14ac:dyDescent="0.25">
      <c r="A932" s="7">
        <v>1.0787995140187257E-3</v>
      </c>
      <c r="B932"/>
      <c r="C932"/>
      <c r="D932"/>
      <c r="E932"/>
      <c r="F932" s="26" t="s">
        <v>7</v>
      </c>
      <c r="OU932" s="26" t="s">
        <v>8</v>
      </c>
      <c r="OX932" s="26" t="s">
        <v>7</v>
      </c>
      <c r="OY932" s="26" t="s">
        <v>8</v>
      </c>
    </row>
    <row r="933" spans="1:415" x14ac:dyDescent="0.25">
      <c r="A933" s="7">
        <v>1.0576465823712996E-3</v>
      </c>
      <c r="B933"/>
      <c r="C933"/>
      <c r="D933"/>
      <c r="E933"/>
      <c r="F933" s="26" t="s">
        <v>7</v>
      </c>
      <c r="OU933" s="26" t="s">
        <v>8</v>
      </c>
      <c r="OX933" s="26" t="s">
        <v>7</v>
      </c>
      <c r="OY933" s="26" t="s">
        <v>8</v>
      </c>
    </row>
    <row r="934" spans="1:415" x14ac:dyDescent="0.25">
      <c r="A934" s="7">
        <v>1.0369084140895094E-3</v>
      </c>
      <c r="B934"/>
      <c r="C934"/>
      <c r="D934"/>
      <c r="E934"/>
      <c r="F934" s="26" t="s">
        <v>7</v>
      </c>
      <c r="OU934" s="26" t="s">
        <v>8</v>
      </c>
      <c r="OX934" s="26" t="s">
        <v>7</v>
      </c>
      <c r="OY934" s="26" t="s">
        <v>8</v>
      </c>
    </row>
    <row r="935" spans="1:415" x14ac:dyDescent="0.25">
      <c r="A935" s="7">
        <v>1.0165768765583426E-3</v>
      </c>
      <c r="B935"/>
      <c r="C935"/>
      <c r="D935"/>
      <c r="E935"/>
      <c r="F935" s="26" t="s">
        <v>7</v>
      </c>
      <c r="OU935" s="26" t="s">
        <v>8</v>
      </c>
      <c r="OX935" s="26" t="s">
        <v>7</v>
      </c>
    </row>
    <row r="936" spans="1:415" x14ac:dyDescent="0.25">
      <c r="A936" s="7">
        <v>9.966439966258261E-4</v>
      </c>
      <c r="B936"/>
      <c r="C936"/>
      <c r="D936"/>
      <c r="E936"/>
      <c r="F936" s="26" t="s">
        <v>7</v>
      </c>
      <c r="G936" s="26" t="s">
        <v>8</v>
      </c>
      <c r="I936" s="26" t="s">
        <v>8</v>
      </c>
      <c r="K936" s="26" t="s">
        <v>8</v>
      </c>
      <c r="M936" s="26" t="s">
        <v>8</v>
      </c>
      <c r="O936" s="26" t="s">
        <v>8</v>
      </c>
      <c r="Q936" s="26" t="s">
        <v>8</v>
      </c>
      <c r="S936" s="26" t="s">
        <v>8</v>
      </c>
      <c r="U936" s="26" t="s">
        <v>8</v>
      </c>
      <c r="W936" s="26" t="s">
        <v>8</v>
      </c>
      <c r="Y936" s="26" t="s">
        <v>8</v>
      </c>
      <c r="AA936" s="26" t="s">
        <v>8</v>
      </c>
      <c r="AC936" s="26" t="s">
        <v>8</v>
      </c>
      <c r="AE936" s="26" t="s">
        <v>8</v>
      </c>
      <c r="AG936" s="26" t="s">
        <v>8</v>
      </c>
      <c r="AI936" s="26" t="s">
        <v>8</v>
      </c>
      <c r="AK936" s="26" t="s">
        <v>8</v>
      </c>
      <c r="AM936" s="26" t="s">
        <v>8</v>
      </c>
      <c r="AO936" s="26" t="s">
        <v>8</v>
      </c>
      <c r="AQ936" s="26" t="s">
        <v>8</v>
      </c>
      <c r="AS936" s="26" t="s">
        <v>8</v>
      </c>
      <c r="AU936" s="26" t="s">
        <v>8</v>
      </c>
      <c r="AW936" s="26" t="s">
        <v>8</v>
      </c>
      <c r="AY936" s="26" t="s">
        <v>8</v>
      </c>
      <c r="BA936" s="26" t="s">
        <v>8</v>
      </c>
      <c r="BC936" s="26" t="s">
        <v>8</v>
      </c>
      <c r="BE936" s="26" t="s">
        <v>8</v>
      </c>
      <c r="BG936" s="26" t="s">
        <v>8</v>
      </c>
      <c r="BI936" s="26" t="s">
        <v>8</v>
      </c>
      <c r="BK936" s="26" t="s">
        <v>8</v>
      </c>
      <c r="BM936" s="26" t="s">
        <v>8</v>
      </c>
      <c r="BO936" s="26" t="s">
        <v>8</v>
      </c>
      <c r="BQ936" s="26" t="s">
        <v>8</v>
      </c>
      <c r="BS936" s="26" t="s">
        <v>8</v>
      </c>
      <c r="BU936" s="26" t="s">
        <v>8</v>
      </c>
      <c r="BW936" s="26" t="s">
        <v>8</v>
      </c>
      <c r="BY936" s="26" t="s">
        <v>8</v>
      </c>
      <c r="CA936" s="26" t="s">
        <v>8</v>
      </c>
      <c r="CC936" s="26" t="s">
        <v>8</v>
      </c>
      <c r="CE936" s="26" t="s">
        <v>8</v>
      </c>
      <c r="CG936" s="26" t="s">
        <v>8</v>
      </c>
      <c r="CI936" s="26" t="s">
        <v>8</v>
      </c>
      <c r="CK936" s="26" t="s">
        <v>8</v>
      </c>
      <c r="CM936" s="26" t="s">
        <v>8</v>
      </c>
      <c r="CO936" s="26" t="s">
        <v>8</v>
      </c>
      <c r="CQ936" s="26" t="s">
        <v>8</v>
      </c>
      <c r="CS936" s="26" t="s">
        <v>8</v>
      </c>
      <c r="CU936" s="26" t="s">
        <v>8</v>
      </c>
      <c r="CW936" s="26" t="s">
        <v>8</v>
      </c>
      <c r="CY936" s="26" t="s">
        <v>8</v>
      </c>
      <c r="DA936" s="26" t="s">
        <v>8</v>
      </c>
      <c r="DC936" s="26" t="s">
        <v>8</v>
      </c>
      <c r="DE936" s="26" t="s">
        <v>8</v>
      </c>
      <c r="DG936" s="26" t="s">
        <v>8</v>
      </c>
      <c r="DI936" s="26" t="s">
        <v>8</v>
      </c>
      <c r="DK936" s="26" t="s">
        <v>8</v>
      </c>
      <c r="DM936" s="26" t="s">
        <v>8</v>
      </c>
      <c r="DO936" s="26" t="s">
        <v>8</v>
      </c>
      <c r="DQ936" s="26" t="s">
        <v>8</v>
      </c>
      <c r="DS936" s="26" t="s">
        <v>8</v>
      </c>
      <c r="DU936" s="26" t="s">
        <v>8</v>
      </c>
      <c r="DW936" s="26" t="s">
        <v>8</v>
      </c>
      <c r="DY936" s="26" t="s">
        <v>8</v>
      </c>
      <c r="EA936" s="26" t="s">
        <v>8</v>
      </c>
      <c r="EC936" s="26" t="s">
        <v>8</v>
      </c>
      <c r="EE936" s="26" t="s">
        <v>8</v>
      </c>
      <c r="EG936" s="26" t="s">
        <v>8</v>
      </c>
      <c r="EI936" s="26" t="s">
        <v>8</v>
      </c>
      <c r="EK936" s="26" t="s">
        <v>8</v>
      </c>
      <c r="EM936" s="26" t="s">
        <v>8</v>
      </c>
      <c r="EO936" s="26" t="s">
        <v>8</v>
      </c>
      <c r="EQ936" s="26" t="s">
        <v>8</v>
      </c>
      <c r="ES936" s="26" t="s">
        <v>8</v>
      </c>
      <c r="EU936" s="26" t="s">
        <v>8</v>
      </c>
      <c r="EW936" s="26" t="s">
        <v>8</v>
      </c>
      <c r="EY936" s="26" t="s">
        <v>8</v>
      </c>
      <c r="FA936" s="26" t="s">
        <v>8</v>
      </c>
      <c r="FC936" s="26" t="s">
        <v>8</v>
      </c>
      <c r="FE936" s="26" t="s">
        <v>8</v>
      </c>
      <c r="FG936" s="26" t="s">
        <v>8</v>
      </c>
      <c r="FI936" s="26" t="s">
        <v>8</v>
      </c>
      <c r="FK936" s="26" t="s">
        <v>8</v>
      </c>
      <c r="FM936" s="26" t="s">
        <v>8</v>
      </c>
      <c r="FO936" s="26" t="s">
        <v>8</v>
      </c>
      <c r="FQ936" s="26" t="s">
        <v>8</v>
      </c>
      <c r="FS936" s="26" t="s">
        <v>8</v>
      </c>
      <c r="FU936" s="26" t="s">
        <v>8</v>
      </c>
      <c r="FW936" s="26" t="s">
        <v>8</v>
      </c>
      <c r="FY936" s="26" t="s">
        <v>8</v>
      </c>
      <c r="GA936" s="26" t="s">
        <v>8</v>
      </c>
      <c r="GC936" s="26" t="s">
        <v>8</v>
      </c>
      <c r="GE936" s="26" t="s">
        <v>8</v>
      </c>
      <c r="GG936" s="26" t="s">
        <v>8</v>
      </c>
      <c r="GI936" s="26" t="s">
        <v>8</v>
      </c>
      <c r="GK936" s="26" t="s">
        <v>8</v>
      </c>
      <c r="GM936" s="26" t="s">
        <v>8</v>
      </c>
      <c r="GO936" s="26" t="s">
        <v>8</v>
      </c>
      <c r="GQ936" s="26" t="s">
        <v>8</v>
      </c>
      <c r="GS936" s="26" t="s">
        <v>8</v>
      </c>
      <c r="GU936" s="26" t="s">
        <v>8</v>
      </c>
      <c r="GW936" s="26" t="s">
        <v>8</v>
      </c>
      <c r="GY936" s="26" t="s">
        <v>8</v>
      </c>
      <c r="HA936" s="26" t="s">
        <v>8</v>
      </c>
      <c r="HC936" s="26" t="s">
        <v>8</v>
      </c>
      <c r="HE936" s="26" t="s">
        <v>8</v>
      </c>
      <c r="HG936" s="26" t="s">
        <v>8</v>
      </c>
      <c r="HI936" s="26" t="s">
        <v>8</v>
      </c>
      <c r="HK936" s="26" t="s">
        <v>8</v>
      </c>
      <c r="HM936" s="26" t="s">
        <v>8</v>
      </c>
      <c r="HO936" s="26" t="s">
        <v>8</v>
      </c>
      <c r="HQ936" s="26" t="s">
        <v>8</v>
      </c>
      <c r="HS936" s="26" t="s">
        <v>8</v>
      </c>
      <c r="HU936" s="26" t="s">
        <v>8</v>
      </c>
      <c r="HW936" s="26" t="s">
        <v>8</v>
      </c>
      <c r="HY936" s="26" t="s">
        <v>8</v>
      </c>
      <c r="IA936" s="26" t="s">
        <v>8</v>
      </c>
      <c r="IC936" s="26" t="s">
        <v>8</v>
      </c>
      <c r="IE936" s="26" t="s">
        <v>8</v>
      </c>
      <c r="IG936" s="26" t="s">
        <v>8</v>
      </c>
      <c r="II936" s="26" t="s">
        <v>8</v>
      </c>
      <c r="IK936" s="26" t="s">
        <v>8</v>
      </c>
      <c r="IM936" s="26" t="s">
        <v>8</v>
      </c>
      <c r="IO936" s="26" t="s">
        <v>8</v>
      </c>
      <c r="IQ936" s="26" t="s">
        <v>8</v>
      </c>
      <c r="IS936" s="26" t="s">
        <v>8</v>
      </c>
      <c r="IU936" s="26" t="s">
        <v>8</v>
      </c>
      <c r="IW936" s="26" t="s">
        <v>8</v>
      </c>
      <c r="IY936" s="26" t="s">
        <v>8</v>
      </c>
      <c r="JA936" s="26" t="s">
        <v>8</v>
      </c>
      <c r="JC936" s="26" t="s">
        <v>8</v>
      </c>
      <c r="JE936" s="26" t="s">
        <v>8</v>
      </c>
      <c r="JG936" s="26" t="s">
        <v>8</v>
      </c>
      <c r="JI936" s="26" t="s">
        <v>8</v>
      </c>
      <c r="JK936" s="26" t="s">
        <v>8</v>
      </c>
      <c r="JM936" s="26" t="s">
        <v>8</v>
      </c>
      <c r="JO936" s="26" t="s">
        <v>8</v>
      </c>
      <c r="JQ936" s="26" t="s">
        <v>8</v>
      </c>
      <c r="JS936" s="26" t="s">
        <v>8</v>
      </c>
      <c r="JU936" s="26" t="s">
        <v>8</v>
      </c>
      <c r="JW936" s="26" t="s">
        <v>8</v>
      </c>
      <c r="JY936" s="26" t="s">
        <v>8</v>
      </c>
      <c r="KA936" s="26" t="s">
        <v>8</v>
      </c>
      <c r="KC936" s="26" t="s">
        <v>8</v>
      </c>
      <c r="KE936" s="26" t="s">
        <v>8</v>
      </c>
      <c r="KG936" s="26" t="s">
        <v>8</v>
      </c>
      <c r="KI936" s="26" t="s">
        <v>8</v>
      </c>
      <c r="KK936" s="26" t="s">
        <v>8</v>
      </c>
      <c r="KM936" s="26" t="s">
        <v>8</v>
      </c>
      <c r="KO936" s="26" t="s">
        <v>8</v>
      </c>
      <c r="KQ936" s="26" t="s">
        <v>8</v>
      </c>
      <c r="KS936" s="26" t="s">
        <v>8</v>
      </c>
      <c r="KU936" s="26" t="s">
        <v>8</v>
      </c>
      <c r="KW936" s="26" t="s">
        <v>8</v>
      </c>
      <c r="KY936" s="26" t="s">
        <v>8</v>
      </c>
      <c r="LA936" s="26" t="s">
        <v>8</v>
      </c>
      <c r="LC936" s="26" t="s">
        <v>8</v>
      </c>
      <c r="LE936" s="26" t="s">
        <v>8</v>
      </c>
      <c r="LG936" s="26" t="s">
        <v>8</v>
      </c>
      <c r="LI936" s="26" t="s">
        <v>8</v>
      </c>
      <c r="LK936" s="26" t="s">
        <v>8</v>
      </c>
      <c r="LM936" s="26" t="s">
        <v>8</v>
      </c>
      <c r="LO936" s="26" t="s">
        <v>8</v>
      </c>
      <c r="LQ936" s="26" t="s">
        <v>8</v>
      </c>
      <c r="LS936" s="26" t="s">
        <v>8</v>
      </c>
      <c r="LU936" s="26" t="s">
        <v>8</v>
      </c>
      <c r="LW936" s="26" t="s">
        <v>8</v>
      </c>
      <c r="LY936" s="26" t="s">
        <v>8</v>
      </c>
      <c r="MA936" s="26" t="s">
        <v>8</v>
      </c>
      <c r="MC936" s="26" t="s">
        <v>8</v>
      </c>
      <c r="ME936" s="26" t="s">
        <v>8</v>
      </c>
      <c r="MG936" s="26" t="s">
        <v>8</v>
      </c>
      <c r="MI936" s="26" t="s">
        <v>8</v>
      </c>
      <c r="MK936" s="26" t="s">
        <v>8</v>
      </c>
      <c r="MM936" s="26" t="s">
        <v>8</v>
      </c>
      <c r="MO936" s="26" t="s">
        <v>8</v>
      </c>
      <c r="MQ936" s="26" t="s">
        <v>8</v>
      </c>
      <c r="MS936" s="26" t="s">
        <v>8</v>
      </c>
      <c r="MU936" s="26" t="s">
        <v>8</v>
      </c>
      <c r="MW936" s="26" t="s">
        <v>8</v>
      </c>
      <c r="MY936" s="26" t="s">
        <v>8</v>
      </c>
      <c r="NA936" s="26" t="s">
        <v>8</v>
      </c>
      <c r="NC936" s="26" t="s">
        <v>8</v>
      </c>
      <c r="NE936" s="26" t="s">
        <v>8</v>
      </c>
      <c r="NG936" s="26" t="s">
        <v>8</v>
      </c>
      <c r="NI936" s="26" t="s">
        <v>8</v>
      </c>
      <c r="NK936" s="26" t="s">
        <v>8</v>
      </c>
      <c r="NM936" s="26" t="s">
        <v>8</v>
      </c>
      <c r="NO936" s="26" t="s">
        <v>8</v>
      </c>
      <c r="NQ936" s="26" t="s">
        <v>8</v>
      </c>
      <c r="NS936" s="26" t="s">
        <v>8</v>
      </c>
      <c r="NU936" s="26" t="s">
        <v>8</v>
      </c>
      <c r="NW936" s="26" t="s">
        <v>8</v>
      </c>
      <c r="NY936" s="26" t="s">
        <v>8</v>
      </c>
      <c r="OA936" s="26" t="s">
        <v>8</v>
      </c>
      <c r="OC936" s="26" t="s">
        <v>8</v>
      </c>
      <c r="OE936" s="26" t="s">
        <v>8</v>
      </c>
      <c r="OG936" s="26" t="s">
        <v>8</v>
      </c>
      <c r="OI936" s="26" t="s">
        <v>8</v>
      </c>
      <c r="OK936" s="26" t="s">
        <v>8</v>
      </c>
      <c r="OM936" s="26" t="s">
        <v>8</v>
      </c>
      <c r="OO936" s="26" t="s">
        <v>8</v>
      </c>
      <c r="OQ936" s="26" t="s">
        <v>8</v>
      </c>
      <c r="OS936" s="26" t="s">
        <v>8</v>
      </c>
      <c r="OU936" s="26" t="s">
        <v>8</v>
      </c>
    </row>
    <row r="937" spans="1:415" x14ac:dyDescent="0.25">
      <c r="F937" s="26" t="s">
        <v>7</v>
      </c>
      <c r="H937" s="26" t="s">
        <v>7</v>
      </c>
      <c r="J937" s="26" t="s">
        <v>7</v>
      </c>
      <c r="L937" s="26" t="s">
        <v>7</v>
      </c>
      <c r="N937" s="26" t="s">
        <v>7</v>
      </c>
      <c r="P937" s="26" t="s">
        <v>7</v>
      </c>
      <c r="R937" s="26" t="s">
        <v>7</v>
      </c>
      <c r="T937" s="26" t="s">
        <v>7</v>
      </c>
      <c r="V937" s="26" t="s">
        <v>7</v>
      </c>
      <c r="X937" s="26" t="s">
        <v>7</v>
      </c>
      <c r="Z937" s="26" t="s">
        <v>7</v>
      </c>
      <c r="AB937" s="26" t="s">
        <v>7</v>
      </c>
      <c r="AD937" s="26" t="s">
        <v>7</v>
      </c>
      <c r="AF937" s="26" t="s">
        <v>7</v>
      </c>
      <c r="AH937" s="26" t="s">
        <v>7</v>
      </c>
      <c r="AJ937" s="26" t="s">
        <v>7</v>
      </c>
      <c r="AL937" s="26" t="s">
        <v>7</v>
      </c>
      <c r="AN937" s="26" t="s">
        <v>7</v>
      </c>
      <c r="AP937" s="26" t="s">
        <v>7</v>
      </c>
      <c r="AR937" s="26" t="s">
        <v>7</v>
      </c>
      <c r="AT937" s="26" t="s">
        <v>7</v>
      </c>
      <c r="AV937" s="26" t="s">
        <v>7</v>
      </c>
      <c r="AX937" s="26" t="s">
        <v>7</v>
      </c>
      <c r="AZ937" s="26" t="s">
        <v>7</v>
      </c>
      <c r="BB937" s="26" t="s">
        <v>7</v>
      </c>
      <c r="BD937" s="26" t="s">
        <v>7</v>
      </c>
      <c r="BF937" s="26" t="s">
        <v>7</v>
      </c>
      <c r="BH937" s="26" t="s">
        <v>7</v>
      </c>
      <c r="BJ937" s="26" t="s">
        <v>7</v>
      </c>
      <c r="BL937" s="26" t="s">
        <v>7</v>
      </c>
      <c r="BN937" s="26" t="s">
        <v>7</v>
      </c>
      <c r="BP937" s="26" t="s">
        <v>7</v>
      </c>
      <c r="BR937" s="26" t="s">
        <v>7</v>
      </c>
      <c r="BT937" s="26" t="s">
        <v>7</v>
      </c>
      <c r="BV937" s="26" t="s">
        <v>7</v>
      </c>
      <c r="BX937" s="26" t="s">
        <v>7</v>
      </c>
      <c r="BZ937" s="26" t="s">
        <v>7</v>
      </c>
      <c r="CB937" s="26" t="s">
        <v>7</v>
      </c>
      <c r="CD937" s="26" t="s">
        <v>7</v>
      </c>
      <c r="CF937" s="26" t="s">
        <v>7</v>
      </c>
      <c r="CH937" s="26" t="s">
        <v>7</v>
      </c>
      <c r="CJ937" s="26" t="s">
        <v>7</v>
      </c>
      <c r="CL937" s="26" t="s">
        <v>7</v>
      </c>
      <c r="CN937" s="26" t="s">
        <v>7</v>
      </c>
      <c r="CP937" s="26" t="s">
        <v>7</v>
      </c>
      <c r="CR937" s="26" t="s">
        <v>7</v>
      </c>
      <c r="CT937" s="26" t="s">
        <v>7</v>
      </c>
      <c r="CV937" s="26" t="s">
        <v>7</v>
      </c>
      <c r="CX937" s="26" t="s">
        <v>7</v>
      </c>
      <c r="CZ937" s="26" t="s">
        <v>7</v>
      </c>
      <c r="DB937" s="26" t="s">
        <v>7</v>
      </c>
      <c r="DD937" s="26" t="s">
        <v>7</v>
      </c>
      <c r="DF937" s="26" t="s">
        <v>7</v>
      </c>
      <c r="DH937" s="26" t="s">
        <v>7</v>
      </c>
      <c r="DJ937" s="26" t="s">
        <v>7</v>
      </c>
      <c r="DL937" s="26" t="s">
        <v>7</v>
      </c>
      <c r="DN937" s="26" t="s">
        <v>7</v>
      </c>
      <c r="DP937" s="26" t="s">
        <v>7</v>
      </c>
      <c r="DR937" s="26" t="s">
        <v>7</v>
      </c>
      <c r="DT937" s="26" t="s">
        <v>7</v>
      </c>
      <c r="DV937" s="26" t="s">
        <v>7</v>
      </c>
      <c r="DX937" s="26" t="s">
        <v>7</v>
      </c>
      <c r="DZ937" s="26" t="s">
        <v>7</v>
      </c>
      <c r="EB937" s="26" t="s">
        <v>7</v>
      </c>
      <c r="ED937" s="26" t="s">
        <v>7</v>
      </c>
      <c r="EF937" s="26" t="s">
        <v>7</v>
      </c>
      <c r="EH937" s="26" t="s">
        <v>7</v>
      </c>
      <c r="EJ937" s="26" t="s">
        <v>7</v>
      </c>
      <c r="EL937" s="26" t="s">
        <v>7</v>
      </c>
      <c r="EN937" s="26" t="s">
        <v>7</v>
      </c>
      <c r="EP937" s="26" t="s">
        <v>7</v>
      </c>
      <c r="ER937" s="26" t="s">
        <v>7</v>
      </c>
      <c r="ET937" s="26" t="s">
        <v>7</v>
      </c>
      <c r="EV937" s="26" t="s">
        <v>7</v>
      </c>
      <c r="EX937" s="26" t="s">
        <v>7</v>
      </c>
      <c r="EZ937" s="26" t="s">
        <v>7</v>
      </c>
      <c r="FB937" s="26" t="s">
        <v>7</v>
      </c>
      <c r="FD937" s="26" t="s">
        <v>7</v>
      </c>
      <c r="FF937" s="26" t="s">
        <v>7</v>
      </c>
      <c r="FH937" s="26" t="s">
        <v>7</v>
      </c>
      <c r="FJ937" s="26" t="s">
        <v>7</v>
      </c>
      <c r="FL937" s="26" t="s">
        <v>7</v>
      </c>
      <c r="FN937" s="26" t="s">
        <v>7</v>
      </c>
      <c r="FP937" s="26" t="s">
        <v>7</v>
      </c>
      <c r="FR937" s="26" t="s">
        <v>7</v>
      </c>
      <c r="FT937" s="26" t="s">
        <v>7</v>
      </c>
      <c r="FV937" s="26" t="s">
        <v>7</v>
      </c>
      <c r="FX937" s="26" t="s">
        <v>7</v>
      </c>
      <c r="FZ937" s="26" t="s">
        <v>7</v>
      </c>
      <c r="GB937" s="26" t="s">
        <v>7</v>
      </c>
      <c r="GD937" s="26" t="s">
        <v>7</v>
      </c>
      <c r="GF937" s="26" t="s">
        <v>7</v>
      </c>
      <c r="GH937" s="26" t="s">
        <v>7</v>
      </c>
      <c r="GJ937" s="26" t="s">
        <v>7</v>
      </c>
      <c r="GL937" s="26" t="s">
        <v>7</v>
      </c>
      <c r="GN937" s="26" t="s">
        <v>7</v>
      </c>
      <c r="GP937" s="26" t="s">
        <v>7</v>
      </c>
      <c r="GR937" s="26" t="s">
        <v>7</v>
      </c>
      <c r="GT937" s="26" t="s">
        <v>7</v>
      </c>
      <c r="GV937" s="26" t="s">
        <v>7</v>
      </c>
      <c r="GX937" s="26" t="s">
        <v>7</v>
      </c>
      <c r="GZ937" s="26" t="s">
        <v>7</v>
      </c>
      <c r="HB937" s="26" t="s">
        <v>7</v>
      </c>
      <c r="HD937" s="26" t="s">
        <v>7</v>
      </c>
      <c r="HF937" s="26" t="s">
        <v>7</v>
      </c>
      <c r="HH937" s="26" t="s">
        <v>7</v>
      </c>
      <c r="HJ937" s="26" t="s">
        <v>7</v>
      </c>
      <c r="HL937" s="26" t="s">
        <v>7</v>
      </c>
      <c r="HN937" s="26" t="s">
        <v>7</v>
      </c>
      <c r="HP937" s="26" t="s">
        <v>7</v>
      </c>
      <c r="HR937" s="26" t="s">
        <v>7</v>
      </c>
      <c r="HT937" s="26" t="s">
        <v>7</v>
      </c>
      <c r="HV937" s="26" t="s">
        <v>7</v>
      </c>
      <c r="HX937" s="26" t="s">
        <v>7</v>
      </c>
      <c r="HZ937" s="26" t="s">
        <v>7</v>
      </c>
      <c r="IB937" s="26" t="s">
        <v>7</v>
      </c>
      <c r="ID937" s="26" t="s">
        <v>7</v>
      </c>
      <c r="IF937" s="26" t="s">
        <v>7</v>
      </c>
      <c r="IH937" s="26" t="s">
        <v>7</v>
      </c>
      <c r="IJ937" s="26" t="s">
        <v>7</v>
      </c>
      <c r="IL937" s="26" t="s">
        <v>7</v>
      </c>
      <c r="IN937" s="26" t="s">
        <v>7</v>
      </c>
      <c r="IP937" s="26" t="s">
        <v>7</v>
      </c>
      <c r="IR937" s="26" t="s">
        <v>7</v>
      </c>
      <c r="IT937" s="26" t="s">
        <v>7</v>
      </c>
      <c r="IV937" s="26" t="s">
        <v>7</v>
      </c>
      <c r="IX937" s="26" t="s">
        <v>7</v>
      </c>
      <c r="IZ937" s="26" t="s">
        <v>7</v>
      </c>
      <c r="JB937" s="26" t="s">
        <v>7</v>
      </c>
      <c r="JD937" s="26" t="s">
        <v>7</v>
      </c>
      <c r="JF937" s="26" t="s">
        <v>7</v>
      </c>
      <c r="JH937" s="26" t="s">
        <v>7</v>
      </c>
      <c r="JJ937" s="26" t="s">
        <v>7</v>
      </c>
      <c r="JL937" s="26" t="s">
        <v>7</v>
      </c>
      <c r="JN937" s="26" t="s">
        <v>7</v>
      </c>
      <c r="JP937" s="26" t="s">
        <v>7</v>
      </c>
      <c r="JR937" s="26" t="s">
        <v>7</v>
      </c>
      <c r="JT937" s="26" t="s">
        <v>7</v>
      </c>
      <c r="JV937" s="26" t="s">
        <v>7</v>
      </c>
      <c r="JX937" s="26" t="s">
        <v>7</v>
      </c>
      <c r="JZ937" s="26" t="s">
        <v>7</v>
      </c>
      <c r="KB937" s="26" t="s">
        <v>7</v>
      </c>
      <c r="KD937" s="26" t="s">
        <v>7</v>
      </c>
      <c r="KF937" s="26" t="s">
        <v>7</v>
      </c>
      <c r="KH937" s="26" t="s">
        <v>7</v>
      </c>
      <c r="KJ937" s="26" t="s">
        <v>7</v>
      </c>
      <c r="KL937" s="26" t="s">
        <v>7</v>
      </c>
      <c r="KN937" s="26" t="s">
        <v>7</v>
      </c>
      <c r="KP937" s="26" t="s">
        <v>7</v>
      </c>
      <c r="KR937" s="26" t="s">
        <v>7</v>
      </c>
      <c r="KT937" s="26" t="s">
        <v>7</v>
      </c>
      <c r="KV937" s="26" t="s">
        <v>7</v>
      </c>
      <c r="KX937" s="26" t="s">
        <v>7</v>
      </c>
      <c r="KZ937" s="26" t="s">
        <v>7</v>
      </c>
      <c r="LB937" s="26" t="s">
        <v>7</v>
      </c>
      <c r="LD937" s="26" t="s">
        <v>7</v>
      </c>
      <c r="LF937" s="26" t="s">
        <v>7</v>
      </c>
      <c r="LH937" s="26" t="s">
        <v>7</v>
      </c>
      <c r="LJ937" s="26" t="s">
        <v>7</v>
      </c>
      <c r="LL937" s="26" t="s">
        <v>7</v>
      </c>
      <c r="LN937" s="26" t="s">
        <v>7</v>
      </c>
      <c r="LP937" s="26" t="s">
        <v>7</v>
      </c>
      <c r="LR937" s="26" t="s">
        <v>7</v>
      </c>
      <c r="LT937" s="26" t="s">
        <v>7</v>
      </c>
      <c r="LV937" s="26" t="s">
        <v>7</v>
      </c>
      <c r="LX937" s="26" t="s">
        <v>7</v>
      </c>
      <c r="LZ937" s="26" t="s">
        <v>7</v>
      </c>
      <c r="MB937" s="26" t="s">
        <v>7</v>
      </c>
      <c r="MD937" s="26" t="s">
        <v>7</v>
      </c>
      <c r="MF937" s="26" t="s">
        <v>7</v>
      </c>
      <c r="MH937" s="26" t="s">
        <v>7</v>
      </c>
      <c r="MJ937" s="26" t="s">
        <v>7</v>
      </c>
      <c r="ML937" s="26" t="s">
        <v>7</v>
      </c>
      <c r="MN937" s="26" t="s">
        <v>7</v>
      </c>
      <c r="MP937" s="26" t="s">
        <v>7</v>
      </c>
      <c r="MR937" s="26" t="s">
        <v>7</v>
      </c>
      <c r="MT937" s="26" t="s">
        <v>7</v>
      </c>
      <c r="MV937" s="26" t="s">
        <v>7</v>
      </c>
      <c r="MX937" s="26" t="s">
        <v>7</v>
      </c>
      <c r="MZ937" s="26" t="s">
        <v>7</v>
      </c>
      <c r="NB937" s="26" t="s">
        <v>7</v>
      </c>
      <c r="ND937" s="26" t="s">
        <v>7</v>
      </c>
      <c r="NF937" s="26" t="s">
        <v>7</v>
      </c>
      <c r="NH937" s="26" t="s">
        <v>7</v>
      </c>
      <c r="NJ937" s="26" t="s">
        <v>7</v>
      </c>
      <c r="NL937" s="26" t="s">
        <v>7</v>
      </c>
      <c r="NN937" s="26" t="s">
        <v>7</v>
      </c>
      <c r="NP937" s="26" t="s">
        <v>7</v>
      </c>
      <c r="NR937" s="26" t="s">
        <v>7</v>
      </c>
      <c r="NT937" s="26" t="s">
        <v>7</v>
      </c>
      <c r="NV937" s="26" t="s">
        <v>7</v>
      </c>
      <c r="NX937" s="26" t="s">
        <v>7</v>
      </c>
      <c r="NZ937" s="26" t="s">
        <v>7</v>
      </c>
      <c r="OB937" s="26" t="s">
        <v>7</v>
      </c>
      <c r="OD937" s="26" t="s">
        <v>7</v>
      </c>
      <c r="OF937" s="26" t="s">
        <v>7</v>
      </c>
      <c r="OH937" s="26" t="s">
        <v>7</v>
      </c>
      <c r="OJ937" s="26" t="s">
        <v>7</v>
      </c>
      <c r="OL937" s="26" t="s">
        <v>7</v>
      </c>
      <c r="ON937" s="26" t="s">
        <v>7</v>
      </c>
      <c r="OP937" s="26" t="s">
        <v>7</v>
      </c>
      <c r="OR937" s="26" t="s">
        <v>7</v>
      </c>
      <c r="OT937" s="26" t="s">
        <v>7</v>
      </c>
    </row>
  </sheetData>
  <conditionalFormatting sqref="C27">
    <cfRule type="cellIs" dxfId="90" priority="1163" operator="equal">
      <formula>$U$1</formula>
    </cfRule>
    <cfRule type="cellIs" dxfId="89" priority="1164" operator="equal">
      <formula>$S$1</formula>
    </cfRule>
  </conditionalFormatting>
  <conditionalFormatting sqref="D27">
    <cfRule type="cellIs" dxfId="88" priority="1161" operator="equal">
      <formula>$S$1</formula>
    </cfRule>
    <cfRule type="cellIs" dxfId="87" priority="1162" operator="equal">
      <formula>$U$1</formula>
    </cfRule>
  </conditionalFormatting>
  <conditionalFormatting sqref="C164">
    <cfRule type="cellIs" dxfId="86" priority="1159" operator="equal">
      <formula>$U$1</formula>
    </cfRule>
    <cfRule type="cellIs" dxfId="85" priority="1160" operator="equal">
      <formula>$S$1</formula>
    </cfRule>
  </conditionalFormatting>
  <conditionalFormatting sqref="D164">
    <cfRule type="cellIs" dxfId="84" priority="1157" operator="equal">
      <formula>$S$1</formula>
    </cfRule>
    <cfRule type="cellIs" dxfId="83" priority="1158" operator="equal">
      <formula>$U$1</formula>
    </cfRule>
  </conditionalFormatting>
  <conditionalFormatting sqref="C55">
    <cfRule type="cellIs" dxfId="82" priority="1155" operator="equal">
      <formula>$U$1</formula>
    </cfRule>
    <cfRule type="cellIs" dxfId="81" priority="1156" operator="equal">
      <formula>$S$1</formula>
    </cfRule>
  </conditionalFormatting>
  <conditionalFormatting sqref="D55">
    <cfRule type="cellIs" dxfId="80" priority="1153" operator="equal">
      <formula>$S$1</formula>
    </cfRule>
    <cfRule type="cellIs" dxfId="79" priority="1154" operator="equal">
      <formula>$U$1</formula>
    </cfRule>
  </conditionalFormatting>
  <conditionalFormatting sqref="C89">
    <cfRule type="cellIs" dxfId="78" priority="1151" operator="equal">
      <formula>$U$1</formula>
    </cfRule>
    <cfRule type="cellIs" dxfId="77" priority="1152" operator="equal">
      <formula>$S$1</formula>
    </cfRule>
  </conditionalFormatting>
  <conditionalFormatting sqref="D89">
    <cfRule type="cellIs" dxfId="76" priority="1149" operator="equal">
      <formula>$S$1</formula>
    </cfRule>
    <cfRule type="cellIs" dxfId="75" priority="1150" operator="equal">
      <formula>$U$1</formula>
    </cfRule>
  </conditionalFormatting>
  <conditionalFormatting sqref="C136">
    <cfRule type="cellIs" dxfId="74" priority="1147" operator="equal">
      <formula>$U$1</formula>
    </cfRule>
    <cfRule type="cellIs" dxfId="73" priority="1148" operator="equal">
      <formula>$S$1</formula>
    </cfRule>
  </conditionalFormatting>
  <conditionalFormatting sqref="D136">
    <cfRule type="cellIs" dxfId="72" priority="1145" operator="equal">
      <formula>$S$1</formula>
    </cfRule>
    <cfRule type="cellIs" dxfId="71" priority="1146" operator="equal">
      <formula>$U$1</formula>
    </cfRule>
  </conditionalFormatting>
  <conditionalFormatting sqref="C1">
    <cfRule type="cellIs" dxfId="70" priority="114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40" zoomScale="90" zoomScaleNormal="90" workbookViewId="0">
      <pane xSplit="4" topLeftCell="DF1" activePane="topRight" state="frozen"/>
      <selection activeCell="A109" sqref="A109"/>
      <selection pane="topRight" activeCell="GA361" sqref="GA361"/>
    </sheetView>
  </sheetViews>
  <sheetFormatPr defaultRowHeight="15" x14ac:dyDescent="0.25"/>
  <cols>
    <col min="1" max="1" width="10.85546875" style="33" customWidth="1"/>
    <col min="2" max="5" width="10.7109375" style="1" hidden="1" customWidth="1"/>
    <col min="6" max="6" width="10.7109375" style="26" hidden="1" customWidth="1"/>
    <col min="7" max="702" width="3" style="26" customWidth="1"/>
  </cols>
  <sheetData>
    <row r="1" spans="1:21" x14ac:dyDescent="0.25">
      <c r="S1" s="26" t="s">
        <v>7</v>
      </c>
      <c r="U1" s="26" t="s">
        <v>8</v>
      </c>
    </row>
    <row r="4" spans="1:21" x14ac:dyDescent="0.25">
      <c r="A4" s="33">
        <v>100155.44859784204</v>
      </c>
    </row>
    <row r="5" spans="1:21" x14ac:dyDescent="0.25">
      <c r="A5" s="33">
        <v>95386.141521754325</v>
      </c>
    </row>
    <row r="6" spans="1:21" x14ac:dyDescent="0.25">
      <c r="A6" s="33">
        <v>90843.944306432692</v>
      </c>
    </row>
    <row r="7" spans="1:21" x14ac:dyDescent="0.25">
      <c r="A7" s="33">
        <v>86518.042196602561</v>
      </c>
    </row>
    <row r="8" spans="1:21" x14ac:dyDescent="0.25">
      <c r="A8" s="33">
        <v>82398.135425335771</v>
      </c>
    </row>
    <row r="9" spans="1:21" x14ac:dyDescent="0.25">
      <c r="A9" s="33">
        <v>78474.414690795966</v>
      </c>
    </row>
    <row r="10" spans="1:21" x14ac:dyDescent="0.25">
      <c r="A10" s="33">
        <v>74737.537800758058</v>
      </c>
    </row>
    <row r="11" spans="1:21" x14ac:dyDescent="0.25">
      <c r="A11" s="33">
        <v>71178.607429293392</v>
      </c>
    </row>
    <row r="12" spans="1:21" x14ac:dyDescent="0.25">
      <c r="A12" s="33">
        <v>67789.149932660366</v>
      </c>
    </row>
    <row r="13" spans="1:21" x14ac:dyDescent="0.25">
      <c r="A13" s="33">
        <v>64561.095173962254</v>
      </c>
    </row>
    <row r="14" spans="1:21" x14ac:dyDescent="0.25">
      <c r="A14" s="33">
        <v>61486.757308535474</v>
      </c>
    </row>
    <row r="15" spans="1:21" x14ac:dyDescent="0.25">
      <c r="A15" s="33">
        <v>58558.816484319497</v>
      </c>
    </row>
    <row r="16" spans="1:21" x14ac:dyDescent="0.25">
      <c r="A16" s="33">
        <v>55770.301413637615</v>
      </c>
    </row>
    <row r="17" spans="1:7" x14ac:dyDescent="0.25">
      <c r="A17" s="33">
        <v>53114.572774892964</v>
      </c>
    </row>
    <row r="18" spans="1:7" x14ac:dyDescent="0.25">
      <c r="A18" s="33">
        <v>50585.307404659965</v>
      </c>
    </row>
    <row r="19" spans="1:7" x14ac:dyDescent="0.25">
      <c r="A19" s="33">
        <v>48176.483242533301</v>
      </c>
    </row>
    <row r="20" spans="1:7" x14ac:dyDescent="0.25">
      <c r="A20" s="33">
        <v>45882.364992888855</v>
      </c>
    </row>
    <row r="21" spans="1:7" x14ac:dyDescent="0.25">
      <c r="A21" s="33">
        <v>43697.490469417957</v>
      </c>
      <c r="C21" s="1" t="s">
        <v>15</v>
      </c>
      <c r="G21" s="11"/>
    </row>
    <row r="22" spans="1:7" x14ac:dyDescent="0.25">
      <c r="A22" s="33">
        <v>41616.657589921859</v>
      </c>
      <c r="C22" s="7">
        <v>0.11686133436193799</v>
      </c>
      <c r="D22"/>
    </row>
    <row r="23" spans="1:7" x14ac:dyDescent="0.25">
      <c r="A23" s="33">
        <v>39634.911990401772</v>
      </c>
    </row>
    <row r="24" spans="1:7" x14ac:dyDescent="0.25">
      <c r="A24" s="33">
        <v>37747.535228954068</v>
      </c>
      <c r="C24" s="1" t="s">
        <v>11</v>
      </c>
      <c r="D24" s="1" t="s">
        <v>12</v>
      </c>
    </row>
    <row r="25" spans="1:7" x14ac:dyDescent="0.25">
      <c r="A25" s="33">
        <v>35950.033551384826</v>
      </c>
      <c r="C25"/>
      <c r="D25"/>
    </row>
    <row r="26" spans="1:7" x14ac:dyDescent="0.25">
      <c r="A26" s="33">
        <v>34238.127191795073</v>
      </c>
    </row>
    <row r="27" spans="1:7" x14ac:dyDescent="0.25">
      <c r="A27" s="33">
        <v>32607.740182661972</v>
      </c>
      <c r="C27" s="1" t="s">
        <v>13</v>
      </c>
    </row>
    <row r="28" spans="1:7" x14ac:dyDescent="0.25">
      <c r="A28" s="33">
        <v>31054.990650154257</v>
      </c>
      <c r="C28" s="1">
        <f>C17</f>
        <v>0</v>
      </c>
    </row>
    <row r="29" spans="1:7" x14ac:dyDescent="0.25">
      <c r="A29" s="33">
        <v>29576.181571575482</v>
      </c>
      <c r="C29"/>
    </row>
    <row r="30" spans="1:7" x14ac:dyDescent="0.25">
      <c r="A30" s="33">
        <v>28167.79197292903</v>
      </c>
      <c r="C30" s="1" t="s">
        <v>14</v>
      </c>
    </row>
    <row r="31" spans="1:7" x14ac:dyDescent="0.25">
      <c r="A31" s="33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3">
        <v>25549.017662520659</v>
      </c>
    </row>
    <row r="33" spans="1:5" x14ac:dyDescent="0.25">
      <c r="A33" s="33">
        <v>24332.397773829198</v>
      </c>
      <c r="E33"/>
    </row>
    <row r="34" spans="1:5" x14ac:dyDescent="0.25">
      <c r="A34" s="33">
        <v>23173.712165551617</v>
      </c>
      <c r="E34"/>
    </row>
    <row r="35" spans="1:5" x14ac:dyDescent="0.25">
      <c r="A35" s="33">
        <v>22070.202062430111</v>
      </c>
      <c r="E35"/>
    </row>
    <row r="36" spans="1:5" x14ac:dyDescent="0.25">
      <c r="A36" s="33">
        <v>21019.240059457246</v>
      </c>
      <c r="E36"/>
    </row>
    <row r="37" spans="1:5" x14ac:dyDescent="0.25">
      <c r="A37" s="33">
        <v>20018.323866149756</v>
      </c>
      <c r="E37"/>
    </row>
    <row r="38" spans="1:5" x14ac:dyDescent="0.25">
      <c r="A38" s="33">
        <v>19065.070348714053</v>
      </c>
      <c r="E38"/>
    </row>
    <row r="39" spans="1:5" x14ac:dyDescent="0.25">
      <c r="A39" s="33">
        <v>18157.209855918143</v>
      </c>
      <c r="E39"/>
    </row>
    <row r="40" spans="1:5" x14ac:dyDescent="0.25">
      <c r="A40" s="33">
        <v>17292.580815160134</v>
      </c>
      <c r="E40"/>
    </row>
    <row r="41" spans="1:5" x14ac:dyDescent="0.25">
      <c r="A41" s="33">
        <v>16469.124585866793</v>
      </c>
      <c r="E41"/>
    </row>
    <row r="42" spans="1:5" x14ac:dyDescent="0.25">
      <c r="A42" s="33">
        <v>15684.880557968376</v>
      </c>
      <c r="E42"/>
    </row>
    <row r="43" spans="1:5" x14ac:dyDescent="0.25">
      <c r="A43" s="33">
        <v>14937.981483779406</v>
      </c>
      <c r="E43"/>
    </row>
    <row r="44" spans="1:5" x14ac:dyDescent="0.25">
      <c r="A44" s="33">
        <v>14226.649032170862</v>
      </c>
      <c r="E44"/>
    </row>
    <row r="45" spans="1:5" x14ac:dyDescent="0.25">
      <c r="A45" s="33">
        <v>13549.18955444844</v>
      </c>
      <c r="E45"/>
    </row>
    <row r="46" spans="1:5" x14ac:dyDescent="0.25">
      <c r="A46" s="33">
        <v>12903.990051855657</v>
      </c>
      <c r="C46" s="1" t="s">
        <v>15</v>
      </c>
      <c r="E46"/>
    </row>
    <row r="47" spans="1:5" x14ac:dyDescent="0.25">
      <c r="A47" s="33">
        <v>12289.514335100625</v>
      </c>
      <c r="C47" s="7">
        <v>0.11686133436193799</v>
      </c>
      <c r="D47"/>
      <c r="E47"/>
    </row>
    <row r="48" spans="1:5" x14ac:dyDescent="0.25">
      <c r="A48" s="33">
        <v>11704.2993667625</v>
      </c>
      <c r="E48"/>
    </row>
    <row r="49" spans="1:5" x14ac:dyDescent="0.25">
      <c r="A49" s="33">
        <v>11146.951777869046</v>
      </c>
      <c r="C49" s="1" t="s">
        <v>11</v>
      </c>
      <c r="D49" s="1" t="s">
        <v>12</v>
      </c>
      <c r="E49"/>
    </row>
    <row r="50" spans="1:5" x14ac:dyDescent="0.25">
      <c r="A50" s="33">
        <v>10616.144550351471</v>
      </c>
      <c r="C50"/>
      <c r="D50"/>
      <c r="E50"/>
    </row>
    <row r="51" spans="1:5" x14ac:dyDescent="0.25">
      <c r="A51" s="33">
        <v>10110.613857477592</v>
      </c>
      <c r="E51"/>
    </row>
    <row r="52" spans="1:5" x14ac:dyDescent="0.25">
      <c r="A52" s="33">
        <v>9629.1560547405643</v>
      </c>
      <c r="C52" s="1" t="s">
        <v>13</v>
      </c>
      <c r="E52"/>
    </row>
    <row r="53" spans="1:5" x14ac:dyDescent="0.25">
      <c r="A53" s="33">
        <v>9170.6248140386324</v>
      </c>
      <c r="C53" s="1">
        <f>C42</f>
        <v>0</v>
      </c>
      <c r="E53"/>
    </row>
    <row r="54" spans="1:5" x14ac:dyDescent="0.25">
      <c r="A54" s="33">
        <v>8733.9283943225073</v>
      </c>
      <c r="C54"/>
      <c r="E54"/>
    </row>
    <row r="55" spans="1:5" x14ac:dyDescent="0.25">
      <c r="A55" s="33">
        <v>8318.027042211912</v>
      </c>
      <c r="C55" s="1" t="s">
        <v>14</v>
      </c>
      <c r="E55"/>
    </row>
    <row r="56" spans="1:5" x14ac:dyDescent="0.25">
      <c r="A56" s="33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3">
        <v>7544.6957298974248</v>
      </c>
      <c r="E57"/>
    </row>
    <row r="58" spans="1:5" x14ac:dyDescent="0.25">
      <c r="A58" s="33">
        <v>7185.4245046642136</v>
      </c>
      <c r="E58"/>
    </row>
    <row r="59" spans="1:5" x14ac:dyDescent="0.25">
      <c r="A59" s="33">
        <v>6843.2614330135366</v>
      </c>
      <c r="E59"/>
    </row>
    <row r="60" spans="1:5" x14ac:dyDescent="0.25">
      <c r="A60" s="33">
        <v>6517.3918409652724</v>
      </c>
      <c r="E60"/>
    </row>
    <row r="61" spans="1:5" x14ac:dyDescent="0.25">
      <c r="A61" s="33">
        <v>6207.0398485383548</v>
      </c>
      <c r="E61"/>
    </row>
    <row r="62" spans="1:5" x14ac:dyDescent="0.25">
      <c r="A62" s="33">
        <v>5911.4665224174805</v>
      </c>
      <c r="E62"/>
    </row>
    <row r="63" spans="1:5" x14ac:dyDescent="0.25">
      <c r="A63" s="33">
        <v>5629.9681165880766</v>
      </c>
      <c r="E63"/>
    </row>
    <row r="64" spans="1:5" x14ac:dyDescent="0.25">
      <c r="A64" s="33">
        <v>5361.8743967505488</v>
      </c>
      <c r="E64"/>
    </row>
    <row r="65" spans="1:5" x14ac:dyDescent="0.25">
      <c r="A65" s="33">
        <v>5106.5470445243318</v>
      </c>
      <c r="E65"/>
    </row>
    <row r="66" spans="1:5" x14ac:dyDescent="0.25">
      <c r="A66" s="33">
        <v>4863.3781376422203</v>
      </c>
      <c r="E66"/>
    </row>
    <row r="67" spans="1:5" x14ac:dyDescent="0.25">
      <c r="A67" s="33">
        <v>4631.7887025164</v>
      </c>
      <c r="E67"/>
    </row>
    <row r="68" spans="1:5" x14ac:dyDescent="0.25">
      <c r="A68" s="33">
        <v>4411.2273357299046</v>
      </c>
      <c r="E68"/>
    </row>
    <row r="69" spans="1:5" x14ac:dyDescent="0.25">
      <c r="A69" s="33">
        <v>4201.1688911713372</v>
      </c>
      <c r="E69"/>
    </row>
    <row r="70" spans="1:5" x14ac:dyDescent="0.25">
      <c r="A70" s="33">
        <v>4001.1132296869878</v>
      </c>
      <c r="E70"/>
    </row>
    <row r="71" spans="1:5" x14ac:dyDescent="0.25">
      <c r="A71" s="33">
        <v>3810.5840282733216</v>
      </c>
      <c r="C71" s="1" t="s">
        <v>15</v>
      </c>
      <c r="E71"/>
    </row>
    <row r="72" spans="1:5" x14ac:dyDescent="0.25">
      <c r="A72" s="33">
        <v>3629.1276459745918</v>
      </c>
      <c r="C72" s="7">
        <v>0.11686133436193799</v>
      </c>
      <c r="D72"/>
      <c r="E72"/>
    </row>
    <row r="73" spans="1:5" x14ac:dyDescent="0.25">
      <c r="A73" s="33">
        <v>3456.3120437853254</v>
      </c>
      <c r="E73"/>
    </row>
    <row r="74" spans="1:5" x14ac:dyDescent="0.25">
      <c r="A74" s="33">
        <v>3291.7257559860241</v>
      </c>
      <c r="C74" s="1" t="s">
        <v>11</v>
      </c>
      <c r="D74" s="1" t="s">
        <v>12</v>
      </c>
      <c r="E74"/>
    </row>
    <row r="75" spans="1:5" x14ac:dyDescent="0.25">
      <c r="A75" s="33">
        <v>3134.9769104628799</v>
      </c>
      <c r="C75"/>
      <c r="D75"/>
      <c r="E75"/>
    </row>
    <row r="76" spans="1:5" x14ac:dyDescent="0.25">
      <c r="A76" s="33">
        <v>2985.6922956789331</v>
      </c>
      <c r="E76"/>
    </row>
    <row r="77" spans="1:5" x14ac:dyDescent="0.25">
      <c r="A77" s="33">
        <v>2843.5164720751741</v>
      </c>
      <c r="C77" s="1" t="s">
        <v>13</v>
      </c>
      <c r="E77"/>
    </row>
    <row r="78" spans="1:5" x14ac:dyDescent="0.25">
      <c r="A78" s="33">
        <v>2708.1109257858798</v>
      </c>
      <c r="C78" s="1">
        <f>C67</f>
        <v>0</v>
      </c>
      <c r="E78"/>
    </row>
    <row r="79" spans="1:5" x14ac:dyDescent="0.25">
      <c r="A79" s="33">
        <v>2579.1532626532189</v>
      </c>
      <c r="C79"/>
      <c r="E79"/>
    </row>
    <row r="80" spans="1:5" x14ac:dyDescent="0.25">
      <c r="A80" s="33">
        <v>2456.3364406221131</v>
      </c>
      <c r="C80" s="1" t="s">
        <v>14</v>
      </c>
      <c r="E80"/>
    </row>
    <row r="81" spans="1:5" x14ac:dyDescent="0.25">
      <c r="A81" s="33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3">
        <v>2227.9695606549776</v>
      </c>
      <c r="E82"/>
    </row>
    <row r="83" spans="1:5" x14ac:dyDescent="0.25">
      <c r="A83" s="33">
        <v>2121.8757720523595</v>
      </c>
      <c r="E83"/>
    </row>
    <row r="84" spans="1:5" x14ac:dyDescent="0.25">
      <c r="A84" s="33">
        <v>2020.8340686212948</v>
      </c>
      <c r="E84"/>
    </row>
    <row r="85" spans="1:5" x14ac:dyDescent="0.25">
      <c r="A85" s="33">
        <v>1924.6038748774236</v>
      </c>
      <c r="E85"/>
    </row>
    <row r="86" spans="1:5" x14ac:dyDescent="0.25">
      <c r="A86" s="33">
        <v>1832.9560713118319</v>
      </c>
      <c r="E86"/>
    </row>
    <row r="87" spans="1:5" x14ac:dyDescent="0.25">
      <c r="A87" s="33">
        <v>1745.6724488684113</v>
      </c>
      <c r="E87"/>
    </row>
    <row r="88" spans="1:5" x14ac:dyDescent="0.25">
      <c r="A88" s="33">
        <v>1662.5451893984869</v>
      </c>
      <c r="E88"/>
    </row>
    <row r="89" spans="1:5" x14ac:dyDescent="0.25">
      <c r="A89" s="33">
        <v>1583.3763708557017</v>
      </c>
      <c r="E89"/>
    </row>
    <row r="90" spans="1:5" x14ac:dyDescent="0.25">
      <c r="A90" s="33">
        <v>1507.9774960530492</v>
      </c>
      <c r="E90"/>
    </row>
    <row r="91" spans="1:5" x14ac:dyDescent="0.25">
      <c r="A91" s="33">
        <v>1436.1690438600467</v>
      </c>
      <c r="E91"/>
    </row>
    <row r="92" spans="1:5" x14ac:dyDescent="0.25">
      <c r="A92" s="33">
        <v>1367.780041771473</v>
      </c>
      <c r="E92"/>
    </row>
    <row r="93" spans="1:5" x14ac:dyDescent="0.25">
      <c r="A93" s="33">
        <v>1302.6476588299743</v>
      </c>
      <c r="E93"/>
    </row>
    <row r="94" spans="1:5" x14ac:dyDescent="0.25">
      <c r="A94" s="33">
        <v>1240.6168179333088</v>
      </c>
      <c r="E94"/>
    </row>
    <row r="95" spans="1:5" x14ac:dyDescent="0.25">
      <c r="A95" s="33">
        <v>1181.5398266031511</v>
      </c>
      <c r="E95"/>
    </row>
    <row r="96" spans="1:5" x14ac:dyDescent="0.25">
      <c r="A96" s="33">
        <v>1125.2760253363344</v>
      </c>
      <c r="C96" s="1" t="s">
        <v>15</v>
      </c>
      <c r="E96"/>
    </row>
    <row r="97" spans="1:5" x14ac:dyDescent="0.25">
      <c r="A97" s="33">
        <v>1071.6914527012709</v>
      </c>
      <c r="C97" s="7">
        <v>0.11686133436193799</v>
      </c>
      <c r="D97"/>
      <c r="E97"/>
    </row>
    <row r="98" spans="1:5" x14ac:dyDescent="0.25">
      <c r="A98" s="33">
        <v>1020.6585263821628</v>
      </c>
      <c r="E98"/>
    </row>
    <row r="99" spans="1:5" x14ac:dyDescent="0.25">
      <c r="A99" s="33">
        <v>972.05573941158355</v>
      </c>
      <c r="C99" s="1" t="s">
        <v>11</v>
      </c>
      <c r="D99" s="1" t="s">
        <v>12</v>
      </c>
      <c r="E99"/>
    </row>
    <row r="100" spans="1:5" x14ac:dyDescent="0.25">
      <c r="A100" s="33">
        <v>925.76737086817479</v>
      </c>
      <c r="C100"/>
      <c r="D100"/>
      <c r="E100"/>
    </row>
    <row r="101" spans="1:5" x14ac:dyDescent="0.25">
      <c r="A101" s="33">
        <v>881.68321035064264</v>
      </c>
      <c r="E101"/>
    </row>
    <row r="102" spans="1:5" x14ac:dyDescent="0.25">
      <c r="A102" s="33">
        <v>839.69829557204059</v>
      </c>
      <c r="C102" s="1" t="s">
        <v>13</v>
      </c>
      <c r="E102"/>
    </row>
    <row r="103" spans="1:5" x14ac:dyDescent="0.25">
      <c r="A103" s="33">
        <v>799.71266244956246</v>
      </c>
      <c r="C103" s="1">
        <f>C92</f>
        <v>0</v>
      </c>
      <c r="E103"/>
    </row>
    <row r="104" spans="1:5" x14ac:dyDescent="0.25">
      <c r="A104" s="33">
        <v>761.63110709482135</v>
      </c>
      <c r="C104"/>
      <c r="E104"/>
    </row>
    <row r="105" spans="1:5" x14ac:dyDescent="0.25">
      <c r="A105" s="33">
        <v>725.36295913792503</v>
      </c>
      <c r="C105" s="1" t="s">
        <v>14</v>
      </c>
      <c r="E105"/>
    </row>
    <row r="106" spans="1:5" x14ac:dyDescent="0.25">
      <c r="A106" s="33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3">
        <v>657.92558651965976</v>
      </c>
      <c r="E107"/>
    </row>
    <row r="108" spans="1:5" x14ac:dyDescent="0.25">
      <c r="A108" s="33">
        <v>626.59579668539027</v>
      </c>
      <c r="E108"/>
    </row>
    <row r="109" spans="1:5" x14ac:dyDescent="0.25">
      <c r="A109" s="33">
        <v>596.75790160513361</v>
      </c>
      <c r="E109"/>
    </row>
    <row r="110" spans="1:5" x14ac:dyDescent="0.25">
      <c r="A110" s="33">
        <v>568.34085867155579</v>
      </c>
      <c r="E110"/>
    </row>
    <row r="111" spans="1:5" x14ac:dyDescent="0.25">
      <c r="A111" s="33">
        <v>541.27700825862451</v>
      </c>
      <c r="C111" s="1" t="str">
        <f>ADDRESS(C121-1,1,1,1)</f>
        <v>$A$360</v>
      </c>
      <c r="D111" s="1" t="str">
        <f>ADDRESS(C121-1,D121,1,1)</f>
        <v>$GA$360</v>
      </c>
      <c r="E111"/>
    </row>
    <row r="112" spans="1:5" x14ac:dyDescent="0.25">
      <c r="A112" s="33">
        <v>515.50191262726139</v>
      </c>
      <c r="C112" s="1" t="str">
        <f>ADDRESS(C121,1,1,1)</f>
        <v>$A$361</v>
      </c>
      <c r="D112" s="1" t="str">
        <f>ADDRESS(C121,D121-1,1,1)</f>
        <v>$FZ$361</v>
      </c>
      <c r="E112"/>
    </row>
    <row r="113" spans="1:5" x14ac:dyDescent="0.25">
      <c r="A113" s="33">
        <v>490.95420250215363</v>
      </c>
      <c r="C113" s="1" t="str">
        <f>ADDRESS(C121+1,1,1,1)</f>
        <v>$A$362</v>
      </c>
      <c r="D113" s="1" t="str">
        <f>ADDRESS(C121-1,D121+1,1,1)</f>
        <v>$GB$360</v>
      </c>
    </row>
    <row r="114" spans="1:5" x14ac:dyDescent="0.25">
      <c r="A114" s="33">
        <v>467.57543095443202</v>
      </c>
      <c r="C114" s="1" t="str">
        <f>ADDRESS(C121,D121,1,1)</f>
        <v>$GA$361</v>
      </c>
      <c r="D114" s="1" t="str">
        <f>ADDRESS(C121+1,D121+1,1,1)</f>
        <v>$GB$362</v>
      </c>
    </row>
    <row r="115" spans="1:5" x14ac:dyDescent="0.25">
      <c r="A115" s="33">
        <v>445.30993424231622</v>
      </c>
      <c r="C115" s="1" t="str">
        <f>ADDRESS(C121+1,D121,1,1)</f>
        <v>$GA$362</v>
      </c>
    </row>
    <row r="116" spans="1:5" x14ac:dyDescent="0.25">
      <c r="A116" s="33">
        <v>424.10469927839637</v>
      </c>
      <c r="C116" s="1">
        <f>C117-1</f>
        <v>360</v>
      </c>
    </row>
    <row r="117" spans="1:5" x14ac:dyDescent="0.25">
      <c r="A117" s="33">
        <v>403.9092374079965</v>
      </c>
      <c r="C117" s="1">
        <f>C121</f>
        <v>361</v>
      </c>
      <c r="D117" s="1">
        <f>D121</f>
        <v>183</v>
      </c>
    </row>
    <row r="118" spans="1:5" x14ac:dyDescent="0.25">
      <c r="A118" s="33">
        <v>384.6754641980919</v>
      </c>
      <c r="C118" s="1">
        <f>C117+1</f>
        <v>362</v>
      </c>
      <c r="D118" s="1">
        <f>D117+1</f>
        <v>184</v>
      </c>
    </row>
    <row r="119" spans="1:5" x14ac:dyDescent="0.25">
      <c r="A119" s="33">
        <v>366.35758495056371</v>
      </c>
    </row>
    <row r="120" spans="1:5" x14ac:dyDescent="0.25">
      <c r="A120" s="33">
        <v>348.91198566720351</v>
      </c>
      <c r="C120" s="1" t="s">
        <v>9</v>
      </c>
    </row>
    <row r="121" spans="1:5" x14ac:dyDescent="0.25">
      <c r="A121" s="33">
        <v>332.29712920686046</v>
      </c>
      <c r="C121" s="18">
        <v>361</v>
      </c>
      <c r="D121" s="19">
        <v>183</v>
      </c>
      <c r="E121" s="19"/>
    </row>
    <row r="122" spans="1:5" x14ac:dyDescent="0.25">
      <c r="A122" s="33">
        <v>316.47345638748612</v>
      </c>
      <c r="C122" s="1" t="str">
        <f>INDEX(1:1048576,C117,D117)</f>
        <v>X</v>
      </c>
    </row>
    <row r="123" spans="1:5" x14ac:dyDescent="0.25">
      <c r="A123" s="33">
        <v>301.40329179760585</v>
      </c>
      <c r="C123" s="1" t="str">
        <f>"R"&amp;C121</f>
        <v>R361</v>
      </c>
      <c r="D123" s="1" t="str">
        <f>"C"&amp;D121</f>
        <v>C183</v>
      </c>
    </row>
    <row r="124" spans="1:5" x14ac:dyDescent="0.25">
      <c r="A124" s="33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3">
        <v>273.38167056472184</v>
      </c>
    </row>
    <row r="126" spans="1:5" x14ac:dyDescent="0.25">
      <c r="A126" s="33">
        <v>260.36349577592557</v>
      </c>
      <c r="C126" s="1" t="s">
        <v>10</v>
      </c>
    </row>
    <row r="127" spans="1:5" x14ac:dyDescent="0.25">
      <c r="A127" s="33">
        <v>247.96523407231004</v>
      </c>
      <c r="C127" s="33">
        <v>2.7295736217250611E-3</v>
      </c>
      <c r="D127"/>
    </row>
    <row r="128" spans="1:5" x14ac:dyDescent="0.25">
      <c r="A128" s="33">
        <v>236.15736578315241</v>
      </c>
    </row>
    <row r="129" spans="1:5" x14ac:dyDescent="0.25">
      <c r="A129" s="33">
        <v>224.91177693633563</v>
      </c>
      <c r="C129" s="1" t="s">
        <v>11</v>
      </c>
      <c r="D129" s="1" t="s">
        <v>12</v>
      </c>
      <c r="E129"/>
    </row>
    <row r="130" spans="1:5" x14ac:dyDescent="0.25">
      <c r="A130" s="33">
        <v>214.20169232031964</v>
      </c>
      <c r="C130" s="6"/>
      <c r="D130" s="6"/>
      <c r="E130"/>
    </row>
    <row r="131" spans="1:5" x14ac:dyDescent="0.25">
      <c r="A131" s="33">
        <v>204.00161173363773</v>
      </c>
      <c r="E131"/>
    </row>
    <row r="132" spans="1:5" x14ac:dyDescent="0.25">
      <c r="A132" s="33">
        <v>194.28724927013116</v>
      </c>
      <c r="C132" s="1" t="s">
        <v>13</v>
      </c>
      <c r="E132"/>
    </row>
    <row r="133" spans="1:5" x14ac:dyDescent="0.25">
      <c r="A133" s="33">
        <v>185.03547549536299</v>
      </c>
      <c r="C133" s="1" t="str">
        <f>C122</f>
        <v>X</v>
      </c>
      <c r="E133"/>
    </row>
    <row r="134" spans="1:5" x14ac:dyDescent="0.25">
      <c r="A134" s="33">
        <v>176.22426237653616</v>
      </c>
      <c r="C134"/>
      <c r="E134"/>
    </row>
    <row r="135" spans="1:5" x14ac:dyDescent="0.25">
      <c r="A135" s="33">
        <v>167.83263083479633</v>
      </c>
      <c r="C135" s="1" t="s">
        <v>14</v>
      </c>
      <c r="E135"/>
    </row>
    <row r="136" spans="1:5" x14ac:dyDescent="0.25">
      <c r="A136" s="33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3">
        <v>152.22914361432771</v>
      </c>
      <c r="E137"/>
    </row>
    <row r="138" spans="1:5" x14ac:dyDescent="0.25">
      <c r="A138" s="33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3">
        <v>138.07632073861922</v>
      </c>
      <c r="E139"/>
    </row>
    <row r="140" spans="1:5" x14ac:dyDescent="0.25">
      <c r="A140" s="33">
        <v>131.50125784630401</v>
      </c>
      <c r="C140" s="1">
        <v>0</v>
      </c>
      <c r="E140"/>
    </row>
    <row r="141" spans="1:5" x14ac:dyDescent="0.25">
      <c r="A141" s="33">
        <v>125.23929318695619</v>
      </c>
      <c r="C141" s="1">
        <v>1</v>
      </c>
      <c r="E141"/>
    </row>
    <row r="142" spans="1:5" x14ac:dyDescent="0.25">
      <c r="A142" s="33">
        <v>119.27551732091065</v>
      </c>
      <c r="C142" s="1">
        <v>2</v>
      </c>
      <c r="E142"/>
    </row>
    <row r="143" spans="1:5" x14ac:dyDescent="0.25">
      <c r="A143" s="33">
        <v>113.59573078181967</v>
      </c>
      <c r="C143" s="1">
        <v>3</v>
      </c>
      <c r="E143"/>
    </row>
    <row r="144" spans="1:5" x14ac:dyDescent="0.25">
      <c r="A144" s="33">
        <v>108.18641026839968</v>
      </c>
      <c r="C144" s="1">
        <v>4</v>
      </c>
      <c r="E144"/>
    </row>
    <row r="145" spans="1:5" x14ac:dyDescent="0.25">
      <c r="A145" s="33">
        <v>103.03467644609493</v>
      </c>
      <c r="E145"/>
    </row>
    <row r="146" spans="1:5" x14ac:dyDescent="0.25">
      <c r="A146" s="33">
        <v>98.128263281995174</v>
      </c>
      <c r="E146"/>
    </row>
    <row r="147" spans="1:5" x14ac:dyDescent="0.25">
      <c r="A147" s="33">
        <v>93.455488839995397</v>
      </c>
      <c r="E147"/>
    </row>
    <row r="148" spans="1:5" x14ac:dyDescent="0.25">
      <c r="A148" s="33">
        <v>89.005227466662276</v>
      </c>
      <c r="E148"/>
    </row>
    <row r="149" spans="1:5" x14ac:dyDescent="0.25">
      <c r="A149" s="33">
        <v>84.766883301583121</v>
      </c>
      <c r="E149"/>
    </row>
    <row r="150" spans="1:5" x14ac:dyDescent="0.25">
      <c r="A150" s="33">
        <v>80.730365049126775</v>
      </c>
      <c r="E150"/>
    </row>
    <row r="151" spans="1:5" x14ac:dyDescent="0.25">
      <c r="A151" s="33">
        <v>76.886061951549308</v>
      </c>
      <c r="E151"/>
    </row>
    <row r="152" spans="1:5" x14ac:dyDescent="0.25">
      <c r="A152" s="33">
        <v>73.22482090623744</v>
      </c>
      <c r="E152"/>
    </row>
    <row r="153" spans="1:5" x14ac:dyDescent="0.25">
      <c r="A153" s="33">
        <v>69.737924672607079</v>
      </c>
      <c r="C153" s="7"/>
      <c r="D153"/>
      <c r="E153"/>
    </row>
    <row r="154" spans="1:5" x14ac:dyDescent="0.25">
      <c r="A154" s="33">
        <v>66.417071116768639</v>
      </c>
      <c r="E154"/>
    </row>
    <row r="155" spans="1:5" x14ac:dyDescent="0.25">
      <c r="A155" s="33">
        <v>63.254353444541557</v>
      </c>
      <c r="E155"/>
    </row>
    <row r="156" spans="1:5" x14ac:dyDescent="0.25">
      <c r="A156" s="33">
        <v>60.242241375753864</v>
      </c>
      <c r="C156"/>
      <c r="D156"/>
      <c r="E156"/>
    </row>
    <row r="157" spans="1:5" x14ac:dyDescent="0.25">
      <c r="A157" s="33">
        <v>57.373563215003678</v>
      </c>
      <c r="E157"/>
    </row>
    <row r="158" spans="1:5" x14ac:dyDescent="0.25">
      <c r="A158" s="33">
        <v>54.641488776193974</v>
      </c>
      <c r="E158"/>
    </row>
    <row r="159" spans="1:5" x14ac:dyDescent="0.25">
      <c r="A159" s="33">
        <v>52.039513120184736</v>
      </c>
      <c r="E159"/>
    </row>
    <row r="160" spans="1:5" x14ac:dyDescent="0.25">
      <c r="A160" s="33">
        <v>49.561441066842605</v>
      </c>
      <c r="C160"/>
      <c r="E160"/>
    </row>
    <row r="161" spans="1:5" x14ac:dyDescent="0.25">
      <c r="A161" s="33">
        <v>47.201372444612005</v>
      </c>
      <c r="E161"/>
    </row>
    <row r="162" spans="1:5" x14ac:dyDescent="0.25">
      <c r="A162" s="33">
        <v>44.95368804248762</v>
      </c>
      <c r="E162"/>
    </row>
    <row r="163" spans="1:5" x14ac:dyDescent="0.25">
      <c r="A163" s="33">
        <v>42.81303623094059</v>
      </c>
      <c r="E163"/>
    </row>
    <row r="164" spans="1:5" x14ac:dyDescent="0.25">
      <c r="A164" s="33">
        <v>40.774320219943419</v>
      </c>
      <c r="E164"/>
    </row>
    <row r="165" spans="1:5" x14ac:dyDescent="0.25">
      <c r="A165" s="33">
        <v>38.832685923755633</v>
      </c>
      <c r="E165"/>
    </row>
    <row r="166" spans="1:5" x14ac:dyDescent="0.25">
      <c r="A166" s="33">
        <v>36.983510403576794</v>
      </c>
      <c r="E166"/>
    </row>
    <row r="167" spans="1:5" x14ac:dyDescent="0.25">
      <c r="A167" s="33">
        <v>35.222390860549325</v>
      </c>
      <c r="E167"/>
    </row>
    <row r="168" spans="1:5" x14ac:dyDescent="0.25">
      <c r="A168" s="33">
        <v>33.545134152904119</v>
      </c>
      <c r="E168"/>
    </row>
    <row r="169" spans="1:5" x14ac:dyDescent="0.25">
      <c r="A169" s="33">
        <v>31.947746812289637</v>
      </c>
      <c r="E169"/>
    </row>
    <row r="170" spans="1:5" x14ac:dyDescent="0.25">
      <c r="A170" s="33">
        <v>30.426425535513939</v>
      </c>
      <c r="E170"/>
    </row>
    <row r="171" spans="1:5" x14ac:dyDescent="0.25">
      <c r="A171" s="33">
        <v>28.977548129060892</v>
      </c>
      <c r="E171"/>
    </row>
    <row r="172" spans="1:5" x14ac:dyDescent="0.25">
      <c r="A172" s="33">
        <v>27.597664884819896</v>
      </c>
      <c r="E172"/>
    </row>
    <row r="173" spans="1:5" x14ac:dyDescent="0.25">
      <c r="A173" s="33">
        <v>26.283490366495137</v>
      </c>
      <c r="E173"/>
    </row>
    <row r="174" spans="1:5" x14ac:dyDescent="0.25">
      <c r="A174" s="33">
        <v>25.031895587138223</v>
      </c>
      <c r="E174"/>
    </row>
    <row r="175" spans="1:5" x14ac:dyDescent="0.25">
      <c r="A175" s="33">
        <v>23.839900559179259</v>
      </c>
      <c r="E175"/>
    </row>
    <row r="176" spans="1:5" x14ac:dyDescent="0.25">
      <c r="A176" s="33">
        <v>22.704667199218342</v>
      </c>
      <c r="E176"/>
    </row>
    <row r="177" spans="1:5" x14ac:dyDescent="0.25">
      <c r="A177" s="33">
        <v>21.623492570684135</v>
      </c>
      <c r="E177"/>
    </row>
    <row r="178" spans="1:5" x14ac:dyDescent="0.25">
      <c r="A178" s="33">
        <v>20.593802448270605</v>
      </c>
      <c r="C178" s="7"/>
      <c r="D178"/>
      <c r="E178"/>
    </row>
    <row r="179" spans="1:5" x14ac:dyDescent="0.25">
      <c r="A179" s="33">
        <v>19.613145188829147</v>
      </c>
      <c r="E179"/>
    </row>
    <row r="180" spans="1:5" x14ac:dyDescent="0.25">
      <c r="A180" s="33">
        <v>18.679185894122998</v>
      </c>
      <c r="E180"/>
    </row>
    <row r="181" spans="1:5" x14ac:dyDescent="0.25">
      <c r="A181" s="33">
        <v>17.78970085154571</v>
      </c>
      <c r="C181"/>
      <c r="D181"/>
      <c r="E181"/>
    </row>
    <row r="182" spans="1:5" x14ac:dyDescent="0.25">
      <c r="A182" s="33">
        <v>16.942572239567344</v>
      </c>
      <c r="E182"/>
    </row>
    <row r="183" spans="1:5" x14ac:dyDescent="0.25">
      <c r="A183" s="33">
        <v>16.135783085302233</v>
      </c>
      <c r="E183"/>
    </row>
    <row r="184" spans="1:5" x14ac:dyDescent="0.25">
      <c r="A184" s="33">
        <v>15.367412462192602</v>
      </c>
      <c r="E184"/>
    </row>
    <row r="185" spans="1:5" x14ac:dyDescent="0.25">
      <c r="A185" s="33">
        <v>14.635630916373906</v>
      </c>
      <c r="C185"/>
      <c r="E185"/>
    </row>
    <row r="186" spans="1:5" x14ac:dyDescent="0.25">
      <c r="A186" s="33">
        <v>13.938696110832291</v>
      </c>
      <c r="E186"/>
    </row>
    <row r="187" spans="1:5" x14ac:dyDescent="0.25">
      <c r="A187" s="33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3">
        <v>12.64280826379346</v>
      </c>
      <c r="E188"/>
    </row>
    <row r="189" spans="1:5" x14ac:dyDescent="0.25">
      <c r="A189" s="33">
        <v>12.04076977504139</v>
      </c>
      <c r="E189"/>
    </row>
    <row r="190" spans="1:5" x14ac:dyDescent="0.25">
      <c r="A190" s="33">
        <v>11.467399785753704</v>
      </c>
      <c r="E190"/>
    </row>
    <row r="191" spans="1:5" x14ac:dyDescent="0.25">
      <c r="A191" s="33">
        <v>10.921333129289241</v>
      </c>
      <c r="E191"/>
    </row>
    <row r="192" spans="1:5" x14ac:dyDescent="0.25">
      <c r="A192" s="33">
        <v>10.401269646942135</v>
      </c>
      <c r="E192"/>
    </row>
    <row r="193" spans="1:5" x14ac:dyDescent="0.25">
      <c r="A193" s="33">
        <v>9.9059710923258422</v>
      </c>
      <c r="E193"/>
    </row>
    <row r="194" spans="1:5" x14ac:dyDescent="0.25">
      <c r="A194" s="33">
        <v>9.4342581831674686</v>
      </c>
      <c r="E194"/>
    </row>
    <row r="195" spans="1:5" x14ac:dyDescent="0.25">
      <c r="A195" s="33">
        <v>8.9850077934928265</v>
      </c>
      <c r="E195"/>
    </row>
    <row r="196" spans="1:5" x14ac:dyDescent="0.25">
      <c r="A196" s="33">
        <v>8.5571502795169767</v>
      </c>
      <c r="E196"/>
    </row>
    <row r="197" spans="1:5" x14ac:dyDescent="0.25">
      <c r="A197" s="33">
        <v>8.1496669328733109</v>
      </c>
      <c r="E197"/>
    </row>
    <row r="198" spans="1:5" x14ac:dyDescent="0.25">
      <c r="A198" s="33">
        <v>7.7615875551174378</v>
      </c>
      <c r="E198"/>
    </row>
    <row r="199" spans="1:5" x14ac:dyDescent="0.25">
      <c r="A199" s="33">
        <v>7.3919881477308929</v>
      </c>
      <c r="E199"/>
    </row>
    <row r="200" spans="1:5" x14ac:dyDescent="0.25">
      <c r="A200" s="33">
        <v>7.0399887121246598</v>
      </c>
      <c r="E200"/>
    </row>
    <row r="201" spans="1:5" x14ac:dyDescent="0.25">
      <c r="A201" s="33">
        <v>6.7047511544044376</v>
      </c>
      <c r="E201"/>
    </row>
    <row r="202" spans="1:5" x14ac:dyDescent="0.25">
      <c r="A202" s="33">
        <v>6.3854772899089882</v>
      </c>
      <c r="E202"/>
    </row>
    <row r="203" spans="1:5" x14ac:dyDescent="0.25">
      <c r="A203" s="33">
        <v>6.0814069427704647</v>
      </c>
      <c r="C203" s="7"/>
      <c r="D203"/>
      <c r="E203"/>
    </row>
    <row r="204" spans="1:5" x14ac:dyDescent="0.25">
      <c r="A204" s="33">
        <v>5.7918161359718709</v>
      </c>
      <c r="E204"/>
    </row>
    <row r="205" spans="1:5" x14ac:dyDescent="0.25">
      <c r="A205" s="33">
        <v>5.5160153675922574</v>
      </c>
      <c r="E205"/>
    </row>
    <row r="206" spans="1:5" x14ac:dyDescent="0.25">
      <c r="A206" s="33">
        <v>5.2533479691354827</v>
      </c>
      <c r="C206"/>
      <c r="D206"/>
      <c r="E206"/>
    </row>
    <row r="207" spans="1:5" x14ac:dyDescent="0.25">
      <c r="A207" s="33">
        <v>5.0031885420337927</v>
      </c>
      <c r="E207"/>
    </row>
    <row r="208" spans="1:5" x14ac:dyDescent="0.25">
      <c r="A208" s="33">
        <v>4.7649414686036122</v>
      </c>
      <c r="E208"/>
    </row>
    <row r="209" spans="1:5" x14ac:dyDescent="0.25">
      <c r="A209" s="33">
        <v>4.5380394939082018</v>
      </c>
      <c r="E209"/>
    </row>
    <row r="210" spans="1:5" x14ac:dyDescent="0.25">
      <c r="A210" s="33">
        <v>4.3219423751506678</v>
      </c>
      <c r="C210"/>
      <c r="E210"/>
    </row>
    <row r="211" spans="1:5" x14ac:dyDescent="0.25">
      <c r="A211" s="33">
        <v>4.1161355953815884</v>
      </c>
      <c r="E211"/>
    </row>
    <row r="212" spans="1:5" x14ac:dyDescent="0.25">
      <c r="A212" s="33">
        <v>3.9201291384586554</v>
      </c>
      <c r="E212"/>
    </row>
    <row r="213" spans="1:5" x14ac:dyDescent="0.25">
      <c r="A213" s="33">
        <v>3.7334563223415764</v>
      </c>
      <c r="E213"/>
    </row>
    <row r="214" spans="1:5" x14ac:dyDescent="0.25">
      <c r="A214" s="33">
        <v>3.5556726879443583</v>
      </c>
      <c r="E214"/>
    </row>
    <row r="215" spans="1:5" x14ac:dyDescent="0.25">
      <c r="A215" s="33">
        <v>3.3863549408993889</v>
      </c>
      <c r="E215"/>
    </row>
    <row r="216" spans="1:5" x14ac:dyDescent="0.25">
      <c r="A216" s="33">
        <v>3.2250999437137038</v>
      </c>
      <c r="E216"/>
    </row>
    <row r="217" spans="1:5" x14ac:dyDescent="0.25">
      <c r="A217" s="33">
        <v>3.0715237559178128</v>
      </c>
      <c r="E217"/>
    </row>
    <row r="218" spans="1:5" x14ac:dyDescent="0.25">
      <c r="A218" s="33">
        <v>2.9252607199217264</v>
      </c>
      <c r="E218"/>
    </row>
    <row r="219" spans="1:5" x14ac:dyDescent="0.25">
      <c r="A219" s="33">
        <v>2.7859625904016441</v>
      </c>
      <c r="E219"/>
    </row>
    <row r="220" spans="1:5" x14ac:dyDescent="0.25">
      <c r="A220" s="33">
        <v>2.6532977051444226</v>
      </c>
      <c r="E220"/>
    </row>
    <row r="221" spans="1:5" x14ac:dyDescent="0.25">
      <c r="A221" s="33">
        <v>2.5269501953756404</v>
      </c>
      <c r="E221"/>
    </row>
    <row r="222" spans="1:5" x14ac:dyDescent="0.25">
      <c r="A222" s="33">
        <v>2.4066192336910861</v>
      </c>
      <c r="E222"/>
    </row>
    <row r="223" spans="1:5" x14ac:dyDescent="0.25">
      <c r="A223" s="33">
        <v>2.2920183178010345</v>
      </c>
      <c r="E223"/>
    </row>
    <row r="224" spans="1:5" x14ac:dyDescent="0.25">
      <c r="A224" s="33">
        <v>2.1828745883819374</v>
      </c>
      <c r="E224"/>
    </row>
    <row r="225" spans="1:5" x14ac:dyDescent="0.25">
      <c r="A225" s="33">
        <v>2.0789281794113688</v>
      </c>
      <c r="E225"/>
    </row>
    <row r="226" spans="1:5" x14ac:dyDescent="0.25">
      <c r="A226" s="33">
        <v>1.9799315994393987</v>
      </c>
      <c r="E226"/>
    </row>
    <row r="227" spans="1:5" x14ac:dyDescent="0.25">
      <c r="A227" s="33">
        <v>1.8856491423232367</v>
      </c>
      <c r="E227"/>
    </row>
    <row r="228" spans="1:5" x14ac:dyDescent="0.25">
      <c r="A228" s="33">
        <v>1.7958563260221301</v>
      </c>
      <c r="C228" s="7"/>
      <c r="D228"/>
      <c r="E228"/>
    </row>
    <row r="229" spans="1:5" x14ac:dyDescent="0.25">
      <c r="A229" s="33">
        <v>1.7103393581163142</v>
      </c>
      <c r="E229"/>
    </row>
    <row r="230" spans="1:5" x14ac:dyDescent="0.25">
      <c r="A230" s="33">
        <v>1.628894626777442</v>
      </c>
      <c r="E230"/>
    </row>
    <row r="231" spans="1:5" x14ac:dyDescent="0.25">
      <c r="A231" s="33">
        <v>1.5513282159785162</v>
      </c>
      <c r="C231"/>
      <c r="D231"/>
      <c r="E231"/>
    </row>
    <row r="232" spans="1:5" x14ac:dyDescent="0.25">
      <c r="A232" s="33">
        <v>1.477455443789063</v>
      </c>
      <c r="E232"/>
    </row>
    <row r="233" spans="1:5" x14ac:dyDescent="0.25">
      <c r="A233" s="33">
        <v>1.4071004226562505</v>
      </c>
      <c r="E233"/>
    </row>
    <row r="234" spans="1:5" x14ac:dyDescent="0.25">
      <c r="A234" s="33">
        <v>1.3400956406250004</v>
      </c>
      <c r="E234"/>
    </row>
    <row r="235" spans="1:5" x14ac:dyDescent="0.25">
      <c r="A235" s="33">
        <v>1.2762815625000004</v>
      </c>
      <c r="C235"/>
      <c r="E235"/>
    </row>
    <row r="236" spans="1:5" x14ac:dyDescent="0.25">
      <c r="A236" s="33">
        <v>1.2155062500000002</v>
      </c>
      <c r="E236"/>
    </row>
    <row r="237" spans="1:5" x14ac:dyDescent="0.25">
      <c r="A237" s="33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3">
        <v>1.1025</v>
      </c>
      <c r="E238"/>
    </row>
    <row r="239" spans="1:5" x14ac:dyDescent="0.25">
      <c r="A239" s="33">
        <v>1.05</v>
      </c>
      <c r="E239"/>
    </row>
    <row r="240" spans="1:5" x14ac:dyDescent="0.25">
      <c r="A240" s="33">
        <v>1</v>
      </c>
      <c r="E240" s="28" t="s">
        <v>8</v>
      </c>
    </row>
    <row r="241" spans="1:6" x14ac:dyDescent="0.25">
      <c r="A241" s="33">
        <v>0.952380952380952</v>
      </c>
      <c r="B241"/>
      <c r="C241"/>
      <c r="D241"/>
      <c r="E241"/>
      <c r="F241" s="26" t="s">
        <v>7</v>
      </c>
    </row>
    <row r="242" spans="1:6" x14ac:dyDescent="0.25">
      <c r="A242" s="33">
        <v>0.90702947845804915</v>
      </c>
      <c r="B242"/>
      <c r="C242"/>
      <c r="D242"/>
      <c r="E242"/>
      <c r="F242" s="26" t="s">
        <v>7</v>
      </c>
    </row>
    <row r="243" spans="1:6" x14ac:dyDescent="0.25">
      <c r="A243" s="33">
        <v>0.86383759853147501</v>
      </c>
      <c r="B243"/>
      <c r="C243"/>
      <c r="D243"/>
      <c r="E243"/>
      <c r="F243" s="26" t="s">
        <v>7</v>
      </c>
    </row>
    <row r="244" spans="1:6" x14ac:dyDescent="0.25">
      <c r="A244" s="33">
        <v>0.82270247479188063</v>
      </c>
      <c r="B244"/>
      <c r="C244"/>
      <c r="D244"/>
      <c r="E244"/>
      <c r="F244" s="26" t="s">
        <v>7</v>
      </c>
    </row>
    <row r="245" spans="1:6" x14ac:dyDescent="0.25">
      <c r="A245" s="33">
        <v>0.78352616646845741</v>
      </c>
      <c r="B245"/>
      <c r="C245"/>
      <c r="D245"/>
      <c r="E245"/>
      <c r="F245" s="26" t="s">
        <v>7</v>
      </c>
    </row>
    <row r="246" spans="1:6" x14ac:dyDescent="0.25">
      <c r="A246" s="33">
        <v>0.74621539663662584</v>
      </c>
      <c r="B246"/>
      <c r="C246"/>
      <c r="D246"/>
      <c r="E246"/>
      <c r="F246" s="26" t="s">
        <v>7</v>
      </c>
    </row>
    <row r="247" spans="1:6" x14ac:dyDescent="0.25">
      <c r="A247" s="33">
        <v>0.71068133013011958</v>
      </c>
      <c r="B247"/>
      <c r="C247"/>
      <c r="D247"/>
      <c r="E247"/>
      <c r="F247" s="26" t="s">
        <v>7</v>
      </c>
    </row>
    <row r="248" spans="1:6" x14ac:dyDescent="0.25">
      <c r="A248" s="33">
        <v>0.676839362028685</v>
      </c>
      <c r="B248"/>
      <c r="C248"/>
      <c r="D248"/>
      <c r="E248"/>
      <c r="F248" s="26" t="s">
        <v>7</v>
      </c>
    </row>
    <row r="249" spans="1:6" x14ac:dyDescent="0.25">
      <c r="A249" s="33">
        <v>0.64460891621779492</v>
      </c>
      <c r="B249"/>
      <c r="C249"/>
      <c r="D249"/>
      <c r="E249"/>
      <c r="F249" s="26" t="s">
        <v>7</v>
      </c>
    </row>
    <row r="250" spans="1:6" x14ac:dyDescent="0.25">
      <c r="A250" s="33">
        <v>0.61391325354075688</v>
      </c>
      <c r="B250"/>
      <c r="C250"/>
      <c r="D250"/>
      <c r="E250"/>
      <c r="F250" s="26" t="s">
        <v>7</v>
      </c>
    </row>
    <row r="251" spans="1:6" x14ac:dyDescent="0.25">
      <c r="A251" s="33">
        <v>0.58467928908643485</v>
      </c>
      <c r="B251"/>
      <c r="C251"/>
      <c r="D251"/>
      <c r="E251"/>
      <c r="F251" s="26" t="s">
        <v>7</v>
      </c>
    </row>
    <row r="252" spans="1:6" x14ac:dyDescent="0.25">
      <c r="A252" s="33">
        <v>0.55683741817755672</v>
      </c>
      <c r="B252"/>
      <c r="C252"/>
      <c r="D252"/>
      <c r="E252"/>
      <c r="F252" s="26" t="s">
        <v>7</v>
      </c>
    </row>
    <row r="253" spans="1:6" x14ac:dyDescent="0.25">
      <c r="A253" s="33">
        <v>0.53032135064529184</v>
      </c>
      <c r="B253"/>
      <c r="C253"/>
      <c r="D253"/>
      <c r="E253"/>
      <c r="F253" s="26" t="s">
        <v>7</v>
      </c>
    </row>
    <row r="254" spans="1:6" x14ac:dyDescent="0.25">
      <c r="A254" s="33">
        <v>0.50506795299551588</v>
      </c>
      <c r="B254"/>
      <c r="C254"/>
      <c r="D254"/>
      <c r="E254"/>
      <c r="F254" s="26" t="s">
        <v>7</v>
      </c>
    </row>
    <row r="255" spans="1:6" x14ac:dyDescent="0.25">
      <c r="A255" s="33">
        <v>0.48101709809096732</v>
      </c>
      <c r="E255"/>
      <c r="F255" s="26" t="s">
        <v>7</v>
      </c>
    </row>
    <row r="256" spans="1:6" x14ac:dyDescent="0.25">
      <c r="A256" s="33">
        <v>0.45811152199139726</v>
      </c>
      <c r="E256"/>
      <c r="F256" s="26" t="s">
        <v>7</v>
      </c>
    </row>
    <row r="257" spans="1:6" x14ac:dyDescent="0.25">
      <c r="A257" s="33">
        <v>0.43629668761085438</v>
      </c>
      <c r="B257"/>
      <c r="C257"/>
      <c r="D257"/>
      <c r="E257"/>
      <c r="F257" s="26" t="s">
        <v>7</v>
      </c>
    </row>
    <row r="258" spans="1:6" x14ac:dyDescent="0.25">
      <c r="A258" s="33">
        <v>0.41552065486748019</v>
      </c>
      <c r="B258"/>
      <c r="C258"/>
      <c r="D258"/>
      <c r="E258"/>
      <c r="F258" s="26" t="s">
        <v>7</v>
      </c>
    </row>
    <row r="259" spans="1:6" x14ac:dyDescent="0.25">
      <c r="A259" s="33">
        <v>0.39573395701664765</v>
      </c>
      <c r="B259"/>
      <c r="C259"/>
      <c r="D259"/>
      <c r="E259"/>
      <c r="F259" s="26" t="s">
        <v>7</v>
      </c>
    </row>
    <row r="260" spans="1:6" x14ac:dyDescent="0.25">
      <c r="A260" s="33">
        <v>0.37688948287299762</v>
      </c>
      <c r="B260"/>
      <c r="C260"/>
      <c r="D260"/>
      <c r="E260"/>
      <c r="F260" s="26" t="s">
        <v>7</v>
      </c>
    </row>
    <row r="261" spans="1:6" x14ac:dyDescent="0.25">
      <c r="A261" s="33">
        <v>0.35894236464094997</v>
      </c>
      <c r="B261"/>
      <c r="C261"/>
      <c r="D261"/>
      <c r="E261"/>
      <c r="F261" s="26" t="s">
        <v>7</v>
      </c>
    </row>
    <row r="262" spans="1:6" x14ac:dyDescent="0.25">
      <c r="A262" s="33">
        <v>0.34184987108661891</v>
      </c>
      <c r="B262"/>
      <c r="C262"/>
      <c r="D262"/>
      <c r="E262"/>
      <c r="F262" s="26" t="s">
        <v>7</v>
      </c>
    </row>
    <row r="263" spans="1:6" x14ac:dyDescent="0.25">
      <c r="A263" s="33">
        <v>0.32557130579677979</v>
      </c>
      <c r="B263"/>
      <c r="C263"/>
      <c r="D263"/>
      <c r="E263"/>
      <c r="F263" s="26" t="s">
        <v>7</v>
      </c>
    </row>
    <row r="264" spans="1:6" x14ac:dyDescent="0.25">
      <c r="A264" s="33">
        <v>0.3100679102826473</v>
      </c>
      <c r="B264"/>
      <c r="C264"/>
      <c r="D264"/>
      <c r="E264"/>
      <c r="F264" s="26" t="s">
        <v>7</v>
      </c>
    </row>
    <row r="265" spans="1:6" x14ac:dyDescent="0.25">
      <c r="A265" s="33">
        <v>0.2953027716977592</v>
      </c>
      <c r="B265"/>
      <c r="C265"/>
      <c r="D265"/>
      <c r="E265"/>
      <c r="F265" s="26" t="s">
        <v>7</v>
      </c>
    </row>
    <row r="266" spans="1:6" x14ac:dyDescent="0.25">
      <c r="A266" s="33">
        <v>0.28124073495024676</v>
      </c>
      <c r="B266"/>
      <c r="C266"/>
      <c r="D266"/>
      <c r="E266"/>
      <c r="F266" s="26" t="s">
        <v>7</v>
      </c>
    </row>
    <row r="267" spans="1:6" x14ac:dyDescent="0.25">
      <c r="A267" s="33">
        <v>0.26784831900023492</v>
      </c>
      <c r="B267"/>
      <c r="C267"/>
      <c r="D267"/>
      <c r="E267"/>
      <c r="F267" s="26" t="s">
        <v>7</v>
      </c>
    </row>
    <row r="268" spans="1:6" x14ac:dyDescent="0.25">
      <c r="A268" s="33">
        <v>0.25509363714308075</v>
      </c>
      <c r="B268"/>
      <c r="C268"/>
      <c r="D268"/>
      <c r="E268"/>
      <c r="F268" s="26" t="s">
        <v>7</v>
      </c>
    </row>
    <row r="269" spans="1:6" x14ac:dyDescent="0.25">
      <c r="A269" s="33">
        <v>0.24294632108864825</v>
      </c>
      <c r="B269"/>
      <c r="C269"/>
      <c r="D269"/>
      <c r="E269"/>
      <c r="F269" s="26" t="s">
        <v>7</v>
      </c>
    </row>
    <row r="270" spans="1:6" x14ac:dyDescent="0.25">
      <c r="A270" s="33">
        <v>0.23137744865585538</v>
      </c>
      <c r="B270"/>
      <c r="C270"/>
      <c r="D270"/>
      <c r="E270"/>
      <c r="F270" s="26" t="s">
        <v>7</v>
      </c>
    </row>
    <row r="271" spans="1:6" x14ac:dyDescent="0.25">
      <c r="A271" s="33">
        <v>0.22035947491033836</v>
      </c>
      <c r="B271"/>
      <c r="C271"/>
      <c r="D271"/>
      <c r="E271"/>
      <c r="F271" s="26" t="s">
        <v>7</v>
      </c>
    </row>
    <row r="272" spans="1:6" x14ac:dyDescent="0.25">
      <c r="A272" s="33">
        <v>0.20986616658127455</v>
      </c>
      <c r="B272"/>
      <c r="C272"/>
      <c r="D272"/>
      <c r="E272"/>
      <c r="F272" s="26" t="s">
        <v>7</v>
      </c>
    </row>
    <row r="273" spans="1:6" x14ac:dyDescent="0.25">
      <c r="A273" s="33">
        <v>0.19987253960121379</v>
      </c>
      <c r="B273"/>
      <c r="C273"/>
      <c r="D273"/>
      <c r="E273"/>
      <c r="F273" s="26" t="s">
        <v>7</v>
      </c>
    </row>
    <row r="274" spans="1:6" x14ac:dyDescent="0.25">
      <c r="A274" s="33">
        <v>0.19035479962020352</v>
      </c>
      <c r="B274"/>
      <c r="C274"/>
      <c r="D274"/>
      <c r="E274"/>
      <c r="F274" s="26" t="s">
        <v>7</v>
      </c>
    </row>
    <row r="275" spans="1:6" x14ac:dyDescent="0.25">
      <c r="A275" s="33">
        <v>0.18129028535257471</v>
      </c>
      <c r="B275"/>
      <c r="C275"/>
      <c r="D275"/>
      <c r="E275"/>
      <c r="F275" s="26" t="s">
        <v>7</v>
      </c>
    </row>
    <row r="276" spans="1:6" x14ac:dyDescent="0.25">
      <c r="A276" s="33">
        <v>0.17265741462149967</v>
      </c>
      <c r="B276"/>
      <c r="C276"/>
      <c r="D276"/>
      <c r="E276"/>
      <c r="F276" s="26" t="s">
        <v>7</v>
      </c>
    </row>
    <row r="277" spans="1:6" x14ac:dyDescent="0.25">
      <c r="A277" s="33">
        <v>0.16443563297285677</v>
      </c>
      <c r="B277"/>
      <c r="C277"/>
      <c r="D277"/>
      <c r="E277"/>
      <c r="F277" s="26" t="s">
        <v>7</v>
      </c>
    </row>
    <row r="278" spans="1:6" x14ac:dyDescent="0.25">
      <c r="A278" s="33">
        <v>0.15660536473605399</v>
      </c>
      <c r="B278"/>
      <c r="C278"/>
      <c r="D278"/>
      <c r="E278"/>
      <c r="F278" s="26" t="s">
        <v>7</v>
      </c>
    </row>
    <row r="279" spans="1:6" x14ac:dyDescent="0.25">
      <c r="A279" s="33">
        <v>0.14914796641528946</v>
      </c>
      <c r="B279"/>
      <c r="C279"/>
      <c r="D279"/>
      <c r="E279"/>
      <c r="F279" s="26" t="s">
        <v>7</v>
      </c>
    </row>
    <row r="280" spans="1:6" x14ac:dyDescent="0.25">
      <c r="A280" s="33">
        <v>0.14204568230027562</v>
      </c>
      <c r="B280"/>
      <c r="C280"/>
      <c r="D280"/>
      <c r="E280"/>
      <c r="F280" s="26" t="s">
        <v>7</v>
      </c>
    </row>
    <row r="281" spans="1:6" x14ac:dyDescent="0.25">
      <c r="A281" s="33">
        <v>0.13528160219073862</v>
      </c>
      <c r="B281"/>
      <c r="C281"/>
      <c r="D281"/>
      <c r="E281"/>
      <c r="F281" s="26" t="s">
        <v>7</v>
      </c>
    </row>
    <row r="282" spans="1:6" x14ac:dyDescent="0.25">
      <c r="A282" s="33">
        <v>0.12883962113403674</v>
      </c>
      <c r="B282"/>
      <c r="C282"/>
      <c r="D282"/>
      <c r="E282"/>
      <c r="F282" s="26" t="s">
        <v>7</v>
      </c>
    </row>
    <row r="283" spans="1:6" x14ac:dyDescent="0.25">
      <c r="A283" s="33">
        <v>0.12270440108003494</v>
      </c>
      <c r="B283"/>
      <c r="C283"/>
      <c r="D283"/>
      <c r="E283"/>
      <c r="F283" s="26" t="s">
        <v>7</v>
      </c>
    </row>
    <row r="284" spans="1:6" x14ac:dyDescent="0.25">
      <c r="A284" s="33">
        <v>0.11686133436193799</v>
      </c>
      <c r="B284"/>
      <c r="C284"/>
      <c r="D284"/>
      <c r="E284"/>
      <c r="F284" s="26" t="s">
        <v>7</v>
      </c>
    </row>
    <row r="285" spans="1:6" x14ac:dyDescent="0.25">
      <c r="A285" s="33">
        <v>0.11129650891613138</v>
      </c>
      <c r="B285"/>
      <c r="C285"/>
      <c r="D285"/>
      <c r="E285"/>
      <c r="F285" s="26" t="s">
        <v>7</v>
      </c>
    </row>
    <row r="286" spans="1:6" x14ac:dyDescent="0.25">
      <c r="A286" s="33">
        <v>0.10599667515822032</v>
      </c>
      <c r="B286"/>
      <c r="C286"/>
      <c r="D286"/>
      <c r="E286"/>
      <c r="F286" s="26" t="s">
        <v>7</v>
      </c>
    </row>
    <row r="287" spans="1:6" x14ac:dyDescent="0.25">
      <c r="A287" s="33">
        <v>0.10094921443640027</v>
      </c>
      <c r="B287"/>
      <c r="C287"/>
      <c r="D287"/>
      <c r="E287"/>
      <c r="F287" s="26" t="s">
        <v>7</v>
      </c>
    </row>
    <row r="288" spans="1:6" x14ac:dyDescent="0.25">
      <c r="A288" s="33">
        <v>9.6142108987047836E-2</v>
      </c>
      <c r="B288"/>
      <c r="C288"/>
      <c r="D288"/>
      <c r="E288"/>
      <c r="F288" s="26" t="s">
        <v>7</v>
      </c>
    </row>
    <row r="289" spans="1:6" x14ac:dyDescent="0.25">
      <c r="A289" s="33">
        <v>9.1563913320997906E-2</v>
      </c>
      <c r="B289"/>
      <c r="C289"/>
      <c r="D289"/>
      <c r="E289"/>
      <c r="F289" s="26" t="s">
        <v>7</v>
      </c>
    </row>
    <row r="290" spans="1:6" x14ac:dyDescent="0.25">
      <c r="A290" s="33">
        <v>8.7203726972378923E-2</v>
      </c>
      <c r="B290"/>
      <c r="C290"/>
      <c r="D290"/>
      <c r="E290"/>
      <c r="F290" s="26" t="s">
        <v>7</v>
      </c>
    </row>
    <row r="291" spans="1:6" x14ac:dyDescent="0.25">
      <c r="A291" s="33">
        <v>8.3051168545122747E-2</v>
      </c>
      <c r="B291"/>
      <c r="C291"/>
      <c r="D291"/>
      <c r="E291"/>
      <c r="F291" s="26" t="s">
        <v>7</v>
      </c>
    </row>
    <row r="292" spans="1:6" x14ac:dyDescent="0.25">
      <c r="A292" s="33">
        <v>7.9096350995354961E-2</v>
      </c>
      <c r="B292"/>
      <c r="C292"/>
      <c r="D292"/>
      <c r="E292"/>
      <c r="F292" s="26" t="s">
        <v>7</v>
      </c>
    </row>
    <row r="293" spans="1:6" x14ac:dyDescent="0.25">
      <c r="A293" s="33">
        <v>7.5329858090814217E-2</v>
      </c>
      <c r="B293"/>
      <c r="C293"/>
      <c r="D293"/>
      <c r="E293"/>
      <c r="F293" s="26" t="s">
        <v>7</v>
      </c>
    </row>
    <row r="294" spans="1:6" x14ac:dyDescent="0.25">
      <c r="A294" s="33">
        <v>7.1742721991251604E-2</v>
      </c>
      <c r="B294"/>
      <c r="C294"/>
      <c r="D294"/>
      <c r="E294"/>
      <c r="F294" s="26" t="s">
        <v>7</v>
      </c>
    </row>
    <row r="295" spans="1:6" x14ac:dyDescent="0.25">
      <c r="A295" s="33">
        <v>6.8326401896430078E-2</v>
      </c>
      <c r="B295"/>
      <c r="C295"/>
      <c r="D295"/>
      <c r="E295"/>
      <c r="F295" s="26" t="s">
        <v>7</v>
      </c>
    </row>
    <row r="296" spans="1:6" x14ac:dyDescent="0.25">
      <c r="A296" s="33">
        <v>6.5072763710885759E-2</v>
      </c>
      <c r="B296"/>
      <c r="C296"/>
      <c r="D296"/>
      <c r="E296"/>
      <c r="F296" s="26" t="s">
        <v>7</v>
      </c>
    </row>
    <row r="297" spans="1:6" x14ac:dyDescent="0.25">
      <c r="A297" s="33">
        <v>6.197406067703403E-2</v>
      </c>
      <c r="B297"/>
      <c r="C297"/>
      <c r="D297"/>
      <c r="E297"/>
      <c r="F297" s="26" t="s">
        <v>7</v>
      </c>
    </row>
    <row r="298" spans="1:6" x14ac:dyDescent="0.25">
      <c r="A298" s="33">
        <v>5.9022914930508576E-2</v>
      </c>
      <c r="B298"/>
      <c r="C298"/>
      <c r="D298"/>
      <c r="E298"/>
      <c r="F298" s="26" t="s">
        <v>7</v>
      </c>
    </row>
    <row r="299" spans="1:6" x14ac:dyDescent="0.25">
      <c r="A299" s="33">
        <v>5.6212299933817669E-2</v>
      </c>
      <c r="B299"/>
      <c r="C299"/>
      <c r="D299"/>
      <c r="E299"/>
      <c r="F299" s="26" t="s">
        <v>7</v>
      </c>
    </row>
    <row r="300" spans="1:6" x14ac:dyDescent="0.25">
      <c r="A300" s="33">
        <v>5.3535523746492994E-2</v>
      </c>
      <c r="B300"/>
      <c r="C300"/>
      <c r="D300"/>
      <c r="E300"/>
      <c r="F300" s="26" t="s">
        <v>7</v>
      </c>
    </row>
    <row r="301" spans="1:6" x14ac:dyDescent="0.25">
      <c r="A301" s="33">
        <v>5.0986213091898068E-2</v>
      </c>
      <c r="B301"/>
      <c r="C301"/>
      <c r="D301"/>
      <c r="E301"/>
      <c r="F301" s="26" t="s">
        <v>7</v>
      </c>
    </row>
    <row r="302" spans="1:6" x14ac:dyDescent="0.25">
      <c r="A302" s="33">
        <v>4.8558298182760043E-2</v>
      </c>
      <c r="B302"/>
      <c r="C302"/>
      <c r="D302"/>
      <c r="E302"/>
      <c r="F302" s="26" t="s">
        <v>7</v>
      </c>
    </row>
    <row r="303" spans="1:6" x14ac:dyDescent="0.25">
      <c r="A303" s="33">
        <v>4.6245998269295263E-2</v>
      </c>
      <c r="B303"/>
      <c r="C303"/>
      <c r="D303"/>
      <c r="E303"/>
      <c r="F303" s="26" t="s">
        <v>7</v>
      </c>
    </row>
    <row r="304" spans="1:6" x14ac:dyDescent="0.25">
      <c r="A304" s="33">
        <v>4.4043807875519279E-2</v>
      </c>
      <c r="B304"/>
      <c r="C304"/>
      <c r="D304"/>
      <c r="E304"/>
      <c r="F304" s="26" t="s">
        <v>7</v>
      </c>
    </row>
    <row r="305" spans="1:102" x14ac:dyDescent="0.25">
      <c r="A305" s="33">
        <v>4.1946483690970725E-2</v>
      </c>
      <c r="B305"/>
      <c r="C305"/>
      <c r="D305"/>
      <c r="E305"/>
      <c r="F305" s="26" t="s">
        <v>7</v>
      </c>
    </row>
    <row r="306" spans="1:102" x14ac:dyDescent="0.25">
      <c r="A306" s="33">
        <v>3.9949032086638768E-2</v>
      </c>
      <c r="B306"/>
      <c r="C306"/>
      <c r="D306"/>
      <c r="E306"/>
      <c r="F306" s="26" t="s">
        <v>7</v>
      </c>
    </row>
    <row r="307" spans="1:102" x14ac:dyDescent="0.25">
      <c r="A307" s="33">
        <v>3.8046697225370241E-2</v>
      </c>
      <c r="B307"/>
      <c r="C307"/>
      <c r="D307"/>
      <c r="E307"/>
      <c r="F307" s="26" t="s">
        <v>7</v>
      </c>
    </row>
    <row r="308" spans="1:102" x14ac:dyDescent="0.25">
      <c r="A308" s="33">
        <v>3.6234949738447833E-2</v>
      </c>
      <c r="B308"/>
      <c r="C308"/>
      <c r="D308"/>
      <c r="E308"/>
      <c r="F308" s="26" t="s">
        <v>7</v>
      </c>
    </row>
    <row r="309" spans="1:102" x14ac:dyDescent="0.25">
      <c r="A309" s="33">
        <v>3.4509475941378875E-2</v>
      </c>
      <c r="B309"/>
      <c r="C309"/>
      <c r="D309"/>
      <c r="E309"/>
      <c r="F309" s="26" t="s">
        <v>7</v>
      </c>
    </row>
    <row r="310" spans="1:102" x14ac:dyDescent="0.25">
      <c r="A310" s="33">
        <v>3.286616756321796E-2</v>
      </c>
      <c r="B310"/>
      <c r="C310"/>
      <c r="D310"/>
      <c r="E310"/>
      <c r="F310" s="26" t="s">
        <v>7</v>
      </c>
    </row>
    <row r="311" spans="1:102" x14ac:dyDescent="0.25">
      <c r="A311" s="33">
        <v>3.1301111964969472E-2</v>
      </c>
      <c r="B311"/>
      <c r="C311"/>
      <c r="D311"/>
      <c r="E311"/>
      <c r="F311" s="26" t="s">
        <v>7</v>
      </c>
    </row>
    <row r="312" spans="1:102" x14ac:dyDescent="0.25">
      <c r="A312" s="33">
        <v>2.9810582823780438E-2</v>
      </c>
      <c r="B312"/>
      <c r="C312"/>
      <c r="D312"/>
      <c r="E312"/>
      <c r="F312" s="26" t="s">
        <v>7</v>
      </c>
    </row>
    <row r="313" spans="1:102" x14ac:dyDescent="0.25">
      <c r="A313" s="33">
        <v>2.8391031260743264E-2</v>
      </c>
      <c r="B313"/>
      <c r="C313"/>
      <c r="D313"/>
      <c r="E313"/>
      <c r="F313" s="26" t="s">
        <v>7</v>
      </c>
    </row>
    <row r="314" spans="1:102" x14ac:dyDescent="0.25">
      <c r="A314" s="33">
        <v>2.7039077391184052E-2</v>
      </c>
      <c r="B314"/>
      <c r="C314"/>
      <c r="D314"/>
      <c r="E314"/>
      <c r="F314" s="26" t="s">
        <v>7</v>
      </c>
    </row>
    <row r="315" spans="1:102" x14ac:dyDescent="0.25">
      <c r="A315" s="33">
        <v>2.5751502277318133E-2</v>
      </c>
      <c r="B315"/>
      <c r="C315"/>
      <c r="D315"/>
      <c r="E315"/>
      <c r="F315" s="26" t="s">
        <v>7</v>
      </c>
    </row>
    <row r="316" spans="1:102" x14ac:dyDescent="0.25">
      <c r="A316" s="33">
        <v>2.4525240264112496E-2</v>
      </c>
      <c r="B316"/>
      <c r="C316"/>
      <c r="D316"/>
      <c r="E316"/>
      <c r="F316" s="26" t="s">
        <v>7</v>
      </c>
    </row>
    <row r="317" spans="1:102" x14ac:dyDescent="0.25">
      <c r="A317" s="33">
        <v>2.3357371680107129E-2</v>
      </c>
      <c r="B317"/>
      <c r="C317"/>
      <c r="D317"/>
      <c r="E317"/>
      <c r="F317" s="26" t="s">
        <v>7</v>
      </c>
    </row>
    <row r="318" spans="1:102" x14ac:dyDescent="0.25">
      <c r="A318" s="33">
        <v>2.2245115885816305E-2</v>
      </c>
      <c r="B318"/>
      <c r="C318"/>
      <c r="D318"/>
      <c r="E318"/>
      <c r="F318" s="26" t="s">
        <v>7</v>
      </c>
      <c r="CW318" s="26" t="s">
        <v>8</v>
      </c>
    </row>
    <row r="319" spans="1:102" x14ac:dyDescent="0.25">
      <c r="A319" s="33">
        <v>2.1185824653158377E-2</v>
      </c>
      <c r="B319"/>
      <c r="C319"/>
      <c r="D319"/>
      <c r="E319"/>
      <c r="F319" s="26" t="s">
        <v>7</v>
      </c>
      <c r="CW319" s="26" t="s">
        <v>8</v>
      </c>
      <c r="CX319" s="26" t="s">
        <v>7</v>
      </c>
    </row>
    <row r="320" spans="1:102" x14ac:dyDescent="0.25">
      <c r="A320" s="33">
        <v>2.0176975860150829E-2</v>
      </c>
      <c r="B320"/>
      <c r="C320"/>
      <c r="D320"/>
      <c r="E320"/>
      <c r="F320" s="26" t="s">
        <v>7</v>
      </c>
      <c r="CW320" s="26" t="s">
        <v>8</v>
      </c>
      <c r="CX320" s="26" t="s">
        <v>7</v>
      </c>
    </row>
    <row r="321" spans="1:122" x14ac:dyDescent="0.25">
      <c r="A321" s="33">
        <v>1.9216167485857926E-2</v>
      </c>
      <c r="B321"/>
      <c r="C321"/>
      <c r="D321"/>
      <c r="E321"/>
      <c r="F321" s="26" t="s">
        <v>7</v>
      </c>
      <c r="CW321" s="26" t="s">
        <v>8</v>
      </c>
      <c r="CX321" s="26" t="s">
        <v>7</v>
      </c>
    </row>
    <row r="322" spans="1:122" x14ac:dyDescent="0.25">
      <c r="A322" s="33">
        <v>1.8301111891293256E-2</v>
      </c>
      <c r="B322"/>
      <c r="C322"/>
      <c r="D322"/>
      <c r="E322"/>
      <c r="F322" s="26" t="s">
        <v>7</v>
      </c>
      <c r="CU322" s="26" t="s">
        <v>8</v>
      </c>
      <c r="CW322" s="26" t="s">
        <v>8</v>
      </c>
      <c r="CX322" s="26" t="s">
        <v>7</v>
      </c>
    </row>
    <row r="323" spans="1:122" x14ac:dyDescent="0.25">
      <c r="A323" s="33">
        <v>1.7429630372660238E-2</v>
      </c>
      <c r="B323"/>
      <c r="C323"/>
      <c r="D323"/>
      <c r="E323"/>
      <c r="F323" s="26" t="s">
        <v>7</v>
      </c>
      <c r="CU323" s="26" t="s">
        <v>8</v>
      </c>
      <c r="CV323" s="26" t="s">
        <v>7</v>
      </c>
      <c r="CW323" s="26" t="s">
        <v>8</v>
      </c>
      <c r="CX323" s="26" t="s">
        <v>7</v>
      </c>
      <c r="CY323" s="26" t="s">
        <v>8</v>
      </c>
    </row>
    <row r="324" spans="1:122" x14ac:dyDescent="0.25">
      <c r="A324" s="33">
        <v>1.6599647973962125E-2</v>
      </c>
      <c r="B324"/>
      <c r="C324"/>
      <c r="D324"/>
      <c r="E324"/>
      <c r="F324" s="26" t="s">
        <v>7</v>
      </c>
      <c r="CU324" s="26" t="s">
        <v>8</v>
      </c>
      <c r="CV324" s="26" t="s">
        <v>7</v>
      </c>
      <c r="CW324" s="26" t="s">
        <v>8</v>
      </c>
      <c r="CX324" s="26" t="s">
        <v>7</v>
      </c>
      <c r="CY324" s="26" t="s">
        <v>8</v>
      </c>
      <c r="CZ324" s="26" t="s">
        <v>7</v>
      </c>
    </row>
    <row r="325" spans="1:122" x14ac:dyDescent="0.25">
      <c r="A325" s="33">
        <v>1.580918854663059E-2</v>
      </c>
      <c r="B325"/>
      <c r="C325"/>
      <c r="D325"/>
      <c r="E325"/>
      <c r="F325" s="26" t="s">
        <v>7</v>
      </c>
      <c r="CU325" s="26" t="s">
        <v>8</v>
      </c>
      <c r="CV325" s="26" t="s">
        <v>7</v>
      </c>
      <c r="CX325" s="26" t="s">
        <v>7</v>
      </c>
      <c r="CY325" s="26" t="s">
        <v>8</v>
      </c>
      <c r="CZ325" s="26" t="s">
        <v>7</v>
      </c>
    </row>
    <row r="326" spans="1:122" x14ac:dyDescent="0.25">
      <c r="A326" s="33">
        <v>1.5056370044410079E-2</v>
      </c>
      <c r="B326"/>
      <c r="C326"/>
      <c r="D326"/>
      <c r="E326"/>
      <c r="F326" s="26" t="s">
        <v>7</v>
      </c>
      <c r="CU326" s="26" t="s">
        <v>8</v>
      </c>
      <c r="CX326" s="26" t="s">
        <v>7</v>
      </c>
      <c r="CY326" s="26" t="s">
        <v>8</v>
      </c>
      <c r="CZ326" s="26" t="s">
        <v>7</v>
      </c>
    </row>
    <row r="327" spans="1:122" x14ac:dyDescent="0.25">
      <c r="A327" s="33">
        <v>1.4339400042295308E-2</v>
      </c>
      <c r="B327"/>
      <c r="C327"/>
      <c r="D327"/>
      <c r="E327"/>
      <c r="F327" s="26" t="s">
        <v>7</v>
      </c>
      <c r="CO327" s="26" t="s">
        <v>8</v>
      </c>
      <c r="CS327" s="26" t="s">
        <v>8</v>
      </c>
      <c r="CU327" s="26" t="s">
        <v>8</v>
      </c>
      <c r="CX327" s="26" t="s">
        <v>7</v>
      </c>
      <c r="CY327" s="26" t="s">
        <v>8</v>
      </c>
      <c r="CZ327" s="26" t="s">
        <v>7</v>
      </c>
    </row>
    <row r="328" spans="1:122" x14ac:dyDescent="0.25">
      <c r="A328" s="33">
        <v>1.365657146885267E-2</v>
      </c>
      <c r="B328"/>
      <c r="C328"/>
      <c r="D328"/>
      <c r="E328"/>
      <c r="F328" s="26" t="s">
        <v>7</v>
      </c>
      <c r="CO328" s="26" t="s">
        <v>8</v>
      </c>
      <c r="CP328" s="26" t="s">
        <v>7</v>
      </c>
      <c r="CS328" s="26" t="s">
        <v>8</v>
      </c>
      <c r="CT328" s="26" t="s">
        <v>7</v>
      </c>
      <c r="CU328" s="26" t="s">
        <v>8</v>
      </c>
      <c r="CX328" s="26" t="s">
        <v>7</v>
      </c>
      <c r="CZ328" s="26" t="s">
        <v>7</v>
      </c>
      <c r="DC328" s="26" t="s">
        <v>8</v>
      </c>
    </row>
    <row r="329" spans="1:122" x14ac:dyDescent="0.25">
      <c r="A329" s="33">
        <v>1.3006258541764442E-2</v>
      </c>
      <c r="B329"/>
      <c r="C329"/>
      <c r="D329"/>
      <c r="E329"/>
      <c r="F329" s="26" t="s">
        <v>7</v>
      </c>
      <c r="CO329" s="26" t="s">
        <v>8</v>
      </c>
      <c r="CP329" s="26" t="s">
        <v>7</v>
      </c>
      <c r="CS329" s="26" t="s">
        <v>8</v>
      </c>
      <c r="CT329" s="26" t="s">
        <v>7</v>
      </c>
      <c r="CU329" s="26" t="s">
        <v>8</v>
      </c>
      <c r="CZ329" s="26" t="s">
        <v>7</v>
      </c>
      <c r="DC329" s="26" t="s">
        <v>8</v>
      </c>
      <c r="DD329" s="26" t="s">
        <v>7</v>
      </c>
    </row>
    <row r="330" spans="1:122" x14ac:dyDescent="0.25">
      <c r="A330" s="33">
        <v>1.2386912896918512E-2</v>
      </c>
      <c r="B330"/>
      <c r="C330"/>
      <c r="D330"/>
      <c r="E330"/>
      <c r="F330" s="26" t="s">
        <v>7</v>
      </c>
      <c r="CO330" s="26" t="s">
        <v>8</v>
      </c>
      <c r="CP330" s="26" t="s">
        <v>7</v>
      </c>
      <c r="CS330" s="26" t="s">
        <v>8</v>
      </c>
      <c r="CT330" s="26" t="s">
        <v>7</v>
      </c>
      <c r="CU330" s="26" t="s">
        <v>8</v>
      </c>
      <c r="CZ330" s="26" t="s">
        <v>7</v>
      </c>
      <c r="DA330" s="26" t="s">
        <v>8</v>
      </c>
      <c r="DC330" s="26" t="s">
        <v>8</v>
      </c>
      <c r="DD330" s="26" t="s">
        <v>7</v>
      </c>
      <c r="DK330" s="26" t="s">
        <v>8</v>
      </c>
    </row>
    <row r="331" spans="1:122" x14ac:dyDescent="0.25">
      <c r="A331" s="33">
        <v>1.179705990182715E-2</v>
      </c>
      <c r="B331"/>
      <c r="C331"/>
      <c r="D331"/>
      <c r="E331"/>
      <c r="F331" s="26" t="s">
        <v>7</v>
      </c>
      <c r="CO331" s="26" t="s">
        <v>8</v>
      </c>
      <c r="CP331" s="26" t="s">
        <v>7</v>
      </c>
      <c r="CS331" s="26" t="s">
        <v>8</v>
      </c>
      <c r="CT331" s="26" t="s">
        <v>7</v>
      </c>
      <c r="CZ331" s="26" t="s">
        <v>7</v>
      </c>
      <c r="DA331" s="26" t="s">
        <v>8</v>
      </c>
      <c r="DB331" s="26" t="s">
        <v>7</v>
      </c>
      <c r="DC331" s="26" t="s">
        <v>8</v>
      </c>
      <c r="DD331" s="26" t="s">
        <v>7</v>
      </c>
      <c r="DK331" s="26" t="s">
        <v>8</v>
      </c>
      <c r="DL331" s="26" t="s">
        <v>7</v>
      </c>
      <c r="DM331" s="34" t="s">
        <v>8</v>
      </c>
    </row>
    <row r="332" spans="1:122" x14ac:dyDescent="0.25">
      <c r="A332" s="33">
        <v>1.1235295144597281E-2</v>
      </c>
      <c r="B332"/>
      <c r="C332"/>
      <c r="D332"/>
      <c r="E332"/>
      <c r="F332" s="26" t="s">
        <v>7</v>
      </c>
      <c r="CO332" s="26" t="s">
        <v>8</v>
      </c>
      <c r="CP332" s="26" t="s">
        <v>7</v>
      </c>
      <c r="CQ332" s="26" t="s">
        <v>8</v>
      </c>
      <c r="CS332" s="26" t="s">
        <v>8</v>
      </c>
      <c r="CZ332" s="26" t="s">
        <v>7</v>
      </c>
      <c r="DA332" s="26" t="s">
        <v>8</v>
      </c>
      <c r="DB332" s="26" t="s">
        <v>7</v>
      </c>
      <c r="DC332" s="26" t="s">
        <v>8</v>
      </c>
      <c r="DD332" s="26" t="s">
        <v>7</v>
      </c>
      <c r="DK332" s="26" t="s">
        <v>8</v>
      </c>
      <c r="DL332" s="26" t="s">
        <v>7</v>
      </c>
      <c r="DM332" s="26" t="s">
        <v>8</v>
      </c>
      <c r="DN332" s="34" t="s">
        <v>7</v>
      </c>
    </row>
    <row r="333" spans="1:122" x14ac:dyDescent="0.25">
      <c r="A333" s="33">
        <v>1.0700281090092644E-2</v>
      </c>
      <c r="B333"/>
      <c r="C333"/>
      <c r="D333"/>
      <c r="E333"/>
      <c r="F333" s="26" t="s">
        <v>7</v>
      </c>
      <c r="CO333" s="26" t="s">
        <v>8</v>
      </c>
      <c r="CP333" s="26" t="s">
        <v>7</v>
      </c>
      <c r="CQ333" s="26" t="s">
        <v>8</v>
      </c>
      <c r="CR333" s="26" t="s">
        <v>7</v>
      </c>
      <c r="CS333" s="26" t="s">
        <v>8</v>
      </c>
      <c r="CZ333" s="26" t="s">
        <v>7</v>
      </c>
      <c r="DB333" s="26" t="s">
        <v>7</v>
      </c>
      <c r="DD333" s="26" t="s">
        <v>7</v>
      </c>
      <c r="DE333" s="26" t="s">
        <v>8</v>
      </c>
      <c r="DK333" s="26" t="s">
        <v>8</v>
      </c>
      <c r="DL333" s="26" t="s">
        <v>7</v>
      </c>
      <c r="DM333" s="26" t="s">
        <v>8</v>
      </c>
      <c r="DN333" s="26" t="s">
        <v>7</v>
      </c>
      <c r="DO333" s="34"/>
    </row>
    <row r="334" spans="1:122" x14ac:dyDescent="0.25">
      <c r="A334" s="33">
        <v>1.0190743895326324E-2</v>
      </c>
      <c r="B334"/>
      <c r="C334"/>
      <c r="D334"/>
      <c r="E334"/>
      <c r="F334" s="26" t="s">
        <v>7</v>
      </c>
      <c r="CO334" s="26" t="s">
        <v>8</v>
      </c>
      <c r="CP334" s="26" t="s">
        <v>7</v>
      </c>
      <c r="CQ334" s="26" t="s">
        <v>8</v>
      </c>
      <c r="CR334" s="26" t="s">
        <v>7</v>
      </c>
      <c r="CS334" s="26" t="s">
        <v>8</v>
      </c>
      <c r="DD334" s="26" t="s">
        <v>7</v>
      </c>
      <c r="DE334" s="26" t="s">
        <v>8</v>
      </c>
      <c r="DF334" s="26" t="s">
        <v>7</v>
      </c>
      <c r="DK334" s="26" t="s">
        <v>8</v>
      </c>
      <c r="DL334" s="26" t="s">
        <v>7</v>
      </c>
      <c r="DN334" s="26" t="s">
        <v>7</v>
      </c>
      <c r="DP334" s="34"/>
    </row>
    <row r="335" spans="1:122" x14ac:dyDescent="0.25">
      <c r="A335" s="33">
        <v>9.7054703765012563E-3</v>
      </c>
      <c r="B335"/>
      <c r="C335"/>
      <c r="D335"/>
      <c r="E335"/>
      <c r="F335" s="26" t="s">
        <v>7</v>
      </c>
      <c r="CO335" s="26" t="s">
        <v>8</v>
      </c>
      <c r="CP335" s="26" t="s">
        <v>7</v>
      </c>
      <c r="CQ335" s="26" t="s">
        <v>8</v>
      </c>
      <c r="CR335" s="26" t="s">
        <v>7</v>
      </c>
      <c r="DD335" s="26" t="s">
        <v>7</v>
      </c>
      <c r="DE335" s="26" t="s">
        <v>8</v>
      </c>
      <c r="DF335" s="26" t="s">
        <v>7</v>
      </c>
      <c r="DG335" s="26" t="s">
        <v>8</v>
      </c>
      <c r="DK335" s="26" t="s">
        <v>8</v>
      </c>
      <c r="DN335" s="26" t="s">
        <v>7</v>
      </c>
      <c r="DQ335" s="34"/>
    </row>
    <row r="336" spans="1:122" x14ac:dyDescent="0.25">
      <c r="A336" s="33">
        <v>9.2433051204773835E-3</v>
      </c>
      <c r="B336"/>
      <c r="C336"/>
      <c r="D336"/>
      <c r="E336"/>
      <c r="F336" s="26" t="s">
        <v>7</v>
      </c>
      <c r="CO336" s="26" t="s">
        <v>8</v>
      </c>
      <c r="CP336" s="26" t="s">
        <v>7</v>
      </c>
      <c r="DD336" s="26" t="s">
        <v>7</v>
      </c>
      <c r="DE336" s="26" t="s">
        <v>8</v>
      </c>
      <c r="DF336" s="26" t="s">
        <v>7</v>
      </c>
      <c r="DG336" s="26" t="s">
        <v>8</v>
      </c>
      <c r="DH336" s="26" t="s">
        <v>7</v>
      </c>
      <c r="DI336" s="26" t="s">
        <v>8</v>
      </c>
      <c r="DK336" s="26" t="s">
        <v>8</v>
      </c>
      <c r="DN336" s="26" t="s">
        <v>7</v>
      </c>
      <c r="DR336" s="34"/>
    </row>
    <row r="337" spans="1:178" x14ac:dyDescent="0.25">
      <c r="A337" s="33">
        <v>8.8031477337879808E-3</v>
      </c>
      <c r="B337"/>
      <c r="C337"/>
      <c r="D337"/>
      <c r="E337"/>
      <c r="F337" s="26" t="s">
        <v>7</v>
      </c>
      <c r="CO337" s="26" t="s">
        <v>8</v>
      </c>
      <c r="DD337" s="26" t="s">
        <v>7</v>
      </c>
      <c r="DE337" s="26" t="s">
        <v>8</v>
      </c>
      <c r="DF337" s="26" t="s">
        <v>7</v>
      </c>
      <c r="DG337" s="26" t="s">
        <v>8</v>
      </c>
      <c r="DH337" s="26" t="s">
        <v>7</v>
      </c>
      <c r="DI337" s="26" t="s">
        <v>8</v>
      </c>
      <c r="DJ337" s="26" t="s">
        <v>7</v>
      </c>
      <c r="DK337" s="26" t="s">
        <v>8</v>
      </c>
      <c r="DN337" s="26" t="s">
        <v>7</v>
      </c>
      <c r="DS337" s="34"/>
      <c r="EM337" s="26" t="s">
        <v>8</v>
      </c>
    </row>
    <row r="338" spans="1:178" x14ac:dyDescent="0.25">
      <c r="A338" s="33">
        <v>8.3839502226552166E-3</v>
      </c>
      <c r="B338"/>
      <c r="C338"/>
      <c r="D338"/>
      <c r="E338"/>
      <c r="F338" s="26" t="s">
        <v>7</v>
      </c>
      <c r="CO338" s="26" t="s">
        <v>8</v>
      </c>
      <c r="DD338" s="26" t="s">
        <v>7</v>
      </c>
      <c r="DE338" s="26" t="s">
        <v>8</v>
      </c>
      <c r="DF338" s="26" t="s">
        <v>7</v>
      </c>
      <c r="DG338" s="26" t="s">
        <v>8</v>
      </c>
      <c r="DH338" s="26" t="s">
        <v>7</v>
      </c>
      <c r="DI338" s="26" t="s">
        <v>8</v>
      </c>
      <c r="DJ338" s="26" t="s">
        <v>7</v>
      </c>
      <c r="DK338" s="26" t="s">
        <v>8</v>
      </c>
      <c r="DN338" s="26" t="s">
        <v>7</v>
      </c>
      <c r="DT338" s="34"/>
      <c r="EM338" s="26" t="s">
        <v>8</v>
      </c>
      <c r="EN338" s="26" t="s">
        <v>7</v>
      </c>
      <c r="FI338" s="26" t="s">
        <v>8</v>
      </c>
    </row>
    <row r="339" spans="1:178" x14ac:dyDescent="0.25">
      <c r="A339" s="33">
        <v>7.9847144977668698E-3</v>
      </c>
      <c r="B339"/>
      <c r="C339"/>
      <c r="D339"/>
      <c r="E339"/>
      <c r="F339" s="26" t="s">
        <v>7</v>
      </c>
      <c r="CO339" s="26" t="s">
        <v>8</v>
      </c>
      <c r="DD339" s="26" t="s">
        <v>7</v>
      </c>
      <c r="DE339" s="26" t="s">
        <v>8</v>
      </c>
      <c r="DF339" s="26" t="s">
        <v>7</v>
      </c>
      <c r="DH339" s="26" t="s">
        <v>7</v>
      </c>
      <c r="DI339" s="26" t="s">
        <v>8</v>
      </c>
      <c r="DJ339" s="26" t="s">
        <v>7</v>
      </c>
      <c r="DK339" s="26" t="s">
        <v>8</v>
      </c>
      <c r="DN339" s="26" t="s">
        <v>7</v>
      </c>
      <c r="DO339" s="26" t="s">
        <v>8</v>
      </c>
      <c r="DU339" s="34"/>
      <c r="EM339" s="26" t="s">
        <v>8</v>
      </c>
      <c r="EN339" s="26" t="s">
        <v>7</v>
      </c>
      <c r="FI339" s="26" t="s">
        <v>8</v>
      </c>
      <c r="FJ339" s="26" t="s">
        <v>7</v>
      </c>
    </row>
    <row r="340" spans="1:178" x14ac:dyDescent="0.25">
      <c r="A340" s="33">
        <v>7.6044899978732058E-3</v>
      </c>
      <c r="B340"/>
      <c r="C340"/>
      <c r="D340"/>
      <c r="E340"/>
      <c r="F340" s="26" t="s">
        <v>7</v>
      </c>
      <c r="CO340" s="26" t="s">
        <v>8</v>
      </c>
      <c r="DD340" s="26" t="s">
        <v>7</v>
      </c>
      <c r="DH340" s="26" t="s">
        <v>7</v>
      </c>
      <c r="DI340" s="26" t="s">
        <v>8</v>
      </c>
      <c r="DJ340" s="26" t="s">
        <v>7</v>
      </c>
      <c r="DK340" s="26" t="s">
        <v>8</v>
      </c>
      <c r="DN340" s="26" t="s">
        <v>7</v>
      </c>
      <c r="DO340" s="26" t="s">
        <v>8</v>
      </c>
      <c r="DP340" s="26" t="s">
        <v>7</v>
      </c>
      <c r="DS340" s="26" t="s">
        <v>8</v>
      </c>
      <c r="DV340" s="34"/>
      <c r="EM340" s="26" t="s">
        <v>8</v>
      </c>
      <c r="EN340" s="26" t="s">
        <v>7</v>
      </c>
      <c r="EO340" s="26" t="s">
        <v>8</v>
      </c>
      <c r="EQ340" s="26" t="s">
        <v>8</v>
      </c>
      <c r="FI340" s="26" t="s">
        <v>8</v>
      </c>
      <c r="FJ340" s="26" t="s">
        <v>7</v>
      </c>
      <c r="FK340" s="26" t="s">
        <v>8</v>
      </c>
    </row>
    <row r="341" spans="1:178" x14ac:dyDescent="0.25">
      <c r="A341" s="33">
        <v>7.2423714265459072E-3</v>
      </c>
      <c r="B341"/>
      <c r="C341"/>
      <c r="D341"/>
      <c r="E341"/>
      <c r="F341" s="26" t="s">
        <v>7</v>
      </c>
      <c r="CO341" s="26" t="s">
        <v>8</v>
      </c>
      <c r="DH341" s="26" t="s">
        <v>7</v>
      </c>
      <c r="DI341" s="26" t="s">
        <v>8</v>
      </c>
      <c r="DJ341" s="26" t="s">
        <v>7</v>
      </c>
      <c r="DN341" s="26" t="s">
        <v>7</v>
      </c>
      <c r="DO341" s="26" t="s">
        <v>8</v>
      </c>
      <c r="DP341" s="26" t="s">
        <v>7</v>
      </c>
      <c r="DQ341" s="26" t="s">
        <v>8</v>
      </c>
      <c r="DS341" s="26" t="s">
        <v>8</v>
      </c>
      <c r="DT341" s="26" t="s">
        <v>7</v>
      </c>
      <c r="DW341" s="34"/>
      <c r="EM341" s="26" t="s">
        <v>8</v>
      </c>
      <c r="EN341" s="26" t="s">
        <v>7</v>
      </c>
      <c r="EO341" s="26" t="s">
        <v>8</v>
      </c>
      <c r="EP341" s="26" t="s">
        <v>7</v>
      </c>
      <c r="EQ341" s="26" t="s">
        <v>8</v>
      </c>
      <c r="ER341" s="26" t="s">
        <v>7</v>
      </c>
      <c r="ES341" s="26" t="s">
        <v>8</v>
      </c>
      <c r="FI341" s="26" t="s">
        <v>8</v>
      </c>
      <c r="FJ341" s="26" t="s">
        <v>7</v>
      </c>
      <c r="FK341" s="26" t="s">
        <v>8</v>
      </c>
      <c r="FL341" s="26" t="s">
        <v>7</v>
      </c>
    </row>
    <row r="342" spans="1:178" x14ac:dyDescent="0.25">
      <c r="A342" s="33">
        <v>6.8974965967103846E-3</v>
      </c>
      <c r="B342"/>
      <c r="C342"/>
      <c r="D342"/>
      <c r="E342"/>
      <c r="F342" s="26" t="s">
        <v>7</v>
      </c>
      <c r="CO342" s="26" t="s">
        <v>8</v>
      </c>
      <c r="DH342" s="26" t="s">
        <v>7</v>
      </c>
      <c r="DI342" s="26" t="s">
        <v>8</v>
      </c>
      <c r="DN342" s="26" t="s">
        <v>7</v>
      </c>
      <c r="DP342" s="26" t="s">
        <v>7</v>
      </c>
      <c r="DQ342" s="26" t="s">
        <v>8</v>
      </c>
      <c r="DR342" s="26" t="s">
        <v>7</v>
      </c>
      <c r="DS342" s="26" t="s">
        <v>8</v>
      </c>
      <c r="DT342" s="26" t="s">
        <v>7</v>
      </c>
      <c r="DX342" s="34"/>
      <c r="EM342" s="26" t="s">
        <v>8</v>
      </c>
      <c r="EN342" s="26" t="s">
        <v>7</v>
      </c>
      <c r="EO342" s="26" t="s">
        <v>8</v>
      </c>
      <c r="EP342" s="26" t="s">
        <v>7</v>
      </c>
      <c r="EQ342" s="26" t="s">
        <v>8</v>
      </c>
      <c r="ER342" s="26" t="s">
        <v>7</v>
      </c>
      <c r="ES342" s="26" t="s">
        <v>8</v>
      </c>
      <c r="ET342" s="26" t="s">
        <v>7</v>
      </c>
      <c r="FC342" s="26" t="s">
        <v>8</v>
      </c>
      <c r="FI342" s="26" t="s">
        <v>8</v>
      </c>
      <c r="FJ342" s="26" t="s">
        <v>7</v>
      </c>
      <c r="FK342" s="26" t="s">
        <v>8</v>
      </c>
      <c r="FL342" s="26" t="s">
        <v>7</v>
      </c>
    </row>
    <row r="343" spans="1:178" x14ac:dyDescent="0.25">
      <c r="A343" s="33">
        <v>6.5690443778194116E-3</v>
      </c>
      <c r="B343"/>
      <c r="C343"/>
      <c r="D343"/>
      <c r="E343"/>
      <c r="F343" s="26" t="s">
        <v>7</v>
      </c>
      <c r="CO343" s="26" t="s">
        <v>8</v>
      </c>
      <c r="DH343" s="26" t="s">
        <v>7</v>
      </c>
      <c r="DI343" s="26" t="s">
        <v>8</v>
      </c>
      <c r="DP343" s="26" t="s">
        <v>7</v>
      </c>
      <c r="DQ343" s="26" t="s">
        <v>8</v>
      </c>
      <c r="DR343" s="26" t="s">
        <v>7</v>
      </c>
      <c r="DS343" s="26" t="s">
        <v>8</v>
      </c>
      <c r="DT343" s="26" t="s">
        <v>7</v>
      </c>
      <c r="DY343" s="34"/>
      <c r="EM343" s="26" t="s">
        <v>8</v>
      </c>
      <c r="EN343" s="26" t="s">
        <v>7</v>
      </c>
      <c r="EO343" s="26" t="s">
        <v>8</v>
      </c>
      <c r="EP343" s="26" t="s">
        <v>7</v>
      </c>
      <c r="ER343" s="26" t="s">
        <v>7</v>
      </c>
      <c r="ES343" s="26" t="s">
        <v>8</v>
      </c>
      <c r="ET343" s="26" t="s">
        <v>7</v>
      </c>
      <c r="FC343" s="26" t="s">
        <v>8</v>
      </c>
      <c r="FD343" s="26" t="s">
        <v>7</v>
      </c>
      <c r="FE343" s="26" t="s">
        <v>8</v>
      </c>
      <c r="FG343" s="26" t="s">
        <v>8</v>
      </c>
      <c r="FI343" s="26" t="s">
        <v>8</v>
      </c>
      <c r="FJ343" s="26" t="s">
        <v>7</v>
      </c>
      <c r="FK343" s="26" t="s">
        <v>8</v>
      </c>
      <c r="FL343" s="26" t="s">
        <v>7</v>
      </c>
    </row>
    <row r="344" spans="1:178" x14ac:dyDescent="0.25">
      <c r="A344" s="33">
        <v>6.2562327407803897E-3</v>
      </c>
      <c r="B344"/>
      <c r="C344"/>
      <c r="D344"/>
      <c r="E344"/>
      <c r="F344" s="26" t="s">
        <v>7</v>
      </c>
      <c r="CO344" s="26" t="s">
        <v>8</v>
      </c>
      <c r="DH344" s="26" t="s">
        <v>7</v>
      </c>
      <c r="DI344" s="26" t="s">
        <v>8</v>
      </c>
      <c r="DP344" s="26" t="s">
        <v>7</v>
      </c>
      <c r="DQ344" s="26" t="s">
        <v>8</v>
      </c>
      <c r="DR344" s="26" t="s">
        <v>7</v>
      </c>
      <c r="DT344" s="26" t="s">
        <v>7</v>
      </c>
      <c r="DZ344" s="34"/>
      <c r="EM344" s="26" t="s">
        <v>8</v>
      </c>
      <c r="EN344" s="26" t="s">
        <v>7</v>
      </c>
      <c r="EO344" s="26" t="s">
        <v>8</v>
      </c>
      <c r="ER344" s="26" t="s">
        <v>7</v>
      </c>
      <c r="ES344" s="26" t="s">
        <v>8</v>
      </c>
      <c r="ET344" s="26" t="s">
        <v>7</v>
      </c>
      <c r="FC344" s="26" t="s">
        <v>8</v>
      </c>
      <c r="FD344" s="26" t="s">
        <v>7</v>
      </c>
      <c r="FE344" s="26" t="s">
        <v>8</v>
      </c>
      <c r="FF344" s="26" t="s">
        <v>7</v>
      </c>
      <c r="FG344" s="26" t="s">
        <v>8</v>
      </c>
      <c r="FH344" s="26" t="s">
        <v>7</v>
      </c>
      <c r="FI344" s="26" t="s">
        <v>8</v>
      </c>
      <c r="FJ344" s="26" t="s">
        <v>7</v>
      </c>
      <c r="FK344" s="26" t="s">
        <v>8</v>
      </c>
      <c r="FL344" s="26" t="s">
        <v>7</v>
      </c>
      <c r="FM344" s="26" t="s">
        <v>8</v>
      </c>
    </row>
    <row r="345" spans="1:178" x14ac:dyDescent="0.25">
      <c r="A345" s="33">
        <v>5.9583168959813212E-3</v>
      </c>
      <c r="B345"/>
      <c r="C345"/>
      <c r="D345"/>
      <c r="E345"/>
      <c r="F345" s="26" t="s">
        <v>7</v>
      </c>
      <c r="CO345" s="26" t="s">
        <v>8</v>
      </c>
      <c r="DH345" s="26" t="s">
        <v>7</v>
      </c>
      <c r="DI345" s="26" t="s">
        <v>8</v>
      </c>
      <c r="DP345" s="26" t="s">
        <v>7</v>
      </c>
      <c r="DQ345" s="26" t="s">
        <v>8</v>
      </c>
      <c r="DT345" s="26" t="s">
        <v>7</v>
      </c>
      <c r="EA345" s="34"/>
      <c r="EM345" s="26" t="s">
        <v>8</v>
      </c>
      <c r="EN345" s="26" t="s">
        <v>7</v>
      </c>
      <c r="ER345" s="26" t="s">
        <v>7</v>
      </c>
      <c r="ES345" s="26" t="s">
        <v>8</v>
      </c>
      <c r="ET345" s="26" t="s">
        <v>7</v>
      </c>
      <c r="FC345" s="26" t="s">
        <v>8</v>
      </c>
      <c r="FD345" s="26" t="s">
        <v>7</v>
      </c>
      <c r="FE345" s="26" t="s">
        <v>8</v>
      </c>
      <c r="FF345" s="26" t="s">
        <v>7</v>
      </c>
      <c r="FG345" s="26" t="s">
        <v>8</v>
      </c>
      <c r="FH345" s="26" t="s">
        <v>7</v>
      </c>
      <c r="FI345" s="26" t="s">
        <v>8</v>
      </c>
      <c r="FJ345" s="26" t="s">
        <v>7</v>
      </c>
      <c r="FL345" s="26" t="s">
        <v>7</v>
      </c>
      <c r="FM345" s="26" t="s">
        <v>8</v>
      </c>
      <c r="FN345" s="26" t="s">
        <v>7</v>
      </c>
    </row>
    <row r="346" spans="1:178" x14ac:dyDescent="0.25">
      <c r="A346" s="33">
        <v>5.6745875199822084E-3</v>
      </c>
      <c r="B346"/>
      <c r="C346"/>
      <c r="D346"/>
      <c r="E346"/>
      <c r="F346" s="26" t="s">
        <v>7</v>
      </c>
      <c r="CO346" s="26" t="s">
        <v>8</v>
      </c>
      <c r="DH346" s="26" t="s">
        <v>7</v>
      </c>
      <c r="DI346" s="26" t="s">
        <v>8</v>
      </c>
      <c r="DP346" s="26" t="s">
        <v>7</v>
      </c>
      <c r="DT346" s="26" t="s">
        <v>7</v>
      </c>
      <c r="EB346" s="34"/>
      <c r="EM346" s="26" t="s">
        <v>8</v>
      </c>
      <c r="ER346" s="26" t="s">
        <v>7</v>
      </c>
      <c r="ET346" s="26" t="s">
        <v>7</v>
      </c>
      <c r="FC346" s="26" t="s">
        <v>8</v>
      </c>
      <c r="FD346" s="26" t="s">
        <v>7</v>
      </c>
      <c r="FE346" s="26" t="s">
        <v>8</v>
      </c>
      <c r="FF346" s="26" t="s">
        <v>7</v>
      </c>
      <c r="FH346" s="26" t="s">
        <v>7</v>
      </c>
      <c r="FI346" s="26" t="s">
        <v>8</v>
      </c>
      <c r="FL346" s="26" t="s">
        <v>7</v>
      </c>
      <c r="FM346" s="26" t="s">
        <v>8</v>
      </c>
      <c r="FN346" s="26" t="s">
        <v>7</v>
      </c>
    </row>
    <row r="347" spans="1:178" x14ac:dyDescent="0.25">
      <c r="A347" s="33">
        <v>5.4043690666497205E-3</v>
      </c>
      <c r="B347"/>
      <c r="C347"/>
      <c r="D347"/>
      <c r="E347"/>
      <c r="F347" s="26" t="s">
        <v>7</v>
      </c>
      <c r="CO347" s="26" t="s">
        <v>8</v>
      </c>
      <c r="DH347" s="26" t="s">
        <v>7</v>
      </c>
      <c r="DI347" s="26" t="s">
        <v>8</v>
      </c>
      <c r="DT347" s="26" t="s">
        <v>7</v>
      </c>
      <c r="EC347" s="34"/>
      <c r="EM347" s="26" t="s">
        <v>8</v>
      </c>
      <c r="ET347" s="26" t="s">
        <v>7</v>
      </c>
      <c r="EU347" s="26" t="s">
        <v>8</v>
      </c>
      <c r="FC347" s="26" t="s">
        <v>8</v>
      </c>
      <c r="FD347" s="26" t="s">
        <v>7</v>
      </c>
      <c r="FE347" s="26" t="s">
        <v>8</v>
      </c>
      <c r="FH347" s="26" t="s">
        <v>7</v>
      </c>
      <c r="FI347" s="26" t="s">
        <v>8</v>
      </c>
      <c r="FL347" s="26" t="s">
        <v>7</v>
      </c>
      <c r="FN347" s="26" t="s">
        <v>7</v>
      </c>
      <c r="FO347" s="26" t="s">
        <v>8</v>
      </c>
      <c r="FU347" s="26" t="s">
        <v>8</v>
      </c>
    </row>
    <row r="348" spans="1:178" x14ac:dyDescent="0.25">
      <c r="A348" s="33">
        <v>5.1470181587140174E-3</v>
      </c>
      <c r="B348"/>
      <c r="C348"/>
      <c r="D348"/>
      <c r="E348"/>
      <c r="F348" s="26" t="s">
        <v>7</v>
      </c>
      <c r="CO348" s="26" t="s">
        <v>8</v>
      </c>
      <c r="DH348" s="26" t="s">
        <v>7</v>
      </c>
      <c r="DT348" s="26" t="s">
        <v>7</v>
      </c>
      <c r="ED348" s="34"/>
      <c r="EM348" s="26" t="s">
        <v>8</v>
      </c>
      <c r="ET348" s="26" t="s">
        <v>7</v>
      </c>
      <c r="EU348" s="26" t="s">
        <v>8</v>
      </c>
      <c r="EV348" s="26" t="s">
        <v>7</v>
      </c>
      <c r="EW348" s="26" t="s">
        <v>8</v>
      </c>
      <c r="FC348" s="26" t="s">
        <v>8</v>
      </c>
      <c r="FD348" s="26" t="s">
        <v>7</v>
      </c>
      <c r="FH348" s="26" t="s">
        <v>7</v>
      </c>
      <c r="FI348" s="26" t="s">
        <v>8</v>
      </c>
      <c r="FN348" s="26" t="s">
        <v>7</v>
      </c>
      <c r="FO348" s="26" t="s">
        <v>8</v>
      </c>
      <c r="FP348" s="26" t="s">
        <v>7</v>
      </c>
      <c r="FU348" s="26" t="s">
        <v>8</v>
      </c>
      <c r="FV348" s="26" t="s">
        <v>7</v>
      </c>
    </row>
    <row r="349" spans="1:178" x14ac:dyDescent="0.25">
      <c r="A349" s="33">
        <v>4.9019220559181099E-3</v>
      </c>
      <c r="B349"/>
      <c r="C349"/>
      <c r="D349"/>
      <c r="E349"/>
      <c r="F349" s="26" t="s">
        <v>7</v>
      </c>
      <c r="CO349" s="26" t="s">
        <v>8</v>
      </c>
      <c r="DT349" s="26" t="s">
        <v>7</v>
      </c>
      <c r="EE349" s="34"/>
      <c r="EM349" s="26" t="s">
        <v>8</v>
      </c>
      <c r="ET349" s="26" t="s">
        <v>7</v>
      </c>
      <c r="EU349" s="26" t="s">
        <v>8</v>
      </c>
      <c r="EV349" s="26" t="s">
        <v>7</v>
      </c>
      <c r="EW349" s="26" t="s">
        <v>8</v>
      </c>
      <c r="EX349" s="26" t="s">
        <v>7</v>
      </c>
      <c r="FC349" s="26" t="s">
        <v>8</v>
      </c>
      <c r="FH349" s="26" t="s">
        <v>7</v>
      </c>
      <c r="FN349" s="26" t="s">
        <v>7</v>
      </c>
      <c r="FO349" s="26" t="s">
        <v>8</v>
      </c>
      <c r="FP349" s="26" t="s">
        <v>7</v>
      </c>
      <c r="FU349" s="26" t="s">
        <v>8</v>
      </c>
      <c r="FV349" s="26" t="s">
        <v>7</v>
      </c>
    </row>
    <row r="350" spans="1:178" x14ac:dyDescent="0.25">
      <c r="A350" s="33">
        <v>4.6684971961124836E-3</v>
      </c>
      <c r="B350"/>
      <c r="C350"/>
      <c r="D350"/>
      <c r="E350"/>
      <c r="F350" s="26" t="s">
        <v>7</v>
      </c>
      <c r="CO350" s="26" t="s">
        <v>8</v>
      </c>
      <c r="DT350" s="26" t="s">
        <v>7</v>
      </c>
      <c r="DU350" s="26" t="s">
        <v>8</v>
      </c>
      <c r="DY350" s="26" t="s">
        <v>8</v>
      </c>
      <c r="EF350" s="34"/>
      <c r="EM350" s="26" t="s">
        <v>8</v>
      </c>
      <c r="ET350" s="26" t="s">
        <v>7</v>
      </c>
      <c r="EU350" s="26" t="s">
        <v>8</v>
      </c>
      <c r="EV350" s="26" t="s">
        <v>7</v>
      </c>
      <c r="EW350" s="26" t="s">
        <v>8</v>
      </c>
      <c r="EX350" s="26" t="s">
        <v>7</v>
      </c>
      <c r="FC350" s="26" t="s">
        <v>8</v>
      </c>
      <c r="FN350" s="26" t="s">
        <v>7</v>
      </c>
      <c r="FO350" s="26" t="s">
        <v>8</v>
      </c>
      <c r="FP350" s="26" t="s">
        <v>7</v>
      </c>
      <c r="FU350" s="26" t="s">
        <v>8</v>
      </c>
      <c r="FV350" s="26" t="s">
        <v>7</v>
      </c>
    </row>
    <row r="351" spans="1:178" x14ac:dyDescent="0.25">
      <c r="A351" s="33">
        <v>4.4461878058214112E-3</v>
      </c>
      <c r="B351"/>
      <c r="C351"/>
      <c r="D351"/>
      <c r="E351"/>
      <c r="F351" s="26" t="s">
        <v>7</v>
      </c>
      <c r="CO351" s="26" t="s">
        <v>8</v>
      </c>
      <c r="DT351" s="26" t="s">
        <v>7</v>
      </c>
      <c r="DU351" s="26" t="s">
        <v>8</v>
      </c>
      <c r="DV351" s="26" t="s">
        <v>7</v>
      </c>
      <c r="DY351" s="26" t="s">
        <v>8</v>
      </c>
      <c r="DZ351" s="26" t="s">
        <v>7</v>
      </c>
      <c r="EG351" s="34"/>
      <c r="EM351" s="26" t="s">
        <v>8</v>
      </c>
      <c r="ET351" s="26" t="s">
        <v>7</v>
      </c>
      <c r="EU351" s="26" t="s">
        <v>8</v>
      </c>
      <c r="EV351" s="26" t="s">
        <v>7</v>
      </c>
      <c r="EX351" s="26" t="s">
        <v>7</v>
      </c>
      <c r="FA351" s="26" t="s">
        <v>8</v>
      </c>
      <c r="FC351" s="26" t="s">
        <v>8</v>
      </c>
      <c r="FN351" s="26" t="s">
        <v>7</v>
      </c>
      <c r="FP351" s="26" t="s">
        <v>7</v>
      </c>
      <c r="FU351" s="26" t="s">
        <v>8</v>
      </c>
      <c r="FV351" s="26" t="s">
        <v>7</v>
      </c>
    </row>
    <row r="352" spans="1:178" x14ac:dyDescent="0.25">
      <c r="A352" s="33">
        <v>4.2344645769727711E-3</v>
      </c>
      <c r="B352"/>
      <c r="C352"/>
      <c r="D352"/>
      <c r="E352"/>
      <c r="F352" s="26" t="s">
        <v>7</v>
      </c>
      <c r="CO352" s="26" t="s">
        <v>8</v>
      </c>
      <c r="DT352" s="26" t="s">
        <v>7</v>
      </c>
      <c r="DU352" s="26" t="s">
        <v>8</v>
      </c>
      <c r="DV352" s="26" t="s">
        <v>7</v>
      </c>
      <c r="DY352" s="26" t="s">
        <v>8</v>
      </c>
      <c r="DZ352" s="26" t="s">
        <v>7</v>
      </c>
      <c r="EA352" s="26" t="s">
        <v>8</v>
      </c>
      <c r="EH352" s="34"/>
      <c r="EM352" s="26" t="s">
        <v>8</v>
      </c>
      <c r="ET352" s="26" t="s">
        <v>7</v>
      </c>
      <c r="EX352" s="26" t="s">
        <v>7</v>
      </c>
      <c r="EY352" s="26" t="s">
        <v>8</v>
      </c>
      <c r="FA352" s="26" t="s">
        <v>8</v>
      </c>
      <c r="FB352" s="26" t="s">
        <v>7</v>
      </c>
      <c r="FC352" s="26" t="s">
        <v>8</v>
      </c>
      <c r="FP352" s="26" t="s">
        <v>7</v>
      </c>
      <c r="FU352" s="26" t="s">
        <v>8</v>
      </c>
      <c r="FV352" s="26" t="s">
        <v>7</v>
      </c>
    </row>
    <row r="353" spans="1:183" x14ac:dyDescent="0.25">
      <c r="A353" s="33">
        <v>4.0328234066407329E-3</v>
      </c>
      <c r="B353"/>
      <c r="C353"/>
      <c r="D353"/>
      <c r="E353"/>
      <c r="F353" s="26" t="s">
        <v>7</v>
      </c>
      <c r="CO353" s="26" t="s">
        <v>8</v>
      </c>
      <c r="DT353" s="26" t="s">
        <v>7</v>
      </c>
      <c r="DU353" s="26" t="s">
        <v>8</v>
      </c>
      <c r="DV353" s="26" t="s">
        <v>7</v>
      </c>
      <c r="DY353" s="26" t="s">
        <v>8</v>
      </c>
      <c r="DZ353" s="26" t="s">
        <v>7</v>
      </c>
      <c r="EA353" s="26" t="s">
        <v>8</v>
      </c>
      <c r="EB353" s="26" t="s">
        <v>7</v>
      </c>
      <c r="EI353" s="34"/>
      <c r="EM353" s="26" t="s">
        <v>8</v>
      </c>
      <c r="EX353" s="26" t="s">
        <v>7</v>
      </c>
      <c r="EY353" s="26" t="s">
        <v>8</v>
      </c>
      <c r="EZ353" s="26" t="s">
        <v>7</v>
      </c>
      <c r="FA353" s="26" t="s">
        <v>8</v>
      </c>
      <c r="FB353" s="26" t="s">
        <v>7</v>
      </c>
      <c r="FC353" s="26" t="s">
        <v>8</v>
      </c>
      <c r="FP353" s="26" t="s">
        <v>7</v>
      </c>
      <c r="FQ353" s="26" t="s">
        <v>8</v>
      </c>
      <c r="FU353" s="26" t="s">
        <v>8</v>
      </c>
      <c r="FV353" s="26" t="s">
        <v>7</v>
      </c>
      <c r="FW353" s="26" t="s">
        <v>8</v>
      </c>
    </row>
    <row r="354" spans="1:183" x14ac:dyDescent="0.25">
      <c r="A354" s="33">
        <v>3.8407841968006963E-3</v>
      </c>
      <c r="B354"/>
      <c r="C354"/>
      <c r="D354"/>
      <c r="E354"/>
      <c r="F354" s="26" t="s">
        <v>7</v>
      </c>
      <c r="CM354" s="26" t="s">
        <v>8</v>
      </c>
      <c r="CO354" s="26" t="s">
        <v>8</v>
      </c>
      <c r="DT354" s="26" t="s">
        <v>7</v>
      </c>
      <c r="DU354" s="26" t="s">
        <v>8</v>
      </c>
      <c r="DV354" s="26" t="s">
        <v>7</v>
      </c>
      <c r="DW354" s="26" t="s">
        <v>8</v>
      </c>
      <c r="DY354" s="26" t="s">
        <v>8</v>
      </c>
      <c r="DZ354" s="26" t="s">
        <v>7</v>
      </c>
      <c r="EA354" s="26" t="s">
        <v>8</v>
      </c>
      <c r="EB354" s="26" t="s">
        <v>7</v>
      </c>
      <c r="EJ354" s="34"/>
      <c r="EM354" s="26" t="s">
        <v>8</v>
      </c>
      <c r="EX354" s="26" t="s">
        <v>7</v>
      </c>
      <c r="EY354" s="26" t="s">
        <v>8</v>
      </c>
      <c r="EZ354" s="26" t="s">
        <v>7</v>
      </c>
      <c r="FA354" s="26" t="s">
        <v>8</v>
      </c>
      <c r="FB354" s="26" t="s">
        <v>7</v>
      </c>
      <c r="FP354" s="26" t="s">
        <v>7</v>
      </c>
      <c r="FQ354" s="26" t="s">
        <v>8</v>
      </c>
      <c r="FR354" s="26" t="s">
        <v>7</v>
      </c>
      <c r="FU354" s="26" t="s">
        <v>8</v>
      </c>
      <c r="FV354" s="26" t="s">
        <v>7</v>
      </c>
      <c r="FW354" s="26" t="s">
        <v>8</v>
      </c>
      <c r="FX354" s="26" t="s">
        <v>7</v>
      </c>
    </row>
    <row r="355" spans="1:183" x14ac:dyDescent="0.25">
      <c r="A355" s="33">
        <v>3.6578897112387568E-3</v>
      </c>
      <c r="B355"/>
      <c r="C355"/>
      <c r="D355"/>
      <c r="E355"/>
      <c r="F355" s="26" t="s">
        <v>7</v>
      </c>
      <c r="CM355" s="26" t="s">
        <v>8</v>
      </c>
      <c r="CN355" s="26" t="s">
        <v>7</v>
      </c>
      <c r="CO355" s="26" t="s">
        <v>8</v>
      </c>
      <c r="DT355" s="26" t="s">
        <v>7</v>
      </c>
      <c r="DU355" s="26" t="s">
        <v>8</v>
      </c>
      <c r="DV355" s="26" t="s">
        <v>7</v>
      </c>
      <c r="DW355" s="26" t="s">
        <v>8</v>
      </c>
      <c r="DX355" s="26" t="s">
        <v>7</v>
      </c>
      <c r="DY355" s="26" t="s">
        <v>8</v>
      </c>
      <c r="DZ355" s="26" t="s">
        <v>7</v>
      </c>
      <c r="EA355" s="26" t="s">
        <v>8</v>
      </c>
      <c r="EB355" s="26" t="s">
        <v>7</v>
      </c>
      <c r="EC355" s="35" t="s">
        <v>8</v>
      </c>
      <c r="EE355" s="35" t="s">
        <v>8</v>
      </c>
      <c r="EK355" s="34"/>
      <c r="EM355" s="26" t="s">
        <v>8</v>
      </c>
      <c r="EX355" s="26" t="s">
        <v>7</v>
      </c>
      <c r="EZ355" s="26" t="s">
        <v>7</v>
      </c>
      <c r="FP355" s="26" t="s">
        <v>7</v>
      </c>
      <c r="FQ355" s="26" t="s">
        <v>8</v>
      </c>
      <c r="FR355" s="26" t="s">
        <v>7</v>
      </c>
      <c r="FS355" s="26" t="s">
        <v>8</v>
      </c>
      <c r="FU355" s="26" t="s">
        <v>8</v>
      </c>
      <c r="FV355" s="26" t="s">
        <v>7</v>
      </c>
      <c r="FW355" s="26" t="s">
        <v>8</v>
      </c>
      <c r="FX355" s="26" t="s">
        <v>7</v>
      </c>
    </row>
    <row r="356" spans="1:183" x14ac:dyDescent="0.25">
      <c r="A356" s="33">
        <v>3.4837044868940526E-3</v>
      </c>
      <c r="B356"/>
      <c r="C356"/>
      <c r="D356"/>
      <c r="E356"/>
      <c r="F356" s="26" t="s">
        <v>7</v>
      </c>
      <c r="CM356" s="26" t="s">
        <v>8</v>
      </c>
      <c r="CN356" s="26" t="s">
        <v>7</v>
      </c>
      <c r="CO356" s="26" t="s">
        <v>8</v>
      </c>
      <c r="DT356" s="26" t="s">
        <v>7</v>
      </c>
      <c r="DU356" s="26" t="s">
        <v>8</v>
      </c>
      <c r="DV356" s="26" t="s">
        <v>7</v>
      </c>
      <c r="DW356" s="26" t="s">
        <v>8</v>
      </c>
      <c r="DX356" s="26" t="s">
        <v>7</v>
      </c>
      <c r="DY356" s="26" t="s">
        <v>8</v>
      </c>
      <c r="DZ356" s="26" t="s">
        <v>7</v>
      </c>
      <c r="EA356" s="26" t="s">
        <v>8</v>
      </c>
      <c r="EB356" s="26" t="s">
        <v>7</v>
      </c>
      <c r="EC356" s="26" t="s">
        <v>8</v>
      </c>
      <c r="ED356" s="26" t="s">
        <v>7</v>
      </c>
      <c r="EE356" s="26" t="s">
        <v>8</v>
      </c>
      <c r="EF356" s="26" t="s">
        <v>7</v>
      </c>
      <c r="EL356" s="34"/>
      <c r="EM356" s="26" t="s">
        <v>8</v>
      </c>
      <c r="FP356" s="26" t="s">
        <v>7</v>
      </c>
      <c r="FR356" s="26" t="s">
        <v>7</v>
      </c>
      <c r="FS356" s="26" t="s">
        <v>8</v>
      </c>
      <c r="FT356" s="26" t="s">
        <v>7</v>
      </c>
      <c r="FU356" s="26" t="s">
        <v>8</v>
      </c>
      <c r="FV356" s="26" t="s">
        <v>7</v>
      </c>
      <c r="FW356" s="26" t="s">
        <v>8</v>
      </c>
      <c r="FX356" s="26" t="s">
        <v>7</v>
      </c>
    </row>
    <row r="357" spans="1:183" x14ac:dyDescent="0.25">
      <c r="A357" s="33">
        <v>3.3178137970419535E-3</v>
      </c>
      <c r="B357"/>
      <c r="C357"/>
      <c r="D357"/>
      <c r="E357"/>
      <c r="F357" s="26" t="s">
        <v>7</v>
      </c>
      <c r="CM357" s="26" t="s">
        <v>8</v>
      </c>
      <c r="CN357" s="26" t="s">
        <v>7</v>
      </c>
      <c r="CO357" s="26" t="s">
        <v>8</v>
      </c>
      <c r="DT357" s="26" t="s">
        <v>7</v>
      </c>
      <c r="DU357" s="26" t="s">
        <v>8</v>
      </c>
      <c r="DV357" s="26" t="s">
        <v>7</v>
      </c>
      <c r="DW357" s="26" t="s">
        <v>8</v>
      </c>
      <c r="DX357" s="26" t="s">
        <v>7</v>
      </c>
      <c r="DY357" s="26" t="s">
        <v>8</v>
      </c>
      <c r="DZ357" s="26" t="s">
        <v>7</v>
      </c>
      <c r="EA357" s="26" t="s">
        <v>8</v>
      </c>
      <c r="EB357" s="26" t="s">
        <v>7</v>
      </c>
      <c r="EC357" s="26" t="s">
        <v>8</v>
      </c>
      <c r="ED357" s="26" t="s">
        <v>7</v>
      </c>
      <c r="EE357" s="26" t="s">
        <v>8</v>
      </c>
      <c r="EF357" s="26" t="s">
        <v>7</v>
      </c>
      <c r="EM357" s="34" t="s">
        <v>8</v>
      </c>
      <c r="FR357" s="26" t="s">
        <v>7</v>
      </c>
      <c r="FS357" s="26" t="s">
        <v>8</v>
      </c>
      <c r="FT357" s="26" t="s">
        <v>7</v>
      </c>
      <c r="FU357" s="26" t="s">
        <v>8</v>
      </c>
      <c r="FV357" s="26" t="s">
        <v>7</v>
      </c>
      <c r="FW357" s="26" t="s">
        <v>8</v>
      </c>
      <c r="FX357" s="26" t="s">
        <v>7</v>
      </c>
    </row>
    <row r="358" spans="1:183" x14ac:dyDescent="0.25">
      <c r="A358" s="33">
        <v>3.1598226638494781E-3</v>
      </c>
      <c r="B358"/>
      <c r="C358"/>
      <c r="D358"/>
      <c r="E358"/>
      <c r="F358" s="26" t="s">
        <v>7</v>
      </c>
      <c r="CM358" s="26" t="s">
        <v>8</v>
      </c>
      <c r="CN358" s="26" t="s">
        <v>7</v>
      </c>
      <c r="CO358" s="26" t="s">
        <v>8</v>
      </c>
      <c r="DT358" s="26" t="s">
        <v>7</v>
      </c>
      <c r="DU358" s="26" t="s">
        <v>8</v>
      </c>
      <c r="DV358" s="26" t="s">
        <v>7</v>
      </c>
      <c r="DX358" s="26" t="s">
        <v>7</v>
      </c>
      <c r="DY358" s="26" t="s">
        <v>8</v>
      </c>
      <c r="DZ358" s="26" t="s">
        <v>7</v>
      </c>
      <c r="EB358" s="26" t="s">
        <v>7</v>
      </c>
      <c r="EC358" s="26" t="s">
        <v>8</v>
      </c>
      <c r="ED358" s="26" t="s">
        <v>7</v>
      </c>
      <c r="EE358" s="26" t="s">
        <v>8</v>
      </c>
      <c r="EF358" s="26" t="s">
        <v>7</v>
      </c>
      <c r="EM358" s="26" t="s">
        <v>8</v>
      </c>
      <c r="EN358" s="34"/>
      <c r="FR358" s="26" t="s">
        <v>7</v>
      </c>
      <c r="FT358" s="26" t="s">
        <v>7</v>
      </c>
      <c r="FU358" s="26" t="s">
        <v>8</v>
      </c>
      <c r="FV358" s="26" t="s">
        <v>7</v>
      </c>
      <c r="FW358" s="26" t="s">
        <v>8</v>
      </c>
      <c r="FX358" s="26" t="s">
        <v>7</v>
      </c>
    </row>
    <row r="359" spans="1:183" x14ac:dyDescent="0.25">
      <c r="A359" s="33">
        <v>3.0093549179518826E-3</v>
      </c>
      <c r="B359"/>
      <c r="C359"/>
      <c r="D359"/>
      <c r="E359"/>
      <c r="F359" s="26" t="s">
        <v>7</v>
      </c>
      <c r="CM359" s="26" t="s">
        <v>8</v>
      </c>
      <c r="CN359" s="26" t="s">
        <v>7</v>
      </c>
      <c r="DT359" s="26" t="s">
        <v>7</v>
      </c>
      <c r="DU359" s="26" t="s">
        <v>8</v>
      </c>
      <c r="DX359" s="26" t="s">
        <v>7</v>
      </c>
      <c r="DY359" s="26" t="s">
        <v>8</v>
      </c>
      <c r="EB359" s="30" t="s">
        <v>7</v>
      </c>
      <c r="ED359" s="35" t="s">
        <v>7</v>
      </c>
      <c r="EF359" s="26" t="s">
        <v>7</v>
      </c>
      <c r="EM359" s="26" t="s">
        <v>8</v>
      </c>
      <c r="EO359" s="34"/>
      <c r="FT359" s="26" t="s">
        <v>7</v>
      </c>
      <c r="FV359" s="26" t="s">
        <v>7</v>
      </c>
      <c r="FX359" s="26" t="s">
        <v>7</v>
      </c>
    </row>
    <row r="360" spans="1:183" x14ac:dyDescent="0.25">
      <c r="A360" s="33">
        <v>2.8660523028113155E-3</v>
      </c>
      <c r="B360"/>
      <c r="C360"/>
      <c r="D360"/>
      <c r="E360"/>
      <c r="F360" s="26" t="s">
        <v>7</v>
      </c>
      <c r="CM360" s="26" t="s">
        <v>8</v>
      </c>
      <c r="DT360" s="26" t="s">
        <v>7</v>
      </c>
      <c r="DU360" s="26" t="s">
        <v>8</v>
      </c>
      <c r="DX360" s="26" t="s">
        <v>7</v>
      </c>
      <c r="DY360" s="26" t="s">
        <v>8</v>
      </c>
      <c r="EF360" s="26" t="s">
        <v>7</v>
      </c>
      <c r="EK360" s="31" t="s">
        <v>8</v>
      </c>
      <c r="EM360" s="26" t="s">
        <v>8</v>
      </c>
      <c r="EV360" s="34"/>
      <c r="FX360" s="26" t="s">
        <v>7</v>
      </c>
    </row>
    <row r="361" spans="1:183" x14ac:dyDescent="0.25">
      <c r="A361" s="33">
        <v>2.7295736217250611E-3</v>
      </c>
      <c r="B361"/>
      <c r="C361"/>
      <c r="D361"/>
      <c r="E361"/>
      <c r="F361" s="26" t="s">
        <v>7</v>
      </c>
      <c r="CE361" s="26" t="s">
        <v>8</v>
      </c>
      <c r="CM361" s="26" t="s">
        <v>8</v>
      </c>
      <c r="DT361" s="26" t="s">
        <v>7</v>
      </c>
      <c r="DX361" s="26" t="s">
        <v>7</v>
      </c>
      <c r="DY361" s="26" t="s">
        <v>8</v>
      </c>
      <c r="EF361" s="26" t="s">
        <v>7</v>
      </c>
      <c r="EI361" s="26" t="s">
        <v>8</v>
      </c>
      <c r="EK361" s="26" t="s">
        <v>8</v>
      </c>
      <c r="EL361" s="26" t="s">
        <v>7</v>
      </c>
      <c r="EM361" s="26" t="s">
        <v>8</v>
      </c>
      <c r="EU361" s="34"/>
      <c r="FX361" s="26" t="s">
        <v>7</v>
      </c>
      <c r="GA361" s="26" t="s">
        <v>8</v>
      </c>
    </row>
    <row r="362" spans="1:183" x14ac:dyDescent="0.25">
      <c r="A362" s="33">
        <v>2.5995939254524381E-3</v>
      </c>
      <c r="B362"/>
      <c r="C362"/>
      <c r="D362"/>
      <c r="E362"/>
      <c r="F362" s="26" t="s">
        <v>7</v>
      </c>
      <c r="CE362" s="26" t="s">
        <v>8</v>
      </c>
      <c r="CF362" s="26" t="s">
        <v>7</v>
      </c>
      <c r="CM362" s="26" t="s">
        <v>8</v>
      </c>
      <c r="DX362" s="26" t="s">
        <v>7</v>
      </c>
      <c r="DY362" s="26" t="s">
        <v>8</v>
      </c>
      <c r="EF362" s="26" t="s">
        <v>7</v>
      </c>
      <c r="EI362" s="31" t="s">
        <v>8</v>
      </c>
      <c r="EJ362" s="26" t="s">
        <v>7</v>
      </c>
      <c r="EK362" s="26" t="s">
        <v>8</v>
      </c>
      <c r="EL362" s="26" t="s">
        <v>7</v>
      </c>
      <c r="EM362" s="26" t="s">
        <v>8</v>
      </c>
      <c r="ET362" s="34"/>
      <c r="FX362" s="26" t="s">
        <v>7</v>
      </c>
      <c r="FY362" s="26" t="s">
        <v>8</v>
      </c>
      <c r="GA362" s="26" t="s">
        <v>8</v>
      </c>
    </row>
    <row r="363" spans="1:183" x14ac:dyDescent="0.25">
      <c r="A363" s="33">
        <v>2.4758037385261304E-3</v>
      </c>
      <c r="B363"/>
      <c r="C363"/>
      <c r="D363"/>
      <c r="E363"/>
      <c r="F363" s="26" t="s">
        <v>7</v>
      </c>
      <c r="CE363" s="26" t="s">
        <v>8</v>
      </c>
      <c r="CF363" s="26" t="s">
        <v>7</v>
      </c>
      <c r="CM363" s="26" t="s">
        <v>8</v>
      </c>
      <c r="DX363" s="26" t="s">
        <v>7</v>
      </c>
      <c r="EF363" s="26" t="s">
        <v>7</v>
      </c>
      <c r="EG363" s="26" t="s">
        <v>8</v>
      </c>
      <c r="EI363" s="26" t="s">
        <v>8</v>
      </c>
      <c r="EJ363" s="26" t="s">
        <v>7</v>
      </c>
      <c r="EK363" s="26" t="s">
        <v>8</v>
      </c>
      <c r="EL363" s="26" t="s">
        <v>7</v>
      </c>
      <c r="EM363" s="26" t="s">
        <v>8</v>
      </c>
      <c r="ES363" s="34"/>
      <c r="FX363" s="26" t="s">
        <v>7</v>
      </c>
      <c r="FY363" s="26" t="s">
        <v>8</v>
      </c>
      <c r="FZ363" s="26" t="s">
        <v>7</v>
      </c>
      <c r="GA363" s="26" t="s">
        <v>8</v>
      </c>
    </row>
    <row r="364" spans="1:183" x14ac:dyDescent="0.25">
      <c r="A364" s="33">
        <v>2.3579083224058374E-3</v>
      </c>
      <c r="B364"/>
      <c r="C364"/>
      <c r="D364"/>
      <c r="E364"/>
      <c r="F364" s="26" t="s">
        <v>7</v>
      </c>
      <c r="CE364" s="26" t="s">
        <v>8</v>
      </c>
      <c r="CF364" s="26" t="s">
        <v>7</v>
      </c>
      <c r="CG364" s="26" t="s">
        <v>8</v>
      </c>
      <c r="CM364" s="26" t="s">
        <v>8</v>
      </c>
      <c r="EF364" s="26" t="s">
        <v>7</v>
      </c>
      <c r="EG364" s="26" t="s">
        <v>8</v>
      </c>
      <c r="EH364" s="26" t="s">
        <v>7</v>
      </c>
      <c r="EI364" s="26" t="s">
        <v>8</v>
      </c>
      <c r="EJ364" s="26" t="s">
        <v>7</v>
      </c>
      <c r="EK364" s="26" t="s">
        <v>8</v>
      </c>
      <c r="EL364" s="26" t="s">
        <v>7</v>
      </c>
      <c r="ER364" s="34"/>
      <c r="FX364" s="26" t="s">
        <v>7</v>
      </c>
      <c r="FY364" s="26" t="s">
        <v>8</v>
      </c>
      <c r="FZ364" s="26" t="s">
        <v>7</v>
      </c>
      <c r="GA364" s="26" t="s">
        <v>8</v>
      </c>
    </row>
    <row r="365" spans="1:183" x14ac:dyDescent="0.25">
      <c r="A365" s="33">
        <v>2.245626973719844E-3</v>
      </c>
      <c r="B365"/>
      <c r="C365"/>
      <c r="D365"/>
      <c r="E365"/>
      <c r="F365" s="26" t="s">
        <v>7</v>
      </c>
      <c r="CE365" s="26" t="s">
        <v>8</v>
      </c>
      <c r="CF365" s="26" t="s">
        <v>7</v>
      </c>
      <c r="CG365" s="26" t="s">
        <v>8</v>
      </c>
      <c r="CH365" s="26" t="s">
        <v>7</v>
      </c>
      <c r="CM365" s="26" t="s">
        <v>8</v>
      </c>
      <c r="EF365" s="26" t="s">
        <v>7</v>
      </c>
      <c r="EG365" s="26" t="s">
        <v>8</v>
      </c>
      <c r="EH365" s="26" t="s">
        <v>7</v>
      </c>
      <c r="EI365" s="26" t="s">
        <v>8</v>
      </c>
      <c r="EJ365" s="26" t="s">
        <v>7</v>
      </c>
      <c r="EK365" s="26" t="s">
        <v>8</v>
      </c>
      <c r="EQ365" s="34"/>
      <c r="FX365" s="26" t="s">
        <v>7</v>
      </c>
      <c r="FZ365" s="26" t="s">
        <v>7</v>
      </c>
    </row>
    <row r="366" spans="1:183" x14ac:dyDescent="0.25">
      <c r="A366" s="33">
        <v>2.1386923559236601E-3</v>
      </c>
      <c r="B366"/>
      <c r="C366"/>
      <c r="D366"/>
      <c r="E366"/>
      <c r="F366" s="26" t="s">
        <v>7</v>
      </c>
      <c r="CE366" s="26" t="s">
        <v>8</v>
      </c>
      <c r="CF366" s="26" t="s">
        <v>7</v>
      </c>
      <c r="CG366" s="26" t="s">
        <v>8</v>
      </c>
      <c r="CH366" s="26" t="s">
        <v>7</v>
      </c>
      <c r="CM366" s="26" t="s">
        <v>8</v>
      </c>
      <c r="EF366" s="26" t="s">
        <v>7</v>
      </c>
      <c r="EG366" s="26" t="s">
        <v>8</v>
      </c>
      <c r="EH366" s="26" t="s">
        <v>7</v>
      </c>
      <c r="EI366" s="26" t="s">
        <v>8</v>
      </c>
      <c r="EJ366" s="26" t="s">
        <v>7</v>
      </c>
      <c r="EK366" s="26" t="s">
        <v>8</v>
      </c>
      <c r="EP366" s="34"/>
    </row>
    <row r="367" spans="1:183" x14ac:dyDescent="0.25">
      <c r="A367" s="33">
        <v>2.0368498627844375E-3</v>
      </c>
      <c r="B367"/>
      <c r="C367"/>
      <c r="D367"/>
      <c r="E367"/>
      <c r="F367" s="26" t="s">
        <v>7</v>
      </c>
      <c r="CE367" s="26" t="s">
        <v>8</v>
      </c>
      <c r="CF367" s="26" t="s">
        <v>7</v>
      </c>
      <c r="CG367" s="26" t="s">
        <v>8</v>
      </c>
      <c r="CH367" s="26" t="s">
        <v>7</v>
      </c>
      <c r="CM367" s="26" t="s">
        <v>8</v>
      </c>
      <c r="EF367" s="26" t="s">
        <v>7</v>
      </c>
      <c r="EG367" s="26" t="s">
        <v>8</v>
      </c>
      <c r="EH367" s="26" t="s">
        <v>7</v>
      </c>
      <c r="EJ367" s="26" t="s">
        <v>7</v>
      </c>
      <c r="EK367" s="26" t="s">
        <v>8</v>
      </c>
      <c r="EO367" s="34"/>
    </row>
    <row r="368" spans="1:183" x14ac:dyDescent="0.25">
      <c r="A368" s="33">
        <v>1.9398570121756541E-3</v>
      </c>
      <c r="B368"/>
      <c r="C368"/>
      <c r="D368"/>
      <c r="E368"/>
      <c r="F368" s="26" t="s">
        <v>7</v>
      </c>
      <c r="BW368" s="26" t="s">
        <v>8</v>
      </c>
      <c r="CE368" s="26" t="s">
        <v>8</v>
      </c>
      <c r="CF368" s="26" t="s">
        <v>7</v>
      </c>
      <c r="CG368" s="26" t="s">
        <v>8</v>
      </c>
      <c r="CH368" s="26" t="s">
        <v>7</v>
      </c>
      <c r="CM368" s="26" t="s">
        <v>8</v>
      </c>
      <c r="EF368" s="26" t="s">
        <v>7</v>
      </c>
      <c r="EG368" s="26" t="s">
        <v>8</v>
      </c>
      <c r="EJ368" s="30" t="s">
        <v>7</v>
      </c>
      <c r="EK368" s="26" t="s">
        <v>8</v>
      </c>
      <c r="EN368" s="34"/>
    </row>
    <row r="369" spans="1:143" x14ac:dyDescent="0.25">
      <c r="A369" s="33">
        <v>1.8474828687387174E-3</v>
      </c>
      <c r="B369"/>
      <c r="C369"/>
      <c r="D369"/>
      <c r="E369"/>
      <c r="F369" s="26" t="s">
        <v>7</v>
      </c>
      <c r="BW369" s="26" t="s">
        <v>8</v>
      </c>
      <c r="BX369" s="26" t="s">
        <v>7</v>
      </c>
      <c r="CE369" s="26" t="s">
        <v>8</v>
      </c>
      <c r="CF369" s="26" t="s">
        <v>7</v>
      </c>
      <c r="CG369" s="26" t="s">
        <v>8</v>
      </c>
      <c r="CH369" s="26" t="s">
        <v>7</v>
      </c>
      <c r="CK369" s="26" t="s">
        <v>8</v>
      </c>
      <c r="CM369" s="26" t="s">
        <v>8</v>
      </c>
      <c r="EF369" s="26" t="s">
        <v>7</v>
      </c>
      <c r="EJ369" s="18" t="s">
        <v>7</v>
      </c>
      <c r="EK369" s="26" t="s">
        <v>8</v>
      </c>
      <c r="EM369" s="34"/>
    </row>
    <row r="370" spans="1:143" x14ac:dyDescent="0.25">
      <c r="A370" s="33">
        <v>1.759507494036873E-3</v>
      </c>
      <c r="B370"/>
      <c r="C370"/>
      <c r="D370"/>
      <c r="E370"/>
      <c r="F370" s="26" t="s">
        <v>7</v>
      </c>
      <c r="BW370" s="26" t="s">
        <v>8</v>
      </c>
      <c r="BX370" s="26" t="s">
        <v>7</v>
      </c>
      <c r="CE370" s="26" t="s">
        <v>8</v>
      </c>
      <c r="CF370" s="26" t="s">
        <v>7</v>
      </c>
      <c r="CG370" s="26" t="s">
        <v>8</v>
      </c>
      <c r="CH370" s="26" t="s">
        <v>7</v>
      </c>
      <c r="CI370" s="26" t="s">
        <v>8</v>
      </c>
      <c r="CK370" s="26" t="s">
        <v>8</v>
      </c>
      <c r="CL370" s="26" t="s">
        <v>7</v>
      </c>
      <c r="CM370" s="26" t="s">
        <v>8</v>
      </c>
      <c r="EJ370" s="26" t="s">
        <v>7</v>
      </c>
      <c r="EK370" s="26" t="s">
        <v>8</v>
      </c>
      <c r="EL370" s="34"/>
    </row>
    <row r="371" spans="1:143" x14ac:dyDescent="0.25">
      <c r="A371" s="33">
        <v>1.6757214228922594E-3</v>
      </c>
      <c r="B371"/>
      <c r="C371"/>
      <c r="D371"/>
      <c r="E371"/>
      <c r="F371" s="26" t="s">
        <v>7</v>
      </c>
      <c r="BW371" s="26" t="s">
        <v>8</v>
      </c>
      <c r="BX371" s="26" t="s">
        <v>7</v>
      </c>
      <c r="CE371" s="26" t="s">
        <v>8</v>
      </c>
      <c r="CF371" s="26" t="s">
        <v>7</v>
      </c>
      <c r="CG371" s="26" t="s">
        <v>8</v>
      </c>
      <c r="CH371" s="26" t="s">
        <v>7</v>
      </c>
      <c r="CI371" s="26" t="s">
        <v>8</v>
      </c>
      <c r="CJ371" s="26" t="s">
        <v>7</v>
      </c>
      <c r="CK371" s="26" t="s">
        <v>8</v>
      </c>
      <c r="CL371" s="26" t="s">
        <v>7</v>
      </c>
      <c r="CM371" s="26" t="s">
        <v>8</v>
      </c>
      <c r="EJ371" s="26" t="s">
        <v>7</v>
      </c>
      <c r="EK371" s="34" t="s">
        <v>8</v>
      </c>
    </row>
    <row r="372" spans="1:143" x14ac:dyDescent="0.25">
      <c r="A372" s="33">
        <v>1.595925164659294E-3</v>
      </c>
      <c r="B372"/>
      <c r="C372"/>
      <c r="D372"/>
      <c r="E372"/>
      <c r="F372" s="26" t="s">
        <v>7</v>
      </c>
      <c r="BW372" s="26" t="s">
        <v>8</v>
      </c>
      <c r="BX372" s="26" t="s">
        <v>7</v>
      </c>
      <c r="BY372" s="26" t="s">
        <v>8</v>
      </c>
      <c r="CE372" s="26" t="s">
        <v>8</v>
      </c>
      <c r="CF372" s="26" t="s">
        <v>7</v>
      </c>
      <c r="CG372" s="26" t="s">
        <v>8</v>
      </c>
      <c r="CH372" s="26" t="s">
        <v>7</v>
      </c>
      <c r="CI372" s="26" t="s">
        <v>8</v>
      </c>
      <c r="CJ372" s="26" t="s">
        <v>7</v>
      </c>
      <c r="CK372" s="26" t="s">
        <v>8</v>
      </c>
      <c r="CL372" s="26" t="s">
        <v>7</v>
      </c>
      <c r="EJ372" s="34" t="s">
        <v>7</v>
      </c>
    </row>
    <row r="373" spans="1:143" x14ac:dyDescent="0.25">
      <c r="A373" s="33">
        <v>1.5199287282469461E-3</v>
      </c>
      <c r="B373"/>
      <c r="C373"/>
      <c r="D373"/>
      <c r="E373"/>
      <c r="F373" s="26" t="s">
        <v>7</v>
      </c>
      <c r="BW373" s="26" t="s">
        <v>8</v>
      </c>
      <c r="BX373" s="26" t="s">
        <v>7</v>
      </c>
      <c r="BY373" s="26" t="s">
        <v>8</v>
      </c>
      <c r="BZ373" s="26" t="s">
        <v>7</v>
      </c>
      <c r="CE373" s="26" t="s">
        <v>8</v>
      </c>
      <c r="CF373" s="26" t="s">
        <v>7</v>
      </c>
      <c r="CG373" s="26" t="s">
        <v>8</v>
      </c>
      <c r="CH373" s="26" t="s">
        <v>7</v>
      </c>
      <c r="CI373" s="26" t="s">
        <v>8</v>
      </c>
      <c r="CJ373" s="26" t="s">
        <v>7</v>
      </c>
    </row>
    <row r="374" spans="1:143" x14ac:dyDescent="0.25">
      <c r="A374" s="33">
        <v>1.4475511697589958E-3</v>
      </c>
      <c r="B374"/>
      <c r="C374"/>
      <c r="D374"/>
      <c r="E374"/>
      <c r="F374" s="26" t="s">
        <v>7</v>
      </c>
      <c r="BW374" s="26" t="s">
        <v>8</v>
      </c>
      <c r="BX374" s="26" t="s">
        <v>7</v>
      </c>
      <c r="BY374" s="26" t="s">
        <v>8</v>
      </c>
      <c r="BZ374" s="26" t="s">
        <v>7</v>
      </c>
      <c r="CA374" s="26" t="s">
        <v>8</v>
      </c>
      <c r="CC374" s="26" t="s">
        <v>8</v>
      </c>
      <c r="CE374" s="26" t="s">
        <v>8</v>
      </c>
      <c r="CF374" s="26" t="s">
        <v>7</v>
      </c>
      <c r="CG374" s="26" t="s">
        <v>8</v>
      </c>
      <c r="CH374" s="26" t="s">
        <v>7</v>
      </c>
      <c r="CI374" s="26" t="s">
        <v>8</v>
      </c>
    </row>
    <row r="375" spans="1:143" x14ac:dyDescent="0.25">
      <c r="A375" s="33">
        <v>1.3786201616752334E-3</v>
      </c>
      <c r="B375"/>
      <c r="C375"/>
      <c r="D375"/>
      <c r="E375"/>
      <c r="F375" s="26" t="s">
        <v>7</v>
      </c>
      <c r="BW375" s="26" t="s">
        <v>8</v>
      </c>
      <c r="BX375" s="26" t="s">
        <v>7</v>
      </c>
      <c r="BY375" s="26" t="s">
        <v>8</v>
      </c>
      <c r="BZ375" s="26" t="s">
        <v>7</v>
      </c>
      <c r="CA375" s="26" t="s">
        <v>8</v>
      </c>
      <c r="CB375" s="26" t="s">
        <v>7</v>
      </c>
      <c r="CC375" s="26" t="s">
        <v>8</v>
      </c>
      <c r="CD375" s="26" t="s">
        <v>7</v>
      </c>
      <c r="CE375" s="26" t="s">
        <v>8</v>
      </c>
      <c r="CF375" s="26" t="s">
        <v>7</v>
      </c>
      <c r="CH375" s="26" t="s">
        <v>7</v>
      </c>
    </row>
    <row r="376" spans="1:143" x14ac:dyDescent="0.25">
      <c r="A376" s="33">
        <v>1.3129715825478407E-3</v>
      </c>
      <c r="B376"/>
      <c r="C376"/>
      <c r="D376"/>
      <c r="E376"/>
      <c r="F376" s="26" t="s">
        <v>7</v>
      </c>
      <c r="BW376" s="26" t="s">
        <v>8</v>
      </c>
      <c r="BX376" s="26" t="s">
        <v>7</v>
      </c>
      <c r="BZ376" s="26" t="s">
        <v>7</v>
      </c>
      <c r="CA376" s="26" t="s">
        <v>8</v>
      </c>
      <c r="CB376" s="26" t="s">
        <v>7</v>
      </c>
      <c r="CC376" s="26" t="s">
        <v>8</v>
      </c>
      <c r="CD376" s="26" t="s">
        <v>7</v>
      </c>
      <c r="CE376" s="26" t="s">
        <v>8</v>
      </c>
    </row>
    <row r="377" spans="1:143" x14ac:dyDescent="0.25">
      <c r="A377" s="33">
        <v>1.2504491262360382E-3</v>
      </c>
      <c r="B377"/>
      <c r="C377"/>
      <c r="D377"/>
      <c r="E377"/>
      <c r="F377" s="26" t="s">
        <v>7</v>
      </c>
      <c r="BW377" s="26" t="s">
        <v>8</v>
      </c>
      <c r="BZ377" s="26" t="s">
        <v>7</v>
      </c>
      <c r="CA377" s="26" t="s">
        <v>8</v>
      </c>
      <c r="CB377" s="26" t="s">
        <v>7</v>
      </c>
      <c r="CD377" s="26" t="s">
        <v>7</v>
      </c>
    </row>
    <row r="378" spans="1:143" x14ac:dyDescent="0.25">
      <c r="A378" s="33">
        <v>1.1909039297486072E-3</v>
      </c>
      <c r="B378"/>
      <c r="C378"/>
      <c r="D378"/>
      <c r="E378"/>
      <c r="F378" s="26" t="s">
        <v>7</v>
      </c>
      <c r="BW378" s="26" t="s">
        <v>8</v>
      </c>
      <c r="BZ378" s="26" t="s">
        <v>7</v>
      </c>
      <c r="CA378" s="26" t="s">
        <v>8</v>
      </c>
    </row>
    <row r="379" spans="1:143" x14ac:dyDescent="0.25">
      <c r="A379" s="33">
        <v>1.1341942188081969E-3</v>
      </c>
      <c r="B379"/>
      <c r="C379"/>
      <c r="D379"/>
      <c r="E379"/>
      <c r="F379" s="26" t="s">
        <v>7</v>
      </c>
      <c r="BW379" s="26" t="s">
        <v>8</v>
      </c>
      <c r="BZ379" s="26" t="s">
        <v>7</v>
      </c>
      <c r="CA379" s="26" t="s">
        <v>8</v>
      </c>
    </row>
    <row r="380" spans="1:143" x14ac:dyDescent="0.25">
      <c r="A380" s="33">
        <v>1.0801849702935203E-3</v>
      </c>
      <c r="B380"/>
      <c r="C380"/>
      <c r="D380"/>
      <c r="E380"/>
      <c r="F380" s="26" t="s">
        <v>7</v>
      </c>
      <c r="BW380" s="26" t="s">
        <v>8</v>
      </c>
      <c r="BZ380" s="26" t="s">
        <v>7</v>
      </c>
      <c r="CA380" s="26" t="s">
        <v>8</v>
      </c>
    </row>
    <row r="381" spans="1:143" x14ac:dyDescent="0.25">
      <c r="A381" s="33">
        <v>1.0287475907557332E-3</v>
      </c>
      <c r="B381"/>
      <c r="C381"/>
      <c r="D381"/>
      <c r="E381"/>
      <c r="F381" s="26" t="s">
        <v>7</v>
      </c>
      <c r="BW381" s="26" t="s">
        <v>8</v>
      </c>
      <c r="BZ381" s="26" t="s">
        <v>7</v>
      </c>
    </row>
    <row r="382" spans="1:143" x14ac:dyDescent="0.25">
      <c r="A382" s="33">
        <v>9.7731021121794646E-4</v>
      </c>
      <c r="F382" s="26" t="s">
        <v>7</v>
      </c>
      <c r="BW382" s="26" t="s">
        <v>8</v>
      </c>
    </row>
    <row r="383" spans="1:143" x14ac:dyDescent="0.25">
      <c r="A383" s="33">
        <v>9.2844470065704904E-4</v>
      </c>
      <c r="F383" s="26" t="s">
        <v>7</v>
      </c>
      <c r="BU383" s="26" t="s">
        <v>8</v>
      </c>
      <c r="BW383" s="26" t="s">
        <v>8</v>
      </c>
    </row>
    <row r="384" spans="1:143" x14ac:dyDescent="0.25">
      <c r="A384" s="33">
        <v>8.8202246562419653E-4</v>
      </c>
      <c r="F384" s="26" t="s">
        <v>7</v>
      </c>
      <c r="BU384" s="26" t="s">
        <v>8</v>
      </c>
      <c r="BV384" s="26" t="s">
        <v>7</v>
      </c>
      <c r="BW384" s="26" t="s">
        <v>8</v>
      </c>
    </row>
    <row r="385" spans="1:75" x14ac:dyDescent="0.25">
      <c r="A385" s="33">
        <v>8.3792134234298668E-4</v>
      </c>
      <c r="F385" s="26" t="s">
        <v>7</v>
      </c>
      <c r="BU385" s="26" t="s">
        <v>8</v>
      </c>
      <c r="BV385" s="26" t="s">
        <v>7</v>
      </c>
      <c r="BW385" s="26" t="s">
        <v>8</v>
      </c>
    </row>
    <row r="386" spans="1:75" x14ac:dyDescent="0.25">
      <c r="A386" s="33">
        <v>7.9602527522583736E-4</v>
      </c>
      <c r="F386" s="26" t="s">
        <v>7</v>
      </c>
      <c r="BU386" s="26" t="s">
        <v>8</v>
      </c>
      <c r="BV386" s="26" t="s">
        <v>7</v>
      </c>
      <c r="BW386" s="26" t="s">
        <v>8</v>
      </c>
    </row>
    <row r="387" spans="1:75" x14ac:dyDescent="0.25">
      <c r="A387" s="33">
        <v>7.5622401146454546E-4</v>
      </c>
      <c r="F387" s="26" t="s">
        <v>7</v>
      </c>
      <c r="BU387" s="26" t="s">
        <v>8</v>
      </c>
      <c r="BV387" s="26" t="s">
        <v>7</v>
      </c>
      <c r="BW387" s="26" t="s">
        <v>8</v>
      </c>
    </row>
    <row r="388" spans="1:75" x14ac:dyDescent="0.25">
      <c r="A388" s="33">
        <v>7.1841281089131816E-4</v>
      </c>
      <c r="F388" s="26" t="s">
        <v>7</v>
      </c>
      <c r="BU388" s="26" t="s">
        <v>8</v>
      </c>
      <c r="BV388" s="26" t="s">
        <v>7</v>
      </c>
      <c r="BW388" s="26" t="s">
        <v>8</v>
      </c>
    </row>
    <row r="389" spans="1:75" x14ac:dyDescent="0.25">
      <c r="A389" s="33">
        <v>6.8249217034675226E-4</v>
      </c>
      <c r="F389" s="26" t="s">
        <v>7</v>
      </c>
      <c r="BU389" s="26" t="s">
        <v>8</v>
      </c>
      <c r="BV389" s="26" t="s">
        <v>7</v>
      </c>
      <c r="BW389" s="26" t="s">
        <v>8</v>
      </c>
    </row>
    <row r="390" spans="1:75" x14ac:dyDescent="0.25">
      <c r="A390" s="33">
        <v>6.4836756182941465E-4</v>
      </c>
      <c r="F390" s="26" t="s">
        <v>7</v>
      </c>
      <c r="BU390" s="26" t="s">
        <v>8</v>
      </c>
      <c r="BV390" s="26" t="s">
        <v>7</v>
      </c>
    </row>
    <row r="391" spans="1:75" x14ac:dyDescent="0.25">
      <c r="A391" s="33">
        <v>6.1594918373794388E-4</v>
      </c>
      <c r="F391" s="26" t="s">
        <v>7</v>
      </c>
      <c r="BU391" s="26" t="s">
        <v>8</v>
      </c>
    </row>
    <row r="392" spans="1:75" x14ac:dyDescent="0.25">
      <c r="A392" s="33">
        <v>5.8515172455104666E-4</v>
      </c>
      <c r="F392" s="26" t="s">
        <v>7</v>
      </c>
      <c r="BO392" s="26" t="s">
        <v>8</v>
      </c>
      <c r="BU392" s="26" t="s">
        <v>8</v>
      </c>
    </row>
    <row r="393" spans="1:75" x14ac:dyDescent="0.25">
      <c r="A393" s="33">
        <v>5.5589413832349429E-4</v>
      </c>
      <c r="F393" s="26" t="s">
        <v>7</v>
      </c>
      <c r="BO393" s="26" t="s">
        <v>8</v>
      </c>
      <c r="BP393" s="26" t="s">
        <v>7</v>
      </c>
      <c r="BU393" s="26" t="s">
        <v>8</v>
      </c>
    </row>
    <row r="394" spans="1:75" x14ac:dyDescent="0.25">
      <c r="A394" s="33">
        <v>5.2809943140731956E-4</v>
      </c>
      <c r="F394" s="26" t="s">
        <v>7</v>
      </c>
      <c r="BO394" s="26" t="s">
        <v>8</v>
      </c>
      <c r="BP394" s="26" t="s">
        <v>7</v>
      </c>
      <c r="BU394" s="26" t="s">
        <v>8</v>
      </c>
    </row>
    <row r="395" spans="1:75" x14ac:dyDescent="0.25">
      <c r="A395" s="33">
        <v>5.0169445983695357E-4</v>
      </c>
      <c r="F395" s="26" t="s">
        <v>7</v>
      </c>
      <c r="BO395" s="26" t="s">
        <v>8</v>
      </c>
      <c r="BP395" s="26" t="s">
        <v>7</v>
      </c>
      <c r="BU395" s="26" t="s">
        <v>8</v>
      </c>
    </row>
    <row r="396" spans="1:75" x14ac:dyDescent="0.25">
      <c r="A396" s="33">
        <v>4.7660973684510589E-4</v>
      </c>
      <c r="F396" s="26" t="s">
        <v>7</v>
      </c>
      <c r="BO396" s="26" t="s">
        <v>8</v>
      </c>
      <c r="BP396" s="26" t="s">
        <v>7</v>
      </c>
      <c r="BQ396" s="26" t="s">
        <v>8</v>
      </c>
      <c r="BS396" s="26" t="s">
        <v>8</v>
      </c>
      <c r="BU396" s="26" t="s">
        <v>8</v>
      </c>
    </row>
    <row r="397" spans="1:75" x14ac:dyDescent="0.25">
      <c r="A397" s="33">
        <v>4.5277925000285056E-4</v>
      </c>
      <c r="F397" s="26" t="s">
        <v>7</v>
      </c>
      <c r="BO397" s="26" t="s">
        <v>8</v>
      </c>
      <c r="BP397" s="26" t="s">
        <v>7</v>
      </c>
      <c r="BQ397" s="26" t="s">
        <v>8</v>
      </c>
      <c r="BR397" s="26" t="s">
        <v>7</v>
      </c>
      <c r="BS397" s="26" t="s">
        <v>8</v>
      </c>
      <c r="BT397" s="26" t="s">
        <v>7</v>
      </c>
      <c r="BU397" s="26" t="s">
        <v>8</v>
      </c>
    </row>
    <row r="398" spans="1:75" x14ac:dyDescent="0.25">
      <c r="A398" s="33">
        <v>4.3014028750270803E-4</v>
      </c>
      <c r="F398" s="26" t="s">
        <v>7</v>
      </c>
      <c r="AM398" s="26" t="s">
        <v>8</v>
      </c>
      <c r="BO398" s="26" t="s">
        <v>8</v>
      </c>
      <c r="BP398" s="26" t="s">
        <v>7</v>
      </c>
      <c r="BQ398" s="26" t="s">
        <v>8</v>
      </c>
      <c r="BR398" s="26" t="s">
        <v>7</v>
      </c>
      <c r="BS398" s="26" t="s">
        <v>8</v>
      </c>
      <c r="BT398" s="26" t="s">
        <v>7</v>
      </c>
    </row>
    <row r="399" spans="1:75" x14ac:dyDescent="0.25">
      <c r="A399" s="33">
        <v>4.0863327312757263E-4</v>
      </c>
      <c r="F399" s="26" t="s">
        <v>7</v>
      </c>
      <c r="AM399" s="26" t="s">
        <v>8</v>
      </c>
      <c r="AN399" s="26" t="s">
        <v>7</v>
      </c>
      <c r="BE399" s="26" t="s">
        <v>8</v>
      </c>
      <c r="BO399" s="26" t="s">
        <v>8</v>
      </c>
      <c r="BP399" s="26" t="s">
        <v>7</v>
      </c>
      <c r="BQ399" s="26" t="s">
        <v>8</v>
      </c>
      <c r="BR399" s="26" t="s">
        <v>7</v>
      </c>
    </row>
    <row r="400" spans="1:75" x14ac:dyDescent="0.25">
      <c r="A400" s="33">
        <v>3.8820160947119396E-4</v>
      </c>
      <c r="F400" s="26" t="s">
        <v>7</v>
      </c>
      <c r="AM400" s="26" t="s">
        <v>8</v>
      </c>
      <c r="AN400" s="26" t="s">
        <v>7</v>
      </c>
      <c r="BE400" s="26" t="s">
        <v>8</v>
      </c>
      <c r="BF400" s="26" t="s">
        <v>7</v>
      </c>
      <c r="BO400" s="26" t="s">
        <v>8</v>
      </c>
      <c r="BP400" s="26" t="s">
        <v>7</v>
      </c>
      <c r="BQ400" s="26" t="s">
        <v>8</v>
      </c>
    </row>
    <row r="401" spans="1:69" x14ac:dyDescent="0.25">
      <c r="A401" s="33">
        <v>3.6879152899763426E-4</v>
      </c>
      <c r="F401" s="26" t="s">
        <v>7</v>
      </c>
      <c r="AM401" s="26" t="s">
        <v>8</v>
      </c>
      <c r="AN401" s="26" t="s">
        <v>7</v>
      </c>
      <c r="BE401" s="26" t="s">
        <v>8</v>
      </c>
      <c r="BF401" s="26" t="s">
        <v>7</v>
      </c>
      <c r="BO401" s="26" t="s">
        <v>8</v>
      </c>
      <c r="BP401" s="26" t="s">
        <v>7</v>
      </c>
      <c r="BQ401" s="26" t="s">
        <v>8</v>
      </c>
    </row>
    <row r="402" spans="1:69" x14ac:dyDescent="0.25">
      <c r="A402" s="33">
        <v>3.5035195254775253E-4</v>
      </c>
      <c r="F402" s="26" t="s">
        <v>7</v>
      </c>
      <c r="AM402" s="26" t="s">
        <v>8</v>
      </c>
      <c r="AN402" s="26" t="s">
        <v>7</v>
      </c>
      <c r="AO402" s="26" t="s">
        <v>8</v>
      </c>
      <c r="BE402" s="26" t="s">
        <v>8</v>
      </c>
      <c r="BF402" s="26" t="s">
        <v>7</v>
      </c>
      <c r="BO402" s="26" t="s">
        <v>8</v>
      </c>
      <c r="BP402" s="26" t="s">
        <v>7</v>
      </c>
    </row>
    <row r="403" spans="1:69" x14ac:dyDescent="0.25">
      <c r="A403" s="33">
        <v>3.3283435492036491E-4</v>
      </c>
      <c r="F403" s="26" t="s">
        <v>7</v>
      </c>
      <c r="AM403" s="26" t="s">
        <v>8</v>
      </c>
      <c r="AN403" s="26" t="s">
        <v>7</v>
      </c>
      <c r="AO403" s="26" t="s">
        <v>8</v>
      </c>
      <c r="AP403" s="26" t="s">
        <v>7</v>
      </c>
      <c r="AQ403" s="26" t="s">
        <v>8</v>
      </c>
      <c r="BE403" s="26" t="s">
        <v>8</v>
      </c>
      <c r="BF403" s="26" t="s">
        <v>7</v>
      </c>
      <c r="BO403" s="26" t="s">
        <v>8</v>
      </c>
    </row>
    <row r="404" spans="1:69" x14ac:dyDescent="0.25">
      <c r="A404" s="33">
        <v>3.1619263717434668E-4</v>
      </c>
      <c r="F404" s="26" t="s">
        <v>7</v>
      </c>
      <c r="AM404" s="26" t="s">
        <v>8</v>
      </c>
      <c r="AN404" s="26" t="s">
        <v>7</v>
      </c>
      <c r="AO404" s="26" t="s">
        <v>8</v>
      </c>
      <c r="AP404" s="26" t="s">
        <v>7</v>
      </c>
      <c r="AQ404" s="26" t="s">
        <v>8</v>
      </c>
      <c r="AR404" s="26" t="s">
        <v>7</v>
      </c>
      <c r="BE404" s="26" t="s">
        <v>8</v>
      </c>
      <c r="BF404" s="26" t="s">
        <v>7</v>
      </c>
      <c r="BK404" s="26" t="s">
        <v>8</v>
      </c>
      <c r="BO404" s="26" t="s">
        <v>8</v>
      </c>
    </row>
    <row r="405" spans="1:69" x14ac:dyDescent="0.25">
      <c r="A405" s="33">
        <v>3.0038300531562933E-4</v>
      </c>
      <c r="F405" s="26" t="s">
        <v>7</v>
      </c>
      <c r="AM405" s="26" t="s">
        <v>8</v>
      </c>
      <c r="AN405" s="26" t="s">
        <v>7</v>
      </c>
      <c r="AP405" s="26" t="s">
        <v>7</v>
      </c>
      <c r="AQ405" s="26" t="s">
        <v>8</v>
      </c>
      <c r="AR405" s="26" t="s">
        <v>7</v>
      </c>
      <c r="AY405" s="26" t="s">
        <v>8</v>
      </c>
      <c r="BE405" s="26" t="s">
        <v>8</v>
      </c>
      <c r="BF405" s="26" t="s">
        <v>7</v>
      </c>
      <c r="BI405" s="26" t="s">
        <v>8</v>
      </c>
      <c r="BK405" s="26" t="s">
        <v>8</v>
      </c>
      <c r="BL405" s="26" t="s">
        <v>7</v>
      </c>
      <c r="BM405" s="26" t="s">
        <v>8</v>
      </c>
      <c r="BO405" s="26" t="s">
        <v>8</v>
      </c>
    </row>
    <row r="406" spans="1:69" x14ac:dyDescent="0.25">
      <c r="A406" s="33">
        <v>2.8536385504984783E-4</v>
      </c>
      <c r="F406" s="26" t="s">
        <v>7</v>
      </c>
      <c r="I406" s="26" t="s">
        <v>8</v>
      </c>
      <c r="AI406" s="26" t="s">
        <v>8</v>
      </c>
      <c r="AM406" s="26" t="s">
        <v>8</v>
      </c>
      <c r="AP406" s="26" t="s">
        <v>7</v>
      </c>
      <c r="AQ406" s="26" t="s">
        <v>8</v>
      </c>
      <c r="AR406" s="26" t="s">
        <v>7</v>
      </c>
      <c r="AY406" s="26" t="s">
        <v>8</v>
      </c>
      <c r="AZ406" s="26" t="s">
        <v>7</v>
      </c>
      <c r="BE406" s="26" t="s">
        <v>8</v>
      </c>
      <c r="BF406" s="26" t="s">
        <v>7</v>
      </c>
      <c r="BG406" s="26" t="s">
        <v>8</v>
      </c>
      <c r="BI406" s="26" t="s">
        <v>8</v>
      </c>
      <c r="BJ406" s="26" t="s">
        <v>7</v>
      </c>
      <c r="BK406" s="26" t="s">
        <v>8</v>
      </c>
      <c r="BL406" s="26" t="s">
        <v>7</v>
      </c>
      <c r="BM406" s="26" t="s">
        <v>8</v>
      </c>
      <c r="BN406" s="26" t="s">
        <v>7</v>
      </c>
      <c r="BO406" s="26" t="s">
        <v>8</v>
      </c>
    </row>
    <row r="407" spans="1:69" x14ac:dyDescent="0.25">
      <c r="A407" s="33">
        <v>2.7109566229735542E-4</v>
      </c>
      <c r="F407" s="26" t="s">
        <v>7</v>
      </c>
      <c r="I407" s="26" t="s">
        <v>8</v>
      </c>
      <c r="J407" s="26" t="s">
        <v>7</v>
      </c>
      <c r="K407" s="26" t="s">
        <v>8</v>
      </c>
      <c r="AI407" s="26" t="s">
        <v>8</v>
      </c>
      <c r="AJ407" s="26" t="s">
        <v>7</v>
      </c>
      <c r="AM407" s="26" t="s">
        <v>8</v>
      </c>
      <c r="AP407" s="26" t="s">
        <v>7</v>
      </c>
      <c r="AR407" s="26" t="s">
        <v>7</v>
      </c>
      <c r="AY407" s="26" t="s">
        <v>8</v>
      </c>
      <c r="AZ407" s="26" t="s">
        <v>7</v>
      </c>
      <c r="BE407" s="26" t="s">
        <v>8</v>
      </c>
      <c r="BF407" s="26" t="s">
        <v>7</v>
      </c>
      <c r="BG407" s="26" t="s">
        <v>8</v>
      </c>
      <c r="BH407" s="26" t="s">
        <v>7</v>
      </c>
      <c r="BI407" s="26" t="s">
        <v>8</v>
      </c>
      <c r="BJ407" s="26" t="s">
        <v>7</v>
      </c>
      <c r="BK407" s="26" t="s">
        <v>8</v>
      </c>
      <c r="BL407" s="26" t="s">
        <v>7</v>
      </c>
      <c r="BM407" s="26" t="s">
        <v>8</v>
      </c>
      <c r="BN407" s="26" t="s">
        <v>7</v>
      </c>
      <c r="BO407" s="26" t="s">
        <v>8</v>
      </c>
    </row>
    <row r="408" spans="1:69" x14ac:dyDescent="0.25">
      <c r="A408" s="33">
        <v>2.5754087918248761E-4</v>
      </c>
      <c r="F408" s="26" t="s">
        <v>7</v>
      </c>
      <c r="I408" s="26" t="s">
        <v>8</v>
      </c>
      <c r="J408" s="26" t="s">
        <v>7</v>
      </c>
      <c r="K408" s="26" t="s">
        <v>8</v>
      </c>
      <c r="L408" s="26" t="s">
        <v>7</v>
      </c>
      <c r="M408" s="26" t="s">
        <v>8</v>
      </c>
      <c r="AI408" s="26" t="s">
        <v>8</v>
      </c>
      <c r="AJ408" s="26" t="s">
        <v>7</v>
      </c>
      <c r="AM408" s="26" t="s">
        <v>8</v>
      </c>
      <c r="AR408" s="26" t="s">
        <v>7</v>
      </c>
      <c r="AY408" s="26" t="s">
        <v>8</v>
      </c>
      <c r="AZ408" s="26" t="s">
        <v>7</v>
      </c>
      <c r="BA408" s="26" t="s">
        <v>8</v>
      </c>
      <c r="BC408" s="26" t="s">
        <v>8</v>
      </c>
      <c r="BE408" s="26" t="s">
        <v>8</v>
      </c>
      <c r="BF408" s="26" t="s">
        <v>7</v>
      </c>
      <c r="BG408" s="26" t="s">
        <v>8</v>
      </c>
      <c r="BH408" s="26" t="s">
        <v>7</v>
      </c>
      <c r="BI408" s="26" t="s">
        <v>8</v>
      </c>
      <c r="BJ408" s="26" t="s">
        <v>7</v>
      </c>
      <c r="BK408" s="26" t="s">
        <v>8</v>
      </c>
      <c r="BL408" s="26" t="s">
        <v>7</v>
      </c>
      <c r="BM408" s="26" t="s">
        <v>8</v>
      </c>
      <c r="BN408" s="26" t="s">
        <v>7</v>
      </c>
    </row>
    <row r="409" spans="1:69" x14ac:dyDescent="0.25">
      <c r="A409" s="33">
        <v>2.4466383522336323E-4</v>
      </c>
      <c r="F409" s="26" t="s">
        <v>7</v>
      </c>
      <c r="I409" s="26" t="s">
        <v>8</v>
      </c>
      <c r="J409" s="26" t="s">
        <v>7</v>
      </c>
      <c r="K409" s="26" t="s">
        <v>8</v>
      </c>
      <c r="L409" s="26" t="s">
        <v>7</v>
      </c>
      <c r="M409" s="26" t="s">
        <v>8</v>
      </c>
      <c r="N409" s="26" t="s">
        <v>7</v>
      </c>
      <c r="AG409" s="26" t="s">
        <v>8</v>
      </c>
      <c r="AI409" s="26" t="s">
        <v>8</v>
      </c>
      <c r="AJ409" s="26" t="s">
        <v>7</v>
      </c>
      <c r="AK409" s="26" t="s">
        <v>8</v>
      </c>
      <c r="AM409" s="26" t="s">
        <v>8</v>
      </c>
      <c r="AR409" s="26" t="s">
        <v>7</v>
      </c>
      <c r="AU409" s="26" t="s">
        <v>8</v>
      </c>
      <c r="AY409" s="26" t="s">
        <v>8</v>
      </c>
      <c r="AZ409" s="26" t="s">
        <v>7</v>
      </c>
      <c r="BA409" s="26" t="s">
        <v>8</v>
      </c>
      <c r="BB409" s="26" t="s">
        <v>7</v>
      </c>
      <c r="BC409" s="26" t="s">
        <v>8</v>
      </c>
      <c r="BD409" s="26" t="s">
        <v>7</v>
      </c>
      <c r="BE409" s="26" t="s">
        <v>8</v>
      </c>
      <c r="BF409" s="26" t="s">
        <v>7</v>
      </c>
      <c r="BG409" s="26" t="s">
        <v>8</v>
      </c>
      <c r="BH409" s="26" t="s">
        <v>7</v>
      </c>
      <c r="BJ409" s="26" t="s">
        <v>7</v>
      </c>
      <c r="BL409" s="26" t="s">
        <v>7</v>
      </c>
    </row>
    <row r="410" spans="1:69" x14ac:dyDescent="0.25">
      <c r="A410" s="33">
        <v>2.3243064346219506E-4</v>
      </c>
      <c r="F410" s="26" t="s">
        <v>7</v>
      </c>
      <c r="I410" s="26" t="s">
        <v>8</v>
      </c>
      <c r="J410" s="26" t="s">
        <v>7</v>
      </c>
      <c r="L410" s="26" t="s">
        <v>7</v>
      </c>
      <c r="M410" s="26" t="s">
        <v>8</v>
      </c>
      <c r="N410" s="26" t="s">
        <v>7</v>
      </c>
      <c r="AE410" s="26" t="s">
        <v>8</v>
      </c>
      <c r="AG410" s="26" t="s">
        <v>8</v>
      </c>
      <c r="AH410" s="26" t="s">
        <v>7</v>
      </c>
      <c r="AI410" s="26" t="s">
        <v>8</v>
      </c>
      <c r="AJ410" s="26" t="s">
        <v>7</v>
      </c>
      <c r="AK410" s="26" t="s">
        <v>8</v>
      </c>
      <c r="AL410" s="26" t="s">
        <v>7</v>
      </c>
      <c r="AM410" s="26" t="s">
        <v>8</v>
      </c>
      <c r="AR410" s="26" t="s">
        <v>7</v>
      </c>
      <c r="AS410" s="26" t="s">
        <v>8</v>
      </c>
      <c r="AU410" s="26" t="s">
        <v>8</v>
      </c>
      <c r="AV410" s="26" t="s">
        <v>7</v>
      </c>
      <c r="AY410" s="26" t="s">
        <v>8</v>
      </c>
      <c r="AZ410" s="26" t="s">
        <v>7</v>
      </c>
      <c r="BA410" s="26" t="s">
        <v>8</v>
      </c>
      <c r="BB410" s="26" t="s">
        <v>7</v>
      </c>
      <c r="BC410" s="26" t="s">
        <v>8</v>
      </c>
      <c r="BD410" s="26" t="s">
        <v>7</v>
      </c>
      <c r="BE410" s="26" t="s">
        <v>8</v>
      </c>
      <c r="BF410" s="26" t="s">
        <v>7</v>
      </c>
    </row>
    <row r="411" spans="1:69" x14ac:dyDescent="0.25">
      <c r="A411" s="33">
        <v>2.2080911128908529E-4</v>
      </c>
      <c r="F411" s="26" t="s">
        <v>7</v>
      </c>
      <c r="I411" s="26" t="s">
        <v>8</v>
      </c>
      <c r="L411" s="26" t="s">
        <v>7</v>
      </c>
      <c r="M411" s="26" t="s">
        <v>8</v>
      </c>
      <c r="N411" s="26" t="s">
        <v>7</v>
      </c>
      <c r="AE411" s="26" t="s">
        <v>8</v>
      </c>
      <c r="AF411" s="26" t="s">
        <v>7</v>
      </c>
      <c r="AG411" s="26" t="s">
        <v>8</v>
      </c>
      <c r="AH411" s="26" t="s">
        <v>7</v>
      </c>
      <c r="AI411" s="26" t="s">
        <v>8</v>
      </c>
      <c r="AJ411" s="26" t="s">
        <v>7</v>
      </c>
      <c r="AK411" s="26" t="s">
        <v>8</v>
      </c>
      <c r="AL411" s="26" t="s">
        <v>7</v>
      </c>
      <c r="AM411" s="26" t="s">
        <v>8</v>
      </c>
      <c r="AR411" s="26" t="s">
        <v>7</v>
      </c>
      <c r="AS411" s="26" t="s">
        <v>8</v>
      </c>
      <c r="AT411" s="26" t="s">
        <v>7</v>
      </c>
      <c r="AU411" s="26" t="s">
        <v>8</v>
      </c>
      <c r="AV411" s="26" t="s">
        <v>7</v>
      </c>
      <c r="AW411" s="26" t="s">
        <v>8</v>
      </c>
      <c r="AY411" s="26" t="s">
        <v>8</v>
      </c>
      <c r="AZ411" s="26" t="s">
        <v>7</v>
      </c>
      <c r="BB411" s="26" t="s">
        <v>7</v>
      </c>
      <c r="BC411" s="26" t="s">
        <v>8</v>
      </c>
      <c r="BD411" s="26" t="s">
        <v>7</v>
      </c>
      <c r="BE411" s="26" t="s">
        <v>8</v>
      </c>
    </row>
    <row r="412" spans="1:69" x14ac:dyDescent="0.25">
      <c r="A412" s="33">
        <v>2.0976865572463102E-4</v>
      </c>
      <c r="F412" s="26" t="s">
        <v>7</v>
      </c>
      <c r="I412" s="26" t="s">
        <v>8</v>
      </c>
      <c r="L412" s="26" t="s">
        <v>7</v>
      </c>
      <c r="N412" s="26" t="s">
        <v>7</v>
      </c>
      <c r="AE412" s="26" t="s">
        <v>8</v>
      </c>
      <c r="AF412" s="26" t="s">
        <v>7</v>
      </c>
      <c r="AG412" s="26" t="s">
        <v>8</v>
      </c>
      <c r="AH412" s="26" t="s">
        <v>7</v>
      </c>
      <c r="AI412" s="26" t="s">
        <v>8</v>
      </c>
      <c r="AJ412" s="26" t="s">
        <v>7</v>
      </c>
      <c r="AL412" s="26" t="s">
        <v>7</v>
      </c>
      <c r="AM412" s="26" t="s">
        <v>8</v>
      </c>
      <c r="AR412" s="26" t="s">
        <v>7</v>
      </c>
      <c r="AT412" s="26" t="s">
        <v>7</v>
      </c>
      <c r="AU412" s="26" t="s">
        <v>8</v>
      </c>
      <c r="AV412" s="26" t="s">
        <v>7</v>
      </c>
      <c r="AW412" s="26" t="s">
        <v>8</v>
      </c>
      <c r="AX412" s="26" t="s">
        <v>7</v>
      </c>
      <c r="AY412" s="26" t="s">
        <v>8</v>
      </c>
      <c r="BB412" s="26" t="s">
        <v>7</v>
      </c>
      <c r="BD412" s="26" t="s">
        <v>7</v>
      </c>
      <c r="BE412" s="26" t="s">
        <v>8</v>
      </c>
    </row>
    <row r="413" spans="1:69" x14ac:dyDescent="0.25">
      <c r="A413" s="33">
        <v>1.9928022293839946E-4</v>
      </c>
      <c r="F413" s="26" t="s">
        <v>7</v>
      </c>
      <c r="I413" s="26" t="s">
        <v>8</v>
      </c>
      <c r="N413" s="26" t="s">
        <v>7</v>
      </c>
      <c r="O413" s="26" t="s">
        <v>8</v>
      </c>
      <c r="AE413" s="26" t="s">
        <v>8</v>
      </c>
      <c r="AF413" s="26" t="s">
        <v>7</v>
      </c>
      <c r="AH413" s="26" t="s">
        <v>7</v>
      </c>
      <c r="AI413" s="26" t="s">
        <v>8</v>
      </c>
      <c r="AL413" s="26" t="s">
        <v>7</v>
      </c>
      <c r="AT413" s="26" t="s">
        <v>7</v>
      </c>
      <c r="AV413" s="26" t="s">
        <v>7</v>
      </c>
      <c r="AW413" s="26" t="s">
        <v>8</v>
      </c>
      <c r="AX413" s="26" t="s">
        <v>7</v>
      </c>
      <c r="AY413" s="26" t="s">
        <v>8</v>
      </c>
      <c r="BD413" s="26" t="s">
        <v>7</v>
      </c>
      <c r="BE413" s="26" t="s">
        <v>8</v>
      </c>
    </row>
    <row r="414" spans="1:69" x14ac:dyDescent="0.25">
      <c r="A414" s="33">
        <v>1.8931621179147948E-4</v>
      </c>
      <c r="F414" s="26" t="s">
        <v>7</v>
      </c>
      <c r="G414" s="26" t="s">
        <v>8</v>
      </c>
      <c r="I414" s="26" t="s">
        <v>8</v>
      </c>
      <c r="N414" s="26" t="s">
        <v>7</v>
      </c>
      <c r="O414" s="26" t="s">
        <v>8</v>
      </c>
      <c r="P414" s="26" t="s">
        <v>7</v>
      </c>
      <c r="AE414" s="26" t="s">
        <v>8</v>
      </c>
      <c r="AH414" s="26" t="s">
        <v>7</v>
      </c>
      <c r="AV414" s="26" t="s">
        <v>7</v>
      </c>
      <c r="AW414" s="26" t="s">
        <v>8</v>
      </c>
      <c r="AX414" s="26" t="s">
        <v>7</v>
      </c>
      <c r="BD414" s="26" t="s">
        <v>7</v>
      </c>
    </row>
    <row r="415" spans="1:69" x14ac:dyDescent="0.25">
      <c r="A415" s="33">
        <v>1.798504012019055E-4</v>
      </c>
      <c r="F415" s="26" t="s">
        <v>7</v>
      </c>
      <c r="G415" s="26" t="s">
        <v>8</v>
      </c>
      <c r="H415" s="26" t="s">
        <v>7</v>
      </c>
      <c r="I415" s="26" t="s">
        <v>8</v>
      </c>
      <c r="N415" s="26" t="s">
        <v>7</v>
      </c>
      <c r="O415" s="26" t="s">
        <v>8</v>
      </c>
      <c r="P415" s="26" t="s">
        <v>7</v>
      </c>
      <c r="AE415" s="26" t="s">
        <v>8</v>
      </c>
      <c r="AV415" s="26" t="s">
        <v>7</v>
      </c>
      <c r="AW415" s="26" t="s">
        <v>8</v>
      </c>
    </row>
    <row r="416" spans="1:69" x14ac:dyDescent="0.25">
      <c r="A416" s="33">
        <v>1.7085788114181021E-4</v>
      </c>
      <c r="F416" s="26" t="s">
        <v>7</v>
      </c>
      <c r="G416" s="26" t="s">
        <v>8</v>
      </c>
      <c r="H416" s="26" t="s">
        <v>7</v>
      </c>
      <c r="I416" s="26" t="s">
        <v>8</v>
      </c>
      <c r="N416" s="26" t="s">
        <v>7</v>
      </c>
      <c r="O416" s="26" t="s">
        <v>8</v>
      </c>
      <c r="P416" s="26" t="s">
        <v>7</v>
      </c>
      <c r="AA416" s="26" t="s">
        <v>8</v>
      </c>
      <c r="AE416" s="26" t="s">
        <v>8</v>
      </c>
      <c r="AV416" s="26" t="s">
        <v>7</v>
      </c>
      <c r="AW416" s="26" t="s">
        <v>8</v>
      </c>
    </row>
    <row r="417" spans="1:48" x14ac:dyDescent="0.25">
      <c r="A417" s="33">
        <v>1.623149870847197E-4</v>
      </c>
      <c r="F417" s="26" t="s">
        <v>7</v>
      </c>
      <c r="G417" s="26" t="s">
        <v>8</v>
      </c>
      <c r="H417" s="26" t="s">
        <v>7</v>
      </c>
      <c r="N417" s="26" t="s">
        <v>7</v>
      </c>
      <c r="O417" s="26" t="s">
        <v>8</v>
      </c>
      <c r="P417" s="26" t="s">
        <v>7</v>
      </c>
      <c r="AA417" s="26" t="s">
        <v>8</v>
      </c>
      <c r="AB417" s="26" t="s">
        <v>7</v>
      </c>
      <c r="AC417" s="26" t="s">
        <v>8</v>
      </c>
      <c r="AE417" s="26" t="s">
        <v>8</v>
      </c>
      <c r="AV417" s="26" t="s">
        <v>7</v>
      </c>
    </row>
    <row r="418" spans="1:48" x14ac:dyDescent="0.25">
      <c r="A418" s="33">
        <v>1.541992377304837E-4</v>
      </c>
      <c r="F418" s="26" t="s">
        <v>7</v>
      </c>
      <c r="N418" s="26" t="s">
        <v>7</v>
      </c>
      <c r="P418" s="26" t="s">
        <v>7</v>
      </c>
      <c r="AA418" s="26" t="s">
        <v>8</v>
      </c>
      <c r="AB418" s="26" t="s">
        <v>7</v>
      </c>
      <c r="AC418" s="26" t="s">
        <v>8</v>
      </c>
      <c r="AD418" s="26" t="s">
        <v>7</v>
      </c>
      <c r="AE418" s="26" t="s">
        <v>8</v>
      </c>
    </row>
    <row r="419" spans="1:48" x14ac:dyDescent="0.25">
      <c r="A419" s="33">
        <v>1.4648927584395952E-4</v>
      </c>
      <c r="P419" s="26" t="s">
        <v>7</v>
      </c>
      <c r="S419" s="26" t="s">
        <v>8</v>
      </c>
      <c r="AA419" s="26" t="s">
        <v>8</v>
      </c>
      <c r="AB419" s="26" t="s">
        <v>7</v>
      </c>
      <c r="AC419" s="26" t="s">
        <v>8</v>
      </c>
      <c r="AD419" s="26" t="s">
        <v>7</v>
      </c>
      <c r="AE419" s="26" t="s">
        <v>8</v>
      </c>
    </row>
    <row r="420" spans="1:48" x14ac:dyDescent="0.25">
      <c r="A420" s="33">
        <v>1.3916481205176153E-4</v>
      </c>
      <c r="P420" s="26" t="s">
        <v>7</v>
      </c>
      <c r="S420" s="26" t="s">
        <v>8</v>
      </c>
      <c r="T420" s="26" t="s">
        <v>7</v>
      </c>
      <c r="AA420" s="26" t="s">
        <v>8</v>
      </c>
      <c r="AB420" s="26" t="s">
        <v>7</v>
      </c>
      <c r="AC420" s="26" t="s">
        <v>8</v>
      </c>
      <c r="AD420" s="26" t="s">
        <v>7</v>
      </c>
      <c r="AE420" s="26" t="s">
        <v>8</v>
      </c>
    </row>
    <row r="421" spans="1:48" x14ac:dyDescent="0.25">
      <c r="A421" s="33">
        <v>1.3220657144917344E-4</v>
      </c>
      <c r="P421" s="26" t="s">
        <v>7</v>
      </c>
      <c r="S421" s="26" t="s">
        <v>8</v>
      </c>
      <c r="T421" s="26" t="s">
        <v>7</v>
      </c>
      <c r="AA421" s="26" t="s">
        <v>8</v>
      </c>
      <c r="AB421" s="26" t="s">
        <v>7</v>
      </c>
      <c r="AD421" s="26" t="s">
        <v>7</v>
      </c>
      <c r="AE421" s="26" t="s">
        <v>8</v>
      </c>
    </row>
    <row r="422" spans="1:48" x14ac:dyDescent="0.25">
      <c r="A422" s="33">
        <v>1.2559624287671476E-4</v>
      </c>
      <c r="P422" s="26" t="s">
        <v>7</v>
      </c>
      <c r="S422" s="26" t="s">
        <v>8</v>
      </c>
      <c r="T422" s="26" t="s">
        <v>7</v>
      </c>
      <c r="U422" s="26" t="s">
        <v>8</v>
      </c>
      <c r="Y422" s="26" t="s">
        <v>8</v>
      </c>
      <c r="AA422" s="26" t="s">
        <v>8</v>
      </c>
      <c r="AD422" s="26" t="s">
        <v>7</v>
      </c>
    </row>
    <row r="423" spans="1:48" x14ac:dyDescent="0.25">
      <c r="A423" s="33">
        <v>1.1931643073287902E-4</v>
      </c>
      <c r="P423" s="26" t="s">
        <v>7</v>
      </c>
      <c r="S423" s="26" t="s">
        <v>8</v>
      </c>
      <c r="T423" s="26" t="s">
        <v>7</v>
      </c>
      <c r="U423" s="26" t="s">
        <v>8</v>
      </c>
      <c r="V423" s="26" t="s">
        <v>7</v>
      </c>
      <c r="W423" s="26" t="s">
        <v>8</v>
      </c>
      <c r="Y423" s="26" t="s">
        <v>8</v>
      </c>
      <c r="Z423" s="26" t="s">
        <v>7</v>
      </c>
      <c r="AA423" s="26" t="s">
        <v>8</v>
      </c>
    </row>
    <row r="424" spans="1:48" x14ac:dyDescent="0.25">
      <c r="A424" s="33">
        <v>1.1335060919623506E-4</v>
      </c>
      <c r="P424" s="26" t="s">
        <v>7</v>
      </c>
      <c r="S424" s="26" t="s">
        <v>8</v>
      </c>
      <c r="T424" s="26" t="s">
        <v>7</v>
      </c>
      <c r="U424" s="26" t="s">
        <v>8</v>
      </c>
      <c r="V424" s="26" t="s">
        <v>7</v>
      </c>
      <c r="W424" s="26" t="s">
        <v>8</v>
      </c>
      <c r="X424" s="26" t="s">
        <v>7</v>
      </c>
      <c r="Y424" s="26" t="s">
        <v>8</v>
      </c>
      <c r="Z424" s="26" t="s">
        <v>7</v>
      </c>
      <c r="AA424" s="26" t="s">
        <v>8</v>
      </c>
    </row>
    <row r="425" spans="1:48" x14ac:dyDescent="0.25">
      <c r="A425" s="33">
        <v>1.076830787364233E-4</v>
      </c>
      <c r="P425" s="26" t="s">
        <v>7</v>
      </c>
      <c r="S425" s="26" t="s">
        <v>8</v>
      </c>
      <c r="T425" s="26" t="s">
        <v>7</v>
      </c>
      <c r="U425" s="26" t="s">
        <v>8</v>
      </c>
      <c r="V425" s="26" t="s">
        <v>7</v>
      </c>
      <c r="W425" s="26" t="s">
        <v>8</v>
      </c>
      <c r="X425" s="26" t="s">
        <v>7</v>
      </c>
      <c r="Y425" s="26" t="s">
        <v>8</v>
      </c>
      <c r="Z425" s="26" t="s">
        <v>7</v>
      </c>
    </row>
    <row r="426" spans="1:48" x14ac:dyDescent="0.25">
      <c r="A426" s="33">
        <v>1.0229892479960213E-4</v>
      </c>
      <c r="P426" s="26" t="s">
        <v>7</v>
      </c>
      <c r="Q426" s="26" t="s">
        <v>8</v>
      </c>
      <c r="S426" s="26" t="s">
        <v>8</v>
      </c>
      <c r="T426" s="26" t="s">
        <v>7</v>
      </c>
      <c r="V426" s="26" t="s">
        <v>7</v>
      </c>
      <c r="X426" s="26" t="s">
        <v>7</v>
      </c>
      <c r="Y426" s="26" t="s">
        <v>8</v>
      </c>
    </row>
    <row r="427" spans="1:48" x14ac:dyDescent="0.25">
      <c r="A427" s="33">
        <v>9.7183978559622027E-5</v>
      </c>
      <c r="P427" s="26" t="s">
        <v>7</v>
      </c>
      <c r="Q427" s="26" t="s">
        <v>8</v>
      </c>
      <c r="R427" s="26" t="s">
        <v>7</v>
      </c>
      <c r="S427" s="26" t="s">
        <v>8</v>
      </c>
      <c r="X427" s="26" t="s">
        <v>7</v>
      </c>
    </row>
    <row r="428" spans="1:48" x14ac:dyDescent="0.25">
      <c r="A428" s="33">
        <v>9.2324779631640922E-5</v>
      </c>
      <c r="P428" s="26" t="s">
        <v>7</v>
      </c>
      <c r="Q428" s="26" t="s">
        <v>8</v>
      </c>
      <c r="R428" s="26" t="s">
        <v>7</v>
      </c>
      <c r="S428" s="26" t="s">
        <v>8</v>
      </c>
    </row>
    <row r="429" spans="1:48" x14ac:dyDescent="0.25">
      <c r="A429" s="33">
        <v>8.7708540650058869E-5</v>
      </c>
      <c r="P429" s="26" t="s">
        <v>7</v>
      </c>
      <c r="Q429" s="26" t="s">
        <v>8</v>
      </c>
      <c r="R429" s="26" t="s">
        <v>7</v>
      </c>
      <c r="S429" s="26" t="s">
        <v>8</v>
      </c>
    </row>
    <row r="430" spans="1:48" x14ac:dyDescent="0.25">
      <c r="A430" s="33">
        <v>8.3323113617555917E-5</v>
      </c>
      <c r="P430" s="26" t="s">
        <v>7</v>
      </c>
      <c r="Q430" s="26" t="s">
        <v>8</v>
      </c>
      <c r="R430" s="26" t="s">
        <v>7</v>
      </c>
      <c r="S430" s="26" t="s">
        <v>8</v>
      </c>
    </row>
    <row r="431" spans="1:48" x14ac:dyDescent="0.25">
      <c r="A431" s="33">
        <v>7.9156957936678114E-5</v>
      </c>
      <c r="P431" s="26" t="s">
        <v>7</v>
      </c>
      <c r="Q431" s="26" t="s">
        <v>8</v>
      </c>
      <c r="R431" s="26" t="s">
        <v>7</v>
      </c>
      <c r="S431" s="26" t="s">
        <v>8</v>
      </c>
    </row>
    <row r="432" spans="1:48" x14ac:dyDescent="0.25">
      <c r="A432" s="33">
        <v>7.5199110039844203E-5</v>
      </c>
      <c r="P432" s="26" t="s">
        <v>7</v>
      </c>
      <c r="Q432" s="26" t="s">
        <v>8</v>
      </c>
      <c r="R432" s="26" t="s">
        <v>7</v>
      </c>
    </row>
    <row r="433" spans="1:17" x14ac:dyDescent="0.25">
      <c r="A433" s="33">
        <v>7.1439154537851989E-5</v>
      </c>
      <c r="P433" s="26" t="s">
        <v>7</v>
      </c>
      <c r="Q433" s="26" t="s">
        <v>8</v>
      </c>
    </row>
    <row r="434" spans="1:17" x14ac:dyDescent="0.25">
      <c r="A434" s="33">
        <v>6.7867196810959381E-5</v>
      </c>
      <c r="P434" s="26" t="s">
        <v>7</v>
      </c>
    </row>
    <row r="435" spans="1:17" x14ac:dyDescent="0.25">
      <c r="A435" s="33">
        <v>6.4473836970411412E-5</v>
      </c>
    </row>
    <row r="436" spans="1:17" x14ac:dyDescent="0.25">
      <c r="A436" s="33">
        <v>6.1250145121890834E-5</v>
      </c>
    </row>
    <row r="437" spans="1:17" x14ac:dyDescent="0.25">
      <c r="A437" s="33">
        <v>5.8187637865796292E-5</v>
      </c>
    </row>
    <row r="438" spans="1:17" x14ac:dyDescent="0.25">
      <c r="A438" s="33">
        <v>5.5278255972506478E-5</v>
      </c>
    </row>
    <row r="439" spans="1:17" x14ac:dyDescent="0.25">
      <c r="A439" s="33">
        <v>5.251434317388115E-5</v>
      </c>
    </row>
    <row r="440" spans="1:17" x14ac:dyDescent="0.25">
      <c r="A440" s="33">
        <v>4.9888626015187091E-5</v>
      </c>
    </row>
    <row r="441" spans="1:17" x14ac:dyDescent="0.25">
      <c r="A441" s="33">
        <v>4.7394194714427735E-5</v>
      </c>
    </row>
    <row r="442" spans="1:17" x14ac:dyDescent="0.25">
      <c r="A442" s="33">
        <v>4.5024484978706345E-5</v>
      </c>
    </row>
    <row r="443" spans="1:17" x14ac:dyDescent="0.25">
      <c r="A443" s="33">
        <v>4.2773260729771024E-5</v>
      </c>
    </row>
    <row r="444" spans="1:17" x14ac:dyDescent="0.25">
      <c r="A444" s="33">
        <v>4.0634597693282472E-5</v>
      </c>
    </row>
    <row r="445" spans="1:17" x14ac:dyDescent="0.25">
      <c r="A445" s="33">
        <v>3.8602867808618349E-5</v>
      </c>
    </row>
    <row r="446" spans="1:17" x14ac:dyDescent="0.25">
      <c r="A446" s="33">
        <v>3.6672724418187428E-5</v>
      </c>
    </row>
    <row r="447" spans="1:17" x14ac:dyDescent="0.25">
      <c r="A447" s="33">
        <v>3.4839088197278057E-5</v>
      </c>
    </row>
    <row r="448" spans="1:17" x14ac:dyDescent="0.25">
      <c r="A448" s="33">
        <v>3.3097133787414149E-5</v>
      </c>
    </row>
    <row r="449" spans="1:1" x14ac:dyDescent="0.25">
      <c r="A449" s="33">
        <v>3.1442277098043439E-5</v>
      </c>
    </row>
    <row r="450" spans="1:1" x14ac:dyDescent="0.25">
      <c r="A450" s="33">
        <v>2.9870163243141264E-5</v>
      </c>
    </row>
    <row r="451" spans="1:1" x14ac:dyDescent="0.25">
      <c r="A451" s="33">
        <v>2.8376655080984199E-5</v>
      </c>
    </row>
    <row r="452" spans="1:1" x14ac:dyDescent="0.25">
      <c r="A452" s="33">
        <v>2.6957822326934987E-5</v>
      </c>
    </row>
    <row r="453" spans="1:1" x14ac:dyDescent="0.25">
      <c r="A453" s="33">
        <v>2.5609931210588235E-5</v>
      </c>
    </row>
    <row r="454" spans="1:1" x14ac:dyDescent="0.25">
      <c r="A454" s="33">
        <v>2.4329434650058821E-5</v>
      </c>
    </row>
    <row r="455" spans="1:1" x14ac:dyDescent="0.25">
      <c r="A455" s="33">
        <v>2.311296291755588E-5</v>
      </c>
    </row>
    <row r="456" spans="1:1" x14ac:dyDescent="0.25">
      <c r="A456" s="33">
        <v>2.1957314771678086E-5</v>
      </c>
    </row>
    <row r="457" spans="1:1" x14ac:dyDescent="0.25">
      <c r="A457" s="33">
        <v>2.085944903309418E-5</v>
      </c>
    </row>
    <row r="458" spans="1:1" x14ac:dyDescent="0.25">
      <c r="A458" s="33">
        <v>1.9816476581439472E-5</v>
      </c>
    </row>
    <row r="459" spans="1:1" x14ac:dyDescent="0.25">
      <c r="A459" s="33">
        <v>1.8825652752367499E-5</v>
      </c>
    </row>
    <row r="460" spans="1:1" x14ac:dyDescent="0.25">
      <c r="A460" s="33">
        <v>1.7884370114749124E-5</v>
      </c>
    </row>
    <row r="461" spans="1:1" x14ac:dyDescent="0.25">
      <c r="A461" s="33">
        <v>1.6990151609011666E-5</v>
      </c>
    </row>
    <row r="462" spans="1:1" x14ac:dyDescent="0.25">
      <c r="A462" s="33">
        <v>1.6140644028561083E-5</v>
      </c>
    </row>
    <row r="463" spans="1:1" x14ac:dyDescent="0.25">
      <c r="A463" s="33">
        <v>1.5333611827133028E-5</v>
      </c>
    </row>
    <row r="464" spans="1:1" x14ac:dyDescent="0.25">
      <c r="A464" s="33">
        <v>1.4566931235776375E-5</v>
      </c>
    </row>
    <row r="465" spans="1:1" x14ac:dyDescent="0.25">
      <c r="A465" s="33">
        <v>1.3838584673987556E-5</v>
      </c>
    </row>
    <row r="466" spans="1:1" x14ac:dyDescent="0.25">
      <c r="A466" s="33">
        <v>1.3146655440288178E-5</v>
      </c>
    </row>
    <row r="467" spans="1:1" x14ac:dyDescent="0.25">
      <c r="A467" s="33">
        <v>1.2489322668273768E-5</v>
      </c>
    </row>
    <row r="468" spans="1:1" x14ac:dyDescent="0.25">
      <c r="A468" s="33">
        <v>1.186485653486008E-5</v>
      </c>
    </row>
    <row r="469" spans="1:1" x14ac:dyDescent="0.25">
      <c r="A469" s="33">
        <v>1.1271613708117075E-5</v>
      </c>
    </row>
    <row r="470" spans="1:1" x14ac:dyDescent="0.25">
      <c r="A470" s="33">
        <v>1.0708033022711222E-5</v>
      </c>
    </row>
    <row r="471" spans="1:1" x14ac:dyDescent="0.25">
      <c r="A471" s="33">
        <v>1.0172631371575661E-5</v>
      </c>
    </row>
    <row r="472" spans="1:1" x14ac:dyDescent="0.25">
      <c r="A472" s="33">
        <v>9.6639998029968765E-6</v>
      </c>
    </row>
    <row r="473" spans="1:1" x14ac:dyDescent="0.25">
      <c r="A473" s="33">
        <v>9.1807998128470321E-6</v>
      </c>
    </row>
    <row r="474" spans="1:1" x14ac:dyDescent="0.25">
      <c r="A474" s="33">
        <v>8.7217598222046798E-6</v>
      </c>
    </row>
    <row r="475" spans="1:1" x14ac:dyDescent="0.25">
      <c r="A475" s="33">
        <v>8.2856718310944451E-6</v>
      </c>
    </row>
    <row r="476" spans="1:1" x14ac:dyDescent="0.25">
      <c r="A476" s="33">
        <v>7.8713882395397226E-6</v>
      </c>
    </row>
    <row r="477" spans="1:1" x14ac:dyDescent="0.25">
      <c r="A477" s="33">
        <v>7.4778188275627361E-6</v>
      </c>
    </row>
    <row r="478" spans="1:1" x14ac:dyDescent="0.25">
      <c r="A478" s="33">
        <v>7.1039278861845986E-6</v>
      </c>
    </row>
    <row r="479" spans="1:1" x14ac:dyDescent="0.25">
      <c r="A479" s="33">
        <v>6.7487314918753682E-6</v>
      </c>
    </row>
    <row r="480" spans="1:1" x14ac:dyDescent="0.25">
      <c r="A480" s="33">
        <v>6.4112949172815995E-6</v>
      </c>
    </row>
    <row r="481" spans="1:1" x14ac:dyDescent="0.25">
      <c r="A481" s="33">
        <v>6.0907301714175189E-6</v>
      </c>
    </row>
    <row r="482" spans="1:1" x14ac:dyDescent="0.25">
      <c r="A482" s="33">
        <v>5.7861936628466423E-6</v>
      </c>
    </row>
    <row r="483" spans="1:1" x14ac:dyDescent="0.25">
      <c r="A483" s="33">
        <v>5.4968839797043099E-6</v>
      </c>
    </row>
    <row r="484" spans="1:1" x14ac:dyDescent="0.25">
      <c r="A484" s="33">
        <v>5.2220397807190937E-6</v>
      </c>
    </row>
    <row r="485" spans="1:1" x14ac:dyDescent="0.25">
      <c r="A485" s="33">
        <v>4.9609377916831386E-6</v>
      </c>
    </row>
    <row r="486" spans="1:1" x14ac:dyDescent="0.25">
      <c r="A486" s="33">
        <v>4.7128909020989814E-6</v>
      </c>
    </row>
    <row r="487" spans="1:1" x14ac:dyDescent="0.25">
      <c r="A487" s="33">
        <v>4.4772463569940322E-6</v>
      </c>
    </row>
    <row r="488" spans="1:1" x14ac:dyDescent="0.25">
      <c r="A488" s="33">
        <v>4.2533840391443302E-6</v>
      </c>
    </row>
    <row r="489" spans="1:1" x14ac:dyDescent="0.25">
      <c r="A489" s="33">
        <v>4.0407148371871134E-6</v>
      </c>
    </row>
    <row r="490" spans="1:1" x14ac:dyDescent="0.25">
      <c r="A490" s="33">
        <v>3.838679095327758E-6</v>
      </c>
    </row>
    <row r="491" spans="1:1" x14ac:dyDescent="0.25">
      <c r="A491" s="33">
        <v>3.6467451405613698E-6</v>
      </c>
    </row>
    <row r="492" spans="1:1" x14ac:dyDescent="0.25">
      <c r="A492" s="33">
        <v>3.464407883533301E-6</v>
      </c>
    </row>
    <row r="493" spans="1:1" x14ac:dyDescent="0.25">
      <c r="A493" s="33">
        <v>3.2911874893566358E-6</v>
      </c>
    </row>
    <row r="494" spans="1:1" x14ac:dyDescent="0.25">
      <c r="A494" s="33">
        <v>3.1266281148888039E-6</v>
      </c>
    </row>
    <row r="495" spans="1:1" x14ac:dyDescent="0.25">
      <c r="A495" s="33">
        <v>2.9702967091443636E-6</v>
      </c>
    </row>
    <row r="496" spans="1:1" x14ac:dyDescent="0.25">
      <c r="A496" s="33">
        <v>2.8217818736871453E-6</v>
      </c>
    </row>
    <row r="497" spans="1:1" x14ac:dyDescent="0.25">
      <c r="A497" s="33">
        <v>2.6806927800027881E-6</v>
      </c>
    </row>
    <row r="498" spans="1:1" x14ac:dyDescent="0.25">
      <c r="A498" s="33">
        <v>2.5466581410026485E-6</v>
      </c>
    </row>
    <row r="499" spans="1:1" x14ac:dyDescent="0.25">
      <c r="A499" s="33">
        <v>2.4193252339525159E-6</v>
      </c>
    </row>
    <row r="500" spans="1:1" x14ac:dyDescent="0.25">
      <c r="A500" s="33">
        <v>2.2983589722548901E-6</v>
      </c>
    </row>
    <row r="501" spans="1:1" x14ac:dyDescent="0.25">
      <c r="A501" s="33">
        <v>2.1834410236421454E-6</v>
      </c>
    </row>
    <row r="502" spans="1:1" x14ac:dyDescent="0.25">
      <c r="A502" s="33">
        <v>2.0742689724600379E-6</v>
      </c>
    </row>
    <row r="503" spans="1:1" x14ac:dyDescent="0.25">
      <c r="A503" s="33">
        <v>1.9705555238370358E-6</v>
      </c>
    </row>
    <row r="504" spans="1:1" x14ac:dyDescent="0.25">
      <c r="A504" s="33">
        <v>1.8720277476451839E-6</v>
      </c>
    </row>
    <row r="505" spans="1:1" x14ac:dyDescent="0.25">
      <c r="A505" s="33">
        <v>1.7784263602629246E-6</v>
      </c>
    </row>
    <row r="506" spans="1:1" x14ac:dyDescent="0.25">
      <c r="A506" s="33">
        <v>1.6895050422497783E-6</v>
      </c>
    </row>
    <row r="507" spans="1:1" x14ac:dyDescent="0.25">
      <c r="A507" s="33">
        <v>1.6050297901372894E-6</v>
      </c>
    </row>
    <row r="508" spans="1:1" x14ac:dyDescent="0.25">
      <c r="A508" s="33">
        <v>1.5247783006304249E-6</v>
      </c>
    </row>
    <row r="509" spans="1:1" x14ac:dyDescent="0.25">
      <c r="A509" s="33">
        <v>1.4485393855989036E-6</v>
      </c>
    </row>
    <row r="510" spans="1:1" x14ac:dyDescent="0.25">
      <c r="A510" s="33">
        <v>1.3761124163189583E-6</v>
      </c>
    </row>
    <row r="511" spans="1:1" x14ac:dyDescent="0.25">
      <c r="A511" s="33">
        <v>1.3073067955030102E-6</v>
      </c>
    </row>
    <row r="512" spans="1:1" x14ac:dyDescent="0.25">
      <c r="A512" s="33">
        <v>1.2419414557278597E-6</v>
      </c>
    </row>
    <row r="513" spans="1:1" x14ac:dyDescent="0.25">
      <c r="A513" s="33">
        <v>1.1798443829414667E-6</v>
      </c>
    </row>
    <row r="514" spans="1:1" x14ac:dyDescent="0.25">
      <c r="A514" s="33">
        <v>1.1208521637943934E-6</v>
      </c>
    </row>
    <row r="515" spans="1:1" x14ac:dyDescent="0.25">
      <c r="A515" s="33">
        <v>1.0648095556046737E-6</v>
      </c>
    </row>
    <row r="516" spans="1:1" x14ac:dyDescent="0.25">
      <c r="A516" s="33">
        <v>1.01156907782444E-6</v>
      </c>
    </row>
    <row r="517" spans="1:1" x14ac:dyDescent="0.25">
      <c r="A517" s="33">
        <v>9.6099062393321788E-7</v>
      </c>
    </row>
    <row r="518" spans="1:1" x14ac:dyDescent="0.25">
      <c r="A518" s="33">
        <v>9.1294109273655694E-7</v>
      </c>
    </row>
    <row r="519" spans="1:1" x14ac:dyDescent="0.25">
      <c r="A519" s="33">
        <v>8.6729403809972904E-7</v>
      </c>
    </row>
    <row r="520" spans="1:1" x14ac:dyDescent="0.25">
      <c r="A520" s="33">
        <v>8.2392933619474258E-7</v>
      </c>
    </row>
    <row r="521" spans="1:1" x14ac:dyDescent="0.25">
      <c r="A521" s="33">
        <v>7.8273286938500543E-7</v>
      </c>
    </row>
    <row r="522" spans="1:1" x14ac:dyDescent="0.25">
      <c r="A522" s="33">
        <v>7.4359622591575509E-7</v>
      </c>
    </row>
    <row r="523" spans="1:1" x14ac:dyDescent="0.25">
      <c r="A523" s="33">
        <v>7.064164146199673E-7</v>
      </c>
    </row>
    <row r="524" spans="1:1" x14ac:dyDescent="0.25">
      <c r="A524" s="33">
        <v>6.7109559388896894E-7</v>
      </c>
    </row>
    <row r="525" spans="1:1" x14ac:dyDescent="0.25">
      <c r="A525" s="33">
        <v>6.3754081419452045E-7</v>
      </c>
    </row>
    <row r="526" spans="1:1" x14ac:dyDescent="0.25">
      <c r="A526" s="33">
        <v>6.056637734847944E-7</v>
      </c>
    </row>
    <row r="527" spans="1:1" x14ac:dyDescent="0.25">
      <c r="A527" s="33">
        <v>5.7538058481055464E-7</v>
      </c>
    </row>
    <row r="528" spans="1:1" x14ac:dyDescent="0.25">
      <c r="A528" s="33">
        <v>5.4661155557002689E-7</v>
      </c>
    </row>
    <row r="529" spans="1:1" x14ac:dyDescent="0.25">
      <c r="A529" s="33">
        <v>5.1928097779152547E-7</v>
      </c>
    </row>
    <row r="530" spans="1:1" x14ac:dyDescent="0.25">
      <c r="A530" s="33">
        <v>4.9331692890194916E-7</v>
      </c>
    </row>
    <row r="531" spans="1:1" x14ac:dyDescent="0.25">
      <c r="A531" s="33">
        <v>4.6865108245685168E-7</v>
      </c>
    </row>
    <row r="532" spans="1:1" x14ac:dyDescent="0.25">
      <c r="A532" s="33">
        <v>4.4521852833400909E-7</v>
      </c>
    </row>
    <row r="533" spans="1:1" x14ac:dyDescent="0.25">
      <c r="A533" s="33">
        <v>4.2295760191730863E-7</v>
      </c>
    </row>
    <row r="534" spans="1:1" x14ac:dyDescent="0.25">
      <c r="A534" s="33">
        <v>4.018097218214432E-7</v>
      </c>
    </row>
    <row r="535" spans="1:1" x14ac:dyDescent="0.25">
      <c r="A535" s="33">
        <v>3.8171923573037103E-7</v>
      </c>
    </row>
    <row r="536" spans="1:1" x14ac:dyDescent="0.25">
      <c r="A536" s="33">
        <v>3.6263327394385244E-7</v>
      </c>
    </row>
    <row r="537" spans="1:1" x14ac:dyDescent="0.25">
      <c r="A537" s="33">
        <v>3.4450161024665982E-7</v>
      </c>
    </row>
    <row r="538" spans="1:1" x14ac:dyDescent="0.25">
      <c r="A538" s="33">
        <v>3.2727652973432681E-7</v>
      </c>
    </row>
    <row r="539" spans="1:1" x14ac:dyDescent="0.25">
      <c r="A539" s="33">
        <v>3.1091270324761048E-7</v>
      </c>
    </row>
    <row r="540" spans="1:1" x14ac:dyDescent="0.25">
      <c r="A540" s="33">
        <v>2.9536706808522992E-7</v>
      </c>
    </row>
    <row r="541" spans="1:1" x14ac:dyDescent="0.25">
      <c r="A541" s="33">
        <v>2.8059871468096844E-7</v>
      </c>
    </row>
    <row r="542" spans="1:1" x14ac:dyDescent="0.25">
      <c r="A542" s="33">
        <v>2.6656877894691999E-7</v>
      </c>
    </row>
    <row r="543" spans="1:1" x14ac:dyDescent="0.25">
      <c r="A543" s="33">
        <v>2.5324033999957397E-7</v>
      </c>
    </row>
    <row r="544" spans="1:1" x14ac:dyDescent="0.25">
      <c r="A544" s="33">
        <v>2.4057832299959528E-7</v>
      </c>
    </row>
    <row r="545" spans="1:1" x14ac:dyDescent="0.25">
      <c r="A545" s="33">
        <v>2.2854940684961551E-7</v>
      </c>
    </row>
    <row r="546" spans="1:1" x14ac:dyDescent="0.25">
      <c r="A546" s="33">
        <v>2.1712193650713473E-7</v>
      </c>
    </row>
    <row r="547" spans="1:1" x14ac:dyDescent="0.25">
      <c r="A547" s="33">
        <v>2.0626583968177798E-7</v>
      </c>
    </row>
    <row r="548" spans="1:1" x14ac:dyDescent="0.25">
      <c r="A548" s="33">
        <v>1.9595254769768908E-7</v>
      </c>
    </row>
    <row r="549" spans="1:1" x14ac:dyDescent="0.25">
      <c r="A549" s="33">
        <v>1.8615492031280462E-7</v>
      </c>
    </row>
    <row r="550" spans="1:1" x14ac:dyDescent="0.25">
      <c r="A550" s="33">
        <v>1.7684717429716437E-7</v>
      </c>
    </row>
    <row r="551" spans="1:1" x14ac:dyDescent="0.25">
      <c r="A551" s="33">
        <v>1.6800481558230616E-7</v>
      </c>
    </row>
    <row r="552" spans="1:1" x14ac:dyDescent="0.25">
      <c r="A552" s="33">
        <v>1.5960457480319083E-7</v>
      </c>
    </row>
    <row r="553" spans="1:1" x14ac:dyDescent="0.25">
      <c r="A553" s="33">
        <v>1.5162434606303129E-7</v>
      </c>
    </row>
    <row r="554" spans="1:1" x14ac:dyDescent="0.25">
      <c r="A554" s="33">
        <v>1.4404312875987972E-7</v>
      </c>
    </row>
    <row r="555" spans="1:1" x14ac:dyDescent="0.25">
      <c r="A555" s="33">
        <v>1.3684097232188573E-7</v>
      </c>
    </row>
    <row r="556" spans="1:1" x14ac:dyDescent="0.25">
      <c r="A556" s="33">
        <v>1.2999892370579143E-7</v>
      </c>
    </row>
    <row r="557" spans="1:1" x14ac:dyDescent="0.25">
      <c r="A557" s="33">
        <v>1.2349897752050186E-7</v>
      </c>
    </row>
    <row r="558" spans="1:1" x14ac:dyDescent="0.25">
      <c r="A558" s="33">
        <v>1.1732402864447677E-7</v>
      </c>
    </row>
    <row r="559" spans="1:1" x14ac:dyDescent="0.25">
      <c r="A559" s="33">
        <v>1.1145782721225292E-7</v>
      </c>
    </row>
    <row r="560" spans="1:1" x14ac:dyDescent="0.25">
      <c r="A560" s="33">
        <v>1.0588493585164026E-7</v>
      </c>
    </row>
    <row r="561" spans="1:1" x14ac:dyDescent="0.25">
      <c r="A561" s="33">
        <v>1.0059068905905825E-7</v>
      </c>
    </row>
    <row r="562" spans="1:1" x14ac:dyDescent="0.25">
      <c r="A562" s="33">
        <v>9.5561154606105325E-8</v>
      </c>
    </row>
    <row r="563" spans="1:1" x14ac:dyDescent="0.25">
      <c r="A563" s="33">
        <v>9.0783096875800056E-8</v>
      </c>
    </row>
    <row r="564" spans="1:1" x14ac:dyDescent="0.25">
      <c r="A564" s="33">
        <v>8.6243942032010053E-8</v>
      </c>
    </row>
    <row r="565" spans="1:1" x14ac:dyDescent="0.25">
      <c r="A565" s="33">
        <v>8.1931744930409543E-8</v>
      </c>
    </row>
    <row r="566" spans="1:1" x14ac:dyDescent="0.25">
      <c r="A566" s="33">
        <v>7.7835157683889064E-8</v>
      </c>
    </row>
    <row r="567" spans="1:1" x14ac:dyDescent="0.25">
      <c r="A567" s="33">
        <v>7.3943399799694612E-8</v>
      </c>
    </row>
    <row r="568" spans="1:1" x14ac:dyDescent="0.25">
      <c r="A568" s="33">
        <v>7.0246229809709872E-8</v>
      </c>
    </row>
    <row r="569" spans="1:1" x14ac:dyDescent="0.25">
      <c r="A569" s="33">
        <v>6.6733918319224378E-8</v>
      </c>
    </row>
    <row r="570" spans="1:1" x14ac:dyDescent="0.25">
      <c r="A570" s="33">
        <v>6.3397222403263155E-8</v>
      </c>
    </row>
    <row r="571" spans="1:1" x14ac:dyDescent="0.25">
      <c r="A571" s="33">
        <v>6.0227361283099997E-8</v>
      </c>
    </row>
    <row r="572" spans="1:1" x14ac:dyDescent="0.25">
      <c r="A572" s="33">
        <v>5.7215993218944996E-8</v>
      </c>
    </row>
    <row r="573" spans="1:1" x14ac:dyDescent="0.25">
      <c r="A573" s="33">
        <v>5.4355193557997742E-8</v>
      </c>
    </row>
    <row r="574" spans="1:1" x14ac:dyDescent="0.25">
      <c r="A574" s="33">
        <v>5.1637433880097855E-8</v>
      </c>
    </row>
    <row r="575" spans="1:1" x14ac:dyDescent="0.25">
      <c r="A575" s="33">
        <v>4.9055562186092959E-8</v>
      </c>
    </row>
    <row r="576" spans="1:1" x14ac:dyDescent="0.25">
      <c r="A576" s="33">
        <v>4.6602784076788309E-8</v>
      </c>
    </row>
    <row r="577" spans="1:1" x14ac:dyDescent="0.25">
      <c r="A577" s="33">
        <v>4.4272644872948894E-8</v>
      </c>
    </row>
    <row r="578" spans="1:1" x14ac:dyDescent="0.25">
      <c r="A578" s="33">
        <v>4.2059012629301451E-8</v>
      </c>
    </row>
    <row r="579" spans="1:1" x14ac:dyDescent="0.25">
      <c r="A579" s="33">
        <v>3.9956061997836377E-8</v>
      </c>
    </row>
    <row r="580" spans="1:1" x14ac:dyDescent="0.25">
      <c r="A580" s="33">
        <v>3.7958258897944555E-8</v>
      </c>
    </row>
    <row r="581" spans="1:1" x14ac:dyDescent="0.25">
      <c r="A581" s="33">
        <v>3.6060345953047327E-8</v>
      </c>
    </row>
    <row r="582" spans="1:1" x14ac:dyDescent="0.25">
      <c r="A582" s="33">
        <v>3.4257328655394958E-8</v>
      </c>
    </row>
    <row r="583" spans="1:1" x14ac:dyDescent="0.25">
      <c r="A583" s="33">
        <v>3.2544462222625211E-8</v>
      </c>
    </row>
    <row r="584" spans="1:1" x14ac:dyDescent="0.25">
      <c r="A584" s="33">
        <v>3.0917239111493953E-8</v>
      </c>
    </row>
    <row r="585" spans="1:1" x14ac:dyDescent="0.25">
      <c r="A585" s="33">
        <v>2.9371377155919254E-8</v>
      </c>
    </row>
    <row r="586" spans="1:1" x14ac:dyDescent="0.25">
      <c r="A586" s="33">
        <v>2.7902808298123291E-8</v>
      </c>
    </row>
    <row r="587" spans="1:1" x14ac:dyDescent="0.25">
      <c r="A587" s="33">
        <v>2.6507667883217124E-8</v>
      </c>
    </row>
    <row r="588" spans="1:1" x14ac:dyDescent="0.25">
      <c r="A588" s="33">
        <v>2.5182284489056268E-8</v>
      </c>
    </row>
    <row r="589" spans="1:1" x14ac:dyDescent="0.25">
      <c r="A589" s="33">
        <v>2.3923170264603454E-8</v>
      </c>
    </row>
    <row r="590" spans="1:1" x14ac:dyDescent="0.25">
      <c r="A590" s="33">
        <v>2.2727011751373281E-8</v>
      </c>
    </row>
    <row r="591" spans="1:1" x14ac:dyDescent="0.25">
      <c r="A591" s="33">
        <v>2.1590661163804617E-8</v>
      </c>
    </row>
    <row r="592" spans="1:1" x14ac:dyDescent="0.25">
      <c r="A592" s="33">
        <v>2.0511128105614386E-8</v>
      </c>
    </row>
    <row r="593" spans="1:1" x14ac:dyDescent="0.25">
      <c r="A593" s="33">
        <v>1.9485571700333666E-8</v>
      </c>
    </row>
    <row r="594" spans="1:1" x14ac:dyDescent="0.25">
      <c r="A594" s="33">
        <v>1.8511293115316981E-8</v>
      </c>
    </row>
    <row r="595" spans="1:1" x14ac:dyDescent="0.25">
      <c r="A595" s="33">
        <v>1.758572845955113E-8</v>
      </c>
    </row>
    <row r="596" spans="1:1" x14ac:dyDescent="0.25">
      <c r="A596" s="33">
        <v>1.6706442036573572E-8</v>
      </c>
    </row>
    <row r="597" spans="1:1" x14ac:dyDescent="0.25">
      <c r="A597" s="33">
        <v>1.5871119934744892E-8</v>
      </c>
    </row>
    <row r="598" spans="1:1" x14ac:dyDescent="0.25">
      <c r="A598" s="33">
        <v>1.5077563938007645E-8</v>
      </c>
    </row>
    <row r="599" spans="1:1" x14ac:dyDescent="0.25">
      <c r="A599" s="33">
        <v>1.4323685741107262E-8</v>
      </c>
    </row>
    <row r="600" spans="1:1" x14ac:dyDescent="0.25">
      <c r="A600" s="33">
        <v>1.3607501454051899E-8</v>
      </c>
    </row>
    <row r="601" spans="1:1" x14ac:dyDescent="0.25">
      <c r="A601" s="33">
        <v>1.2927126381349303E-8</v>
      </c>
    </row>
    <row r="602" spans="1:1" x14ac:dyDescent="0.25">
      <c r="A602" s="33">
        <v>1.2280770062281838E-8</v>
      </c>
    </row>
    <row r="603" spans="1:1" x14ac:dyDescent="0.25">
      <c r="A603" s="33">
        <v>1.1666731559167746E-8</v>
      </c>
    </row>
    <row r="604" spans="1:1" x14ac:dyDescent="0.25">
      <c r="A604" s="33">
        <v>1.1083394981209357E-8</v>
      </c>
    </row>
    <row r="605" spans="1:1" x14ac:dyDescent="0.25">
      <c r="A605" s="33">
        <v>1.0529225232148889E-8</v>
      </c>
    </row>
    <row r="606" spans="1:1" x14ac:dyDescent="0.25">
      <c r="A606" s="33">
        <v>1.0002763970541444E-8</v>
      </c>
    </row>
    <row r="607" spans="1:1" x14ac:dyDescent="0.25">
      <c r="A607" s="33">
        <v>9.5026257720143712E-9</v>
      </c>
    </row>
    <row r="608" spans="1:1" x14ac:dyDescent="0.25">
      <c r="A608" s="33">
        <v>9.0274944834136515E-9</v>
      </c>
    </row>
    <row r="609" spans="1:1" x14ac:dyDescent="0.25">
      <c r="A609" s="33">
        <v>8.5761197592429686E-9</v>
      </c>
    </row>
    <row r="610" spans="1:1" x14ac:dyDescent="0.25">
      <c r="A610" s="33">
        <v>8.1473137712808194E-9</v>
      </c>
    </row>
    <row r="611" spans="1:1" x14ac:dyDescent="0.25">
      <c r="A611" s="33">
        <v>7.7399480827167776E-9</v>
      </c>
    </row>
    <row r="612" spans="1:1" x14ac:dyDescent="0.25">
      <c r="A612" s="33">
        <v>7.3529506785809386E-9</v>
      </c>
    </row>
    <row r="613" spans="1:1" x14ac:dyDescent="0.25">
      <c r="A613" s="33">
        <v>6.9853031446518911E-9</v>
      </c>
    </row>
    <row r="614" spans="1:1" x14ac:dyDescent="0.25">
      <c r="A614" s="33">
        <v>6.6360379874192963E-9</v>
      </c>
    </row>
    <row r="615" spans="1:1" x14ac:dyDescent="0.25">
      <c r="A615" s="33">
        <v>6.3042360880483309E-9</v>
      </c>
    </row>
    <row r="616" spans="1:1" x14ac:dyDescent="0.25">
      <c r="A616" s="33">
        <v>5.989024283645914E-9</v>
      </c>
    </row>
    <row r="617" spans="1:1" x14ac:dyDescent="0.25">
      <c r="A617" s="33">
        <v>5.6895730694636181E-9</v>
      </c>
    </row>
    <row r="618" spans="1:1" x14ac:dyDescent="0.25">
      <c r="A618" s="33">
        <v>5.4050944159904366E-9</v>
      </c>
    </row>
    <row r="619" spans="1:1" x14ac:dyDescent="0.25">
      <c r="A619" s="33">
        <v>5.1348396951909145E-9</v>
      </c>
    </row>
    <row r="620" spans="1:1" x14ac:dyDescent="0.25">
      <c r="A620" s="33">
        <v>4.8780977104313684E-9</v>
      </c>
    </row>
    <row r="621" spans="1:1" x14ac:dyDescent="0.25">
      <c r="A621" s="33">
        <v>4.6341928249097994E-9</v>
      </c>
    </row>
    <row r="622" spans="1:1" x14ac:dyDescent="0.25">
      <c r="A622" s="33">
        <v>4.4024831836643092E-9</v>
      </c>
    </row>
    <row r="623" spans="1:1" x14ac:dyDescent="0.25">
      <c r="A623" s="33">
        <v>4.1823590244810936E-9</v>
      </c>
    </row>
    <row r="624" spans="1:1" x14ac:dyDescent="0.25">
      <c r="A624" s="33">
        <v>3.9732410732570384E-9</v>
      </c>
    </row>
    <row r="625" spans="1:1" x14ac:dyDescent="0.25">
      <c r="A625" s="33">
        <v>3.7745790195941862E-9</v>
      </c>
    </row>
    <row r="626" spans="1:1" x14ac:dyDescent="0.25">
      <c r="A626" s="33">
        <v>3.5858500686144767E-9</v>
      </c>
    </row>
    <row r="627" spans="1:1" x14ac:dyDescent="0.25">
      <c r="A627" s="33">
        <v>3.4065575651837529E-9</v>
      </c>
    </row>
    <row r="628" spans="1:1" x14ac:dyDescent="0.25">
      <c r="A628" s="33">
        <v>3.236229686924565E-9</v>
      </c>
    </row>
    <row r="629" spans="1:1" x14ac:dyDescent="0.25">
      <c r="A629" s="33">
        <v>3.0744182025783365E-9</v>
      </c>
    </row>
    <row r="630" spans="1:1" x14ac:dyDescent="0.25">
      <c r="A630" s="33">
        <v>2.9206972924494197E-9</v>
      </c>
    </row>
    <row r="631" spans="1:1" x14ac:dyDescent="0.25">
      <c r="A631" s="33">
        <v>2.7746624278269484E-9</v>
      </c>
    </row>
    <row r="632" spans="1:1" x14ac:dyDescent="0.25">
      <c r="A632" s="33">
        <v>2.635929306435601E-9</v>
      </c>
    </row>
    <row r="633" spans="1:1" x14ac:dyDescent="0.25">
      <c r="A633" s="33">
        <v>2.504132841113821E-9</v>
      </c>
    </row>
    <row r="634" spans="1:1" x14ac:dyDescent="0.25">
      <c r="A634" s="33">
        <v>2.3789261990581298E-9</v>
      </c>
    </row>
    <row r="635" spans="1:1" x14ac:dyDescent="0.25">
      <c r="A635" s="33">
        <v>2.259979889105223E-9</v>
      </c>
    </row>
    <row r="636" spans="1:1" x14ac:dyDescent="0.25">
      <c r="A636" s="33">
        <v>2.1469808946499619E-9</v>
      </c>
    </row>
    <row r="637" spans="1:1" x14ac:dyDescent="0.25">
      <c r="A637" s="33">
        <v>2.0396318499174636E-9</v>
      </c>
    </row>
    <row r="638" spans="1:1" x14ac:dyDescent="0.25">
      <c r="A638" s="33">
        <v>1.9376502574215905E-9</v>
      </c>
    </row>
    <row r="639" spans="1:1" x14ac:dyDescent="0.25">
      <c r="A639" s="33">
        <v>1.8407677445505109E-9</v>
      </c>
    </row>
    <row r="640" spans="1:1" x14ac:dyDescent="0.25">
      <c r="A640" s="33">
        <v>1.7487293573229853E-9</v>
      </c>
    </row>
    <row r="641" spans="1:1" x14ac:dyDescent="0.25">
      <c r="A641" s="33">
        <v>1.661292889456836E-9</v>
      </c>
    </row>
    <row r="642" spans="1:1" x14ac:dyDescent="0.25">
      <c r="A642" s="33">
        <v>1.578228244983994E-9</v>
      </c>
    </row>
    <row r="643" spans="1:1" x14ac:dyDescent="0.25">
      <c r="A643" s="33">
        <v>1.4993168327347942E-9</v>
      </c>
    </row>
    <row r="644" spans="1:1" x14ac:dyDescent="0.25">
      <c r="A644" s="33">
        <v>1.4243509910980544E-9</v>
      </c>
    </row>
    <row r="645" spans="1:1" x14ac:dyDescent="0.25">
      <c r="A645" s="33">
        <v>1.3531334415431516E-9</v>
      </c>
    </row>
    <row r="646" spans="1:1" x14ac:dyDescent="0.25">
      <c r="A646" s="33">
        <v>1.285476769465994E-9</v>
      </c>
    </row>
    <row r="647" spans="1:1" x14ac:dyDescent="0.25">
      <c r="A647" s="33">
        <v>1.2212029309926942E-9</v>
      </c>
    </row>
    <row r="648" spans="1:1" x14ac:dyDescent="0.25">
      <c r="A648" s="33">
        <v>1.1601427844430595E-9</v>
      </c>
    </row>
    <row r="649" spans="1:1" x14ac:dyDescent="0.25">
      <c r="A649" s="33">
        <v>1.1021356452209065E-9</v>
      </c>
    </row>
    <row r="650" spans="1:1" x14ac:dyDescent="0.25">
      <c r="A650" s="33">
        <v>1.047028862959861E-9</v>
      </c>
    </row>
    <row r="651" spans="1:1" x14ac:dyDescent="0.25">
      <c r="A651" s="33">
        <v>9.9467741981186791E-10</v>
      </c>
    </row>
    <row r="652" spans="1:1" x14ac:dyDescent="0.25">
      <c r="A652" s="33">
        <v>9.4494354882127439E-10</v>
      </c>
    </row>
    <row r="653" spans="1:1" x14ac:dyDescent="0.25">
      <c r="A653" s="33">
        <v>8.9769637138021059E-10</v>
      </c>
    </row>
    <row r="654" spans="1:1" x14ac:dyDescent="0.25">
      <c r="A654" s="33">
        <v>8.5281155281120004E-10</v>
      </c>
    </row>
    <row r="655" spans="1:1" x14ac:dyDescent="0.25">
      <c r="A655" s="33">
        <v>8.1017097517064003E-10</v>
      </c>
    </row>
    <row r="656" spans="1:1" x14ac:dyDescent="0.25">
      <c r="A656" s="33">
        <v>7.69662426412108E-10</v>
      </c>
    </row>
    <row r="657" spans="1:1" x14ac:dyDescent="0.25">
      <c r="A657" s="33">
        <v>7.3117930509150257E-10</v>
      </c>
    </row>
    <row r="658" spans="1:1" x14ac:dyDescent="0.25">
      <c r="A658" s="33">
        <v>6.9462033983692743E-10</v>
      </c>
    </row>
    <row r="659" spans="1:1" x14ac:dyDescent="0.25">
      <c r="A659" s="33">
        <v>6.5988932284508105E-10</v>
      </c>
    </row>
    <row r="660" spans="1:1" x14ac:dyDescent="0.25">
      <c r="A660" s="33">
        <v>6.2689485670282699E-10</v>
      </c>
    </row>
    <row r="661" spans="1:1" x14ac:dyDescent="0.25">
      <c r="A661" s="33">
        <v>5.9555011386768556E-10</v>
      </c>
    </row>
    <row r="662" spans="1:1" x14ac:dyDescent="0.25">
      <c r="A662" s="33">
        <v>5.6577260817430128E-10</v>
      </c>
    </row>
    <row r="663" spans="1:1" x14ac:dyDescent="0.25">
      <c r="A663" s="33">
        <v>5.3748397776558616E-10</v>
      </c>
    </row>
    <row r="664" spans="1:1" x14ac:dyDescent="0.25">
      <c r="A664" s="33">
        <v>5.1060977887730685E-10</v>
      </c>
    </row>
    <row r="665" spans="1:1" x14ac:dyDescent="0.25">
      <c r="A665" s="33">
        <v>4.8507928993344152E-10</v>
      </c>
    </row>
    <row r="666" spans="1:1" x14ac:dyDescent="0.25">
      <c r="A666" s="33">
        <v>4.6082532543676942E-10</v>
      </c>
    </row>
    <row r="667" spans="1:1" x14ac:dyDescent="0.25">
      <c r="A667" s="33">
        <v>4.3778405916493093E-10</v>
      </c>
    </row>
    <row r="668" spans="1:1" x14ac:dyDescent="0.25">
      <c r="A668" s="33">
        <v>4.1589485620668437E-10</v>
      </c>
    </row>
    <row r="669" spans="1:1" x14ac:dyDescent="0.25">
      <c r="A669" s="33">
        <v>3.9510011339635012E-10</v>
      </c>
    </row>
    <row r="670" spans="1:1" x14ac:dyDescent="0.25">
      <c r="A670" s="33">
        <v>3.7534510772653259E-10</v>
      </c>
    </row>
    <row r="671" spans="1:1" x14ac:dyDescent="0.25">
      <c r="A671" s="33">
        <v>3.5657785234020594E-10</v>
      </c>
    </row>
    <row r="672" spans="1:1" x14ac:dyDescent="0.25">
      <c r="A672" s="33">
        <v>3.3874895972319565E-10</v>
      </c>
    </row>
    <row r="673" spans="1:1" x14ac:dyDescent="0.25">
      <c r="A673" s="33">
        <v>3.2181151173703586E-10</v>
      </c>
    </row>
    <row r="674" spans="1:1" x14ac:dyDescent="0.25">
      <c r="A674" s="33">
        <v>3.0572093615018408E-10</v>
      </c>
    </row>
    <row r="675" spans="1:1" x14ac:dyDescent="0.25">
      <c r="A675" s="33">
        <v>2.9043488934267484E-10</v>
      </c>
    </row>
    <row r="676" spans="1:1" x14ac:dyDescent="0.25">
      <c r="A676" s="33">
        <v>2.7591314487554109E-10</v>
      </c>
    </row>
    <row r="677" spans="1:1" x14ac:dyDescent="0.25">
      <c r="A677" s="33">
        <v>2.6211748763176403E-10</v>
      </c>
    </row>
    <row r="678" spans="1:1" x14ac:dyDescent="0.25">
      <c r="A678" s="33">
        <v>2.4901161325017583E-10</v>
      </c>
    </row>
    <row r="679" spans="1:1" x14ac:dyDescent="0.25">
      <c r="A679" s="33">
        <v>2.3656103258766704E-10</v>
      </c>
    </row>
    <row r="680" spans="1:1" x14ac:dyDescent="0.25">
      <c r="A680" s="33">
        <v>2.2473298095828367E-10</v>
      </c>
    </row>
    <row r="681" spans="1:1" x14ac:dyDescent="0.25">
      <c r="A681" s="33">
        <v>2.1349633191036949E-10</v>
      </c>
    </row>
    <row r="682" spans="1:1" x14ac:dyDescent="0.25">
      <c r="A682" s="33">
        <v>2.02821515314851E-10</v>
      </c>
    </row>
    <row r="683" spans="1:1" x14ac:dyDescent="0.25">
      <c r="A683" s="33">
        <v>1.9268043954910845E-10</v>
      </c>
    </row>
    <row r="684" spans="1:1" x14ac:dyDescent="0.25">
      <c r="A684" s="33">
        <v>1.8304641757165302E-10</v>
      </c>
    </row>
    <row r="685" spans="1:1" x14ac:dyDescent="0.25">
      <c r="A685" s="33">
        <v>1.7389409669307036E-10</v>
      </c>
    </row>
    <row r="686" spans="1:1" x14ac:dyDescent="0.25">
      <c r="A686" s="33">
        <v>1.6519939185841684E-10</v>
      </c>
    </row>
    <row r="687" spans="1:1" x14ac:dyDescent="0.25">
      <c r="A687" s="33">
        <v>1.5693942226549599E-10</v>
      </c>
    </row>
    <row r="688" spans="1:1" x14ac:dyDescent="0.25">
      <c r="A688" s="33">
        <v>1.4909245115222119E-10</v>
      </c>
    </row>
    <row r="689" spans="1:1" x14ac:dyDescent="0.25">
      <c r="A689" s="33">
        <v>1.4163782859461013E-10</v>
      </c>
    </row>
    <row r="690" spans="1:1" x14ac:dyDescent="0.25">
      <c r="A690" s="33">
        <v>1.3455593716487961E-10</v>
      </c>
    </row>
    <row r="691" spans="1:1" x14ac:dyDescent="0.25">
      <c r="A691" s="33">
        <v>1.2782814030663562E-10</v>
      </c>
    </row>
    <row r="692" spans="1:1" x14ac:dyDescent="0.25">
      <c r="A692" s="33">
        <v>1.2143673329130384E-10</v>
      </c>
    </row>
    <row r="693" spans="1:1" x14ac:dyDescent="0.25">
      <c r="A693" s="33">
        <v>1.1536489662673864E-10</v>
      </c>
    </row>
    <row r="694" spans="1:1" x14ac:dyDescent="0.25">
      <c r="A694" s="33">
        <v>1.095966517954017E-10</v>
      </c>
    </row>
    <row r="695" spans="1:1" x14ac:dyDescent="0.25">
      <c r="A695" s="33">
        <v>1.0411681920563161E-10</v>
      </c>
    </row>
    <row r="696" spans="1:1" x14ac:dyDescent="0.25">
      <c r="A696" s="33">
        <v>9.8910978245350022E-11</v>
      </c>
    </row>
    <row r="697" spans="1:1" x14ac:dyDescent="0.25">
      <c r="A697" s="33">
        <v>9.3965429333082514E-11</v>
      </c>
    </row>
    <row r="698" spans="1:1" x14ac:dyDescent="0.25">
      <c r="A698" s="33">
        <v>8.926715786642838E-11</v>
      </c>
    </row>
    <row r="699" spans="1:1" x14ac:dyDescent="0.25">
      <c r="A699" s="33">
        <v>8.4803799973106953E-11</v>
      </c>
    </row>
    <row r="700" spans="1:1" x14ac:dyDescent="0.25">
      <c r="A700" s="33">
        <v>8.0563609974451603E-11</v>
      </c>
    </row>
    <row r="701" spans="1:1" x14ac:dyDescent="0.25">
      <c r="A701" s="33">
        <v>7.6535429475729024E-11</v>
      </c>
    </row>
    <row r="702" spans="1:1" x14ac:dyDescent="0.25">
      <c r="A702" s="33">
        <v>7.270865800194257E-11</v>
      </c>
    </row>
    <row r="703" spans="1:1" x14ac:dyDescent="0.25">
      <c r="A703" s="33">
        <v>6.9073225101845444E-11</v>
      </c>
    </row>
    <row r="704" spans="1:1" x14ac:dyDescent="0.25">
      <c r="A704" s="33">
        <v>6.5619563846753168E-11</v>
      </c>
    </row>
    <row r="705" spans="1:1" x14ac:dyDescent="0.25">
      <c r="A705" s="33">
        <v>6.2338585654415507E-11</v>
      </c>
    </row>
    <row r="706" spans="1:1" x14ac:dyDescent="0.25">
      <c r="A706" s="33">
        <v>5.9221656371694723E-11</v>
      </c>
    </row>
    <row r="707" spans="1:1" x14ac:dyDescent="0.25">
      <c r="A707" s="33">
        <v>5.6260573553109984E-11</v>
      </c>
    </row>
    <row r="708" spans="1:1" x14ac:dyDescent="0.25">
      <c r="A708" s="33">
        <v>5.3447544875454483E-11</v>
      </c>
    </row>
    <row r="709" spans="1:1" x14ac:dyDescent="0.25">
      <c r="A709" s="33">
        <v>5.0775167631681754E-11</v>
      </c>
    </row>
    <row r="710" spans="1:1" x14ac:dyDescent="0.25">
      <c r="A710" s="33">
        <v>4.8236409250097665E-11</v>
      </c>
    </row>
    <row r="711" spans="1:1" x14ac:dyDescent="0.25">
      <c r="A711" s="33">
        <v>4.5824588787592778E-11</v>
      </c>
    </row>
    <row r="712" spans="1:1" x14ac:dyDescent="0.25">
      <c r="A712" s="33">
        <v>4.3533359348213134E-11</v>
      </c>
    </row>
    <row r="713" spans="1:1" x14ac:dyDescent="0.25">
      <c r="A713" s="33">
        <v>4.1356691380802478E-11</v>
      </c>
    </row>
    <row r="714" spans="1:1" x14ac:dyDescent="0.25">
      <c r="A714" s="33">
        <v>3.9288856811762353E-11</v>
      </c>
    </row>
    <row r="715" spans="1:1" x14ac:dyDescent="0.25">
      <c r="A715" s="33">
        <v>3.7324413971174231E-11</v>
      </c>
    </row>
    <row r="716" spans="1:1" x14ac:dyDescent="0.25">
      <c r="A716" s="33">
        <v>3.545819327261552E-11</v>
      </c>
    </row>
    <row r="717" spans="1:1" x14ac:dyDescent="0.25">
      <c r="A717" s="33">
        <v>3.3685283608984745E-11</v>
      </c>
    </row>
    <row r="718" spans="1:1" x14ac:dyDescent="0.25">
      <c r="A718" s="33">
        <v>3.2001019428535508E-11</v>
      </c>
    </row>
    <row r="719" spans="1:1" x14ac:dyDescent="0.25">
      <c r="A719" s="33">
        <v>3.0400968457108733E-11</v>
      </c>
    </row>
    <row r="720" spans="1:1" x14ac:dyDescent="0.25">
      <c r="A720" s="33">
        <v>2.8880920034253296E-11</v>
      </c>
    </row>
    <row r="721" spans="1:1" x14ac:dyDescent="0.25">
      <c r="A721" s="33">
        <v>2.7436874032540629E-11</v>
      </c>
    </row>
    <row r="722" spans="1:1" x14ac:dyDescent="0.25">
      <c r="A722" s="33">
        <v>2.6065030330913595E-11</v>
      </c>
    </row>
    <row r="723" spans="1:1" x14ac:dyDescent="0.25">
      <c r="A723" s="33">
        <v>2.4761778814367914E-11</v>
      </c>
    </row>
    <row r="724" spans="1:1" x14ac:dyDescent="0.25">
      <c r="A724" s="33">
        <v>2.3523689873649516E-11</v>
      </c>
    </row>
    <row r="725" spans="1:1" x14ac:dyDescent="0.25">
      <c r="A725" s="33">
        <v>2.234750537996704E-11</v>
      </c>
    </row>
    <row r="726" spans="1:1" x14ac:dyDescent="0.25">
      <c r="A726" s="33">
        <v>2.1230130110968688E-11</v>
      </c>
    </row>
    <row r="727" spans="1:1" x14ac:dyDescent="0.25">
      <c r="A727" s="33">
        <v>2.0168623605420253E-11</v>
      </c>
    </row>
    <row r="728" spans="1:1" x14ac:dyDescent="0.25">
      <c r="A728" s="33">
        <v>1.916019242514924E-11</v>
      </c>
    </row>
    <row r="729" spans="1:1" x14ac:dyDescent="0.25">
      <c r="A729" s="33">
        <v>1.8202182803891777E-11</v>
      </c>
    </row>
    <row r="730" spans="1:1" x14ac:dyDescent="0.25">
      <c r="A730" s="33">
        <v>1.7292073663697186E-11</v>
      </c>
    </row>
    <row r="731" spans="1:1" x14ac:dyDescent="0.25">
      <c r="A731" s="33">
        <v>1.6427469980512324E-11</v>
      </c>
    </row>
    <row r="732" spans="1:1" x14ac:dyDescent="0.25">
      <c r="A732" s="33">
        <v>1.5606096481486706E-11</v>
      </c>
    </row>
    <row r="733" spans="1:1" x14ac:dyDescent="0.25">
      <c r="A733" s="33">
        <v>1.482579165741237E-11</v>
      </c>
    </row>
    <row r="734" spans="1:1" x14ac:dyDescent="0.25">
      <c r="A734" s="33">
        <v>1.408450207454175E-11</v>
      </c>
    </row>
    <row r="735" spans="1:1" x14ac:dyDescent="0.25">
      <c r="A735" s="33">
        <v>1.3380276970814662E-11</v>
      </c>
    </row>
    <row r="736" spans="1:1" x14ac:dyDescent="0.25">
      <c r="A736" s="33">
        <v>1.2711263122273928E-11</v>
      </c>
    </row>
    <row r="737" spans="1:1" x14ac:dyDescent="0.25">
      <c r="A737" s="33">
        <v>1.2075699966160231E-11</v>
      </c>
    </row>
    <row r="738" spans="1:1" x14ac:dyDescent="0.25">
      <c r="A738" s="33">
        <v>1.1471914967852219E-11</v>
      </c>
    </row>
    <row r="739" spans="1:1" x14ac:dyDescent="0.25">
      <c r="A739" s="33">
        <v>1.0898319219459608E-11</v>
      </c>
    </row>
    <row r="740" spans="1:1" x14ac:dyDescent="0.25">
      <c r="A740" s="33">
        <v>1.0353403258486628E-11</v>
      </c>
    </row>
    <row r="741" spans="1:1" x14ac:dyDescent="0.25">
      <c r="A741" s="33">
        <v>9.8357330955622963E-12</v>
      </c>
    </row>
    <row r="742" spans="1:1" x14ac:dyDescent="0.25">
      <c r="A742" s="33">
        <v>9.3439464407841808E-12</v>
      </c>
    </row>
    <row r="743" spans="1:1" x14ac:dyDescent="0.25">
      <c r="A743" s="33">
        <v>8.8767491187449709E-12</v>
      </c>
    </row>
    <row r="744" spans="1:1" x14ac:dyDescent="0.25">
      <c r="A744" s="33">
        <v>8.4329116628077213E-12</v>
      </c>
    </row>
    <row r="745" spans="1:1" x14ac:dyDescent="0.25">
      <c r="A745" s="33">
        <v>8.0112660796673341E-12</v>
      </c>
    </row>
    <row r="746" spans="1:1" x14ac:dyDescent="0.25">
      <c r="A746" s="33">
        <v>7.6107027756839663E-12</v>
      </c>
    </row>
    <row r="747" spans="1:1" x14ac:dyDescent="0.25">
      <c r="A747" s="33">
        <v>7.2301676368997673E-12</v>
      </c>
    </row>
    <row r="748" spans="1:1" x14ac:dyDescent="0.25">
      <c r="A748" s="33">
        <v>6.8686592550547782E-12</v>
      </c>
    </row>
    <row r="749" spans="1:1" x14ac:dyDescent="0.25">
      <c r="A749" s="33">
        <v>6.5252262923020387E-12</v>
      </c>
    </row>
    <row r="750" spans="1:1" x14ac:dyDescent="0.25">
      <c r="A750" s="33">
        <v>6.1989649776869368E-12</v>
      </c>
    </row>
    <row r="751" spans="1:1" x14ac:dyDescent="0.25">
      <c r="A751" s="33">
        <v>5.8890167288025901E-12</v>
      </c>
    </row>
    <row r="752" spans="1:1" x14ac:dyDescent="0.25">
      <c r="A752" s="33">
        <v>5.5945658923624606E-12</v>
      </c>
    </row>
    <row r="753" spans="1:1" x14ac:dyDescent="0.25">
      <c r="A753" s="33">
        <v>5.3148375977443373E-12</v>
      </c>
    </row>
    <row r="754" spans="1:1" x14ac:dyDescent="0.25">
      <c r="A754" s="33">
        <v>5.0490957178571204E-12</v>
      </c>
    </row>
    <row r="755" spans="1:1" x14ac:dyDescent="0.25">
      <c r="A755" s="33">
        <v>4.796640931964264E-12</v>
      </c>
    </row>
    <row r="756" spans="1:1" x14ac:dyDescent="0.25">
      <c r="A756" s="33">
        <v>4.5568088853660509E-12</v>
      </c>
    </row>
    <row r="757" spans="1:1" x14ac:dyDescent="0.25">
      <c r="A757" s="33">
        <v>4.3289684410977484E-12</v>
      </c>
    </row>
    <row r="758" spans="1:1" x14ac:dyDescent="0.25">
      <c r="A758" s="33">
        <v>4.1125200190428609E-12</v>
      </c>
    </row>
    <row r="759" spans="1:1" x14ac:dyDescent="0.25">
      <c r="A759" s="33">
        <v>3.9068940180907175E-12</v>
      </c>
    </row>
    <row r="760" spans="1:1" x14ac:dyDescent="0.25">
      <c r="A760" s="33">
        <v>3.7115493171861816E-12</v>
      </c>
    </row>
    <row r="761" spans="1:1" x14ac:dyDescent="0.25">
      <c r="A761" s="33">
        <v>3.5259718513268725E-12</v>
      </c>
    </row>
    <row r="762" spans="1:1" x14ac:dyDescent="0.25">
      <c r="A762" s="33">
        <v>3.3496732587605286E-12</v>
      </c>
    </row>
    <row r="763" spans="1:1" x14ac:dyDescent="0.25">
      <c r="A763" s="33">
        <v>3.182189595822502E-12</v>
      </c>
    </row>
    <row r="764" spans="1:1" x14ac:dyDescent="0.25">
      <c r="A764" s="33">
        <v>3.0230801160313768E-12</v>
      </c>
    </row>
    <row r="765" spans="1:1" x14ac:dyDescent="0.25">
      <c r="A765" s="33">
        <v>2.8719261102298077E-12</v>
      </c>
    </row>
    <row r="766" spans="1:1" x14ac:dyDescent="0.25">
      <c r="A766" s="33">
        <v>2.7283298047183172E-12</v>
      </c>
    </row>
    <row r="767" spans="1:1" x14ac:dyDescent="0.25">
      <c r="A767" s="33">
        <v>2.5919133144824012E-12</v>
      </c>
    </row>
    <row r="768" spans="1:1" x14ac:dyDescent="0.25">
      <c r="A768" s="33">
        <v>2.4623176487582809E-12</v>
      </c>
    </row>
    <row r="769" spans="1:1" x14ac:dyDescent="0.25">
      <c r="A769" s="33">
        <v>2.339201766320367E-12</v>
      </c>
    </row>
    <row r="770" spans="1:1" x14ac:dyDescent="0.25">
      <c r="A770" s="33">
        <v>2.2222416780043484E-12</v>
      </c>
    </row>
    <row r="771" spans="1:1" x14ac:dyDescent="0.25">
      <c r="A771" s="33">
        <v>2.1111295941041311E-12</v>
      </c>
    </row>
    <row r="772" spans="1:1" x14ac:dyDescent="0.25">
      <c r="A772" s="33">
        <v>2.0055731143989244E-12</v>
      </c>
    </row>
    <row r="773" spans="1:1" x14ac:dyDescent="0.25">
      <c r="A773" s="33">
        <v>1.9052944586789781E-12</v>
      </c>
    </row>
    <row r="774" spans="1:1" x14ac:dyDescent="0.25">
      <c r="A774" s="33">
        <v>1.8100297357450291E-12</v>
      </c>
    </row>
    <row r="775" spans="1:1" x14ac:dyDescent="0.25">
      <c r="A775" s="33">
        <v>1.7195282489577775E-12</v>
      </c>
    </row>
    <row r="776" spans="1:1" x14ac:dyDescent="0.25">
      <c r="A776" s="33">
        <v>1.6335518365098885E-12</v>
      </c>
    </row>
    <row r="777" spans="1:1" x14ac:dyDescent="0.25">
      <c r="A777" s="33">
        <v>1.551874244684394E-12</v>
      </c>
    </row>
    <row r="778" spans="1:1" x14ac:dyDescent="0.25">
      <c r="A778" s="33">
        <v>1.4742805324501742E-12</v>
      </c>
    </row>
    <row r="779" spans="1:1" x14ac:dyDescent="0.25">
      <c r="A779" s="33">
        <v>1.4005665058276655E-12</v>
      </c>
    </row>
    <row r="780" spans="1:1" x14ac:dyDescent="0.25">
      <c r="A780" s="33">
        <v>1.3305381805362821E-12</v>
      </c>
    </row>
    <row r="781" spans="1:1" x14ac:dyDescent="0.25">
      <c r="A781" s="33">
        <v>1.264011271509468E-12</v>
      </c>
    </row>
    <row r="782" spans="1:1" x14ac:dyDescent="0.25">
      <c r="A782" s="33">
        <v>1.2008107079339945E-12</v>
      </c>
    </row>
    <row r="783" spans="1:1" x14ac:dyDescent="0.25">
      <c r="A783" s="33">
        <v>1.1407701725372948E-12</v>
      </c>
    </row>
    <row r="784" spans="1:1" x14ac:dyDescent="0.25">
      <c r="A784" s="33">
        <v>1.08373166391043E-12</v>
      </c>
    </row>
    <row r="785" spans="1:1" x14ac:dyDescent="0.25">
      <c r="A785" s="33">
        <v>1.0295450807149084E-12</v>
      </c>
    </row>
    <row r="786" spans="1:1" x14ac:dyDescent="0.25">
      <c r="A786" s="33">
        <v>9.7806782667916296E-13</v>
      </c>
    </row>
    <row r="787" spans="1:1" x14ac:dyDescent="0.25">
      <c r="A787" s="33">
        <v>9.2916443534520479E-13</v>
      </c>
    </row>
    <row r="788" spans="1:1" x14ac:dyDescent="0.25">
      <c r="A788" s="33">
        <v>8.8270621357794449E-13</v>
      </c>
    </row>
    <row r="789" spans="1:1" x14ac:dyDescent="0.25">
      <c r="A789" s="33">
        <v>8.3857090289904726E-13</v>
      </c>
    </row>
    <row r="790" spans="1:1" x14ac:dyDescent="0.25">
      <c r="A790" s="33">
        <v>7.9664235775409483E-13</v>
      </c>
    </row>
    <row r="791" spans="1:1" x14ac:dyDescent="0.25">
      <c r="A791" s="33">
        <v>7.5681023986639008E-13</v>
      </c>
    </row>
    <row r="792" spans="1:1" x14ac:dyDescent="0.25">
      <c r="A792" s="33">
        <v>7.1896972787307055E-13</v>
      </c>
    </row>
    <row r="793" spans="1:1" x14ac:dyDescent="0.25">
      <c r="A793" s="33">
        <v>6.8302124147941695E-13</v>
      </c>
    </row>
    <row r="794" spans="1:1" x14ac:dyDescent="0.25">
      <c r="A794" s="33">
        <v>6.4887017940544605E-13</v>
      </c>
    </row>
    <row r="795" spans="1:1" x14ac:dyDescent="0.25">
      <c r="A795" s="33">
        <v>6.1642667043517373E-13</v>
      </c>
    </row>
    <row r="796" spans="1:1" x14ac:dyDescent="0.25">
      <c r="A796" s="33">
        <v>5.8560533691341505E-13</v>
      </c>
    </row>
    <row r="797" spans="1:1" x14ac:dyDescent="0.25">
      <c r="A797" s="33">
        <v>5.5632507006774425E-13</v>
      </c>
    </row>
    <row r="798" spans="1:1" x14ac:dyDescent="0.25">
      <c r="A798" s="33">
        <v>5.2850881656435705E-13</v>
      </c>
    </row>
    <row r="799" spans="1:1" x14ac:dyDescent="0.25">
      <c r="A799" s="33">
        <v>5.0208337573613919E-13</v>
      </c>
    </row>
    <row r="800" spans="1:1" x14ac:dyDescent="0.25">
      <c r="A800" s="33">
        <v>4.7697920694933223E-13</v>
      </c>
    </row>
    <row r="801" spans="1:1" x14ac:dyDescent="0.25">
      <c r="A801" s="33">
        <v>4.5313024660186561E-13</v>
      </c>
    </row>
    <row r="802" spans="1:1" x14ac:dyDescent="0.25">
      <c r="A802" s="33">
        <v>4.3047373427177233E-13</v>
      </c>
    </row>
    <row r="803" spans="1:1" x14ac:dyDescent="0.25">
      <c r="A803" s="33">
        <v>4.089500475581837E-13</v>
      </c>
    </row>
    <row r="804" spans="1:1" x14ac:dyDescent="0.25">
      <c r="A804" s="33">
        <v>3.8850254518027451E-13</v>
      </c>
    </row>
    <row r="805" spans="1:1" x14ac:dyDescent="0.25">
      <c r="A805" s="33">
        <v>3.6907741792126075E-13</v>
      </c>
    </row>
    <row r="806" spans="1:1" x14ac:dyDescent="0.25">
      <c r="A806" s="33">
        <v>3.506235470251977E-13</v>
      </c>
    </row>
    <row r="807" spans="1:1" x14ac:dyDescent="0.25">
      <c r="A807" s="33">
        <v>3.3309236967393782E-13</v>
      </c>
    </row>
  </sheetData>
  <conditionalFormatting sqref="C136">
    <cfRule type="cellIs" dxfId="68" priority="1178" operator="equal">
      <formula>$U$1</formula>
    </cfRule>
    <cfRule type="cellIs" dxfId="67" priority="1179" operator="equal">
      <formula>$S$1</formula>
    </cfRule>
  </conditionalFormatting>
  <conditionalFormatting sqref="D136">
    <cfRule type="cellIs" dxfId="66" priority="1176" operator="equal">
      <formula>$S$1</formula>
    </cfRule>
    <cfRule type="cellIs" dxfId="65" priority="1177" operator="equal">
      <formula>$U$1</formula>
    </cfRule>
  </conditionalFormatting>
  <conditionalFormatting sqref="C162">
    <cfRule type="cellIs" dxfId="64" priority="1174" operator="equal">
      <formula>$U$1</formula>
    </cfRule>
    <cfRule type="cellIs" dxfId="63" priority="1175" operator="equal">
      <formula>$S$1</formula>
    </cfRule>
  </conditionalFormatting>
  <conditionalFormatting sqref="D162">
    <cfRule type="cellIs" dxfId="62" priority="1172" operator="equal">
      <formula>$S$1</formula>
    </cfRule>
    <cfRule type="cellIs" dxfId="61" priority="1173" operator="equal">
      <formula>$U$1</formula>
    </cfRule>
  </conditionalFormatting>
  <conditionalFormatting sqref="C187">
    <cfRule type="cellIs" dxfId="60" priority="1170" operator="equal">
      <formula>$U$1</formula>
    </cfRule>
    <cfRule type="cellIs" dxfId="59" priority="1171" operator="equal">
      <formula>$S$1</formula>
    </cfRule>
  </conditionalFormatting>
  <conditionalFormatting sqref="D187">
    <cfRule type="cellIs" dxfId="58" priority="1168" operator="equal">
      <formula>$S$1</formula>
    </cfRule>
    <cfRule type="cellIs" dxfId="57" priority="1169" operator="equal">
      <formula>$U$1</formula>
    </cfRule>
  </conditionalFormatting>
  <conditionalFormatting sqref="C212">
    <cfRule type="cellIs" dxfId="56" priority="1166" operator="equal">
      <formula>$U$1</formula>
    </cfRule>
    <cfRule type="cellIs" dxfId="55" priority="1167" operator="equal">
      <formula>$S$1</formula>
    </cfRule>
  </conditionalFormatting>
  <conditionalFormatting sqref="D212">
    <cfRule type="cellIs" dxfId="54" priority="1164" operator="equal">
      <formula>$S$1</formula>
    </cfRule>
    <cfRule type="cellIs" dxfId="53" priority="1165" operator="equal">
      <formula>$U$1</formula>
    </cfRule>
  </conditionalFormatting>
  <conditionalFormatting sqref="C237">
    <cfRule type="cellIs" dxfId="52" priority="1162" operator="equal">
      <formula>$U$1</formula>
    </cfRule>
    <cfRule type="cellIs" dxfId="51" priority="1163" operator="equal">
      <formula>$S$1</formula>
    </cfRule>
  </conditionalFormatting>
  <conditionalFormatting sqref="D237">
    <cfRule type="cellIs" dxfId="50" priority="1160" operator="equal">
      <formula>$S$1</formula>
    </cfRule>
    <cfRule type="cellIs" dxfId="49" priority="1161" operator="equal">
      <formula>$U$1</formula>
    </cfRule>
  </conditionalFormatting>
  <conditionalFormatting sqref="C106">
    <cfRule type="cellIs" dxfId="48" priority="1158" operator="equal">
      <formula>$U$1</formula>
    </cfRule>
    <cfRule type="cellIs" dxfId="47" priority="1159" operator="equal">
      <formula>$S$1</formula>
    </cfRule>
  </conditionalFormatting>
  <conditionalFormatting sqref="D106">
    <cfRule type="cellIs" dxfId="46" priority="1156" operator="equal">
      <formula>$S$1</formula>
    </cfRule>
    <cfRule type="cellIs" dxfId="45" priority="1157" operator="equal">
      <formula>$U$1</formula>
    </cfRule>
  </conditionalFormatting>
  <conditionalFormatting sqref="C81">
    <cfRule type="cellIs" dxfId="44" priority="1154" operator="equal">
      <formula>$U$1</formula>
    </cfRule>
    <cfRule type="cellIs" dxfId="43" priority="1155" operator="equal">
      <formula>$S$1</formula>
    </cfRule>
  </conditionalFormatting>
  <conditionalFormatting sqref="D81">
    <cfRule type="cellIs" dxfId="42" priority="1152" operator="equal">
      <formula>$S$1</formula>
    </cfRule>
    <cfRule type="cellIs" dxfId="41" priority="1153" operator="equal">
      <formula>$U$1</formula>
    </cfRule>
  </conditionalFormatting>
  <conditionalFormatting sqref="C56">
    <cfRule type="cellIs" dxfId="40" priority="1150" operator="equal">
      <formula>$U$1</formula>
    </cfRule>
    <cfRule type="cellIs" dxfId="39" priority="1151" operator="equal">
      <formula>$S$1</formula>
    </cfRule>
  </conditionalFormatting>
  <conditionalFormatting sqref="D56">
    <cfRule type="cellIs" dxfId="38" priority="1148" operator="equal">
      <formula>$S$1</formula>
    </cfRule>
    <cfRule type="cellIs" dxfId="37" priority="1149" operator="equal">
      <formula>$U$1</formula>
    </cfRule>
  </conditionalFormatting>
  <conditionalFormatting sqref="C31">
    <cfRule type="cellIs" dxfId="36" priority="1146" operator="equal">
      <formula>$U$1</formula>
    </cfRule>
    <cfRule type="cellIs" dxfId="35" priority="1147" operator="equal">
      <formula>$S$1</formula>
    </cfRule>
  </conditionalFormatting>
  <conditionalFormatting sqref="D31">
    <cfRule type="cellIs" dxfId="34" priority="1144" operator="equal">
      <formula>$S$1</formula>
    </cfRule>
    <cfRule type="cellIs" dxfId="33" priority="114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H185" sqref="BH185"/>
    </sheetView>
  </sheetViews>
  <sheetFormatPr defaultRowHeight="15" x14ac:dyDescent="0.25"/>
  <cols>
    <col min="1" max="1" width="10.7109375" style="29" customWidth="1"/>
    <col min="2" max="4" width="10.7109375" style="1" hidden="1" customWidth="1"/>
    <col min="5" max="5" width="3" style="1" hidden="1" customWidth="1"/>
    <col min="6" max="6" width="3" style="26" hidden="1" customWidth="1"/>
    <col min="7" max="702" width="3" style="26" customWidth="1"/>
  </cols>
  <sheetData>
    <row r="1" spans="1:21" x14ac:dyDescent="0.25">
      <c r="S1" s="26" t="s">
        <v>7</v>
      </c>
      <c r="U1" s="26" t="s">
        <v>8</v>
      </c>
    </row>
    <row r="3" spans="1:21" x14ac:dyDescent="0.25">
      <c r="A3" s="29">
        <v>76619.065138703256</v>
      </c>
    </row>
    <row r="4" spans="1:21" x14ac:dyDescent="0.25">
      <c r="A4" s="29">
        <v>69653.695580639323</v>
      </c>
    </row>
    <row r="5" spans="1:21" x14ac:dyDescent="0.25">
      <c r="A5" s="29">
        <v>63321.541436944834</v>
      </c>
    </row>
    <row r="6" spans="1:21" x14ac:dyDescent="0.25">
      <c r="A6" s="29">
        <v>57565.037669949845</v>
      </c>
    </row>
    <row r="7" spans="1:21" x14ac:dyDescent="0.25">
      <c r="A7" s="29">
        <v>52331.852427227124</v>
      </c>
    </row>
    <row r="8" spans="1:21" x14ac:dyDescent="0.25">
      <c r="A8" s="29">
        <v>47574.411297479201</v>
      </c>
    </row>
    <row r="9" spans="1:21" x14ac:dyDescent="0.25">
      <c r="A9" s="29">
        <v>43249.464815890176</v>
      </c>
    </row>
    <row r="10" spans="1:21" x14ac:dyDescent="0.25">
      <c r="A10" s="29">
        <v>39317.695287172886</v>
      </c>
    </row>
    <row r="11" spans="1:21" x14ac:dyDescent="0.25">
      <c r="A11" s="29">
        <v>35743.359351975349</v>
      </c>
    </row>
    <row r="12" spans="1:21" x14ac:dyDescent="0.25">
      <c r="A12" s="29">
        <v>32493.963047250312</v>
      </c>
    </row>
    <row r="13" spans="1:21" x14ac:dyDescent="0.25">
      <c r="A13" s="29">
        <v>29539.966406591189</v>
      </c>
    </row>
    <row r="14" spans="1:21" x14ac:dyDescent="0.25">
      <c r="A14" s="29">
        <v>26854.514915082898</v>
      </c>
    </row>
    <row r="15" spans="1:21" x14ac:dyDescent="0.25">
      <c r="A15" s="29">
        <v>24413.195377348089</v>
      </c>
    </row>
    <row r="16" spans="1:21" x14ac:dyDescent="0.25">
      <c r="A16" s="29">
        <v>22193.81397940735</v>
      </c>
      <c r="C16" s="1" t="s">
        <v>15</v>
      </c>
    </row>
    <row r="17" spans="1:5" x14ac:dyDescent="0.25">
      <c r="A17" s="29">
        <v>20176.194526733954</v>
      </c>
      <c r="C17" s="7">
        <v>0.11167815779424731</v>
      </c>
      <c r="D17"/>
      <c r="E17"/>
    </row>
    <row r="18" spans="1:5" x14ac:dyDescent="0.25">
      <c r="A18" s="29">
        <v>18341.995024303593</v>
      </c>
      <c r="E18"/>
    </row>
    <row r="19" spans="1:5" x14ac:dyDescent="0.25">
      <c r="A19" s="29">
        <v>16674.540931185082</v>
      </c>
      <c r="C19" s="1" t="s">
        <v>11</v>
      </c>
      <c r="D19" s="1" t="s">
        <v>12</v>
      </c>
      <c r="E19"/>
    </row>
    <row r="20" spans="1:5" x14ac:dyDescent="0.25">
      <c r="A20" s="29">
        <v>15158.673573804617</v>
      </c>
      <c r="C20"/>
      <c r="D20"/>
      <c r="E20"/>
    </row>
    <row r="21" spans="1:5" x14ac:dyDescent="0.25">
      <c r="A21" s="29">
        <v>13780.612339822379</v>
      </c>
      <c r="E21"/>
    </row>
    <row r="22" spans="1:5" x14ac:dyDescent="0.25">
      <c r="A22" s="29">
        <v>12527.829399838525</v>
      </c>
      <c r="C22" s="1" t="s">
        <v>13</v>
      </c>
      <c r="E22"/>
    </row>
    <row r="23" spans="1:5" x14ac:dyDescent="0.25">
      <c r="A23" s="29">
        <v>11388.935818035023</v>
      </c>
      <c r="C23" s="1">
        <f>C12</f>
        <v>0</v>
      </c>
      <c r="E23"/>
    </row>
    <row r="24" spans="1:5" x14ac:dyDescent="0.25">
      <c r="A24" s="29">
        <v>10353.578016395475</v>
      </c>
      <c r="C24"/>
      <c r="D24"/>
      <c r="E24"/>
    </row>
    <row r="25" spans="1:5" x14ac:dyDescent="0.25">
      <c r="A25" s="29">
        <v>9412.343651268613</v>
      </c>
      <c r="C25" s="1" t="s">
        <v>14</v>
      </c>
      <c r="E25"/>
    </row>
    <row r="26" spans="1:5" x14ac:dyDescent="0.25">
      <c r="A26" s="29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29">
        <v>7778.7964060071163</v>
      </c>
      <c r="E27"/>
    </row>
    <row r="28" spans="1:5" x14ac:dyDescent="0.25">
      <c r="A28" s="29">
        <v>7071.6330963701048</v>
      </c>
      <c r="E28"/>
    </row>
    <row r="29" spans="1:5" x14ac:dyDescent="0.25">
      <c r="A29" s="29">
        <v>6428.7573603364581</v>
      </c>
      <c r="E29"/>
    </row>
    <row r="30" spans="1:5" x14ac:dyDescent="0.25">
      <c r="A30" s="29">
        <v>5844.3248730331434</v>
      </c>
      <c r="E30"/>
    </row>
    <row r="31" spans="1:5" x14ac:dyDescent="0.25">
      <c r="A31" s="29">
        <v>5313.0226118483115</v>
      </c>
      <c r="E31"/>
    </row>
    <row r="32" spans="1:5" x14ac:dyDescent="0.25">
      <c r="A32" s="29">
        <v>4830.020556225737</v>
      </c>
      <c r="E32"/>
    </row>
    <row r="33" spans="1:5" x14ac:dyDescent="0.25">
      <c r="A33" s="29">
        <v>4390.927778387033</v>
      </c>
      <c r="E33"/>
    </row>
    <row r="34" spans="1:5" x14ac:dyDescent="0.25">
      <c r="A34" s="29">
        <v>3991.7525258063934</v>
      </c>
      <c r="E34"/>
    </row>
    <row r="35" spans="1:5" x14ac:dyDescent="0.25">
      <c r="A35" s="29">
        <v>3628.8659325512663</v>
      </c>
      <c r="E35"/>
    </row>
    <row r="36" spans="1:5" x14ac:dyDescent="0.25">
      <c r="A36" s="29">
        <v>3298.96902959206</v>
      </c>
      <c r="E36"/>
    </row>
    <row r="37" spans="1:5" x14ac:dyDescent="0.25">
      <c r="A37" s="29">
        <v>2999.0627541745998</v>
      </c>
      <c r="E37"/>
    </row>
    <row r="38" spans="1:5" x14ac:dyDescent="0.25">
      <c r="A38" s="29">
        <v>2726.4206856132723</v>
      </c>
      <c r="E38"/>
    </row>
    <row r="39" spans="1:5" x14ac:dyDescent="0.25">
      <c r="A39" s="29">
        <v>2478.564259648429</v>
      </c>
      <c r="E39"/>
    </row>
    <row r="40" spans="1:5" x14ac:dyDescent="0.25">
      <c r="A40" s="29">
        <v>2253.240236044026</v>
      </c>
      <c r="E40"/>
    </row>
    <row r="41" spans="1:5" x14ac:dyDescent="0.25">
      <c r="A41" s="29">
        <v>2048.4002145854779</v>
      </c>
      <c r="E41"/>
    </row>
    <row r="42" spans="1:5" x14ac:dyDescent="0.25">
      <c r="A42" s="29">
        <v>1862.1820132595253</v>
      </c>
      <c r="C42" s="1" t="s">
        <v>15</v>
      </c>
      <c r="E42"/>
    </row>
    <row r="43" spans="1:5" x14ac:dyDescent="0.25">
      <c r="A43" s="29">
        <v>1692.8927393268411</v>
      </c>
      <c r="C43" s="7">
        <v>0.11167815779424731</v>
      </c>
      <c r="D43"/>
      <c r="E43"/>
    </row>
    <row r="44" spans="1:5" x14ac:dyDescent="0.25">
      <c r="A44" s="29">
        <v>1538.9933993880372</v>
      </c>
      <c r="E44"/>
    </row>
    <row r="45" spans="1:5" x14ac:dyDescent="0.25">
      <c r="A45" s="29">
        <v>1399.0849085345792</v>
      </c>
      <c r="C45" s="1" t="s">
        <v>11</v>
      </c>
      <c r="D45" s="1" t="s">
        <v>12</v>
      </c>
      <c r="E45"/>
    </row>
    <row r="46" spans="1:5" x14ac:dyDescent="0.25">
      <c r="A46" s="29">
        <v>1271.8953713950718</v>
      </c>
      <c r="C46"/>
      <c r="D46"/>
      <c r="E46"/>
    </row>
    <row r="47" spans="1:5" x14ac:dyDescent="0.25">
      <c r="A47" s="29">
        <v>1156.2685194500652</v>
      </c>
      <c r="E47"/>
    </row>
    <row r="48" spans="1:5" x14ac:dyDescent="0.25">
      <c r="A48" s="29">
        <v>1051.1531995000591</v>
      </c>
      <c r="C48" s="1" t="s">
        <v>13</v>
      </c>
      <c r="E48"/>
    </row>
    <row r="49" spans="1:5" x14ac:dyDescent="0.25">
      <c r="A49" s="29">
        <v>955.59381772732638</v>
      </c>
      <c r="C49" s="1">
        <f>C38</f>
        <v>0</v>
      </c>
      <c r="E49"/>
    </row>
    <row r="50" spans="1:5" x14ac:dyDescent="0.25">
      <c r="A50" s="29">
        <v>868.72165247938756</v>
      </c>
      <c r="C50"/>
      <c r="D50"/>
      <c r="E50"/>
    </row>
    <row r="51" spans="1:5" x14ac:dyDescent="0.25">
      <c r="A51" s="29">
        <v>789.74695679944318</v>
      </c>
      <c r="C51" s="1" t="s">
        <v>14</v>
      </c>
      <c r="E51"/>
    </row>
    <row r="52" spans="1:5" x14ac:dyDescent="0.25">
      <c r="A52" s="29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29">
        <v>652.68343537144051</v>
      </c>
      <c r="E53"/>
    </row>
    <row r="54" spans="1:5" x14ac:dyDescent="0.25">
      <c r="A54" s="29">
        <v>593.34857761040041</v>
      </c>
      <c r="E54"/>
    </row>
    <row r="55" spans="1:5" x14ac:dyDescent="0.25">
      <c r="A55" s="29">
        <v>539.40779782763673</v>
      </c>
      <c r="E55"/>
    </row>
    <row r="56" spans="1:5" x14ac:dyDescent="0.25">
      <c r="A56" s="29">
        <v>490.37072529785149</v>
      </c>
      <c r="E56"/>
    </row>
    <row r="57" spans="1:5" x14ac:dyDescent="0.25">
      <c r="A57" s="29">
        <v>445.79156845259223</v>
      </c>
      <c r="E57"/>
    </row>
    <row r="58" spans="1:5" x14ac:dyDescent="0.25">
      <c r="A58" s="29">
        <v>405.26506222962928</v>
      </c>
      <c r="E58"/>
    </row>
    <row r="59" spans="1:5" x14ac:dyDescent="0.25">
      <c r="A59" s="29">
        <v>368.42278384511752</v>
      </c>
      <c r="E59"/>
    </row>
    <row r="60" spans="1:5" x14ac:dyDescent="0.25">
      <c r="A60" s="29">
        <v>334.92980349556137</v>
      </c>
      <c r="E60"/>
    </row>
    <row r="61" spans="1:5" x14ac:dyDescent="0.25">
      <c r="A61" s="29">
        <v>304.48163954141938</v>
      </c>
      <c r="E61"/>
    </row>
    <row r="62" spans="1:5" x14ac:dyDescent="0.25">
      <c r="A62" s="29">
        <v>276.80149049219943</v>
      </c>
      <c r="E62"/>
    </row>
    <row r="63" spans="1:5" x14ac:dyDescent="0.25">
      <c r="A63" s="29">
        <v>251.63771862927217</v>
      </c>
      <c r="E63"/>
    </row>
    <row r="64" spans="1:5" x14ac:dyDescent="0.25">
      <c r="A64" s="29">
        <v>228.76156239024741</v>
      </c>
      <c r="E64"/>
    </row>
    <row r="65" spans="1:5" x14ac:dyDescent="0.25">
      <c r="A65" s="29">
        <v>207.96505671840671</v>
      </c>
      <c r="E65"/>
    </row>
    <row r="66" spans="1:5" x14ac:dyDescent="0.25">
      <c r="A66" s="29">
        <v>189.05914247127882</v>
      </c>
      <c r="E66"/>
    </row>
    <row r="67" spans="1:5" x14ac:dyDescent="0.25">
      <c r="A67" s="29">
        <v>171.87194770116255</v>
      </c>
      <c r="C67" s="1" t="s">
        <v>15</v>
      </c>
      <c r="E67"/>
    </row>
    <row r="68" spans="1:5" x14ac:dyDescent="0.25">
      <c r="A68" s="29">
        <v>156.24722518287504</v>
      </c>
      <c r="C68" s="7">
        <v>0.11167815779424731</v>
      </c>
      <c r="D68"/>
      <c r="E68"/>
    </row>
    <row r="69" spans="1:5" x14ac:dyDescent="0.25">
      <c r="A69" s="29">
        <v>142.04293198443185</v>
      </c>
      <c r="E69"/>
    </row>
    <row r="70" spans="1:5" x14ac:dyDescent="0.25">
      <c r="A70" s="29">
        <v>129.1299381676653</v>
      </c>
      <c r="C70" s="1" t="s">
        <v>11</v>
      </c>
      <c r="D70" s="1" t="s">
        <v>12</v>
      </c>
      <c r="E70"/>
    </row>
    <row r="71" spans="1:5" x14ac:dyDescent="0.25">
      <c r="A71" s="29">
        <v>117.39085287969573</v>
      </c>
      <c r="C71"/>
      <c r="D71"/>
      <c r="E71"/>
    </row>
    <row r="72" spans="1:5" x14ac:dyDescent="0.25">
      <c r="A72" s="29">
        <v>106.71895716335975</v>
      </c>
      <c r="E72"/>
    </row>
    <row r="73" spans="1:5" x14ac:dyDescent="0.25">
      <c r="A73" s="29">
        <v>97.017233784872488</v>
      </c>
      <c r="C73" s="1" t="s">
        <v>13</v>
      </c>
      <c r="E73"/>
    </row>
    <row r="74" spans="1:5" x14ac:dyDescent="0.25">
      <c r="A74" s="29">
        <v>88.197485258974979</v>
      </c>
      <c r="C74" s="1">
        <f>C63</f>
        <v>0</v>
      </c>
      <c r="E74"/>
    </row>
    <row r="75" spans="1:5" x14ac:dyDescent="0.25">
      <c r="A75" s="29">
        <v>80.179532053613613</v>
      </c>
      <c r="C75"/>
      <c r="D75"/>
      <c r="E75"/>
    </row>
    <row r="76" spans="1:5" x14ac:dyDescent="0.25">
      <c r="A76" s="29">
        <v>72.890483685103277</v>
      </c>
      <c r="C76" s="1" t="s">
        <v>14</v>
      </c>
      <c r="E76"/>
    </row>
    <row r="77" spans="1:5" x14ac:dyDescent="0.25">
      <c r="A77" s="29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29">
        <v>60.240069161242367</v>
      </c>
      <c r="E78"/>
    </row>
    <row r="79" spans="1:5" x14ac:dyDescent="0.25">
      <c r="A79" s="29">
        <v>54.763699237493057</v>
      </c>
      <c r="E79"/>
    </row>
    <row r="80" spans="1:5" x14ac:dyDescent="0.25">
      <c r="A80" s="29">
        <v>49.785181124993684</v>
      </c>
      <c r="E80"/>
    </row>
    <row r="81" spans="1:5" x14ac:dyDescent="0.25">
      <c r="A81" s="29">
        <v>45.259255568176073</v>
      </c>
      <c r="E81"/>
    </row>
    <row r="82" spans="1:5" x14ac:dyDescent="0.25">
      <c r="A82" s="29">
        <v>41.144777789250973</v>
      </c>
      <c r="E82"/>
    </row>
    <row r="83" spans="1:5" x14ac:dyDescent="0.25">
      <c r="A83" s="29">
        <v>37.404343444773609</v>
      </c>
      <c r="E83"/>
    </row>
    <row r="84" spans="1:5" x14ac:dyDescent="0.25">
      <c r="A84" s="29">
        <v>34.003948586157826</v>
      </c>
      <c r="E84"/>
    </row>
    <row r="85" spans="1:5" x14ac:dyDescent="0.25">
      <c r="A85" s="29">
        <v>30.912680532870748</v>
      </c>
      <c r="E85"/>
    </row>
    <row r="86" spans="1:5" x14ac:dyDescent="0.25">
      <c r="A86" s="29">
        <v>28.102436848064315</v>
      </c>
      <c r="E86"/>
    </row>
    <row r="87" spans="1:5" x14ac:dyDescent="0.25">
      <c r="A87" s="29">
        <v>25.547669861876649</v>
      </c>
      <c r="E87"/>
    </row>
    <row r="88" spans="1:5" x14ac:dyDescent="0.25">
      <c r="A88" s="29">
        <v>23.225154419887861</v>
      </c>
      <c r="E88"/>
    </row>
    <row r="89" spans="1:5" x14ac:dyDescent="0.25">
      <c r="A89" s="29">
        <v>21.113776745352599</v>
      </c>
      <c r="E89"/>
    </row>
    <row r="90" spans="1:5" x14ac:dyDescent="0.25">
      <c r="A90" s="29">
        <v>19.194342495775089</v>
      </c>
      <c r="E90"/>
    </row>
    <row r="91" spans="1:5" x14ac:dyDescent="0.25">
      <c r="A91" s="29">
        <v>17.449402268886445</v>
      </c>
      <c r="E91"/>
    </row>
    <row r="92" spans="1:5" x14ac:dyDescent="0.25">
      <c r="A92" s="29">
        <v>15.863092971714948</v>
      </c>
      <c r="C92" s="1" t="s">
        <v>15</v>
      </c>
      <c r="E92"/>
    </row>
    <row r="93" spans="1:5" x14ac:dyDescent="0.25">
      <c r="A93" s="29">
        <v>14.420993610649951</v>
      </c>
      <c r="C93" s="7">
        <v>0.11167815779424731</v>
      </c>
      <c r="D93"/>
      <c r="E93"/>
    </row>
    <row r="94" spans="1:5" x14ac:dyDescent="0.25">
      <c r="A94" s="29">
        <v>13.109994191499954</v>
      </c>
      <c r="E94"/>
    </row>
    <row r="95" spans="1:5" x14ac:dyDescent="0.25">
      <c r="A95" s="29">
        <v>11.918176537727231</v>
      </c>
      <c r="C95" s="1" t="s">
        <v>11</v>
      </c>
      <c r="D95" s="1" t="s">
        <v>12</v>
      </c>
      <c r="E95"/>
    </row>
    <row r="96" spans="1:5" x14ac:dyDescent="0.25">
      <c r="A96" s="29">
        <v>10.834705943388391</v>
      </c>
      <c r="C96"/>
      <c r="D96"/>
      <c r="E96"/>
    </row>
    <row r="97" spans="1:5" x14ac:dyDescent="0.25">
      <c r="A97" s="29">
        <v>9.849732675807628</v>
      </c>
      <c r="E97"/>
    </row>
    <row r="98" spans="1:5" x14ac:dyDescent="0.25">
      <c r="A98" s="29">
        <v>8.9543024325523888</v>
      </c>
      <c r="C98" s="1" t="s">
        <v>13</v>
      </c>
      <c r="E98"/>
    </row>
    <row r="99" spans="1:5" x14ac:dyDescent="0.25">
      <c r="A99" s="29">
        <v>8.140274938683989</v>
      </c>
      <c r="C99" s="1">
        <f>C88</f>
        <v>0</v>
      </c>
      <c r="E99"/>
    </row>
    <row r="100" spans="1:5" x14ac:dyDescent="0.25">
      <c r="A100" s="29">
        <v>7.4002499442581717</v>
      </c>
      <c r="C100"/>
      <c r="D100"/>
      <c r="E100"/>
    </row>
    <row r="101" spans="1:5" x14ac:dyDescent="0.25">
      <c r="A101" s="29">
        <v>6.72749994932561</v>
      </c>
      <c r="C101" s="1" t="s">
        <v>14</v>
      </c>
      <c r="E101"/>
    </row>
    <row r="102" spans="1:5" x14ac:dyDescent="0.25">
      <c r="A102" s="29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29">
        <v>5.5599173134922388</v>
      </c>
      <c r="E103"/>
    </row>
    <row r="104" spans="1:5" x14ac:dyDescent="0.25">
      <c r="A104" s="29">
        <v>5.0544702849929442</v>
      </c>
      <c r="E104"/>
    </row>
    <row r="105" spans="1:5" x14ac:dyDescent="0.25">
      <c r="A105" s="29">
        <v>4.594972986357222</v>
      </c>
      <c r="E105"/>
    </row>
    <row r="106" spans="1:5" x14ac:dyDescent="0.25">
      <c r="A106" s="29">
        <v>4.1772481694156562</v>
      </c>
      <c r="E106"/>
    </row>
    <row r="107" spans="1:5" x14ac:dyDescent="0.25">
      <c r="A107" s="29">
        <v>3.7974983358324148</v>
      </c>
      <c r="E107"/>
    </row>
    <row r="108" spans="1:5" x14ac:dyDescent="0.25">
      <c r="A108" s="29">
        <v>3.4522712143931042</v>
      </c>
      <c r="E108"/>
    </row>
    <row r="109" spans="1:5" x14ac:dyDescent="0.25">
      <c r="A109" s="29">
        <v>3.1384283767210035</v>
      </c>
      <c r="E109"/>
    </row>
    <row r="110" spans="1:5" x14ac:dyDescent="0.25">
      <c r="A110" s="29">
        <v>2.8531167061100029</v>
      </c>
      <c r="E110"/>
    </row>
    <row r="111" spans="1:5" x14ac:dyDescent="0.25">
      <c r="A111" s="29">
        <v>2.5937424601000023</v>
      </c>
      <c r="C111" s="1" t="str">
        <f>ADDRESS(C121-1,1,1,1)</f>
        <v>$A$184</v>
      </c>
      <c r="D111" s="1" t="str">
        <f>ADDRESS(C121-1,D121,1,1)</f>
        <v>$BH$184</v>
      </c>
      <c r="E111"/>
    </row>
    <row r="112" spans="1:5" x14ac:dyDescent="0.25">
      <c r="A112" s="29">
        <v>2.3579476910000019</v>
      </c>
      <c r="C112" s="1" t="str">
        <f>ADDRESS(C121,1,1,1)</f>
        <v>$A$185</v>
      </c>
      <c r="D112" s="1" t="str">
        <f>ADDRESS(C121,D121-1,1,1)</f>
        <v>$BG$185</v>
      </c>
      <c r="E112"/>
    </row>
    <row r="113" spans="1:6" x14ac:dyDescent="0.25">
      <c r="A113" s="29">
        <v>2.1435888100000016</v>
      </c>
      <c r="C113" s="1" t="str">
        <f>ADDRESS(C121+1,1,1,1)</f>
        <v>$A$186</v>
      </c>
      <c r="D113" s="1" t="str">
        <f>ADDRESS(C121-1,D121+1,1,1)</f>
        <v>$BI$184</v>
      </c>
    </row>
    <row r="114" spans="1:6" x14ac:dyDescent="0.25">
      <c r="A114" s="29">
        <v>1.9487171000000014</v>
      </c>
      <c r="C114" s="1" t="str">
        <f>ADDRESS(C121,D121,1,1)</f>
        <v>$BH$185</v>
      </c>
      <c r="D114" s="1" t="str">
        <f>ADDRESS(C121+1,D121+1,1,1)</f>
        <v>$BI$186</v>
      </c>
    </row>
    <row r="115" spans="1:6" x14ac:dyDescent="0.25">
      <c r="A115" s="29">
        <v>1.7715610000000011</v>
      </c>
      <c r="C115" s="1" t="str">
        <f>ADDRESS(C121+1,D121,1,1)</f>
        <v>$BH$186</v>
      </c>
    </row>
    <row r="116" spans="1:6" x14ac:dyDescent="0.25">
      <c r="A116" s="29">
        <v>1.6105100000000008</v>
      </c>
      <c r="C116" s="1">
        <f>C117-1</f>
        <v>184</v>
      </c>
    </row>
    <row r="117" spans="1:6" x14ac:dyDescent="0.25">
      <c r="A117" s="29">
        <v>1.4641000000000006</v>
      </c>
      <c r="C117" s="1">
        <f>C121</f>
        <v>185</v>
      </c>
      <c r="D117" s="1">
        <f>D121</f>
        <v>60</v>
      </c>
    </row>
    <row r="118" spans="1:6" x14ac:dyDescent="0.25">
      <c r="A118" s="29">
        <v>1.3310000000000004</v>
      </c>
      <c r="C118" s="1">
        <f>C117+1</f>
        <v>186</v>
      </c>
      <c r="D118" s="1">
        <f>D117+1</f>
        <v>61</v>
      </c>
    </row>
    <row r="119" spans="1:6" x14ac:dyDescent="0.25">
      <c r="A119" s="29">
        <v>1.2100000000000002</v>
      </c>
    </row>
    <row r="120" spans="1:6" x14ac:dyDescent="0.25">
      <c r="A120" s="29">
        <v>1.1000000000000001</v>
      </c>
      <c r="C120" s="1" t="s">
        <v>9</v>
      </c>
    </row>
    <row r="121" spans="1:6" x14ac:dyDescent="0.25">
      <c r="A121" s="29">
        <v>1</v>
      </c>
      <c r="C121" s="18">
        <v>185</v>
      </c>
      <c r="D121" s="19">
        <v>60</v>
      </c>
      <c r="E121" s="18" t="s">
        <v>8</v>
      </c>
    </row>
    <row r="122" spans="1:6" x14ac:dyDescent="0.25">
      <c r="A122" s="29">
        <v>0.90909090909090895</v>
      </c>
      <c r="C122" s="1" t="str">
        <f>INDEX(1:1048576,C117,D117)</f>
        <v>O</v>
      </c>
      <c r="F122" s="26" t="s">
        <v>7</v>
      </c>
    </row>
    <row r="123" spans="1:6" x14ac:dyDescent="0.25">
      <c r="A123" s="29">
        <v>0.82644628099173523</v>
      </c>
      <c r="C123" s="1" t="str">
        <f>"R"&amp;C121</f>
        <v>R185</v>
      </c>
      <c r="D123" s="1" t="str">
        <f>"C"&amp;D121</f>
        <v>C60</v>
      </c>
      <c r="F123" s="26" t="s">
        <v>7</v>
      </c>
    </row>
    <row r="124" spans="1:6" x14ac:dyDescent="0.25">
      <c r="A124" s="29">
        <v>0.75131480090157732</v>
      </c>
      <c r="C124" s="1">
        <f>SUM(C130:D130)</f>
        <v>0</v>
      </c>
      <c r="D124" s="1">
        <f>IF(C124=0,0,1)</f>
        <v>0</v>
      </c>
      <c r="F124" s="26" t="s">
        <v>7</v>
      </c>
    </row>
    <row r="125" spans="1:6" x14ac:dyDescent="0.25">
      <c r="A125" s="29">
        <v>0.68301345536507019</v>
      </c>
      <c r="F125" s="26" t="s">
        <v>7</v>
      </c>
    </row>
    <row r="126" spans="1:6" x14ac:dyDescent="0.25">
      <c r="A126" s="29">
        <v>0.6209213230591546</v>
      </c>
      <c r="C126" s="1" t="s">
        <v>10</v>
      </c>
      <c r="F126" s="26" t="s">
        <v>7</v>
      </c>
    </row>
    <row r="127" spans="1:6" x14ac:dyDescent="0.25">
      <c r="A127" s="29">
        <v>0.56447393005377677</v>
      </c>
      <c r="C127" s="29">
        <v>2.2432007933015472E-3</v>
      </c>
      <c r="D127"/>
      <c r="F127" s="26" t="s">
        <v>7</v>
      </c>
    </row>
    <row r="128" spans="1:6" x14ac:dyDescent="0.25">
      <c r="A128" s="29">
        <v>0.51315811823070612</v>
      </c>
      <c r="F128" s="26" t="s">
        <v>7</v>
      </c>
    </row>
    <row r="129" spans="1:6" x14ac:dyDescent="0.25">
      <c r="A129" s="29">
        <v>0.46650738020973276</v>
      </c>
      <c r="C129" s="1" t="s">
        <v>11</v>
      </c>
      <c r="D129" s="1" t="s">
        <v>12</v>
      </c>
      <c r="E129"/>
      <c r="F129" s="26" t="s">
        <v>7</v>
      </c>
    </row>
    <row r="130" spans="1:6" x14ac:dyDescent="0.25">
      <c r="A130" s="29">
        <v>0.42409761837248428</v>
      </c>
      <c r="C130" s="6"/>
      <c r="D130" s="6"/>
      <c r="E130"/>
      <c r="F130" s="26" t="s">
        <v>7</v>
      </c>
    </row>
    <row r="131" spans="1:6" x14ac:dyDescent="0.25">
      <c r="A131" s="29">
        <v>0.38554328942953109</v>
      </c>
      <c r="E131"/>
      <c r="F131" s="26" t="s">
        <v>7</v>
      </c>
    </row>
    <row r="132" spans="1:6" x14ac:dyDescent="0.25">
      <c r="A132" s="29">
        <v>0.35049389948139187</v>
      </c>
      <c r="C132" s="1" t="s">
        <v>13</v>
      </c>
      <c r="E132"/>
      <c r="F132" s="26" t="s">
        <v>7</v>
      </c>
    </row>
    <row r="133" spans="1:6" x14ac:dyDescent="0.25">
      <c r="A133" s="29">
        <v>0.31863081771035617</v>
      </c>
      <c r="C133" s="1" t="str">
        <f>C122</f>
        <v>O</v>
      </c>
      <c r="E133"/>
      <c r="F133" s="26" t="s">
        <v>7</v>
      </c>
    </row>
    <row r="134" spans="1:6" x14ac:dyDescent="0.25">
      <c r="A134" s="29">
        <v>0.28966437973668741</v>
      </c>
      <c r="C134"/>
      <c r="D134"/>
      <c r="E134"/>
      <c r="F134" s="26" t="s">
        <v>7</v>
      </c>
    </row>
    <row r="135" spans="1:6" x14ac:dyDescent="0.25">
      <c r="A135" s="29">
        <v>0.2633312543060794</v>
      </c>
      <c r="C135" s="1" t="s">
        <v>14</v>
      </c>
      <c r="E135"/>
      <c r="F135" s="26" t="s">
        <v>7</v>
      </c>
    </row>
    <row r="136" spans="1:6" x14ac:dyDescent="0.25">
      <c r="A136" s="29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6" t="s">
        <v>7</v>
      </c>
    </row>
    <row r="137" spans="1:6" x14ac:dyDescent="0.25">
      <c r="A137" s="29">
        <v>0.2176291357901482</v>
      </c>
      <c r="E137"/>
      <c r="F137" s="26" t="s">
        <v>7</v>
      </c>
    </row>
    <row r="138" spans="1:6" x14ac:dyDescent="0.25">
      <c r="A138" s="29">
        <v>0.19784466890013469</v>
      </c>
      <c r="C138" s="1">
        <f>IF(AND(C136="",D136=""),0,IF(AND(C133="X",D136="X"),1,IF(AND(C133="O",C136="O"),2,(IF(AND(C133="X",D136="O"),3,4)))))</f>
        <v>2</v>
      </c>
      <c r="E138"/>
      <c r="F138" s="26" t="s">
        <v>7</v>
      </c>
    </row>
    <row r="139" spans="1:6" x14ac:dyDescent="0.25">
      <c r="A139" s="29">
        <v>0.17985878990921333</v>
      </c>
      <c r="E139"/>
      <c r="F139" s="26" t="s">
        <v>7</v>
      </c>
    </row>
    <row r="140" spans="1:6" x14ac:dyDescent="0.25">
      <c r="A140" s="29">
        <v>0.16350799082655756</v>
      </c>
      <c r="C140" s="1">
        <v>0</v>
      </c>
      <c r="E140"/>
      <c r="F140" s="26" t="s">
        <v>7</v>
      </c>
    </row>
    <row r="141" spans="1:6" x14ac:dyDescent="0.25">
      <c r="A141" s="29">
        <v>0.14864362802414322</v>
      </c>
      <c r="C141" s="1">
        <v>1</v>
      </c>
      <c r="E141"/>
      <c r="F141" s="26" t="s">
        <v>7</v>
      </c>
    </row>
    <row r="142" spans="1:6" x14ac:dyDescent="0.25">
      <c r="A142" s="29">
        <v>0.13513057093103928</v>
      </c>
      <c r="C142" s="1">
        <v>2</v>
      </c>
      <c r="E142"/>
      <c r="F142" s="26" t="s">
        <v>7</v>
      </c>
    </row>
    <row r="143" spans="1:6" x14ac:dyDescent="0.25">
      <c r="A143" s="29">
        <v>0.12284597357367205</v>
      </c>
      <c r="C143" s="1">
        <v>3</v>
      </c>
      <c r="E143"/>
      <c r="F143" s="26" t="s">
        <v>7</v>
      </c>
    </row>
    <row r="144" spans="1:6" x14ac:dyDescent="0.25">
      <c r="A144" s="29">
        <v>0.11167815779424731</v>
      </c>
      <c r="C144" s="1">
        <v>4</v>
      </c>
      <c r="E144"/>
      <c r="F144" s="26" t="s">
        <v>7</v>
      </c>
    </row>
    <row r="145" spans="1:6" x14ac:dyDescent="0.25">
      <c r="A145" s="29">
        <v>0.10152559799477026</v>
      </c>
      <c r="B145"/>
      <c r="C145"/>
      <c r="D145"/>
      <c r="E145"/>
      <c r="F145" s="26" t="s">
        <v>7</v>
      </c>
    </row>
    <row r="146" spans="1:6" x14ac:dyDescent="0.25">
      <c r="A146" s="29">
        <v>9.2295998177063854E-2</v>
      </c>
      <c r="B146"/>
      <c r="C146"/>
      <c r="D146"/>
      <c r="E146"/>
      <c r="F146" s="26" t="s">
        <v>7</v>
      </c>
    </row>
    <row r="147" spans="1:6" x14ac:dyDescent="0.25">
      <c r="A147" s="29">
        <v>8.3905452888239848E-2</v>
      </c>
      <c r="B147"/>
      <c r="C147"/>
      <c r="D147"/>
      <c r="E147"/>
      <c r="F147" s="26" t="s">
        <v>7</v>
      </c>
    </row>
    <row r="148" spans="1:6" x14ac:dyDescent="0.25">
      <c r="A148" s="29">
        <v>7.6277684443854396E-2</v>
      </c>
      <c r="B148"/>
      <c r="C148"/>
      <c r="D148"/>
      <c r="E148"/>
      <c r="F148" s="26" t="s">
        <v>7</v>
      </c>
    </row>
    <row r="149" spans="1:6" x14ac:dyDescent="0.25">
      <c r="A149" s="29">
        <v>6.9343349494413078E-2</v>
      </c>
      <c r="B149"/>
      <c r="C149"/>
      <c r="D149"/>
      <c r="E149"/>
      <c r="F149" s="26" t="s">
        <v>7</v>
      </c>
    </row>
    <row r="150" spans="1:6" x14ac:dyDescent="0.25">
      <c r="A150" s="29">
        <v>6.3039408631284613E-2</v>
      </c>
      <c r="B150"/>
      <c r="C150"/>
      <c r="D150"/>
      <c r="E150"/>
      <c r="F150" s="26" t="s">
        <v>7</v>
      </c>
    </row>
    <row r="151" spans="1:6" x14ac:dyDescent="0.25">
      <c r="A151" s="29">
        <v>5.7308553301167818E-2</v>
      </c>
      <c r="B151"/>
      <c r="C151"/>
      <c r="D151"/>
      <c r="E151"/>
      <c r="F151" s="26" t="s">
        <v>7</v>
      </c>
    </row>
    <row r="152" spans="1:6" x14ac:dyDescent="0.25">
      <c r="A152" s="29">
        <v>5.2098684819243464E-2</v>
      </c>
      <c r="B152"/>
      <c r="C152"/>
      <c r="D152"/>
      <c r="E152"/>
      <c r="F152" s="26" t="s">
        <v>7</v>
      </c>
    </row>
    <row r="153" spans="1:6" x14ac:dyDescent="0.25">
      <c r="A153" s="29">
        <v>4.7362440744766775E-2</v>
      </c>
      <c r="B153"/>
      <c r="C153"/>
      <c r="D153"/>
      <c r="E153"/>
      <c r="F153" s="26" t="s">
        <v>7</v>
      </c>
    </row>
    <row r="154" spans="1:6" x14ac:dyDescent="0.25">
      <c r="A154" s="29">
        <v>4.3056764313424332E-2</v>
      </c>
      <c r="B154"/>
      <c r="C154"/>
      <c r="D154"/>
      <c r="E154"/>
      <c r="F154" s="26" t="s">
        <v>7</v>
      </c>
    </row>
    <row r="155" spans="1:6" x14ac:dyDescent="0.25">
      <c r="A155" s="29">
        <v>3.9142513012203929E-2</v>
      </c>
      <c r="B155"/>
      <c r="C155"/>
      <c r="D155"/>
      <c r="E155"/>
      <c r="F155" s="26" t="s">
        <v>7</v>
      </c>
    </row>
    <row r="156" spans="1:6" x14ac:dyDescent="0.25">
      <c r="A156" s="29">
        <v>3.55841027383672E-2</v>
      </c>
      <c r="B156"/>
      <c r="C156"/>
      <c r="D156"/>
      <c r="E156"/>
      <c r="F156" s="26" t="s">
        <v>7</v>
      </c>
    </row>
    <row r="157" spans="1:6" x14ac:dyDescent="0.25">
      <c r="A157" s="29">
        <v>3.2349184307606541E-2</v>
      </c>
      <c r="B157"/>
      <c r="C157"/>
      <c r="D157"/>
      <c r="E157"/>
      <c r="F157" s="26" t="s">
        <v>7</v>
      </c>
    </row>
    <row r="158" spans="1:6" x14ac:dyDescent="0.25">
      <c r="A158" s="29">
        <v>2.9408349370551395E-2</v>
      </c>
      <c r="B158"/>
      <c r="C158"/>
      <c r="D158"/>
      <c r="E158"/>
      <c r="F158" s="26" t="s">
        <v>7</v>
      </c>
    </row>
    <row r="159" spans="1:6" x14ac:dyDescent="0.25">
      <c r="A159" s="29">
        <v>2.6734863064137627E-2</v>
      </c>
      <c r="B159"/>
      <c r="C159"/>
      <c r="D159"/>
      <c r="E159"/>
      <c r="F159" s="26" t="s">
        <v>7</v>
      </c>
    </row>
    <row r="160" spans="1:6" x14ac:dyDescent="0.25">
      <c r="A160" s="29">
        <v>2.4304420967397839E-2</v>
      </c>
      <c r="B160"/>
      <c r="C160"/>
      <c r="D160"/>
      <c r="E160"/>
      <c r="F160" s="26" t="s">
        <v>7</v>
      </c>
    </row>
    <row r="161" spans="1:57" x14ac:dyDescent="0.25">
      <c r="A161" s="29">
        <v>2.2094928152179852E-2</v>
      </c>
      <c r="B161"/>
      <c r="C161"/>
      <c r="D161"/>
      <c r="E161"/>
      <c r="F161" s="26" t="s">
        <v>7</v>
      </c>
      <c r="AI161" s="26" t="s">
        <v>8</v>
      </c>
    </row>
    <row r="162" spans="1:57" x14ac:dyDescent="0.25">
      <c r="A162" s="29">
        <v>2.0086298320163499E-2</v>
      </c>
      <c r="B162"/>
      <c r="C162"/>
      <c r="D162"/>
      <c r="E162"/>
      <c r="F162" s="26" t="s">
        <v>7</v>
      </c>
      <c r="AI162" s="26" t="s">
        <v>8</v>
      </c>
      <c r="AJ162" s="26" t="s">
        <v>7</v>
      </c>
    </row>
    <row r="163" spans="1:57" x14ac:dyDescent="0.25">
      <c r="A163" s="29">
        <v>1.8260271200148632E-2</v>
      </c>
      <c r="B163"/>
      <c r="C163"/>
      <c r="D163"/>
      <c r="E163"/>
      <c r="F163" s="26" t="s">
        <v>7</v>
      </c>
      <c r="AI163" s="26" t="s">
        <v>8</v>
      </c>
      <c r="AJ163" s="26" t="s">
        <v>7</v>
      </c>
    </row>
    <row r="164" spans="1:57" x14ac:dyDescent="0.25">
      <c r="A164" s="29">
        <v>1.6600246545589663E-2</v>
      </c>
      <c r="B164"/>
      <c r="C164"/>
      <c r="D164"/>
      <c r="E164"/>
      <c r="F164" s="26" t="s">
        <v>7</v>
      </c>
      <c r="AI164" s="26" t="s">
        <v>8</v>
      </c>
      <c r="AJ164" s="26" t="s">
        <v>7</v>
      </c>
    </row>
    <row r="165" spans="1:57" x14ac:dyDescent="0.25">
      <c r="A165" s="29">
        <v>1.5091133223263328E-2</v>
      </c>
      <c r="B165"/>
      <c r="C165"/>
      <c r="D165"/>
      <c r="E165"/>
      <c r="F165" s="26" t="s">
        <v>7</v>
      </c>
      <c r="AI165" s="26" t="s">
        <v>8</v>
      </c>
      <c r="AJ165" s="26" t="s">
        <v>7</v>
      </c>
    </row>
    <row r="166" spans="1:57" x14ac:dyDescent="0.25">
      <c r="A166" s="29">
        <v>1.3719212021148477E-2</v>
      </c>
      <c r="B166"/>
      <c r="C166"/>
      <c r="D166"/>
      <c r="E166"/>
      <c r="F166" s="26" t="s">
        <v>7</v>
      </c>
      <c r="AG166" s="26" t="s">
        <v>8</v>
      </c>
      <c r="AI166" s="26" t="s">
        <v>8</v>
      </c>
      <c r="AJ166" s="26" t="s">
        <v>7</v>
      </c>
    </row>
    <row r="167" spans="1:57" x14ac:dyDescent="0.25">
      <c r="A167" s="29">
        <v>1.2472010928316795E-2</v>
      </c>
      <c r="B167"/>
      <c r="C167"/>
      <c r="D167"/>
      <c r="E167"/>
      <c r="F167" s="26" t="s">
        <v>7</v>
      </c>
      <c r="AG167" s="26" t="s">
        <v>8</v>
      </c>
      <c r="AH167" s="26" t="s">
        <v>7</v>
      </c>
      <c r="AI167" s="26" t="s">
        <v>8</v>
      </c>
      <c r="AJ167" s="26" t="s">
        <v>7</v>
      </c>
      <c r="AO167" s="26" t="s">
        <v>8</v>
      </c>
    </row>
    <row r="168" spans="1:57" x14ac:dyDescent="0.25">
      <c r="A168" s="29">
        <v>1.1338191753015267E-2</v>
      </c>
      <c r="B168"/>
      <c r="C168"/>
      <c r="D168"/>
      <c r="E168"/>
      <c r="F168" s="26" t="s">
        <v>7</v>
      </c>
      <c r="AG168" s="26" t="s">
        <v>8</v>
      </c>
      <c r="AH168" s="26" t="s">
        <v>7</v>
      </c>
      <c r="AI168" s="26" t="s">
        <v>8</v>
      </c>
      <c r="AJ168" s="26" t="s">
        <v>7</v>
      </c>
      <c r="AO168" s="26" t="s">
        <v>8</v>
      </c>
      <c r="AP168" s="26" t="s">
        <v>7</v>
      </c>
    </row>
    <row r="169" spans="1:57" x14ac:dyDescent="0.25">
      <c r="A169" s="29">
        <v>1.0307447048195697E-2</v>
      </c>
      <c r="B169"/>
      <c r="C169"/>
      <c r="D169"/>
      <c r="E169"/>
      <c r="F169" s="26" t="s">
        <v>7</v>
      </c>
      <c r="AG169" s="26" t="s">
        <v>8</v>
      </c>
      <c r="AH169" s="26" t="s">
        <v>7</v>
      </c>
      <c r="AI169" s="26" t="s">
        <v>8</v>
      </c>
      <c r="AJ169" s="26" t="s">
        <v>7</v>
      </c>
      <c r="AK169" s="26" t="s">
        <v>8</v>
      </c>
      <c r="AO169" s="26" t="s">
        <v>8</v>
      </c>
      <c r="AP169" s="26" t="s">
        <v>7</v>
      </c>
    </row>
    <row r="170" spans="1:57" x14ac:dyDescent="0.25">
      <c r="A170" s="29">
        <v>9.3704064074506318E-3</v>
      </c>
      <c r="B170"/>
      <c r="C170"/>
      <c r="D170"/>
      <c r="E170"/>
      <c r="F170" s="26" t="s">
        <v>7</v>
      </c>
      <c r="AG170" s="26" t="s">
        <v>8</v>
      </c>
      <c r="AH170" s="26" t="s">
        <v>7</v>
      </c>
      <c r="AJ170" s="26" t="s">
        <v>7</v>
      </c>
      <c r="AK170" s="26" t="s">
        <v>8</v>
      </c>
      <c r="AL170" s="26" t="s">
        <v>7</v>
      </c>
      <c r="AM170" s="26" t="s">
        <v>8</v>
      </c>
      <c r="AO170" s="26" t="s">
        <v>8</v>
      </c>
      <c r="AP170" s="26" t="s">
        <v>7</v>
      </c>
    </row>
    <row r="171" spans="1:57" x14ac:dyDescent="0.25">
      <c r="A171" s="29">
        <v>8.5185512795005747E-3</v>
      </c>
      <c r="F171" s="26" t="s">
        <v>7</v>
      </c>
      <c r="AG171" s="26" t="s">
        <v>8</v>
      </c>
      <c r="AJ171" s="26" t="s">
        <v>7</v>
      </c>
      <c r="AK171" s="26" t="s">
        <v>8</v>
      </c>
      <c r="AL171" s="26" t="s">
        <v>7</v>
      </c>
      <c r="AM171" s="26" t="s">
        <v>8</v>
      </c>
      <c r="AN171" s="26" t="s">
        <v>7</v>
      </c>
      <c r="AO171" s="26" t="s">
        <v>8</v>
      </c>
      <c r="AP171" s="26" t="s">
        <v>7</v>
      </c>
      <c r="AY171" s="26" t="s">
        <v>8</v>
      </c>
    </row>
    <row r="172" spans="1:57" x14ac:dyDescent="0.25">
      <c r="A172" s="29">
        <v>7.744137526818704E-3</v>
      </c>
      <c r="F172" s="26" t="s">
        <v>7</v>
      </c>
      <c r="AG172" s="26" t="s">
        <v>8</v>
      </c>
      <c r="AJ172" s="26" t="s">
        <v>7</v>
      </c>
      <c r="AL172" s="26" t="s">
        <v>7</v>
      </c>
      <c r="AM172" s="26" t="s">
        <v>8</v>
      </c>
      <c r="AN172" s="26" t="s">
        <v>7</v>
      </c>
      <c r="AO172" s="26" t="s">
        <v>8</v>
      </c>
      <c r="AP172" s="26" t="s">
        <v>7</v>
      </c>
      <c r="AQ172" s="26" t="s">
        <v>8</v>
      </c>
      <c r="AY172" s="26" t="s">
        <v>8</v>
      </c>
      <c r="AZ172" s="26" t="s">
        <v>7</v>
      </c>
      <c r="BC172" s="26" t="s">
        <v>8</v>
      </c>
    </row>
    <row r="173" spans="1:57" x14ac:dyDescent="0.25">
      <c r="A173" s="29">
        <v>7.0401250243806394E-3</v>
      </c>
      <c r="F173" s="26" t="s">
        <v>7</v>
      </c>
      <c r="AG173" s="26" t="s">
        <v>8</v>
      </c>
      <c r="AL173" s="26" t="s">
        <v>7</v>
      </c>
      <c r="AM173" s="26" t="s">
        <v>8</v>
      </c>
      <c r="AN173" s="26" t="s">
        <v>7</v>
      </c>
      <c r="AP173" s="26" t="s">
        <v>7</v>
      </c>
      <c r="AQ173" s="26" t="s">
        <v>8</v>
      </c>
      <c r="AR173" s="26" t="s">
        <v>7</v>
      </c>
      <c r="AY173" s="26" t="s">
        <v>8</v>
      </c>
      <c r="AZ173" s="26" t="s">
        <v>7</v>
      </c>
      <c r="BC173" s="26" t="s">
        <v>8</v>
      </c>
      <c r="BD173" s="26" t="s">
        <v>7</v>
      </c>
    </row>
    <row r="174" spans="1:57" x14ac:dyDescent="0.25">
      <c r="A174" s="29">
        <v>6.4001136585278536E-3</v>
      </c>
      <c r="F174" s="26" t="s">
        <v>7</v>
      </c>
      <c r="AG174" s="26" t="s">
        <v>8</v>
      </c>
      <c r="AL174" s="26" t="s">
        <v>7</v>
      </c>
      <c r="AM174" s="26" t="s">
        <v>8</v>
      </c>
      <c r="AP174" s="26" t="s">
        <v>7</v>
      </c>
      <c r="AQ174" s="26" t="s">
        <v>8</v>
      </c>
      <c r="AR174" s="26" t="s">
        <v>7</v>
      </c>
      <c r="AY174" s="26" t="s">
        <v>8</v>
      </c>
      <c r="AZ174" s="26" t="s">
        <v>7</v>
      </c>
      <c r="BA174" s="26" t="s">
        <v>8</v>
      </c>
      <c r="BC174" s="26" t="s">
        <v>8</v>
      </c>
      <c r="BD174" s="26" t="s">
        <v>7</v>
      </c>
    </row>
    <row r="175" spans="1:57" x14ac:dyDescent="0.25">
      <c r="A175" s="29">
        <v>5.8182851441162305E-3</v>
      </c>
      <c r="F175" s="26" t="s">
        <v>7</v>
      </c>
      <c r="AG175" s="26" t="s">
        <v>8</v>
      </c>
      <c r="AL175" s="26" t="s">
        <v>7</v>
      </c>
      <c r="AM175" s="26" t="s">
        <v>8</v>
      </c>
      <c r="AP175" s="26" t="s">
        <v>7</v>
      </c>
      <c r="AR175" s="26" t="s">
        <v>7</v>
      </c>
      <c r="AY175" s="26" t="s">
        <v>8</v>
      </c>
      <c r="AZ175" s="26" t="s">
        <v>7</v>
      </c>
      <c r="BA175" s="26" t="s">
        <v>8</v>
      </c>
      <c r="BB175" s="26" t="s">
        <v>7</v>
      </c>
      <c r="BC175" s="26" t="s">
        <v>8</v>
      </c>
      <c r="BD175" s="26" t="s">
        <v>7</v>
      </c>
    </row>
    <row r="176" spans="1:57" x14ac:dyDescent="0.25">
      <c r="A176" s="29">
        <v>5.2893501310147546E-3</v>
      </c>
      <c r="F176" s="26" t="s">
        <v>7</v>
      </c>
      <c r="AG176" s="26" t="s">
        <v>8</v>
      </c>
      <c r="AL176" s="26" t="s">
        <v>7</v>
      </c>
      <c r="AR176" s="26" t="s">
        <v>7</v>
      </c>
      <c r="AY176" s="26" t="s">
        <v>8</v>
      </c>
      <c r="AZ176" s="26" t="s">
        <v>7</v>
      </c>
      <c r="BA176" s="26" t="s">
        <v>8</v>
      </c>
      <c r="BB176" s="26" t="s">
        <v>7</v>
      </c>
      <c r="BC176" s="26" t="s">
        <v>8</v>
      </c>
      <c r="BD176" s="26" t="s">
        <v>7</v>
      </c>
      <c r="BE176" s="26" t="s">
        <v>8</v>
      </c>
    </row>
    <row r="177" spans="1:60" x14ac:dyDescent="0.25">
      <c r="A177" s="29">
        <v>4.8085001191043222E-3</v>
      </c>
      <c r="F177" s="26" t="s">
        <v>7</v>
      </c>
      <c r="AG177" s="26" t="s">
        <v>8</v>
      </c>
      <c r="AR177" s="26" t="s">
        <v>7</v>
      </c>
      <c r="AS177" s="26" t="s">
        <v>8</v>
      </c>
      <c r="AU177" s="26" t="s">
        <v>8</v>
      </c>
      <c r="AY177" s="26" t="s">
        <v>8</v>
      </c>
      <c r="AZ177" s="26" t="s">
        <v>7</v>
      </c>
      <c r="BA177" s="26" t="s">
        <v>8</v>
      </c>
      <c r="BB177" s="26" t="s">
        <v>7</v>
      </c>
      <c r="BD177" s="26" t="s">
        <v>7</v>
      </c>
      <c r="BE177" s="26" t="s">
        <v>8</v>
      </c>
      <c r="BF177" s="26" t="s">
        <v>7</v>
      </c>
    </row>
    <row r="178" spans="1:60" x14ac:dyDescent="0.25">
      <c r="A178" s="29">
        <v>4.3713637446402926E-3</v>
      </c>
      <c r="F178" s="26" t="s">
        <v>7</v>
      </c>
      <c r="AG178" s="26" t="s">
        <v>8</v>
      </c>
      <c r="AR178" s="26" t="s">
        <v>7</v>
      </c>
      <c r="AS178" s="26" t="s">
        <v>8</v>
      </c>
      <c r="AT178" s="26" t="s">
        <v>7</v>
      </c>
      <c r="AU178" s="26" t="s">
        <v>8</v>
      </c>
      <c r="AV178" s="26" t="s">
        <v>7</v>
      </c>
      <c r="AY178" s="26" t="s">
        <v>8</v>
      </c>
      <c r="AZ178" s="26" t="s">
        <v>7</v>
      </c>
      <c r="BA178" s="26" t="s">
        <v>8</v>
      </c>
      <c r="BD178" s="26" t="s">
        <v>7</v>
      </c>
      <c r="BE178" s="26" t="s">
        <v>8</v>
      </c>
      <c r="BF178" s="26" t="s">
        <v>7</v>
      </c>
    </row>
    <row r="179" spans="1:60" x14ac:dyDescent="0.25">
      <c r="A179" s="29">
        <v>3.9739670405820838E-3</v>
      </c>
      <c r="F179" s="26" t="s">
        <v>7</v>
      </c>
      <c r="AE179" s="26" t="s">
        <v>8</v>
      </c>
      <c r="AG179" s="26" t="s">
        <v>8</v>
      </c>
      <c r="AR179" s="26" t="s">
        <v>7</v>
      </c>
      <c r="AS179" s="26" t="s">
        <v>8</v>
      </c>
      <c r="AT179" s="26" t="s">
        <v>7</v>
      </c>
      <c r="AU179" s="26" t="s">
        <v>8</v>
      </c>
      <c r="AV179" s="26" t="s">
        <v>7</v>
      </c>
      <c r="AY179" s="26" t="s">
        <v>8</v>
      </c>
      <c r="AZ179" s="26" t="s">
        <v>7</v>
      </c>
      <c r="BA179" s="26" t="s">
        <v>8</v>
      </c>
      <c r="BD179" s="26" t="s">
        <v>7</v>
      </c>
      <c r="BE179" s="26" t="s">
        <v>8</v>
      </c>
      <c r="BF179" s="26" t="s">
        <v>7</v>
      </c>
      <c r="BG179" s="26" t="s">
        <v>8</v>
      </c>
    </row>
    <row r="180" spans="1:60" x14ac:dyDescent="0.25">
      <c r="A180" s="29">
        <v>3.6126973096200759E-3</v>
      </c>
      <c r="F180" s="26" t="s">
        <v>7</v>
      </c>
      <c r="AE180" s="26" t="s">
        <v>8</v>
      </c>
      <c r="AF180" s="26" t="s">
        <v>7</v>
      </c>
      <c r="AG180" s="26" t="s">
        <v>8</v>
      </c>
      <c r="AR180" s="26" t="s">
        <v>7</v>
      </c>
      <c r="AS180" s="26" t="s">
        <v>8</v>
      </c>
      <c r="AT180" s="26" t="s">
        <v>7</v>
      </c>
      <c r="AU180" s="26" t="s">
        <v>8</v>
      </c>
      <c r="AV180" s="26" t="s">
        <v>7</v>
      </c>
      <c r="AY180" s="26" t="s">
        <v>8</v>
      </c>
      <c r="AZ180" s="26" t="s">
        <v>7</v>
      </c>
      <c r="BD180" s="26" t="s">
        <v>7</v>
      </c>
      <c r="BE180" s="26" t="s">
        <v>8</v>
      </c>
      <c r="BF180" s="26" t="s">
        <v>7</v>
      </c>
      <c r="BG180" s="26" t="s">
        <v>8</v>
      </c>
      <c r="BH180" s="26" t="s">
        <v>7</v>
      </c>
    </row>
    <row r="181" spans="1:60" x14ac:dyDescent="0.25">
      <c r="A181" s="29">
        <v>3.2842702814727962E-3</v>
      </c>
      <c r="F181" s="26" t="s">
        <v>7</v>
      </c>
      <c r="AE181" s="26" t="s">
        <v>8</v>
      </c>
      <c r="AF181" s="26" t="s">
        <v>7</v>
      </c>
      <c r="AG181" s="26" t="s">
        <v>8</v>
      </c>
      <c r="AR181" s="26" t="s">
        <v>7</v>
      </c>
      <c r="AS181" s="26" t="s">
        <v>8</v>
      </c>
      <c r="AT181" s="26" t="s">
        <v>7</v>
      </c>
      <c r="AU181" s="26" t="s">
        <v>8</v>
      </c>
      <c r="AV181" s="26" t="s">
        <v>7</v>
      </c>
      <c r="AY181" s="26" t="s">
        <v>8</v>
      </c>
      <c r="BD181" s="26" t="s">
        <v>7</v>
      </c>
      <c r="BE181" s="26" t="s">
        <v>8</v>
      </c>
      <c r="BF181" s="26" t="s">
        <v>7</v>
      </c>
      <c r="BG181" s="26" t="s">
        <v>8</v>
      </c>
      <c r="BH181" s="26" t="s">
        <v>7</v>
      </c>
    </row>
    <row r="182" spans="1:60" x14ac:dyDescent="0.25">
      <c r="A182" s="29">
        <v>2.9857002558843601E-3</v>
      </c>
      <c r="F182" s="26" t="s">
        <v>7</v>
      </c>
      <c r="AE182" s="26" t="s">
        <v>8</v>
      </c>
      <c r="AF182" s="26" t="s">
        <v>7</v>
      </c>
      <c r="AR182" s="26" t="s">
        <v>7</v>
      </c>
      <c r="AS182" s="26" t="s">
        <v>8</v>
      </c>
      <c r="AT182" s="26" t="s">
        <v>7</v>
      </c>
      <c r="AU182" s="26" t="s">
        <v>8</v>
      </c>
      <c r="AV182" s="26" t="s">
        <v>7</v>
      </c>
      <c r="AY182" s="26" t="s">
        <v>8</v>
      </c>
      <c r="BD182" s="26" t="s">
        <v>7</v>
      </c>
      <c r="BF182" s="26" t="s">
        <v>7</v>
      </c>
      <c r="BH182" s="26" t="s">
        <v>7</v>
      </c>
    </row>
    <row r="183" spans="1:60" x14ac:dyDescent="0.25">
      <c r="A183" s="29">
        <v>2.7142729598948726E-3</v>
      </c>
      <c r="F183" s="26" t="s">
        <v>7</v>
      </c>
      <c r="AA183" s="26" t="s">
        <v>8</v>
      </c>
      <c r="AE183" s="26" t="s">
        <v>8</v>
      </c>
      <c r="AR183" s="26" t="s">
        <v>7</v>
      </c>
      <c r="AT183" s="26" t="s">
        <v>7</v>
      </c>
      <c r="AU183" s="26" t="s">
        <v>8</v>
      </c>
      <c r="AV183" s="26" t="s">
        <v>7</v>
      </c>
      <c r="AW183" s="26" t="s">
        <v>8</v>
      </c>
      <c r="AY183" s="26" t="s">
        <v>8</v>
      </c>
      <c r="BH183" s="26" t="s">
        <v>7</v>
      </c>
    </row>
    <row r="184" spans="1:60" x14ac:dyDescent="0.25">
      <c r="A184" s="29">
        <v>2.4675208726317021E-3</v>
      </c>
      <c r="F184" s="26" t="s">
        <v>7</v>
      </c>
      <c r="AA184" s="26" t="s">
        <v>8</v>
      </c>
      <c r="AB184" s="26" t="s">
        <v>7</v>
      </c>
      <c r="AE184" s="26" t="s">
        <v>8</v>
      </c>
      <c r="AT184" s="26" t="s">
        <v>7</v>
      </c>
      <c r="AV184" s="26" t="s">
        <v>7</v>
      </c>
      <c r="AW184" s="26" t="s">
        <v>8</v>
      </c>
      <c r="AX184" s="26" t="s">
        <v>7</v>
      </c>
      <c r="AY184" s="26" t="s">
        <v>8</v>
      </c>
      <c r="BH184" s="26" t="s">
        <v>7</v>
      </c>
    </row>
    <row r="185" spans="1:60" x14ac:dyDescent="0.25">
      <c r="A185" s="29">
        <v>2.2432007933015472E-3</v>
      </c>
      <c r="F185" s="26" t="s">
        <v>7</v>
      </c>
      <c r="AA185" s="26" t="s">
        <v>8</v>
      </c>
      <c r="AB185" s="26" t="s">
        <v>7</v>
      </c>
      <c r="AC185" s="26" t="s">
        <v>8</v>
      </c>
      <c r="AE185" s="26" t="s">
        <v>8</v>
      </c>
      <c r="AV185" s="26" t="s">
        <v>7</v>
      </c>
      <c r="AW185" s="26" t="s">
        <v>8</v>
      </c>
      <c r="AX185" s="26" t="s">
        <v>7</v>
      </c>
      <c r="AY185" s="26" t="s">
        <v>8</v>
      </c>
      <c r="BH185" s="26" t="s">
        <v>7</v>
      </c>
    </row>
    <row r="186" spans="1:60" x14ac:dyDescent="0.25">
      <c r="A186" s="29">
        <v>2.0392734484559519E-3</v>
      </c>
      <c r="F186" s="26" t="s">
        <v>7</v>
      </c>
      <c r="AA186" s="26" t="s">
        <v>8</v>
      </c>
      <c r="AB186" s="26" t="s">
        <v>7</v>
      </c>
      <c r="AC186" s="26" t="s">
        <v>8</v>
      </c>
      <c r="AD186" s="26" t="s">
        <v>7</v>
      </c>
      <c r="AE186" s="26" t="s">
        <v>8</v>
      </c>
      <c r="AV186" s="26" t="s">
        <v>7</v>
      </c>
      <c r="AW186" s="26" t="s">
        <v>8</v>
      </c>
      <c r="AX186" s="26" t="s">
        <v>7</v>
      </c>
      <c r="AY186" s="26" t="s">
        <v>8</v>
      </c>
    </row>
    <row r="187" spans="1:60" x14ac:dyDescent="0.25">
      <c r="A187" s="29">
        <v>1.8538849531417744E-3</v>
      </c>
      <c r="F187" s="26" t="s">
        <v>7</v>
      </c>
      <c r="Y187" s="26" t="s">
        <v>8</v>
      </c>
      <c r="AA187" s="26" t="s">
        <v>8</v>
      </c>
      <c r="AB187" s="26" t="s">
        <v>7</v>
      </c>
      <c r="AC187" s="26" t="s">
        <v>8</v>
      </c>
      <c r="AD187" s="26" t="s">
        <v>7</v>
      </c>
      <c r="AE187" s="26" t="s">
        <v>8</v>
      </c>
      <c r="AV187" s="26" t="s">
        <v>7</v>
      </c>
      <c r="AX187" s="18" t="s">
        <v>7</v>
      </c>
      <c r="AY187" s="26" t="s">
        <v>8</v>
      </c>
    </row>
    <row r="188" spans="1:60" x14ac:dyDescent="0.25">
      <c r="A188" s="29">
        <v>1.6853499574016129E-3</v>
      </c>
      <c r="F188" s="26" t="s">
        <v>7</v>
      </c>
      <c r="Y188" s="26" t="s">
        <v>8</v>
      </c>
      <c r="Z188" s="26" t="s">
        <v>7</v>
      </c>
      <c r="AA188" s="26" t="s">
        <v>8</v>
      </c>
      <c r="AB188" s="26" t="s">
        <v>7</v>
      </c>
      <c r="AC188" s="26" t="s">
        <v>8</v>
      </c>
      <c r="AD188" s="26" t="s">
        <v>7</v>
      </c>
      <c r="AE188" s="26" t="s">
        <v>8</v>
      </c>
      <c r="AX188" s="26" t="s">
        <v>7</v>
      </c>
    </row>
    <row r="189" spans="1:60" x14ac:dyDescent="0.25">
      <c r="A189" s="29">
        <v>1.5321363249105571E-3</v>
      </c>
      <c r="F189" s="26" t="s">
        <v>7</v>
      </c>
      <c r="Y189" s="26" t="s">
        <v>8</v>
      </c>
      <c r="Z189" s="26" t="s">
        <v>7</v>
      </c>
      <c r="AA189" s="26" t="s">
        <v>8</v>
      </c>
      <c r="AB189" s="26" t="s">
        <v>7</v>
      </c>
      <c r="AC189" s="26" t="s">
        <v>8</v>
      </c>
      <c r="AD189" s="26" t="s">
        <v>7</v>
      </c>
      <c r="AE189" s="26" t="s">
        <v>8</v>
      </c>
    </row>
    <row r="190" spans="1:60" x14ac:dyDescent="0.25">
      <c r="A190" s="29">
        <v>1.3928512044641427E-3</v>
      </c>
      <c r="F190" s="26" t="s">
        <v>7</v>
      </c>
      <c r="Y190" s="26" t="s">
        <v>8</v>
      </c>
      <c r="Z190" s="26" t="s">
        <v>7</v>
      </c>
      <c r="AA190" s="26" t="s">
        <v>8</v>
      </c>
      <c r="AB190" s="26" t="s">
        <v>7</v>
      </c>
      <c r="AD190" s="26" t="s">
        <v>7</v>
      </c>
    </row>
    <row r="191" spans="1:60" x14ac:dyDescent="0.25">
      <c r="A191" s="29">
        <v>1.2662283676946752E-3</v>
      </c>
      <c r="F191" s="26" t="s">
        <v>7</v>
      </c>
      <c r="Y191" s="26" t="s">
        <v>8</v>
      </c>
      <c r="Z191" s="26" t="s">
        <v>7</v>
      </c>
      <c r="AA191" s="26" t="s">
        <v>8</v>
      </c>
    </row>
    <row r="192" spans="1:60" x14ac:dyDescent="0.25">
      <c r="A192" s="29">
        <v>1.15111669790425E-3</v>
      </c>
      <c r="F192" s="26" t="s">
        <v>7</v>
      </c>
      <c r="Y192" s="26" t="s">
        <v>8</v>
      </c>
      <c r="Z192" s="26" t="s">
        <v>7</v>
      </c>
      <c r="AA192" s="26" t="s">
        <v>8</v>
      </c>
    </row>
    <row r="193" spans="1:26" x14ac:dyDescent="0.25">
      <c r="A193" s="29">
        <v>1.0464697253675E-3</v>
      </c>
      <c r="F193" s="26" t="s">
        <v>7</v>
      </c>
      <c r="Y193" s="26" t="s">
        <v>8</v>
      </c>
      <c r="Z193" s="26" t="s">
        <v>7</v>
      </c>
    </row>
    <row r="194" spans="1:26" x14ac:dyDescent="0.25">
      <c r="A194" s="29">
        <v>9.5133611397045449E-4</v>
      </c>
      <c r="F194" s="26" t="s">
        <v>7</v>
      </c>
      <c r="W194" s="26" t="s">
        <v>8</v>
      </c>
      <c r="Y194" s="26" t="s">
        <v>8</v>
      </c>
    </row>
    <row r="195" spans="1:26" x14ac:dyDescent="0.25">
      <c r="A195" s="29">
        <v>8.6485101270041313E-4</v>
      </c>
      <c r="F195" s="26" t="s">
        <v>7</v>
      </c>
      <c r="W195" s="26" t="s">
        <v>8</v>
      </c>
      <c r="X195" s="26" t="s">
        <v>7</v>
      </c>
      <c r="Y195" s="26" t="s">
        <v>8</v>
      </c>
    </row>
    <row r="196" spans="1:26" x14ac:dyDescent="0.25">
      <c r="A196" s="29">
        <v>7.862281933640119E-4</v>
      </c>
      <c r="F196" s="26" t="s">
        <v>7</v>
      </c>
      <c r="W196" s="26" t="s">
        <v>8</v>
      </c>
      <c r="X196" s="26" t="s">
        <v>7</v>
      </c>
      <c r="Y196" s="26" t="s">
        <v>8</v>
      </c>
    </row>
    <row r="197" spans="1:26" x14ac:dyDescent="0.25">
      <c r="A197" s="29">
        <v>7.0760537402761068E-4</v>
      </c>
      <c r="F197" s="26" t="s">
        <v>7</v>
      </c>
      <c r="W197" s="26" t="s">
        <v>8</v>
      </c>
      <c r="X197" s="26" t="s">
        <v>7</v>
      </c>
    </row>
    <row r="198" spans="1:26" x14ac:dyDescent="0.25">
      <c r="A198" s="29">
        <v>6.368448366248496E-4</v>
      </c>
      <c r="F198" s="26" t="s">
        <v>7</v>
      </c>
      <c r="W198" s="26" t="s">
        <v>8</v>
      </c>
    </row>
    <row r="199" spans="1:26" x14ac:dyDescent="0.25">
      <c r="A199" s="29">
        <v>5.7316035296236471E-4</v>
      </c>
      <c r="F199" s="26" t="s">
        <v>7</v>
      </c>
      <c r="U199" s="26" t="s">
        <v>8</v>
      </c>
      <c r="W199" s="26" t="s">
        <v>8</v>
      </c>
    </row>
    <row r="200" spans="1:26" x14ac:dyDescent="0.25">
      <c r="A200" s="29">
        <v>5.1584431766612821E-4</v>
      </c>
      <c r="F200" s="26" t="s">
        <v>7</v>
      </c>
      <c r="U200" s="26" t="s">
        <v>8</v>
      </c>
      <c r="V200" s="26" t="s">
        <v>7</v>
      </c>
      <c r="W200" s="26" t="s">
        <v>8</v>
      </c>
    </row>
    <row r="201" spans="1:26" x14ac:dyDescent="0.25">
      <c r="A201" s="29">
        <v>4.6425988589951538E-4</v>
      </c>
      <c r="F201" s="26" t="s">
        <v>7</v>
      </c>
      <c r="U201" s="26" t="s">
        <v>8</v>
      </c>
      <c r="V201" s="26" t="s">
        <v>7</v>
      </c>
      <c r="W201" s="26" t="s">
        <v>8</v>
      </c>
    </row>
    <row r="202" spans="1:26" x14ac:dyDescent="0.25">
      <c r="A202" s="29">
        <v>4.1783389730956383E-4</v>
      </c>
      <c r="F202" s="26" t="s">
        <v>7</v>
      </c>
      <c r="O202" s="26" t="s">
        <v>8</v>
      </c>
      <c r="S202" s="26" t="s">
        <v>8</v>
      </c>
      <c r="U202" s="26" t="s">
        <v>8</v>
      </c>
      <c r="V202" s="26" t="s">
        <v>7</v>
      </c>
      <c r="W202" s="26" t="s">
        <v>8</v>
      </c>
    </row>
    <row r="203" spans="1:26" x14ac:dyDescent="0.25">
      <c r="A203" s="29">
        <v>3.7605050757860746E-4</v>
      </c>
      <c r="F203" s="26" t="s">
        <v>7</v>
      </c>
      <c r="O203" s="26" t="s">
        <v>8</v>
      </c>
      <c r="P203" s="26" t="s">
        <v>7</v>
      </c>
      <c r="S203" s="26" t="s">
        <v>8</v>
      </c>
      <c r="T203" s="26" t="s">
        <v>7</v>
      </c>
      <c r="U203" s="26" t="s">
        <v>8</v>
      </c>
      <c r="V203" s="26" t="s">
        <v>7</v>
      </c>
      <c r="W203" s="26" t="s">
        <v>8</v>
      </c>
    </row>
    <row r="204" spans="1:26" x14ac:dyDescent="0.25">
      <c r="A204" s="29">
        <v>3.3844545682074675E-4</v>
      </c>
      <c r="F204" s="26" t="s">
        <v>7</v>
      </c>
      <c r="O204" s="26" t="s">
        <v>8</v>
      </c>
      <c r="P204" s="26" t="s">
        <v>7</v>
      </c>
      <c r="S204" s="26" t="s">
        <v>8</v>
      </c>
      <c r="T204" s="26" t="s">
        <v>7</v>
      </c>
      <c r="U204" s="26" t="s">
        <v>8</v>
      </c>
      <c r="V204" s="26" t="s">
        <v>7</v>
      </c>
    </row>
    <row r="205" spans="1:26" x14ac:dyDescent="0.25">
      <c r="A205" s="29">
        <v>3.0460091113867208E-4</v>
      </c>
      <c r="F205" s="26" t="s">
        <v>7</v>
      </c>
      <c r="O205" s="26" t="s">
        <v>8</v>
      </c>
      <c r="P205" s="26" t="s">
        <v>7</v>
      </c>
      <c r="Q205" s="26" t="s">
        <v>8</v>
      </c>
      <c r="S205" s="26" t="s">
        <v>8</v>
      </c>
      <c r="T205" s="26" t="s">
        <v>7</v>
      </c>
      <c r="U205" s="26" t="s">
        <v>8</v>
      </c>
    </row>
    <row r="206" spans="1:26" x14ac:dyDescent="0.25">
      <c r="A206" s="29">
        <v>2.7414082002480487E-4</v>
      </c>
      <c r="F206" s="26" t="s">
        <v>7</v>
      </c>
      <c r="G206" s="26" t="s">
        <v>8</v>
      </c>
      <c r="M206" s="26" t="s">
        <v>8</v>
      </c>
      <c r="O206" s="26" t="s">
        <v>8</v>
      </c>
      <c r="P206" s="26" t="s">
        <v>7</v>
      </c>
      <c r="Q206" s="26" t="s">
        <v>8</v>
      </c>
      <c r="R206" s="26" t="s">
        <v>7</v>
      </c>
      <c r="S206" s="26" t="s">
        <v>8</v>
      </c>
      <c r="T206" s="26" t="s">
        <v>7</v>
      </c>
      <c r="U206" s="26" t="s">
        <v>8</v>
      </c>
    </row>
    <row r="207" spans="1:26" x14ac:dyDescent="0.25">
      <c r="A207" s="29">
        <v>2.4672673802232442E-4</v>
      </c>
      <c r="F207" s="26" t="s">
        <v>7</v>
      </c>
      <c r="G207" s="26" t="s">
        <v>8</v>
      </c>
      <c r="H207" s="26" t="s">
        <v>7</v>
      </c>
      <c r="K207" s="26" t="s">
        <v>8</v>
      </c>
      <c r="M207" s="26" t="s">
        <v>8</v>
      </c>
      <c r="N207" s="26" t="s">
        <v>7</v>
      </c>
      <c r="O207" s="26" t="s">
        <v>8</v>
      </c>
      <c r="P207" s="26" t="s">
        <v>7</v>
      </c>
      <c r="Q207" s="26" t="s">
        <v>8</v>
      </c>
      <c r="R207" s="26" t="s">
        <v>7</v>
      </c>
      <c r="S207" s="26" t="s">
        <v>8</v>
      </c>
      <c r="T207" s="26" t="s">
        <v>7</v>
      </c>
    </row>
    <row r="208" spans="1:26" x14ac:dyDescent="0.25">
      <c r="A208" s="29">
        <v>2.2205406422009198E-4</v>
      </c>
      <c r="F208" s="26" t="s">
        <v>7</v>
      </c>
      <c r="G208" s="26" t="s">
        <v>8</v>
      </c>
      <c r="H208" s="26" t="s">
        <v>7</v>
      </c>
      <c r="K208" s="26" t="s">
        <v>8</v>
      </c>
      <c r="L208" s="26" t="s">
        <v>7</v>
      </c>
      <c r="M208" s="26" t="s">
        <v>8</v>
      </c>
      <c r="N208" s="26" t="s">
        <v>7</v>
      </c>
      <c r="O208" s="26" t="s">
        <v>8</v>
      </c>
      <c r="P208" s="26" t="s">
        <v>7</v>
      </c>
      <c r="Q208" s="26" t="s">
        <v>8</v>
      </c>
      <c r="R208" s="26" t="s">
        <v>7</v>
      </c>
      <c r="S208" s="26" t="s">
        <v>8</v>
      </c>
    </row>
    <row r="209" spans="1:18" x14ac:dyDescent="0.25">
      <c r="A209" s="29">
        <v>1.998486577980828E-4</v>
      </c>
      <c r="F209" s="26" t="s">
        <v>7</v>
      </c>
      <c r="G209" s="26" t="s">
        <v>8</v>
      </c>
      <c r="H209" s="26" t="s">
        <v>7</v>
      </c>
      <c r="K209" s="26" t="s">
        <v>8</v>
      </c>
      <c r="L209" s="26" t="s">
        <v>7</v>
      </c>
      <c r="N209" s="26" t="s">
        <v>7</v>
      </c>
      <c r="P209" s="26" t="s">
        <v>7</v>
      </c>
      <c r="Q209" s="26" t="s">
        <v>8</v>
      </c>
      <c r="R209" s="26" t="s">
        <v>7</v>
      </c>
    </row>
    <row r="210" spans="1:18" x14ac:dyDescent="0.25">
      <c r="A210" s="29">
        <v>1.7986379201827453E-4</v>
      </c>
      <c r="F210" s="26" t="s">
        <v>7</v>
      </c>
      <c r="G210" s="26" t="s">
        <v>8</v>
      </c>
      <c r="H210" s="26" t="s">
        <v>7</v>
      </c>
      <c r="K210" s="26" t="s">
        <v>8</v>
      </c>
      <c r="P210" s="26" t="s">
        <v>7</v>
      </c>
      <c r="Q210" s="26" t="s">
        <v>8</v>
      </c>
    </row>
    <row r="211" spans="1:18" x14ac:dyDescent="0.25">
      <c r="A211" s="29">
        <v>1.6187741281644709E-4</v>
      </c>
      <c r="F211" s="26" t="s">
        <v>7</v>
      </c>
      <c r="H211" s="26" t="s">
        <v>7</v>
      </c>
      <c r="K211" s="26" t="s">
        <v>8</v>
      </c>
      <c r="P211" s="26" t="s">
        <v>7</v>
      </c>
    </row>
    <row r="212" spans="1:18" x14ac:dyDescent="0.25">
      <c r="A212" s="29">
        <v>1.4568967153480238E-4</v>
      </c>
      <c r="H212" s="26" t="s">
        <v>7</v>
      </c>
      <c r="I212" s="26" t="s">
        <v>8</v>
      </c>
      <c r="K212" s="26" t="s">
        <v>8</v>
      </c>
    </row>
    <row r="213" spans="1:18" x14ac:dyDescent="0.25">
      <c r="A213" s="29">
        <v>1.3112070438132215E-4</v>
      </c>
      <c r="H213" s="26" t="s">
        <v>7</v>
      </c>
      <c r="I213" s="26" t="s">
        <v>8</v>
      </c>
      <c r="J213" s="26" t="s">
        <v>7</v>
      </c>
      <c r="K213" s="26" t="s">
        <v>8</v>
      </c>
    </row>
    <row r="214" spans="1:18" x14ac:dyDescent="0.25">
      <c r="A214" s="29">
        <v>1.1800863394318995E-4</v>
      </c>
      <c r="H214" s="26" t="s">
        <v>7</v>
      </c>
      <c r="I214" s="26" t="s">
        <v>8</v>
      </c>
      <c r="J214" s="26" t="s">
        <v>7</v>
      </c>
      <c r="K214" s="26" t="s">
        <v>8</v>
      </c>
    </row>
    <row r="215" spans="1:18" x14ac:dyDescent="0.25">
      <c r="A215" s="29">
        <v>1.0620777054887096E-4</v>
      </c>
      <c r="H215" s="26" t="s">
        <v>7</v>
      </c>
      <c r="I215" s="26" t="s">
        <v>8</v>
      </c>
      <c r="J215" s="26" t="s">
        <v>7</v>
      </c>
      <c r="K215" s="26" t="s">
        <v>8</v>
      </c>
    </row>
    <row r="216" spans="1:18" x14ac:dyDescent="0.25">
      <c r="A216" s="29">
        <v>9.5586993493983861E-5</v>
      </c>
      <c r="H216" s="26" t="s">
        <v>7</v>
      </c>
      <c r="I216" s="26" t="s">
        <v>8</v>
      </c>
      <c r="J216" s="26" t="s">
        <v>7</v>
      </c>
    </row>
    <row r="217" spans="1:18" x14ac:dyDescent="0.25">
      <c r="A217" s="29">
        <v>8.6028294144585476E-5</v>
      </c>
      <c r="H217" s="26" t="s">
        <v>7</v>
      </c>
      <c r="I217" s="26" t="s">
        <v>8</v>
      </c>
    </row>
    <row r="218" spans="1:18" x14ac:dyDescent="0.25">
      <c r="A218" s="29">
        <v>7.7425464730126924E-5</v>
      </c>
      <c r="H218" s="26" t="s">
        <v>7</v>
      </c>
      <c r="I218" s="26" t="s">
        <v>8</v>
      </c>
    </row>
    <row r="219" spans="1:18" x14ac:dyDescent="0.25">
      <c r="A219" s="29">
        <v>6.9682918257114228E-5</v>
      </c>
      <c r="H219" s="26" t="s">
        <v>7</v>
      </c>
    </row>
    <row r="220" spans="1:18" x14ac:dyDescent="0.25">
      <c r="A220" s="29">
        <v>6.2714626431402813E-5</v>
      </c>
    </row>
    <row r="221" spans="1:18" x14ac:dyDescent="0.25">
      <c r="A221" s="29">
        <v>5.6443163788262536E-5</v>
      </c>
    </row>
    <row r="222" spans="1:18" x14ac:dyDescent="0.25">
      <c r="A222" s="29">
        <v>5.0798847409436286E-5</v>
      </c>
    </row>
    <row r="223" spans="1:18" x14ac:dyDescent="0.25">
      <c r="A223" s="29">
        <v>4.5718962668492656E-5</v>
      </c>
    </row>
    <row r="224" spans="1:18" x14ac:dyDescent="0.25">
      <c r="A224" s="29">
        <v>4.1147066401643391E-5</v>
      </c>
    </row>
    <row r="225" spans="1:1" x14ac:dyDescent="0.25">
      <c r="A225" s="29">
        <v>3.7032359761479051E-5</v>
      </c>
    </row>
    <row r="226" spans="1:1" x14ac:dyDescent="0.25">
      <c r="A226" s="29">
        <v>3.3329123785331146E-5</v>
      </c>
    </row>
    <row r="227" spans="1:1" x14ac:dyDescent="0.25">
      <c r="A227" s="29">
        <v>2.9996211406798031E-5</v>
      </c>
    </row>
    <row r="228" spans="1:1" x14ac:dyDescent="0.25">
      <c r="A228" s="29">
        <v>2.6996590266118227E-5</v>
      </c>
    </row>
    <row r="229" spans="1:1" x14ac:dyDescent="0.25">
      <c r="A229" s="29">
        <v>2.4296931239506405E-5</v>
      </c>
    </row>
    <row r="230" spans="1:1" x14ac:dyDescent="0.25">
      <c r="A230" s="29">
        <v>2.1867238115555765E-5</v>
      </c>
    </row>
    <row r="231" spans="1:1" x14ac:dyDescent="0.25">
      <c r="A231" s="29">
        <v>1.968051430400019E-5</v>
      </c>
    </row>
    <row r="232" spans="1:1" x14ac:dyDescent="0.25">
      <c r="A232" s="29">
        <v>1.7712462873600173E-5</v>
      </c>
    </row>
    <row r="233" spans="1:1" x14ac:dyDescent="0.25">
      <c r="A233" s="29">
        <v>1.5941216586240156E-5</v>
      </c>
    </row>
    <row r="234" spans="1:1" x14ac:dyDescent="0.25">
      <c r="A234" s="29">
        <v>1.434709492761614E-5</v>
      </c>
    </row>
    <row r="235" spans="1:1" x14ac:dyDescent="0.25">
      <c r="A235" s="29">
        <v>1.2912385434854527E-5</v>
      </c>
    </row>
    <row r="236" spans="1:1" x14ac:dyDescent="0.25">
      <c r="A236" s="29">
        <v>1.1621146891369075E-5</v>
      </c>
    </row>
    <row r="237" spans="1:1" x14ac:dyDescent="0.25">
      <c r="A237" s="29">
        <v>1.0459032202232167E-5</v>
      </c>
    </row>
    <row r="238" spans="1:1" x14ac:dyDescent="0.25">
      <c r="A238" s="29">
        <v>9.4131289820089515E-6</v>
      </c>
    </row>
    <row r="239" spans="1:1" x14ac:dyDescent="0.25">
      <c r="A239" s="29">
        <v>8.4718160838080567E-6</v>
      </c>
    </row>
    <row r="240" spans="1:1" x14ac:dyDescent="0.25">
      <c r="A240" s="29">
        <v>7.6246344754272515E-6</v>
      </c>
    </row>
    <row r="241" spans="1:1" x14ac:dyDescent="0.25">
      <c r="A241" s="29">
        <v>6.8621710278845262E-6</v>
      </c>
    </row>
    <row r="242" spans="1:1" x14ac:dyDescent="0.25">
      <c r="A242" s="29">
        <v>6.1759539250960733E-6</v>
      </c>
    </row>
    <row r="243" spans="1:1" x14ac:dyDescent="0.25">
      <c r="A243" s="29">
        <v>5.5583585325864661E-6</v>
      </c>
    </row>
    <row r="244" spans="1:1" x14ac:dyDescent="0.25">
      <c r="A244" s="29">
        <v>5.0025226793278193E-6</v>
      </c>
    </row>
    <row r="245" spans="1:1" x14ac:dyDescent="0.25">
      <c r="A245" s="29">
        <v>4.5022704113950371E-6</v>
      </c>
    </row>
    <row r="246" spans="1:1" x14ac:dyDescent="0.25">
      <c r="A246" s="29">
        <v>4.0520433702555336E-6</v>
      </c>
    </row>
    <row r="247" spans="1:1" x14ac:dyDescent="0.25">
      <c r="A247" s="29">
        <v>3.6468390332299805E-6</v>
      </c>
    </row>
    <row r="248" spans="1:1" x14ac:dyDescent="0.25">
      <c r="A248" s="29">
        <v>3.2821551299069824E-6</v>
      </c>
    </row>
    <row r="249" spans="1:1" x14ac:dyDescent="0.25">
      <c r="A249" s="29">
        <v>2.9539396169162842E-6</v>
      </c>
    </row>
    <row r="250" spans="1:1" x14ac:dyDescent="0.25">
      <c r="A250" s="29">
        <v>2.6585456552246558E-6</v>
      </c>
    </row>
    <row r="251" spans="1:1" x14ac:dyDescent="0.25">
      <c r="A251" s="29">
        <v>2.39269108970219E-6</v>
      </c>
    </row>
    <row r="252" spans="1:1" x14ac:dyDescent="0.25">
      <c r="A252" s="29">
        <v>2.1534219807319713E-6</v>
      </c>
    </row>
    <row r="253" spans="1:1" x14ac:dyDescent="0.25">
      <c r="A253" s="29">
        <v>1.9380797826587742E-6</v>
      </c>
    </row>
    <row r="254" spans="1:1" x14ac:dyDescent="0.25">
      <c r="A254" s="29">
        <v>1.7442718043928968E-6</v>
      </c>
    </row>
    <row r="255" spans="1:1" x14ac:dyDescent="0.25">
      <c r="A255" s="29">
        <v>1.5698446239536072E-6</v>
      </c>
    </row>
    <row r="256" spans="1:1" x14ac:dyDescent="0.25">
      <c r="A256" s="29">
        <v>1.4128601615582464E-6</v>
      </c>
    </row>
    <row r="257" spans="1:1" x14ac:dyDescent="0.25">
      <c r="A257" s="29">
        <v>1.2715741454024219E-6</v>
      </c>
    </row>
    <row r="258" spans="1:1" x14ac:dyDescent="0.25">
      <c r="A258" s="29">
        <v>1.1444167308621797E-6</v>
      </c>
    </row>
    <row r="259" spans="1:1" x14ac:dyDescent="0.25">
      <c r="A259" s="29">
        <v>1.0299750577759617E-6</v>
      </c>
    </row>
    <row r="260" spans="1:1" x14ac:dyDescent="0.25">
      <c r="A260" s="29">
        <v>9.2697755199836562E-7</v>
      </c>
    </row>
    <row r="261" spans="1:1" x14ac:dyDescent="0.25">
      <c r="A261" s="29">
        <v>8.3427979679852907E-7</v>
      </c>
    </row>
    <row r="262" spans="1:1" x14ac:dyDescent="0.25">
      <c r="A262" s="29">
        <v>7.508518171186762E-7</v>
      </c>
    </row>
    <row r="263" spans="1:1" x14ac:dyDescent="0.25">
      <c r="A263" s="29">
        <v>6.7576663540680858E-7</v>
      </c>
    </row>
    <row r="264" spans="1:1" x14ac:dyDescent="0.25">
      <c r="A264" s="29">
        <v>6.0818997186612771E-7</v>
      </c>
    </row>
    <row r="265" spans="1:1" x14ac:dyDescent="0.25">
      <c r="A265" s="29">
        <v>5.4737097467951492E-7</v>
      </c>
    </row>
    <row r="266" spans="1:1" x14ac:dyDescent="0.25">
      <c r="A266" s="29">
        <v>4.9263387721156344E-7</v>
      </c>
    </row>
    <row r="267" spans="1:1" x14ac:dyDescent="0.25">
      <c r="A267" s="29">
        <v>4.4337048949040709E-7</v>
      </c>
    </row>
    <row r="268" spans="1:1" x14ac:dyDescent="0.25">
      <c r="A268" s="29">
        <v>3.9903344054136637E-7</v>
      </c>
    </row>
    <row r="269" spans="1:1" x14ac:dyDescent="0.25">
      <c r="A269" s="29">
        <v>3.5913009648722975E-7</v>
      </c>
    </row>
    <row r="270" spans="1:1" x14ac:dyDescent="0.25">
      <c r="A270" s="29">
        <v>3.2321708683850679E-7</v>
      </c>
    </row>
    <row r="271" spans="1:1" x14ac:dyDescent="0.25">
      <c r="A271" s="29">
        <v>2.908953781546561E-7</v>
      </c>
    </row>
    <row r="272" spans="1:1" x14ac:dyDescent="0.25">
      <c r="A272" s="29">
        <v>2.6180584033919052E-7</v>
      </c>
    </row>
    <row r="273" spans="1:1" x14ac:dyDescent="0.25">
      <c r="A273" s="29">
        <v>2.3562525630527146E-7</v>
      </c>
    </row>
    <row r="274" spans="1:1" x14ac:dyDescent="0.25">
      <c r="A274" s="29">
        <v>2.1206273067474431E-7</v>
      </c>
    </row>
    <row r="275" spans="1:1" x14ac:dyDescent="0.25">
      <c r="A275" s="29">
        <v>1.9085645760726988E-7</v>
      </c>
    </row>
    <row r="276" spans="1:1" x14ac:dyDescent="0.25">
      <c r="A276" s="29">
        <v>1.717708118465429E-7</v>
      </c>
    </row>
    <row r="277" spans="1:1" x14ac:dyDescent="0.25">
      <c r="A277" s="29">
        <v>1.5459373066188861E-7</v>
      </c>
    </row>
    <row r="278" spans="1:1" x14ac:dyDescent="0.25">
      <c r="A278" s="29">
        <v>1.3913435759569975E-7</v>
      </c>
    </row>
    <row r="279" spans="1:1" x14ac:dyDescent="0.25">
      <c r="A279" s="29">
        <v>1.2522092183612977E-7</v>
      </c>
    </row>
    <row r="280" spans="1:1" x14ac:dyDescent="0.25">
      <c r="A280" s="29">
        <v>1.1269882965251679E-7</v>
      </c>
    </row>
    <row r="281" spans="1:1" x14ac:dyDescent="0.25">
      <c r="A281" s="29">
        <v>1.0142894668726512E-7</v>
      </c>
    </row>
    <row r="282" spans="1:1" x14ac:dyDescent="0.25">
      <c r="A282" s="29">
        <v>9.1286052018538604E-8</v>
      </c>
    </row>
    <row r="283" spans="1:1" x14ac:dyDescent="0.25">
      <c r="A283" s="29">
        <v>8.2157446816684752E-8</v>
      </c>
    </row>
    <row r="284" spans="1:1" x14ac:dyDescent="0.25">
      <c r="A284" s="29">
        <v>7.3941702135016276E-8</v>
      </c>
    </row>
    <row r="285" spans="1:1" x14ac:dyDescent="0.25">
      <c r="A285" s="29">
        <v>6.6547531921514646E-8</v>
      </c>
    </row>
    <row r="286" spans="1:1" x14ac:dyDescent="0.25">
      <c r="A286" s="29">
        <v>5.9892778729363178E-8</v>
      </c>
    </row>
    <row r="287" spans="1:1" x14ac:dyDescent="0.25">
      <c r="A287" s="29">
        <v>5.3903500856426864E-8</v>
      </c>
    </row>
    <row r="288" spans="1:1" x14ac:dyDescent="0.25">
      <c r="A288" s="29">
        <v>4.851315077078418E-8</v>
      </c>
    </row>
    <row r="289" spans="1:1" x14ac:dyDescent="0.25">
      <c r="A289" s="29">
        <v>4.3661835693705764E-8</v>
      </c>
    </row>
    <row r="290" spans="1:1" x14ac:dyDescent="0.25">
      <c r="A290" s="29">
        <v>3.929565212433519E-8</v>
      </c>
    </row>
    <row r="291" spans="1:1" x14ac:dyDescent="0.25">
      <c r="A291" s="29">
        <v>3.536608691190167E-8</v>
      </c>
    </row>
    <row r="292" spans="1:1" x14ac:dyDescent="0.25">
      <c r="A292" s="29">
        <v>3.1829478220711501E-8</v>
      </c>
    </row>
    <row r="293" spans="1:1" x14ac:dyDescent="0.25">
      <c r="A293" s="29">
        <v>2.8646530398640351E-8</v>
      </c>
    </row>
    <row r="294" spans="1:1" x14ac:dyDescent="0.25">
      <c r="A294" s="29">
        <v>2.5781877358776315E-8</v>
      </c>
    </row>
    <row r="295" spans="1:1" x14ac:dyDescent="0.25">
      <c r="A295" s="29">
        <v>2.3203689622898683E-8</v>
      </c>
    </row>
    <row r="296" spans="1:1" x14ac:dyDescent="0.25">
      <c r="A296" s="29">
        <v>2.0883320660608816E-8</v>
      </c>
    </row>
    <row r="297" spans="1:1" x14ac:dyDescent="0.25">
      <c r="A297" s="29">
        <v>1.8794988594547934E-8</v>
      </c>
    </row>
    <row r="298" spans="1:1" x14ac:dyDescent="0.25">
      <c r="A298" s="29">
        <v>1.6915489735093139E-8</v>
      </c>
    </row>
    <row r="299" spans="1:1" x14ac:dyDescent="0.25">
      <c r="A299" s="29">
        <v>1.5223940761583825E-8</v>
      </c>
    </row>
    <row r="300" spans="1:1" x14ac:dyDescent="0.25">
      <c r="A300" s="29">
        <v>1.3701546685425444E-8</v>
      </c>
    </row>
    <row r="301" spans="1:1" x14ac:dyDescent="0.25">
      <c r="A301" s="29">
        <v>1.2331392016882899E-8</v>
      </c>
    </row>
    <row r="302" spans="1:1" x14ac:dyDescent="0.25">
      <c r="A302" s="29">
        <v>1.1098252815194609E-8</v>
      </c>
    </row>
    <row r="303" spans="1:1" x14ac:dyDescent="0.25">
      <c r="A303" s="29">
        <v>9.9884275336751485E-9</v>
      </c>
    </row>
    <row r="304" spans="1:1" x14ac:dyDescent="0.25">
      <c r="A304" s="29">
        <v>8.9895847803076335E-9</v>
      </c>
    </row>
    <row r="305" spans="1:1" x14ac:dyDescent="0.25">
      <c r="A305" s="29">
        <v>8.0906263022768703E-9</v>
      </c>
    </row>
    <row r="306" spans="1:1" x14ac:dyDescent="0.25">
      <c r="A306" s="29">
        <v>7.2815636720491835E-9</v>
      </c>
    </row>
    <row r="307" spans="1:1" x14ac:dyDescent="0.25">
      <c r="A307" s="29">
        <v>6.553407304844265E-9</v>
      </c>
    </row>
    <row r="308" spans="1:1" x14ac:dyDescent="0.25">
      <c r="A308" s="29">
        <v>5.8980665743598385E-9</v>
      </c>
    </row>
    <row r="309" spans="1:1" x14ac:dyDescent="0.25">
      <c r="A309" s="29">
        <v>5.3082599169238552E-9</v>
      </c>
    </row>
    <row r="310" spans="1:1" x14ac:dyDescent="0.25">
      <c r="A310" s="29">
        <v>4.7774339252314701E-9</v>
      </c>
    </row>
    <row r="311" spans="1:1" x14ac:dyDescent="0.25">
      <c r="A311" s="29">
        <v>4.2996905327083231E-9</v>
      </c>
    </row>
    <row r="312" spans="1:1" x14ac:dyDescent="0.25">
      <c r="A312" s="29">
        <v>3.8697214794374908E-9</v>
      </c>
    </row>
    <row r="313" spans="1:1" x14ac:dyDescent="0.25">
      <c r="A313" s="29">
        <v>3.4827493314937417E-9</v>
      </c>
    </row>
    <row r="314" spans="1:1" x14ac:dyDescent="0.25">
      <c r="A314" s="29">
        <v>3.1344743983443674E-9</v>
      </c>
    </row>
    <row r="315" spans="1:1" x14ac:dyDescent="0.25">
      <c r="A315" s="29">
        <v>2.8210269585099307E-9</v>
      </c>
    </row>
    <row r="316" spans="1:1" x14ac:dyDescent="0.25">
      <c r="A316" s="29">
        <v>2.5389242626589379E-9</v>
      </c>
    </row>
    <row r="317" spans="1:1" x14ac:dyDescent="0.25">
      <c r="A317" s="29">
        <v>2.285031836393044E-9</v>
      </c>
    </row>
    <row r="318" spans="1:1" x14ac:dyDescent="0.25">
      <c r="A318" s="29">
        <v>2.0565286527537398E-9</v>
      </c>
    </row>
    <row r="319" spans="1:1" x14ac:dyDescent="0.25">
      <c r="A319" s="29">
        <v>1.8508757874783659E-9</v>
      </c>
    </row>
    <row r="320" spans="1:1" x14ac:dyDescent="0.25">
      <c r="A320" s="29">
        <v>1.6657882087305294E-9</v>
      </c>
    </row>
    <row r="321" spans="1:1" x14ac:dyDescent="0.25">
      <c r="A321" s="29">
        <v>1.4992093878574765E-9</v>
      </c>
    </row>
    <row r="322" spans="1:1" x14ac:dyDescent="0.25">
      <c r="A322" s="29">
        <v>1.3492884490717289E-9</v>
      </c>
    </row>
    <row r="323" spans="1:1" x14ac:dyDescent="0.25">
      <c r="A323" s="29">
        <v>1.214359604164556E-9</v>
      </c>
    </row>
    <row r="324" spans="1:1" x14ac:dyDescent="0.25">
      <c r="A324" s="29">
        <v>1.0929236437481004E-9</v>
      </c>
    </row>
    <row r="325" spans="1:1" x14ac:dyDescent="0.25">
      <c r="A325" s="29">
        <v>9.8363127937329029E-10</v>
      </c>
    </row>
    <row r="326" spans="1:1" x14ac:dyDescent="0.25">
      <c r="A326" s="29">
        <v>8.8526815143596126E-10</v>
      </c>
    </row>
    <row r="327" spans="1:1" x14ac:dyDescent="0.25">
      <c r="A327" s="29">
        <v>7.967413362923651E-10</v>
      </c>
    </row>
    <row r="328" spans="1:1" x14ac:dyDescent="0.25">
      <c r="A328" s="29">
        <v>7.1706720266312858E-10</v>
      </c>
    </row>
    <row r="329" spans="1:1" x14ac:dyDescent="0.25">
      <c r="A329" s="29">
        <v>6.4536048239681569E-10</v>
      </c>
    </row>
    <row r="330" spans="1:1" x14ac:dyDescent="0.25">
      <c r="A330" s="29">
        <v>5.8082443415713415E-10</v>
      </c>
    </row>
    <row r="331" spans="1:1" x14ac:dyDescent="0.25">
      <c r="A331" s="29">
        <v>5.2274199074142077E-10</v>
      </c>
    </row>
    <row r="332" spans="1:1" x14ac:dyDescent="0.25">
      <c r="A332" s="29">
        <v>4.7046779166727869E-10</v>
      </c>
    </row>
    <row r="333" spans="1:1" x14ac:dyDescent="0.25">
      <c r="A333" s="29">
        <v>4.2342101250055083E-10</v>
      </c>
    </row>
    <row r="334" spans="1:1" x14ac:dyDescent="0.25">
      <c r="A334" s="29">
        <v>3.8107891125049577E-10</v>
      </c>
    </row>
    <row r="335" spans="1:1" x14ac:dyDescent="0.25">
      <c r="A335" s="29">
        <v>3.4297102012544618E-10</v>
      </c>
    </row>
    <row r="336" spans="1:1" x14ac:dyDescent="0.25">
      <c r="A336" s="29">
        <v>3.0867391811290155E-10</v>
      </c>
    </row>
    <row r="337" spans="1:1" x14ac:dyDescent="0.25">
      <c r="A337" s="29">
        <v>2.7780652630161142E-10</v>
      </c>
    </row>
    <row r="338" spans="1:1" x14ac:dyDescent="0.25">
      <c r="A338" s="29">
        <v>2.5002587367145027E-10</v>
      </c>
    </row>
    <row r="339" spans="1:1" x14ac:dyDescent="0.25">
      <c r="A339" s="29">
        <v>2.2502328630430526E-10</v>
      </c>
    </row>
    <row r="340" spans="1:1" x14ac:dyDescent="0.25">
      <c r="A340" s="29">
        <v>2.0252095767387472E-10</v>
      </c>
    </row>
    <row r="341" spans="1:1" x14ac:dyDescent="0.25">
      <c r="A341" s="29">
        <v>1.8226886190648727E-10</v>
      </c>
    </row>
    <row r="342" spans="1:1" x14ac:dyDescent="0.25">
      <c r="A342" s="29">
        <v>1.6404197571583855E-10</v>
      </c>
    </row>
    <row r="343" spans="1:1" x14ac:dyDescent="0.25">
      <c r="A343" s="29">
        <v>1.4763777814425471E-10</v>
      </c>
    </row>
    <row r="344" spans="1:1" x14ac:dyDescent="0.25">
      <c r="A344" s="29">
        <v>1.3287400032982923E-10</v>
      </c>
    </row>
    <row r="345" spans="1:1" x14ac:dyDescent="0.25">
      <c r="A345" s="29">
        <v>1.1958660029684632E-10</v>
      </c>
    </row>
    <row r="346" spans="1:1" x14ac:dyDescent="0.25">
      <c r="A346" s="29">
        <v>1.0762794026716169E-10</v>
      </c>
    </row>
    <row r="347" spans="1:1" x14ac:dyDescent="0.25">
      <c r="A347" s="29">
        <v>9.686514624044552E-11</v>
      </c>
    </row>
    <row r="348" spans="1:1" x14ac:dyDescent="0.25">
      <c r="A348" s="29">
        <v>8.7178631616400964E-11</v>
      </c>
    </row>
    <row r="349" spans="1:1" x14ac:dyDescent="0.25">
      <c r="A349" s="29">
        <v>7.8460768454760866E-11</v>
      </c>
    </row>
    <row r="350" spans="1:1" x14ac:dyDescent="0.25">
      <c r="A350" s="29">
        <v>7.0614691609284776E-11</v>
      </c>
    </row>
    <row r="351" spans="1:1" x14ac:dyDescent="0.25">
      <c r="A351" s="29">
        <v>6.3553222448356295E-11</v>
      </c>
    </row>
    <row r="352" spans="1:1" x14ac:dyDescent="0.25">
      <c r="A352" s="29">
        <v>5.7197900203520665E-11</v>
      </c>
    </row>
    <row r="353" spans="1:1" x14ac:dyDescent="0.25">
      <c r="A353" s="29">
        <v>5.1478110183168601E-11</v>
      </c>
    </row>
    <row r="354" spans="1:1" x14ac:dyDescent="0.25">
      <c r="A354" s="29">
        <v>4.633029916485174E-11</v>
      </c>
    </row>
    <row r="355" spans="1:1" x14ac:dyDescent="0.25">
      <c r="A355" s="29">
        <v>4.1697269248366565E-11</v>
      </c>
    </row>
    <row r="356" spans="1:1" x14ac:dyDescent="0.25">
      <c r="A356" s="29">
        <v>3.7527542323529907E-11</v>
      </c>
    </row>
    <row r="357" spans="1:1" x14ac:dyDescent="0.25">
      <c r="A357" s="29">
        <v>3.3774788091176915E-11</v>
      </c>
    </row>
    <row r="358" spans="1:1" x14ac:dyDescent="0.25">
      <c r="A358" s="29">
        <v>3.0397309282059222E-11</v>
      </c>
    </row>
    <row r="359" spans="1:1" x14ac:dyDescent="0.25">
      <c r="A359" s="29">
        <v>2.7357578353853301E-11</v>
      </c>
    </row>
    <row r="360" spans="1:1" x14ac:dyDescent="0.25">
      <c r="A360" s="29">
        <v>2.4621820518467972E-11</v>
      </c>
    </row>
    <row r="361" spans="1:1" x14ac:dyDescent="0.25">
      <c r="A361" s="29">
        <v>2.2159638466621177E-11</v>
      </c>
    </row>
    <row r="362" spans="1:1" x14ac:dyDescent="0.25">
      <c r="A362" s="29">
        <v>1.994367461995906E-11</v>
      </c>
    </row>
    <row r="363" spans="1:1" x14ac:dyDescent="0.25">
      <c r="A363" s="29">
        <v>1.7949307157963154E-11</v>
      </c>
    </row>
    <row r="364" spans="1:1" x14ac:dyDescent="0.25">
      <c r="A364" s="29">
        <v>1.615437644216684E-11</v>
      </c>
    </row>
    <row r="365" spans="1:1" x14ac:dyDescent="0.25">
      <c r="A365" s="29">
        <v>1.4538938797950156E-11</v>
      </c>
    </row>
    <row r="366" spans="1:1" x14ac:dyDescent="0.25">
      <c r="A366" s="29">
        <v>1.308504491815514E-11</v>
      </c>
    </row>
    <row r="367" spans="1:1" x14ac:dyDescent="0.25">
      <c r="A367" s="29">
        <v>1.1776540426339626E-11</v>
      </c>
    </row>
    <row r="368" spans="1:1" x14ac:dyDescent="0.25">
      <c r="A368" s="29">
        <v>1.0598886383705664E-11</v>
      </c>
    </row>
    <row r="369" spans="1:1" x14ac:dyDescent="0.25">
      <c r="A369" s="29">
        <v>9.5389977453350987E-12</v>
      </c>
    </row>
    <row r="370" spans="1:1" x14ac:dyDescent="0.25">
      <c r="A370" s="29">
        <v>8.5850979708015893E-12</v>
      </c>
    </row>
    <row r="371" spans="1:1" x14ac:dyDescent="0.25">
      <c r="A371" s="29">
        <v>7.7265881737214303E-12</v>
      </c>
    </row>
    <row r="372" spans="1:1" x14ac:dyDescent="0.25">
      <c r="A372" s="29">
        <v>6.9539293563492874E-12</v>
      </c>
    </row>
    <row r="373" spans="1:1" x14ac:dyDescent="0.25">
      <c r="A373" s="29">
        <v>6.2585364207143591E-12</v>
      </c>
    </row>
    <row r="374" spans="1:1" x14ac:dyDescent="0.25">
      <c r="A374" s="29">
        <v>5.632682778642923E-12</v>
      </c>
    </row>
    <row r="375" spans="1:1" x14ac:dyDescent="0.25">
      <c r="A375" s="29">
        <v>5.0694145007786311E-12</v>
      </c>
    </row>
    <row r="376" spans="1:1" x14ac:dyDescent="0.25">
      <c r="A376" s="29">
        <v>4.5624730507007684E-12</v>
      </c>
    </row>
    <row r="377" spans="1:1" x14ac:dyDescent="0.25">
      <c r="A377" s="29">
        <v>4.1062257456306914E-12</v>
      </c>
    </row>
    <row r="378" spans="1:1" x14ac:dyDescent="0.25">
      <c r="A378" s="29">
        <v>3.6956031710676221E-12</v>
      </c>
    </row>
    <row r="379" spans="1:1" x14ac:dyDescent="0.25">
      <c r="A379" s="29">
        <v>3.3260428539608601E-12</v>
      </c>
    </row>
    <row r="380" spans="1:1" x14ac:dyDescent="0.25">
      <c r="A380" s="29">
        <v>2.9934385685647741E-12</v>
      </c>
    </row>
    <row r="381" spans="1:1" x14ac:dyDescent="0.25">
      <c r="A381" s="29">
        <v>2.6940947117082966E-12</v>
      </c>
    </row>
    <row r="382" spans="1:1" x14ac:dyDescent="0.25">
      <c r="A382" s="29">
        <v>2.4246852405374669E-12</v>
      </c>
    </row>
    <row r="383" spans="1:1" x14ac:dyDescent="0.25">
      <c r="A383" s="29">
        <v>2.1822167164837201E-12</v>
      </c>
    </row>
    <row r="384" spans="1:1" x14ac:dyDescent="0.25">
      <c r="A384" s="29">
        <v>1.9639950448353481E-12</v>
      </c>
    </row>
    <row r="385" spans="1:1" x14ac:dyDescent="0.25">
      <c r="A385" s="29">
        <v>1.7675955403518133E-12</v>
      </c>
    </row>
    <row r="386" spans="1:1" x14ac:dyDescent="0.25">
      <c r="A386" s="29">
        <v>1.5908359863166319E-12</v>
      </c>
    </row>
    <row r="387" spans="1:1" x14ac:dyDescent="0.25">
      <c r="A387" s="29">
        <v>1.4317523876849688E-12</v>
      </c>
    </row>
    <row r="388" spans="1:1" x14ac:dyDescent="0.25">
      <c r="A388" s="29">
        <v>1.2885771489164719E-12</v>
      </c>
    </row>
    <row r="389" spans="1:1" x14ac:dyDescent="0.25">
      <c r="A389" s="29">
        <v>1.1597194340248247E-12</v>
      </c>
    </row>
    <row r="390" spans="1:1" x14ac:dyDescent="0.25">
      <c r="A390" s="29">
        <v>1.0437474906223423E-12</v>
      </c>
    </row>
    <row r="391" spans="1:1" x14ac:dyDescent="0.25">
      <c r="A391" s="29">
        <v>9.3937274156010802E-13</v>
      </c>
    </row>
    <row r="392" spans="1:1" x14ac:dyDescent="0.25">
      <c r="A392" s="29">
        <v>8.4543546740409726E-13</v>
      </c>
    </row>
    <row r="393" spans="1:1" x14ac:dyDescent="0.25">
      <c r="A393" s="29">
        <v>7.608919206636876E-13</v>
      </c>
    </row>
    <row r="394" spans="1:1" x14ac:dyDescent="0.25">
      <c r="A394" s="29">
        <v>6.8480272859731885E-13</v>
      </c>
    </row>
    <row r="395" spans="1:1" x14ac:dyDescent="0.25">
      <c r="A395" s="29">
        <v>6.16322455737587E-13</v>
      </c>
    </row>
    <row r="396" spans="1:1" x14ac:dyDescent="0.25">
      <c r="A396" s="29">
        <v>5.5469021016382834E-13</v>
      </c>
    </row>
    <row r="397" spans="1:1" x14ac:dyDescent="0.25">
      <c r="A397" s="29">
        <v>4.9922118914744555E-13</v>
      </c>
    </row>
    <row r="398" spans="1:1" x14ac:dyDescent="0.25">
      <c r="A398" s="29">
        <v>4.4929907023270098E-13</v>
      </c>
    </row>
    <row r="399" spans="1:1" x14ac:dyDescent="0.25">
      <c r="A399" s="29">
        <v>4.0436916320943091E-13</v>
      </c>
    </row>
    <row r="400" spans="1:1" x14ac:dyDescent="0.25">
      <c r="A400" s="29">
        <v>3.6393224688848781E-13</v>
      </c>
    </row>
    <row r="401" spans="1:1" x14ac:dyDescent="0.25">
      <c r="A401" s="29">
        <v>3.2753902219963903E-13</v>
      </c>
    </row>
    <row r="402" spans="1:1" x14ac:dyDescent="0.25">
      <c r="A402" s="29">
        <v>2.9478511997967513E-13</v>
      </c>
    </row>
    <row r="403" spans="1:1" x14ac:dyDescent="0.25">
      <c r="A403" s="29">
        <v>2.6530660798170763E-13</v>
      </c>
    </row>
    <row r="404" spans="1:1" x14ac:dyDescent="0.25">
      <c r="A404" s="29">
        <v>2.3877594718353686E-13</v>
      </c>
    </row>
    <row r="405" spans="1:1" x14ac:dyDescent="0.25">
      <c r="A405" s="29">
        <v>2.1489835246518316E-13</v>
      </c>
    </row>
    <row r="406" spans="1:1" x14ac:dyDescent="0.25">
      <c r="A406" s="29">
        <v>1.9340851721866486E-13</v>
      </c>
    </row>
    <row r="407" spans="1:1" x14ac:dyDescent="0.25">
      <c r="A407" s="29">
        <v>1.7406766549679839E-13</v>
      </c>
    </row>
    <row r="408" spans="1:1" x14ac:dyDescent="0.25">
      <c r="A408" s="29">
        <v>1.5666089894711856E-13</v>
      </c>
    </row>
    <row r="409" spans="1:1" x14ac:dyDescent="0.25">
      <c r="A409" s="29">
        <v>1.4099480905240672E-13</v>
      </c>
    </row>
    <row r="410" spans="1:1" x14ac:dyDescent="0.25">
      <c r="A410" s="29">
        <v>1.2689532814716606E-13</v>
      </c>
    </row>
    <row r="411" spans="1:1" x14ac:dyDescent="0.25">
      <c r="A411" s="29">
        <v>1.1420579533244944E-13</v>
      </c>
    </row>
    <row r="412" spans="1:1" x14ac:dyDescent="0.25">
      <c r="A412" s="29">
        <v>1.0278521579920451E-13</v>
      </c>
    </row>
    <row r="413" spans="1:1" x14ac:dyDescent="0.25">
      <c r="A413" s="29">
        <v>9.2506694219284062E-14</v>
      </c>
    </row>
    <row r="414" spans="1:1" x14ac:dyDescent="0.25">
      <c r="A414" s="29">
        <v>8.3256024797355662E-14</v>
      </c>
    </row>
    <row r="415" spans="1:1" x14ac:dyDescent="0.25">
      <c r="A415" s="29">
        <v>7.4930422317620103E-14</v>
      </c>
    </row>
    <row r="416" spans="1:1" x14ac:dyDescent="0.25">
      <c r="A416" s="29">
        <v>6.7437380085858099E-14</v>
      </c>
    </row>
    <row r="417" spans="1:1" x14ac:dyDescent="0.25">
      <c r="A417" s="29">
        <v>6.0693642077272288E-14</v>
      </c>
    </row>
    <row r="418" spans="1:1" x14ac:dyDescent="0.25">
      <c r="A418" s="29">
        <v>5.4624277869545061E-14</v>
      </c>
    </row>
    <row r="419" spans="1:1" x14ac:dyDescent="0.25">
      <c r="A419" s="29">
        <v>4.9161850082590553E-14</v>
      </c>
    </row>
    <row r="420" spans="1:1" x14ac:dyDescent="0.25">
      <c r="A420" s="29">
        <v>4.4245665074331497E-14</v>
      </c>
    </row>
    <row r="421" spans="1:1" x14ac:dyDescent="0.25">
      <c r="A421" s="29">
        <v>3.9821098566898348E-14</v>
      </c>
    </row>
    <row r="422" spans="1:1" x14ac:dyDescent="0.25">
      <c r="A422" s="29">
        <v>3.5838988710208514E-14</v>
      </c>
    </row>
    <row r="423" spans="1:1" x14ac:dyDescent="0.25">
      <c r="A423" s="29">
        <v>3.2255089839187663E-14</v>
      </c>
    </row>
    <row r="424" spans="1:1" x14ac:dyDescent="0.25">
      <c r="A424" s="29">
        <v>2.9029580855268898E-14</v>
      </c>
    </row>
    <row r="425" spans="1:1" x14ac:dyDescent="0.25">
      <c r="A425" s="29">
        <v>2.612662276974201E-14</v>
      </c>
    </row>
    <row r="426" spans="1:1" x14ac:dyDescent="0.25">
      <c r="A426" s="29">
        <v>2.3513960492767811E-14</v>
      </c>
    </row>
    <row r="427" spans="1:1" x14ac:dyDescent="0.25">
      <c r="A427" s="29">
        <v>2.1162564443491029E-14</v>
      </c>
    </row>
    <row r="428" spans="1:1" x14ac:dyDescent="0.25">
      <c r="A428" s="29">
        <v>1.9046307999141925E-14</v>
      </c>
    </row>
    <row r="429" spans="1:1" x14ac:dyDescent="0.25">
      <c r="A429" s="29">
        <v>1.7141677199227731E-14</v>
      </c>
    </row>
    <row r="430" spans="1:1" x14ac:dyDescent="0.25">
      <c r="A430" s="29">
        <v>1.5427509479304957E-14</v>
      </c>
    </row>
    <row r="431" spans="1:1" x14ac:dyDescent="0.25">
      <c r="A431" s="29">
        <v>1.3884758531374462E-14</v>
      </c>
    </row>
    <row r="432" spans="1:1" x14ac:dyDescent="0.25">
      <c r="A432" s="29">
        <v>1.2496282678237016E-14</v>
      </c>
    </row>
    <row r="433" spans="1:1" x14ac:dyDescent="0.25">
      <c r="A433" s="29">
        <v>1.1246654410413315E-14</v>
      </c>
    </row>
    <row r="434" spans="1:1" x14ac:dyDescent="0.25">
      <c r="A434" s="29">
        <v>1.0121988969371984E-14</v>
      </c>
    </row>
    <row r="435" spans="1:1" x14ac:dyDescent="0.25">
      <c r="A435" s="29">
        <v>9.1097900724347861E-15</v>
      </c>
    </row>
    <row r="436" spans="1:1" x14ac:dyDescent="0.25">
      <c r="A436" s="29">
        <v>8.1988110651913077E-15</v>
      </c>
    </row>
    <row r="437" spans="1:1" x14ac:dyDescent="0.25">
      <c r="A437" s="29">
        <v>7.3789299586721777E-15</v>
      </c>
    </row>
    <row r="438" spans="1:1" x14ac:dyDescent="0.25">
      <c r="A438" s="29">
        <v>6.6410369628049599E-15</v>
      </c>
    </row>
    <row r="439" spans="1:1" x14ac:dyDescent="0.25">
      <c r="A439" s="29">
        <v>5.9769332665244643E-15</v>
      </c>
    </row>
    <row r="440" spans="1:1" x14ac:dyDescent="0.25">
      <c r="A440" s="29">
        <v>5.3792399398720178E-15</v>
      </c>
    </row>
    <row r="441" spans="1:1" x14ac:dyDescent="0.25">
      <c r="A441" s="29">
        <v>4.8413159458848159E-15</v>
      </c>
    </row>
    <row r="442" spans="1:1" x14ac:dyDescent="0.25">
      <c r="A442" s="29">
        <v>4.3571843512963347E-15</v>
      </c>
    </row>
    <row r="443" spans="1:1" x14ac:dyDescent="0.25">
      <c r="A443" s="29">
        <v>3.921465916166701E-15</v>
      </c>
    </row>
    <row r="444" spans="1:1" x14ac:dyDescent="0.25">
      <c r="A444" s="29">
        <v>3.529319324550031E-15</v>
      </c>
    </row>
    <row r="445" spans="1:1" x14ac:dyDescent="0.25">
      <c r="A445" s="29">
        <v>3.176387392095028E-15</v>
      </c>
    </row>
    <row r="446" spans="1:1" x14ac:dyDescent="0.25">
      <c r="A446" s="29">
        <v>2.8587486528855254E-15</v>
      </c>
    </row>
    <row r="447" spans="1:1" x14ac:dyDescent="0.25">
      <c r="A447" s="29">
        <v>2.5728737875969727E-15</v>
      </c>
    </row>
    <row r="448" spans="1:1" x14ac:dyDescent="0.25">
      <c r="A448" s="29">
        <v>2.3155864088372755E-15</v>
      </c>
    </row>
    <row r="449" spans="1:1" x14ac:dyDescent="0.25">
      <c r="A449" s="29">
        <v>2.0840277679535482E-15</v>
      </c>
    </row>
    <row r="450" spans="1:1" x14ac:dyDescent="0.25">
      <c r="A450" s="29">
        <v>1.8756249911581935E-15</v>
      </c>
    </row>
    <row r="451" spans="1:1" x14ac:dyDescent="0.25">
      <c r="A451" s="29">
        <v>1.6880624920423743E-15</v>
      </c>
    </row>
    <row r="452" spans="1:1" x14ac:dyDescent="0.25">
      <c r="A452" s="29">
        <v>1.519256242838137E-15</v>
      </c>
    </row>
    <row r="453" spans="1:1" x14ac:dyDescent="0.25">
      <c r="A453" s="29">
        <v>1.3673306185543234E-15</v>
      </c>
    </row>
    <row r="454" spans="1:1" x14ac:dyDescent="0.25">
      <c r="A454" s="29">
        <v>1.230597556698891E-15</v>
      </c>
    </row>
    <row r="455" spans="1:1" x14ac:dyDescent="0.25">
      <c r="A455" s="29">
        <v>1.1075378010290018E-15</v>
      </c>
    </row>
    <row r="456" spans="1:1" x14ac:dyDescent="0.25">
      <c r="A456" s="29">
        <v>9.9678402092610166E-16</v>
      </c>
    </row>
    <row r="457" spans="1:1" x14ac:dyDescent="0.25">
      <c r="A457" s="29">
        <v>8.9710561883349156E-16</v>
      </c>
    </row>
    <row r="458" spans="1:1" x14ac:dyDescent="0.25">
      <c r="A458" s="29">
        <v>8.0739505695014242E-16</v>
      </c>
    </row>
    <row r="459" spans="1:1" x14ac:dyDescent="0.25">
      <c r="A459" s="29">
        <v>7.2665555125512816E-16</v>
      </c>
    </row>
    <row r="460" spans="1:1" x14ac:dyDescent="0.25">
      <c r="A460" s="29">
        <v>6.5398999612961539E-16</v>
      </c>
    </row>
    <row r="461" spans="1:1" x14ac:dyDescent="0.25">
      <c r="A461" s="29">
        <v>5.885909965166539E-16</v>
      </c>
    </row>
    <row r="462" spans="1:1" x14ac:dyDescent="0.25">
      <c r="A462" s="29">
        <v>5.2973189686498855E-16</v>
      </c>
    </row>
    <row r="463" spans="1:1" x14ac:dyDescent="0.25">
      <c r="A463" s="29">
        <v>4.767587071784897E-16</v>
      </c>
    </row>
    <row r="464" spans="1:1" x14ac:dyDescent="0.25">
      <c r="A464" s="29">
        <v>4.2908283646064075E-16</v>
      </c>
    </row>
    <row r="465" spans="1:1" x14ac:dyDescent="0.25">
      <c r="A465" s="29">
        <v>3.8617455281457667E-16</v>
      </c>
    </row>
    <row r="466" spans="1:1" x14ac:dyDescent="0.25">
      <c r="A466" s="29">
        <v>3.47557097533119E-16</v>
      </c>
    </row>
    <row r="467" spans="1:1" x14ac:dyDescent="0.25">
      <c r="A467" s="29">
        <v>3.1280138777980711E-16</v>
      </c>
    </row>
    <row r="468" spans="1:1" x14ac:dyDescent="0.25">
      <c r="A468" s="29">
        <v>2.815212490018264E-16</v>
      </c>
    </row>
    <row r="469" spans="1:1" x14ac:dyDescent="0.25">
      <c r="A469" s="29">
        <v>2.5336912410164374E-16</v>
      </c>
    </row>
    <row r="470" spans="1:1" x14ac:dyDescent="0.25">
      <c r="A470" s="29">
        <v>2.2803221169147938E-16</v>
      </c>
    </row>
    <row r="471" spans="1:1" x14ac:dyDescent="0.25">
      <c r="A471" s="29">
        <v>2.0522899052233145E-16</v>
      </c>
    </row>
    <row r="472" spans="1:1" x14ac:dyDescent="0.25">
      <c r="A472" s="29">
        <v>1.8470609147009832E-16</v>
      </c>
    </row>
    <row r="473" spans="1:1" x14ac:dyDescent="0.25">
      <c r="A473" s="29">
        <v>1.6623548232308849E-16</v>
      </c>
    </row>
    <row r="474" spans="1:1" x14ac:dyDescent="0.25">
      <c r="A474" s="29">
        <v>1.4961193409077965E-16</v>
      </c>
    </row>
    <row r="475" spans="1:1" x14ac:dyDescent="0.25">
      <c r="A475" s="29">
        <v>1.3465074068170169E-16</v>
      </c>
    </row>
    <row r="476" spans="1:1" x14ac:dyDescent="0.25">
      <c r="A476" s="29">
        <v>1.2118566661353153E-16</v>
      </c>
    </row>
    <row r="477" spans="1:1" x14ac:dyDescent="0.25">
      <c r="A477" s="29">
        <v>1.0906709995217838E-16</v>
      </c>
    </row>
    <row r="478" spans="1:1" x14ac:dyDescent="0.25">
      <c r="A478" s="29">
        <v>9.8160389956960543E-17</v>
      </c>
    </row>
    <row r="479" spans="1:1" x14ac:dyDescent="0.25">
      <c r="A479" s="29">
        <v>8.8344350961264486E-17</v>
      </c>
    </row>
    <row r="480" spans="1:1" x14ac:dyDescent="0.25">
      <c r="A480" s="29">
        <v>7.9509915865138035E-17</v>
      </c>
    </row>
    <row r="481" spans="1:1" x14ac:dyDescent="0.25">
      <c r="A481" s="29">
        <v>7.1558924278624229E-17</v>
      </c>
    </row>
    <row r="482" spans="1:1" x14ac:dyDescent="0.25">
      <c r="A482" s="29">
        <v>6.440303185076181E-17</v>
      </c>
    </row>
    <row r="483" spans="1:1" x14ac:dyDescent="0.25">
      <c r="A483" s="29">
        <v>5.7962728665685633E-17</v>
      </c>
    </row>
    <row r="484" spans="1:1" x14ac:dyDescent="0.25">
      <c r="A484" s="29">
        <v>5.2166455799117073E-17</v>
      </c>
    </row>
    <row r="485" spans="1:1" x14ac:dyDescent="0.25">
      <c r="A485" s="29">
        <v>4.6949810219205366E-17</v>
      </c>
    </row>
    <row r="486" spans="1:1" x14ac:dyDescent="0.25">
      <c r="A486" s="29">
        <v>4.2254829197284832E-17</v>
      </c>
    </row>
    <row r="487" spans="1:1" x14ac:dyDescent="0.25">
      <c r="A487" s="29">
        <v>3.8029346277556347E-17</v>
      </c>
    </row>
    <row r="488" spans="1:1" x14ac:dyDescent="0.25">
      <c r="A488" s="29">
        <v>3.4226411649800712E-17</v>
      </c>
    </row>
    <row r="489" spans="1:1" x14ac:dyDescent="0.25">
      <c r="A489" s="29">
        <v>3.0803770484820639E-17</v>
      </c>
    </row>
  </sheetData>
  <conditionalFormatting sqref="C136">
    <cfRule type="cellIs" dxfId="31" priority="1162" operator="equal">
      <formula>$U$1</formula>
    </cfRule>
    <cfRule type="cellIs" dxfId="30" priority="1163" operator="equal">
      <formula>$S$1</formula>
    </cfRule>
  </conditionalFormatting>
  <conditionalFormatting sqref="D136">
    <cfRule type="cellIs" dxfId="29" priority="1160" operator="equal">
      <formula>$S$1</formula>
    </cfRule>
    <cfRule type="cellIs" dxfId="28" priority="1161" operator="equal">
      <formula>$U$1</formula>
    </cfRule>
  </conditionalFormatting>
  <conditionalFormatting sqref="C102">
    <cfRule type="cellIs" dxfId="27" priority="1158" operator="equal">
      <formula>$U$1</formula>
    </cfRule>
    <cfRule type="cellIs" dxfId="26" priority="1159" operator="equal">
      <formula>$S$1</formula>
    </cfRule>
  </conditionalFormatting>
  <conditionalFormatting sqref="D102">
    <cfRule type="cellIs" dxfId="25" priority="1156" operator="equal">
      <formula>$S$1</formula>
    </cfRule>
    <cfRule type="cellIs" dxfId="24" priority="1157" operator="equal">
      <formula>$U$1</formula>
    </cfRule>
  </conditionalFormatting>
  <conditionalFormatting sqref="C77">
    <cfRule type="cellIs" dxfId="23" priority="1154" operator="equal">
      <formula>$U$1</formula>
    </cfRule>
    <cfRule type="cellIs" dxfId="22" priority="1155" operator="equal">
      <formula>$S$1</formula>
    </cfRule>
  </conditionalFormatting>
  <conditionalFormatting sqref="D77">
    <cfRule type="cellIs" dxfId="21" priority="1152" operator="equal">
      <formula>$S$1</formula>
    </cfRule>
    <cfRule type="cellIs" dxfId="20" priority="1153" operator="equal">
      <formula>$U$1</formula>
    </cfRule>
  </conditionalFormatting>
  <conditionalFormatting sqref="C52">
    <cfRule type="cellIs" dxfId="19" priority="1150" operator="equal">
      <formula>$U$1</formula>
    </cfRule>
    <cfRule type="cellIs" dxfId="18" priority="1151" operator="equal">
      <formula>$S$1</formula>
    </cfRule>
  </conditionalFormatting>
  <conditionalFormatting sqref="D52">
    <cfRule type="cellIs" dxfId="17" priority="1148" operator="equal">
      <formula>$S$1</formula>
    </cfRule>
    <cfRule type="cellIs" dxfId="16" priority="1149" operator="equal">
      <formula>$U$1</formula>
    </cfRule>
  </conditionalFormatting>
  <conditionalFormatting sqref="C26">
    <cfRule type="cellIs" dxfId="15" priority="1146" operator="equal">
      <formula>$U$1</formula>
    </cfRule>
    <cfRule type="cellIs" dxfId="14" priority="1147" operator="equal">
      <formula>$S$1</formula>
    </cfRule>
  </conditionalFormatting>
  <conditionalFormatting sqref="D26">
    <cfRule type="cellIs" dxfId="13" priority="1144" operator="equal">
      <formula>$S$1</formula>
    </cfRule>
    <cfRule type="cellIs" dxfId="12" priority="114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J11" sqref="J11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7" width="8.7109375" style="1" customWidth="1"/>
    <col min="8" max="8" width="11" style="1" customWidth="1"/>
    <col min="9" max="35" width="8.7109375" style="1" customWidth="1"/>
  </cols>
  <sheetData>
    <row r="1" spans="1:35" x14ac:dyDescent="0.25">
      <c r="A1" s="1" t="s">
        <v>16</v>
      </c>
      <c r="B1" s="36" t="s">
        <v>17</v>
      </c>
      <c r="C1" s="36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29">
        <v>1.8474828687387174E-3</v>
      </c>
      <c r="F3" s="29">
        <v>2.1386923559236601E-3</v>
      </c>
      <c r="G3" s="29">
        <v>2.7295736217250611E-3</v>
      </c>
      <c r="H3" s="32">
        <f>IF(G3="","",(3*(G3-F3))+E3)</f>
        <v>3.6201266661429203E-3</v>
      </c>
      <c r="I3" s="7"/>
      <c r="J3" s="7">
        <f>(E3+G3)/2</f>
        <v>2.2885282452318892E-3</v>
      </c>
      <c r="K3" s="7">
        <f>H3/2</f>
        <v>1.8100633330714602E-3</v>
      </c>
      <c r="M3" s="25">
        <f>IF(OR(J3="",H3=""),"",H3/J3)</f>
        <v>1.581857979548819</v>
      </c>
      <c r="N3" s="25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29">
        <v>1.595925164659294E-3</v>
      </c>
      <c r="F4" s="29">
        <v>1.6757214228922594E-3</v>
      </c>
      <c r="G4" s="29">
        <v>2.8660523028113155E-3</v>
      </c>
      <c r="H4" s="32">
        <f t="shared" ref="H4:H25" si="0">IF(G4="","",(3*(G4-F4))+E4)</f>
        <v>5.1669178044164623E-3</v>
      </c>
      <c r="I4" s="7"/>
      <c r="J4" s="7"/>
      <c r="K4" s="7"/>
      <c r="M4" s="25" t="str">
        <f t="shared" ref="M4:M25" si="1">IF(OR(J4="",H4=""),"",H4/J4)</f>
        <v/>
      </c>
      <c r="N4" s="25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32" t="str">
        <f t="shared" si="0"/>
        <v/>
      </c>
      <c r="I5" s="7"/>
      <c r="J5" s="7"/>
      <c r="K5" s="7"/>
      <c r="M5" s="25" t="str">
        <f t="shared" si="1"/>
        <v/>
      </c>
      <c r="N5" s="25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32" t="str">
        <f t="shared" si="0"/>
        <v/>
      </c>
      <c r="I6" s="7"/>
      <c r="J6" s="7"/>
      <c r="K6" s="7"/>
      <c r="L6" s="7"/>
      <c r="M6" s="25" t="str">
        <f t="shared" si="1"/>
        <v/>
      </c>
      <c r="N6" s="25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32" t="str">
        <f t="shared" si="0"/>
        <v/>
      </c>
      <c r="I7" s="7"/>
      <c r="J7" s="7"/>
      <c r="K7" s="7"/>
      <c r="L7" s="7"/>
      <c r="M7" s="25" t="str">
        <f t="shared" si="1"/>
        <v/>
      </c>
      <c r="N7" s="25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32" t="str">
        <f t="shared" si="0"/>
        <v/>
      </c>
      <c r="I8" s="7"/>
      <c r="J8" s="7"/>
      <c r="K8" s="7"/>
      <c r="L8" s="7"/>
      <c r="M8" s="25" t="str">
        <f t="shared" si="1"/>
        <v/>
      </c>
      <c r="N8" s="25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32" t="str">
        <f t="shared" si="0"/>
        <v/>
      </c>
      <c r="I9" s="7"/>
      <c r="J9" s="7"/>
      <c r="K9" s="7"/>
      <c r="L9" s="7"/>
      <c r="M9" s="25" t="str">
        <f t="shared" si="1"/>
        <v/>
      </c>
      <c r="N9" s="25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32" t="str">
        <f t="shared" si="0"/>
        <v/>
      </c>
      <c r="I10" s="7"/>
      <c r="J10" s="7"/>
      <c r="K10" s="7"/>
      <c r="M10" s="25" t="str">
        <f t="shared" si="1"/>
        <v/>
      </c>
      <c r="N10" s="25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32" t="str">
        <f t="shared" si="0"/>
        <v/>
      </c>
      <c r="I11" s="7"/>
      <c r="J11" s="7"/>
      <c r="K11" s="7"/>
      <c r="M11" s="25" t="str">
        <f t="shared" si="1"/>
        <v/>
      </c>
      <c r="N11" s="25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32" t="str">
        <f t="shared" si="0"/>
        <v/>
      </c>
      <c r="I12" s="7"/>
      <c r="J12" s="7"/>
      <c r="K12" s="7"/>
      <c r="M12" s="25" t="str">
        <f t="shared" si="1"/>
        <v/>
      </c>
      <c r="N12" s="25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32" t="str">
        <f t="shared" si="0"/>
        <v/>
      </c>
      <c r="I13" s="7"/>
      <c r="J13" s="7"/>
      <c r="K13" s="7"/>
      <c r="M13" s="25" t="str">
        <f t="shared" si="1"/>
        <v/>
      </c>
      <c r="N13" s="25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32" t="str">
        <f t="shared" si="0"/>
        <v/>
      </c>
      <c r="I14" s="7"/>
      <c r="J14" s="7"/>
      <c r="K14" s="7"/>
      <c r="M14" s="25" t="str">
        <f t="shared" si="1"/>
        <v/>
      </c>
      <c r="N14" s="25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32" t="str">
        <f t="shared" si="0"/>
        <v/>
      </c>
      <c r="I15" s="7"/>
      <c r="J15" s="7"/>
      <c r="K15" s="7"/>
      <c r="M15" s="25" t="str">
        <f t="shared" si="1"/>
        <v/>
      </c>
      <c r="N15" s="25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32" t="str">
        <f t="shared" si="0"/>
        <v/>
      </c>
      <c r="I16" s="7"/>
      <c r="J16" s="7"/>
      <c r="K16" s="7"/>
      <c r="M16" s="25" t="str">
        <f t="shared" si="1"/>
        <v/>
      </c>
      <c r="N16" s="25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32" t="str">
        <f t="shared" si="0"/>
        <v/>
      </c>
      <c r="I17" s="7"/>
      <c r="J17" s="7"/>
      <c r="K17" s="7"/>
      <c r="M17" s="25" t="str">
        <f t="shared" si="1"/>
        <v/>
      </c>
      <c r="N17" s="25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32" t="str">
        <f t="shared" si="0"/>
        <v/>
      </c>
      <c r="I18" s="7"/>
      <c r="J18" s="7"/>
      <c r="K18" s="7"/>
      <c r="M18" s="25" t="str">
        <f t="shared" si="1"/>
        <v/>
      </c>
      <c r="N18" s="25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32" t="str">
        <f t="shared" si="0"/>
        <v/>
      </c>
      <c r="I19" s="7"/>
      <c r="J19" s="7"/>
      <c r="K19" s="7"/>
      <c r="M19" s="25" t="str">
        <f t="shared" si="1"/>
        <v/>
      </c>
      <c r="N19" s="25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32" t="str">
        <f t="shared" si="0"/>
        <v/>
      </c>
      <c r="I20" s="7"/>
      <c r="J20" s="7"/>
      <c r="K20" s="7"/>
      <c r="M20" s="25" t="str">
        <f t="shared" si="1"/>
        <v/>
      </c>
      <c r="N20" s="25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32" t="str">
        <f t="shared" si="0"/>
        <v/>
      </c>
      <c r="I21" s="7"/>
      <c r="J21" s="7"/>
      <c r="K21" s="7"/>
      <c r="M21" s="25" t="str">
        <f t="shared" si="1"/>
        <v/>
      </c>
      <c r="N21" s="25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32" t="str">
        <f t="shared" si="0"/>
        <v/>
      </c>
      <c r="I22" s="7"/>
      <c r="J22" s="7"/>
      <c r="K22" s="7"/>
      <c r="M22" s="25" t="str">
        <f t="shared" si="1"/>
        <v/>
      </c>
      <c r="N22" s="25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32" t="str">
        <f t="shared" si="0"/>
        <v/>
      </c>
      <c r="I23" s="7"/>
      <c r="J23" s="7"/>
      <c r="K23" s="7"/>
      <c r="M23" s="25" t="str">
        <f t="shared" si="1"/>
        <v/>
      </c>
      <c r="N23" s="25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32" t="str">
        <f t="shared" si="0"/>
        <v/>
      </c>
      <c r="I24" s="7"/>
      <c r="J24" s="7"/>
      <c r="K24" s="7"/>
      <c r="M24" s="25" t="str">
        <f t="shared" si="1"/>
        <v/>
      </c>
      <c r="N24" s="25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32" t="str">
        <f t="shared" si="0"/>
        <v/>
      </c>
      <c r="I25" s="7"/>
      <c r="J25" s="7"/>
      <c r="K25" s="7"/>
      <c r="M25" s="25" t="str">
        <f t="shared" si="1"/>
        <v/>
      </c>
      <c r="N25" s="25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7" t="s">
        <v>0</v>
      </c>
      <c r="B1" s="27" t="s">
        <v>1</v>
      </c>
      <c r="C1" s="2" t="s">
        <v>2</v>
      </c>
      <c r="D1" s="2" t="s">
        <v>3</v>
      </c>
      <c r="E1" s="27" t="s">
        <v>4</v>
      </c>
      <c r="F1" s="27" t="s">
        <v>5</v>
      </c>
      <c r="G1" s="27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7"/>
      <c r="B2" s="27"/>
      <c r="C2" s="4">
        <f>MAX(C3:C1700)</f>
        <v>0</v>
      </c>
      <c r="D2" s="4">
        <f>MIN(D3:D1700)</f>
        <v>0</v>
      </c>
      <c r="E2" s="27"/>
      <c r="F2" s="27"/>
      <c r="G2" s="27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7"/>
      <c r="C15" s="2"/>
      <c r="D15" s="2"/>
      <c r="E15" s="27"/>
      <c r="F15" s="27"/>
    </row>
    <row r="16" spans="1:14" x14ac:dyDescent="0.25">
      <c r="A16" s="5"/>
      <c r="B16" s="27"/>
      <c r="C16" s="2"/>
      <c r="D16" s="2"/>
      <c r="E16" s="27"/>
      <c r="F16" s="27"/>
    </row>
    <row r="17" spans="1:6" x14ac:dyDescent="0.25">
      <c r="A17" s="5"/>
      <c r="B17" s="27"/>
      <c r="C17" s="2"/>
      <c r="D17" s="2"/>
      <c r="E17" s="27"/>
      <c r="F17" s="27"/>
    </row>
    <row r="18" spans="1:6" x14ac:dyDescent="0.25">
      <c r="A18" s="5"/>
      <c r="B18" s="27"/>
      <c r="C18" s="2"/>
      <c r="D18" s="2"/>
      <c r="E18" s="27"/>
      <c r="F18" s="27"/>
    </row>
    <row r="19" spans="1:6" x14ac:dyDescent="0.25">
      <c r="A19" s="5"/>
      <c r="B19" s="27"/>
      <c r="C19" s="2"/>
      <c r="D19" s="2"/>
      <c r="E19" s="27"/>
      <c r="F19" s="27"/>
    </row>
    <row r="20" spans="1:6" x14ac:dyDescent="0.25">
      <c r="A20" s="5"/>
      <c r="B20" s="27"/>
      <c r="C20" s="2"/>
      <c r="D20" s="2"/>
      <c r="E20" s="27"/>
      <c r="F20" s="27"/>
    </row>
    <row r="21" spans="1:6" x14ac:dyDescent="0.25">
      <c r="A21" s="5"/>
      <c r="B21" s="27"/>
      <c r="C21" s="2"/>
      <c r="D21" s="2"/>
      <c r="E21" s="27"/>
      <c r="F21" s="27"/>
    </row>
    <row r="22" spans="1:6" x14ac:dyDescent="0.25">
      <c r="A22" s="5"/>
      <c r="B22" s="27"/>
      <c r="C22" s="2"/>
      <c r="D22" s="2"/>
      <c r="E22" s="27"/>
      <c r="F22" s="27"/>
    </row>
    <row r="23" spans="1:6" x14ac:dyDescent="0.25">
      <c r="A23" s="5"/>
      <c r="B23" s="27"/>
      <c r="C23" s="2"/>
      <c r="D23" s="2"/>
      <c r="E23" s="27"/>
      <c r="F23" s="27"/>
    </row>
    <row r="24" spans="1:6" x14ac:dyDescent="0.25">
      <c r="A24" s="5"/>
      <c r="B24" s="27"/>
      <c r="C24" s="2"/>
      <c r="D24" s="2"/>
      <c r="E24" s="27"/>
      <c r="F24" s="27"/>
    </row>
    <row r="25" spans="1:6" x14ac:dyDescent="0.25">
      <c r="A25" s="5"/>
      <c r="B25" s="27"/>
      <c r="C25" s="2"/>
      <c r="D25" s="2"/>
      <c r="E25" s="27"/>
      <c r="F25" s="27"/>
    </row>
    <row r="26" spans="1:6" x14ac:dyDescent="0.25">
      <c r="A26" s="5"/>
      <c r="B26" s="27"/>
      <c r="C26" s="2"/>
      <c r="D26" s="2"/>
      <c r="E26" s="27"/>
      <c r="F26" s="27"/>
    </row>
    <row r="27" spans="1:6" x14ac:dyDescent="0.25">
      <c r="A27" s="5"/>
      <c r="B27" s="27"/>
      <c r="C27" s="2"/>
      <c r="D27" s="2"/>
      <c r="E27" s="27"/>
      <c r="F27" s="27"/>
    </row>
    <row r="28" spans="1:6" x14ac:dyDescent="0.25">
      <c r="A28" s="5"/>
      <c r="B28" s="27"/>
      <c r="C28" s="2"/>
      <c r="D28" s="2"/>
      <c r="E28" s="27"/>
      <c r="F28" s="27"/>
    </row>
    <row r="29" spans="1:6" x14ac:dyDescent="0.25">
      <c r="A29" s="5"/>
      <c r="B29" s="27"/>
      <c r="C29" s="2"/>
      <c r="D29" s="2"/>
      <c r="E29" s="27"/>
      <c r="F29" s="27"/>
    </row>
    <row r="30" spans="1:6" x14ac:dyDescent="0.25">
      <c r="A30" s="5"/>
      <c r="B30" s="27"/>
      <c r="C30" s="2"/>
      <c r="D30" s="2"/>
      <c r="E30" s="27"/>
      <c r="F30" s="27"/>
    </row>
    <row r="31" spans="1:6" x14ac:dyDescent="0.25">
      <c r="A31" s="5"/>
      <c r="B31" s="27"/>
      <c r="C31" s="2"/>
      <c r="D31" s="2"/>
      <c r="E31" s="27"/>
      <c r="F31" s="27"/>
    </row>
    <row r="32" spans="1:6" x14ac:dyDescent="0.25">
      <c r="A32" s="5"/>
      <c r="B32" s="27"/>
      <c r="C32" s="2"/>
      <c r="D32" s="2"/>
      <c r="E32" s="27"/>
      <c r="F32" s="27"/>
    </row>
    <row r="33" spans="1:6" x14ac:dyDescent="0.25">
      <c r="A33" s="5"/>
      <c r="B33" s="27"/>
      <c r="C33" s="2"/>
      <c r="D33" s="2"/>
      <c r="E33" s="27"/>
      <c r="F33" s="27"/>
    </row>
    <row r="34" spans="1:6" x14ac:dyDescent="0.25">
      <c r="A34" s="5"/>
      <c r="B34" s="27"/>
      <c r="C34" s="2"/>
      <c r="D34" s="2"/>
      <c r="E34" s="27"/>
      <c r="F34" s="27"/>
    </row>
    <row r="35" spans="1:6" x14ac:dyDescent="0.25">
      <c r="A35" s="5"/>
      <c r="B35" s="27"/>
      <c r="C35" s="2"/>
      <c r="D35" s="2"/>
      <c r="E35" s="27"/>
      <c r="F35" s="27"/>
    </row>
    <row r="36" spans="1:6" x14ac:dyDescent="0.25">
      <c r="A36" s="5"/>
      <c r="B36" s="27"/>
      <c r="C36" s="2"/>
      <c r="D36" s="2"/>
      <c r="E36" s="27"/>
      <c r="F36" s="27"/>
    </row>
    <row r="37" spans="1:6" x14ac:dyDescent="0.25">
      <c r="A37" s="5"/>
      <c r="B37" s="27"/>
      <c r="C37" s="2"/>
      <c r="D37" s="2"/>
      <c r="E37" s="27"/>
      <c r="F37" s="27"/>
    </row>
    <row r="38" spans="1:6" x14ac:dyDescent="0.25">
      <c r="A38" s="5"/>
      <c r="B38" s="27"/>
      <c r="C38" s="2"/>
      <c r="D38" s="2"/>
      <c r="E38" s="27"/>
      <c r="F38" s="27"/>
    </row>
    <row r="39" spans="1:6" x14ac:dyDescent="0.25">
      <c r="A39" s="5"/>
      <c r="B39" s="27"/>
      <c r="C39" s="2"/>
      <c r="D39" s="2"/>
      <c r="E39" s="27"/>
      <c r="F39" s="27"/>
    </row>
    <row r="40" spans="1:6" x14ac:dyDescent="0.25">
      <c r="A40" s="5"/>
      <c r="B40" s="27"/>
      <c r="C40" s="2"/>
      <c r="D40" s="2"/>
      <c r="E40" s="27"/>
      <c r="F40" s="27"/>
    </row>
    <row r="41" spans="1:6" x14ac:dyDescent="0.25">
      <c r="A41" s="5"/>
      <c r="B41" s="27"/>
      <c r="C41" s="2"/>
      <c r="D41" s="2"/>
      <c r="E41" s="27"/>
      <c r="F41" s="27"/>
    </row>
    <row r="42" spans="1:6" x14ac:dyDescent="0.25">
      <c r="A42" s="5"/>
      <c r="B42" s="27"/>
      <c r="C42" s="2"/>
      <c r="D42" s="2"/>
      <c r="E42" s="27"/>
      <c r="F42" s="27"/>
    </row>
    <row r="43" spans="1:6" x14ac:dyDescent="0.25">
      <c r="A43" s="5"/>
      <c r="B43" s="27"/>
      <c r="C43" s="2"/>
      <c r="D43" s="2"/>
      <c r="E43" s="27"/>
      <c r="F43" s="27"/>
    </row>
    <row r="44" spans="1:6" x14ac:dyDescent="0.25">
      <c r="A44" s="5"/>
      <c r="B44" s="27"/>
      <c r="C44" s="2"/>
      <c r="D44" s="2"/>
      <c r="E44" s="27"/>
      <c r="F44" s="27"/>
    </row>
    <row r="45" spans="1:6" x14ac:dyDescent="0.25">
      <c r="A45" s="5"/>
      <c r="B45" s="27"/>
      <c r="C45" s="2"/>
      <c r="D45" s="2"/>
      <c r="E45" s="27"/>
      <c r="F45" s="27"/>
    </row>
    <row r="46" spans="1:6" x14ac:dyDescent="0.25">
      <c r="A46" s="5"/>
      <c r="B46" s="27"/>
      <c r="C46" s="2"/>
      <c r="D46" s="2"/>
      <c r="E46" s="27"/>
      <c r="F46" s="27"/>
    </row>
    <row r="47" spans="1:6" x14ac:dyDescent="0.25">
      <c r="A47" s="5"/>
      <c r="B47" s="27"/>
      <c r="C47" s="2"/>
      <c r="D47" s="2"/>
      <c r="E47" s="27"/>
      <c r="F47" s="27"/>
    </row>
    <row r="48" spans="1:6" x14ac:dyDescent="0.25">
      <c r="A48" s="5"/>
      <c r="B48" s="27"/>
      <c r="C48" s="2"/>
      <c r="D48" s="2"/>
      <c r="E48" s="27"/>
      <c r="F48" s="27"/>
    </row>
    <row r="49" spans="1:6" x14ac:dyDescent="0.25">
      <c r="A49" s="5"/>
      <c r="B49" s="27"/>
      <c r="C49" s="2"/>
      <c r="D49" s="2"/>
      <c r="E49" s="27"/>
      <c r="F49" s="27"/>
    </row>
    <row r="50" spans="1:6" x14ac:dyDescent="0.25">
      <c r="A50" s="5"/>
      <c r="B50" s="27"/>
      <c r="C50" s="2"/>
      <c r="D50" s="2"/>
      <c r="E50" s="27"/>
      <c r="F50" s="27"/>
    </row>
    <row r="51" spans="1:6" x14ac:dyDescent="0.25">
      <c r="A51" s="5"/>
      <c r="B51" s="27"/>
      <c r="C51" s="2"/>
      <c r="D51" s="2"/>
      <c r="E51" s="27"/>
      <c r="F51" s="27"/>
    </row>
    <row r="52" spans="1:6" x14ac:dyDescent="0.25">
      <c r="A52" s="5"/>
      <c r="B52" s="27"/>
      <c r="C52" s="2"/>
      <c r="D52" s="2"/>
      <c r="E52" s="27"/>
      <c r="F52" s="27"/>
    </row>
    <row r="53" spans="1:6" x14ac:dyDescent="0.25">
      <c r="A53" s="5"/>
      <c r="B53" s="27"/>
      <c r="C53" s="2"/>
      <c r="D53" s="2"/>
      <c r="E53" s="27"/>
      <c r="F53" s="27"/>
    </row>
    <row r="54" spans="1:6" x14ac:dyDescent="0.25">
      <c r="A54" s="5"/>
      <c r="B54" s="27"/>
      <c r="C54" s="2"/>
      <c r="D54" s="2"/>
      <c r="E54" s="27"/>
      <c r="F54" s="27"/>
    </row>
    <row r="55" spans="1:6" x14ac:dyDescent="0.25">
      <c r="A55" s="5"/>
      <c r="B55" s="27"/>
      <c r="C55" s="2"/>
      <c r="D55" s="2"/>
      <c r="E55" s="27"/>
      <c r="F55" s="27"/>
    </row>
    <row r="56" spans="1:6" x14ac:dyDescent="0.25">
      <c r="A56" s="5"/>
      <c r="B56" s="27"/>
      <c r="C56" s="2"/>
      <c r="D56" s="2"/>
      <c r="E56" s="27"/>
      <c r="F56" s="27"/>
    </row>
    <row r="57" spans="1:6" x14ac:dyDescent="0.25">
      <c r="A57" s="5"/>
      <c r="B57" s="27"/>
      <c r="C57" s="2"/>
      <c r="D57" s="2"/>
      <c r="E57" s="27"/>
      <c r="F57" s="27"/>
    </row>
    <row r="58" spans="1:6" x14ac:dyDescent="0.25">
      <c r="A58" s="5"/>
      <c r="B58" s="27"/>
      <c r="C58" s="2"/>
      <c r="D58" s="2"/>
      <c r="E58" s="27"/>
      <c r="F58" s="27"/>
    </row>
    <row r="59" spans="1:6" x14ac:dyDescent="0.25">
      <c r="A59" s="5"/>
      <c r="B59" s="27"/>
      <c r="C59" s="2"/>
      <c r="D59" s="2"/>
      <c r="E59" s="27"/>
      <c r="F59" s="27"/>
    </row>
    <row r="60" spans="1:6" x14ac:dyDescent="0.25">
      <c r="A60" s="5"/>
      <c r="B60" s="27"/>
      <c r="C60" s="2"/>
      <c r="D60" s="2"/>
      <c r="E60" s="27"/>
      <c r="F60" s="27"/>
    </row>
    <row r="61" spans="1:6" x14ac:dyDescent="0.25">
      <c r="A61" s="5"/>
      <c r="B61" s="27"/>
      <c r="C61" s="2"/>
      <c r="D61" s="2"/>
      <c r="E61" s="27"/>
      <c r="F61" s="27"/>
    </row>
    <row r="62" spans="1:6" x14ac:dyDescent="0.25">
      <c r="A62" s="5"/>
      <c r="B62" s="27"/>
      <c r="C62" s="2"/>
      <c r="D62" s="2"/>
      <c r="E62" s="27"/>
      <c r="F62" s="27"/>
    </row>
    <row r="63" spans="1:6" x14ac:dyDescent="0.25">
      <c r="A63" s="5"/>
      <c r="B63" s="27"/>
      <c r="C63" s="2"/>
      <c r="D63" s="2"/>
      <c r="E63" s="27"/>
      <c r="F63" s="27"/>
    </row>
    <row r="64" spans="1:6" x14ac:dyDescent="0.25">
      <c r="A64" s="5"/>
      <c r="B64" s="27"/>
      <c r="C64" s="2"/>
      <c r="D64" s="2"/>
      <c r="E64" s="27"/>
      <c r="F64" s="27"/>
    </row>
    <row r="65" spans="1:6" x14ac:dyDescent="0.25">
      <c r="A65" s="5"/>
      <c r="B65" s="27"/>
      <c r="C65" s="2"/>
      <c r="D65" s="2"/>
      <c r="E65" s="27"/>
      <c r="F65" s="27"/>
    </row>
    <row r="66" spans="1:6" x14ac:dyDescent="0.25">
      <c r="A66" s="5"/>
      <c r="B66" s="27"/>
      <c r="C66" s="2"/>
      <c r="D66" s="2"/>
      <c r="E66" s="27"/>
      <c r="F66" s="27"/>
    </row>
    <row r="67" spans="1:6" x14ac:dyDescent="0.25">
      <c r="A67" s="5"/>
      <c r="B67" s="27"/>
      <c r="C67" s="2"/>
      <c r="D67" s="2"/>
      <c r="E67" s="27"/>
      <c r="F67" s="27"/>
    </row>
    <row r="68" spans="1:6" x14ac:dyDescent="0.25">
      <c r="A68" s="5"/>
      <c r="B68" s="27"/>
      <c r="C68" s="2"/>
      <c r="D68" s="2"/>
      <c r="E68" s="27"/>
      <c r="F68" s="27"/>
    </row>
    <row r="69" spans="1:6" x14ac:dyDescent="0.25">
      <c r="A69" s="5"/>
      <c r="B69" s="27"/>
      <c r="C69" s="2"/>
      <c r="D69" s="2"/>
      <c r="E69" s="27"/>
      <c r="F69" s="27"/>
    </row>
    <row r="70" spans="1:6" x14ac:dyDescent="0.25">
      <c r="A70" s="5"/>
      <c r="B70" s="27"/>
      <c r="C70" s="2"/>
      <c r="D70" s="2"/>
      <c r="E70" s="27"/>
      <c r="F70" s="27"/>
    </row>
    <row r="71" spans="1:6" x14ac:dyDescent="0.25">
      <c r="A71" s="5"/>
      <c r="B71" s="27"/>
      <c r="C71" s="2"/>
      <c r="D71" s="2"/>
      <c r="E71" s="27"/>
      <c r="F71" s="27"/>
    </row>
    <row r="72" spans="1:6" x14ac:dyDescent="0.25">
      <c r="A72" s="5"/>
      <c r="B72" s="27"/>
      <c r="C72" s="2"/>
      <c r="D72" s="2"/>
      <c r="E72" s="27"/>
      <c r="F72" s="27"/>
    </row>
    <row r="73" spans="1:6" x14ac:dyDescent="0.25">
      <c r="A73" s="5"/>
      <c r="B73" s="27"/>
      <c r="C73" s="2"/>
      <c r="D73" s="2"/>
      <c r="E73" s="27"/>
      <c r="F73" s="27"/>
    </row>
    <row r="74" spans="1:6" x14ac:dyDescent="0.25">
      <c r="A74" s="5"/>
      <c r="B74" s="27"/>
      <c r="C74" s="2"/>
      <c r="D74" s="2"/>
      <c r="E74" s="27"/>
      <c r="F74" s="27"/>
    </row>
    <row r="75" spans="1:6" x14ac:dyDescent="0.25">
      <c r="A75" s="5"/>
      <c r="B75" s="27"/>
      <c r="C75" s="2"/>
      <c r="D75" s="2"/>
      <c r="E75" s="27"/>
      <c r="F75" s="27"/>
    </row>
    <row r="76" spans="1:6" x14ac:dyDescent="0.25">
      <c r="A76" s="5"/>
      <c r="B76" s="27"/>
      <c r="C76" s="2"/>
      <c r="D76" s="2"/>
      <c r="E76" s="27"/>
      <c r="F76" s="27"/>
    </row>
    <row r="77" spans="1:6" x14ac:dyDescent="0.25">
      <c r="A77" s="5"/>
      <c r="B77" s="27"/>
      <c r="C77" s="2"/>
      <c r="D77" s="2"/>
      <c r="E77" s="27"/>
      <c r="F77" s="27"/>
    </row>
    <row r="78" spans="1:6" x14ac:dyDescent="0.25">
      <c r="A78" s="5"/>
      <c r="B78" s="27"/>
      <c r="C78" s="2"/>
      <c r="D78" s="2"/>
      <c r="E78" s="27"/>
      <c r="F78" s="27"/>
    </row>
    <row r="79" spans="1:6" x14ac:dyDescent="0.25">
      <c r="A79" s="5"/>
      <c r="B79" s="27"/>
      <c r="C79" s="2"/>
      <c r="D79" s="2"/>
      <c r="E79" s="27"/>
      <c r="F79" s="27"/>
    </row>
    <row r="80" spans="1:6" x14ac:dyDescent="0.25">
      <c r="A80" s="5"/>
      <c r="B80" s="27"/>
      <c r="C80" s="2"/>
      <c r="D80" s="2"/>
      <c r="E80" s="27"/>
      <c r="F80" s="27"/>
    </row>
    <row r="81" spans="1:6" x14ac:dyDescent="0.25">
      <c r="A81" s="5"/>
      <c r="B81" s="27"/>
      <c r="C81" s="2"/>
      <c r="D81" s="2"/>
      <c r="E81" s="27"/>
      <c r="F81" s="27"/>
    </row>
    <row r="82" spans="1:6" x14ac:dyDescent="0.25">
      <c r="A82" s="5"/>
      <c r="B82" s="27"/>
      <c r="C82" s="2"/>
      <c r="D82" s="2"/>
      <c r="E82" s="27"/>
      <c r="F82" s="27"/>
    </row>
    <row r="83" spans="1:6" x14ac:dyDescent="0.25">
      <c r="A83" s="5"/>
      <c r="B83" s="27"/>
      <c r="C83" s="2"/>
      <c r="D83" s="2"/>
      <c r="E83" s="27"/>
      <c r="F83" s="27"/>
    </row>
    <row r="84" spans="1:6" x14ac:dyDescent="0.25">
      <c r="A84" s="5"/>
      <c r="B84" s="27"/>
      <c r="C84" s="2"/>
      <c r="D84" s="2"/>
      <c r="E84" s="27"/>
      <c r="F84" s="27"/>
    </row>
    <row r="85" spans="1:6" x14ac:dyDescent="0.25">
      <c r="A85" s="5"/>
      <c r="B85" s="27"/>
      <c r="C85" s="2"/>
      <c r="D85" s="2"/>
      <c r="E85" s="27"/>
      <c r="F85" s="27"/>
    </row>
    <row r="86" spans="1:6" x14ac:dyDescent="0.25">
      <c r="A86" s="5"/>
      <c r="B86" s="27"/>
      <c r="C86" s="2"/>
      <c r="D86" s="2"/>
      <c r="E86" s="27"/>
      <c r="F86" s="27"/>
    </row>
    <row r="87" spans="1:6" x14ac:dyDescent="0.25">
      <c r="A87" s="5"/>
      <c r="B87" s="27"/>
      <c r="C87" s="2"/>
      <c r="D87" s="2"/>
      <c r="E87" s="27"/>
      <c r="F87" s="27"/>
    </row>
    <row r="88" spans="1:6" x14ac:dyDescent="0.25">
      <c r="A88" s="5"/>
      <c r="B88" s="27"/>
      <c r="C88" s="2"/>
      <c r="D88" s="2"/>
      <c r="E88" s="27"/>
      <c r="F88" s="27"/>
    </row>
    <row r="89" spans="1:6" x14ac:dyDescent="0.25">
      <c r="A89" s="5"/>
      <c r="B89" s="27"/>
      <c r="C89" s="2"/>
      <c r="D89" s="2"/>
      <c r="E89" s="27"/>
      <c r="F89" s="27"/>
    </row>
    <row r="90" spans="1:6" x14ac:dyDescent="0.25">
      <c r="A90" s="5"/>
      <c r="B90" s="27"/>
      <c r="C90" s="2"/>
      <c r="D90" s="2"/>
      <c r="E90" s="27"/>
      <c r="F90" s="27"/>
    </row>
    <row r="91" spans="1:6" x14ac:dyDescent="0.25">
      <c r="A91" s="5"/>
      <c r="B91" s="27"/>
      <c r="C91" s="2"/>
      <c r="D91" s="2"/>
      <c r="E91" s="27"/>
      <c r="F91" s="27"/>
    </row>
    <row r="92" spans="1:6" x14ac:dyDescent="0.25">
      <c r="A92" s="5"/>
      <c r="B92" s="27"/>
      <c r="C92" s="2"/>
      <c r="D92" s="2"/>
      <c r="E92" s="27"/>
      <c r="F92" s="27"/>
    </row>
    <row r="93" spans="1:6" x14ac:dyDescent="0.25">
      <c r="A93" s="5"/>
      <c r="B93" s="27"/>
      <c r="C93" s="2"/>
      <c r="D93" s="2"/>
      <c r="E93" s="27"/>
      <c r="F93" s="27"/>
    </row>
    <row r="94" spans="1:6" x14ac:dyDescent="0.25">
      <c r="A94" s="5"/>
      <c r="B94" s="27"/>
      <c r="C94" s="2"/>
      <c r="D94" s="2"/>
      <c r="E94" s="27"/>
      <c r="F94" s="27"/>
    </row>
    <row r="95" spans="1:6" x14ac:dyDescent="0.25">
      <c r="A95" s="5"/>
      <c r="B95" s="27"/>
      <c r="C95" s="2"/>
      <c r="D95" s="2"/>
      <c r="E95" s="27"/>
      <c r="F95" s="27"/>
    </row>
    <row r="96" spans="1:6" x14ac:dyDescent="0.25">
      <c r="A96" s="5"/>
      <c r="B96" s="27"/>
      <c r="C96" s="2"/>
      <c r="D96" s="2"/>
      <c r="E96" s="27"/>
      <c r="F96" s="27"/>
    </row>
    <row r="97" spans="1:6" x14ac:dyDescent="0.25">
      <c r="A97" s="5"/>
      <c r="B97" s="27"/>
      <c r="C97" s="2"/>
      <c r="D97" s="2"/>
      <c r="E97" s="27"/>
      <c r="F97" s="27"/>
    </row>
    <row r="98" spans="1:6" x14ac:dyDescent="0.25">
      <c r="A98" s="5"/>
      <c r="B98" s="27"/>
      <c r="C98" s="2"/>
      <c r="D98" s="2"/>
      <c r="E98" s="27"/>
      <c r="F98" s="27"/>
    </row>
    <row r="99" spans="1:6" x14ac:dyDescent="0.25">
      <c r="A99" s="5"/>
      <c r="B99" s="27"/>
      <c r="C99" s="2"/>
      <c r="D99" s="2"/>
      <c r="E99" s="27"/>
      <c r="F99" s="27"/>
    </row>
    <row r="100" spans="1:6" x14ac:dyDescent="0.25">
      <c r="A100" s="5"/>
      <c r="B100" s="27"/>
      <c r="C100" s="2"/>
      <c r="D100" s="2"/>
      <c r="E100" s="27"/>
      <c r="F100" s="27"/>
    </row>
    <row r="101" spans="1:6" x14ac:dyDescent="0.25">
      <c r="A101" s="5"/>
      <c r="B101" s="27"/>
      <c r="C101" s="2"/>
      <c r="D101" s="2"/>
      <c r="E101" s="27"/>
      <c r="F101" s="27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2022-01-28T01:15:41Z</dcterms:modified>
</cp:coreProperties>
</file>