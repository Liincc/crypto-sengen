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E120DC53-0AF3-4DD6-89C0-E45042DF1C7B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D136" i="5" s="1"/>
  <c r="C116" i="5"/>
  <c r="C116" i="4"/>
  <c r="C122" i="4"/>
  <c r="C133" i="4" s="1"/>
  <c r="C136" i="4" s="1"/>
  <c r="C118" i="3"/>
  <c r="R765" i="1"/>
  <c r="S765" i="1" s="1"/>
  <c r="T765" i="1" s="1"/>
  <c r="C122" i="3"/>
  <c r="C133" i="3" s="1"/>
  <c r="C136" i="3" s="1"/>
  <c r="R764" i="1" l="1"/>
  <c r="C136" i="5"/>
  <c r="C138" i="5" s="1"/>
  <c r="D136" i="4"/>
  <c r="C138" i="4" s="1"/>
  <c r="D136" i="3"/>
  <c r="C138" i="3" s="1"/>
  <c r="R763" i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S268" i="1" l="1"/>
  <c r="T268" i="1" s="1"/>
  <c r="R267" i="1"/>
  <c r="S267" i="1" l="1"/>
  <c r="T267" i="1" s="1"/>
  <c r="R266" i="1"/>
  <c r="R265" i="1" l="1"/>
  <c r="S266" i="1"/>
  <c r="T266" i="1" s="1"/>
  <c r="R264" i="1" l="1"/>
  <c r="S265" i="1"/>
  <c r="T265" i="1" s="1"/>
  <c r="R263" i="1" l="1"/>
  <c r="S264" i="1"/>
  <c r="T264" i="1" s="1"/>
  <c r="S263" i="1" l="1"/>
  <c r="T263" i="1" s="1"/>
  <c r="R262" i="1"/>
  <c r="R261" i="1" l="1"/>
  <c r="S262" i="1"/>
  <c r="T262" i="1" s="1"/>
  <c r="R260" i="1" l="1"/>
  <c r="S261" i="1"/>
  <c r="T261" i="1" s="1"/>
  <c r="S260" i="1" l="1"/>
  <c r="T260" i="1" s="1"/>
  <c r="R259" i="1"/>
  <c r="S259" i="1" l="1"/>
  <c r="T259" i="1" s="1"/>
  <c r="R258" i="1"/>
  <c r="R257" i="1" l="1"/>
  <c r="S258" i="1"/>
  <c r="T258" i="1" s="1"/>
  <c r="R256" i="1" l="1"/>
  <c r="S257" i="1"/>
  <c r="T257" i="1" s="1"/>
  <c r="R255" i="1" l="1"/>
  <c r="S256" i="1"/>
  <c r="T256" i="1" s="1"/>
  <c r="S255" i="1" l="1"/>
  <c r="T255" i="1" s="1"/>
  <c r="R254" i="1"/>
  <c r="R253" i="1" l="1"/>
  <c r="S254" i="1"/>
  <c r="T254" i="1" s="1"/>
  <c r="R252" i="1" l="1"/>
  <c r="S253" i="1"/>
  <c r="T253" i="1" s="1"/>
  <c r="S252" i="1" l="1"/>
  <c r="T252" i="1" s="1"/>
  <c r="R251" i="1"/>
  <c r="S251" i="1" l="1"/>
  <c r="T251" i="1" s="1"/>
  <c r="R250" i="1"/>
  <c r="R249" i="1" l="1"/>
  <c r="S250" i="1"/>
  <c r="T250" i="1" s="1"/>
  <c r="R248" i="1" l="1"/>
  <c r="S249" i="1"/>
  <c r="T249" i="1" s="1"/>
  <c r="R247" i="1" l="1"/>
  <c r="S248" i="1"/>
  <c r="T248" i="1" s="1"/>
  <c r="S247" i="1" l="1"/>
  <c r="T247" i="1" s="1"/>
  <c r="R246" i="1"/>
  <c r="R245" i="1" l="1"/>
  <c r="S246" i="1"/>
  <c r="T246" i="1" s="1"/>
  <c r="R244" i="1" l="1"/>
  <c r="S245" i="1"/>
  <c r="T245" i="1" s="1"/>
  <c r="S244" i="1" l="1"/>
  <c r="T244" i="1" s="1"/>
  <c r="R243" i="1"/>
  <c r="S243" i="1" l="1"/>
  <c r="T243" i="1" s="1"/>
  <c r="R242" i="1"/>
  <c r="R241" i="1" l="1"/>
  <c r="S242" i="1"/>
  <c r="T242" i="1" s="1"/>
  <c r="R240" i="1" l="1"/>
  <c r="S241" i="1"/>
  <c r="T241" i="1" s="1"/>
  <c r="R239" i="1" l="1"/>
  <c r="S240" i="1"/>
  <c r="T240" i="1" s="1"/>
  <c r="S239" i="1" l="1"/>
  <c r="T239" i="1" s="1"/>
  <c r="R238" i="1"/>
  <c r="R237" i="1" l="1"/>
  <c r="S238" i="1"/>
  <c r="T238" i="1" s="1"/>
  <c r="R236" i="1" l="1"/>
  <c r="S237" i="1"/>
  <c r="T237" i="1" s="1"/>
  <c r="R235" i="1" l="1"/>
  <c r="S236" i="1"/>
  <c r="T236" i="1" s="1"/>
  <c r="S235" i="1" l="1"/>
  <c r="T235" i="1" s="1"/>
  <c r="R234" i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S228" i="1" l="1"/>
  <c r="T228" i="1" s="1"/>
  <c r="R227" i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S204" i="1" l="1"/>
  <c r="T204" i="1" s="1"/>
  <c r="R203" i="1"/>
  <c r="S203" i="1" l="1"/>
  <c r="T203" i="1" s="1"/>
  <c r="R202" i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S191" i="1" l="1"/>
  <c r="T191" i="1" s="1"/>
  <c r="R190" i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S180" i="1" l="1"/>
  <c r="T180" i="1" s="1"/>
  <c r="R179" i="1"/>
  <c r="S179" i="1" l="1"/>
  <c r="T179" i="1" s="1"/>
  <c r="R178" i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S167" i="1" l="1"/>
  <c r="T167" i="1" s="1"/>
  <c r="R166" i="1"/>
  <c r="R165" i="1" l="1"/>
  <c r="S166" i="1"/>
  <c r="T166" i="1" s="1"/>
  <c r="R164" i="1" l="1"/>
  <c r="S165" i="1"/>
  <c r="T165" i="1" s="1"/>
  <c r="S164" i="1" l="1"/>
  <c r="T164" i="1" s="1"/>
  <c r="R163" i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S156" i="1" l="1"/>
  <c r="T156" i="1" s="1"/>
  <c r="R155" i="1"/>
  <c r="S155" i="1" l="1"/>
  <c r="T155" i="1" s="1"/>
  <c r="R154" i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S143" i="1" l="1"/>
  <c r="T143" i="1" s="1"/>
  <c r="R142" i="1"/>
  <c r="R141" i="1" l="1"/>
  <c r="S142" i="1"/>
  <c r="T142" i="1" s="1"/>
  <c r="R140" i="1" l="1"/>
  <c r="S141" i="1"/>
  <c r="T141" i="1" s="1"/>
  <c r="S140" i="1" l="1"/>
  <c r="T140" i="1" s="1"/>
  <c r="R139" i="1"/>
  <c r="S139" i="1" l="1"/>
  <c r="T139" i="1" s="1"/>
  <c r="R138" i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S132" i="1" l="1"/>
  <c r="T132" i="1" s="1"/>
  <c r="R131" i="1"/>
  <c r="S131" i="1" l="1"/>
  <c r="T131" i="1" s="1"/>
  <c r="R130" i="1"/>
  <c r="R129" i="1" l="1"/>
  <c r="S130" i="1"/>
  <c r="T130" i="1" s="1"/>
  <c r="R128" i="1" l="1"/>
  <c r="S129" i="1"/>
  <c r="T129" i="1" s="1"/>
  <c r="R127" i="1" l="1"/>
  <c r="S128" i="1"/>
  <c r="T128" i="1" s="1"/>
  <c r="S127" i="1" l="1"/>
  <c r="T127" i="1" s="1"/>
  <c r="R126" i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S119" i="1" l="1"/>
  <c r="T119" i="1" s="1"/>
  <c r="R118" i="1"/>
  <c r="R117" i="1" l="1"/>
  <c r="S118" i="1"/>
  <c r="T118" i="1" s="1"/>
  <c r="R116" i="1" l="1"/>
  <c r="S117" i="1"/>
  <c r="T117" i="1" s="1"/>
  <c r="S116" i="1" l="1"/>
  <c r="T116" i="1" s="1"/>
  <c r="R115" i="1"/>
  <c r="S115" i="1" l="1"/>
  <c r="T115" i="1" s="1"/>
  <c r="R114" i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S108" i="1" l="1"/>
  <c r="T108" i="1" s="1"/>
  <c r="R107" i="1"/>
  <c r="S107" i="1" l="1"/>
  <c r="T107" i="1" s="1"/>
  <c r="R106" i="1"/>
  <c r="R105" i="1" l="1"/>
  <c r="S106" i="1"/>
  <c r="T106" i="1" s="1"/>
  <c r="R104" i="1" l="1"/>
  <c r="S105" i="1"/>
  <c r="T105" i="1" s="1"/>
  <c r="R103" i="1" l="1"/>
  <c r="S104" i="1"/>
  <c r="T104" i="1" s="1"/>
  <c r="S103" i="1" l="1"/>
  <c r="T103" i="1" s="1"/>
  <c r="R102" i="1"/>
  <c r="R101" i="1" l="1"/>
  <c r="S102" i="1"/>
  <c r="T102" i="1" s="1"/>
  <c r="R100" i="1" l="1"/>
  <c r="S101" i="1"/>
  <c r="T101" i="1" s="1"/>
  <c r="S100" i="1" l="1"/>
  <c r="T100" i="1" s="1"/>
  <c r="R99" i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S95" i="1" l="1"/>
  <c r="T95" i="1" s="1"/>
  <c r="R94" i="1"/>
  <c r="R93" i="1" l="1"/>
  <c r="S94" i="1"/>
  <c r="T94" i="1" s="1"/>
  <c r="R92" i="1" l="1"/>
  <c r="S93" i="1"/>
  <c r="T93" i="1" s="1"/>
  <c r="S92" i="1" l="1"/>
  <c r="T92" i="1" s="1"/>
  <c r="R91" i="1"/>
  <c r="S91" i="1" l="1"/>
  <c r="T91" i="1" s="1"/>
  <c r="R90" i="1"/>
  <c r="R89" i="1" l="1"/>
  <c r="S90" i="1"/>
  <c r="T90" i="1" s="1"/>
  <c r="S89" i="1" l="1"/>
  <c r="T89" i="1" s="1"/>
  <c r="R88" i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S84" i="1" l="1"/>
  <c r="T84" i="1" s="1"/>
  <c r="R83" i="1"/>
  <c r="S83" i="1" l="1"/>
  <c r="T83" i="1" s="1"/>
  <c r="R82" i="1"/>
  <c r="S82" i="1" l="1"/>
  <c r="T82" i="1" s="1"/>
  <c r="R81" i="1"/>
  <c r="S81" i="1" l="1"/>
  <c r="T81" i="1" s="1"/>
  <c r="R80" i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S70" i="1" l="1"/>
  <c r="T70" i="1" s="1"/>
  <c r="R69" i="1"/>
  <c r="S69" i="1" l="1"/>
  <c r="T69" i="1" s="1"/>
  <c r="R68" i="1"/>
  <c r="S68" i="1" l="1"/>
  <c r="T68" i="1" s="1"/>
  <c r="R67" i="1"/>
  <c r="S67" i="1" l="1"/>
  <c r="T67" i="1" s="1"/>
  <c r="R66" i="1"/>
  <c r="S66" i="1" l="1"/>
  <c r="T66" i="1" s="1"/>
  <c r="R65" i="1"/>
  <c r="S65" i="1" l="1"/>
  <c r="T65" i="1" s="1"/>
  <c r="R64" i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S60" i="1" l="1"/>
  <c r="T60" i="1" s="1"/>
  <c r="R59" i="1"/>
  <c r="S59" i="1" l="1"/>
  <c r="T59" i="1" s="1"/>
  <c r="R58" i="1"/>
  <c r="S58" i="1" l="1"/>
  <c r="T58" i="1" s="1"/>
  <c r="R57" i="1"/>
  <c r="S57" i="1" l="1"/>
  <c r="T57" i="1" s="1"/>
  <c r="R56" i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S47" i="1" l="1"/>
  <c r="T47" i="1" s="1"/>
  <c r="R46" i="1"/>
  <c r="S46" i="1" l="1"/>
  <c r="T46" i="1" s="1"/>
  <c r="R45" i="1"/>
  <c r="S45" i="1" l="1"/>
  <c r="T45" i="1" s="1"/>
  <c r="R44" i="1"/>
  <c r="S44" i="1" l="1"/>
  <c r="T44" i="1" s="1"/>
  <c r="R43" i="1"/>
  <c r="R42" i="1" l="1"/>
  <c r="S43" i="1"/>
  <c r="T43" i="1" s="1"/>
  <c r="S42" i="1" l="1"/>
  <c r="T42" i="1" s="1"/>
  <c r="R41" i="1"/>
  <c r="S41" i="1" l="1"/>
  <c r="T41" i="1" s="1"/>
  <c r="R40" i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S35" i="1" l="1"/>
  <c r="T35" i="1" s="1"/>
  <c r="R34" i="1"/>
  <c r="R33" i="1" l="1"/>
  <c r="S34" i="1"/>
  <c r="T34" i="1" s="1"/>
  <c r="S33" i="1" l="1"/>
  <c r="T33" i="1" s="1"/>
  <c r="R32" i="1"/>
  <c r="R31" i="1" l="1"/>
  <c r="S32" i="1"/>
  <c r="T32" i="1" s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S26" i="1" l="1"/>
  <c r="T26" i="1" s="1"/>
  <c r="R25" i="1"/>
  <c r="S25" i="1" l="1"/>
  <c r="T25" i="1" s="1"/>
  <c r="R24" i="1"/>
  <c r="S24" i="1" l="1"/>
  <c r="T24" i="1" s="1"/>
  <c r="R23" i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<sst xmlns="http://schemas.openxmlformats.org/spreadsheetml/2006/main" count="3438" uniqueCount="34">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</sst>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1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7.33</c:v>
                </c:pt>
                <c:pt idx="1">
                  <c:v>7.46</c:v>
                </c:pt>
                <c:pt idx="2">
                  <c:v>7.66</c:v>
                </c:pt>
                <c:pt idx="3">
                  <c:v>7.63</c:v>
                </c:pt>
                <c:pt idx="4">
                  <c:v>8.17</c:v>
                </c:pt>
                <c:pt idx="5">
                  <c:v>7.52</c:v>
                </c:pt>
                <c:pt idx="6">
                  <c:v>8.92</c:v>
                </c:pt>
                <c:pt idx="7">
                  <c:v>10.27</c:v>
                </c:pt>
                <c:pt idx="8">
                  <c:v>10.57</c:v>
                </c:pt>
                <c:pt idx="9">
                  <c:v>10.91</c:v>
                </c:pt>
                <c:pt idx="10">
                  <c:v>11.28</c:v>
                </c:pt>
                <c:pt idx="11">
                  <c:v>12.05</c:v>
                </c:pt>
                <c:pt idx="12">
                  <c:v>11.72</c:v>
                </c:pt>
                <c:pt idx="13">
                  <c:v>11.29</c:v>
                </c:pt>
                <c:pt idx="14">
                  <c:v>10.91</c:v>
                </c:pt>
                <c:pt idx="15">
                  <c:v>11.32</c:v>
                </c:pt>
                <c:pt idx="16">
                  <c:v>10.9</c:v>
                </c:pt>
                <c:pt idx="17">
                  <c:v>10.38</c:v>
                </c:pt>
                <c:pt idx="18">
                  <c:v>10.75</c:v>
                </c:pt>
                <c:pt idx="19">
                  <c:v>10.220000000000001</c:v>
                </c:pt>
                <c:pt idx="20">
                  <c:v>10.44</c:v>
                </c:pt>
                <c:pt idx="21">
                  <c:v>11.08</c:v>
                </c:pt>
                <c:pt idx="22">
                  <c:v>11.28</c:v>
                </c:pt>
                <c:pt idx="23">
                  <c:v>12.01</c:v>
                </c:pt>
                <c:pt idx="24">
                  <c:v>12.14</c:v>
                </c:pt>
                <c:pt idx="25">
                  <c:v>12.34</c:v>
                </c:pt>
                <c:pt idx="26">
                  <c:v>12.04</c:v>
                </c:pt>
                <c:pt idx="27">
                  <c:v>11.74</c:v>
                </c:pt>
                <c:pt idx="28">
                  <c:v>12.02</c:v>
                </c:pt>
                <c:pt idx="29">
                  <c:v>11.83</c:v>
                </c:pt>
                <c:pt idx="30">
                  <c:v>12.2</c:v>
                </c:pt>
                <c:pt idx="31">
                  <c:v>13.12</c:v>
                </c:pt>
                <c:pt idx="32">
                  <c:v>12.83</c:v>
                </c:pt>
                <c:pt idx="33">
                  <c:v>12.28</c:v>
                </c:pt>
                <c:pt idx="34">
                  <c:v>12.35</c:v>
                </c:pt>
                <c:pt idx="35">
                  <c:v>12.25</c:v>
                </c:pt>
                <c:pt idx="36">
                  <c:v>11.85</c:v>
                </c:pt>
                <c:pt idx="37">
                  <c:v>12</c:v>
                </c:pt>
                <c:pt idx="38">
                  <c:v>12.07</c:v>
                </c:pt>
                <c:pt idx="39">
                  <c:v>12.51</c:v>
                </c:pt>
                <c:pt idx="40">
                  <c:v>12.65</c:v>
                </c:pt>
                <c:pt idx="41">
                  <c:v>12.42</c:v>
                </c:pt>
                <c:pt idx="42">
                  <c:v>12.57</c:v>
                </c:pt>
                <c:pt idx="43">
                  <c:v>13.16</c:v>
                </c:pt>
                <c:pt idx="44">
                  <c:v>12.53</c:v>
                </c:pt>
                <c:pt idx="45">
                  <c:v>10.93</c:v>
                </c:pt>
                <c:pt idx="46">
                  <c:v>11.64</c:v>
                </c:pt>
                <c:pt idx="47">
                  <c:v>11.09</c:v>
                </c:pt>
                <c:pt idx="48">
                  <c:v>10.75</c:v>
                </c:pt>
                <c:pt idx="49">
                  <c:v>11.42</c:v>
                </c:pt>
                <c:pt idx="50">
                  <c:v>12.48</c:v>
                </c:pt>
                <c:pt idx="51">
                  <c:v>12.09</c:v>
                </c:pt>
                <c:pt idx="52">
                  <c:v>12.29</c:v>
                </c:pt>
                <c:pt idx="53">
                  <c:v>11.13</c:v>
                </c:pt>
                <c:pt idx="54">
                  <c:v>11.59</c:v>
                </c:pt>
                <c:pt idx="55">
                  <c:v>12.55</c:v>
                </c:pt>
                <c:pt idx="56">
                  <c:v>13.14</c:v>
                </c:pt>
                <c:pt idx="57">
                  <c:v>13.46</c:v>
                </c:pt>
                <c:pt idx="58">
                  <c:v>14.01</c:v>
                </c:pt>
                <c:pt idx="59">
                  <c:v>14.56</c:v>
                </c:pt>
                <c:pt idx="60">
                  <c:v>13.52</c:v>
                </c:pt>
                <c:pt idx="61">
                  <c:v>13.12</c:v>
                </c:pt>
                <c:pt idx="62">
                  <c:v>12.85</c:v>
                </c:pt>
                <c:pt idx="63">
                  <c:v>14.42</c:v>
                </c:pt>
                <c:pt idx="64">
                  <c:v>14.66</c:v>
                </c:pt>
                <c:pt idx="65">
                  <c:v>14.79</c:v>
                </c:pt>
                <c:pt idx="66">
                  <c:v>14.93</c:v>
                </c:pt>
                <c:pt idx="67">
                  <c:v>15.24</c:v>
                </c:pt>
                <c:pt idx="68">
                  <c:v>15.86</c:v>
                </c:pt>
                <c:pt idx="69">
                  <c:v>15.96</c:v>
                </c:pt>
                <c:pt idx="70">
                  <c:v>14.81</c:v>
                </c:pt>
                <c:pt idx="71">
                  <c:v>16.489999999999998</c:v>
                </c:pt>
                <c:pt idx="72">
                  <c:v>16.829999999999998</c:v>
                </c:pt>
                <c:pt idx="73">
                  <c:v>18.510000000000002</c:v>
                </c:pt>
                <c:pt idx="74">
                  <c:v>18.39</c:v>
                </c:pt>
                <c:pt idx="75">
                  <c:v>18.440000000000001</c:v>
                </c:pt>
                <c:pt idx="76">
                  <c:v>18.260000000000002</c:v>
                </c:pt>
                <c:pt idx="77">
                  <c:v>18.82</c:v>
                </c:pt>
                <c:pt idx="78">
                  <c:v>18.34</c:v>
                </c:pt>
                <c:pt idx="79">
                  <c:v>19.739999999999998</c:v>
                </c:pt>
                <c:pt idx="80">
                  <c:v>20.11</c:v>
                </c:pt>
                <c:pt idx="81">
                  <c:v>20.22</c:v>
                </c:pt>
                <c:pt idx="82">
                  <c:v>19.23</c:v>
                </c:pt>
                <c:pt idx="83">
                  <c:v>19.440000000000001</c:v>
                </c:pt>
                <c:pt idx="84">
                  <c:v>18.809999999999999</c:v>
                </c:pt>
                <c:pt idx="85">
                  <c:v>18.96</c:v>
                </c:pt>
                <c:pt idx="86">
                  <c:v>18.52</c:v>
                </c:pt>
                <c:pt idx="87">
                  <c:v>18.440000000000001</c:v>
                </c:pt>
                <c:pt idx="88">
                  <c:v>17.649999999999999</c:v>
                </c:pt>
                <c:pt idx="89">
                  <c:v>18.02</c:v>
                </c:pt>
                <c:pt idx="90">
                  <c:v>18.600000000000001</c:v>
                </c:pt>
                <c:pt idx="91">
                  <c:v>18.23</c:v>
                </c:pt>
                <c:pt idx="92">
                  <c:v>18.07</c:v>
                </c:pt>
                <c:pt idx="93">
                  <c:v>19.36</c:v>
                </c:pt>
                <c:pt idx="94">
                  <c:v>19.86</c:v>
                </c:pt>
                <c:pt idx="95">
                  <c:v>19.47</c:v>
                </c:pt>
                <c:pt idx="96">
                  <c:v>19.87</c:v>
                </c:pt>
                <c:pt idx="97">
                  <c:v>19.77</c:v>
                </c:pt>
                <c:pt idx="98">
                  <c:v>19.89</c:v>
                </c:pt>
                <c:pt idx="99">
                  <c:v>20.420000000000002</c:v>
                </c:pt>
                <c:pt idx="100">
                  <c:v>20.14</c:v>
                </c:pt>
                <c:pt idx="101">
                  <c:v>19.84</c:v>
                </c:pt>
                <c:pt idx="102">
                  <c:v>19.489999999999998</c:v>
                </c:pt>
                <c:pt idx="103">
                  <c:v>19.75</c:v>
                </c:pt>
                <c:pt idx="104">
                  <c:v>19.84</c:v>
                </c:pt>
                <c:pt idx="105">
                  <c:v>19.91</c:v>
                </c:pt>
                <c:pt idx="106">
                  <c:v>20.309999999999999</c:v>
                </c:pt>
                <c:pt idx="107">
                  <c:v>19.47</c:v>
                </c:pt>
                <c:pt idx="108">
                  <c:v>18.8</c:v>
                </c:pt>
                <c:pt idx="109">
                  <c:v>18.61</c:v>
                </c:pt>
                <c:pt idx="110">
                  <c:v>19.670000000000002</c:v>
                </c:pt>
                <c:pt idx="111">
                  <c:v>19.57</c:v>
                </c:pt>
                <c:pt idx="112">
                  <c:v>19.420000000000002</c:v>
                </c:pt>
                <c:pt idx="113">
                  <c:v>19.75</c:v>
                </c:pt>
                <c:pt idx="114">
                  <c:v>19.96</c:v>
                </c:pt>
                <c:pt idx="115">
                  <c:v>19.309999999999999</c:v>
                </c:pt>
                <c:pt idx="116">
                  <c:v>19.66</c:v>
                </c:pt>
                <c:pt idx="117">
                  <c:v>19.95</c:v>
                </c:pt>
                <c:pt idx="118">
                  <c:v>19.96</c:v>
                </c:pt>
                <c:pt idx="119">
                  <c:v>18.91</c:v>
                </c:pt>
                <c:pt idx="120">
                  <c:v>18.53</c:v>
                </c:pt>
                <c:pt idx="121">
                  <c:v>18.11</c:v>
                </c:pt>
                <c:pt idx="122">
                  <c:v>18.41</c:v>
                </c:pt>
                <c:pt idx="123">
                  <c:v>18.64</c:v>
                </c:pt>
                <c:pt idx="124">
                  <c:v>18.489999999999998</c:v>
                </c:pt>
                <c:pt idx="125">
                  <c:v>18.86</c:v>
                </c:pt>
                <c:pt idx="126">
                  <c:v>20.07</c:v>
                </c:pt>
                <c:pt idx="127">
                  <c:v>20.21</c:v>
                </c:pt>
                <c:pt idx="128">
                  <c:v>17.899999999999999</c:v>
                </c:pt>
                <c:pt idx="129">
                  <c:v>20.72</c:v>
                </c:pt>
                <c:pt idx="130">
                  <c:v>22.78</c:v>
                </c:pt>
                <c:pt idx="131">
                  <c:v>22.41</c:v>
                </c:pt>
                <c:pt idx="132">
                  <c:v>21.32</c:v>
                </c:pt>
                <c:pt idx="133">
                  <c:v>22.32</c:v>
                </c:pt>
                <c:pt idx="134">
                  <c:v>22.58</c:v>
                </c:pt>
                <c:pt idx="135">
                  <c:v>20.83</c:v>
                </c:pt>
                <c:pt idx="136">
                  <c:v>19.41</c:v>
                </c:pt>
                <c:pt idx="137">
                  <c:v>20.420000000000002</c:v>
                </c:pt>
                <c:pt idx="138">
                  <c:v>19.61</c:v>
                </c:pt>
                <c:pt idx="139">
                  <c:v>19.07</c:v>
                </c:pt>
                <c:pt idx="140">
                  <c:v>20.53</c:v>
                </c:pt>
                <c:pt idx="141">
                  <c:v>20.13</c:v>
                </c:pt>
                <c:pt idx="142">
                  <c:v>20.8</c:v>
                </c:pt>
                <c:pt idx="143">
                  <c:v>24.56</c:v>
                </c:pt>
                <c:pt idx="144">
                  <c:v>24.47</c:v>
                </c:pt>
                <c:pt idx="145">
                  <c:v>24.11</c:v>
                </c:pt>
                <c:pt idx="146">
                  <c:v>23.44</c:v>
                </c:pt>
                <c:pt idx="147">
                  <c:v>23.47</c:v>
                </c:pt>
                <c:pt idx="148">
                  <c:v>24.18</c:v>
                </c:pt>
                <c:pt idx="149">
                  <c:v>22.89</c:v>
                </c:pt>
                <c:pt idx="150">
                  <c:v>23.2</c:v>
                </c:pt>
                <c:pt idx="151">
                  <c:v>25.19</c:v>
                </c:pt>
                <c:pt idx="152">
                  <c:v>25.47</c:v>
                </c:pt>
                <c:pt idx="153">
                  <c:v>26.14</c:v>
                </c:pt>
                <c:pt idx="154">
                  <c:v>24.83</c:v>
                </c:pt>
                <c:pt idx="155">
                  <c:v>25.962</c:v>
                </c:pt>
                <c:pt idx="156">
                  <c:v>23.655000000000001</c:v>
                </c:pt>
                <c:pt idx="157">
                  <c:v>25.216999999999999</c:v>
                </c:pt>
                <c:pt idx="158">
                  <c:v>23.541</c:v>
                </c:pt>
                <c:pt idx="159">
                  <c:v>23.623000000000001</c:v>
                </c:pt>
                <c:pt idx="160">
                  <c:v>24.32</c:v>
                </c:pt>
                <c:pt idx="161">
                  <c:v>22.428000000000001</c:v>
                </c:pt>
                <c:pt idx="162">
                  <c:v>21.352</c:v>
                </c:pt>
                <c:pt idx="163">
                  <c:v>21.417999999999999</c:v>
                </c:pt>
                <c:pt idx="164">
                  <c:v>21.33</c:v>
                </c:pt>
                <c:pt idx="165">
                  <c:v>21.06</c:v>
                </c:pt>
                <c:pt idx="166">
                  <c:v>20.681000000000001</c:v>
                </c:pt>
                <c:pt idx="167">
                  <c:v>21.08</c:v>
                </c:pt>
                <c:pt idx="168">
                  <c:v>19.471</c:v>
                </c:pt>
                <c:pt idx="169">
                  <c:v>19.635999999999999</c:v>
                </c:pt>
                <c:pt idx="170">
                  <c:v>18.847999999999999</c:v>
                </c:pt>
                <c:pt idx="171">
                  <c:v>18.306999999999999</c:v>
                </c:pt>
                <c:pt idx="172">
                  <c:v>17.376000000000001</c:v>
                </c:pt>
                <c:pt idx="173">
                  <c:v>18.204999999999998</c:v>
                </c:pt>
                <c:pt idx="174">
                  <c:v>18.100999999999999</c:v>
                </c:pt>
                <c:pt idx="175">
                  <c:v>17.45</c:v>
                </c:pt>
                <c:pt idx="176">
                  <c:v>17.538</c:v>
                </c:pt>
                <c:pt idx="177">
                  <c:v>16.265999999999998</c:v>
                </c:pt>
                <c:pt idx="178">
                  <c:v>15.856</c:v>
                </c:pt>
                <c:pt idx="179">
                  <c:v>16.003</c:v>
                </c:pt>
                <c:pt idx="180">
                  <c:v>15.957000000000001</c:v>
                </c:pt>
                <c:pt idx="181">
                  <c:v>15.175000000000001</c:v>
                </c:pt>
                <c:pt idx="182">
                  <c:v>14.936</c:v>
                </c:pt>
                <c:pt idx="183">
                  <c:v>14.917999999999999</c:v>
                </c:pt>
                <c:pt idx="184">
                  <c:v>14.74</c:v>
                </c:pt>
                <c:pt idx="185">
                  <c:v>14.26</c:v>
                </c:pt>
                <c:pt idx="186">
                  <c:v>13.923999999999999</c:v>
                </c:pt>
                <c:pt idx="187">
                  <c:v>14.03</c:v>
                </c:pt>
                <c:pt idx="188">
                  <c:v>13.768000000000001</c:v>
                </c:pt>
                <c:pt idx="189">
                  <c:v>13.005000000000001</c:v>
                </c:pt>
                <c:pt idx="190">
                  <c:v>12.95</c:v>
                </c:pt>
                <c:pt idx="191">
                  <c:v>11.226000000000001</c:v>
                </c:pt>
                <c:pt idx="192">
                  <c:v>12.036</c:v>
                </c:pt>
                <c:pt idx="193">
                  <c:v>12.93</c:v>
                </c:pt>
                <c:pt idx="194">
                  <c:v>12.746</c:v>
                </c:pt>
                <c:pt idx="195">
                  <c:v>12.816000000000001</c:v>
                </c:pt>
                <c:pt idx="196">
                  <c:v>13.696999999999999</c:v>
                </c:pt>
                <c:pt idx="197">
                  <c:v>14.007999999999999</c:v>
                </c:pt>
                <c:pt idx="198">
                  <c:v>14.471</c:v>
                </c:pt>
                <c:pt idx="199">
                  <c:v>14.849</c:v>
                </c:pt>
                <c:pt idx="200">
                  <c:v>15.144</c:v>
                </c:pt>
                <c:pt idx="201">
                  <c:v>14.959</c:v>
                </c:pt>
                <c:pt idx="202">
                  <c:v>14.577</c:v>
                </c:pt>
                <c:pt idx="203">
                  <c:v>14.278</c:v>
                </c:pt>
                <c:pt idx="204">
                  <c:v>15.191000000000001</c:v>
                </c:pt>
                <c:pt idx="205">
                  <c:v>15.459</c:v>
                </c:pt>
                <c:pt idx="206">
                  <c:v>14.037000000000001</c:v>
                </c:pt>
                <c:pt idx="207">
                  <c:v>14.163</c:v>
                </c:pt>
                <c:pt idx="208">
                  <c:v>13.568</c:v>
                </c:pt>
                <c:pt idx="209">
                  <c:v>12.981999999999999</c:v>
                </c:pt>
                <c:pt idx="210">
                  <c:v>12.840999999999999</c:v>
                </c:pt>
                <c:pt idx="211">
                  <c:v>13.836</c:v>
                </c:pt>
                <c:pt idx="212">
                  <c:v>13.814</c:v>
                </c:pt>
                <c:pt idx="213">
                  <c:v>13.301</c:v>
                </c:pt>
                <c:pt idx="214">
                  <c:v>13.021000000000001</c:v>
                </c:pt>
                <c:pt idx="215">
                  <c:v>12.260999999999999</c:v>
                </c:pt>
                <c:pt idx="216">
                  <c:v>12.180999999999999</c:v>
                </c:pt>
                <c:pt idx="217">
                  <c:v>13.815</c:v>
                </c:pt>
                <c:pt idx="218">
                  <c:v>13.61</c:v>
                </c:pt>
                <c:pt idx="219">
                  <c:v>12.009</c:v>
                </c:pt>
                <c:pt idx="220">
                  <c:v>12.086</c:v>
                </c:pt>
                <c:pt idx="221">
                  <c:v>15.981999999999999</c:v>
                </c:pt>
                <c:pt idx="222">
                  <c:v>15.387</c:v>
                </c:pt>
                <c:pt idx="223">
                  <c:v>15.64</c:v>
                </c:pt>
                <c:pt idx="224">
                  <c:v>16.175000000000001</c:v>
                </c:pt>
                <c:pt idx="225">
                  <c:v>16</c:v>
                </c:pt>
                <c:pt idx="226">
                  <c:v>17.175000000000001</c:v>
                </c:pt>
                <c:pt idx="227">
                  <c:v>17.300999999999998</c:v>
                </c:pt>
                <c:pt idx="228">
                  <c:v>16.829999999999998</c:v>
                </c:pt>
                <c:pt idx="229">
                  <c:v>15.718999999999999</c:v>
                </c:pt>
                <c:pt idx="230">
                  <c:v>15.96</c:v>
                </c:pt>
                <c:pt idx="231">
                  <c:v>16.768999999999998</c:v>
                </c:pt>
                <c:pt idx="232">
                  <c:v>18.431000000000001</c:v>
                </c:pt>
                <c:pt idx="233">
                  <c:v>16.997</c:v>
                </c:pt>
                <c:pt idx="234">
                  <c:v>17.010000000000002</c:v>
                </c:pt>
                <c:pt idx="235">
                  <c:v>18.818999999999999</c:v>
                </c:pt>
                <c:pt idx="236">
                  <c:v>18.954000000000001</c:v>
                </c:pt>
                <c:pt idx="237">
                  <c:v>19.081</c:v>
                </c:pt>
                <c:pt idx="238">
                  <c:v>21.18</c:v>
                </c:pt>
                <c:pt idx="239">
                  <c:v>19.259</c:v>
                </c:pt>
                <c:pt idx="240">
                  <c:v>17.841999999999999</c:v>
                </c:pt>
                <c:pt idx="241">
                  <c:v>17.925999999999998</c:v>
                </c:pt>
                <c:pt idx="242">
                  <c:v>15.875</c:v>
                </c:pt>
                <c:pt idx="243">
                  <c:v>14.675000000000001</c:v>
                </c:pt>
                <c:pt idx="244">
                  <c:v>15.897</c:v>
                </c:pt>
                <c:pt idx="245">
                  <c:v>18.22</c:v>
                </c:pt>
                <c:pt idx="246">
                  <c:v>19.306000000000001</c:v>
                </c:pt>
                <c:pt idx="247">
                  <c:v>17.7</c:v>
                </c:pt>
                <c:pt idx="248">
                  <c:v>17.812999999999999</c:v>
                </c:pt>
                <c:pt idx="249">
                  <c:v>12.715999999999999</c:v>
                </c:pt>
                <c:pt idx="250">
                  <c:v>15.141999999999999</c:v>
                </c:pt>
                <c:pt idx="251">
                  <c:v>16.826000000000001</c:v>
                </c:pt>
                <c:pt idx="252">
                  <c:v>20.181000000000001</c:v>
                </c:pt>
                <c:pt idx="253">
                  <c:v>15.664999999999999</c:v>
                </c:pt>
                <c:pt idx="254">
                  <c:v>26.977</c:v>
                </c:pt>
                <c:pt idx="255">
                  <c:v>26.73</c:v>
                </c:pt>
                <c:pt idx="256">
                  <c:v>29.2</c:v>
                </c:pt>
                <c:pt idx="257">
                  <c:v>28.632999999999999</c:v>
                </c:pt>
                <c:pt idx="258">
                  <c:v>31.638000000000002</c:v>
                </c:pt>
                <c:pt idx="259">
                  <c:v>29.565999999999999</c:v>
                </c:pt>
                <c:pt idx="260">
                  <c:v>29.303000000000001</c:v>
                </c:pt>
                <c:pt idx="261">
                  <c:v>36.814</c:v>
                </c:pt>
                <c:pt idx="262">
                  <c:v>35.981999999999999</c:v>
                </c:pt>
                <c:pt idx="263">
                  <c:v>38.302999999999997</c:v>
                </c:pt>
                <c:pt idx="264">
                  <c:v>37.027999999999999</c:v>
                </c:pt>
                <c:pt idx="265">
                  <c:v>36.024000000000001</c:v>
                </c:pt>
                <c:pt idx="266">
                  <c:v>36.722999999999999</c:v>
                </c:pt>
                <c:pt idx="267">
                  <c:v>38.970999999999997</c:v>
                </c:pt>
                <c:pt idx="268">
                  <c:v>36.563000000000002</c:v>
                </c:pt>
                <c:pt idx="269">
                  <c:v>40.9</c:v>
                </c:pt>
                <c:pt idx="270">
                  <c:v>40.807000000000002</c:v>
                </c:pt>
                <c:pt idx="271">
                  <c:v>38.527000000000001</c:v>
                </c:pt>
                <c:pt idx="272">
                  <c:v>40.793999999999997</c:v>
                </c:pt>
                <c:pt idx="273">
                  <c:v>42.679000000000002</c:v>
                </c:pt>
                <c:pt idx="274">
                  <c:v>36.094000000000001</c:v>
                </c:pt>
                <c:pt idx="275">
                  <c:v>35.805</c:v>
                </c:pt>
                <c:pt idx="276">
                  <c:v>33.564</c:v>
                </c:pt>
                <c:pt idx="277">
                  <c:v>30.184000000000001</c:v>
                </c:pt>
                <c:pt idx="278">
                  <c:v>28.283000000000001</c:v>
                </c:pt>
                <c:pt idx="279">
                  <c:v>26.946000000000002</c:v>
                </c:pt>
                <c:pt idx="280">
                  <c:v>25.131</c:v>
                </c:pt>
                <c:pt idx="281">
                  <c:v>26.1</c:v>
                </c:pt>
                <c:pt idx="282">
                  <c:v>27.51</c:v>
                </c:pt>
                <c:pt idx="283">
                  <c:v>22.699000000000002</c:v>
                </c:pt>
                <c:pt idx="284">
                  <c:v>22.227</c:v>
                </c:pt>
                <c:pt idx="285">
                  <c:v>23.888999999999999</c:v>
                </c:pt>
                <c:pt idx="286">
                  <c:v>22.475999999999999</c:v>
                </c:pt>
                <c:pt idx="287">
                  <c:v>23.536999999999999</c:v>
                </c:pt>
                <c:pt idx="288">
                  <c:v>23.231999999999999</c:v>
                </c:pt>
                <c:pt idx="289">
                  <c:v>24.236999999999998</c:v>
                </c:pt>
                <c:pt idx="290">
                  <c:v>26.195</c:v>
                </c:pt>
                <c:pt idx="291">
                  <c:v>26.221</c:v>
                </c:pt>
                <c:pt idx="292">
                  <c:v>22.803999999999998</c:v>
                </c:pt>
                <c:pt idx="293">
                  <c:v>24.151</c:v>
                </c:pt>
                <c:pt idx="294">
                  <c:v>21.102</c:v>
                </c:pt>
                <c:pt idx="295">
                  <c:v>17.146000000000001</c:v>
                </c:pt>
                <c:pt idx="296">
                  <c:v>18.03</c:v>
                </c:pt>
                <c:pt idx="297">
                  <c:v>16.940000000000001</c:v>
                </c:pt>
                <c:pt idx="298">
                  <c:v>16.757000000000001</c:v>
                </c:pt>
                <c:pt idx="299">
                  <c:v>15.601000000000001</c:v>
                </c:pt>
                <c:pt idx="300">
                  <c:v>17.068999999999999</c:v>
                </c:pt>
                <c:pt idx="301">
                  <c:v>17.100999999999999</c:v>
                </c:pt>
                <c:pt idx="302">
                  <c:v>18.059999999999999</c:v>
                </c:pt>
                <c:pt idx="303">
                  <c:v>19</c:v>
                </c:pt>
                <c:pt idx="304">
                  <c:v>17.215</c:v>
                </c:pt>
                <c:pt idx="305">
                  <c:v>16.183</c:v>
                </c:pt>
                <c:pt idx="306">
                  <c:v>17.309000000000001</c:v>
                </c:pt>
                <c:pt idx="307">
                  <c:v>14.782</c:v>
                </c:pt>
                <c:pt idx="308">
                  <c:v>11.925000000000001</c:v>
                </c:pt>
                <c:pt idx="309">
                  <c:v>12.079000000000001</c:v>
                </c:pt>
                <c:pt idx="310">
                  <c:v>11.47</c:v>
                </c:pt>
                <c:pt idx="311">
                  <c:v>10.916</c:v>
                </c:pt>
                <c:pt idx="312">
                  <c:v>10.193</c:v>
                </c:pt>
                <c:pt idx="313">
                  <c:v>9.9060000000000006</c:v>
                </c:pt>
                <c:pt idx="314">
                  <c:v>9.8290000000000006</c:v>
                </c:pt>
                <c:pt idx="315">
                  <c:v>9.9</c:v>
                </c:pt>
                <c:pt idx="316">
                  <c:v>10.346</c:v>
                </c:pt>
                <c:pt idx="317">
                  <c:v>9.9760000000000009</c:v>
                </c:pt>
                <c:pt idx="318">
                  <c:v>9.9730000000000008</c:v>
                </c:pt>
                <c:pt idx="319">
                  <c:v>10.935</c:v>
                </c:pt>
                <c:pt idx="320">
                  <c:v>11.372999999999999</c:v>
                </c:pt>
                <c:pt idx="321">
                  <c:v>11.018000000000001</c:v>
                </c:pt>
                <c:pt idx="322">
                  <c:v>12.333</c:v>
                </c:pt>
                <c:pt idx="323">
                  <c:v>12.744999999999999</c:v>
                </c:pt>
                <c:pt idx="324">
                  <c:v>14.201000000000001</c:v>
                </c:pt>
                <c:pt idx="325">
                  <c:v>11.936</c:v>
                </c:pt>
                <c:pt idx="326">
                  <c:v>11.678000000000001</c:v>
                </c:pt>
                <c:pt idx="327">
                  <c:v>11.13</c:v>
                </c:pt>
                <c:pt idx="328">
                  <c:v>11.093999999999999</c:v>
                </c:pt>
                <c:pt idx="329">
                  <c:v>11.544</c:v>
                </c:pt>
                <c:pt idx="330">
                  <c:v>12.599</c:v>
                </c:pt>
                <c:pt idx="331">
                  <c:v>12.03</c:v>
                </c:pt>
                <c:pt idx="332">
                  <c:v>13.11</c:v>
                </c:pt>
                <c:pt idx="333">
                  <c:v>9.3789999999999996</c:v>
                </c:pt>
                <c:pt idx="334">
                  <c:v>10.651999999999999</c:v>
                </c:pt>
                <c:pt idx="335">
                  <c:v>11.282999999999999</c:v>
                </c:pt>
                <c:pt idx="336">
                  <c:v>11.651999999999999</c:v>
                </c:pt>
                <c:pt idx="337">
                  <c:v>14.16</c:v>
                </c:pt>
                <c:pt idx="338">
                  <c:v>12.744</c:v>
                </c:pt>
                <c:pt idx="339">
                  <c:v>15.026999999999999</c:v>
                </c:pt>
                <c:pt idx="340">
                  <c:v>16.645</c:v>
                </c:pt>
                <c:pt idx="341">
                  <c:v>14.673</c:v>
                </c:pt>
                <c:pt idx="342">
                  <c:v>18.934000000000001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98-4F3C-BCD2-A46D7CC9432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0.44144420848190852</c:v>
                </c:pt>
                <c:pt idx="1">
                  <c:v>0.44396861431669105</c:v>
                </c:pt>
                <c:pt idx="2">
                  <c:v>0.46002189770419111</c:v>
                </c:pt>
                <c:pt idx="3">
                  <c:v>0.45214702861044109</c:v>
                </c:pt>
                <c:pt idx="4">
                  <c:v>0.44053291742220579</c:v>
                </c:pt>
                <c:pt idx="5">
                  <c:v>0.43444416323887242</c:v>
                </c:pt>
                <c:pt idx="6">
                  <c:v>0.46944037485611695</c:v>
                </c:pt>
                <c:pt idx="7">
                  <c:v>0.50623775842713492</c:v>
                </c:pt>
                <c:pt idx="8">
                  <c:v>0.52728691724092802</c:v>
                </c:pt>
                <c:pt idx="9">
                  <c:v>0.52778487558032205</c:v>
                </c:pt>
                <c:pt idx="10">
                  <c:v>0.53100811218818722</c:v>
                </c:pt>
                <c:pt idx="11">
                  <c:v>0.54612239158818732</c:v>
                </c:pt>
                <c:pt idx="12">
                  <c:v>0.53654092578292401</c:v>
                </c:pt>
                <c:pt idx="13">
                  <c:v>0.52775908602376898</c:v>
                </c:pt>
                <c:pt idx="14">
                  <c:v>0.51815962654241321</c:v>
                </c:pt>
                <c:pt idx="15">
                  <c:v>0.52763946113447657</c:v>
                </c:pt>
                <c:pt idx="16">
                  <c:v>0.5097684744944766</c:v>
                </c:pt>
                <c:pt idx="17">
                  <c:v>0.50046375990826975</c:v>
                </c:pt>
                <c:pt idx="18">
                  <c:v>0.50484811034869526</c:v>
                </c:pt>
                <c:pt idx="19">
                  <c:v>0.4975777805391714</c:v>
                </c:pt>
                <c:pt idx="20">
                  <c:v>0.5140315269055431</c:v>
                </c:pt>
                <c:pt idx="21">
                  <c:v>0.52330739860554309</c:v>
                </c:pt>
                <c:pt idx="22">
                  <c:v>0.52486581347878258</c:v>
                </c:pt>
                <c:pt idx="23">
                  <c:v>0.537845673692116</c:v>
                </c:pt>
                <c:pt idx="24">
                  <c:v>0.54469842571385507</c:v>
                </c:pt>
                <c:pt idx="25">
                  <c:v>0.55300865591028359</c:v>
                </c:pt>
                <c:pt idx="26">
                  <c:v>0.54830934629528361</c:v>
                </c:pt>
                <c:pt idx="27">
                  <c:v>0.54106391067095938</c:v>
                </c:pt>
                <c:pt idx="28">
                  <c:v>0.54744432418112876</c:v>
                </c:pt>
                <c:pt idx="29">
                  <c:v>0.54546575498840166</c:v>
                </c:pt>
                <c:pt idx="30">
                  <c:v>0.55174233263840167</c:v>
                </c:pt>
                <c:pt idx="31">
                  <c:v>0.56853755653132199</c:v>
                </c:pt>
                <c:pt idx="32">
                  <c:v>0.55510734466840062</c:v>
                </c:pt>
                <c:pt idx="33">
                  <c:v>0.53738017563090068</c:v>
                </c:pt>
                <c:pt idx="34">
                  <c:v>0.54284826896090077</c:v>
                </c:pt>
                <c:pt idx="35">
                  <c:v>0.54390232221923407</c:v>
                </c:pt>
                <c:pt idx="36">
                  <c:v>0.52847780119758458</c:v>
                </c:pt>
                <c:pt idx="37">
                  <c:v>0.54481384888329898</c:v>
                </c:pt>
                <c:pt idx="38">
                  <c:v>0.55528530068329895</c:v>
                </c:pt>
                <c:pt idx="39">
                  <c:v>0.56316017112329897</c:v>
                </c:pt>
                <c:pt idx="40">
                  <c:v>0.56612276677885454</c:v>
                </c:pt>
                <c:pt idx="41">
                  <c:v>0.56023875913599741</c:v>
                </c:pt>
                <c:pt idx="42">
                  <c:v>0.55262386781617745</c:v>
                </c:pt>
                <c:pt idx="43">
                  <c:v>0.57463197299037105</c:v>
                </c:pt>
                <c:pt idx="44">
                  <c:v>0.54232828528780697</c:v>
                </c:pt>
                <c:pt idx="45">
                  <c:v>0.50470447135686769</c:v>
                </c:pt>
                <c:pt idx="46">
                  <c:v>0.52884212087467597</c:v>
                </c:pt>
                <c:pt idx="47">
                  <c:v>0.51782523277467585</c:v>
                </c:pt>
                <c:pt idx="48">
                  <c:v>0.51668895161103956</c:v>
                </c:pt>
                <c:pt idx="49">
                  <c:v>0.53623979505809838</c:v>
                </c:pt>
                <c:pt idx="50">
                  <c:v>0.55783901845891137</c:v>
                </c:pt>
                <c:pt idx="51">
                  <c:v>0.53438982811408364</c:v>
                </c:pt>
                <c:pt idx="52">
                  <c:v>0.55126325568984136</c:v>
                </c:pt>
                <c:pt idx="53">
                  <c:v>0.50125893612148698</c:v>
                </c:pt>
                <c:pt idx="54">
                  <c:v>0.50346855011482028</c:v>
                </c:pt>
                <c:pt idx="55">
                  <c:v>0.49458924581398989</c:v>
                </c:pt>
                <c:pt idx="56">
                  <c:v>0.50347846238744121</c:v>
                </c:pt>
                <c:pt idx="57">
                  <c:v>0.51455164894404481</c:v>
                </c:pt>
                <c:pt idx="58">
                  <c:v>0.54667252015207413</c:v>
                </c:pt>
                <c:pt idx="59">
                  <c:v>0.55733128732188542</c:v>
                </c:pt>
                <c:pt idx="60">
                  <c:v>0.53394863196474251</c:v>
                </c:pt>
                <c:pt idx="61">
                  <c:v>0.50855159167807584</c:v>
                </c:pt>
                <c:pt idx="62">
                  <c:v>0.51416769669950435</c:v>
                </c:pt>
                <c:pt idx="63">
                  <c:v>0.53911037327444866</c:v>
                </c:pt>
                <c:pt idx="64">
                  <c:v>0.52400149813159158</c:v>
                </c:pt>
                <c:pt idx="65">
                  <c:v>0.52550241820997001</c:v>
                </c:pt>
                <c:pt idx="66">
                  <c:v>0.5397204191721322</c:v>
                </c:pt>
                <c:pt idx="67">
                  <c:v>0.5520110424941661</c:v>
                </c:pt>
                <c:pt idx="68">
                  <c:v>0.56742110549042779</c:v>
                </c:pt>
                <c:pt idx="69">
                  <c:v>0.56259636551442782</c:v>
                </c:pt>
                <c:pt idx="70">
                  <c:v>0.54745343795345214</c:v>
                </c:pt>
                <c:pt idx="71">
                  <c:v>0.5729834534994811</c:v>
                </c:pt>
                <c:pt idx="72">
                  <c:v>0.56757665953826619</c:v>
                </c:pt>
                <c:pt idx="73">
                  <c:v>0.61080430682648967</c:v>
                </c:pt>
                <c:pt idx="74">
                  <c:v>0.62198338858648961</c:v>
                </c:pt>
                <c:pt idx="75">
                  <c:v>0.61465564237959291</c:v>
                </c:pt>
                <c:pt idx="76">
                  <c:v>0.61117893814824964</c:v>
                </c:pt>
                <c:pt idx="77">
                  <c:v>0.61787263491491629</c:v>
                </c:pt>
                <c:pt idx="78">
                  <c:v>0.60803589546113468</c:v>
                </c:pt>
                <c:pt idx="79">
                  <c:v>0.62143798647469406</c:v>
                </c:pt>
                <c:pt idx="80">
                  <c:v>0.64378778224392497</c:v>
                </c:pt>
                <c:pt idx="81">
                  <c:v>0.62817049879059161</c:v>
                </c:pt>
                <c:pt idx="82">
                  <c:v>0.59941035873753035</c:v>
                </c:pt>
                <c:pt idx="83">
                  <c:v>0.59576644996731765</c:v>
                </c:pt>
                <c:pt idx="84">
                  <c:v>0.60184925674942291</c:v>
                </c:pt>
                <c:pt idx="85">
                  <c:v>0.62325186829648194</c:v>
                </c:pt>
                <c:pt idx="86">
                  <c:v>0.59791403192455195</c:v>
                </c:pt>
                <c:pt idx="87">
                  <c:v>0.5883367892934841</c:v>
                </c:pt>
                <c:pt idx="88">
                  <c:v>0.55878942323748415</c:v>
                </c:pt>
                <c:pt idx="89">
                  <c:v>0.56251255879254036</c:v>
                </c:pt>
                <c:pt idx="90">
                  <c:v>0.57535158303516321</c:v>
                </c:pt>
                <c:pt idx="91">
                  <c:v>0.55564898418131714</c:v>
                </c:pt>
                <c:pt idx="92">
                  <c:v>0.55404036439020599</c:v>
                </c:pt>
                <c:pt idx="93">
                  <c:v>0.59141316502656971</c:v>
                </c:pt>
                <c:pt idx="94">
                  <c:v>0.61054045773850985</c:v>
                </c:pt>
                <c:pt idx="95">
                  <c:v>0.60520194710563313</c:v>
                </c:pt>
                <c:pt idx="96">
                  <c:v>0.61538750560319422</c:v>
                </c:pt>
                <c:pt idx="97">
                  <c:v>0.60674823848145498</c:v>
                </c:pt>
                <c:pt idx="98">
                  <c:v>0.62627122496991661</c:v>
                </c:pt>
                <c:pt idx="99">
                  <c:v>0.64750838871537109</c:v>
                </c:pt>
                <c:pt idx="100">
                  <c:v>0.64513299434235505</c:v>
                </c:pt>
                <c:pt idx="101">
                  <c:v>0.63998495556933921</c:v>
                </c:pt>
                <c:pt idx="102">
                  <c:v>0.62317274810267254</c:v>
                </c:pt>
                <c:pt idx="103">
                  <c:v>0.62092255331991408</c:v>
                </c:pt>
                <c:pt idx="104">
                  <c:v>0.62429349981991411</c:v>
                </c:pt>
                <c:pt idx="105">
                  <c:v>0.61243213030741428</c:v>
                </c:pt>
                <c:pt idx="106">
                  <c:v>0.64328958604901409</c:v>
                </c:pt>
                <c:pt idx="107">
                  <c:v>0.63526062914466652</c:v>
                </c:pt>
                <c:pt idx="108">
                  <c:v>0.58518463541432941</c:v>
                </c:pt>
                <c:pt idx="109">
                  <c:v>0.59077576290523837</c:v>
                </c:pt>
                <c:pt idx="110">
                  <c:v>0.60850576488216157</c:v>
                </c:pt>
                <c:pt idx="111">
                  <c:v>0.60928509437163503</c:v>
                </c:pt>
                <c:pt idx="112">
                  <c:v>0.60378559220011185</c:v>
                </c:pt>
                <c:pt idx="113">
                  <c:v>0.64795833753344512</c:v>
                </c:pt>
                <c:pt idx="114">
                  <c:v>0.62621970427120743</c:v>
                </c:pt>
                <c:pt idx="115">
                  <c:v>0.60596389877897427</c:v>
                </c:pt>
                <c:pt idx="116">
                  <c:v>0.60349959686988341</c:v>
                </c:pt>
                <c:pt idx="117">
                  <c:v>0.61481025657799149</c:v>
                </c:pt>
                <c:pt idx="118">
                  <c:v>0.61397303812029913</c:v>
                </c:pt>
                <c:pt idx="119">
                  <c:v>0.5863435493421536</c:v>
                </c:pt>
                <c:pt idx="120">
                  <c:v>0.58527936640882028</c:v>
                </c:pt>
                <c:pt idx="121">
                  <c:v>0.59471639173336011</c:v>
                </c:pt>
                <c:pt idx="122">
                  <c:v>0.61132167108688118</c:v>
                </c:pt>
                <c:pt idx="123">
                  <c:v>0.64840159163899391</c:v>
                </c:pt>
                <c:pt idx="124">
                  <c:v>0.63561371787379817</c:v>
                </c:pt>
                <c:pt idx="125">
                  <c:v>0.63545728002259816</c:v>
                </c:pt>
                <c:pt idx="126">
                  <c:v>0.63593929020869333</c:v>
                </c:pt>
                <c:pt idx="127">
                  <c:v>0.63474570372325634</c:v>
                </c:pt>
                <c:pt idx="128">
                  <c:v>0.59941876547144923</c:v>
                </c:pt>
                <c:pt idx="129">
                  <c:v>0.63489605522547143</c:v>
                </c:pt>
                <c:pt idx="130">
                  <c:v>0.65438946698307143</c:v>
                </c:pt>
                <c:pt idx="131">
                  <c:v>0.65809143215203691</c:v>
                </c:pt>
                <c:pt idx="132">
                  <c:v>0.64826906169842857</c:v>
                </c:pt>
                <c:pt idx="133">
                  <c:v>0.66269296540224532</c:v>
                </c:pt>
                <c:pt idx="134">
                  <c:v>0.67168388802907464</c:v>
                </c:pt>
                <c:pt idx="135">
                  <c:v>0.63947037132735052</c:v>
                </c:pt>
                <c:pt idx="136">
                  <c:v>0.61792535196026988</c:v>
                </c:pt>
                <c:pt idx="137">
                  <c:v>0.62250379234083852</c:v>
                </c:pt>
                <c:pt idx="138">
                  <c:v>0.61226041871876968</c:v>
                </c:pt>
                <c:pt idx="139">
                  <c:v>0.61017026164508548</c:v>
                </c:pt>
                <c:pt idx="140">
                  <c:v>0.63443953835267164</c:v>
                </c:pt>
                <c:pt idx="141">
                  <c:v>0.62867151486679584</c:v>
                </c:pt>
                <c:pt idx="142">
                  <c:v>0.59463151701389272</c:v>
                </c:pt>
                <c:pt idx="143">
                  <c:v>0.61349912465290035</c:v>
                </c:pt>
                <c:pt idx="144">
                  <c:v>0.61880820025080252</c:v>
                </c:pt>
                <c:pt idx="145">
                  <c:v>0.5936185206180753</c:v>
                </c:pt>
                <c:pt idx="146">
                  <c:v>0.58476576916807532</c:v>
                </c:pt>
                <c:pt idx="147">
                  <c:v>0.58880549444181274</c:v>
                </c:pt>
                <c:pt idx="148">
                  <c:v>0.60072548703994366</c:v>
                </c:pt>
                <c:pt idx="149">
                  <c:v>0.55762853392416412</c:v>
                </c:pt>
                <c:pt idx="150">
                  <c:v>0.57164418043230192</c:v>
                </c:pt>
                <c:pt idx="151">
                  <c:v>0.6019707298183663</c:v>
                </c:pt>
                <c:pt idx="152">
                  <c:v>0.60925158087874365</c:v>
                </c:pt>
                <c:pt idx="153">
                  <c:v>0.6221506660135262</c:v>
                </c:pt>
                <c:pt idx="154">
                  <c:v>0.59108740992610997</c:v>
                </c:pt>
                <c:pt idx="155">
                  <c:v>0.61610869296094539</c:v>
                </c:pt>
                <c:pt idx="156">
                  <c:v>0.57568362398513195</c:v>
                </c:pt>
                <c:pt idx="157">
                  <c:v>0.59720084984923882</c:v>
                </c:pt>
                <c:pt idx="158">
                  <c:v>0.57641617529962685</c:v>
                </c:pt>
                <c:pt idx="159">
                  <c:v>0.57410197641729288</c:v>
                </c:pt>
                <c:pt idx="160">
                  <c:v>0.5848259021280513</c:v>
                </c:pt>
                <c:pt idx="161">
                  <c:v>0.54300484657414794</c:v>
                </c:pt>
                <c:pt idx="162">
                  <c:v>0.52255141339501598</c:v>
                </c:pt>
                <c:pt idx="163">
                  <c:v>0.52840834263816794</c:v>
                </c:pt>
                <c:pt idx="164">
                  <c:v>0.57143699680180593</c:v>
                </c:pt>
                <c:pt idx="165">
                  <c:v>0.59445593675166064</c:v>
                </c:pt>
                <c:pt idx="166">
                  <c:v>0.57215879729461294</c:v>
                </c:pt>
                <c:pt idx="167">
                  <c:v>0.57465157515576726</c:v>
                </c:pt>
                <c:pt idx="168">
                  <c:v>0.5485575774518584</c:v>
                </c:pt>
                <c:pt idx="169">
                  <c:v>0.55022139922672231</c:v>
                </c:pt>
                <c:pt idx="170">
                  <c:v>0.55270231623144306</c:v>
                </c:pt>
                <c:pt idx="171">
                  <c:v>0.54116845786891465</c:v>
                </c:pt>
                <c:pt idx="172">
                  <c:v>0.52049610906891464</c:v>
                </c:pt>
                <c:pt idx="173">
                  <c:v>0.54047092481978964</c:v>
                </c:pt>
                <c:pt idx="174">
                  <c:v>0.53561078766275916</c:v>
                </c:pt>
                <c:pt idx="175">
                  <c:v>0.51033417779363566</c:v>
                </c:pt>
                <c:pt idx="176">
                  <c:v>0.48452364497570261</c:v>
                </c:pt>
                <c:pt idx="177">
                  <c:v>0.45793729781526782</c:v>
                </c:pt>
                <c:pt idx="178">
                  <c:v>0.4263824628641823</c:v>
                </c:pt>
                <c:pt idx="179">
                  <c:v>0.42995048919946621</c:v>
                </c:pt>
                <c:pt idx="180">
                  <c:v>0.45751936050106767</c:v>
                </c:pt>
                <c:pt idx="181">
                  <c:v>0.43714964990540339</c:v>
                </c:pt>
                <c:pt idx="182">
                  <c:v>0.4130296877677771</c:v>
                </c:pt>
                <c:pt idx="183">
                  <c:v>0.40085981800735931</c:v>
                </c:pt>
                <c:pt idx="184">
                  <c:v>0.39446842046418934</c:v>
                </c:pt>
                <c:pt idx="185">
                  <c:v>0.37218031743230628</c:v>
                </c:pt>
                <c:pt idx="186">
                  <c:v>0.40110112892206157</c:v>
                </c:pt>
                <c:pt idx="187">
                  <c:v>0.39123091359899376</c:v>
                </c:pt>
                <c:pt idx="188">
                  <c:v>0.37839610192920664</c:v>
                </c:pt>
                <c:pt idx="189">
                  <c:v>0.35147206902992323</c:v>
                </c:pt>
                <c:pt idx="190">
                  <c:v>0.34409738765075382</c:v>
                </c:pt>
                <c:pt idx="191">
                  <c:v>0.3165893919764694</c:v>
                </c:pt>
                <c:pt idx="192">
                  <c:v>0.33432806088381367</c:v>
                </c:pt>
                <c:pt idx="193">
                  <c:v>0.35604951820643899</c:v>
                </c:pt>
                <c:pt idx="194">
                  <c:v>0.35925408104786521</c:v>
                </c:pt>
                <c:pt idx="195">
                  <c:v>0.35581042450045303</c:v>
                </c:pt>
                <c:pt idx="196">
                  <c:v>0.38751838463529409</c:v>
                </c:pt>
                <c:pt idx="197">
                  <c:v>0.40951905104360875</c:v>
                </c:pt>
                <c:pt idx="198">
                  <c:v>0.40350373271998419</c:v>
                </c:pt>
                <c:pt idx="199">
                  <c:v>0.4139119559765474</c:v>
                </c:pt>
                <c:pt idx="200">
                  <c:v>0.42961155339706492</c:v>
                </c:pt>
                <c:pt idx="201">
                  <c:v>0.4223915562567927</c:v>
                </c:pt>
                <c:pt idx="202">
                  <c:v>0.41135740387349212</c:v>
                </c:pt>
                <c:pt idx="203">
                  <c:v>0.39058153113708649</c:v>
                </c:pt>
                <c:pt idx="204">
                  <c:v>0.41506740235622902</c:v>
                </c:pt>
                <c:pt idx="205">
                  <c:v>0.46011265639977367</c:v>
                </c:pt>
                <c:pt idx="206">
                  <c:v>0.42274420617149888</c:v>
                </c:pt>
                <c:pt idx="207">
                  <c:v>0.41181224446280135</c:v>
                </c:pt>
                <c:pt idx="208">
                  <c:v>0.40465758390108558</c:v>
                </c:pt>
                <c:pt idx="209">
                  <c:v>0.39340393381937383</c:v>
                </c:pt>
                <c:pt idx="210">
                  <c:v>0.37681456074083813</c:v>
                </c:pt>
                <c:pt idx="211">
                  <c:v>0.39298030842050119</c:v>
                </c:pt>
                <c:pt idx="212">
                  <c:v>0.36508613846797799</c:v>
                </c:pt>
                <c:pt idx="213">
                  <c:v>0.36737268559213548</c:v>
                </c:pt>
                <c:pt idx="214">
                  <c:v>0.35758049390127195</c:v>
                </c:pt>
                <c:pt idx="215">
                  <c:v>0.32831554491180526</c:v>
                </c:pt>
                <c:pt idx="216">
                  <c:v>0.31337765704597514</c:v>
                </c:pt>
                <c:pt idx="217">
                  <c:v>0.34255759314802958</c:v>
                </c:pt>
                <c:pt idx="218">
                  <c:v>0.32484450118531111</c:v>
                </c:pt>
                <c:pt idx="219">
                  <c:v>0.29329250080251545</c:v>
                </c:pt>
                <c:pt idx="220">
                  <c:v>0.28124613280044475</c:v>
                </c:pt>
                <c:pt idx="221">
                  <c:v>0.34799466988005401</c:v>
                </c:pt>
                <c:pt idx="222">
                  <c:v>0.31732183684087367</c:v>
                </c:pt>
                <c:pt idx="223">
                  <c:v>0.32593456545387073</c:v>
                </c:pt>
                <c:pt idx="224">
                  <c:v>0.33063636424900433</c:v>
                </c:pt>
                <c:pt idx="225">
                  <c:v>0.34014288954794558</c:v>
                </c:pt>
                <c:pt idx="226">
                  <c:v>0.35864668838871377</c:v>
                </c:pt>
                <c:pt idx="227">
                  <c:v>0.38246888457581041</c:v>
                </c:pt>
                <c:pt idx="228">
                  <c:v>0.36877278968960941</c:v>
                </c:pt>
                <c:pt idx="229">
                  <c:v>0.34013726224845542</c:v>
                </c:pt>
                <c:pt idx="230">
                  <c:v>0.33492729845885894</c:v>
                </c:pt>
                <c:pt idx="231">
                  <c:v>0.37132234210032233</c:v>
                </c:pt>
                <c:pt idx="232">
                  <c:v>0.42736827766465102</c:v>
                </c:pt>
                <c:pt idx="233">
                  <c:v>0.36891353568263069</c:v>
                </c:pt>
                <c:pt idx="234">
                  <c:v>0.31784019734958097</c:v>
                </c:pt>
                <c:pt idx="235">
                  <c:v>0.39732108675590216</c:v>
                </c:pt>
                <c:pt idx="236">
                  <c:v>0.39332464118918203</c:v>
                </c:pt>
                <c:pt idx="237">
                  <c:v>0.42286726543084585</c:v>
                </c:pt>
                <c:pt idx="238">
                  <c:v>0.44019883252449288</c:v>
                </c:pt>
                <c:pt idx="239">
                  <c:v>0.39322536235972527</c:v>
                </c:pt>
                <c:pt idx="240">
                  <c:v>0.37820641444113445</c:v>
                </c:pt>
                <c:pt idx="241">
                  <c:v>0.36770563630254866</c:v>
                </c:pt>
                <c:pt idx="242">
                  <c:v>0.30874645772271292</c:v>
                </c:pt>
                <c:pt idx="243">
                  <c:v>0.27463970067846794</c:v>
                </c:pt>
                <c:pt idx="244">
                  <c:v>0.30643178478702665</c:v>
                </c:pt>
                <c:pt idx="245">
                  <c:v>0.35298644470207086</c:v>
                </c:pt>
                <c:pt idx="246">
                  <c:v>0.36295699757175071</c:v>
                </c:pt>
                <c:pt idx="247">
                  <c:v>0.31940882686566502</c:v>
                </c:pt>
                <c:pt idx="248">
                  <c:v>0.29144892555366497</c:v>
                </c:pt>
                <c:pt idx="249">
                  <c:v>0.13701611158827787</c:v>
                </c:pt>
                <c:pt idx="250">
                  <c:v>0.13521302549255437</c:v>
                </c:pt>
                <c:pt idx="251">
                  <c:v>0.17289984053319696</c:v>
                </c:pt>
                <c:pt idx="252">
                  <c:v>0.20185382742652944</c:v>
                </c:pt>
                <c:pt idx="253">
                  <c:v>9.9568102708138415E-2</c:v>
                </c:pt>
                <c:pt idx="254">
                  <c:v>0.27751989524531873</c:v>
                </c:pt>
                <c:pt idx="255">
                  <c:v>0.29790048382584799</c:v>
                </c:pt>
                <c:pt idx="256">
                  <c:v>0.29696227234683564</c:v>
                </c:pt>
                <c:pt idx="257">
                  <c:v>0.3089540244695122</c:v>
                </c:pt>
                <c:pt idx="258">
                  <c:v>0.34364549813660089</c:v>
                </c:pt>
                <c:pt idx="259">
                  <c:v>0.32794257317470088</c:v>
                </c:pt>
                <c:pt idx="260">
                  <c:v>0.35491363679780652</c:v>
                </c:pt>
                <c:pt idx="261">
                  <c:v>0.42094786309453242</c:v>
                </c:pt>
                <c:pt idx="262">
                  <c:v>0.39632006555416999</c:v>
                </c:pt>
                <c:pt idx="263">
                  <c:v>0.42949971018764399</c:v>
                </c:pt>
                <c:pt idx="264">
                  <c:v>0.42165452147132987</c:v>
                </c:pt>
                <c:pt idx="265">
                  <c:v>0.43302826438594444</c:v>
                </c:pt>
                <c:pt idx="266">
                  <c:v>0.42881810334381992</c:v>
                </c:pt>
                <c:pt idx="267">
                  <c:v>0.44702524447116121</c:v>
                </c:pt>
                <c:pt idx="268">
                  <c:v>0.43976854139139465</c:v>
                </c:pt>
                <c:pt idx="269">
                  <c:v>0.49255440611050155</c:v>
                </c:pt>
                <c:pt idx="270">
                  <c:v>0.50384971026992675</c:v>
                </c:pt>
                <c:pt idx="271">
                  <c:v>0.47379797894521281</c:v>
                </c:pt>
                <c:pt idx="272">
                  <c:v>0.51403093082742579</c:v>
                </c:pt>
                <c:pt idx="273">
                  <c:v>0.56418884706686279</c:v>
                </c:pt>
                <c:pt idx="274">
                  <c:v>0.47404460784072494</c:v>
                </c:pt>
                <c:pt idx="275">
                  <c:v>0.44294554876960895</c:v>
                </c:pt>
                <c:pt idx="276">
                  <c:v>0.39462398203327698</c:v>
                </c:pt>
                <c:pt idx="277">
                  <c:v>0.33914605497163441</c:v>
                </c:pt>
                <c:pt idx="278">
                  <c:v>0.29930812327797773</c:v>
                </c:pt>
                <c:pt idx="279">
                  <c:v>0.25214589591393943</c:v>
                </c:pt>
                <c:pt idx="280">
                  <c:v>0.13694026717517779</c:v>
                </c:pt>
                <c:pt idx="281">
                  <c:v>0.1973281614302568</c:v>
                </c:pt>
                <c:pt idx="282">
                  <c:v>0.31494346827967545</c:v>
                </c:pt>
                <c:pt idx="283">
                  <c:v>0.21090076386599346</c:v>
                </c:pt>
                <c:pt idx="284">
                  <c:v>0.23707609517322151</c:v>
                </c:pt>
                <c:pt idx="285">
                  <c:v>0.23288503784275208</c:v>
                </c:pt>
                <c:pt idx="286">
                  <c:v>0.22466663151463612</c:v>
                </c:pt>
                <c:pt idx="287">
                  <c:v>0.23274079387082075</c:v>
                </c:pt>
                <c:pt idx="288">
                  <c:v>0.20722147019448295</c:v>
                </c:pt>
                <c:pt idx="289">
                  <c:v>0.2253961244488108</c:v>
                </c:pt>
                <c:pt idx="290">
                  <c:v>0.24908050903707377</c:v>
                </c:pt>
                <c:pt idx="291">
                  <c:v>0.24060727700180923</c:v>
                </c:pt>
                <c:pt idx="292">
                  <c:v>0.17509633855035844</c:v>
                </c:pt>
                <c:pt idx="293">
                  <c:v>0.19950747205489366</c:v>
                </c:pt>
                <c:pt idx="294">
                  <c:v>0.11084665352453181</c:v>
                </c:pt>
                <c:pt idx="295">
                  <c:v>-2.6356607988352828E-3</c:v>
                </c:pt>
                <c:pt idx="296">
                  <c:v>-8.223768049282763E-3</c:v>
                </c:pt>
                <c:pt idx="297">
                  <c:v>-4.0606356222469352E-2</c:v>
                </c:pt>
                <c:pt idx="298">
                  <c:v>-4.1339967240558467E-2</c:v>
                </c:pt>
                <c:pt idx="299">
                  <c:v>-6.7233766221982294E-2</c:v>
                </c:pt>
                <c:pt idx="300">
                  <c:v>-3.3637984852600437E-2</c:v>
                </c:pt>
                <c:pt idx="301">
                  <c:v>3.831897800925777E-3</c:v>
                </c:pt>
                <c:pt idx="302">
                  <c:v>1.761078344376071E-2</c:v>
                </c:pt>
                <c:pt idx="303">
                  <c:v>3.6151563051663824E-2</c:v>
                </c:pt>
                <c:pt idx="304">
                  <c:v>-3.5118209698336178E-2</c:v>
                </c:pt>
                <c:pt idx="305">
                  <c:v>-5.1772655962832932E-2</c:v>
                </c:pt>
                <c:pt idx="306">
                  <c:v>1.589059462317681E-2</c:v>
                </c:pt>
                <c:pt idx="307">
                  <c:v>-7.2456418848819315E-2</c:v>
                </c:pt>
                <c:pt idx="308">
                  <c:v>-0.17365470874183517</c:v>
                </c:pt>
                <c:pt idx="309">
                  <c:v>-0.16290446682859902</c:v>
                </c:pt>
                <c:pt idx="310">
                  <c:v>-0.12333674053704029</c:v>
                </c:pt>
                <c:pt idx="311">
                  <c:v>-0.11770922914057949</c:v>
                </c:pt>
                <c:pt idx="312">
                  <c:v>-7.8052207147549513E-2</c:v>
                </c:pt>
                <c:pt idx="313">
                  <c:v>-9.9524742657549514E-2</c:v>
                </c:pt>
                <c:pt idx="314">
                  <c:v>-7.8743500678487108E-2</c:v>
                </c:pt>
                <c:pt idx="315">
                  <c:v>-7.1923837770956775E-2</c:v>
                </c:pt>
                <c:pt idx="316">
                  <c:v>-4.0627699882718131E-2</c:v>
                </c:pt>
                <c:pt idx="317">
                  <c:v>-7.2377207751751257E-2</c:v>
                </c:pt>
                <c:pt idx="318">
                  <c:v>-8.4312293218269829E-2</c:v>
                </c:pt>
                <c:pt idx="319">
                  <c:v>-4.6830287160756122E-2</c:v>
                </c:pt>
                <c:pt idx="320">
                  <c:v>-4.0391113861003108E-2</c:v>
                </c:pt>
                <c:pt idx="321">
                  <c:v>-4.7326569785739916E-2</c:v>
                </c:pt>
                <c:pt idx="322">
                  <c:v>-2.23863344899362E-2</c:v>
                </c:pt>
                <c:pt idx="323">
                  <c:v>1.2255121940424676E-2</c:v>
                </c:pt>
                <c:pt idx="324">
                  <c:v>5.743135576756301E-2</c:v>
                </c:pt>
                <c:pt idx="325">
                  <c:v>6.2450755213101401E-3</c:v>
                </c:pt>
                <c:pt idx="326">
                  <c:v>-3.065668601865729E-2</c:v>
                </c:pt>
                <c:pt idx="327">
                  <c:v>-3.8413896756157369E-2</c:v>
                </c:pt>
                <c:pt idx="328">
                  <c:v>-2.5568709362840447E-2</c:v>
                </c:pt>
                <c:pt idx="329">
                  <c:v>-1.9723326536667241E-2</c:v>
                </c:pt>
                <c:pt idx="330">
                  <c:v>1.4750368175622012E-2</c:v>
                </c:pt>
                <c:pt idx="331">
                  <c:v>1.7519141440604236E-2</c:v>
                </c:pt>
                <c:pt idx="332">
                  <c:v>3.8861543013123369E-2</c:v>
                </c:pt>
                <c:pt idx="333">
                  <c:v>-8.6922109350228358E-2</c:v>
                </c:pt>
                <c:pt idx="334">
                  <c:v>-7.5659662014702589E-2</c:v>
                </c:pt>
                <c:pt idx="335">
                  <c:v>-4.4594466301428937E-2</c:v>
                </c:pt>
                <c:pt idx="336">
                  <c:v>-3.0367200025030506E-2</c:v>
                </c:pt>
                <c:pt idx="337">
                  <c:v>1.4378060906283248E-2</c:v>
                </c:pt>
                <c:pt idx="338">
                  <c:v>2.4017470126447243E-3</c:v>
                </c:pt>
                <c:pt idx="339">
                  <c:v>-9.9506166066768292E-3</c:v>
                </c:pt>
                <c:pt idx="340">
                  <c:v>-2.6926007431423347E-2</c:v>
                </c:pt>
                <c:pt idx="341">
                  <c:v>-3.1880425225098791E-2</c:v>
                </c:pt>
                <c:pt idx="342">
                  <c:v>-8.5067296502611186E-3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98-4F3C-BCD2-A46D7CC943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4915519"/>
        <c:axId val="1894917599"/>
      </c:lineChart>
      <c:dateAx>
        <c:axId val="189491551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4917599"/>
        <c:crosses val="autoZero"/>
        <c:auto val="1"/>
        <c:lblOffset val="100"/>
        <c:baseTimeUnit val="days"/>
      </c:dateAx>
      <c:valAx>
        <c:axId val="18949175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49155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B8926FF-5B0F-48AE-9062-7D7E5ECDC364}">
  <sheetPr codeName="Chart1"/>
  <sheetViews>
    <sheetView zoomScale="9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6797" cy="608210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BBEDBEB-02D7-459E-8337-735A71918AA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44.277999999999999</v>
      </c>
      <c r="D2" s="4">
        <f>MIN(D3:D1912)</f>
        <v>6.81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7</v>
      </c>
    </row>
    <row r="5" spans="1:20" x14ac:dyDescent="0.25">
      <c r="A5" s="5">
        <v>44588</v>
      </c>
      <c r="B5">
        <v>7.46</v>
      </c>
      <c r="C5">
        <v>7.53</v>
      </c>
      <c r="D5">
        <v>7.3</v>
      </c>
      <c r="E5">
        <v>7.33</v>
      </c>
      <c r="F5">
        <v>341537.26</v>
      </c>
      <c r="G5">
        <v>7.33</v>
      </c>
      <c r="L5" t="s">
        <v>7</v>
      </c>
      <c r="M5" t="s">
        <v>7</v>
      </c>
      <c r="N5" t="s">
        <v>7</v>
      </c>
      <c r="P5">
        <f t="shared" ref="P5" si="0">IF(C5=D5,0,((E5-D5)-(C5-E5))/(C5-D5))</f>
        <v>-0.73913043478260698</v>
      </c>
      <c r="Q5">
        <f t="shared" ref="Q5" si="1">F5*P5</f>
        <v>-252440.58347826029</v>
      </c>
      <c r="R5">
        <f t="shared" ref="R5" si="2">R6+Q5</f>
        <v>44144420.848190852</v>
      </c>
      <c r="S5">
        <f t="shared" ref="S5" si="3">R5/100000</f>
        <v>441.4442084819085</v>
      </c>
      <c r="T5">
        <f t="shared" ref="T5" si="4">S5/1000</f>
        <v>0.44144420848190852</v>
      </c>
    </row>
    <row r="6" spans="1:20" x14ac:dyDescent="0.25">
      <c r="A6" s="5">
        <v>44587</v>
      </c>
      <c r="B6">
        <v>7.66</v>
      </c>
      <c r="C6">
        <v>8.0299999999999994</v>
      </c>
      <c r="D6">
        <v>7.23</v>
      </c>
      <c r="E6">
        <v>7.46</v>
      </c>
      <c r="F6">
        <v>3777243.15</v>
      </c>
      <c r="G6">
        <v>7.46</v>
      </c>
      <c r="L6" t="s">
        <v>8</v>
      </c>
      <c r="M6" t="s">
        <v>7</v>
      </c>
      <c r="N6" t="s">
        <v>7</v>
      </c>
      <c r="P6">
        <f t="shared" ref="P6" si="5">IF(C6=D6,0,((E6-D6)-(C6-E6))/(C6-D6))</f>
        <v>-0.42500000000000038</v>
      </c>
      <c r="Q6">
        <f t="shared" ref="Q6" si="6">F6*P6</f>
        <v>-1605328.3387500013</v>
      </c>
      <c r="R6">
        <f t="shared" ref="R6" si="7">R7+Q6</f>
        <v>44396861.431669109</v>
      </c>
      <c r="S6">
        <f t="shared" ref="S6" si="8">R6/100000</f>
        <v>443.96861431669106</v>
      </c>
      <c r="T6">
        <f t="shared" ref="T6" si="9">S6/1000</f>
        <v>0.44396861431669105</v>
      </c>
    </row>
    <row r="7" spans="1:20" x14ac:dyDescent="0.25">
      <c r="A7" s="5">
        <v>44586</v>
      </c>
      <c r="B7">
        <v>7.63</v>
      </c>
      <c r="C7">
        <v>7.88</v>
      </c>
      <c r="D7">
        <v>7.24</v>
      </c>
      <c r="E7">
        <v>7.66</v>
      </c>
      <c r="F7">
        <v>2519958.11</v>
      </c>
      <c r="G7">
        <v>7.66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0.31250000000000044</v>
      </c>
      <c r="Q7">
        <f t="shared" ref="Q7" si="11">F7*P7</f>
        <v>787486.90937500109</v>
      </c>
      <c r="R7">
        <f t="shared" ref="R7" si="12">R8+Q7</f>
        <v>46002189.770419113</v>
      </c>
      <c r="S7">
        <f t="shared" ref="S7" si="13">R7/100000</f>
        <v>460.02189770419113</v>
      </c>
      <c r="T7">
        <f t="shared" ref="T7" si="14">S7/1000</f>
        <v>0.46002189770419111</v>
      </c>
    </row>
    <row r="8" spans="1:20" x14ac:dyDescent="0.25">
      <c r="A8" s="5">
        <v>44585</v>
      </c>
      <c r="B8">
        <v>8.17</v>
      </c>
      <c r="C8">
        <v>8.17</v>
      </c>
      <c r="D8">
        <v>6.81</v>
      </c>
      <c r="E8">
        <v>7.63</v>
      </c>
      <c r="F8">
        <v>5641139.7199999997</v>
      </c>
      <c r="G8">
        <v>7.63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0.2058823529411766</v>
      </c>
      <c r="Q8">
        <f t="shared" ref="Q8" si="16">F8*P8</f>
        <v>1161411.1188235302</v>
      </c>
      <c r="R8">
        <f t="shared" ref="R8" si="17">R9+Q8</f>
        <v>45214702.861044109</v>
      </c>
      <c r="S8">
        <f t="shared" ref="S8" si="18">R8/100000</f>
        <v>452.14702861044111</v>
      </c>
      <c r="T8">
        <f t="shared" ref="T8" si="19">S8/1000</f>
        <v>0.45214702861044109</v>
      </c>
    </row>
    <row r="9" spans="1:20" x14ac:dyDescent="0.25">
      <c r="A9" s="5">
        <v>44584</v>
      </c>
      <c r="B9">
        <v>7.53</v>
      </c>
      <c r="C9">
        <v>8.67</v>
      </c>
      <c r="D9">
        <v>7.47</v>
      </c>
      <c r="E9">
        <v>8.17</v>
      </c>
      <c r="F9">
        <v>3653252.51</v>
      </c>
      <c r="G9">
        <v>8.17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0.1666666666666668</v>
      </c>
      <c r="Q9">
        <f t="shared" ref="Q9" si="21">F9*P9</f>
        <v>608875.4183333338</v>
      </c>
      <c r="R9">
        <f t="shared" ref="R9" si="22">R10+Q9</f>
        <v>44053291.742220581</v>
      </c>
      <c r="S9">
        <f t="shared" ref="S9" si="23">R9/100000</f>
        <v>440.5329174222058</v>
      </c>
      <c r="T9">
        <f t="shared" ref="T9" si="24">S9/1000</f>
        <v>0.44053291742220579</v>
      </c>
    </row>
    <row r="10" spans="1:20" x14ac:dyDescent="0.25">
      <c r="A10" s="5">
        <v>44583</v>
      </c>
      <c r="B10">
        <v>8.93</v>
      </c>
      <c r="C10">
        <v>9.06</v>
      </c>
      <c r="D10">
        <v>6.81</v>
      </c>
      <c r="E10">
        <v>7.52</v>
      </c>
      <c r="F10">
        <v>9486924.8359999992</v>
      </c>
      <c r="G10">
        <v>7.52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-0.36888888888888915</v>
      </c>
      <c r="Q10">
        <f t="shared" ref="Q10" si="26">F10*P10</f>
        <v>-3499621.1617244468</v>
      </c>
      <c r="R10">
        <f t="shared" ref="R10" si="27">R11+Q10</f>
        <v>43444416.323887244</v>
      </c>
      <c r="S10">
        <f t="shared" ref="S10" si="28">R10/100000</f>
        <v>434.44416323887242</v>
      </c>
      <c r="T10">
        <f t="shared" ref="T10" si="29">S10/1000</f>
        <v>0.43444416323887242</v>
      </c>
    </row>
    <row r="11" spans="1:20" x14ac:dyDescent="0.25">
      <c r="A11" s="5">
        <v>44582</v>
      </c>
      <c r="B11">
        <v>10.26</v>
      </c>
      <c r="C11">
        <v>10.39</v>
      </c>
      <c r="D11">
        <v>8.7200000000000006</v>
      </c>
      <c r="E11">
        <v>8.92</v>
      </c>
      <c r="F11">
        <v>4838711.068</v>
      </c>
      <c r="G11">
        <v>8.92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-0.76047904191616855</v>
      </c>
      <c r="Q11">
        <f t="shared" ref="Q11" si="31">F11*P11</f>
        <v>-3679738.3571018009</v>
      </c>
      <c r="R11">
        <f t="shared" ref="R11" si="32">R12+Q11</f>
        <v>46944037.485611692</v>
      </c>
      <c r="S11">
        <f t="shared" ref="S11" si="33">R11/100000</f>
        <v>469.44037485611693</v>
      </c>
      <c r="T11">
        <f t="shared" ref="T11" si="34">S11/1000</f>
        <v>0.46944037485611695</v>
      </c>
    </row>
    <row r="12" spans="1:20" x14ac:dyDescent="0.25">
      <c r="A12" s="5">
        <v>44581</v>
      </c>
      <c r="B12">
        <v>10.58</v>
      </c>
      <c r="C12">
        <v>11.1</v>
      </c>
      <c r="D12">
        <v>10.23</v>
      </c>
      <c r="E12">
        <v>10.27</v>
      </c>
      <c r="F12">
        <v>2318071.92</v>
      </c>
      <c r="G12">
        <v>10.27</v>
      </c>
      <c r="L12" t="s">
        <v>8</v>
      </c>
      <c r="M12" t="s">
        <v>7</v>
      </c>
      <c r="N12" t="s">
        <v>7</v>
      </c>
      <c r="P12">
        <f t="shared" ref="P12" si="35">IF(C12=D12,0,((E12-D12)-(C12-E12))/(C12-D12))</f>
        <v>-0.90804597701149614</v>
      </c>
      <c r="Q12">
        <f t="shared" ref="Q12" si="36">F12*P12</f>
        <v>-2104915.8813793147</v>
      </c>
      <c r="R12">
        <f t="shared" ref="R12" si="37">R13+Q12</f>
        <v>50623775.84271349</v>
      </c>
      <c r="S12">
        <f t="shared" ref="S12" si="38">R12/100000</f>
        <v>506.23775842713491</v>
      </c>
      <c r="T12">
        <f t="shared" ref="T12" si="39">S12/1000</f>
        <v>0.50623775842713492</v>
      </c>
    </row>
    <row r="13" spans="1:20" x14ac:dyDescent="0.25">
      <c r="A13" s="5">
        <v>44580</v>
      </c>
      <c r="B13">
        <v>10.91</v>
      </c>
      <c r="C13">
        <v>10.91</v>
      </c>
      <c r="D13">
        <v>10.25</v>
      </c>
      <c r="E13">
        <v>10.57</v>
      </c>
      <c r="F13">
        <v>1643262.52</v>
      </c>
      <c r="G13">
        <v>10.57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-3.0303030303029652E-2</v>
      </c>
      <c r="Q13">
        <f t="shared" ref="Q13" si="41">F13*P13</f>
        <v>-49795.833939392869</v>
      </c>
      <c r="R13">
        <f t="shared" ref="R13" si="42">R14+Q13</f>
        <v>52728691.724092804</v>
      </c>
      <c r="S13">
        <f t="shared" ref="S13" si="43">R13/100000</f>
        <v>527.28691724092801</v>
      </c>
      <c r="T13">
        <f t="shared" ref="T13" si="44">S13/1000</f>
        <v>0.52728691724092802</v>
      </c>
    </row>
    <row r="14" spans="1:20" x14ac:dyDescent="0.25">
      <c r="A14" s="5">
        <v>44579</v>
      </c>
      <c r="B14">
        <v>11.28</v>
      </c>
      <c r="C14">
        <v>11.42</v>
      </c>
      <c r="D14">
        <v>10.53</v>
      </c>
      <c r="E14">
        <v>10.91</v>
      </c>
      <c r="F14">
        <v>2206677.37</v>
      </c>
      <c r="G14">
        <v>10.91</v>
      </c>
      <c r="L14" t="s">
        <v>7</v>
      </c>
      <c r="M14" t="s">
        <v>8</v>
      </c>
      <c r="N14" t="s">
        <v>7</v>
      </c>
      <c r="P14">
        <f t="shared" ref="P14" si="45">IF(C14=D14,0,((E14-D14)-(C14-E14))/(C14-D14))</f>
        <v>-0.14606741573033588</v>
      </c>
      <c r="Q14">
        <f t="shared" ref="Q14" si="46">F14*P14</f>
        <v>-322323.66078651423</v>
      </c>
      <c r="R14">
        <f t="shared" ref="R14" si="47">R15+Q14</f>
        <v>52778487.5580322</v>
      </c>
      <c r="S14">
        <f t="shared" ref="S14" si="48">R14/100000</f>
        <v>527.78487558032202</v>
      </c>
      <c r="T14">
        <f t="shared" ref="T14" si="49">S14/1000</f>
        <v>0.52778487558032205</v>
      </c>
    </row>
    <row r="15" spans="1:20" x14ac:dyDescent="0.25">
      <c r="A15" s="5">
        <v>44578</v>
      </c>
      <c r="B15">
        <v>12.04</v>
      </c>
      <c r="C15">
        <v>12.13</v>
      </c>
      <c r="D15">
        <v>11.05</v>
      </c>
      <c r="E15">
        <v>11.28</v>
      </c>
      <c r="F15">
        <v>2632809.96</v>
      </c>
      <c r="G15">
        <v>11.28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-0.57407407407407662</v>
      </c>
      <c r="Q15">
        <f t="shared" ref="Q15" si="51">F15*P15</f>
        <v>-1511427.9400000067</v>
      </c>
      <c r="R15">
        <f t="shared" ref="R15" si="52">R16+Q15</f>
        <v>53100811.218818717</v>
      </c>
      <c r="S15">
        <f t="shared" ref="S15" si="53">R15/100000</f>
        <v>531.00811218818717</v>
      </c>
      <c r="T15">
        <f t="shared" ref="T15" si="54">S15/1000</f>
        <v>0.53100811218818722</v>
      </c>
    </row>
    <row r="16" spans="1:20" x14ac:dyDescent="0.25">
      <c r="A16" s="5">
        <v>44577</v>
      </c>
      <c r="B16">
        <v>11.73</v>
      </c>
      <c r="C16">
        <v>12.18</v>
      </c>
      <c r="D16">
        <v>11.61</v>
      </c>
      <c r="E16">
        <v>12.05</v>
      </c>
      <c r="F16">
        <v>1761753.39</v>
      </c>
      <c r="G16">
        <v>12.05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0.54385964912281071</v>
      </c>
      <c r="Q16">
        <f t="shared" ref="Q16" si="56">F16*P16</f>
        <v>958146.58052632224</v>
      </c>
      <c r="R16">
        <f t="shared" ref="R16" si="57">R17+Q16</f>
        <v>54612239.158818722</v>
      </c>
      <c r="S16">
        <f t="shared" ref="S16" si="58">R16/100000</f>
        <v>546.12239158818727</v>
      </c>
      <c r="T16">
        <f t="shared" ref="T16" si="59">S16/1000</f>
        <v>0.54612239158818732</v>
      </c>
    </row>
    <row r="17" spans="1:20" x14ac:dyDescent="0.25">
      <c r="A17" s="5">
        <v>44576</v>
      </c>
      <c r="B17">
        <v>11.3</v>
      </c>
      <c r="C17">
        <v>11.91</v>
      </c>
      <c r="D17">
        <v>11.2</v>
      </c>
      <c r="E17">
        <v>11.72</v>
      </c>
      <c r="F17">
        <v>1889426.13</v>
      </c>
      <c r="G17">
        <v>11.72</v>
      </c>
      <c r="L17" t="s">
        <v>8</v>
      </c>
      <c r="M17" t="s">
        <v>7</v>
      </c>
      <c r="N17" t="s">
        <v>7</v>
      </c>
      <c r="P17">
        <f t="shared" ref="P17" si="60">IF(C17=D17,0,((E17-D17)-(C17-E17))/(C17-D17))</f>
        <v>0.46478873239436824</v>
      </c>
      <c r="Q17">
        <f t="shared" ref="Q17" si="61">F17*P17</f>
        <v>878183.97591549682</v>
      </c>
      <c r="R17">
        <f t="shared" ref="R17" si="62">R18+Q17</f>
        <v>53654092.5782924</v>
      </c>
      <c r="S17">
        <f t="shared" ref="S17" si="63">R17/100000</f>
        <v>536.54092578292398</v>
      </c>
      <c r="T17">
        <f t="shared" ref="T17" si="64">S17/1000</f>
        <v>0.53654092578292401</v>
      </c>
    </row>
    <row r="18" spans="1:20" x14ac:dyDescent="0.25">
      <c r="A18" s="5">
        <v>44575</v>
      </c>
      <c r="B18">
        <v>10.91</v>
      </c>
      <c r="C18">
        <v>11.4</v>
      </c>
      <c r="D18">
        <v>10.81</v>
      </c>
      <c r="E18">
        <v>11.29</v>
      </c>
      <c r="F18">
        <v>1530724.62</v>
      </c>
      <c r="G18">
        <v>11.29</v>
      </c>
      <c r="L18" t="s">
        <v>8</v>
      </c>
      <c r="M18" t="s">
        <v>7</v>
      </c>
      <c r="N18" t="s">
        <v>7</v>
      </c>
      <c r="P18">
        <f t="shared" ref="P18" si="65">IF(C18=D18,0,((E18-D18)-(C18-E18))/(C18-D18))</f>
        <v>0.62711864406779239</v>
      </c>
      <c r="Q18">
        <f t="shared" ref="Q18" si="66">F18*P18</f>
        <v>959945.9481355868</v>
      </c>
      <c r="R18">
        <f t="shared" ref="R18" si="67">R19+Q18</f>
        <v>52775908.602376901</v>
      </c>
      <c r="S18">
        <f t="shared" ref="S18" si="68">R18/100000</f>
        <v>527.75908602376899</v>
      </c>
      <c r="T18">
        <f t="shared" ref="T18" si="69">S18/1000</f>
        <v>0.52775908602376898</v>
      </c>
    </row>
    <row r="19" spans="1:20" x14ac:dyDescent="0.25">
      <c r="A19" s="5">
        <v>44574</v>
      </c>
      <c r="B19">
        <v>11.32</v>
      </c>
      <c r="C19">
        <v>11.38</v>
      </c>
      <c r="D19">
        <v>10.75</v>
      </c>
      <c r="E19">
        <v>10.91</v>
      </c>
      <c r="F19">
        <v>1926547.03</v>
      </c>
      <c r="G19">
        <v>10.91</v>
      </c>
      <c r="L19" t="s">
        <v>8</v>
      </c>
      <c r="M19" t="s">
        <v>7</v>
      </c>
      <c r="N19" t="s">
        <v>7</v>
      </c>
      <c r="P19">
        <f t="shared" ref="P19" si="70">IF(C19=D19,0,((E19-D19)-(C19-E19))/(C19-D19))</f>
        <v>-0.49206349206349226</v>
      </c>
      <c r="Q19">
        <f t="shared" ref="Q19" si="71">F19*P19</f>
        <v>-947983.45920634957</v>
      </c>
      <c r="R19">
        <f t="shared" ref="R19" si="72">R20+Q19</f>
        <v>51815962.654241316</v>
      </c>
      <c r="S19">
        <f t="shared" ref="S19" si="73">R19/100000</f>
        <v>518.15962654241321</v>
      </c>
      <c r="T19">
        <f t="shared" ref="T19" si="74">S19/1000</f>
        <v>0.51815962654241321</v>
      </c>
    </row>
    <row r="20" spans="1:20" x14ac:dyDescent="0.25">
      <c r="A20" s="5">
        <v>44573</v>
      </c>
      <c r="B20">
        <v>10.9</v>
      </c>
      <c r="C20">
        <v>11.36</v>
      </c>
      <c r="D20">
        <v>10.66</v>
      </c>
      <c r="E20">
        <v>11.32</v>
      </c>
      <c r="F20">
        <v>2017692.04</v>
      </c>
      <c r="G20">
        <v>11.32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0.88571428571428801</v>
      </c>
      <c r="Q20">
        <f t="shared" ref="Q20" si="76">F20*P20</f>
        <v>1787098.6640000048</v>
      </c>
      <c r="R20">
        <f t="shared" ref="R20" si="77">R21+Q20</f>
        <v>52763946.113447666</v>
      </c>
      <c r="S20">
        <f t="shared" ref="S20" si="78">R20/100000</f>
        <v>527.63946113447662</v>
      </c>
      <c r="T20">
        <f t="shared" ref="T20" si="79">S20/1000</f>
        <v>0.52763946113447657</v>
      </c>
    </row>
    <row r="21" spans="1:20" x14ac:dyDescent="0.25">
      <c r="A21" s="5">
        <v>44572</v>
      </c>
      <c r="B21">
        <v>10.38</v>
      </c>
      <c r="C21">
        <v>11.14</v>
      </c>
      <c r="D21">
        <v>10.27</v>
      </c>
      <c r="E21">
        <v>10.9</v>
      </c>
      <c r="F21">
        <v>2075667.1</v>
      </c>
      <c r="G21">
        <v>10.9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0.44827586206896564</v>
      </c>
      <c r="Q21">
        <f t="shared" ref="Q21" si="81">F21*P21</f>
        <v>930471.45862068993</v>
      </c>
      <c r="R21">
        <f t="shared" ref="R21" si="82">R22+Q21</f>
        <v>50976847.449447662</v>
      </c>
      <c r="S21">
        <f t="shared" ref="S21" si="83">R21/100000</f>
        <v>509.76847449447661</v>
      </c>
      <c r="T21">
        <f t="shared" ref="T21" si="84">S21/1000</f>
        <v>0.5097684744944766</v>
      </c>
    </row>
    <row r="22" spans="1:20" x14ac:dyDescent="0.25">
      <c r="A22" s="5">
        <v>44571</v>
      </c>
      <c r="B22">
        <v>10.75</v>
      </c>
      <c r="C22">
        <v>10.94</v>
      </c>
      <c r="D22">
        <v>10</v>
      </c>
      <c r="E22">
        <v>10.38</v>
      </c>
      <c r="F22">
        <v>2289605.23</v>
      </c>
      <c r="G22">
        <v>10.38</v>
      </c>
      <c r="L22" t="s">
        <v>8</v>
      </c>
      <c r="M22" t="s">
        <v>7</v>
      </c>
      <c r="N22" t="s">
        <v>7</v>
      </c>
      <c r="P22">
        <f t="shared" ref="P22" si="85">IF(C22=D22,0,((E22-D22)-(C22-E22))/(C22-D22))</f>
        <v>-0.19148936170212558</v>
      </c>
      <c r="Q22">
        <f t="shared" ref="Q22" si="86">F22*P22</f>
        <v>-438435.0440425484</v>
      </c>
      <c r="R22">
        <f t="shared" ref="R22" si="87">R23+Q22</f>
        <v>50046375.990826972</v>
      </c>
      <c r="S22">
        <f t="shared" ref="S22" si="88">R22/100000</f>
        <v>500.46375990826971</v>
      </c>
      <c r="T22">
        <f t="shared" ref="T22" si="89">S22/1000</f>
        <v>0.50046375990826975</v>
      </c>
    </row>
    <row r="23" spans="1:20" x14ac:dyDescent="0.25">
      <c r="A23" s="5">
        <v>44570</v>
      </c>
      <c r="B23">
        <v>10.220000000000001</v>
      </c>
      <c r="C23">
        <v>10.97</v>
      </c>
      <c r="D23">
        <v>10.130000000000001</v>
      </c>
      <c r="E23">
        <v>10.75</v>
      </c>
      <c r="F23">
        <v>1526769.26</v>
      </c>
      <c r="G23">
        <v>10.75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0.47619047619047455</v>
      </c>
      <c r="Q23">
        <f t="shared" ref="Q23" si="91">F23*P23</f>
        <v>727032.98095237848</v>
      </c>
      <c r="R23">
        <f t="shared" ref="R23" si="92">R24+Q23</f>
        <v>50484811.034869522</v>
      </c>
      <c r="S23">
        <f t="shared" ref="S23" si="93">R23/100000</f>
        <v>504.84811034869523</v>
      </c>
      <c r="T23">
        <f t="shared" ref="T23" si="94">S23/1000</f>
        <v>0.50484811034869526</v>
      </c>
    </row>
    <row r="24" spans="1:20" x14ac:dyDescent="0.25">
      <c r="A24" s="5">
        <v>44569</v>
      </c>
      <c r="B24">
        <v>10.44</v>
      </c>
      <c r="C24">
        <v>11.15</v>
      </c>
      <c r="D24">
        <v>10.02</v>
      </c>
      <c r="E24">
        <v>10.220000000000001</v>
      </c>
      <c r="F24">
        <v>2546949.7799999998</v>
      </c>
      <c r="G24">
        <v>10.220000000000001</v>
      </c>
      <c r="L24" t="s">
        <v>8</v>
      </c>
      <c r="M24" t="s">
        <v>7</v>
      </c>
      <c r="N24" t="s">
        <v>7</v>
      </c>
      <c r="P24">
        <f t="shared" ref="P24" si="95">IF(C24=D24,0,((E24-D24)-(C24-E24))/(C24-D24))</f>
        <v>-0.64601769911504259</v>
      </c>
      <c r="Q24">
        <f t="shared" ref="Q24" si="96">F24*P24</f>
        <v>-1645374.6366371638</v>
      </c>
      <c r="R24">
        <f t="shared" ref="R24" si="97">R25+Q24</f>
        <v>49757778.05391714</v>
      </c>
      <c r="S24">
        <f t="shared" ref="S24" si="98">R24/100000</f>
        <v>497.57778053917139</v>
      </c>
      <c r="T24">
        <f t="shared" ref="T24" si="99">S24/1000</f>
        <v>0.4975777805391714</v>
      </c>
    </row>
    <row r="25" spans="1:20" x14ac:dyDescent="0.25">
      <c r="A25" s="5">
        <v>44568</v>
      </c>
      <c r="B25">
        <v>11.07</v>
      </c>
      <c r="C25">
        <v>11.1</v>
      </c>
      <c r="D25">
        <v>10.11</v>
      </c>
      <c r="E25">
        <v>10.44</v>
      </c>
      <c r="F25">
        <v>2782761.51</v>
      </c>
      <c r="G25">
        <v>10.44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-0.33333333333333331</v>
      </c>
      <c r="Q25">
        <f t="shared" ref="Q25" si="101">F25*P25</f>
        <v>-927587.16999999993</v>
      </c>
      <c r="R25">
        <f t="shared" ref="R25" si="102">R26+Q25</f>
        <v>51403152.690554306</v>
      </c>
      <c r="S25">
        <f t="shared" ref="S25" si="103">R25/100000</f>
        <v>514.03152690554305</v>
      </c>
      <c r="T25">
        <f t="shared" ref="T25" si="104">S25/1000</f>
        <v>0.5140315269055431</v>
      </c>
    </row>
    <row r="26" spans="1:20" x14ac:dyDescent="0.25">
      <c r="A26" s="5">
        <v>44567</v>
      </c>
      <c r="B26">
        <v>11.26</v>
      </c>
      <c r="C26">
        <v>11.46</v>
      </c>
      <c r="D26">
        <v>10.75</v>
      </c>
      <c r="E26">
        <v>11.08</v>
      </c>
      <c r="F26">
        <v>2212949.12</v>
      </c>
      <c r="G26">
        <v>11.08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-7.0422535211268525E-2</v>
      </c>
      <c r="Q26">
        <f t="shared" ref="Q26" si="106">F26*P26</f>
        <v>-155841.48732394571</v>
      </c>
      <c r="R26">
        <f t="shared" ref="R26" si="107">R27+Q26</f>
        <v>52330739.860554308</v>
      </c>
      <c r="S26">
        <f t="shared" ref="S26" si="108">R26/100000</f>
        <v>523.30739860554309</v>
      </c>
      <c r="T26">
        <f t="shared" ref="T26" si="109">S26/1000</f>
        <v>0.52330739860554309</v>
      </c>
    </row>
    <row r="27" spans="1:20" x14ac:dyDescent="0.25">
      <c r="A27" s="5">
        <v>44566</v>
      </c>
      <c r="B27">
        <v>12.02</v>
      </c>
      <c r="C27">
        <v>12.2</v>
      </c>
      <c r="D27">
        <v>11</v>
      </c>
      <c r="E27">
        <v>11.28</v>
      </c>
      <c r="F27">
        <v>2433723.79</v>
      </c>
      <c r="G27">
        <v>11.28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-0.5333333333333341</v>
      </c>
      <c r="Q27">
        <f t="shared" ref="Q27" si="111">F27*P27</f>
        <v>-1297986.0213333352</v>
      </c>
      <c r="R27">
        <f t="shared" ref="R27" si="112">R28+Q27</f>
        <v>52486581.347878255</v>
      </c>
      <c r="S27">
        <f t="shared" ref="S27" si="113">R27/100000</f>
        <v>524.86581347878257</v>
      </c>
      <c r="T27">
        <f t="shared" ref="T27" si="114">S27/1000</f>
        <v>0.52486581347878258</v>
      </c>
    </row>
    <row r="28" spans="1:20" x14ac:dyDescent="0.25">
      <c r="A28" s="5">
        <v>44565</v>
      </c>
      <c r="B28">
        <v>12.14</v>
      </c>
      <c r="C28">
        <v>12.33</v>
      </c>
      <c r="D28">
        <v>11.87</v>
      </c>
      <c r="E28">
        <v>12.01</v>
      </c>
      <c r="F28">
        <v>1751258.85</v>
      </c>
      <c r="G28">
        <v>12.01</v>
      </c>
      <c r="L28" t="s">
        <v>8</v>
      </c>
      <c r="M28" t="s">
        <v>8</v>
      </c>
      <c r="N28" t="s">
        <v>7</v>
      </c>
      <c r="P28">
        <f t="shared" ref="P28" si="115">IF(C28=D28,0,((E28-D28)-(C28-E28))/(C28-D28))</f>
        <v>-0.39130434782608559</v>
      </c>
      <c r="Q28">
        <f t="shared" ref="Q28" si="116">F28*P28</f>
        <v>-685275.20217391069</v>
      </c>
      <c r="R28">
        <f t="shared" ref="R28" si="117">R29+Q28</f>
        <v>53784567.369211592</v>
      </c>
      <c r="S28">
        <f t="shared" ref="S28" si="118">R28/100000</f>
        <v>537.84567369211595</v>
      </c>
      <c r="T28">
        <f t="shared" ref="T28" si="119">S28/1000</f>
        <v>0.537845673692116</v>
      </c>
    </row>
    <row r="29" spans="1:20" x14ac:dyDescent="0.25">
      <c r="A29" s="5">
        <v>44564</v>
      </c>
      <c r="B29">
        <v>12.34</v>
      </c>
      <c r="C29">
        <v>12.57</v>
      </c>
      <c r="D29">
        <v>12.01</v>
      </c>
      <c r="E29">
        <v>12.14</v>
      </c>
      <c r="F29">
        <v>1551242.97</v>
      </c>
      <c r="G29">
        <v>12.14</v>
      </c>
      <c r="L29" t="s">
        <v>8</v>
      </c>
      <c r="M29" t="s">
        <v>8</v>
      </c>
      <c r="N29" t="s">
        <v>7</v>
      </c>
      <c r="P29">
        <f t="shared" ref="P29" si="120">IF(C29=D29,0,((E29-D29)-(C29-E29))/(C29-D29))</f>
        <v>-0.53571428571428337</v>
      </c>
      <c r="Q29">
        <f t="shared" ref="Q29" si="121">F29*P29</f>
        <v>-831023.01964285353</v>
      </c>
      <c r="R29">
        <f t="shared" ref="R29" si="122">R30+Q29</f>
        <v>54469842.571385503</v>
      </c>
      <c r="S29">
        <f t="shared" ref="S29" si="123">R29/100000</f>
        <v>544.69842571385504</v>
      </c>
      <c r="T29">
        <f t="shared" ref="T29" si="124">S29/1000</f>
        <v>0.54469842571385507</v>
      </c>
    </row>
    <row r="30" spans="1:20" x14ac:dyDescent="0.25">
      <c r="A30" s="5">
        <v>44563</v>
      </c>
      <c r="B30">
        <v>12.05</v>
      </c>
      <c r="C30">
        <v>12.6</v>
      </c>
      <c r="D30">
        <v>11.8</v>
      </c>
      <c r="E30">
        <v>12.34</v>
      </c>
      <c r="F30">
        <v>1342659.89</v>
      </c>
      <c r="G30">
        <v>12.34</v>
      </c>
      <c r="L30" t="s">
        <v>8</v>
      </c>
      <c r="M30" t="s">
        <v>8</v>
      </c>
      <c r="N30" t="s">
        <v>7</v>
      </c>
      <c r="P30">
        <f t="shared" ref="P30" si="125">IF(C30=D30,0,((E30-D30)-(C30-E30))/(C30-D30))</f>
        <v>0.34999999999999964</v>
      </c>
      <c r="Q30">
        <f t="shared" ref="Q30" si="126">F30*P30</f>
        <v>469930.96149999951</v>
      </c>
      <c r="R30">
        <f t="shared" ref="R30" si="127">R31+Q30</f>
        <v>55300865.591028355</v>
      </c>
      <c r="S30">
        <f t="shared" ref="S30" si="128">R30/100000</f>
        <v>553.00865591028355</v>
      </c>
      <c r="T30">
        <f t="shared" ref="T30" si="129">S30/1000</f>
        <v>0.55300865591028359</v>
      </c>
    </row>
    <row r="31" spans="1:20" x14ac:dyDescent="0.25">
      <c r="A31" s="5">
        <v>44562</v>
      </c>
      <c r="B31">
        <v>11.74</v>
      </c>
      <c r="C31">
        <v>12.09</v>
      </c>
      <c r="D31">
        <v>11.72</v>
      </c>
      <c r="E31">
        <v>12.04</v>
      </c>
      <c r="F31">
        <v>992893.03</v>
      </c>
      <c r="G31">
        <v>12.04</v>
      </c>
      <c r="L31" t="s">
        <v>7</v>
      </c>
      <c r="M31" t="s">
        <v>8</v>
      </c>
      <c r="N31" t="s">
        <v>7</v>
      </c>
      <c r="P31">
        <f t="shared" ref="P31" si="130">IF(C31=D31,0,((E31-D31)-(C31-E31))/(C31-D31))</f>
        <v>0.72972972972972527</v>
      </c>
      <c r="Q31">
        <f t="shared" ref="Q31" si="131">F31*P31</f>
        <v>724543.56243242801</v>
      </c>
      <c r="R31">
        <f t="shared" ref="R31" si="132">R32+Q31</f>
        <v>54830934.629528359</v>
      </c>
      <c r="S31">
        <f t="shared" ref="S31" si="133">R31/100000</f>
        <v>548.3093462952836</v>
      </c>
      <c r="T31">
        <f t="shared" ref="T31" si="134">S31/1000</f>
        <v>0.54830934629528361</v>
      </c>
    </row>
    <row r="32" spans="1:20" x14ac:dyDescent="0.25">
      <c r="A32" s="5">
        <v>44561</v>
      </c>
      <c r="B32">
        <v>12.03</v>
      </c>
      <c r="C32">
        <v>12.15</v>
      </c>
      <c r="D32">
        <v>11.56</v>
      </c>
      <c r="E32">
        <v>11.74</v>
      </c>
      <c r="F32">
        <v>1636714.77</v>
      </c>
      <c r="G32">
        <v>11.74</v>
      </c>
      <c r="L32" t="s">
        <v>7</v>
      </c>
      <c r="M32" t="s">
        <v>8</v>
      </c>
      <c r="N32" t="s">
        <v>7</v>
      </c>
      <c r="P32">
        <f t="shared" ref="P32" si="135">IF(C32=D32,0,((E32-D32)-(C32-E32))/(C32-D32))</f>
        <v>-0.38983050847457706</v>
      </c>
      <c r="Q32">
        <f t="shared" ref="Q32" si="136">F32*P32</f>
        <v>-638041.35101695044</v>
      </c>
      <c r="R32">
        <f t="shared" ref="R32" si="137">R33+Q32</f>
        <v>54106391.067095928</v>
      </c>
      <c r="S32">
        <f t="shared" ref="S32" si="138">R32/100000</f>
        <v>541.06391067095933</v>
      </c>
      <c r="T32">
        <f t="shared" ref="T32" si="139">S32/1000</f>
        <v>0.54106391067095938</v>
      </c>
    </row>
    <row r="33" spans="1:20" x14ac:dyDescent="0.25">
      <c r="A33" s="5">
        <v>44560</v>
      </c>
      <c r="B33">
        <v>11.83</v>
      </c>
      <c r="C33">
        <v>12.26</v>
      </c>
      <c r="D33">
        <v>11.71</v>
      </c>
      <c r="E33">
        <v>12.02</v>
      </c>
      <c r="F33">
        <v>1554590.08</v>
      </c>
      <c r="G33">
        <v>12.02</v>
      </c>
      <c r="L33" t="s">
        <v>7</v>
      </c>
      <c r="M33" t="s">
        <v>8</v>
      </c>
      <c r="N33" t="s">
        <v>7</v>
      </c>
      <c r="P33">
        <f t="shared" ref="P33" si="140">IF(C33=D33,0,((E33-D33)-(C33-E33))/(C33-D33))</f>
        <v>0.12727272727272482</v>
      </c>
      <c r="Q33">
        <f t="shared" ref="Q33" si="141">F33*P33</f>
        <v>197856.91927272346</v>
      </c>
      <c r="R33">
        <f t="shared" ref="R33" si="142">R34+Q33</f>
        <v>54744432.418112881</v>
      </c>
      <c r="S33">
        <f t="shared" ref="S33" si="143">R33/100000</f>
        <v>547.44432418112876</v>
      </c>
      <c r="T33">
        <f t="shared" ref="T33" si="144">S33/1000</f>
        <v>0.54744432418112876</v>
      </c>
    </row>
    <row r="34" spans="1:20" x14ac:dyDescent="0.25">
      <c r="A34" s="5">
        <v>44559</v>
      </c>
      <c r="B34">
        <v>12.21</v>
      </c>
      <c r="C34">
        <v>12.41</v>
      </c>
      <c r="D34">
        <v>11.53</v>
      </c>
      <c r="E34">
        <v>11.83</v>
      </c>
      <c r="F34">
        <v>1972638.69</v>
      </c>
      <c r="G34">
        <v>11.83</v>
      </c>
      <c r="L34" t="s">
        <v>7</v>
      </c>
      <c r="M34" t="s">
        <v>8</v>
      </c>
      <c r="N34" t="s">
        <v>7</v>
      </c>
      <c r="P34">
        <f t="shared" ref="P34" si="145">IF(C34=D34,0,((E34-D34)-(C34-E34))/(C34-D34))</f>
        <v>-0.31818181818181718</v>
      </c>
      <c r="Q34">
        <f t="shared" ref="Q34" si="146">F34*P34</f>
        <v>-627657.76499999803</v>
      </c>
      <c r="R34">
        <f t="shared" ref="R34" si="147">R35+Q34</f>
        <v>54546575.498840161</v>
      </c>
      <c r="S34">
        <f t="shared" ref="S34" si="148">R34/100000</f>
        <v>545.46575498840161</v>
      </c>
      <c r="T34">
        <f t="shared" ref="T34" si="149">S34/1000</f>
        <v>0.54546575498840166</v>
      </c>
    </row>
    <row r="35" spans="1:20" x14ac:dyDescent="0.25">
      <c r="A35" s="5">
        <v>44558</v>
      </c>
      <c r="B35">
        <v>13.13</v>
      </c>
      <c r="C35">
        <v>13.13</v>
      </c>
      <c r="D35">
        <v>12</v>
      </c>
      <c r="E35">
        <v>12.2</v>
      </c>
      <c r="F35">
        <v>2599808.63</v>
      </c>
      <c r="G35">
        <v>12.2</v>
      </c>
      <c r="L35" t="s">
        <v>7</v>
      </c>
      <c r="M35" t="s">
        <v>8</v>
      </c>
      <c r="N35" t="s">
        <v>7</v>
      </c>
      <c r="P35">
        <f t="shared" ref="P35" si="150">IF(C35=D35,0,((E35-D35)-(C35-E35))/(C35-D35))</f>
        <v>-0.6460176991150457</v>
      </c>
      <c r="Q35">
        <f t="shared" ref="Q35" si="151">F35*P35</f>
        <v>-1679522.389292039</v>
      </c>
      <c r="R35">
        <f t="shared" ref="R35" si="152">R36+Q35</f>
        <v>55174233.263840161</v>
      </c>
      <c r="S35">
        <f t="shared" ref="S35" si="153">R35/100000</f>
        <v>551.74233263840165</v>
      </c>
      <c r="T35">
        <f t="shared" ref="T35" si="154">S35/1000</f>
        <v>0.55174233263840167</v>
      </c>
    </row>
    <row r="36" spans="1:20" x14ac:dyDescent="0.25">
      <c r="A36" s="5">
        <v>44557</v>
      </c>
      <c r="B36">
        <v>12.83</v>
      </c>
      <c r="C36">
        <v>13.37</v>
      </c>
      <c r="D36">
        <v>12.48</v>
      </c>
      <c r="E36">
        <v>13.12</v>
      </c>
      <c r="F36">
        <v>3064843.22</v>
      </c>
      <c r="G36">
        <v>13.12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0.43820224719101047</v>
      </c>
      <c r="Q36">
        <f t="shared" ref="Q36" si="156">F36*P36</f>
        <v>1343021.1862921326</v>
      </c>
      <c r="R36">
        <f t="shared" ref="R36" si="157">R37+Q36</f>
        <v>56853755.6531322</v>
      </c>
      <c r="S36">
        <f t="shared" ref="S36" si="158">R36/100000</f>
        <v>568.53755653132202</v>
      </c>
      <c r="T36">
        <f t="shared" ref="T36" si="159">S36/1000</f>
        <v>0.56853755653132199</v>
      </c>
    </row>
    <row r="37" spans="1:20" x14ac:dyDescent="0.25">
      <c r="A37" s="5">
        <v>44556</v>
      </c>
      <c r="B37">
        <v>12.28</v>
      </c>
      <c r="C37">
        <v>12.92</v>
      </c>
      <c r="D37">
        <v>11.96</v>
      </c>
      <c r="E37">
        <v>12.83</v>
      </c>
      <c r="F37">
        <v>2181805.42</v>
      </c>
      <c r="G37">
        <v>12.83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0.81250000000000011</v>
      </c>
      <c r="Q37">
        <f t="shared" ref="Q37" si="161">F37*P37</f>
        <v>1772716.9037500003</v>
      </c>
      <c r="R37">
        <f t="shared" ref="R37" si="162">R38+Q37</f>
        <v>55510734.466840066</v>
      </c>
      <c r="S37">
        <f t="shared" ref="S37" si="163">R37/100000</f>
        <v>555.10734466840063</v>
      </c>
      <c r="T37">
        <f t="shared" ref="T37" si="164">S37/1000</f>
        <v>0.55510734466840062</v>
      </c>
    </row>
    <row r="38" spans="1:20" x14ac:dyDescent="0.25">
      <c r="A38" s="5">
        <v>44555</v>
      </c>
      <c r="B38">
        <v>12.35</v>
      </c>
      <c r="C38">
        <v>12.55</v>
      </c>
      <c r="D38">
        <v>12.15</v>
      </c>
      <c r="E38">
        <v>12.28</v>
      </c>
      <c r="F38">
        <v>1562312.38</v>
      </c>
      <c r="G38">
        <v>12.28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-0.35000000000000553</v>
      </c>
      <c r="Q38">
        <f t="shared" ref="Q38" si="166">F38*P38</f>
        <v>-546809.3330000086</v>
      </c>
      <c r="R38">
        <f t="shared" ref="R38" si="167">R39+Q38</f>
        <v>53738017.563090064</v>
      </c>
      <c r="S38">
        <f t="shared" ref="S38" si="168">R38/100000</f>
        <v>537.38017563090068</v>
      </c>
      <c r="T38">
        <f t="shared" ref="T38" si="169">S38/1000</f>
        <v>0.53738017563090068</v>
      </c>
    </row>
    <row r="39" spans="1:20" x14ac:dyDescent="0.25">
      <c r="A39" s="5">
        <v>44554</v>
      </c>
      <c r="B39">
        <v>12.25</v>
      </c>
      <c r="C39">
        <v>12.6</v>
      </c>
      <c r="D39">
        <v>12.12</v>
      </c>
      <c r="E39">
        <v>12.35</v>
      </c>
      <c r="F39">
        <v>2529727.8199999998</v>
      </c>
      <c r="G39">
        <v>12.35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-4.1666666666665741E-2</v>
      </c>
      <c r="Q39">
        <f t="shared" ref="Q39" si="171">F39*P39</f>
        <v>-105405.32583333098</v>
      </c>
      <c r="R39">
        <f t="shared" ref="R39" si="172">R40+Q39</f>
        <v>54284826.896090075</v>
      </c>
      <c r="S39">
        <f t="shared" ref="S39" si="173">R39/100000</f>
        <v>542.84826896090078</v>
      </c>
      <c r="T39">
        <f t="shared" ref="T39" si="174">S39/1000</f>
        <v>0.54284826896090077</v>
      </c>
    </row>
    <row r="40" spans="1:20" x14ac:dyDescent="0.25">
      <c r="A40" s="5">
        <v>44553</v>
      </c>
      <c r="B40">
        <v>11.85</v>
      </c>
      <c r="C40">
        <v>12.48</v>
      </c>
      <c r="D40">
        <v>11.51</v>
      </c>
      <c r="E40">
        <v>12.25</v>
      </c>
      <c r="F40">
        <v>2933683.41</v>
      </c>
      <c r="G40">
        <v>12.25</v>
      </c>
      <c r="L40" t="s">
        <v>7</v>
      </c>
      <c r="M40" t="s">
        <v>8</v>
      </c>
      <c r="N40" t="s">
        <v>7</v>
      </c>
      <c r="P40">
        <f t="shared" ref="P40" si="175">IF(C40=D40,0,((E40-D40)-(C40-E40))/(C40-D40))</f>
        <v>0.52577319587628812</v>
      </c>
      <c r="Q40">
        <f t="shared" ref="Q40" si="176">F40*P40</f>
        <v>1542452.102164947</v>
      </c>
      <c r="R40">
        <f t="shared" ref="R40" si="177">R41+Q40</f>
        <v>54390232.221923403</v>
      </c>
      <c r="S40">
        <f t="shared" ref="S40" si="178">R40/100000</f>
        <v>543.90232221923407</v>
      </c>
      <c r="T40">
        <f t="shared" ref="T40" si="179">S40/1000</f>
        <v>0.54390232221923407</v>
      </c>
    </row>
    <row r="41" spans="1:20" x14ac:dyDescent="0.25">
      <c r="A41" s="5">
        <v>44552</v>
      </c>
      <c r="B41">
        <v>12.01</v>
      </c>
      <c r="C41">
        <v>12.11</v>
      </c>
      <c r="D41">
        <v>11.83</v>
      </c>
      <c r="E41">
        <v>11.85</v>
      </c>
      <c r="F41">
        <v>1905872.23</v>
      </c>
      <c r="G41">
        <v>11.85</v>
      </c>
      <c r="L41" t="s">
        <v>7</v>
      </c>
      <c r="M41" t="s">
        <v>8</v>
      </c>
      <c r="N41" t="s">
        <v>7</v>
      </c>
      <c r="P41">
        <f t="shared" ref="P41" si="180">IF(C41=D41,0,((E41-D41)-(C41-E41))/(C41-D41))</f>
        <v>-0.85714285714285987</v>
      </c>
      <c r="Q41">
        <f t="shared" ref="Q41" si="181">F41*P41</f>
        <v>-1633604.7685714338</v>
      </c>
      <c r="R41">
        <f t="shared" ref="R41" si="182">R42+Q41</f>
        <v>52847780.119758457</v>
      </c>
      <c r="S41">
        <f t="shared" ref="S41" si="183">R41/100000</f>
        <v>528.47780119758454</v>
      </c>
      <c r="T41">
        <f t="shared" ref="T41" si="184">S41/1000</f>
        <v>0.52847780119758458</v>
      </c>
    </row>
    <row r="42" spans="1:20" x14ac:dyDescent="0.25">
      <c r="A42" s="5">
        <v>44551</v>
      </c>
      <c r="B42">
        <v>12.08</v>
      </c>
      <c r="C42">
        <v>12.49</v>
      </c>
      <c r="D42">
        <v>11.79</v>
      </c>
      <c r="E42">
        <v>12</v>
      </c>
      <c r="F42">
        <v>2617862.9500000002</v>
      </c>
      <c r="G42">
        <v>12</v>
      </c>
      <c r="L42" t="s">
        <v>7</v>
      </c>
      <c r="M42" t="s">
        <v>8</v>
      </c>
      <c r="N42" t="s">
        <v>7</v>
      </c>
      <c r="P42">
        <f t="shared" ref="P42" si="185">IF(C42=D42,0,((E42-D42)-(C42-E42))/(C42-D42))</f>
        <v>-0.39999999999999847</v>
      </c>
      <c r="Q42">
        <f t="shared" ref="Q42" si="186">F42*P42</f>
        <v>-1047145.1799999961</v>
      </c>
      <c r="R42">
        <f t="shared" ref="R42" si="187">R43+Q42</f>
        <v>54481384.888329893</v>
      </c>
      <c r="S42">
        <f t="shared" ref="S42" si="188">R42/100000</f>
        <v>544.81384888329899</v>
      </c>
      <c r="T42">
        <f t="shared" ref="T42" si="189">S42/1000</f>
        <v>0.54481384888329898</v>
      </c>
    </row>
    <row r="43" spans="1:20" x14ac:dyDescent="0.25">
      <c r="A43" s="5">
        <v>44550</v>
      </c>
      <c r="B43">
        <v>12.51</v>
      </c>
      <c r="C43">
        <v>12.7</v>
      </c>
      <c r="D43">
        <v>11.8</v>
      </c>
      <c r="E43">
        <v>12.07</v>
      </c>
      <c r="F43">
        <v>1968717.61</v>
      </c>
      <c r="G43">
        <v>12.07</v>
      </c>
      <c r="L43" t="s">
        <v>7</v>
      </c>
      <c r="M43" t="s">
        <v>8</v>
      </c>
      <c r="N43" t="s">
        <v>7</v>
      </c>
      <c r="P43">
        <f t="shared" ref="P43" si="190">IF(C43=D43,0,((E43-D43)-(C43-E43))/(C43-D43))</f>
        <v>-0.4</v>
      </c>
      <c r="Q43">
        <f t="shared" ref="Q43" si="191">F43*P43</f>
        <v>-787487.04400000011</v>
      </c>
      <c r="R43">
        <f t="shared" ref="R43" si="192">R44+Q43</f>
        <v>55528530.068329893</v>
      </c>
      <c r="S43">
        <f t="shared" ref="S43" si="193">R43/100000</f>
        <v>555.28530068329894</v>
      </c>
      <c r="T43">
        <f t="shared" ref="T43" si="194">S43/1000</f>
        <v>0.55528530068329895</v>
      </c>
    </row>
    <row r="44" spans="1:20" x14ac:dyDescent="0.25">
      <c r="A44" s="5">
        <v>44549</v>
      </c>
      <c r="B44">
        <v>12.66</v>
      </c>
      <c r="C44">
        <v>12.88</v>
      </c>
      <c r="D44">
        <v>12.25</v>
      </c>
      <c r="E44">
        <v>12.51</v>
      </c>
      <c r="F44">
        <v>1696759.33</v>
      </c>
      <c r="G44">
        <v>12.51</v>
      </c>
      <c r="L44" t="s">
        <v>8</v>
      </c>
      <c r="M44" t="s">
        <v>8</v>
      </c>
      <c r="N44" t="s">
        <v>7</v>
      </c>
      <c r="P44">
        <f t="shared" ref="P44" si="195">IF(C44=D44,0,((E44-D44)-(C44-E44))/(C44-D44))</f>
        <v>-0.17460317460317631</v>
      </c>
      <c r="Q44">
        <f t="shared" ref="Q44" si="196">F44*P44</f>
        <v>-296259.56555555848</v>
      </c>
      <c r="R44">
        <f t="shared" ref="R44" si="197">R45+Q44</f>
        <v>56316017.112329893</v>
      </c>
      <c r="S44">
        <f t="shared" ref="S44" si="198">R44/100000</f>
        <v>563.16017112329894</v>
      </c>
      <c r="T44">
        <f t="shared" ref="T44" si="199">S44/1000</f>
        <v>0.56316017112329897</v>
      </c>
    </row>
    <row r="45" spans="1:20" x14ac:dyDescent="0.25">
      <c r="A45" s="5">
        <v>44548</v>
      </c>
      <c r="B45">
        <v>12.43</v>
      </c>
      <c r="C45">
        <v>12.89</v>
      </c>
      <c r="D45">
        <v>12.19</v>
      </c>
      <c r="E45">
        <v>12.65</v>
      </c>
      <c r="F45">
        <v>1872184.25</v>
      </c>
      <c r="G45">
        <v>12.65</v>
      </c>
      <c r="L45" t="s">
        <v>8</v>
      </c>
      <c r="M45" t="s">
        <v>8</v>
      </c>
      <c r="N45" t="s">
        <v>7</v>
      </c>
      <c r="P45">
        <f t="shared" ref="P45" si="200">IF(C45=D45,0,((E45-D45)-(C45-E45))/(C45-D45))</f>
        <v>0.31428571428571472</v>
      </c>
      <c r="Q45">
        <f t="shared" ref="Q45" si="201">F45*P45</f>
        <v>588400.76428571506</v>
      </c>
      <c r="R45">
        <f t="shared" ref="R45" si="202">R46+Q45</f>
        <v>56612276.67788545</v>
      </c>
      <c r="S45">
        <f t="shared" ref="S45" si="203">R45/100000</f>
        <v>566.1227667788545</v>
      </c>
      <c r="T45">
        <f t="shared" ref="T45" si="204">S45/1000</f>
        <v>0.56612276677885454</v>
      </c>
    </row>
    <row r="46" spans="1:20" x14ac:dyDescent="0.25">
      <c r="A46" s="5">
        <v>44547</v>
      </c>
      <c r="B46">
        <v>12.57</v>
      </c>
      <c r="C46">
        <v>12.8</v>
      </c>
      <c r="D46">
        <v>11.69</v>
      </c>
      <c r="E46">
        <v>12.42</v>
      </c>
      <c r="F46">
        <v>2415008.39</v>
      </c>
      <c r="G46">
        <v>12.42</v>
      </c>
      <c r="L46" t="s">
        <v>7</v>
      </c>
      <c r="M46" t="s">
        <v>8</v>
      </c>
      <c r="N46" t="s">
        <v>7</v>
      </c>
      <c r="P46">
        <f t="shared" ref="P46" si="205">IF(C46=D46,0,((E46-D46)-(C46-E46))/(C46-D46))</f>
        <v>0.31531531531531465</v>
      </c>
      <c r="Q46">
        <f t="shared" ref="Q46" si="206">F46*P46</f>
        <v>761489.1319819804</v>
      </c>
      <c r="R46">
        <f t="shared" ref="R46" si="207">R47+Q46</f>
        <v>56023875.913599737</v>
      </c>
      <c r="S46">
        <f t="shared" ref="S46" si="208">R46/100000</f>
        <v>560.23875913599738</v>
      </c>
      <c r="T46">
        <f t="shared" ref="T46" si="209">S46/1000</f>
        <v>0.56023875913599741</v>
      </c>
    </row>
    <row r="47" spans="1:20" x14ac:dyDescent="0.25">
      <c r="A47" s="5">
        <v>44546</v>
      </c>
      <c r="B47">
        <v>13.16</v>
      </c>
      <c r="C47">
        <v>13.44</v>
      </c>
      <c r="D47">
        <v>12.51</v>
      </c>
      <c r="E47">
        <v>12.57</v>
      </c>
      <c r="F47">
        <v>2526856.52</v>
      </c>
      <c r="G47">
        <v>12.57</v>
      </c>
      <c r="L47" t="s">
        <v>7</v>
      </c>
      <c r="M47" t="s">
        <v>8</v>
      </c>
      <c r="N47" t="s">
        <v>7</v>
      </c>
      <c r="P47">
        <f t="shared" ref="P47" si="210">IF(C47=D47,0,((E47-D47)-(C47-E47))/(C47-D47))</f>
        <v>-0.87096774193548276</v>
      </c>
      <c r="Q47">
        <f t="shared" ref="Q47" si="211">F47*P47</f>
        <v>-2200810.5174193522</v>
      </c>
      <c r="R47">
        <f t="shared" ref="R47" si="212">R48+Q47</f>
        <v>55262386.781617753</v>
      </c>
      <c r="S47">
        <f t="shared" ref="S47" si="213">R47/100000</f>
        <v>552.62386781617749</v>
      </c>
      <c r="T47">
        <f t="shared" ref="T47" si="214">S47/1000</f>
        <v>0.55262386781617745</v>
      </c>
    </row>
    <row r="48" spans="1:20" x14ac:dyDescent="0.25">
      <c r="A48" s="5">
        <v>44545</v>
      </c>
      <c r="B48">
        <v>12.53</v>
      </c>
      <c r="C48">
        <v>13.5</v>
      </c>
      <c r="D48">
        <v>11.94</v>
      </c>
      <c r="E48">
        <v>13.16</v>
      </c>
      <c r="F48">
        <v>5726562.8200000003</v>
      </c>
      <c r="G48">
        <v>13.16</v>
      </c>
      <c r="L48" t="s">
        <v>8</v>
      </c>
      <c r="M48" t="s">
        <v>8</v>
      </c>
      <c r="N48" t="s">
        <v>7</v>
      </c>
      <c r="P48">
        <f t="shared" ref="P48" si="215">IF(C48=D48,0,((E48-D48)-(C48-E48))/(C48-D48))</f>
        <v>0.56410256410256443</v>
      </c>
      <c r="Q48">
        <f t="shared" ref="Q48" si="216">F48*P48</f>
        <v>3230368.7702564122</v>
      </c>
      <c r="R48">
        <f t="shared" ref="R48" si="217">R49+Q48</f>
        <v>57463197.299037106</v>
      </c>
      <c r="S48">
        <f t="shared" ref="S48" si="218">R48/100000</f>
        <v>574.63197299037108</v>
      </c>
      <c r="T48">
        <f t="shared" ref="T48" si="219">S48/1000</f>
        <v>0.57463197299037105</v>
      </c>
    </row>
    <row r="49" spans="1:20" x14ac:dyDescent="0.25">
      <c r="A49" s="5">
        <v>44544</v>
      </c>
      <c r="B49">
        <v>10.93</v>
      </c>
      <c r="C49">
        <v>12.66</v>
      </c>
      <c r="D49">
        <v>10.85</v>
      </c>
      <c r="E49">
        <v>12.53</v>
      </c>
      <c r="F49">
        <v>4393490.53</v>
      </c>
      <c r="G49">
        <v>12.53</v>
      </c>
      <c r="L49" t="s">
        <v>8</v>
      </c>
      <c r="M49" t="s">
        <v>8</v>
      </c>
      <c r="N49" t="s">
        <v>7</v>
      </c>
      <c r="P49">
        <f t="shared" ref="P49" si="220">IF(C49=D49,0,((E49-D49)-(C49-E49))/(C49-D49))</f>
        <v>0.85635359116022014</v>
      </c>
      <c r="Q49">
        <f t="shared" ref="Q49" si="221">F49*P49</f>
        <v>3762381.3930939189</v>
      </c>
      <c r="R49">
        <f t="shared" ref="R49" si="222">R50+Q49</f>
        <v>54232828.528780691</v>
      </c>
      <c r="S49">
        <f t="shared" ref="S49" si="223">R49/100000</f>
        <v>542.32828528780692</v>
      </c>
      <c r="T49">
        <f t="shared" ref="T49" si="224">S49/1000</f>
        <v>0.54232828528780697</v>
      </c>
    </row>
    <row r="50" spans="1:20" x14ac:dyDescent="0.25">
      <c r="A50" s="5">
        <v>44543</v>
      </c>
      <c r="B50">
        <v>11.63</v>
      </c>
      <c r="C50">
        <v>12.2</v>
      </c>
      <c r="D50">
        <v>10.74</v>
      </c>
      <c r="E50">
        <v>10.93</v>
      </c>
      <c r="F50">
        <v>3263052.62</v>
      </c>
      <c r="G50">
        <v>10.93</v>
      </c>
      <c r="L50" t="s">
        <v>8</v>
      </c>
      <c r="M50" t="s">
        <v>8</v>
      </c>
      <c r="N50" t="s">
        <v>7</v>
      </c>
      <c r="P50">
        <f t="shared" ref="P50" si="225">IF(C50=D50,0,((E50-D50)-(C50-E50))/(C50-D50))</f>
        <v>-0.73972602739726079</v>
      </c>
      <c r="Q50">
        <f t="shared" ref="Q50" si="226">F50*P50</f>
        <v>-2413764.9517808235</v>
      </c>
      <c r="R50">
        <f t="shared" ref="R50" si="227">R51+Q50</f>
        <v>50470447.13568677</v>
      </c>
      <c r="S50">
        <f t="shared" ref="S50" si="228">R50/100000</f>
        <v>504.70447135686771</v>
      </c>
      <c r="T50">
        <f t="shared" ref="T50" si="229">S50/1000</f>
        <v>0.50470447135686769</v>
      </c>
    </row>
    <row r="51" spans="1:20" x14ac:dyDescent="0.25">
      <c r="A51" s="5">
        <v>44542</v>
      </c>
      <c r="B51">
        <v>11.33</v>
      </c>
      <c r="C51">
        <v>11.68</v>
      </c>
      <c r="D51">
        <v>11.17</v>
      </c>
      <c r="E51">
        <v>11.64</v>
      </c>
      <c r="F51">
        <v>1306654.17</v>
      </c>
      <c r="G51">
        <v>11.64</v>
      </c>
      <c r="L51" t="s">
        <v>8</v>
      </c>
      <c r="M51" t="s">
        <v>8</v>
      </c>
      <c r="N51" t="s">
        <v>7</v>
      </c>
      <c r="P51">
        <f t="shared" ref="P51" si="230">IF(C51=D51,0,((E51-D51)-(C51-E51))/(C51-D51))</f>
        <v>0.84313725490196412</v>
      </c>
      <c r="Q51">
        <f t="shared" ref="Q51" si="231">F51*P51</f>
        <v>1101688.8100000042</v>
      </c>
      <c r="R51">
        <f t="shared" ref="R51" si="232">R52+Q51</f>
        <v>52884212.087467596</v>
      </c>
      <c r="S51">
        <f t="shared" ref="S51" si="233">R51/100000</f>
        <v>528.84212087467597</v>
      </c>
      <c r="T51">
        <f t="shared" ref="T51" si="234">S51/1000</f>
        <v>0.52884212087467597</v>
      </c>
    </row>
    <row r="52" spans="1:20" x14ac:dyDescent="0.25">
      <c r="A52" s="5">
        <v>44541</v>
      </c>
      <c r="B52">
        <v>10.74</v>
      </c>
      <c r="C52">
        <v>11.15</v>
      </c>
      <c r="D52">
        <v>10.71</v>
      </c>
      <c r="E52">
        <v>11.09</v>
      </c>
      <c r="F52">
        <v>156238.66</v>
      </c>
      <c r="G52">
        <v>11.09</v>
      </c>
      <c r="L52" t="s">
        <v>7</v>
      </c>
      <c r="M52" t="s">
        <v>8</v>
      </c>
      <c r="N52" t="s">
        <v>7</v>
      </c>
      <c r="P52">
        <f t="shared" ref="P52" si="235">IF(C52=D52,0,((E52-D52)-(C52-E52))/(C52-D52))</f>
        <v>0.72727272727272474</v>
      </c>
      <c r="Q52">
        <f t="shared" ref="Q52" si="236">F52*P52</f>
        <v>113628.11636363597</v>
      </c>
      <c r="R52">
        <f t="shared" ref="R52" si="237">R53+Q52</f>
        <v>51782523.277467594</v>
      </c>
      <c r="S52">
        <f t="shared" ref="S52" si="238">R52/100000</f>
        <v>517.8252327746759</v>
      </c>
      <c r="T52">
        <f t="shared" ref="T52" si="239">S52/1000</f>
        <v>0.51782523277467585</v>
      </c>
    </row>
    <row r="53" spans="1:20" x14ac:dyDescent="0.25">
      <c r="A53" s="5">
        <v>44540</v>
      </c>
      <c r="B53">
        <v>11.42</v>
      </c>
      <c r="C53">
        <v>11.68</v>
      </c>
      <c r="D53">
        <v>10.66</v>
      </c>
      <c r="E53">
        <v>10.75</v>
      </c>
      <c r="F53">
        <v>2374030.9900000002</v>
      </c>
      <c r="G53">
        <v>10.75</v>
      </c>
      <c r="L53" t="s">
        <v>7</v>
      </c>
      <c r="M53" t="s">
        <v>8</v>
      </c>
      <c r="N53" t="s">
        <v>7</v>
      </c>
      <c r="P53">
        <f t="shared" ref="P53" si="240">IF(C53=D53,0,((E53-D53)-(C53-E53))/(C53-D53))</f>
        <v>-0.82352941176470607</v>
      </c>
      <c r="Q53">
        <f t="shared" ref="Q53" si="241">F53*P53</f>
        <v>-1955084.3447058829</v>
      </c>
      <c r="R53">
        <f t="shared" ref="R53" si="242">R54+Q53</f>
        <v>51668895.161103956</v>
      </c>
      <c r="S53">
        <f t="shared" ref="S53" si="243">R53/100000</f>
        <v>516.68895161103956</v>
      </c>
      <c r="T53">
        <f t="shared" ref="T53" si="244">S53/1000</f>
        <v>0.51668895161103956</v>
      </c>
    </row>
    <row r="54" spans="1:20" x14ac:dyDescent="0.25">
      <c r="A54" s="5">
        <v>44539</v>
      </c>
      <c r="B54">
        <v>12.49</v>
      </c>
      <c r="C54">
        <v>12.6</v>
      </c>
      <c r="D54">
        <v>11.37</v>
      </c>
      <c r="E54">
        <v>11.42</v>
      </c>
      <c r="F54">
        <v>2351065.91</v>
      </c>
      <c r="G54">
        <v>11.42</v>
      </c>
      <c r="L54" t="s">
        <v>7</v>
      </c>
      <c r="M54" t="s">
        <v>8</v>
      </c>
      <c r="N54" t="s">
        <v>7</v>
      </c>
      <c r="P54">
        <f t="shared" ref="P54" si="245">IF(C54=D54,0,((E54-D54)-(C54-E54))/(C54-D54))</f>
        <v>-0.91869918699186881</v>
      </c>
      <c r="Q54">
        <f t="shared" ref="Q54" si="246">F54*P54</f>
        <v>-2159922.3400812983</v>
      </c>
      <c r="R54">
        <f t="shared" ref="R54" si="247">R55+Q54</f>
        <v>53623979.505809836</v>
      </c>
      <c r="S54">
        <f t="shared" ref="S54" si="248">R54/100000</f>
        <v>536.23979505809837</v>
      </c>
      <c r="T54">
        <f t="shared" ref="T54" si="249">S54/1000</f>
        <v>0.53623979505809838</v>
      </c>
    </row>
    <row r="55" spans="1:20" x14ac:dyDescent="0.25">
      <c r="A55" s="5">
        <v>44538</v>
      </c>
      <c r="B55">
        <v>12.1</v>
      </c>
      <c r="C55">
        <v>12.49</v>
      </c>
      <c r="D55">
        <v>11.62</v>
      </c>
      <c r="E55">
        <v>12.48</v>
      </c>
      <c r="F55">
        <v>2400093.6</v>
      </c>
      <c r="G55">
        <v>12.48</v>
      </c>
      <c r="L55" t="s">
        <v>7</v>
      </c>
      <c r="M55" t="s">
        <v>8</v>
      </c>
      <c r="N55" t="s">
        <v>7</v>
      </c>
      <c r="P55">
        <f t="shared" ref="P55" si="250">IF(C55=D55,0,((E55-D55)-(C55-E55))/(C55-D55))</f>
        <v>0.97701149425287404</v>
      </c>
      <c r="Q55">
        <f t="shared" ref="Q55" si="251">F55*P55</f>
        <v>2344919.0344827599</v>
      </c>
      <c r="R55">
        <f t="shared" ref="R55" si="252">R56+Q55</f>
        <v>55783901.845891133</v>
      </c>
      <c r="S55">
        <f t="shared" ref="S55" si="253">R55/100000</f>
        <v>557.83901845891137</v>
      </c>
      <c r="T55">
        <f t="shared" ref="T55" si="254">S55/1000</f>
        <v>0.55783901845891137</v>
      </c>
    </row>
    <row r="56" spans="1:20" x14ac:dyDescent="0.25">
      <c r="A56" s="5">
        <v>44537</v>
      </c>
      <c r="B56">
        <v>12.29</v>
      </c>
      <c r="C56">
        <v>12.62</v>
      </c>
      <c r="D56">
        <v>11.96</v>
      </c>
      <c r="E56">
        <v>12.09</v>
      </c>
      <c r="F56">
        <v>2784115.55</v>
      </c>
      <c r="G56">
        <v>12.09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-0.60606060606060808</v>
      </c>
      <c r="Q56">
        <f t="shared" ref="Q56" si="256">F56*P56</f>
        <v>-1687342.7575757632</v>
      </c>
      <c r="R56">
        <f t="shared" ref="R56" si="257">R57+Q56</f>
        <v>53438982.811408371</v>
      </c>
      <c r="S56">
        <f t="shared" ref="S56" si="258">R56/100000</f>
        <v>534.38982811408368</v>
      </c>
      <c r="T56">
        <f t="shared" ref="T56" si="259">S56/1000</f>
        <v>0.53438982811408364</v>
      </c>
    </row>
    <row r="57" spans="1:20" x14ac:dyDescent="0.25">
      <c r="A57" s="5">
        <v>44536</v>
      </c>
      <c r="B57">
        <v>11.14</v>
      </c>
      <c r="C57">
        <v>12.45</v>
      </c>
      <c r="D57">
        <v>10.87</v>
      </c>
      <c r="E57">
        <v>12.29</v>
      </c>
      <c r="F57">
        <v>6270382.9299999997</v>
      </c>
      <c r="G57">
        <v>12.29</v>
      </c>
      <c r="L57" t="s">
        <v>8</v>
      </c>
      <c r="M57" t="s">
        <v>8</v>
      </c>
      <c r="N57" t="s">
        <v>7</v>
      </c>
      <c r="P57">
        <f t="shared" ref="P57" si="260">IF(C57=D57,0,((E57-D57)-(C57-E57))/(C57-D57))</f>
        <v>0.79746835443037956</v>
      </c>
      <c r="Q57">
        <f t="shared" ref="Q57" si="261">F57*P57</f>
        <v>5000431.9568354413</v>
      </c>
      <c r="R57">
        <f t="shared" ref="R57" si="262">R58+Q57</f>
        <v>55126325.568984136</v>
      </c>
      <c r="S57">
        <f t="shared" ref="S57" si="263">R57/100000</f>
        <v>551.26325568984134</v>
      </c>
      <c r="T57">
        <f t="shared" ref="T57" si="264">S57/1000</f>
        <v>0.55126325568984136</v>
      </c>
    </row>
    <row r="58" spans="1:20" x14ac:dyDescent="0.25">
      <c r="A58" s="5">
        <v>44535</v>
      </c>
      <c r="B58">
        <v>11.59</v>
      </c>
      <c r="C58">
        <v>11.77</v>
      </c>
      <c r="D58">
        <v>10.57</v>
      </c>
      <c r="E58">
        <v>11.13</v>
      </c>
      <c r="F58">
        <v>3314420.99</v>
      </c>
      <c r="G58">
        <v>11.13</v>
      </c>
      <c r="L58" t="s">
        <v>8</v>
      </c>
      <c r="M58" t="s">
        <v>7</v>
      </c>
      <c r="N58" t="s">
        <v>7</v>
      </c>
      <c r="P58">
        <f t="shared" ref="P58" si="265">IF(C58=D58,0,((E58-D58)-(C58-E58))/(C58-D58))</f>
        <v>-6.6666666666665292E-2</v>
      </c>
      <c r="Q58">
        <f t="shared" ref="Q58" si="266">F58*P58</f>
        <v>-220961.39933332879</v>
      </c>
      <c r="R58">
        <f t="shared" ref="R58" si="267">R59+Q58</f>
        <v>50125893.612148695</v>
      </c>
      <c r="S58">
        <f t="shared" ref="S58" si="268">R58/100000</f>
        <v>501.25893612148695</v>
      </c>
      <c r="T58">
        <f t="shared" ref="T58" si="269">S58/1000</f>
        <v>0.50125893612148698</v>
      </c>
    </row>
    <row r="59" spans="1:20" x14ac:dyDescent="0.25">
      <c r="A59" s="5">
        <v>44534</v>
      </c>
      <c r="B59">
        <v>12.55</v>
      </c>
      <c r="C59">
        <v>12.77</v>
      </c>
      <c r="D59">
        <v>10</v>
      </c>
      <c r="E59">
        <v>11.59</v>
      </c>
      <c r="F59">
        <v>5998944.6129999999</v>
      </c>
      <c r="G59">
        <v>11.59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0.14801444043321307</v>
      </c>
      <c r="Q59">
        <f t="shared" ref="Q59" si="271">F59*P59</f>
        <v>887930.43008303293</v>
      </c>
      <c r="R59">
        <f t="shared" ref="R59" si="272">R60+Q59</f>
        <v>50346855.011482023</v>
      </c>
      <c r="S59">
        <f t="shared" ref="S59" si="273">R59/100000</f>
        <v>503.46855011482023</v>
      </c>
      <c r="T59">
        <f t="shared" ref="T59" si="274">S59/1000</f>
        <v>0.50346855011482028</v>
      </c>
    </row>
    <row r="60" spans="1:20" x14ac:dyDescent="0.25">
      <c r="A60" s="5">
        <v>44533</v>
      </c>
      <c r="B60">
        <v>13.13</v>
      </c>
      <c r="C60">
        <v>13.31</v>
      </c>
      <c r="D60">
        <v>12.18</v>
      </c>
      <c r="E60">
        <v>12.55</v>
      </c>
      <c r="F60">
        <v>2575593.52</v>
      </c>
      <c r="G60">
        <v>12.55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-0.34513274336283056</v>
      </c>
      <c r="Q60">
        <f t="shared" ref="Q60" si="276">F60*P60</f>
        <v>-888921.65734512941</v>
      </c>
      <c r="R60">
        <f t="shared" ref="R60" si="277">R61+Q60</f>
        <v>49458924.581398986</v>
      </c>
      <c r="S60">
        <f t="shared" ref="S60" si="278">R60/100000</f>
        <v>494.58924581398986</v>
      </c>
      <c r="T60">
        <f t="shared" ref="T60" si="279">S60/1000</f>
        <v>0.49458924581398989</v>
      </c>
    </row>
    <row r="61" spans="1:20" x14ac:dyDescent="0.25">
      <c r="A61" s="5">
        <v>44532</v>
      </c>
      <c r="B61">
        <v>13.47</v>
      </c>
      <c r="C61">
        <v>13.53</v>
      </c>
      <c r="D61">
        <v>13</v>
      </c>
      <c r="E61">
        <v>13.14</v>
      </c>
      <c r="F61">
        <v>2347515.5499999998</v>
      </c>
      <c r="G61">
        <v>13.14</v>
      </c>
      <c r="L61" t="s">
        <v>7</v>
      </c>
      <c r="M61" t="s">
        <v>8</v>
      </c>
      <c r="N61" t="s">
        <v>7</v>
      </c>
      <c r="P61">
        <f t="shared" ref="P61" si="280">IF(C61=D61,0,((E61-D61)-(C61-E61))/(C61-D61))</f>
        <v>-0.4716981132075444</v>
      </c>
      <c r="Q61">
        <f t="shared" ref="Q61" si="281">F61*P61</f>
        <v>-1107318.6556603708</v>
      </c>
      <c r="R61">
        <f t="shared" ref="R61" si="282">R62+Q61</f>
        <v>50347846.238744117</v>
      </c>
      <c r="S61">
        <f t="shared" ref="S61" si="283">R61/100000</f>
        <v>503.4784623874412</v>
      </c>
      <c r="T61">
        <f t="shared" ref="T61" si="284">S61/1000</f>
        <v>0.50347846238744121</v>
      </c>
    </row>
    <row r="62" spans="1:20" x14ac:dyDescent="0.25">
      <c r="A62" s="5">
        <v>44531</v>
      </c>
      <c r="B62">
        <v>14.03</v>
      </c>
      <c r="C62">
        <v>14.67</v>
      </c>
      <c r="D62">
        <v>13.3</v>
      </c>
      <c r="E62">
        <v>13.46</v>
      </c>
      <c r="F62">
        <v>4191008.91</v>
      </c>
      <c r="G62">
        <v>13.46</v>
      </c>
      <c r="L62" t="s">
        <v>7</v>
      </c>
      <c r="M62" t="s">
        <v>8</v>
      </c>
      <c r="N62" t="s">
        <v>7</v>
      </c>
      <c r="P62">
        <f t="shared" ref="P62" si="285">IF(C62=D62,0,((E62-D62)-(C62-E62))/(C62-D62))</f>
        <v>-0.7664233576642332</v>
      </c>
      <c r="Q62">
        <f t="shared" ref="Q62" si="286">F62*P62</f>
        <v>-3212087.1208029184</v>
      </c>
      <c r="R62">
        <f t="shared" ref="R62" si="287">R63+Q62</f>
        <v>51455164.894404486</v>
      </c>
      <c r="S62">
        <f t="shared" ref="S62" si="288">R62/100000</f>
        <v>514.55164894404481</v>
      </c>
      <c r="T62">
        <f t="shared" ref="T62" si="289">S62/1000</f>
        <v>0.51455164894404481</v>
      </c>
    </row>
    <row r="63" spans="1:20" x14ac:dyDescent="0.25">
      <c r="A63" s="5">
        <v>44530</v>
      </c>
      <c r="B63">
        <v>14.56</v>
      </c>
      <c r="C63">
        <v>14.74</v>
      </c>
      <c r="D63">
        <v>13.68</v>
      </c>
      <c r="E63">
        <v>14.01</v>
      </c>
      <c r="F63">
        <v>2824573.3</v>
      </c>
      <c r="G63">
        <v>14.01</v>
      </c>
      <c r="L63" t="s">
        <v>8</v>
      </c>
      <c r="M63" t="s">
        <v>8</v>
      </c>
      <c r="N63" t="s">
        <v>7</v>
      </c>
      <c r="P63">
        <f t="shared" ref="P63" si="290">IF(C63=D63,0,((E63-D63)-(C63-E63))/(C63-D63))</f>
        <v>-0.37735849056603787</v>
      </c>
      <c r="Q63">
        <f t="shared" ref="Q63" si="291">F63*P63</f>
        <v>-1065876.7169811323</v>
      </c>
      <c r="R63">
        <f t="shared" ref="R63" si="292">R64+Q63</f>
        <v>54667252.015207402</v>
      </c>
      <c r="S63">
        <f t="shared" ref="S63" si="293">R63/100000</f>
        <v>546.67252015207407</v>
      </c>
      <c r="T63">
        <f t="shared" ref="T63" si="294">S63/1000</f>
        <v>0.54667252015207413</v>
      </c>
    </row>
    <row r="64" spans="1:20" x14ac:dyDescent="0.25">
      <c r="A64" s="5">
        <v>44529</v>
      </c>
      <c r="B64">
        <v>13.53</v>
      </c>
      <c r="C64">
        <v>14.77</v>
      </c>
      <c r="D64">
        <v>13.3</v>
      </c>
      <c r="E64">
        <v>14.56</v>
      </c>
      <c r="F64">
        <v>3273571.75</v>
      </c>
      <c r="G64">
        <v>14.56</v>
      </c>
      <c r="L64" t="s">
        <v>8</v>
      </c>
      <c r="M64" t="s">
        <v>8</v>
      </c>
      <c r="N64" t="s">
        <v>7</v>
      </c>
      <c r="P64">
        <f t="shared" ref="P64" si="295">IF(C64=D64,0,((E64-D64)-(C64-E64))/(C64-D64))</f>
        <v>0.7142857142857153</v>
      </c>
      <c r="Q64">
        <f t="shared" ref="Q64" si="296">F64*P64</f>
        <v>2338265.5357142892</v>
      </c>
      <c r="R64">
        <f t="shared" ref="R64" si="297">R65+Q64</f>
        <v>55733128.732188538</v>
      </c>
      <c r="S64">
        <f t="shared" ref="S64" si="298">R64/100000</f>
        <v>557.33128732188538</v>
      </c>
      <c r="T64">
        <f t="shared" ref="T64" si="299">S64/1000</f>
        <v>0.55733128732188542</v>
      </c>
    </row>
    <row r="65" spans="1:20" x14ac:dyDescent="0.25">
      <c r="A65" s="5">
        <v>44528</v>
      </c>
      <c r="B65">
        <v>13.12</v>
      </c>
      <c r="C65">
        <v>13.53</v>
      </c>
      <c r="D65">
        <v>12.48</v>
      </c>
      <c r="E65">
        <v>13.52</v>
      </c>
      <c r="F65">
        <v>2589018.67</v>
      </c>
      <c r="G65">
        <v>13.52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0.98095238095238135</v>
      </c>
      <c r="Q65">
        <f t="shared" ref="Q65" si="301">F65*P65</f>
        <v>2539704.0286666676</v>
      </c>
      <c r="R65">
        <f t="shared" ref="R65" si="302">R66+Q65</f>
        <v>53394863.196474247</v>
      </c>
      <c r="S65">
        <f t="shared" ref="S65" si="303">R65/100000</f>
        <v>533.9486319647425</v>
      </c>
      <c r="T65">
        <f t="shared" ref="T65" si="304">S65/1000</f>
        <v>0.53394863196474251</v>
      </c>
    </row>
    <row r="66" spans="1:20" x14ac:dyDescent="0.25">
      <c r="A66" s="5">
        <v>44527</v>
      </c>
      <c r="B66">
        <v>12.85</v>
      </c>
      <c r="C66">
        <v>13.63</v>
      </c>
      <c r="D66">
        <v>12.79</v>
      </c>
      <c r="E66">
        <v>13.12</v>
      </c>
      <c r="F66">
        <v>2620849.0099999998</v>
      </c>
      <c r="G66">
        <v>13.12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-0.21428571428571563</v>
      </c>
      <c r="Q66">
        <f t="shared" ref="Q66" si="306">F66*P66</f>
        <v>-561610.50214286067</v>
      </c>
      <c r="R66">
        <f t="shared" ref="R66" si="307">R67+Q66</f>
        <v>50855159.167807579</v>
      </c>
      <c r="S66">
        <f t="shared" ref="S66" si="308">R66/100000</f>
        <v>508.55159167807579</v>
      </c>
      <c r="T66">
        <f t="shared" ref="T66" si="309">S66/1000</f>
        <v>0.50855159167807584</v>
      </c>
    </row>
    <row r="67" spans="1:20" x14ac:dyDescent="0.25">
      <c r="A67" s="5">
        <v>44526</v>
      </c>
      <c r="B67">
        <v>14.42</v>
      </c>
      <c r="C67">
        <v>14.69</v>
      </c>
      <c r="D67">
        <v>12</v>
      </c>
      <c r="E67">
        <v>12.85</v>
      </c>
      <c r="F67">
        <v>6777353.534</v>
      </c>
      <c r="G67">
        <v>12.85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-0.3680297397769518</v>
      </c>
      <c r="Q67">
        <f t="shared" ref="Q67" si="311">F67*P67</f>
        <v>-2494267.6574944248</v>
      </c>
      <c r="R67">
        <f t="shared" ref="R67" si="312">R68+Q67</f>
        <v>51416769.669950441</v>
      </c>
      <c r="S67">
        <f t="shared" ref="S67" si="313">R67/100000</f>
        <v>514.1676966995044</v>
      </c>
      <c r="T67">
        <f t="shared" ref="T67" si="314">S67/1000</f>
        <v>0.51416769669950435</v>
      </c>
    </row>
    <row r="68" spans="1:20" x14ac:dyDescent="0.25">
      <c r="A68" s="5">
        <v>44525</v>
      </c>
      <c r="B68">
        <v>13.96</v>
      </c>
      <c r="C68">
        <v>14.64</v>
      </c>
      <c r="D68">
        <v>13.8</v>
      </c>
      <c r="E68">
        <v>14.42</v>
      </c>
      <c r="F68">
        <v>3172863.78</v>
      </c>
      <c r="G68">
        <v>14.42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0.47619047619047455</v>
      </c>
      <c r="Q68">
        <f t="shared" ref="Q68" si="316">F68*P68</f>
        <v>1510887.514285709</v>
      </c>
      <c r="R68">
        <f t="shared" ref="R68" si="317">R69+Q68</f>
        <v>53911037.327444866</v>
      </c>
      <c r="S68">
        <f t="shared" ref="S68" si="318">R68/100000</f>
        <v>539.11037327444865</v>
      </c>
      <c r="T68">
        <f t="shared" ref="T68" si="319">S68/1000</f>
        <v>0.53911037327444866</v>
      </c>
    </row>
    <row r="69" spans="1:20" x14ac:dyDescent="0.25">
      <c r="A69" s="5">
        <v>44524</v>
      </c>
      <c r="B69">
        <v>14.81</v>
      </c>
      <c r="C69">
        <v>14.88</v>
      </c>
      <c r="D69">
        <v>14.51</v>
      </c>
      <c r="E69">
        <v>14.66</v>
      </c>
      <c r="F69">
        <v>793343.47</v>
      </c>
      <c r="G69">
        <v>14.66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-0.18918918918918945</v>
      </c>
      <c r="Q69">
        <f t="shared" ref="Q69" si="321">F69*P69</f>
        <v>-150092.00783783803</v>
      </c>
      <c r="R69">
        <f t="shared" ref="R69" si="322">R70+Q69</f>
        <v>52400149.81315916</v>
      </c>
      <c r="S69">
        <f t="shared" ref="S69" si="323">R69/100000</f>
        <v>524.00149813159157</v>
      </c>
      <c r="T69">
        <f t="shared" ref="T69" si="324">S69/1000</f>
        <v>0.52400149813159158</v>
      </c>
    </row>
    <row r="70" spans="1:20" x14ac:dyDescent="0.25">
      <c r="A70" s="5">
        <v>44523</v>
      </c>
      <c r="B70">
        <v>14.93</v>
      </c>
      <c r="C70">
        <v>15.37</v>
      </c>
      <c r="D70">
        <v>14.63</v>
      </c>
      <c r="E70">
        <v>14.79</v>
      </c>
      <c r="F70">
        <v>2505076.36</v>
      </c>
      <c r="G70">
        <v>14.79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-0.5675675675675711</v>
      </c>
      <c r="Q70">
        <f t="shared" ref="Q70" si="326">F70*P70</f>
        <v>-1421800.0962162251</v>
      </c>
      <c r="R70">
        <f t="shared" ref="R70" si="327">R71+Q70</f>
        <v>52550241.820997</v>
      </c>
      <c r="S70">
        <f t="shared" ref="S70" si="328">R70/100000</f>
        <v>525.50241820996996</v>
      </c>
      <c r="T70">
        <f t="shared" ref="T70" si="329">S70/1000</f>
        <v>0.52550241820997001</v>
      </c>
    </row>
    <row r="71" spans="1:20" x14ac:dyDescent="0.25">
      <c r="A71" s="5">
        <v>44522</v>
      </c>
      <c r="B71">
        <v>15.24</v>
      </c>
      <c r="C71">
        <v>15.79</v>
      </c>
      <c r="D71">
        <v>14.61</v>
      </c>
      <c r="E71">
        <v>14.93</v>
      </c>
      <c r="F71">
        <v>2685728.8</v>
      </c>
      <c r="G71">
        <v>14.93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-0.45762711864406719</v>
      </c>
      <c r="Q71">
        <f t="shared" ref="Q71" si="331">F71*P71</f>
        <v>-1229062.3322033882</v>
      </c>
      <c r="R71">
        <f t="shared" ref="R71" si="332">R72+Q71</f>
        <v>53972041.917213224</v>
      </c>
      <c r="S71">
        <f t="shared" ref="S71" si="333">R71/100000</f>
        <v>539.72041917213221</v>
      </c>
      <c r="T71">
        <f t="shared" ref="T71" si="334">S71/1000</f>
        <v>0.5397204191721322</v>
      </c>
    </row>
    <row r="72" spans="1:20" x14ac:dyDescent="0.25">
      <c r="A72" s="5">
        <v>44521</v>
      </c>
      <c r="B72">
        <v>15.87</v>
      </c>
      <c r="C72">
        <v>16.07</v>
      </c>
      <c r="D72">
        <v>15</v>
      </c>
      <c r="E72">
        <v>15.24</v>
      </c>
      <c r="F72">
        <v>2794706.34</v>
      </c>
      <c r="G72">
        <v>15.24</v>
      </c>
      <c r="L72" t="s">
        <v>7</v>
      </c>
      <c r="M72" t="s">
        <v>7</v>
      </c>
      <c r="N72" t="s">
        <v>7</v>
      </c>
      <c r="P72">
        <f t="shared" ref="P72" si="335">IF(C72=D72,0,((E72-D72)-(C72-E72))/(C72-D72))</f>
        <v>-0.55140186915887823</v>
      </c>
      <c r="Q72">
        <f t="shared" ref="Q72" si="336">F72*P72</f>
        <v>-1541006.2996261674</v>
      </c>
      <c r="R72">
        <f t="shared" ref="R72" si="337">R73+Q72</f>
        <v>55201104.249416612</v>
      </c>
      <c r="S72">
        <f t="shared" ref="S72" si="338">R72/100000</f>
        <v>552.01104249416608</v>
      </c>
      <c r="T72">
        <f t="shared" ref="T72" si="339">S72/1000</f>
        <v>0.5520110424941661</v>
      </c>
    </row>
    <row r="73" spans="1:20" x14ac:dyDescent="0.25">
      <c r="A73" s="5">
        <v>44520</v>
      </c>
      <c r="B73">
        <v>15.96</v>
      </c>
      <c r="C73">
        <v>16.22</v>
      </c>
      <c r="D73">
        <v>15.22</v>
      </c>
      <c r="E73">
        <v>15.86</v>
      </c>
      <c r="F73">
        <v>1723121.42</v>
      </c>
      <c r="G73">
        <v>15.86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0.27999999999999986</v>
      </c>
      <c r="Q73">
        <f t="shared" ref="Q73" si="341">F73*P73</f>
        <v>482473.99759999971</v>
      </c>
      <c r="R73">
        <f t="shared" ref="R73" si="342">R74+Q73</f>
        <v>56742110.549042776</v>
      </c>
      <c r="S73">
        <f t="shared" ref="S73" si="343">R73/100000</f>
        <v>567.42110549042775</v>
      </c>
      <c r="T73">
        <f t="shared" ref="T73" si="344">S73/1000</f>
        <v>0.56742110549042779</v>
      </c>
    </row>
    <row r="74" spans="1:20" x14ac:dyDescent="0.25">
      <c r="A74" s="5">
        <v>44519</v>
      </c>
      <c r="B74">
        <v>14.82</v>
      </c>
      <c r="C74">
        <v>16.22</v>
      </c>
      <c r="D74">
        <v>14.58</v>
      </c>
      <c r="E74">
        <v>15.96</v>
      </c>
      <c r="F74">
        <v>2217357.25</v>
      </c>
      <c r="G74">
        <v>15.96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0.68292682926829484</v>
      </c>
      <c r="Q74">
        <f t="shared" ref="Q74" si="346">F74*P74</f>
        <v>1514292.7560975659</v>
      </c>
      <c r="R74">
        <f t="shared" ref="R74" si="347">R75+Q74</f>
        <v>56259636.55144278</v>
      </c>
      <c r="S74">
        <f t="shared" ref="S74" si="348">R74/100000</f>
        <v>562.59636551442782</v>
      </c>
      <c r="T74">
        <f t="shared" ref="T74" si="349">S74/1000</f>
        <v>0.56259636551442782</v>
      </c>
    </row>
    <row r="75" spans="1:20" x14ac:dyDescent="0.25">
      <c r="A75" s="5">
        <v>44518</v>
      </c>
      <c r="B75">
        <v>16.48</v>
      </c>
      <c r="C75">
        <v>16.82</v>
      </c>
      <c r="D75">
        <v>14.05</v>
      </c>
      <c r="E75">
        <v>14.81</v>
      </c>
      <c r="F75">
        <v>5657451.4450000003</v>
      </c>
      <c r="G75">
        <v>14.81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-0.45126353790613727</v>
      </c>
      <c r="Q75">
        <f t="shared" ref="Q75" si="351">F75*P75</f>
        <v>-2553001.5546028889</v>
      </c>
      <c r="R75">
        <f t="shared" ref="R75" si="352">R76+Q75</f>
        <v>54745343.795345217</v>
      </c>
      <c r="S75">
        <f t="shared" ref="S75" si="353">R75/100000</f>
        <v>547.45343795345218</v>
      </c>
      <c r="T75">
        <f t="shared" ref="T75" si="354">S75/1000</f>
        <v>0.54745343795345214</v>
      </c>
    </row>
    <row r="76" spans="1:20" x14ac:dyDescent="0.25">
      <c r="A76" s="5">
        <v>44517</v>
      </c>
      <c r="B76">
        <v>16.829999999999998</v>
      </c>
      <c r="C76">
        <v>16.95</v>
      </c>
      <c r="D76">
        <v>15.88</v>
      </c>
      <c r="E76">
        <v>16.489999999999998</v>
      </c>
      <c r="F76">
        <v>3856846.3590000002</v>
      </c>
      <c r="G76">
        <v>16.489999999999998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0.14018691588784768</v>
      </c>
      <c r="Q76">
        <f t="shared" ref="Q76" si="356">F76*P76</f>
        <v>540679.39612148458</v>
      </c>
      <c r="R76">
        <f t="shared" ref="R76" si="357">R77+Q76</f>
        <v>57298345.349948108</v>
      </c>
      <c r="S76">
        <f t="shared" ref="S76" si="358">R76/100000</f>
        <v>572.98345349948113</v>
      </c>
      <c r="T76">
        <f t="shared" ref="T76" si="359">S76/1000</f>
        <v>0.5729834534994811</v>
      </c>
    </row>
    <row r="77" spans="1:20" x14ac:dyDescent="0.25">
      <c r="A77" s="5">
        <v>44516</v>
      </c>
      <c r="B77">
        <v>18.510000000000002</v>
      </c>
      <c r="C77">
        <v>18.52</v>
      </c>
      <c r="D77">
        <v>16.55</v>
      </c>
      <c r="E77">
        <v>16.829999999999998</v>
      </c>
      <c r="F77">
        <v>6039607.4579999996</v>
      </c>
      <c r="G77">
        <v>16.829999999999998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-0.71573604060913931</v>
      </c>
      <c r="Q77">
        <f t="shared" ref="Q77" si="361">F77*P77</f>
        <v>-4322764.7288223486</v>
      </c>
      <c r="R77">
        <f t="shared" ref="R77" si="362">R78+Q77</f>
        <v>56757665.953826621</v>
      </c>
      <c r="S77">
        <f t="shared" ref="S77" si="363">R77/100000</f>
        <v>567.5766595382662</v>
      </c>
      <c r="T77">
        <f t="shared" ref="T77" si="364">S77/1000</f>
        <v>0.56757665953826619</v>
      </c>
    </row>
    <row r="78" spans="1:20" x14ac:dyDescent="0.25">
      <c r="A78" s="5">
        <v>44515</v>
      </c>
      <c r="B78">
        <v>18.399999999999999</v>
      </c>
      <c r="C78">
        <v>19.13</v>
      </c>
      <c r="D78">
        <v>18.329999999999998</v>
      </c>
      <c r="E78">
        <v>18.510000000000002</v>
      </c>
      <c r="F78">
        <v>2032560.32</v>
      </c>
      <c r="G78">
        <v>18.510000000000002</v>
      </c>
      <c r="L78" t="s">
        <v>8</v>
      </c>
      <c r="M78" t="s">
        <v>7</v>
      </c>
      <c r="N78" t="s">
        <v>7</v>
      </c>
      <c r="P78">
        <f t="shared" ref="P78" si="365">IF(C78=D78,0,((E78-D78)-(C78-E78))/(C78-D78))</f>
        <v>-0.54999999999999227</v>
      </c>
      <c r="Q78">
        <f t="shared" ref="Q78" si="366">F78*P78</f>
        <v>-1117908.1759999844</v>
      </c>
      <c r="R78">
        <f t="shared" ref="R78" si="367">R79+Q78</f>
        <v>61080430.682648972</v>
      </c>
      <c r="S78">
        <f t="shared" ref="S78" si="368">R78/100000</f>
        <v>610.80430682648966</v>
      </c>
      <c r="T78">
        <f t="shared" ref="T78" si="369">S78/1000</f>
        <v>0.61080430682648967</v>
      </c>
    </row>
    <row r="79" spans="1:20" x14ac:dyDescent="0.25">
      <c r="A79" s="5">
        <v>44514</v>
      </c>
      <c r="B79">
        <v>18.440000000000001</v>
      </c>
      <c r="C79">
        <v>18.559999999999999</v>
      </c>
      <c r="D79">
        <v>17.98</v>
      </c>
      <c r="E79">
        <v>18.39</v>
      </c>
      <c r="F79">
        <v>1770872</v>
      </c>
      <c r="G79">
        <v>18.39</v>
      </c>
      <c r="L79" t="s">
        <v>7</v>
      </c>
      <c r="M79" t="s">
        <v>7</v>
      </c>
      <c r="N79" t="s">
        <v>7</v>
      </c>
      <c r="P79">
        <f t="shared" ref="P79" si="370">IF(C79=D79,0,((E79-D79)-(C79-E79))/(C79-D79))</f>
        <v>0.41379310344828052</v>
      </c>
      <c r="Q79">
        <f t="shared" ref="Q79" si="371">F79*P79</f>
        <v>732774.62068966345</v>
      </c>
      <c r="R79">
        <f t="shared" ref="R79" si="372">R80+Q79</f>
        <v>62198338.858648956</v>
      </c>
      <c r="S79">
        <f t="shared" ref="S79" si="373">R79/100000</f>
        <v>621.98338858648958</v>
      </c>
      <c r="T79">
        <f t="shared" ref="T79" si="374">S79/1000</f>
        <v>0.62198338858648961</v>
      </c>
    </row>
    <row r="80" spans="1:20" x14ac:dyDescent="0.25">
      <c r="A80" s="5">
        <v>44513</v>
      </c>
      <c r="B80">
        <v>18.27</v>
      </c>
      <c r="C80">
        <v>18.7</v>
      </c>
      <c r="D80">
        <v>18.03</v>
      </c>
      <c r="E80">
        <v>18.440000000000001</v>
      </c>
      <c r="F80">
        <v>1552927.89</v>
      </c>
      <c r="G80">
        <v>18.440000000000001</v>
      </c>
      <c r="L80" t="s">
        <v>7</v>
      </c>
      <c r="M80" t="s">
        <v>7</v>
      </c>
      <c r="N80" t="s">
        <v>7</v>
      </c>
      <c r="P80">
        <f t="shared" ref="P80" si="375">IF(C80=D80,0,((E80-D80)-(C80-E80))/(C80-D80))</f>
        <v>0.22388059701492918</v>
      </c>
      <c r="Q80">
        <f t="shared" ref="Q80" si="376">F80*P80</f>
        <v>347670.42313433427</v>
      </c>
      <c r="R80">
        <f t="shared" ref="R80" si="377">R81+Q80</f>
        <v>61465564.237959296</v>
      </c>
      <c r="S80">
        <f t="shared" ref="S80" si="378">R80/100000</f>
        <v>614.6556423795929</v>
      </c>
      <c r="T80">
        <f t="shared" ref="T80" si="379">S80/1000</f>
        <v>0.61465564237959291</v>
      </c>
    </row>
    <row r="81" spans="1:20" x14ac:dyDescent="0.25">
      <c r="A81" s="5">
        <v>44512</v>
      </c>
      <c r="B81">
        <v>18.82</v>
      </c>
      <c r="C81">
        <v>19</v>
      </c>
      <c r="D81">
        <v>17.89</v>
      </c>
      <c r="E81">
        <v>18.260000000000002</v>
      </c>
      <c r="F81">
        <v>2008109.03</v>
      </c>
      <c r="G81">
        <v>18.260000000000002</v>
      </c>
      <c r="L81" t="s">
        <v>7</v>
      </c>
      <c r="M81" t="s">
        <v>7</v>
      </c>
      <c r="N81" t="s">
        <v>7</v>
      </c>
      <c r="P81">
        <f t="shared" ref="P81" si="380">IF(C81=D81,0,((E81-D81)-(C81-E81))/(C81-D81))</f>
        <v>-0.33333333333333121</v>
      </c>
      <c r="Q81">
        <f t="shared" ref="Q81" si="381">F81*P81</f>
        <v>-669369.67666666245</v>
      </c>
      <c r="R81">
        <f t="shared" ref="R81" si="382">R82+Q81</f>
        <v>61117893.814824961</v>
      </c>
      <c r="S81">
        <f t="shared" ref="S81" si="383">R81/100000</f>
        <v>611.17893814824959</v>
      </c>
      <c r="T81">
        <f t="shared" ref="T81" si="384">S81/1000</f>
        <v>0.61117893814824964</v>
      </c>
    </row>
    <row r="82" spans="1:20" x14ac:dyDescent="0.25">
      <c r="A82" s="5">
        <v>44511</v>
      </c>
      <c r="B82">
        <v>18.350000000000001</v>
      </c>
      <c r="C82">
        <v>19.190000000000001</v>
      </c>
      <c r="D82">
        <v>18</v>
      </c>
      <c r="E82">
        <v>18.82</v>
      </c>
      <c r="F82">
        <v>2601271.1</v>
      </c>
      <c r="G82">
        <v>18.82</v>
      </c>
      <c r="L82" t="s">
        <v>8</v>
      </c>
      <c r="M82" t="s">
        <v>7</v>
      </c>
      <c r="N82" t="s">
        <v>7</v>
      </c>
      <c r="P82">
        <f t="shared" ref="P82" si="385">IF(C82=D82,0,((E82-D82)-(C82-E82))/(C82-D82))</f>
        <v>0.37815126050420067</v>
      </c>
      <c r="Q82">
        <f t="shared" ref="Q82" si="386">F82*P82</f>
        <v>983673.9453781487</v>
      </c>
      <c r="R82">
        <f t="shared" ref="R82" si="387">R83+Q82</f>
        <v>61787263.491491623</v>
      </c>
      <c r="S82">
        <f t="shared" ref="S82" si="388">R82/100000</f>
        <v>617.87263491491626</v>
      </c>
      <c r="T82">
        <f t="shared" ref="T82" si="389">S82/1000</f>
        <v>0.61787263491491629</v>
      </c>
    </row>
    <row r="83" spans="1:20" x14ac:dyDescent="0.25">
      <c r="A83" s="5">
        <v>44510</v>
      </c>
      <c r="B83">
        <v>19.760000000000002</v>
      </c>
      <c r="C83">
        <v>19.86</v>
      </c>
      <c r="D83">
        <v>17.5</v>
      </c>
      <c r="E83">
        <v>18.34</v>
      </c>
      <c r="F83">
        <v>4651313.9400000004</v>
      </c>
      <c r="G83">
        <v>18.34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-0.28813559322033894</v>
      </c>
      <c r="Q83">
        <f t="shared" ref="Q83" si="391">F83*P83</f>
        <v>-1340209.1013559322</v>
      </c>
      <c r="R83">
        <f t="shared" ref="R83" si="392">R84+Q83</f>
        <v>60803589.546113476</v>
      </c>
      <c r="S83">
        <f t="shared" ref="S83" si="393">R83/100000</f>
        <v>608.03589546113471</v>
      </c>
      <c r="T83">
        <f t="shared" ref="T83" si="394">S83/1000</f>
        <v>0.60803589546113468</v>
      </c>
    </row>
    <row r="84" spans="1:20" x14ac:dyDescent="0.25">
      <c r="A84" s="5">
        <v>44509</v>
      </c>
      <c r="B84">
        <v>20.11</v>
      </c>
      <c r="C84">
        <v>20.22</v>
      </c>
      <c r="D84">
        <v>19.7</v>
      </c>
      <c r="E84">
        <v>19.739999999999998</v>
      </c>
      <c r="F84">
        <v>2641339.5</v>
      </c>
      <c r="G84">
        <v>19.739999999999998</v>
      </c>
      <c r="L84" t="s">
        <v>8</v>
      </c>
      <c r="M84" t="s">
        <v>7</v>
      </c>
      <c r="N84" t="s">
        <v>7</v>
      </c>
      <c r="P84">
        <f t="shared" ref="P84" si="395">IF(C84=D84,0,((E84-D84)-(C84-E84))/(C84-D84))</f>
        <v>-0.84615384615384925</v>
      </c>
      <c r="Q84">
        <f t="shared" ref="Q84" si="396">F84*P84</f>
        <v>-2234979.5769230849</v>
      </c>
      <c r="R84">
        <f t="shared" ref="R84" si="397">R85+Q84</f>
        <v>62143798.647469409</v>
      </c>
      <c r="S84">
        <f t="shared" ref="S84" si="398">R84/100000</f>
        <v>621.43798647469407</v>
      </c>
      <c r="T84">
        <f t="shared" ref="T84" si="399">S84/1000</f>
        <v>0.62143798647469406</v>
      </c>
    </row>
    <row r="85" spans="1:20" x14ac:dyDescent="0.25">
      <c r="A85" s="5">
        <v>44508</v>
      </c>
      <c r="B85">
        <v>20.22</v>
      </c>
      <c r="C85">
        <v>20.309999999999999</v>
      </c>
      <c r="D85">
        <v>19.559999999999999</v>
      </c>
      <c r="E85">
        <v>20.11</v>
      </c>
      <c r="F85">
        <v>3346560.74</v>
      </c>
      <c r="G85">
        <v>20.11</v>
      </c>
      <c r="L85" t="s">
        <v>8</v>
      </c>
      <c r="M85" t="s">
        <v>7</v>
      </c>
      <c r="N85" t="s">
        <v>7</v>
      </c>
      <c r="P85">
        <f t="shared" ref="P85" si="400">IF(C85=D85,0,((E85-D85)-(C85-E85))/(C85-D85))</f>
        <v>0.46666666666666856</v>
      </c>
      <c r="Q85">
        <f t="shared" ref="Q85" si="401">F85*P85</f>
        <v>1561728.3453333399</v>
      </c>
      <c r="R85">
        <f t="shared" ref="R85" si="402">R86+Q85</f>
        <v>64378778.224392496</v>
      </c>
      <c r="S85">
        <f t="shared" ref="S85" si="403">R85/100000</f>
        <v>643.78778224392499</v>
      </c>
      <c r="T85">
        <f t="shared" ref="T85" si="404">S85/1000</f>
        <v>0.64378778224392497</v>
      </c>
    </row>
    <row r="86" spans="1:20" x14ac:dyDescent="0.25">
      <c r="A86" s="5">
        <v>44507</v>
      </c>
      <c r="B86">
        <v>19.23</v>
      </c>
      <c r="C86">
        <v>20.52</v>
      </c>
      <c r="D86">
        <v>19.05</v>
      </c>
      <c r="E86">
        <v>20.22</v>
      </c>
      <c r="F86">
        <v>4859471.9400000004</v>
      </c>
      <c r="G86">
        <v>20.22</v>
      </c>
      <c r="L86" t="s">
        <v>8</v>
      </c>
      <c r="M86" t="s">
        <v>7</v>
      </c>
      <c r="N86" t="s">
        <v>7</v>
      </c>
      <c r="P86">
        <f t="shared" ref="P86" si="405">IF(C86=D86,0,((E86-D86)-(C86-E86))/(C86-D86))</f>
        <v>0.59183673469387632</v>
      </c>
      <c r="Q86">
        <f t="shared" ref="Q86" si="406">F86*P86</f>
        <v>2876014.0053061168</v>
      </c>
      <c r="R86">
        <f t="shared" ref="R86" si="407">R87+Q86</f>
        <v>62817049.879059158</v>
      </c>
      <c r="S86">
        <f t="shared" ref="S86" si="408">R86/100000</f>
        <v>628.17049879059164</v>
      </c>
      <c r="T86">
        <f t="shared" ref="T86" si="409">S86/1000</f>
        <v>0.62817049879059161</v>
      </c>
    </row>
    <row r="87" spans="1:20" x14ac:dyDescent="0.25">
      <c r="A87" s="5">
        <v>44506</v>
      </c>
      <c r="B87">
        <v>19.45</v>
      </c>
      <c r="C87">
        <v>19.63</v>
      </c>
      <c r="D87">
        <v>18.690000000000001</v>
      </c>
      <c r="E87">
        <v>19.23</v>
      </c>
      <c r="F87">
        <v>2446624.46</v>
      </c>
      <c r="G87">
        <v>19.23</v>
      </c>
      <c r="L87" t="s">
        <v>7</v>
      </c>
      <c r="M87" t="s">
        <v>7</v>
      </c>
      <c r="N87" t="s">
        <v>7</v>
      </c>
      <c r="P87">
        <f t="shared" ref="P87" si="410">IF(C87=D87,0,((E87-D87)-(C87-E87))/(C87-D87))</f>
        <v>0.14893617021276692</v>
      </c>
      <c r="Q87">
        <f t="shared" ref="Q87" si="411">F87*P87</f>
        <v>364390.87702127895</v>
      </c>
      <c r="R87">
        <f t="shared" ref="R87" si="412">R88+Q87</f>
        <v>59941035.873753041</v>
      </c>
      <c r="S87">
        <f t="shared" ref="S87" si="413">R87/100000</f>
        <v>599.41035873753037</v>
      </c>
      <c r="T87">
        <f t="shared" ref="T87" si="414">S87/1000</f>
        <v>0.59941035873753035</v>
      </c>
    </row>
    <row r="88" spans="1:20" x14ac:dyDescent="0.25">
      <c r="A88" s="5">
        <v>44505</v>
      </c>
      <c r="B88">
        <v>18.82</v>
      </c>
      <c r="C88">
        <v>20.5</v>
      </c>
      <c r="D88">
        <v>18.600000000000001</v>
      </c>
      <c r="E88">
        <v>19.440000000000001</v>
      </c>
      <c r="F88">
        <v>5253333.13</v>
      </c>
      <c r="G88">
        <v>19.440000000000001</v>
      </c>
      <c r="L88" t="s">
        <v>8</v>
      </c>
      <c r="M88" t="s">
        <v>7</v>
      </c>
      <c r="N88" t="s">
        <v>7</v>
      </c>
      <c r="P88">
        <f t="shared" ref="P88" si="415">IF(C88=D88,0,((E88-D88)-(C88-E88))/(C88-D88))</f>
        <v>-0.11578947368421001</v>
      </c>
      <c r="Q88">
        <f t="shared" ref="Q88" si="416">F88*P88</f>
        <v>-608280.67821052356</v>
      </c>
      <c r="R88">
        <f t="shared" ref="R88" si="417">R89+Q88</f>
        <v>59576644.996731766</v>
      </c>
      <c r="S88">
        <f t="shared" ref="S88" si="418">R88/100000</f>
        <v>595.76644996731761</v>
      </c>
      <c r="T88">
        <f t="shared" ref="T88" si="419">S88/1000</f>
        <v>0.59576644996731765</v>
      </c>
    </row>
    <row r="89" spans="1:20" x14ac:dyDescent="0.25">
      <c r="A89" s="5">
        <v>44504</v>
      </c>
      <c r="B89">
        <v>18.96</v>
      </c>
      <c r="C89">
        <v>19.649999999999999</v>
      </c>
      <c r="D89">
        <v>18.46</v>
      </c>
      <c r="E89">
        <v>18.809999999999999</v>
      </c>
      <c r="F89">
        <v>5197777.09</v>
      </c>
      <c r="G89">
        <v>18.809999999999999</v>
      </c>
      <c r="L89" t="s">
        <v>8</v>
      </c>
      <c r="M89" t="s">
        <v>7</v>
      </c>
      <c r="N89" t="s">
        <v>7</v>
      </c>
      <c r="P89">
        <f t="shared" ref="P89" si="420">IF(C89=D89,0,((E89-D89)-(C89-E89))/(C89-D89))</f>
        <v>-0.41176470588235542</v>
      </c>
      <c r="Q89">
        <f t="shared" ref="Q89" si="421">F89*P89</f>
        <v>-2140261.1547058951</v>
      </c>
      <c r="R89">
        <f t="shared" ref="R89" si="422">R90+Q89</f>
        <v>60184925.674942292</v>
      </c>
      <c r="S89">
        <f t="shared" ref="S89" si="423">R89/100000</f>
        <v>601.84925674942292</v>
      </c>
      <c r="T89">
        <f t="shared" ref="T89" si="424">S89/1000</f>
        <v>0.60184925674942291</v>
      </c>
    </row>
    <row r="90" spans="1:20" x14ac:dyDescent="0.25">
      <c r="A90" s="5">
        <v>44503</v>
      </c>
      <c r="B90">
        <v>18.510000000000002</v>
      </c>
      <c r="C90">
        <v>19.07</v>
      </c>
      <c r="D90">
        <v>17.93</v>
      </c>
      <c r="E90">
        <v>18.96</v>
      </c>
      <c r="F90">
        <v>3139688.42</v>
      </c>
      <c r="G90">
        <v>18.96</v>
      </c>
      <c r="L90" t="s">
        <v>8</v>
      </c>
      <c r="M90" t="s">
        <v>7</v>
      </c>
      <c r="N90" t="s">
        <v>7</v>
      </c>
      <c r="P90">
        <f t="shared" ref="P90" si="425">IF(C90=D90,0,((E90-D90)-(C90-E90))/(C90-D90))</f>
        <v>0.80701754385965019</v>
      </c>
      <c r="Q90">
        <f t="shared" ref="Q90" si="426">F90*P90</f>
        <v>2533783.6371929855</v>
      </c>
      <c r="R90">
        <f t="shared" ref="R90" si="427">R91+Q90</f>
        <v>62325186.829648189</v>
      </c>
      <c r="S90">
        <f t="shared" ref="S90" si="428">R90/100000</f>
        <v>623.25186829648192</v>
      </c>
      <c r="T90">
        <f t="shared" ref="T90" si="429">S90/1000</f>
        <v>0.62325186829648194</v>
      </c>
    </row>
    <row r="91" spans="1:20" x14ac:dyDescent="0.25">
      <c r="A91" s="5">
        <v>44502</v>
      </c>
      <c r="B91">
        <v>18.45</v>
      </c>
      <c r="C91">
        <v>18.88</v>
      </c>
      <c r="D91">
        <v>17.850000000000001</v>
      </c>
      <c r="E91">
        <v>18.52</v>
      </c>
      <c r="F91">
        <v>3182116.1</v>
      </c>
      <c r="G91">
        <v>18.52</v>
      </c>
      <c r="L91" t="s">
        <v>8</v>
      </c>
      <c r="M91" t="s">
        <v>7</v>
      </c>
      <c r="N91" t="s">
        <v>7</v>
      </c>
      <c r="P91">
        <f t="shared" ref="P91" si="430">IF(C91=D91,0,((E91-D91)-(C91-E91))/(C91-D91))</f>
        <v>0.30097087378640724</v>
      </c>
      <c r="Q91">
        <f t="shared" ref="Q91" si="431">F91*P91</f>
        <v>957724.26310679445</v>
      </c>
      <c r="R91">
        <f t="shared" ref="R91" si="432">R92+Q91</f>
        <v>59791403.192455202</v>
      </c>
      <c r="S91">
        <f t="shared" ref="S91" si="433">R91/100000</f>
        <v>597.91403192455198</v>
      </c>
      <c r="T91">
        <f t="shared" ref="T91" si="434">S91/1000</f>
        <v>0.59791403192455195</v>
      </c>
    </row>
    <row r="92" spans="1:20" x14ac:dyDescent="0.25">
      <c r="A92" s="5">
        <v>44501</v>
      </c>
      <c r="B92">
        <v>17.66</v>
      </c>
      <c r="C92">
        <v>18.53</v>
      </c>
      <c r="D92">
        <v>17.28</v>
      </c>
      <c r="E92">
        <v>18.440000000000001</v>
      </c>
      <c r="F92">
        <v>3451795.1</v>
      </c>
      <c r="G92">
        <v>18.440000000000001</v>
      </c>
      <c r="L92" t="s">
        <v>8</v>
      </c>
      <c r="M92" t="s">
        <v>7</v>
      </c>
      <c r="N92" t="s">
        <v>7</v>
      </c>
      <c r="P92">
        <f t="shared" ref="P92" si="435">IF(C92=D92,0,((E92-D92)-(C92-E92))/(C92-D92))</f>
        <v>0.85600000000000021</v>
      </c>
      <c r="Q92">
        <f t="shared" ref="Q92" si="436">F92*P92</f>
        <v>2954736.6056000008</v>
      </c>
      <c r="R92">
        <f t="shared" ref="R92" si="437">R93+Q92</f>
        <v>58833678.929348409</v>
      </c>
      <c r="S92">
        <f t="shared" ref="S92" si="438">R92/100000</f>
        <v>588.33678929348412</v>
      </c>
      <c r="T92">
        <f t="shared" ref="T92" si="439">S92/1000</f>
        <v>0.5883367892934841</v>
      </c>
    </row>
    <row r="93" spans="1:20" x14ac:dyDescent="0.25">
      <c r="A93" s="5">
        <v>44500</v>
      </c>
      <c r="B93">
        <v>18.02</v>
      </c>
      <c r="C93">
        <v>18.16</v>
      </c>
      <c r="D93">
        <v>17.27</v>
      </c>
      <c r="E93">
        <v>17.649999999999999</v>
      </c>
      <c r="F93">
        <v>2548915.88</v>
      </c>
      <c r="G93">
        <v>17.649999999999999</v>
      </c>
      <c r="L93" t="s">
        <v>7</v>
      </c>
      <c r="M93" t="s">
        <v>7</v>
      </c>
      <c r="N93" t="s">
        <v>7</v>
      </c>
      <c r="P93">
        <f t="shared" ref="P93" si="440">IF(C93=D93,0,((E93-D93)-(C93-E93))/(C93-D93))</f>
        <v>-0.14606741573033985</v>
      </c>
      <c r="Q93">
        <f t="shared" ref="Q93" si="441">F93*P93</f>
        <v>-372313.55550562503</v>
      </c>
      <c r="R93">
        <f t="shared" ref="R93" si="442">R94+Q93</f>
        <v>55878942.32374841</v>
      </c>
      <c r="S93">
        <f t="shared" ref="S93" si="443">R93/100000</f>
        <v>558.78942323748413</v>
      </c>
      <c r="T93">
        <f t="shared" ref="T93" si="444">S93/1000</f>
        <v>0.55878942323748415</v>
      </c>
    </row>
    <row r="94" spans="1:20" x14ac:dyDescent="0.25">
      <c r="A94" s="5">
        <v>44499</v>
      </c>
      <c r="B94">
        <v>18.600000000000001</v>
      </c>
      <c r="C94">
        <v>18.899999999999999</v>
      </c>
      <c r="D94">
        <v>17.68</v>
      </c>
      <c r="E94">
        <v>18.02</v>
      </c>
      <c r="F94">
        <v>2900668.44</v>
      </c>
      <c r="G94">
        <v>18.02</v>
      </c>
      <c r="L94" t="s">
        <v>8</v>
      </c>
      <c r="M94" t="s">
        <v>7</v>
      </c>
      <c r="N94" t="s">
        <v>7</v>
      </c>
      <c r="P94">
        <f t="shared" ref="P94" si="445">IF(C94=D94,0,((E94-D94)-(C94-E94))/(C94-D94))</f>
        <v>-0.44262295081967185</v>
      </c>
      <c r="Q94">
        <f t="shared" ref="Q94" si="446">F94*P94</f>
        <v>-1283902.4242622943</v>
      </c>
      <c r="R94">
        <f t="shared" ref="R94" si="447">R95+Q94</f>
        <v>56251255.879254036</v>
      </c>
      <c r="S94">
        <f t="shared" ref="S94" si="448">R94/100000</f>
        <v>562.5125587925404</v>
      </c>
      <c r="T94">
        <f t="shared" ref="T94" si="449">S94/1000</f>
        <v>0.56251255879254036</v>
      </c>
    </row>
    <row r="95" spans="1:20" x14ac:dyDescent="0.25">
      <c r="A95" s="5">
        <v>44498</v>
      </c>
      <c r="B95">
        <v>18.23</v>
      </c>
      <c r="C95">
        <v>18.96</v>
      </c>
      <c r="D95">
        <v>17.53</v>
      </c>
      <c r="E95">
        <v>18.600000000000001</v>
      </c>
      <c r="F95">
        <v>3968269.91</v>
      </c>
      <c r="G95">
        <v>18.600000000000001</v>
      </c>
      <c r="L95" t="s">
        <v>7</v>
      </c>
      <c r="M95" t="s">
        <v>7</v>
      </c>
      <c r="N95" t="s">
        <v>7</v>
      </c>
      <c r="P95">
        <f t="shared" ref="P95" si="450">IF(C95=D95,0,((E95-D95)-(C95-E95))/(C95-D95))</f>
        <v>0.49650349650349718</v>
      </c>
      <c r="Q95">
        <f t="shared" ref="Q95" si="451">F95*P95</f>
        <v>1970259.8853846181</v>
      </c>
      <c r="R95">
        <f t="shared" ref="R95" si="452">R96+Q95</f>
        <v>57535158.303516328</v>
      </c>
      <c r="S95">
        <f t="shared" ref="S95" si="453">R95/100000</f>
        <v>575.35158303516323</v>
      </c>
      <c r="T95">
        <f t="shared" ref="T95" si="454">S95/1000</f>
        <v>0.57535158303516321</v>
      </c>
    </row>
    <row r="96" spans="1:20" x14ac:dyDescent="0.25">
      <c r="A96" s="5">
        <v>44497</v>
      </c>
      <c r="B96">
        <v>18.07</v>
      </c>
      <c r="C96">
        <v>18.66</v>
      </c>
      <c r="D96">
        <v>17.760000000000002</v>
      </c>
      <c r="E96">
        <v>18.23</v>
      </c>
      <c r="F96">
        <v>3619394.53</v>
      </c>
      <c r="G96">
        <v>18.23</v>
      </c>
      <c r="L96" t="s">
        <v>7</v>
      </c>
      <c r="M96" t="s">
        <v>7</v>
      </c>
      <c r="N96" t="s">
        <v>7</v>
      </c>
      <c r="P96">
        <f t="shared" ref="P96" si="455">IF(C96=D96,0,((E96-D96)-(C96-E96))/(C96-D96))</f>
        <v>4.4444444444443565E-2</v>
      </c>
      <c r="Q96">
        <f t="shared" ref="Q96" si="456">F96*P96</f>
        <v>160861.97911110791</v>
      </c>
      <c r="R96">
        <f t="shared" ref="R96" si="457">R97+Q96</f>
        <v>55564898.418131709</v>
      </c>
      <c r="S96">
        <f t="shared" ref="S96" si="458">R96/100000</f>
        <v>555.64898418131713</v>
      </c>
      <c r="T96">
        <f t="shared" ref="T96" si="459">S96/1000</f>
        <v>0.55564898418131714</v>
      </c>
    </row>
    <row r="97" spans="1:20" x14ac:dyDescent="0.25">
      <c r="A97" s="5">
        <v>44496</v>
      </c>
      <c r="B97">
        <v>19.36</v>
      </c>
      <c r="C97">
        <v>19.54</v>
      </c>
      <c r="D97">
        <v>18</v>
      </c>
      <c r="E97">
        <v>18.07</v>
      </c>
      <c r="F97">
        <v>4111008.07</v>
      </c>
      <c r="G97">
        <v>18.07</v>
      </c>
      <c r="L97" t="s">
        <v>7</v>
      </c>
      <c r="M97" t="s">
        <v>8</v>
      </c>
      <c r="N97" t="s">
        <v>7</v>
      </c>
      <c r="P97">
        <f t="shared" ref="P97" si="460">IF(C97=D97,0,((E97-D97)-(C97-E97))/(C97-D97))</f>
        <v>-0.90909090909090862</v>
      </c>
      <c r="Q97">
        <f t="shared" ref="Q97" si="461">F97*P97</f>
        <v>-3737280.0636363616</v>
      </c>
      <c r="R97">
        <f t="shared" ref="R97" si="462">R98+Q97</f>
        <v>55404036.439020604</v>
      </c>
      <c r="S97">
        <f t="shared" ref="S97" si="463">R97/100000</f>
        <v>554.04036439020604</v>
      </c>
      <c r="T97">
        <f t="shared" ref="T97" si="464">S97/1000</f>
        <v>0.55404036439020599</v>
      </c>
    </row>
    <row r="98" spans="1:20" x14ac:dyDescent="0.25">
      <c r="A98" s="5">
        <v>44495</v>
      </c>
      <c r="B98">
        <v>19.86</v>
      </c>
      <c r="C98">
        <v>19.98</v>
      </c>
      <c r="D98">
        <v>19.309999999999999</v>
      </c>
      <c r="E98">
        <v>19.36</v>
      </c>
      <c r="F98">
        <v>2248295.81</v>
      </c>
      <c r="G98">
        <v>19.36</v>
      </c>
      <c r="L98" t="s">
        <v>7</v>
      </c>
      <c r="M98" t="s">
        <v>8</v>
      </c>
      <c r="N98" t="s">
        <v>7</v>
      </c>
      <c r="P98">
        <f t="shared" ref="P98" si="465">IF(C98=D98,0,((E98-D98)-(C98-E98))/(C98-D98))</f>
        <v>-0.85074626865671465</v>
      </c>
      <c r="Q98">
        <f t="shared" ref="Q98" si="466">F98*P98</f>
        <v>-1912729.2711940259</v>
      </c>
      <c r="R98">
        <f t="shared" ref="R98" si="467">R99+Q98</f>
        <v>59141316.502656966</v>
      </c>
      <c r="S98">
        <f t="shared" ref="S98" si="468">R98/100000</f>
        <v>591.41316502656969</v>
      </c>
      <c r="T98">
        <f t="shared" ref="T98" si="469">S98/1000</f>
        <v>0.59141316502656971</v>
      </c>
    </row>
    <row r="99" spans="1:20" x14ac:dyDescent="0.25">
      <c r="A99" s="5">
        <v>44494</v>
      </c>
      <c r="B99">
        <v>19.47</v>
      </c>
      <c r="C99">
        <v>20.13</v>
      </c>
      <c r="D99">
        <v>19.399999999999999</v>
      </c>
      <c r="E99">
        <v>19.86</v>
      </c>
      <c r="F99">
        <v>2051111.98</v>
      </c>
      <c r="G99">
        <v>19.86</v>
      </c>
      <c r="L99" t="s">
        <v>7</v>
      </c>
      <c r="M99" t="s">
        <v>8</v>
      </c>
      <c r="N99" t="s">
        <v>7</v>
      </c>
      <c r="P99">
        <f t="shared" ref="P99" si="470">IF(C99=D99,0,((E99-D99)-(C99-E99))/(C99-D99))</f>
        <v>0.26027397260274132</v>
      </c>
      <c r="Q99">
        <f t="shared" ref="Q99" si="471">F99*P99</f>
        <v>533851.06328767445</v>
      </c>
      <c r="R99">
        <f t="shared" ref="R99" si="472">R100+Q99</f>
        <v>61054045.773850992</v>
      </c>
      <c r="S99">
        <f t="shared" ref="S99" si="473">R99/100000</f>
        <v>610.54045773850987</v>
      </c>
      <c r="T99">
        <f t="shared" ref="T99" si="474">S99/1000</f>
        <v>0.61054045773850985</v>
      </c>
    </row>
    <row r="100" spans="1:20" x14ac:dyDescent="0.25">
      <c r="A100" s="5">
        <v>44493</v>
      </c>
      <c r="B100">
        <v>19.88</v>
      </c>
      <c r="C100">
        <v>20.100000000000001</v>
      </c>
      <c r="D100">
        <v>19.28</v>
      </c>
      <c r="E100">
        <v>19.47</v>
      </c>
      <c r="F100">
        <v>1898217.72</v>
      </c>
      <c r="G100">
        <v>19.47</v>
      </c>
      <c r="L100" t="s">
        <v>7</v>
      </c>
      <c r="M100" t="s">
        <v>8</v>
      </c>
      <c r="N100" t="s">
        <v>7</v>
      </c>
      <c r="P100">
        <f t="shared" ref="P100" si="475">IF(C100=D100,0,((E100-D100)-(C100-E100))/(C100-D100))</f>
        <v>-0.53658536585366423</v>
      </c>
      <c r="Q100">
        <f t="shared" ref="Q100" si="476">F100*P100</f>
        <v>-1018555.8497561084</v>
      </c>
      <c r="R100">
        <f t="shared" ref="R100" si="477">R101+Q100</f>
        <v>60520194.710563317</v>
      </c>
      <c r="S100">
        <f t="shared" ref="S100" si="478">R100/100000</f>
        <v>605.20194710563317</v>
      </c>
      <c r="T100">
        <f t="shared" ref="T100" si="479">S100/1000</f>
        <v>0.60520194710563313</v>
      </c>
    </row>
    <row r="101" spans="1:20" x14ac:dyDescent="0.25">
      <c r="A101" s="5">
        <v>44492</v>
      </c>
      <c r="B101">
        <v>19.77</v>
      </c>
      <c r="C101">
        <v>19.96</v>
      </c>
      <c r="D101">
        <v>19.5</v>
      </c>
      <c r="E101">
        <v>19.87</v>
      </c>
      <c r="F101">
        <v>1419308.17</v>
      </c>
      <c r="G101">
        <v>19.87</v>
      </c>
      <c r="L101" t="s">
        <v>8</v>
      </c>
      <c r="M101" t="s">
        <v>8</v>
      </c>
      <c r="N101" t="s">
        <v>7</v>
      </c>
      <c r="P101">
        <f t="shared" ref="P101" si="480">IF(C101=D101,0,((E101-D101)-(C101-E101))/(C101-D101))</f>
        <v>0.60869565217391441</v>
      </c>
      <c r="Q101">
        <f t="shared" ref="Q101" si="481">F101*P101</f>
        <v>863926.71217391489</v>
      </c>
      <c r="R101">
        <f t="shared" ref="R101" si="482">R102+Q101</f>
        <v>61538750.560319424</v>
      </c>
      <c r="S101">
        <f t="shared" ref="S101" si="483">R101/100000</f>
        <v>615.3875056031942</v>
      </c>
      <c r="T101">
        <f t="shared" ref="T101" si="484">S101/1000</f>
        <v>0.61538750560319422</v>
      </c>
    </row>
    <row r="102" spans="1:20" x14ac:dyDescent="0.25">
      <c r="A102" s="5">
        <v>44491</v>
      </c>
      <c r="B102">
        <v>19.89</v>
      </c>
      <c r="C102">
        <v>20.6</v>
      </c>
      <c r="D102">
        <v>19.559999999999999</v>
      </c>
      <c r="E102">
        <v>19.77</v>
      </c>
      <c r="F102">
        <v>3274823.54</v>
      </c>
      <c r="G102">
        <v>19.77</v>
      </c>
      <c r="L102" t="s">
        <v>8</v>
      </c>
      <c r="M102" t="s">
        <v>8</v>
      </c>
      <c r="N102" t="s">
        <v>7</v>
      </c>
      <c r="P102">
        <f t="shared" ref="P102" si="485">IF(C102=D102,0,((E102-D102)-(C102-E102))/(C102-D102))</f>
        <v>-0.59615384615384559</v>
      </c>
      <c r="Q102">
        <f t="shared" ref="Q102" si="486">F102*P102</f>
        <v>-1952298.648846152</v>
      </c>
      <c r="R102">
        <f t="shared" ref="R102" si="487">R103+Q102</f>
        <v>60674823.848145507</v>
      </c>
      <c r="S102">
        <f t="shared" ref="S102" si="488">R102/100000</f>
        <v>606.74823848145502</v>
      </c>
      <c r="T102">
        <f t="shared" ref="T102" si="489">S102/1000</f>
        <v>0.60674823848145498</v>
      </c>
    </row>
    <row r="103" spans="1:20" x14ac:dyDescent="0.25">
      <c r="A103" s="5">
        <v>44490</v>
      </c>
      <c r="B103">
        <v>20.420000000000002</v>
      </c>
      <c r="C103">
        <v>20.74</v>
      </c>
      <c r="D103">
        <v>19.64</v>
      </c>
      <c r="E103">
        <v>19.89</v>
      </c>
      <c r="F103">
        <v>3893480.02</v>
      </c>
      <c r="G103">
        <v>19.89</v>
      </c>
      <c r="L103" t="s">
        <v>8</v>
      </c>
      <c r="M103" t="s">
        <v>8</v>
      </c>
      <c r="N103" t="s">
        <v>7</v>
      </c>
      <c r="P103">
        <f t="shared" ref="P103" si="490">IF(C103=D103,0,((E103-D103)-(C103-E103))/(C103-D103))</f>
        <v>-0.54545454545454453</v>
      </c>
      <c r="Q103">
        <f t="shared" ref="Q103" si="491">F103*P103</f>
        <v>-2123716.3745454508</v>
      </c>
      <c r="R103">
        <f t="shared" ref="R103" si="492">R104+Q103</f>
        <v>62627122.496991657</v>
      </c>
      <c r="S103">
        <f t="shared" ref="S103" si="493">R103/100000</f>
        <v>626.2712249699166</v>
      </c>
      <c r="T103">
        <f t="shared" ref="T103" si="494">S103/1000</f>
        <v>0.62627122496991661</v>
      </c>
    </row>
    <row r="104" spans="1:20" x14ac:dyDescent="0.25">
      <c r="A104" s="5">
        <v>44489</v>
      </c>
      <c r="B104">
        <v>20.14</v>
      </c>
      <c r="C104">
        <v>21</v>
      </c>
      <c r="D104">
        <v>19.739999999999998</v>
      </c>
      <c r="E104">
        <v>20.420000000000002</v>
      </c>
      <c r="F104">
        <v>2992996.91</v>
      </c>
      <c r="G104">
        <v>20.420000000000002</v>
      </c>
      <c r="L104" t="s">
        <v>8</v>
      </c>
      <c r="M104" t="s">
        <v>8</v>
      </c>
      <c r="N104" t="s">
        <v>7</v>
      </c>
      <c r="P104">
        <f t="shared" ref="P104" si="495">IF(C104=D104,0,((E104-D104)-(C104-E104))/(C104-D104))</f>
        <v>7.9365079365083219E-2</v>
      </c>
      <c r="Q104">
        <f t="shared" ref="Q104" si="496">F104*P104</f>
        <v>237539.43730159884</v>
      </c>
      <c r="R104">
        <f t="shared" ref="R104" si="497">R105+Q104</f>
        <v>64750838.871537104</v>
      </c>
      <c r="S104">
        <f t="shared" ref="S104" si="498">R104/100000</f>
        <v>647.5083887153711</v>
      </c>
      <c r="T104">
        <f t="shared" ref="T104" si="499">S104/1000</f>
        <v>0.64750838871537109</v>
      </c>
    </row>
    <row r="105" spans="1:20" x14ac:dyDescent="0.25">
      <c r="A105" s="5">
        <v>44488</v>
      </c>
      <c r="B105">
        <v>19.84</v>
      </c>
      <c r="C105">
        <v>20.39</v>
      </c>
      <c r="D105">
        <v>19.760000000000002</v>
      </c>
      <c r="E105">
        <v>20.14</v>
      </c>
      <c r="F105">
        <v>2494818.79</v>
      </c>
      <c r="G105">
        <v>20.14</v>
      </c>
      <c r="L105" t="s">
        <v>8</v>
      </c>
      <c r="M105" t="s">
        <v>8</v>
      </c>
      <c r="N105" t="s">
        <v>7</v>
      </c>
      <c r="P105">
        <f t="shared" ref="P105" si="500">IF(C105=D105,0,((E105-D105)-(C105-E105))/(C105-D105))</f>
        <v>0.20634920634920509</v>
      </c>
      <c r="Q105">
        <f t="shared" ref="Q105" si="501">F105*P105</f>
        <v>514803.87730158417</v>
      </c>
      <c r="R105">
        <f t="shared" ref="R105" si="502">R106+Q105</f>
        <v>64513299.434235506</v>
      </c>
      <c r="S105">
        <f t="shared" ref="S105" si="503">R105/100000</f>
        <v>645.132994342355</v>
      </c>
      <c r="T105">
        <f t="shared" ref="T105" si="504">S105/1000</f>
        <v>0.64513299434235505</v>
      </c>
    </row>
    <row r="106" spans="1:20" x14ac:dyDescent="0.25">
      <c r="A106" s="5">
        <v>44487</v>
      </c>
      <c r="B106">
        <v>19.5</v>
      </c>
      <c r="C106">
        <v>19.87</v>
      </c>
      <c r="D106">
        <v>19.329999999999998</v>
      </c>
      <c r="E106">
        <v>19.84</v>
      </c>
      <c r="F106">
        <v>1891373.34</v>
      </c>
      <c r="G106">
        <v>19.84</v>
      </c>
      <c r="L106" t="s">
        <v>7</v>
      </c>
      <c r="M106" t="s">
        <v>8</v>
      </c>
      <c r="N106" t="s">
        <v>7</v>
      </c>
      <c r="P106">
        <f t="shared" ref="P106" si="505">IF(C106=D106,0,((E106-D106)-(C106-E106))/(C106-D106))</f>
        <v>0.88888888888888529</v>
      </c>
      <c r="Q106">
        <f t="shared" ref="Q106" si="506">F106*P106</f>
        <v>1681220.7466666598</v>
      </c>
      <c r="R106">
        <f t="shared" ref="R106" si="507">R107+Q106</f>
        <v>63998495.556933925</v>
      </c>
      <c r="S106">
        <f t="shared" ref="S106" si="508">R106/100000</f>
        <v>639.98495556933926</v>
      </c>
      <c r="T106">
        <f t="shared" ref="T106" si="509">S106/1000</f>
        <v>0.63998495556933921</v>
      </c>
    </row>
    <row r="107" spans="1:20" x14ac:dyDescent="0.25">
      <c r="A107" s="5">
        <v>44486</v>
      </c>
      <c r="B107">
        <v>19.760000000000002</v>
      </c>
      <c r="C107">
        <v>19.87</v>
      </c>
      <c r="D107">
        <v>19</v>
      </c>
      <c r="E107">
        <v>19.489999999999998</v>
      </c>
      <c r="F107">
        <v>1779699.51</v>
      </c>
      <c r="G107">
        <v>19.489999999999998</v>
      </c>
      <c r="L107" t="s">
        <v>7</v>
      </c>
      <c r="M107" t="s">
        <v>8</v>
      </c>
      <c r="N107" t="s">
        <v>7</v>
      </c>
      <c r="P107">
        <f t="shared" ref="P107" si="510">IF(C107=D107,0,((E107-D107)-(C107-E107))/(C107-D107))</f>
        <v>0.12643678160919053</v>
      </c>
      <c r="Q107">
        <f t="shared" ref="Q107" si="511">F107*P107</f>
        <v>225019.47827585338</v>
      </c>
      <c r="R107">
        <f t="shared" ref="R107" si="512">R108+Q107</f>
        <v>62317274.810267262</v>
      </c>
      <c r="S107">
        <f t="shared" ref="S107" si="513">R107/100000</f>
        <v>623.17274810267259</v>
      </c>
      <c r="T107">
        <f t="shared" ref="T107" si="514">S107/1000</f>
        <v>0.62317274810267254</v>
      </c>
    </row>
    <row r="108" spans="1:20" x14ac:dyDescent="0.25">
      <c r="A108" s="5">
        <v>44485</v>
      </c>
      <c r="B108">
        <v>19.84</v>
      </c>
      <c r="C108">
        <v>20.100000000000001</v>
      </c>
      <c r="D108">
        <v>19.5</v>
      </c>
      <c r="E108">
        <v>19.75</v>
      </c>
      <c r="F108">
        <v>2022567.9</v>
      </c>
      <c r="G108">
        <v>19.75</v>
      </c>
      <c r="L108" t="s">
        <v>7</v>
      </c>
      <c r="M108" t="s">
        <v>8</v>
      </c>
      <c r="N108" t="s">
        <v>7</v>
      </c>
      <c r="P108">
        <f t="shared" ref="P108" si="515">IF(C108=D108,0,((E108-D108)-(C108-E108))/(C108-D108))</f>
        <v>-0.16666666666666863</v>
      </c>
      <c r="Q108">
        <f t="shared" ref="Q108" si="516">F108*P108</f>
        <v>-337094.65000000392</v>
      </c>
      <c r="R108">
        <f t="shared" ref="R108" si="517">R109+Q108</f>
        <v>62092255.331991412</v>
      </c>
      <c r="S108">
        <f t="shared" ref="S108" si="518">R108/100000</f>
        <v>620.92255331991407</v>
      </c>
      <c r="T108">
        <f t="shared" ref="T108" si="519">S108/1000</f>
        <v>0.62092255331991408</v>
      </c>
    </row>
    <row r="109" spans="1:20" x14ac:dyDescent="0.25">
      <c r="A109" s="5">
        <v>44484</v>
      </c>
      <c r="B109">
        <v>19.920000000000002</v>
      </c>
      <c r="C109">
        <v>20.14</v>
      </c>
      <c r="D109">
        <v>19.18</v>
      </c>
      <c r="E109">
        <v>19.84</v>
      </c>
      <c r="F109">
        <v>3163031.87</v>
      </c>
      <c r="G109">
        <v>19.84</v>
      </c>
      <c r="L109" t="s">
        <v>7</v>
      </c>
      <c r="M109" t="s">
        <v>8</v>
      </c>
      <c r="N109" t="s">
        <v>7</v>
      </c>
      <c r="P109">
        <f t="shared" ref="P109" si="520">IF(C109=D109,0,((E109-D109)-(C109-E109))/(C109-D109))</f>
        <v>0.37499999999999906</v>
      </c>
      <c r="Q109">
        <f t="shared" ref="Q109" si="521">F109*P109</f>
        <v>1186136.9512499971</v>
      </c>
      <c r="R109">
        <f t="shared" ref="R109" si="522">R110+Q109</f>
        <v>62429349.981991418</v>
      </c>
      <c r="S109">
        <f t="shared" ref="S109" si="523">R109/100000</f>
        <v>624.29349981991413</v>
      </c>
      <c r="T109">
        <f t="shared" ref="T109" si="524">S109/1000</f>
        <v>0.62429349981991411</v>
      </c>
    </row>
    <row r="110" spans="1:20" x14ac:dyDescent="0.25">
      <c r="A110" s="5">
        <v>44483</v>
      </c>
      <c r="B110">
        <v>20.32</v>
      </c>
      <c r="C110">
        <v>20.95</v>
      </c>
      <c r="D110">
        <v>19.7</v>
      </c>
      <c r="E110">
        <v>19.91</v>
      </c>
      <c r="F110">
        <v>4647207.1900000004</v>
      </c>
      <c r="G110">
        <v>19.91</v>
      </c>
      <c r="L110" t="s">
        <v>7</v>
      </c>
      <c r="M110" t="s">
        <v>8</v>
      </c>
      <c r="N110" t="s">
        <v>7</v>
      </c>
      <c r="P110">
        <f t="shared" ref="P110" si="525">IF(C110=D110,0,((E110-D110)-(C110-E110))/(C110-D110))</f>
        <v>-0.66399999999999859</v>
      </c>
      <c r="Q110">
        <f t="shared" ref="Q110" si="526">F110*P110</f>
        <v>-3085745.5741599938</v>
      </c>
      <c r="R110">
        <f t="shared" ref="R110" si="527">R111+Q110</f>
        <v>61243213.030741423</v>
      </c>
      <c r="S110">
        <f t="shared" ref="S110" si="528">R110/100000</f>
        <v>612.43213030741424</v>
      </c>
      <c r="T110">
        <f t="shared" ref="T110" si="529">S110/1000</f>
        <v>0.61243213030741428</v>
      </c>
    </row>
    <row r="111" spans="1:20" x14ac:dyDescent="0.25">
      <c r="A111" s="5">
        <v>44482</v>
      </c>
      <c r="B111">
        <v>19.47</v>
      </c>
      <c r="C111">
        <v>21.16</v>
      </c>
      <c r="D111">
        <v>19.32</v>
      </c>
      <c r="E111">
        <v>20.309999999999999</v>
      </c>
      <c r="F111">
        <v>10552343.359999999</v>
      </c>
      <c r="G111">
        <v>20.309999999999999</v>
      </c>
      <c r="L111" t="s">
        <v>8</v>
      </c>
      <c r="M111" t="s">
        <v>8</v>
      </c>
      <c r="N111" t="s">
        <v>7</v>
      </c>
      <c r="P111">
        <f t="shared" ref="P111" si="530">IF(C111=D111,0,((E111-D111)-(C111-E111))/(C111-D111))</f>
        <v>7.6086956521737512E-2</v>
      </c>
      <c r="Q111">
        <f t="shared" ref="Q111" si="531">F111*P111</f>
        <v>802895.69043476554</v>
      </c>
      <c r="R111">
        <f t="shared" ref="R111" si="532">R112+Q111</f>
        <v>64328958.604901418</v>
      </c>
      <c r="S111">
        <f t="shared" ref="S111" si="533">R111/100000</f>
        <v>643.28958604901413</v>
      </c>
      <c r="T111">
        <f t="shared" ref="T111" si="534">S111/1000</f>
        <v>0.64328958604901409</v>
      </c>
    </row>
    <row r="112" spans="1:20" x14ac:dyDescent="0.25">
      <c r="A112" s="5">
        <v>44481</v>
      </c>
      <c r="B112">
        <v>18.8</v>
      </c>
      <c r="C112">
        <v>19.489999999999998</v>
      </c>
      <c r="D112">
        <v>17.71</v>
      </c>
      <c r="E112">
        <v>19.47</v>
      </c>
      <c r="F112">
        <v>5122716.5999999996</v>
      </c>
      <c r="G112">
        <v>19.47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0.97752808988764095</v>
      </c>
      <c r="Q112">
        <f t="shared" ref="Q112" si="536">F112*P112</f>
        <v>5007599.3730337098</v>
      </c>
      <c r="R112">
        <f t="shared" ref="R112" si="537">R113+Q112</f>
        <v>63526062.914466649</v>
      </c>
      <c r="S112">
        <f t="shared" ref="S112" si="538">R112/100000</f>
        <v>635.2606291446665</v>
      </c>
      <c r="T112">
        <f t="shared" ref="T112" si="539">S112/1000</f>
        <v>0.63526062914466652</v>
      </c>
    </row>
    <row r="113" spans="1:20" x14ac:dyDescent="0.25">
      <c r="A113" s="5">
        <v>44480</v>
      </c>
      <c r="B113">
        <v>18.61</v>
      </c>
      <c r="C113">
        <v>19.5</v>
      </c>
      <c r="D113">
        <v>18.399999999999999</v>
      </c>
      <c r="E113">
        <v>18.8</v>
      </c>
      <c r="F113">
        <v>2050080.08</v>
      </c>
      <c r="G113">
        <v>18.8</v>
      </c>
      <c r="L113" t="s">
        <v>7</v>
      </c>
      <c r="M113" t="s">
        <v>8</v>
      </c>
      <c r="N113" t="s">
        <v>7</v>
      </c>
      <c r="P113">
        <f t="shared" ref="P113" si="540">IF(C113=D113,0,((E113-D113)-(C113-E113))/(C113-D113))</f>
        <v>-0.27272727272726976</v>
      </c>
      <c r="Q113">
        <f t="shared" ref="Q113" si="541">F113*P113</f>
        <v>-559112.74909090309</v>
      </c>
      <c r="R113">
        <f t="shared" ref="R113" si="542">R114+Q113</f>
        <v>58518463.541432939</v>
      </c>
      <c r="S113">
        <f t="shared" ref="S113" si="543">R113/100000</f>
        <v>585.18463541432936</v>
      </c>
      <c r="T113">
        <f t="shared" ref="T113" si="544">S113/1000</f>
        <v>0.58518463541432941</v>
      </c>
    </row>
    <row r="114" spans="1:20" x14ac:dyDescent="0.25">
      <c r="A114" s="5">
        <v>44479</v>
      </c>
      <c r="B114">
        <v>19.68</v>
      </c>
      <c r="C114">
        <v>19.690000000000001</v>
      </c>
      <c r="D114">
        <v>18.52</v>
      </c>
      <c r="E114">
        <v>18.61</v>
      </c>
      <c r="F114">
        <v>2095363.87</v>
      </c>
      <c r="G114">
        <v>18.61</v>
      </c>
      <c r="L114" t="s">
        <v>7</v>
      </c>
      <c r="M114" t="s">
        <v>8</v>
      </c>
      <c r="N114" t="s">
        <v>7</v>
      </c>
      <c r="P114">
        <f t="shared" ref="P114" si="545">IF(C114=D114,0,((E114-D114)-(C114-E114))/(C114-D114))</f>
        <v>-0.84615384615384659</v>
      </c>
      <c r="Q114">
        <f t="shared" ref="Q114" si="546">F114*P114</f>
        <v>-1773000.1976923088</v>
      </c>
      <c r="R114">
        <f t="shared" ref="R114" si="547">R115+Q114</f>
        <v>59077576.290523842</v>
      </c>
      <c r="S114">
        <f t="shared" ref="S114" si="548">R114/100000</f>
        <v>590.77576290523837</v>
      </c>
      <c r="T114">
        <f t="shared" ref="T114" si="549">S114/1000</f>
        <v>0.59077576290523837</v>
      </c>
    </row>
    <row r="115" spans="1:20" x14ac:dyDescent="0.25">
      <c r="A115" s="5">
        <v>44478</v>
      </c>
      <c r="B115">
        <v>19.579999999999998</v>
      </c>
      <c r="C115">
        <v>19.97</v>
      </c>
      <c r="D115">
        <v>19.399999999999999</v>
      </c>
      <c r="E115">
        <v>19.670000000000002</v>
      </c>
      <c r="F115">
        <v>1480726.03</v>
      </c>
      <c r="G115">
        <v>19.670000000000002</v>
      </c>
      <c r="L115" t="s">
        <v>8</v>
      </c>
      <c r="M115" t="s">
        <v>8</v>
      </c>
      <c r="N115" t="s">
        <v>7</v>
      </c>
      <c r="P115">
        <f t="shared" ref="P115" si="550">IF(C115=D115,0,((E115-D115)-(C115-E115))/(C115-D115))</f>
        <v>-5.2631578947357927E-2</v>
      </c>
      <c r="Q115">
        <f t="shared" ref="Q115" si="551">F115*P115</f>
        <v>-77932.948947352881</v>
      </c>
      <c r="R115">
        <f t="shared" ref="R115" si="552">R116+Q115</f>
        <v>60850576.488216154</v>
      </c>
      <c r="S115">
        <f t="shared" ref="S115" si="553">R115/100000</f>
        <v>608.50576488216154</v>
      </c>
      <c r="T115">
        <f t="shared" ref="T115" si="554">S115/1000</f>
        <v>0.60850576488216157</v>
      </c>
    </row>
    <row r="116" spans="1:20" x14ac:dyDescent="0.25">
      <c r="A116" s="5">
        <v>44477</v>
      </c>
      <c r="B116">
        <v>19.440000000000001</v>
      </c>
      <c r="C116">
        <v>20.21</v>
      </c>
      <c r="D116">
        <v>18.7</v>
      </c>
      <c r="E116">
        <v>19.57</v>
      </c>
      <c r="F116">
        <v>3610542.73</v>
      </c>
      <c r="G116">
        <v>19.57</v>
      </c>
      <c r="L116" t="s">
        <v>7</v>
      </c>
      <c r="M116" t="s">
        <v>8</v>
      </c>
      <c r="N116" t="s">
        <v>7</v>
      </c>
      <c r="P116">
        <f t="shared" ref="P116" si="555">IF(C116=D116,0,((E116-D116)-(C116-E116))/(C116-D116))</f>
        <v>0.1523178807947021</v>
      </c>
      <c r="Q116">
        <f t="shared" ref="Q116" si="556">F116*P116</f>
        <v>549950.21715231834</v>
      </c>
      <c r="R116">
        <f t="shared" ref="R116" si="557">R117+Q116</f>
        <v>60928509.437163509</v>
      </c>
      <c r="S116">
        <f t="shared" ref="S116" si="558">R116/100000</f>
        <v>609.28509437163507</v>
      </c>
      <c r="T116">
        <f t="shared" ref="T116" si="559">S116/1000</f>
        <v>0.60928509437163503</v>
      </c>
    </row>
    <row r="117" spans="1:20" x14ac:dyDescent="0.25">
      <c r="A117" s="5">
        <v>44476</v>
      </c>
      <c r="B117">
        <v>19.75</v>
      </c>
      <c r="C117">
        <v>21.29</v>
      </c>
      <c r="D117">
        <v>19.25</v>
      </c>
      <c r="E117">
        <v>19.420000000000002</v>
      </c>
      <c r="F117">
        <v>5300729.4400000004</v>
      </c>
      <c r="G117">
        <v>19.420000000000002</v>
      </c>
      <c r="L117" t="s">
        <v>8</v>
      </c>
      <c r="M117" t="s">
        <v>8</v>
      </c>
      <c r="N117" t="s">
        <v>7</v>
      </c>
      <c r="P117">
        <f t="shared" ref="P117" si="560">IF(C117=D117,0,((E117-D117)-(C117-E117))/(C117-D117))</f>
        <v>-0.83333333333333159</v>
      </c>
      <c r="Q117">
        <f t="shared" ref="Q117" si="561">F117*P117</f>
        <v>-4417274.5333333248</v>
      </c>
      <c r="R117">
        <f t="shared" ref="R117" si="562">R118+Q117</f>
        <v>60378559.22001119</v>
      </c>
      <c r="S117">
        <f t="shared" ref="S117" si="563">R117/100000</f>
        <v>603.78559220011186</v>
      </c>
      <c r="T117">
        <f t="shared" ref="T117" si="564">S117/1000</f>
        <v>0.60378559220011185</v>
      </c>
    </row>
    <row r="118" spans="1:20" x14ac:dyDescent="0.25">
      <c r="A118" s="5">
        <v>44475</v>
      </c>
      <c r="B118">
        <v>19.96</v>
      </c>
      <c r="C118">
        <v>20</v>
      </c>
      <c r="D118">
        <v>18.57</v>
      </c>
      <c r="E118">
        <v>19.75</v>
      </c>
      <c r="F118">
        <v>3342607.05</v>
      </c>
      <c r="G118">
        <v>19.75</v>
      </c>
      <c r="L118" t="s">
        <v>7</v>
      </c>
      <c r="M118" t="s">
        <v>8</v>
      </c>
      <c r="N118" t="s">
        <v>7</v>
      </c>
      <c r="P118">
        <f t="shared" ref="P118" si="565">IF(C118=D118,0,((E118-D118)-(C118-E118))/(C118-D118))</f>
        <v>0.65034965034965031</v>
      </c>
      <c r="Q118">
        <f t="shared" ref="Q118" si="566">F118*P118</f>
        <v>2173863.3262237757</v>
      </c>
      <c r="R118">
        <f t="shared" ref="R118" si="567">R119+Q118</f>
        <v>64795833.753344513</v>
      </c>
      <c r="S118">
        <f t="shared" ref="S118" si="568">R118/100000</f>
        <v>647.95833753344516</v>
      </c>
      <c r="T118">
        <f t="shared" ref="T118" si="569">S118/1000</f>
        <v>0.64795833753344512</v>
      </c>
    </row>
    <row r="119" spans="1:20" x14ac:dyDescent="0.25">
      <c r="A119" s="5">
        <v>44474</v>
      </c>
      <c r="B119">
        <v>19.29</v>
      </c>
      <c r="C119">
        <v>20.04</v>
      </c>
      <c r="D119">
        <v>19.010000000000002</v>
      </c>
      <c r="E119">
        <v>19.96</v>
      </c>
      <c r="F119">
        <v>2398101.11</v>
      </c>
      <c r="G119">
        <v>19.96</v>
      </c>
      <c r="L119" t="s">
        <v>7</v>
      </c>
      <c r="M119" t="s">
        <v>8</v>
      </c>
      <c r="N119" t="s">
        <v>7</v>
      </c>
      <c r="P119">
        <f t="shared" ref="P119" si="570">IF(C119=D119,0,((E119-D119)-(C119-E119))/(C119-D119))</f>
        <v>0.84466019417476024</v>
      </c>
      <c r="Q119">
        <f t="shared" ref="Q119" si="571">F119*P119</f>
        <v>2025580.549223308</v>
      </c>
      <c r="R119">
        <f t="shared" ref="R119" si="572">R120+Q119</f>
        <v>62621970.427120738</v>
      </c>
      <c r="S119">
        <f t="shared" ref="S119" si="573">R119/100000</f>
        <v>626.21970427120743</v>
      </c>
      <c r="T119">
        <f t="shared" ref="T119" si="574">S119/1000</f>
        <v>0.62621970427120743</v>
      </c>
    </row>
    <row r="120" spans="1:20" x14ac:dyDescent="0.25">
      <c r="A120" s="5">
        <v>44473</v>
      </c>
      <c r="B120">
        <v>19.68</v>
      </c>
      <c r="C120">
        <v>19.7</v>
      </c>
      <c r="D120">
        <v>18.82</v>
      </c>
      <c r="E120">
        <v>19.309999999999999</v>
      </c>
      <c r="F120">
        <v>2168585.6800000002</v>
      </c>
      <c r="G120">
        <v>19.309999999999999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0.11363636363636134</v>
      </c>
      <c r="Q120">
        <f t="shared" ref="Q120" si="576">F120*P120</f>
        <v>246430.19090908594</v>
      </c>
      <c r="R120">
        <f t="shared" ref="R120" si="577">R121+Q120</f>
        <v>60596389.877897426</v>
      </c>
      <c r="S120">
        <f t="shared" ref="S120" si="578">R120/100000</f>
        <v>605.96389877897423</v>
      </c>
      <c r="T120">
        <f t="shared" ref="T120" si="579">S120/1000</f>
        <v>0.60596389877897427</v>
      </c>
    </row>
    <row r="121" spans="1:20" x14ac:dyDescent="0.25">
      <c r="A121" s="5">
        <v>44472</v>
      </c>
      <c r="B121">
        <v>19.95</v>
      </c>
      <c r="C121">
        <v>20.239999999999998</v>
      </c>
      <c r="D121">
        <v>19.5</v>
      </c>
      <c r="E121">
        <v>19.66</v>
      </c>
      <c r="F121">
        <v>1992830.52</v>
      </c>
      <c r="G121">
        <v>19.66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-0.56756756756756632</v>
      </c>
      <c r="Q121">
        <f t="shared" ref="Q121" si="581">F121*P121</f>
        <v>-1131065.9708108082</v>
      </c>
      <c r="R121">
        <f t="shared" ref="R121" si="582">R122+Q121</f>
        <v>60349959.686988339</v>
      </c>
      <c r="S121">
        <f t="shared" ref="S121" si="583">R121/100000</f>
        <v>603.49959686988336</v>
      </c>
      <c r="T121">
        <f t="shared" ref="T121" si="584">S121/1000</f>
        <v>0.60349959686988341</v>
      </c>
    </row>
    <row r="122" spans="1:20" x14ac:dyDescent="0.25">
      <c r="A122" s="5">
        <v>44471</v>
      </c>
      <c r="B122">
        <v>19.95</v>
      </c>
      <c r="C122">
        <v>20.45</v>
      </c>
      <c r="D122">
        <v>19.41</v>
      </c>
      <c r="E122">
        <v>19.95</v>
      </c>
      <c r="F122">
        <v>2176767.9900000002</v>
      </c>
      <c r="G122">
        <v>19.95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3.8461538461537673E-2</v>
      </c>
      <c r="Q122">
        <f t="shared" ref="Q122" si="586">F122*P122</f>
        <v>83721.845769229054</v>
      </c>
      <c r="R122">
        <f t="shared" ref="R122" si="587">R123+Q122</f>
        <v>61481025.657799147</v>
      </c>
      <c r="S122">
        <f t="shared" ref="S122" si="588">R122/100000</f>
        <v>614.81025657799148</v>
      </c>
      <c r="T122">
        <f t="shared" ref="T122" si="589">S122/1000</f>
        <v>0.61481025657799149</v>
      </c>
    </row>
    <row r="123" spans="1:20" x14ac:dyDescent="0.25">
      <c r="A123" s="5">
        <v>44470</v>
      </c>
      <c r="B123">
        <v>18.91</v>
      </c>
      <c r="C123">
        <v>20.100000000000001</v>
      </c>
      <c r="D123">
        <v>18.59</v>
      </c>
      <c r="E123">
        <v>19.96</v>
      </c>
      <c r="F123">
        <v>3391912.85</v>
      </c>
      <c r="G123">
        <v>19.96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0.81456953642384045</v>
      </c>
      <c r="Q123">
        <f t="shared" ref="Q123" si="591">F123*P123</f>
        <v>2762948.8778145676</v>
      </c>
      <c r="R123">
        <f t="shared" ref="R123" si="592">R124+Q123</f>
        <v>61397303.812029921</v>
      </c>
      <c r="S123">
        <f t="shared" ref="S123" si="593">R123/100000</f>
        <v>613.97303812029918</v>
      </c>
      <c r="T123">
        <f t="shared" ref="T123" si="594">S123/1000</f>
        <v>0.61397303812029913</v>
      </c>
    </row>
    <row r="124" spans="1:20" x14ac:dyDescent="0.25">
      <c r="A124" s="5">
        <v>44469</v>
      </c>
      <c r="B124">
        <v>18.55</v>
      </c>
      <c r="C124">
        <v>19.37</v>
      </c>
      <c r="D124">
        <v>18.41</v>
      </c>
      <c r="E124">
        <v>18.91</v>
      </c>
      <c r="F124">
        <v>2554039.04</v>
      </c>
      <c r="G124">
        <v>18.91</v>
      </c>
      <c r="L124" t="s">
        <v>8</v>
      </c>
      <c r="M124" t="s">
        <v>8</v>
      </c>
      <c r="N124" t="s">
        <v>7</v>
      </c>
      <c r="P124">
        <f t="shared" ref="P124" si="595">IF(C124=D124,0,((E124-D124)-(C124-E124))/(C124-D124))</f>
        <v>4.1666666666665741E-2</v>
      </c>
      <c r="Q124">
        <f t="shared" ref="Q124" si="596">F124*P124</f>
        <v>106418.29333333098</v>
      </c>
      <c r="R124">
        <f t="shared" ref="R124" si="597">R125+Q124</f>
        <v>58634354.934215352</v>
      </c>
      <c r="S124">
        <f t="shared" ref="S124" si="598">R124/100000</f>
        <v>586.34354934215355</v>
      </c>
      <c r="T124">
        <f t="shared" ref="T124" si="599">S124/1000</f>
        <v>0.5863435493421536</v>
      </c>
    </row>
    <row r="125" spans="1:20" x14ac:dyDescent="0.25">
      <c r="A125" s="5">
        <v>44468</v>
      </c>
      <c r="B125">
        <v>18.11</v>
      </c>
      <c r="C125">
        <v>19.61</v>
      </c>
      <c r="D125">
        <v>17.98</v>
      </c>
      <c r="E125">
        <v>18.53</v>
      </c>
      <c r="F125">
        <v>2902330.43</v>
      </c>
      <c r="G125">
        <v>18.53</v>
      </c>
      <c r="L125" t="s">
        <v>8</v>
      </c>
      <c r="M125" t="s">
        <v>8</v>
      </c>
      <c r="N125" t="s">
        <v>7</v>
      </c>
      <c r="P125">
        <f t="shared" ref="P125" si="600">IF(C125=D125,0,((E125-D125)-(C125-E125))/(C125-D125))</f>
        <v>-0.32515337423312757</v>
      </c>
      <c r="Q125">
        <f t="shared" ref="Q125" si="601">F125*P125</f>
        <v>-943702.53245398414</v>
      </c>
      <c r="R125">
        <f t="shared" ref="R125" si="602">R126+Q125</f>
        <v>58527936.640882023</v>
      </c>
      <c r="S125">
        <f t="shared" ref="S125" si="603">R125/100000</f>
        <v>585.27936640882024</v>
      </c>
      <c r="T125">
        <f t="shared" ref="T125" si="604">S125/1000</f>
        <v>0.58527936640882028</v>
      </c>
    </row>
    <row r="126" spans="1:20" x14ac:dyDescent="0.25">
      <c r="A126" s="5">
        <v>44467</v>
      </c>
      <c r="B126">
        <v>18.420000000000002</v>
      </c>
      <c r="C126">
        <v>18.71</v>
      </c>
      <c r="D126">
        <v>18</v>
      </c>
      <c r="E126">
        <v>18.11</v>
      </c>
      <c r="F126">
        <v>2406071.09</v>
      </c>
      <c r="G126">
        <v>18.11</v>
      </c>
      <c r="L126" t="s">
        <v>7</v>
      </c>
      <c r="M126" t="s">
        <v>8</v>
      </c>
      <c r="N126" t="s">
        <v>7</v>
      </c>
      <c r="P126">
        <f t="shared" ref="P126" si="605">IF(C126=D126,0,((E126-D126)-(C126-E126))/(C126-D126))</f>
        <v>-0.6901408450704245</v>
      </c>
      <c r="Q126">
        <f t="shared" ref="Q126" si="606">F126*P126</f>
        <v>-1660527.9353521173</v>
      </c>
      <c r="R126">
        <f t="shared" ref="R126" si="607">R127+Q126</f>
        <v>59471639.173336007</v>
      </c>
      <c r="S126">
        <f t="shared" ref="S126" si="608">R126/100000</f>
        <v>594.71639173336007</v>
      </c>
      <c r="T126">
        <f t="shared" ref="T126" si="609">S126/1000</f>
        <v>0.59471639173336011</v>
      </c>
    </row>
    <row r="127" spans="1:20" x14ac:dyDescent="0.25">
      <c r="A127" s="5">
        <v>44466</v>
      </c>
      <c r="B127">
        <v>18.63</v>
      </c>
      <c r="C127">
        <v>19.8</v>
      </c>
      <c r="D127">
        <v>18.38</v>
      </c>
      <c r="E127">
        <v>18.41</v>
      </c>
      <c r="F127">
        <v>3871579.94</v>
      </c>
      <c r="G127">
        <v>18.41</v>
      </c>
      <c r="L127" t="s">
        <v>8</v>
      </c>
      <c r="M127" t="s">
        <v>8</v>
      </c>
      <c r="N127" t="s">
        <v>7</v>
      </c>
      <c r="P127">
        <f t="shared" ref="P127" si="610">IF(C127=D127,0,((E127-D127)-(C127-E127))/(C127-D127))</f>
        <v>-0.95774647887323794</v>
      </c>
      <c r="Q127">
        <f t="shared" ref="Q127" si="611">F127*P127</f>
        <v>-3707992.0552112618</v>
      </c>
      <c r="R127">
        <f t="shared" ref="R127" si="612">R128+Q127</f>
        <v>61132167.108688124</v>
      </c>
      <c r="S127">
        <f t="shared" ref="S127" si="613">R127/100000</f>
        <v>611.32167108688122</v>
      </c>
      <c r="T127">
        <f t="shared" ref="T127" si="614">S127/1000</f>
        <v>0.61132167108688118</v>
      </c>
    </row>
    <row r="128" spans="1:20" x14ac:dyDescent="0.25">
      <c r="A128" s="5">
        <v>44465</v>
      </c>
      <c r="B128">
        <v>18.489999999999998</v>
      </c>
      <c r="C128">
        <v>19.7</v>
      </c>
      <c r="D128">
        <v>16.89</v>
      </c>
      <c r="E128">
        <v>18.64</v>
      </c>
      <c r="F128">
        <v>5207815.2580000004</v>
      </c>
      <c r="G128">
        <v>18.64</v>
      </c>
      <c r="L128" t="s">
        <v>8</v>
      </c>
      <c r="M128" t="s">
        <v>7</v>
      </c>
      <c r="N128" t="s">
        <v>7</v>
      </c>
      <c r="P128">
        <f t="shared" ref="P128" si="615">IF(C128=D128,0,((E128-D128)-(C128-E128))/(C128-D128))</f>
        <v>0.24555160142348811</v>
      </c>
      <c r="Q128">
        <f t="shared" ref="Q128" si="616">F128*P128</f>
        <v>1278787.3765195759</v>
      </c>
      <c r="R128">
        <f t="shared" ref="R128" si="617">R129+Q128</f>
        <v>64840159.163899384</v>
      </c>
      <c r="S128">
        <f t="shared" ref="S128" si="618">R128/100000</f>
        <v>648.40159163899386</v>
      </c>
      <c r="T128">
        <f t="shared" ref="T128" si="619">S128/1000</f>
        <v>0.64840159163899391</v>
      </c>
    </row>
    <row r="129" spans="1:20" x14ac:dyDescent="0.25">
      <c r="A129" s="5">
        <v>44464</v>
      </c>
      <c r="B129">
        <v>18.86</v>
      </c>
      <c r="C129">
        <v>19.11</v>
      </c>
      <c r="D129">
        <v>17.86</v>
      </c>
      <c r="E129">
        <v>18.489999999999998</v>
      </c>
      <c r="F129">
        <v>1955473.14</v>
      </c>
      <c r="G129">
        <v>18.489999999999998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7.9999999999984077E-3</v>
      </c>
      <c r="Q129">
        <f t="shared" ref="Q129" si="621">F129*P129</f>
        <v>15643.785119996886</v>
      </c>
      <c r="R129">
        <f t="shared" ref="R129" si="622">R130+Q129</f>
        <v>63561371.787379809</v>
      </c>
      <c r="S129">
        <f t="shared" ref="S129" si="623">R129/100000</f>
        <v>635.61371787379812</v>
      </c>
      <c r="T129">
        <f t="shared" ref="T129" si="624">S129/1000</f>
        <v>0.63561371787379817</v>
      </c>
    </row>
    <row r="130" spans="1:20" x14ac:dyDescent="0.25">
      <c r="A130" s="5">
        <v>44463</v>
      </c>
      <c r="B130">
        <v>20.079999999999998</v>
      </c>
      <c r="C130">
        <v>20.45</v>
      </c>
      <c r="D130">
        <v>17.3</v>
      </c>
      <c r="E130">
        <v>18.86</v>
      </c>
      <c r="F130">
        <v>5061106.9539999999</v>
      </c>
      <c r="G130">
        <v>18.86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-9.523809523809889E-3</v>
      </c>
      <c r="Q130">
        <f t="shared" ref="Q130" si="626">F130*P130</f>
        <v>-48201.018609525658</v>
      </c>
      <c r="R130">
        <f t="shared" ref="R130" si="627">R131+Q130</f>
        <v>63545728.002259813</v>
      </c>
      <c r="S130">
        <f t="shared" ref="S130" si="628">R130/100000</f>
        <v>635.45728002259818</v>
      </c>
      <c r="T130">
        <f t="shared" ref="T130" si="629">S130/1000</f>
        <v>0.63545728002259816</v>
      </c>
    </row>
    <row r="131" spans="1:20" x14ac:dyDescent="0.25">
      <c r="A131" s="5">
        <v>44462</v>
      </c>
      <c r="B131">
        <v>20.22</v>
      </c>
      <c r="C131">
        <v>20.56</v>
      </c>
      <c r="D131">
        <v>19.53</v>
      </c>
      <c r="E131">
        <v>20.07</v>
      </c>
      <c r="F131">
        <v>2458788.16</v>
      </c>
      <c r="G131">
        <v>20.07</v>
      </c>
      <c r="L131" t="s">
        <v>8</v>
      </c>
      <c r="M131" t="s">
        <v>7</v>
      </c>
      <c r="N131" t="s">
        <v>7</v>
      </c>
      <c r="P131">
        <f t="shared" ref="P131" si="630">IF(C131=D131,0,((E131-D131)-(C131-E131))/(C131-D131))</f>
        <v>4.8543689320389154E-2</v>
      </c>
      <c r="Q131">
        <f t="shared" ref="Q131" si="631">F131*P131</f>
        <v>119358.64854369131</v>
      </c>
      <c r="R131">
        <f t="shared" ref="R131" si="632">R132+Q131</f>
        <v>63593929.020869337</v>
      </c>
      <c r="S131">
        <f t="shared" ref="S131" si="633">R131/100000</f>
        <v>635.93929020869336</v>
      </c>
      <c r="T131">
        <f t="shared" ref="T131" si="634">S131/1000</f>
        <v>0.63593929020869333</v>
      </c>
    </row>
    <row r="132" spans="1:20" x14ac:dyDescent="0.25">
      <c r="A132" s="5">
        <v>44461</v>
      </c>
      <c r="B132">
        <v>17.899999999999999</v>
      </c>
      <c r="C132">
        <v>20.25</v>
      </c>
      <c r="D132">
        <v>17.760000000000002</v>
      </c>
      <c r="E132">
        <v>20.21</v>
      </c>
      <c r="F132">
        <v>3649961.67</v>
      </c>
      <c r="G132">
        <v>20.21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0.96787148594377581</v>
      </c>
      <c r="Q132">
        <f t="shared" ref="Q132" si="636">F132*P132</f>
        <v>3532693.8251807252</v>
      </c>
      <c r="R132">
        <f t="shared" ref="R132" si="637">R133+Q132</f>
        <v>63474570.372325644</v>
      </c>
      <c r="S132">
        <f t="shared" ref="S132" si="638">R132/100000</f>
        <v>634.74570372325638</v>
      </c>
      <c r="T132">
        <f t="shared" ref="T132" si="639">S132/1000</f>
        <v>0.63474570372325634</v>
      </c>
    </row>
    <row r="133" spans="1:20" x14ac:dyDescent="0.25">
      <c r="A133" s="5">
        <v>44460</v>
      </c>
      <c r="B133">
        <v>19.14</v>
      </c>
      <c r="C133">
        <v>20.12</v>
      </c>
      <c r="D133">
        <v>17.41</v>
      </c>
      <c r="E133">
        <v>17.899999999999999</v>
      </c>
      <c r="F133">
        <v>5557425.1579999998</v>
      </c>
      <c r="G133">
        <v>17.899999999999999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-0.63837638376383887</v>
      </c>
      <c r="Q133">
        <f t="shared" ref="Q133" si="641">F133*P133</f>
        <v>-3547728.9754022206</v>
      </c>
      <c r="R133">
        <f t="shared" ref="R133" si="642">R134+Q133</f>
        <v>59941876.54714492</v>
      </c>
      <c r="S133">
        <f t="shared" ref="S133" si="643">R133/100000</f>
        <v>599.41876547144921</v>
      </c>
      <c r="T133">
        <f t="shared" ref="T133" si="644">S133/1000</f>
        <v>0.59941876547144923</v>
      </c>
    </row>
    <row r="134" spans="1:20" x14ac:dyDescent="0.25">
      <c r="A134" s="5">
        <v>44459</v>
      </c>
      <c r="B134">
        <v>22.78</v>
      </c>
      <c r="C134">
        <v>22.86</v>
      </c>
      <c r="D134">
        <v>20.36</v>
      </c>
      <c r="E134">
        <v>20.72</v>
      </c>
      <c r="F134">
        <v>2737838.73</v>
      </c>
      <c r="G134">
        <v>20.72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-0.71200000000000041</v>
      </c>
      <c r="Q134">
        <f t="shared" ref="Q134" si="646">F134*P134</f>
        <v>-1949341.1757600012</v>
      </c>
      <c r="R134">
        <f t="shared" ref="R134" si="647">R135+Q134</f>
        <v>63489605.522547141</v>
      </c>
      <c r="S134">
        <f t="shared" ref="S134" si="648">R134/100000</f>
        <v>634.8960552254714</v>
      </c>
      <c r="T134">
        <f t="shared" ref="T134" si="649">S134/1000</f>
        <v>0.63489605522547143</v>
      </c>
    </row>
    <row r="135" spans="1:20" x14ac:dyDescent="0.25">
      <c r="A135" s="5">
        <v>44458</v>
      </c>
      <c r="B135">
        <v>22.41</v>
      </c>
      <c r="C135">
        <v>23.9</v>
      </c>
      <c r="D135">
        <v>21.87</v>
      </c>
      <c r="E135">
        <v>22.78</v>
      </c>
      <c r="F135">
        <v>3578566.33</v>
      </c>
      <c r="G135">
        <v>22.78</v>
      </c>
      <c r="L135" t="s">
        <v>8</v>
      </c>
      <c r="M135" t="s">
        <v>8</v>
      </c>
      <c r="N135" t="s">
        <v>7</v>
      </c>
      <c r="P135">
        <f t="shared" ref="P135" si="650">IF(C135=D135,0,((E135-D135)-(C135-E135))/(C135-D135))</f>
        <v>-0.10344827586206776</v>
      </c>
      <c r="Q135">
        <f t="shared" ref="Q135" si="651">F135*P135</f>
        <v>-370196.5168965474</v>
      </c>
      <c r="R135">
        <f t="shared" ref="R135" si="652">R136+Q135</f>
        <v>65438946.698307142</v>
      </c>
      <c r="S135">
        <f t="shared" ref="S135" si="653">R135/100000</f>
        <v>654.38946698307143</v>
      </c>
      <c r="T135">
        <f t="shared" ref="T135" si="654">S135/1000</f>
        <v>0.65438946698307143</v>
      </c>
    </row>
    <row r="136" spans="1:20" x14ac:dyDescent="0.25">
      <c r="A136" s="5">
        <v>44457</v>
      </c>
      <c r="B136">
        <v>21.33</v>
      </c>
      <c r="C136">
        <v>23.02</v>
      </c>
      <c r="D136">
        <v>21.08</v>
      </c>
      <c r="E136">
        <v>22.41</v>
      </c>
      <c r="F136">
        <v>2646583.15</v>
      </c>
      <c r="G136">
        <v>22.41</v>
      </c>
      <c r="L136" t="s">
        <v>8</v>
      </c>
      <c r="M136" t="s">
        <v>8</v>
      </c>
      <c r="N136" t="s">
        <v>7</v>
      </c>
      <c r="P136">
        <f t="shared" ref="P136" si="655">IF(C136=D136,0,((E136-D136)-(C136-E136))/(C136-D136))</f>
        <v>0.37113402061855771</v>
      </c>
      <c r="Q136">
        <f t="shared" ref="Q136" si="656">F136*P136</f>
        <v>982237.04536082735</v>
      </c>
      <c r="R136">
        <f t="shared" ref="R136" si="657">R137+Q136</f>
        <v>65809143.215203688</v>
      </c>
      <c r="S136">
        <f t="shared" ref="S136" si="658">R136/100000</f>
        <v>658.09143215203687</v>
      </c>
      <c r="T136">
        <f t="shared" ref="T136" si="659">S136/1000</f>
        <v>0.65809143215203691</v>
      </c>
    </row>
    <row r="137" spans="1:20" x14ac:dyDescent="0.25">
      <c r="A137" s="5">
        <v>44456</v>
      </c>
      <c r="B137">
        <v>22.32</v>
      </c>
      <c r="C137">
        <v>22.37</v>
      </c>
      <c r="D137">
        <v>21.06</v>
      </c>
      <c r="E137">
        <v>21.32</v>
      </c>
      <c r="F137">
        <v>2391811.88</v>
      </c>
      <c r="G137">
        <v>21.32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-0.60305343511450216</v>
      </c>
      <c r="Q137">
        <f t="shared" ref="Q137" si="661">F137*P137</f>
        <v>-1442390.3703816754</v>
      </c>
      <c r="R137">
        <f t="shared" ref="R137" si="662">R138+Q137</f>
        <v>64826906.169842862</v>
      </c>
      <c r="S137">
        <f t="shared" ref="S137" si="663">R137/100000</f>
        <v>648.26906169842857</v>
      </c>
      <c r="T137">
        <f t="shared" ref="T137" si="664">S137/1000</f>
        <v>0.64826906169842857</v>
      </c>
    </row>
    <row r="138" spans="1:20" x14ac:dyDescent="0.25">
      <c r="A138" s="5">
        <v>44455</v>
      </c>
      <c r="B138">
        <v>22.59</v>
      </c>
      <c r="C138">
        <v>23.1</v>
      </c>
      <c r="D138">
        <v>21.87</v>
      </c>
      <c r="E138">
        <v>22.32</v>
      </c>
      <c r="F138">
        <v>3351162.07</v>
      </c>
      <c r="G138">
        <v>22.32</v>
      </c>
      <c r="L138" t="s">
        <v>8</v>
      </c>
      <c r="M138" t="s">
        <v>8</v>
      </c>
      <c r="N138" t="s">
        <v>7</v>
      </c>
      <c r="P138">
        <f t="shared" ref="P138" si="665">IF(C138=D138,0,((E138-D138)-(C138-E138))/(C138-D138))</f>
        <v>-0.26829268292683067</v>
      </c>
      <c r="Q138">
        <f t="shared" ref="Q138" si="666">F138*P138</f>
        <v>-899092.2626829315</v>
      </c>
      <c r="R138">
        <f t="shared" ref="R138" si="667">R139+Q138</f>
        <v>66269296.540224537</v>
      </c>
      <c r="S138">
        <f t="shared" ref="S138" si="668">R138/100000</f>
        <v>662.69296540224536</v>
      </c>
      <c r="T138">
        <f t="shared" ref="T138" si="669">S138/1000</f>
        <v>0.66269296540224532</v>
      </c>
    </row>
    <row r="139" spans="1:20" x14ac:dyDescent="0.25">
      <c r="A139" s="5">
        <v>44454</v>
      </c>
      <c r="B139">
        <v>20.83</v>
      </c>
      <c r="C139">
        <v>22.85</v>
      </c>
      <c r="D139">
        <v>20.53</v>
      </c>
      <c r="E139">
        <v>22.58</v>
      </c>
      <c r="F139">
        <v>4198615.66</v>
      </c>
      <c r="G139">
        <v>22.58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0.7672413793103422</v>
      </c>
      <c r="Q139">
        <f t="shared" ref="Q139" si="671">F139*P139</f>
        <v>3221351.6701724026</v>
      </c>
      <c r="R139">
        <f t="shared" ref="R139" si="672">R140+Q139</f>
        <v>67168388.802907467</v>
      </c>
      <c r="S139">
        <f t="shared" ref="S139" si="673">R139/100000</f>
        <v>671.68388802907464</v>
      </c>
      <c r="T139">
        <f t="shared" ref="T139" si="674">S139/1000</f>
        <v>0.67168388802907464</v>
      </c>
    </row>
    <row r="140" spans="1:20" x14ac:dyDescent="0.25">
      <c r="A140" s="5">
        <v>44453</v>
      </c>
      <c r="B140">
        <v>19.41</v>
      </c>
      <c r="C140">
        <v>20.84</v>
      </c>
      <c r="D140">
        <v>19.23</v>
      </c>
      <c r="E140">
        <v>20.83</v>
      </c>
      <c r="F140">
        <v>2181602.59</v>
      </c>
      <c r="G140">
        <v>20.83</v>
      </c>
      <c r="L140" t="s">
        <v>8</v>
      </c>
      <c r="M140" t="s">
        <v>8</v>
      </c>
      <c r="N140" t="s">
        <v>7</v>
      </c>
      <c r="P140">
        <f t="shared" ref="P140" si="675">IF(C140=D140,0,((E140-D140)-(C140-E140))/(C140-D140))</f>
        <v>0.98757763975155088</v>
      </c>
      <c r="Q140">
        <f t="shared" ref="Q140" si="676">F140*P140</f>
        <v>2154501.9367080703</v>
      </c>
      <c r="R140">
        <f t="shared" ref="R140" si="677">R141+Q140</f>
        <v>63947037.132735059</v>
      </c>
      <c r="S140">
        <f t="shared" ref="S140" si="678">R140/100000</f>
        <v>639.47037132735056</v>
      </c>
      <c r="T140">
        <f t="shared" ref="T140" si="679">S140/1000</f>
        <v>0.63947037132735052</v>
      </c>
    </row>
    <row r="141" spans="1:20" x14ac:dyDescent="0.25">
      <c r="A141" s="5">
        <v>44452</v>
      </c>
      <c r="B141">
        <v>20.420000000000002</v>
      </c>
      <c r="C141">
        <v>20.61</v>
      </c>
      <c r="D141">
        <v>18.5</v>
      </c>
      <c r="E141">
        <v>19.41</v>
      </c>
      <c r="F141">
        <v>3331210.07</v>
      </c>
      <c r="G141">
        <v>19.41</v>
      </c>
      <c r="L141" t="s">
        <v>7</v>
      </c>
      <c r="M141" t="s">
        <v>8</v>
      </c>
      <c r="N141" t="s">
        <v>7</v>
      </c>
      <c r="P141">
        <f t="shared" ref="P141" si="680">IF(C141=D141,0,((E141-D141)-(C141-E141))/(C141-D141))</f>
        <v>-0.13744075829383851</v>
      </c>
      <c r="Q141">
        <f t="shared" ref="Q141" si="681">F141*P141</f>
        <v>-457844.03805687081</v>
      </c>
      <c r="R141">
        <f t="shared" ref="R141" si="682">R142+Q141</f>
        <v>61792535.196026988</v>
      </c>
      <c r="S141">
        <f t="shared" ref="S141" si="683">R141/100000</f>
        <v>617.92535196026984</v>
      </c>
      <c r="T141">
        <f t="shared" ref="T141" si="684">S141/1000</f>
        <v>0.61792535196026988</v>
      </c>
    </row>
    <row r="142" spans="1:20" x14ac:dyDescent="0.25">
      <c r="A142" s="5">
        <v>44451</v>
      </c>
      <c r="B142">
        <v>19.600000000000001</v>
      </c>
      <c r="C142">
        <v>20.75</v>
      </c>
      <c r="D142">
        <v>19.3</v>
      </c>
      <c r="E142">
        <v>20.420000000000002</v>
      </c>
      <c r="F142">
        <v>1880112.88</v>
      </c>
      <c r="G142">
        <v>20.420000000000002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0.54482758620689864</v>
      </c>
      <c r="Q142">
        <f t="shared" ref="Q142" si="686">F142*P142</f>
        <v>1024337.3622069004</v>
      </c>
      <c r="R142">
        <f t="shared" ref="R142" si="687">R143+Q142</f>
        <v>62250379.234083861</v>
      </c>
      <c r="S142">
        <f t="shared" ref="S142" si="688">R142/100000</f>
        <v>622.50379234083857</v>
      </c>
      <c r="T142">
        <f t="shared" ref="T142" si="689">S142/1000</f>
        <v>0.62250379234083852</v>
      </c>
    </row>
    <row r="143" spans="1:20" x14ac:dyDescent="0.25">
      <c r="A143" s="5">
        <v>44450</v>
      </c>
      <c r="B143">
        <v>19.07</v>
      </c>
      <c r="C143">
        <v>20.12</v>
      </c>
      <c r="D143">
        <v>18.98</v>
      </c>
      <c r="E143">
        <v>19.61</v>
      </c>
      <c r="F143">
        <v>1985649.22</v>
      </c>
      <c r="G143">
        <v>19.61</v>
      </c>
      <c r="L143" t="s">
        <v>8</v>
      </c>
      <c r="M143" t="s">
        <v>8</v>
      </c>
      <c r="N143" t="s">
        <v>7</v>
      </c>
      <c r="P143">
        <f t="shared" ref="P143" si="690">IF(C143=D143,0,((E143-D143)-(C143-E143))/(C143-D143))</f>
        <v>0.10526315789473455</v>
      </c>
      <c r="Q143">
        <f t="shared" ref="Q143" si="691">F143*P143</f>
        <v>209015.70736841648</v>
      </c>
      <c r="R143">
        <f t="shared" ref="R143" si="692">R144+Q143</f>
        <v>61226041.871876962</v>
      </c>
      <c r="S143">
        <f t="shared" ref="S143" si="693">R143/100000</f>
        <v>612.26041871876964</v>
      </c>
      <c r="T143">
        <f t="shared" ref="T143" si="694">S143/1000</f>
        <v>0.61226041871876968</v>
      </c>
    </row>
    <row r="144" spans="1:20" x14ac:dyDescent="0.25">
      <c r="A144" s="5">
        <v>44449</v>
      </c>
      <c r="B144">
        <v>20.54</v>
      </c>
      <c r="C144">
        <v>21.5</v>
      </c>
      <c r="D144">
        <v>18.600000000000001</v>
      </c>
      <c r="E144">
        <v>19.07</v>
      </c>
      <c r="F144">
        <v>3590862.37</v>
      </c>
      <c r="G144">
        <v>19.07</v>
      </c>
      <c r="L144" t="s">
        <v>7</v>
      </c>
      <c r="M144" t="s">
        <v>8</v>
      </c>
      <c r="N144" t="s">
        <v>7</v>
      </c>
      <c r="P144">
        <f t="shared" ref="P144" si="695">IF(C144=D144,0,((E144-D144)-(C144-E144))/(C144-D144))</f>
        <v>-0.67586206896551781</v>
      </c>
      <c r="Q144">
        <f t="shared" ref="Q144" si="696">F144*P144</f>
        <v>-2426927.6707586227</v>
      </c>
      <c r="R144">
        <f t="shared" ref="R144" si="697">R145+Q144</f>
        <v>61017026.164508544</v>
      </c>
      <c r="S144">
        <f t="shared" ref="S144" si="698">R144/100000</f>
        <v>610.17026164508547</v>
      </c>
      <c r="T144">
        <f t="shared" ref="T144" si="699">S144/1000</f>
        <v>0.61017026164508548</v>
      </c>
    </row>
    <row r="145" spans="1:20" x14ac:dyDescent="0.25">
      <c r="A145" s="5">
        <v>44448</v>
      </c>
      <c r="B145">
        <v>20.13</v>
      </c>
      <c r="C145">
        <v>21.27</v>
      </c>
      <c r="D145">
        <v>19.5</v>
      </c>
      <c r="E145">
        <v>20.53</v>
      </c>
      <c r="F145">
        <v>3520483.3</v>
      </c>
      <c r="G145">
        <v>20.53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0.16384180790960609</v>
      </c>
      <c r="Q145">
        <f t="shared" ref="Q145" si="701">F145*P145</f>
        <v>576802.34858757607</v>
      </c>
      <c r="R145">
        <f t="shared" ref="R145" si="702">R146+Q145</f>
        <v>63443953.835267164</v>
      </c>
      <c r="S145">
        <f t="shared" ref="S145" si="703">R145/100000</f>
        <v>634.43953835267166</v>
      </c>
      <c r="T145">
        <f t="shared" ref="T145" si="704">S145/1000</f>
        <v>0.63443953835267164</v>
      </c>
    </row>
    <row r="146" spans="1:20" x14ac:dyDescent="0.25">
      <c r="A146" s="5">
        <v>44447</v>
      </c>
      <c r="B146">
        <v>20.8</v>
      </c>
      <c r="C146">
        <v>20.88</v>
      </c>
      <c r="D146">
        <v>17.78</v>
      </c>
      <c r="E146">
        <v>20.13</v>
      </c>
      <c r="F146">
        <v>6595249.5839999998</v>
      </c>
      <c r="G146">
        <v>20.13</v>
      </c>
      <c r="L146" t="s">
        <v>7</v>
      </c>
      <c r="M146" t="s">
        <v>7</v>
      </c>
      <c r="N146" t="s">
        <v>7</v>
      </c>
      <c r="P146">
        <f t="shared" ref="P146" si="705">IF(C146=D146,0,((E146-D146)-(C146-E146))/(C146-D146))</f>
        <v>0.51612903225806417</v>
      </c>
      <c r="Q146">
        <f t="shared" ref="Q146" si="706">F146*P146</f>
        <v>3403999.7852903204</v>
      </c>
      <c r="R146">
        <f t="shared" ref="R146" si="707">R147+Q146</f>
        <v>62867151.486679591</v>
      </c>
      <c r="S146">
        <f t="shared" ref="S146" si="708">R146/100000</f>
        <v>628.67151486679586</v>
      </c>
      <c r="T146">
        <f t="shared" ref="T146" si="709">S146/1000</f>
        <v>0.62867151486679584</v>
      </c>
    </row>
    <row r="147" spans="1:20" x14ac:dyDescent="0.25">
      <c r="A147" s="5">
        <v>44446</v>
      </c>
      <c r="B147">
        <v>24.55</v>
      </c>
      <c r="C147">
        <v>24.9</v>
      </c>
      <c r="D147">
        <v>18.350000000000001</v>
      </c>
      <c r="E147">
        <v>20.8</v>
      </c>
      <c r="F147">
        <v>7489868.4869999997</v>
      </c>
      <c r="G147">
        <v>20.8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-0.25190839694656481</v>
      </c>
      <c r="Q147">
        <f t="shared" ref="Q147" si="711">F147*P147</f>
        <v>-1886760.7639007627</v>
      </c>
      <c r="R147">
        <f t="shared" ref="R147" si="712">R148+Q147</f>
        <v>59463151.701389268</v>
      </c>
      <c r="S147">
        <f t="shared" ref="S147" si="713">R147/100000</f>
        <v>594.63151701389268</v>
      </c>
      <c r="T147">
        <f t="shared" ref="T147" si="714">S147/1000</f>
        <v>0.59463151701389272</v>
      </c>
    </row>
    <row r="148" spans="1:20" x14ac:dyDescent="0.25">
      <c r="A148" s="5">
        <v>44445</v>
      </c>
      <c r="B148">
        <v>24.47</v>
      </c>
      <c r="C148">
        <v>25.37</v>
      </c>
      <c r="D148">
        <v>23.94</v>
      </c>
      <c r="E148">
        <v>24.56</v>
      </c>
      <c r="F148">
        <v>3995777.95</v>
      </c>
      <c r="G148">
        <v>24.56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-0.13286713286713628</v>
      </c>
      <c r="Q148">
        <f t="shared" ref="Q148" si="716">F148*P148</f>
        <v>-530907.55979022349</v>
      </c>
      <c r="R148">
        <f t="shared" ref="R148" si="717">R149+Q148</f>
        <v>61349912.465290032</v>
      </c>
      <c r="S148">
        <f t="shared" ref="S148" si="718">R148/100000</f>
        <v>613.49912465290038</v>
      </c>
      <c r="T148">
        <f t="shared" ref="T148" si="719">S148/1000</f>
        <v>0.61349912465290035</v>
      </c>
    </row>
    <row r="149" spans="1:20" x14ac:dyDescent="0.25">
      <c r="A149" s="5">
        <v>44444</v>
      </c>
      <c r="B149">
        <v>24.12</v>
      </c>
      <c r="C149">
        <v>24.56</v>
      </c>
      <c r="D149">
        <v>22.91</v>
      </c>
      <c r="E149">
        <v>24.47</v>
      </c>
      <c r="F149">
        <v>2827413.02</v>
      </c>
      <c r="G149">
        <v>24.47</v>
      </c>
      <c r="L149" t="s">
        <v>7</v>
      </c>
      <c r="M149" t="s">
        <v>7</v>
      </c>
      <c r="N149" t="s">
        <v>8</v>
      </c>
      <c r="P149">
        <f t="shared" ref="P149" si="720">IF(C149=D149,0,((E149-D149)-(C149-E149))/(C149-D149))</f>
        <v>0.89090909090909098</v>
      </c>
      <c r="Q149">
        <f t="shared" ref="Q149" si="721">F149*P149</f>
        <v>2518967.9632727276</v>
      </c>
      <c r="R149">
        <f t="shared" ref="R149" si="722">R150+Q149</f>
        <v>61880820.025080256</v>
      </c>
      <c r="S149">
        <f t="shared" ref="S149" si="723">R149/100000</f>
        <v>618.80820025080254</v>
      </c>
      <c r="T149">
        <f t="shared" ref="T149" si="724">S149/1000</f>
        <v>0.61880820025080252</v>
      </c>
    </row>
    <row r="150" spans="1:20" x14ac:dyDescent="0.25">
      <c r="A150" s="5">
        <v>44443</v>
      </c>
      <c r="B150">
        <v>23.43</v>
      </c>
      <c r="C150">
        <v>24.6</v>
      </c>
      <c r="D150">
        <v>23.2</v>
      </c>
      <c r="E150">
        <v>24.11</v>
      </c>
      <c r="F150">
        <v>2950917.15</v>
      </c>
      <c r="G150">
        <v>24.11</v>
      </c>
      <c r="L150" t="s">
        <v>7</v>
      </c>
      <c r="M150" t="s">
        <v>7</v>
      </c>
      <c r="N150" t="s">
        <v>8</v>
      </c>
      <c r="P150">
        <f t="shared" ref="P150" si="725">IF(C150=D150,0,((E150-D150)-(C150-E150))/(C150-D150))</f>
        <v>0.29999999999999821</v>
      </c>
      <c r="Q150">
        <f t="shared" ref="Q150" si="726">F150*P150</f>
        <v>885275.14499999466</v>
      </c>
      <c r="R150">
        <f t="shared" ref="R150" si="727">R151+Q150</f>
        <v>59361852.061807528</v>
      </c>
      <c r="S150">
        <f t="shared" ref="S150" si="728">R150/100000</f>
        <v>593.61852061807531</v>
      </c>
      <c r="T150">
        <f t="shared" ref="T150" si="729">S150/1000</f>
        <v>0.5936185206180753</v>
      </c>
    </row>
    <row r="151" spans="1:20" x14ac:dyDescent="0.25">
      <c r="A151" s="5">
        <v>44442</v>
      </c>
      <c r="B151">
        <v>23.47</v>
      </c>
      <c r="C151">
        <v>24</v>
      </c>
      <c r="D151">
        <v>23.01</v>
      </c>
      <c r="E151">
        <v>23.44</v>
      </c>
      <c r="F151">
        <v>3076406.17</v>
      </c>
      <c r="G151">
        <v>23.44</v>
      </c>
      <c r="L151" t="s">
        <v>7</v>
      </c>
      <c r="M151" t="s">
        <v>7</v>
      </c>
      <c r="N151" t="s">
        <v>8</v>
      </c>
      <c r="P151">
        <f t="shared" ref="P151" si="730">IF(C151=D151,0,((E151-D151)-(C151-E151))/(C151-D151))</f>
        <v>-0.13131313131313052</v>
      </c>
      <c r="Q151">
        <f t="shared" ref="Q151" si="731">F151*P151</f>
        <v>-403972.52737373492</v>
      </c>
      <c r="R151">
        <f t="shared" ref="R151" si="732">R152+Q151</f>
        <v>58476576.916807532</v>
      </c>
      <c r="S151">
        <f t="shared" ref="S151" si="733">R151/100000</f>
        <v>584.76576916807528</v>
      </c>
      <c r="T151">
        <f t="shared" ref="T151" si="734">S151/1000</f>
        <v>0.58476576916807532</v>
      </c>
    </row>
    <row r="152" spans="1:20" x14ac:dyDescent="0.25">
      <c r="A152" s="5">
        <v>44441</v>
      </c>
      <c r="B152">
        <v>24.18</v>
      </c>
      <c r="C152">
        <v>24.94</v>
      </c>
      <c r="D152">
        <v>22.8</v>
      </c>
      <c r="E152">
        <v>23.47</v>
      </c>
      <c r="F152">
        <v>3188598.02</v>
      </c>
      <c r="G152">
        <v>23.47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-0.37383177570093645</v>
      </c>
      <c r="Q152">
        <f t="shared" ref="Q152" si="736">F152*P152</f>
        <v>-1191999.2598130901</v>
      </c>
      <c r="R152">
        <f t="shared" ref="R152" si="737">R153+Q152</f>
        <v>58880549.444181271</v>
      </c>
      <c r="S152">
        <f t="shared" ref="S152" si="738">R152/100000</f>
        <v>588.8054944418127</v>
      </c>
      <c r="T152">
        <f t="shared" ref="T152" si="739">S152/1000</f>
        <v>0.58880549444181274</v>
      </c>
    </row>
    <row r="153" spans="1:20" x14ac:dyDescent="0.25">
      <c r="A153" s="5">
        <v>44440</v>
      </c>
      <c r="B153">
        <v>22.89</v>
      </c>
      <c r="C153">
        <v>24.22</v>
      </c>
      <c r="D153">
        <v>21.59</v>
      </c>
      <c r="E153">
        <v>24.18</v>
      </c>
      <c r="F153">
        <v>4444901.4390000002</v>
      </c>
      <c r="G153">
        <v>24.18</v>
      </c>
      <c r="L153" t="s">
        <v>7</v>
      </c>
      <c r="M153" t="s">
        <v>7</v>
      </c>
      <c r="N153" t="s">
        <v>8</v>
      </c>
      <c r="P153">
        <f t="shared" ref="P153" si="740">IF(C153=D153,0,((E153-D153)-(C153-E153))/(C153-D153))</f>
        <v>0.96958174904943029</v>
      </c>
      <c r="Q153">
        <f t="shared" ref="Q153" si="741">F153*P153</f>
        <v>4309695.3115779497</v>
      </c>
      <c r="R153">
        <f t="shared" ref="R153" si="742">R154+Q153</f>
        <v>60072548.703994364</v>
      </c>
      <c r="S153">
        <f t="shared" ref="S153" si="743">R153/100000</f>
        <v>600.72548703994369</v>
      </c>
      <c r="T153">
        <f t="shared" ref="T153" si="744">S153/1000</f>
        <v>0.60072548703994366</v>
      </c>
    </row>
    <row r="154" spans="1:20" x14ac:dyDescent="0.25">
      <c r="A154" s="5">
        <v>44439</v>
      </c>
      <c r="B154">
        <v>23.21</v>
      </c>
      <c r="C154">
        <v>23.86</v>
      </c>
      <c r="D154">
        <v>22.41</v>
      </c>
      <c r="E154">
        <v>22.89</v>
      </c>
      <c r="F154">
        <v>4147487.2319999998</v>
      </c>
      <c r="G154">
        <v>22.89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-0.33793103448275769</v>
      </c>
      <c r="Q154">
        <f t="shared" ref="Q154" si="746">F154*P154</f>
        <v>-1401564.6508137891</v>
      </c>
      <c r="R154">
        <f t="shared" ref="R154" si="747">R155+Q154</f>
        <v>55762853.39241641</v>
      </c>
      <c r="S154">
        <f t="shared" ref="S154" si="748">R154/100000</f>
        <v>557.62853392416412</v>
      </c>
      <c r="T154">
        <f t="shared" ref="T154" si="749">S154/1000</f>
        <v>0.55762853392416412</v>
      </c>
    </row>
    <row r="155" spans="1:20" x14ac:dyDescent="0.25">
      <c r="A155" s="5">
        <v>44438</v>
      </c>
      <c r="B155">
        <v>25.19</v>
      </c>
      <c r="C155">
        <v>25.5</v>
      </c>
      <c r="D155">
        <v>23.01</v>
      </c>
      <c r="E155">
        <v>23.2</v>
      </c>
      <c r="F155">
        <v>3578820.2829999998</v>
      </c>
      <c r="G155">
        <v>23.2</v>
      </c>
      <c r="L155" t="s">
        <v>7</v>
      </c>
      <c r="M155" t="s">
        <v>8</v>
      </c>
      <c r="N155" t="s">
        <v>8</v>
      </c>
      <c r="P155">
        <f t="shared" ref="P155" si="750">IF(C155=D155,0,((E155-D155)-(C155-E155))/(C155-D155))</f>
        <v>-0.84738955823293349</v>
      </c>
      <c r="Q155">
        <f t="shared" ref="Q155" si="751">F155*P155</f>
        <v>-3032654.9386064317</v>
      </c>
      <c r="R155">
        <f t="shared" ref="R155" si="752">R156+Q155</f>
        <v>57164418.043230198</v>
      </c>
      <c r="S155">
        <f t="shared" ref="S155" si="753">R155/100000</f>
        <v>571.64418043230194</v>
      </c>
      <c r="T155">
        <f t="shared" ref="T155" si="754">S155/1000</f>
        <v>0.57164418043230192</v>
      </c>
    </row>
    <row r="156" spans="1:20" x14ac:dyDescent="0.25">
      <c r="A156" s="5">
        <v>44437</v>
      </c>
      <c r="B156">
        <v>25.47</v>
      </c>
      <c r="C156">
        <v>25.94</v>
      </c>
      <c r="D156">
        <v>24.88</v>
      </c>
      <c r="E156">
        <v>25.19</v>
      </c>
      <c r="F156">
        <v>1754023.21</v>
      </c>
      <c r="G156">
        <v>25.19</v>
      </c>
      <c r="L156" t="s">
        <v>8</v>
      </c>
      <c r="M156" t="s">
        <v>8</v>
      </c>
      <c r="N156" t="s">
        <v>8</v>
      </c>
      <c r="P156">
        <f t="shared" ref="P156" si="755">IF(C156=D156,0,((E156-D156)-(C156-E156))/(C156-D156))</f>
        <v>-0.41509433962263848</v>
      </c>
      <c r="Q156">
        <f t="shared" ref="Q156" si="756">F156*P156</f>
        <v>-728085.10603773047</v>
      </c>
      <c r="R156">
        <f t="shared" ref="R156" si="757">R157+Q156</f>
        <v>60197072.981836632</v>
      </c>
      <c r="S156">
        <f t="shared" ref="S156" si="758">R156/100000</f>
        <v>601.97072981836629</v>
      </c>
      <c r="T156">
        <f t="shared" ref="T156" si="759">S156/1000</f>
        <v>0.6019707298183663</v>
      </c>
    </row>
    <row r="157" spans="1:20" x14ac:dyDescent="0.25">
      <c r="A157" s="5">
        <v>44436</v>
      </c>
      <c r="B157">
        <v>26.14</v>
      </c>
      <c r="C157">
        <v>26.22</v>
      </c>
      <c r="D157">
        <v>25.3</v>
      </c>
      <c r="E157">
        <v>25.47</v>
      </c>
      <c r="F157">
        <v>2046061.78</v>
      </c>
      <c r="G157">
        <v>25.47</v>
      </c>
      <c r="L157" t="s">
        <v>8</v>
      </c>
      <c r="M157" t="s">
        <v>8</v>
      </c>
      <c r="N157" t="s">
        <v>8</v>
      </c>
      <c r="P157">
        <f t="shared" ref="P157" si="760">IF(C157=D157,0,((E157-D157)-(C157-E157))/(C157-D157))</f>
        <v>-0.6304347826086989</v>
      </c>
      <c r="Q157">
        <f t="shared" ref="Q157" si="761">F157*P157</f>
        <v>-1289908.5134782675</v>
      </c>
      <c r="R157">
        <f t="shared" ref="R157" si="762">R158+Q157</f>
        <v>60925158.08787436</v>
      </c>
      <c r="S157">
        <f t="shared" ref="S157" si="763">R157/100000</f>
        <v>609.25158087874365</v>
      </c>
      <c r="T157">
        <f t="shared" ref="T157" si="764">S157/1000</f>
        <v>0.60925158087874365</v>
      </c>
    </row>
    <row r="158" spans="1:20" x14ac:dyDescent="0.25">
      <c r="A158" s="5">
        <v>44435</v>
      </c>
      <c r="B158">
        <v>24.85</v>
      </c>
      <c r="C158">
        <v>26.28</v>
      </c>
      <c r="D158">
        <v>24.19</v>
      </c>
      <c r="E158">
        <v>26.14</v>
      </c>
      <c r="F158">
        <v>3586862.1669999999</v>
      </c>
      <c r="G158">
        <v>26.14</v>
      </c>
      <c r="L158" t="s">
        <v>7</v>
      </c>
      <c r="M158" t="s">
        <v>8</v>
      </c>
      <c r="N158" t="s">
        <v>8</v>
      </c>
      <c r="P158">
        <f t="shared" ref="P158" si="765">IF(C158=D158,0,((E158-D158)-(C158-E158))/(C158-D158))</f>
        <v>0.8660287081339707</v>
      </c>
      <c r="Q158">
        <f t="shared" ref="Q158" si="766">F158*P158</f>
        <v>3106325.6087416247</v>
      </c>
      <c r="R158">
        <f t="shared" ref="R158" si="767">R159+Q158</f>
        <v>62215066.601352625</v>
      </c>
      <c r="S158">
        <f t="shared" ref="S158" si="768">R158/100000</f>
        <v>622.15066601352623</v>
      </c>
      <c r="T158">
        <f t="shared" ref="T158" si="769">S158/1000</f>
        <v>0.6221506660135262</v>
      </c>
    </row>
    <row r="159" spans="1:20" x14ac:dyDescent="0.25">
      <c r="A159" s="5">
        <v>44434</v>
      </c>
      <c r="B159">
        <v>25.959</v>
      </c>
      <c r="C159">
        <v>26.6</v>
      </c>
      <c r="D159">
        <v>24.260999999999999</v>
      </c>
      <c r="E159">
        <v>24.83</v>
      </c>
      <c r="F159">
        <v>4873004.2479999997</v>
      </c>
      <c r="G159">
        <v>24.83</v>
      </c>
      <c r="L159" t="s">
        <v>7</v>
      </c>
      <c r="M159" t="s">
        <v>8</v>
      </c>
      <c r="N159" t="s">
        <v>8</v>
      </c>
      <c r="P159">
        <f t="shared" ref="P159" si="770">IF(C159=D159,0,((E159-D159)-(C159-E159))/(C159-D159))</f>
        <v>-0.51346729371526423</v>
      </c>
      <c r="Q159">
        <f t="shared" ref="Q159" si="771">F159*P159</f>
        <v>-2502128.3034835462</v>
      </c>
      <c r="R159">
        <f t="shared" ref="R159" si="772">R160+Q159</f>
        <v>59108740.992610998</v>
      </c>
      <c r="S159">
        <f t="shared" ref="S159" si="773">R159/100000</f>
        <v>591.08740992611001</v>
      </c>
      <c r="T159">
        <f t="shared" ref="T159" si="774">S159/1000</f>
        <v>0.59108740992610997</v>
      </c>
    </row>
    <row r="160" spans="1:20" x14ac:dyDescent="0.25">
      <c r="A160" s="5">
        <v>44433</v>
      </c>
      <c r="B160">
        <v>23.66</v>
      </c>
      <c r="C160">
        <v>26.4</v>
      </c>
      <c r="D160">
        <v>23.504999999999999</v>
      </c>
      <c r="E160">
        <v>25.962</v>
      </c>
      <c r="F160">
        <v>5796462.3420000002</v>
      </c>
      <c r="G160">
        <v>25.962</v>
      </c>
      <c r="L160" t="s">
        <v>8</v>
      </c>
      <c r="M160" t="s">
        <v>8</v>
      </c>
      <c r="N160" t="s">
        <v>8</v>
      </c>
      <c r="P160">
        <f t="shared" ref="P160" si="775">IF(C160=D160,0,((E160-D160)-(C160-E160))/(C160-D160))</f>
        <v>0.69740932642487119</v>
      </c>
      <c r="Q160">
        <f t="shared" ref="Q160" si="776">F160*P160</f>
        <v>4042506.8975813515</v>
      </c>
      <c r="R160">
        <f t="shared" ref="R160" si="777">R161+Q160</f>
        <v>61610869.296094544</v>
      </c>
      <c r="S160">
        <f t="shared" ref="S160" si="778">R160/100000</f>
        <v>616.1086929609454</v>
      </c>
      <c r="T160">
        <f t="shared" ref="T160" si="779">S160/1000</f>
        <v>0.61610869296094539</v>
      </c>
    </row>
    <row r="161" spans="1:20" x14ac:dyDescent="0.25">
      <c r="A161" s="5">
        <v>44432</v>
      </c>
      <c r="B161">
        <v>25.202999999999999</v>
      </c>
      <c r="C161">
        <v>25.58</v>
      </c>
      <c r="D161">
        <v>23.038</v>
      </c>
      <c r="E161">
        <v>23.655000000000001</v>
      </c>
      <c r="F161">
        <v>4181711.6320000002</v>
      </c>
      <c r="G161">
        <v>23.655000000000001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-0.51455546813532549</v>
      </c>
      <c r="Q161">
        <f t="shared" ref="Q161" si="781">F161*P161</f>
        <v>-2151722.5864106962</v>
      </c>
      <c r="R161">
        <f t="shared" ref="R161" si="782">R162+Q161</f>
        <v>57568362.39851319</v>
      </c>
      <c r="S161">
        <f t="shared" ref="S161" si="783">R161/100000</f>
        <v>575.68362398513193</v>
      </c>
      <c r="T161">
        <f t="shared" ref="T161" si="784">S161/1000</f>
        <v>0.57568362398513195</v>
      </c>
    </row>
    <row r="162" spans="1:20" x14ac:dyDescent="0.25">
      <c r="A162" s="5">
        <v>44431</v>
      </c>
      <c r="B162">
        <v>23.503</v>
      </c>
      <c r="C162">
        <v>26</v>
      </c>
      <c r="D162">
        <v>23.396999999999998</v>
      </c>
      <c r="E162">
        <v>25.216999999999999</v>
      </c>
      <c r="F162">
        <v>5217213.8720000004</v>
      </c>
      <c r="G162">
        <v>25.216999999999999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0.3983864771417589</v>
      </c>
      <c r="Q162">
        <f t="shared" ref="Q162" si="786">F162*P162</f>
        <v>2078467.4549611956</v>
      </c>
      <c r="R162">
        <f t="shared" ref="R162" si="787">R163+Q162</f>
        <v>59720084.984923884</v>
      </c>
      <c r="S162">
        <f t="shared" ref="S162" si="788">R162/100000</f>
        <v>597.20084984923881</v>
      </c>
      <c r="T162">
        <f t="shared" ref="T162" si="789">S162/1000</f>
        <v>0.59720084984923882</v>
      </c>
    </row>
    <row r="163" spans="1:20" x14ac:dyDescent="0.25">
      <c r="A163" s="5">
        <v>44430</v>
      </c>
      <c r="B163">
        <v>23.63</v>
      </c>
      <c r="C163">
        <v>23.748999999999999</v>
      </c>
      <c r="D163">
        <v>23.161999999999999</v>
      </c>
      <c r="E163">
        <v>23.541</v>
      </c>
      <c r="F163">
        <v>794406.28300000005</v>
      </c>
      <c r="G163">
        <v>23.541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0.29131175468484327</v>
      </c>
      <c r="Q163">
        <f t="shared" ref="Q163" si="791">F163*P163</f>
        <v>231419.88823339419</v>
      </c>
      <c r="R163">
        <f t="shared" ref="R163" si="792">R164+Q163</f>
        <v>57641617.529962689</v>
      </c>
      <c r="S163">
        <f t="shared" ref="S163" si="793">R163/100000</f>
        <v>576.41617529962684</v>
      </c>
      <c r="T163">
        <f t="shared" ref="T163" si="794">S163/1000</f>
        <v>0.57641617529962685</v>
      </c>
    </row>
    <row r="164" spans="1:20" x14ac:dyDescent="0.25">
      <c r="A164" s="5">
        <v>44429</v>
      </c>
      <c r="B164">
        <v>24.329000000000001</v>
      </c>
      <c r="C164">
        <v>24.39</v>
      </c>
      <c r="D164">
        <v>23.256</v>
      </c>
      <c r="E164">
        <v>23.623000000000001</v>
      </c>
      <c r="F164">
        <v>3040232.9389999998</v>
      </c>
      <c r="G164">
        <v>23.623000000000001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-0.35273368606701805</v>
      </c>
      <c r="Q164">
        <f t="shared" ref="Q164" si="796">F164*P164</f>
        <v>-1072392.5710758336</v>
      </c>
      <c r="R164">
        <f t="shared" ref="R164" si="797">R165+Q164</f>
        <v>57410197.641729295</v>
      </c>
      <c r="S164">
        <f t="shared" ref="S164" si="798">R164/100000</f>
        <v>574.10197641729292</v>
      </c>
      <c r="T164">
        <f t="shared" ref="T164" si="799">S164/1000</f>
        <v>0.57410197641729288</v>
      </c>
    </row>
    <row r="165" spans="1:20" x14ac:dyDescent="0.25">
      <c r="A165" s="5">
        <v>44428</v>
      </c>
      <c r="B165">
        <v>22.436</v>
      </c>
      <c r="C165">
        <v>24.465</v>
      </c>
      <c r="D165">
        <v>21.774999999999999</v>
      </c>
      <c r="E165">
        <v>24.32</v>
      </c>
      <c r="F165">
        <v>4687443.3099999996</v>
      </c>
      <c r="G165">
        <v>24.32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0.89219330855018619</v>
      </c>
      <c r="Q165">
        <f t="shared" ref="Q165" si="801">F165*P165</f>
        <v>4182105.5553903356</v>
      </c>
      <c r="R165">
        <f t="shared" ref="R165" si="802">R166+Q165</f>
        <v>58482590.21280513</v>
      </c>
      <c r="S165">
        <f t="shared" ref="S165" si="803">R165/100000</f>
        <v>584.82590212805133</v>
      </c>
      <c r="T165">
        <f t="shared" ref="T165" si="804">S165/1000</f>
        <v>0.5848259021280513</v>
      </c>
    </row>
    <row r="166" spans="1:20" x14ac:dyDescent="0.25">
      <c r="A166" s="5">
        <v>44427</v>
      </c>
      <c r="B166">
        <v>21.347999999999999</v>
      </c>
      <c r="C166">
        <v>23</v>
      </c>
      <c r="D166">
        <v>20.65</v>
      </c>
      <c r="E166">
        <v>22.428000000000001</v>
      </c>
      <c r="F166">
        <v>3985536.3160000001</v>
      </c>
      <c r="G166">
        <v>22.428000000000001</v>
      </c>
      <c r="L166" t="s">
        <v>8</v>
      </c>
      <c r="M166" t="s">
        <v>8</v>
      </c>
      <c r="N166" t="s">
        <v>8</v>
      </c>
      <c r="P166">
        <f t="shared" ref="P166" si="805">IF(C166=D166,0,((E166-D166)-(C166-E166))/(C166-D166))</f>
        <v>0.51319148936170311</v>
      </c>
      <c r="Q166">
        <f t="shared" ref="Q166" si="806">F166*P166</f>
        <v>2045343.3179131956</v>
      </c>
      <c r="R166">
        <f t="shared" ref="R166" si="807">R167+Q166</f>
        <v>54300484.657414794</v>
      </c>
      <c r="S166">
        <f t="shared" ref="S166" si="808">R166/100000</f>
        <v>543.0048465741479</v>
      </c>
      <c r="T166">
        <f t="shared" ref="T166" si="809">S166/1000</f>
        <v>0.54300484657414794</v>
      </c>
    </row>
    <row r="167" spans="1:20" x14ac:dyDescent="0.25">
      <c r="A167" s="5">
        <v>44426</v>
      </c>
      <c r="B167">
        <v>21.434000000000001</v>
      </c>
      <c r="C167">
        <v>22.387</v>
      </c>
      <c r="D167">
        <v>20.55</v>
      </c>
      <c r="E167">
        <v>21.352</v>
      </c>
      <c r="F167">
        <v>4617673.3990000002</v>
      </c>
      <c r="G167">
        <v>21.352</v>
      </c>
      <c r="L167" t="s">
        <v>7</v>
      </c>
      <c r="M167" t="s">
        <v>8</v>
      </c>
      <c r="N167" t="s">
        <v>8</v>
      </c>
      <c r="P167">
        <f t="shared" ref="P167" si="810">IF(C167=D167,0,((E167-D167)-(C167-E167))/(C167-D167))</f>
        <v>-0.12683723462166607</v>
      </c>
      <c r="Q167">
        <f t="shared" ref="Q167" si="811">F167*P167</f>
        <v>-585692.92431518924</v>
      </c>
      <c r="R167">
        <f t="shared" ref="R167" si="812">R168+Q167</f>
        <v>52255141.339501597</v>
      </c>
      <c r="S167">
        <f t="shared" ref="S167" si="813">R167/100000</f>
        <v>522.55141339501597</v>
      </c>
      <c r="T167">
        <f t="shared" ref="T167" si="814">S167/1000</f>
        <v>0.52255141339501598</v>
      </c>
    </row>
    <row r="168" spans="1:20" x14ac:dyDescent="0.25">
      <c r="A168" s="5">
        <v>44425</v>
      </c>
      <c r="B168">
        <v>21.326000000000001</v>
      </c>
      <c r="C168">
        <v>23.7</v>
      </c>
      <c r="D168">
        <v>21.030999999999999</v>
      </c>
      <c r="E168">
        <v>21.417999999999999</v>
      </c>
      <c r="F168">
        <v>6060341.8449999997</v>
      </c>
      <c r="G168">
        <v>21.417999999999999</v>
      </c>
      <c r="L168" t="s">
        <v>8</v>
      </c>
      <c r="M168" t="s">
        <v>8</v>
      </c>
      <c r="N168" t="s">
        <v>8</v>
      </c>
      <c r="P168">
        <f t="shared" ref="P168" si="815">IF(C168=D168,0,((E168-D168)-(C168-E168))/(C168-D168))</f>
        <v>-0.71000374672161826</v>
      </c>
      <c r="Q168">
        <f t="shared" ref="Q168" si="816">F168*P168</f>
        <v>-4302865.4163638046</v>
      </c>
      <c r="R168">
        <f t="shared" ref="R168" si="817">R169+Q168</f>
        <v>52840834.263816789</v>
      </c>
      <c r="S168">
        <f t="shared" ref="S168" si="818">R168/100000</f>
        <v>528.40834263816794</v>
      </c>
      <c r="T168">
        <f t="shared" ref="T168" si="819">S168/1000</f>
        <v>0.52840834263816794</v>
      </c>
    </row>
    <row r="169" spans="1:20" x14ac:dyDescent="0.25">
      <c r="A169" s="5">
        <v>44424</v>
      </c>
      <c r="B169">
        <v>21.068999999999999</v>
      </c>
      <c r="C169">
        <v>22.582000000000001</v>
      </c>
      <c r="D169">
        <v>20.931999999999999</v>
      </c>
      <c r="E169">
        <v>21.33</v>
      </c>
      <c r="F169">
        <v>4447453.2690000003</v>
      </c>
      <c r="G169">
        <v>21.33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-0.51757575757575858</v>
      </c>
      <c r="Q169">
        <f t="shared" ref="Q169" si="821">F169*P169</f>
        <v>-2301893.9949854594</v>
      </c>
      <c r="R169">
        <f t="shared" ref="R169" si="822">R170+Q169</f>
        <v>57143699.680180594</v>
      </c>
      <c r="S169">
        <f t="shared" ref="S169" si="823">R169/100000</f>
        <v>571.43699680180589</v>
      </c>
      <c r="T169">
        <f t="shared" ref="T169" si="824">S169/1000</f>
        <v>0.57143699680180593</v>
      </c>
    </row>
    <row r="170" spans="1:20" x14ac:dyDescent="0.25">
      <c r="A170" s="5">
        <v>44423</v>
      </c>
      <c r="B170">
        <v>20.681999999999999</v>
      </c>
      <c r="C170">
        <v>21.068999999999999</v>
      </c>
      <c r="D170">
        <v>19.957999999999998</v>
      </c>
      <c r="E170">
        <v>21.06</v>
      </c>
      <c r="F170">
        <v>2266433.8459999999</v>
      </c>
      <c r="G170">
        <v>21.06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0.98379837983798324</v>
      </c>
      <c r="Q170">
        <f t="shared" ref="Q170" si="826">F170*P170</f>
        <v>2229713.9457047693</v>
      </c>
      <c r="R170">
        <f t="shared" ref="R170" si="827">R171+Q170</f>
        <v>59445593.675166056</v>
      </c>
      <c r="S170">
        <f t="shared" ref="S170" si="828">R170/100000</f>
        <v>594.4559367516606</v>
      </c>
      <c r="T170">
        <f t="shared" ref="T170" si="829">S170/1000</f>
        <v>0.59445593675166064</v>
      </c>
    </row>
    <row r="171" spans="1:20" x14ac:dyDescent="0.25">
      <c r="A171" s="5">
        <v>44422</v>
      </c>
      <c r="B171">
        <v>21.08</v>
      </c>
      <c r="C171">
        <v>21.49</v>
      </c>
      <c r="D171">
        <v>20</v>
      </c>
      <c r="E171">
        <v>20.681000000000001</v>
      </c>
      <c r="F171">
        <v>2901749.2289999998</v>
      </c>
      <c r="G171">
        <v>20.681000000000001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-8.5906040268454165E-2</v>
      </c>
      <c r="Q171">
        <f t="shared" ref="Q171" si="831">F171*P171</f>
        <v>-249277.7861154298</v>
      </c>
      <c r="R171">
        <f t="shared" ref="R171" si="832">R172+Q171</f>
        <v>57215879.72946129</v>
      </c>
      <c r="S171">
        <f t="shared" ref="S171" si="833">R171/100000</f>
        <v>572.1587972946129</v>
      </c>
      <c r="T171">
        <f t="shared" ref="T171" si="834">S171/1000</f>
        <v>0.57215879729461294</v>
      </c>
    </row>
    <row r="172" spans="1:20" x14ac:dyDescent="0.25">
      <c r="A172" s="5">
        <v>44421</v>
      </c>
      <c r="B172">
        <v>19.47</v>
      </c>
      <c r="C172">
        <v>21.1</v>
      </c>
      <c r="D172">
        <v>19.298999999999999</v>
      </c>
      <c r="E172">
        <v>21.08</v>
      </c>
      <c r="F172">
        <v>2668670.6340000001</v>
      </c>
      <c r="G172">
        <v>21.08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0.97779011660188442</v>
      </c>
      <c r="Q172">
        <f t="shared" ref="Q172" si="836">F172*P172</f>
        <v>2609399.770390885</v>
      </c>
      <c r="R172">
        <f t="shared" ref="R172" si="837">R173+Q172</f>
        <v>57465157.51557672</v>
      </c>
      <c r="S172">
        <f t="shared" ref="S172" si="838">R172/100000</f>
        <v>574.6515751557672</v>
      </c>
      <c r="T172">
        <f t="shared" ref="T172" si="839">S172/1000</f>
        <v>0.57465157515576726</v>
      </c>
    </row>
    <row r="173" spans="1:20" x14ac:dyDescent="0.25">
      <c r="A173" s="5">
        <v>44420</v>
      </c>
      <c r="B173">
        <v>19.634</v>
      </c>
      <c r="C173">
        <v>20.413</v>
      </c>
      <c r="D173">
        <v>18.611999999999998</v>
      </c>
      <c r="E173">
        <v>19.471</v>
      </c>
      <c r="F173">
        <v>3610292.7910000002</v>
      </c>
      <c r="G173">
        <v>19.471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-4.6085508051081796E-2</v>
      </c>
      <c r="Q173">
        <f t="shared" ref="Q173" si="841">F173*P173</f>
        <v>-166382.17748639308</v>
      </c>
      <c r="R173">
        <f t="shared" ref="R173" si="842">R174+Q173</f>
        <v>54855757.745185837</v>
      </c>
      <c r="S173">
        <f t="shared" ref="S173" si="843">R173/100000</f>
        <v>548.55757745185838</v>
      </c>
      <c r="T173">
        <f t="shared" ref="T173" si="844">S173/1000</f>
        <v>0.5485575774518584</v>
      </c>
    </row>
    <row r="174" spans="1:20" x14ac:dyDescent="0.25">
      <c r="A174" s="5">
        <v>44419</v>
      </c>
      <c r="B174">
        <v>18.850000000000001</v>
      </c>
      <c r="C174">
        <v>20.581</v>
      </c>
      <c r="D174">
        <v>18.808</v>
      </c>
      <c r="E174">
        <v>19.635999999999999</v>
      </c>
      <c r="F174">
        <v>3759543.4610000001</v>
      </c>
      <c r="G174">
        <v>19.635999999999999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-6.5989847715736544E-2</v>
      </c>
      <c r="Q174">
        <f t="shared" ref="Q174" si="846">F174*P174</f>
        <v>-248091.70047208312</v>
      </c>
      <c r="R174">
        <f t="shared" ref="R174" si="847">R175+Q174</f>
        <v>55022139.922672227</v>
      </c>
      <c r="S174">
        <f t="shared" ref="S174" si="848">R174/100000</f>
        <v>550.22139922672227</v>
      </c>
      <c r="T174">
        <f t="shared" ref="T174" si="849">S174/1000</f>
        <v>0.55022139922672231</v>
      </c>
    </row>
    <row r="175" spans="1:20" x14ac:dyDescent="0.25">
      <c r="A175" s="5">
        <v>44418</v>
      </c>
      <c r="B175">
        <v>18.318999999999999</v>
      </c>
      <c r="C175">
        <v>19.274000000000001</v>
      </c>
      <c r="D175">
        <v>17.960999999999999</v>
      </c>
      <c r="E175">
        <v>18.847999999999999</v>
      </c>
      <c r="F175">
        <v>3285023</v>
      </c>
      <c r="G175">
        <v>18.847999999999999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0.35110434120334932</v>
      </c>
      <c r="Q175">
        <f t="shared" ref="Q175" si="851">F175*P175</f>
        <v>1153385.8362528502</v>
      </c>
      <c r="R175">
        <f t="shared" ref="R175" si="852">R176+Q175</f>
        <v>55270231.623144314</v>
      </c>
      <c r="S175">
        <f t="shared" ref="S175" si="853">R175/100000</f>
        <v>552.70231623144309</v>
      </c>
      <c r="T175">
        <f t="shared" ref="T175" si="854">S175/1000</f>
        <v>0.55270231623144306</v>
      </c>
    </row>
    <row r="176" spans="1:20" x14ac:dyDescent="0.25">
      <c r="A176" s="5">
        <v>44417</v>
      </c>
      <c r="B176">
        <v>17.376000000000001</v>
      </c>
      <c r="C176">
        <v>18.617999999999999</v>
      </c>
      <c r="D176">
        <v>16.98</v>
      </c>
      <c r="E176">
        <v>18.306999999999999</v>
      </c>
      <c r="F176">
        <v>3332805.84</v>
      </c>
      <c r="G176">
        <v>18.306999999999999</v>
      </c>
      <c r="L176" t="s">
        <v>8</v>
      </c>
      <c r="M176" t="s">
        <v>8</v>
      </c>
      <c r="N176" t="s">
        <v>8</v>
      </c>
      <c r="P176">
        <f t="shared" ref="P176" si="855">IF(C176=D176,0,((E176-D176)-(C176-E176))/(C176-D176))</f>
        <v>0.62026862026861995</v>
      </c>
      <c r="Q176">
        <f t="shared" ref="Q176" si="856">F176*P176</f>
        <v>2067234.879999999</v>
      </c>
      <c r="R176">
        <f t="shared" ref="R176" si="857">R177+Q176</f>
        <v>54116845.78689146</v>
      </c>
      <c r="S176">
        <f t="shared" ref="S176" si="858">R176/100000</f>
        <v>541.16845786891463</v>
      </c>
      <c r="T176">
        <f t="shared" ref="T176" si="859">S176/1000</f>
        <v>0.54116845786891465</v>
      </c>
    </row>
    <row r="177" spans="1:20" x14ac:dyDescent="0.25">
      <c r="A177" s="5">
        <v>44416</v>
      </c>
      <c r="B177">
        <v>18.213999999999999</v>
      </c>
      <c r="C177">
        <v>18.509</v>
      </c>
      <c r="D177">
        <v>17.091999999999999</v>
      </c>
      <c r="E177">
        <v>17.376000000000001</v>
      </c>
      <c r="F177">
        <v>3333841.4509999999</v>
      </c>
      <c r="G177">
        <v>17.376000000000001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-0.59915314043754109</v>
      </c>
      <c r="Q177">
        <f t="shared" ref="Q177" si="861">F177*P177</f>
        <v>-1997481.5750874986</v>
      </c>
      <c r="R177">
        <f t="shared" ref="R177" si="862">R178+Q177</f>
        <v>52049610.906891465</v>
      </c>
      <c r="S177">
        <f t="shared" ref="S177" si="863">R177/100000</f>
        <v>520.49610906891462</v>
      </c>
      <c r="T177">
        <f t="shared" ref="T177" si="864">S177/1000</f>
        <v>0.52049610906891464</v>
      </c>
    </row>
    <row r="178" spans="1:20" x14ac:dyDescent="0.25">
      <c r="A178" s="5">
        <v>44415</v>
      </c>
      <c r="B178">
        <v>18.100000000000001</v>
      </c>
      <c r="C178">
        <v>18.774000000000001</v>
      </c>
      <c r="D178">
        <v>17.501000000000001</v>
      </c>
      <c r="E178">
        <v>18.204999999999998</v>
      </c>
      <c r="F178">
        <v>4582929.3339999998</v>
      </c>
      <c r="G178">
        <v>18.204999999999998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0.10604870384917085</v>
      </c>
      <c r="Q178">
        <f t="shared" ref="Q178" si="866">F178*P178</f>
        <v>486013.7157030438</v>
      </c>
      <c r="R178">
        <f t="shared" ref="R178" si="867">R179+Q178</f>
        <v>54047092.48197896</v>
      </c>
      <c r="S178">
        <f t="shared" ref="S178" si="868">R178/100000</f>
        <v>540.47092481978962</v>
      </c>
      <c r="T178">
        <f t="shared" ref="T178" si="869">S178/1000</f>
        <v>0.54047092481978964</v>
      </c>
    </row>
    <row r="179" spans="1:20" x14ac:dyDescent="0.25">
      <c r="A179" s="5">
        <v>44414</v>
      </c>
      <c r="B179">
        <v>17.452999999999999</v>
      </c>
      <c r="C179">
        <v>18.3</v>
      </c>
      <c r="D179">
        <v>16.965</v>
      </c>
      <c r="E179">
        <v>18.100999999999999</v>
      </c>
      <c r="F179">
        <v>3601309.9440000001</v>
      </c>
      <c r="G179">
        <v>18.100999999999999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0.7018726591760277</v>
      </c>
      <c r="Q179">
        <f t="shared" ref="Q179" si="871">F179*P179</f>
        <v>2527660.9869123516</v>
      </c>
      <c r="R179">
        <f t="shared" ref="R179" si="872">R180+Q179</f>
        <v>53561078.76627592</v>
      </c>
      <c r="S179">
        <f t="shared" ref="S179" si="873">R179/100000</f>
        <v>535.61078766275921</v>
      </c>
      <c r="T179">
        <f t="shared" ref="T179" si="874">S179/1000</f>
        <v>0.53561078766275916</v>
      </c>
    </row>
    <row r="180" spans="1:20" x14ac:dyDescent="0.25">
      <c r="A180" s="5">
        <v>44413</v>
      </c>
      <c r="B180">
        <v>17.527000000000001</v>
      </c>
      <c r="C180">
        <v>17.760999999999999</v>
      </c>
      <c r="D180">
        <v>16.387</v>
      </c>
      <c r="E180">
        <v>17.45</v>
      </c>
      <c r="F180">
        <v>4715913.8420000002</v>
      </c>
      <c r="G180">
        <v>17.45</v>
      </c>
      <c r="L180" t="s">
        <v>7</v>
      </c>
      <c r="M180" t="s">
        <v>8</v>
      </c>
      <c r="N180" t="s">
        <v>8</v>
      </c>
      <c r="P180">
        <f t="shared" ref="P180" si="875">IF(C180=D180,0,((E180-D180)-(C180-E180))/(C180-D180))</f>
        <v>0.54730713245997054</v>
      </c>
      <c r="Q180">
        <f t="shared" ref="Q180" si="876">F180*P180</f>
        <v>2581053.2817933029</v>
      </c>
      <c r="R180">
        <f t="shared" ref="R180" si="877">R181+Q180</f>
        <v>51033417.779363565</v>
      </c>
      <c r="S180">
        <f t="shared" ref="S180" si="878">R180/100000</f>
        <v>510.33417779363566</v>
      </c>
      <c r="T180">
        <f t="shared" ref="T180" si="879">S180/1000</f>
        <v>0.51033417779363566</v>
      </c>
    </row>
    <row r="181" spans="1:20" x14ac:dyDescent="0.25">
      <c r="A181" s="5">
        <v>44412</v>
      </c>
      <c r="B181">
        <v>16.273</v>
      </c>
      <c r="C181">
        <v>17.849</v>
      </c>
      <c r="D181">
        <v>15.848000000000001</v>
      </c>
      <c r="E181">
        <v>17.538</v>
      </c>
      <c r="F181">
        <v>3857815.8569999998</v>
      </c>
      <c r="G181">
        <v>17.538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0.68915542228885551</v>
      </c>
      <c r="Q181">
        <f t="shared" ref="Q181" si="881">F181*P181</f>
        <v>2658634.7160434779</v>
      </c>
      <c r="R181">
        <f t="shared" ref="R181" si="882">R182+Q181</f>
        <v>48452364.497570261</v>
      </c>
      <c r="S181">
        <f t="shared" ref="S181" si="883">R181/100000</f>
        <v>484.52364497570261</v>
      </c>
      <c r="T181">
        <f t="shared" ref="T181" si="884">S181/1000</f>
        <v>0.48452364497570261</v>
      </c>
    </row>
    <row r="182" spans="1:20" x14ac:dyDescent="0.25">
      <c r="A182" s="5">
        <v>44411</v>
      </c>
      <c r="B182">
        <v>15.852</v>
      </c>
      <c r="C182">
        <v>16.375</v>
      </c>
      <c r="D182">
        <v>15.5</v>
      </c>
      <c r="E182">
        <v>16.265999999999998</v>
      </c>
      <c r="F182">
        <v>4202508.46</v>
      </c>
      <c r="G182">
        <v>16.265999999999998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0.75085714285713878</v>
      </c>
      <c r="Q182">
        <f t="shared" ref="Q182" si="886">F182*P182</f>
        <v>3155483.4951085541</v>
      </c>
      <c r="R182">
        <f t="shared" ref="R182" si="887">R183+Q182</f>
        <v>45793729.781526782</v>
      </c>
      <c r="S182">
        <f t="shared" ref="S182" si="888">R182/100000</f>
        <v>457.93729781526781</v>
      </c>
      <c r="T182">
        <f t="shared" ref="T182" si="889">S182/1000</f>
        <v>0.45793729781526782</v>
      </c>
    </row>
    <row r="183" spans="1:20" x14ac:dyDescent="0.25">
      <c r="A183" s="5">
        <v>44410</v>
      </c>
      <c r="B183">
        <v>16.010000000000002</v>
      </c>
      <c r="C183">
        <v>16.439</v>
      </c>
      <c r="D183">
        <v>15.4</v>
      </c>
      <c r="E183">
        <v>15.856</v>
      </c>
      <c r="F183">
        <v>2919038.8679999998</v>
      </c>
      <c r="G183">
        <v>15.856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-0.12223291626564071</v>
      </c>
      <c r="Q183">
        <f t="shared" ref="Q183" si="891">F183*P183</f>
        <v>-356802.63352839462</v>
      </c>
      <c r="R183">
        <f t="shared" ref="R183" si="892">R184+Q183</f>
        <v>42638246.286418229</v>
      </c>
      <c r="S183">
        <f t="shared" ref="S183" si="893">R183/100000</f>
        <v>426.38246286418229</v>
      </c>
      <c r="T183">
        <f t="shared" ref="T183" si="894">S183/1000</f>
        <v>0.4263824628641823</v>
      </c>
    </row>
    <row r="184" spans="1:20" x14ac:dyDescent="0.25">
      <c r="A184" s="5">
        <v>44409</v>
      </c>
      <c r="B184">
        <v>15.987</v>
      </c>
      <c r="C184">
        <v>16.949000000000002</v>
      </c>
      <c r="D184">
        <v>15.8</v>
      </c>
      <c r="E184">
        <v>16.003</v>
      </c>
      <c r="F184">
        <v>4263342.2779999999</v>
      </c>
      <c r="G184">
        <v>16.003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-0.64664926022628499</v>
      </c>
      <c r="Q184">
        <f t="shared" ref="Q184" si="896">F184*P184</f>
        <v>-2756887.1301601445</v>
      </c>
      <c r="R184">
        <f t="shared" ref="R184" si="897">R185+Q184</f>
        <v>42995048.919946626</v>
      </c>
      <c r="S184">
        <f t="shared" ref="S184" si="898">R184/100000</f>
        <v>429.95048919946623</v>
      </c>
      <c r="T184">
        <f t="shared" ref="T184" si="899">S184/1000</f>
        <v>0.42995048919946621</v>
      </c>
    </row>
    <row r="185" spans="1:20" x14ac:dyDescent="0.25">
      <c r="A185" s="5">
        <v>44408</v>
      </c>
      <c r="B185">
        <v>15.164999999999999</v>
      </c>
      <c r="C185">
        <v>16.273</v>
      </c>
      <c r="D185">
        <v>15.016</v>
      </c>
      <c r="E185">
        <v>15.957000000000001</v>
      </c>
      <c r="F185">
        <v>4096756.1949999998</v>
      </c>
      <c r="G185">
        <v>15.957000000000001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0.49721559268098803</v>
      </c>
      <c r="Q185">
        <f t="shared" ref="Q185" si="901">F185*P185</f>
        <v>2036971.0595664342</v>
      </c>
      <c r="R185">
        <f t="shared" ref="R185" si="902">R186+Q185</f>
        <v>45751936.050106771</v>
      </c>
      <c r="S185">
        <f t="shared" ref="S185" si="903">R185/100000</f>
        <v>457.51936050106769</v>
      </c>
      <c r="T185">
        <f t="shared" ref="T185" si="904">S185/1000</f>
        <v>0.45751936050106767</v>
      </c>
    </row>
    <row r="186" spans="1:20" x14ac:dyDescent="0.25">
      <c r="A186" s="5">
        <v>44407</v>
      </c>
      <c r="B186">
        <v>14.930999999999999</v>
      </c>
      <c r="C186">
        <v>15.349</v>
      </c>
      <c r="D186">
        <v>14.3</v>
      </c>
      <c r="E186">
        <v>15.175000000000001</v>
      </c>
      <c r="F186">
        <v>3609392.3369999998</v>
      </c>
      <c r="G186">
        <v>15.175000000000001</v>
      </c>
      <c r="L186" t="s">
        <v>8</v>
      </c>
      <c r="M186" t="s">
        <v>8</v>
      </c>
      <c r="N186" t="s">
        <v>7</v>
      </c>
      <c r="P186">
        <f t="shared" ref="P186" si="905">IF(C186=D186,0,((E186-D186)-(C186-E186))/(C186-D186))</f>
        <v>0.66825548141086832</v>
      </c>
      <c r="Q186">
        <f t="shared" ref="Q186" si="906">F186*P186</f>
        <v>2411996.213762634</v>
      </c>
      <c r="R186">
        <f t="shared" ref="R186" si="907">R187+Q186</f>
        <v>43714964.990540341</v>
      </c>
      <c r="S186">
        <f t="shared" ref="S186" si="908">R186/100000</f>
        <v>437.14964990540341</v>
      </c>
      <c r="T186">
        <f t="shared" ref="T186" si="909">S186/1000</f>
        <v>0.43714964990540339</v>
      </c>
    </row>
    <row r="187" spans="1:20" x14ac:dyDescent="0.25">
      <c r="A187" s="5">
        <v>44406</v>
      </c>
      <c r="B187">
        <v>14.914</v>
      </c>
      <c r="C187">
        <v>15.016</v>
      </c>
      <c r="D187">
        <v>14.632999999999999</v>
      </c>
      <c r="E187">
        <v>14.936</v>
      </c>
      <c r="F187">
        <v>2090161.4879999999</v>
      </c>
      <c r="G187">
        <v>14.936</v>
      </c>
      <c r="L187" t="s">
        <v>8</v>
      </c>
      <c r="M187" t="s">
        <v>8</v>
      </c>
      <c r="N187" t="s">
        <v>7</v>
      </c>
      <c r="P187">
        <f t="shared" ref="P187" si="910">IF(C187=D187,0,((E187-D187)-(C187-E187))/(C187-D187))</f>
        <v>0.58224543080940006</v>
      </c>
      <c r="Q187">
        <f t="shared" ref="Q187" si="911">F187*P187</f>
        <v>1216986.9760417766</v>
      </c>
      <c r="R187">
        <f t="shared" ref="R187" si="912">R188+Q187</f>
        <v>41302968.776777707</v>
      </c>
      <c r="S187">
        <f t="shared" ref="S187" si="913">R187/100000</f>
        <v>413.02968776777709</v>
      </c>
      <c r="T187">
        <f t="shared" ref="T187" si="914">S187/1000</f>
        <v>0.4130296877677771</v>
      </c>
    </row>
    <row r="188" spans="1:20" x14ac:dyDescent="0.25">
      <c r="A188" s="5">
        <v>44405</v>
      </c>
      <c r="B188">
        <v>14.742000000000001</v>
      </c>
      <c r="C188">
        <v>15.199</v>
      </c>
      <c r="D188">
        <v>14.505000000000001</v>
      </c>
      <c r="E188">
        <v>14.917999999999999</v>
      </c>
      <c r="F188">
        <v>3360325.6779999998</v>
      </c>
      <c r="G188">
        <v>14.917999999999999</v>
      </c>
      <c r="L188" t="s">
        <v>8</v>
      </c>
      <c r="M188" t="s">
        <v>8</v>
      </c>
      <c r="N188" t="s">
        <v>7</v>
      </c>
      <c r="P188">
        <f t="shared" ref="P188" si="915">IF(C188=D188,0,((E188-D188)-(C188-E188))/(C188-D188))</f>
        <v>0.19020172910662547</v>
      </c>
      <c r="Q188">
        <f t="shared" ref="Q188" si="916">F188*P188</f>
        <v>639139.75431699352</v>
      </c>
      <c r="R188">
        <f t="shared" ref="R188" si="917">R189+Q188</f>
        <v>40085981.800735928</v>
      </c>
      <c r="S188">
        <f t="shared" ref="S188" si="918">R188/100000</f>
        <v>400.85981800735931</v>
      </c>
      <c r="T188">
        <f t="shared" ref="T188" si="919">S188/1000</f>
        <v>0.40085981800735931</v>
      </c>
    </row>
    <row r="189" spans="1:20" x14ac:dyDescent="0.25">
      <c r="A189" s="5">
        <v>44404</v>
      </c>
      <c r="B189">
        <v>14.254</v>
      </c>
      <c r="C189">
        <v>14.923999999999999</v>
      </c>
      <c r="D189">
        <v>13.83</v>
      </c>
      <c r="E189">
        <v>14.74</v>
      </c>
      <c r="F189">
        <v>3358565.3879999998</v>
      </c>
      <c r="G189">
        <v>14.74</v>
      </c>
      <c r="L189" t="s">
        <v>7</v>
      </c>
      <c r="M189" t="s">
        <v>8</v>
      </c>
      <c r="N189" t="s">
        <v>7</v>
      </c>
      <c r="P189">
        <f t="shared" ref="P189" si="920">IF(C189=D189,0,((E189-D189)-(C189-E189))/(C189-D189))</f>
        <v>0.6636197440585021</v>
      </c>
      <c r="Q189">
        <f t="shared" ref="Q189" si="921">F189*P189</f>
        <v>2228810.3031883035</v>
      </c>
      <c r="R189">
        <f t="shared" ref="R189" si="922">R190+Q189</f>
        <v>39446842.046418935</v>
      </c>
      <c r="S189">
        <f t="shared" ref="S189" si="923">R189/100000</f>
        <v>394.46842046418936</v>
      </c>
      <c r="T189">
        <f t="shared" ref="T189" si="924">S189/1000</f>
        <v>0.39446842046418934</v>
      </c>
    </row>
    <row r="190" spans="1:20" x14ac:dyDescent="0.25">
      <c r="A190" s="5">
        <v>44403</v>
      </c>
      <c r="B190">
        <v>13.923</v>
      </c>
      <c r="C190">
        <v>15.5</v>
      </c>
      <c r="D190">
        <v>13.866</v>
      </c>
      <c r="E190">
        <v>14.26</v>
      </c>
      <c r="F190">
        <v>5585887.2309999997</v>
      </c>
      <c r="G190">
        <v>14.26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-0.51774785801713585</v>
      </c>
      <c r="Q190">
        <f t="shared" ref="Q190" si="926">F190*P190</f>
        <v>-2892081.1489755199</v>
      </c>
      <c r="R190">
        <f t="shared" ref="R190" si="927">R191+Q190</f>
        <v>37218031.743230633</v>
      </c>
      <c r="S190">
        <f t="shared" ref="S190" si="928">R190/100000</f>
        <v>372.18031743230631</v>
      </c>
      <c r="T190">
        <f t="shared" ref="T190" si="929">S190/1000</f>
        <v>0.37218031743230628</v>
      </c>
    </row>
    <row r="191" spans="1:20" x14ac:dyDescent="0.25">
      <c r="A191" s="5">
        <v>44402</v>
      </c>
      <c r="B191">
        <v>14.036</v>
      </c>
      <c r="C191">
        <v>14.129</v>
      </c>
      <c r="D191">
        <v>13.375999999999999</v>
      </c>
      <c r="E191">
        <v>13.923999999999999</v>
      </c>
      <c r="F191">
        <v>2166843.1889999998</v>
      </c>
      <c r="G191">
        <v>13.923999999999999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0.45551128818061076</v>
      </c>
      <c r="Q191">
        <f t="shared" ref="Q191" si="931">F191*P191</f>
        <v>987021.53230677254</v>
      </c>
      <c r="R191">
        <f t="shared" ref="R191" si="932">R192+Q191</f>
        <v>40110112.892206155</v>
      </c>
      <c r="S191">
        <f t="shared" ref="S191" si="933">R191/100000</f>
        <v>401.10112892206155</v>
      </c>
      <c r="T191">
        <f t="shared" ref="T191:T197" si="934">S191/1000</f>
        <v>0.40110112892206157</v>
      </c>
    </row>
    <row r="192" spans="1:20" x14ac:dyDescent="0.25">
      <c r="A192" s="5">
        <v>44401</v>
      </c>
      <c r="B192">
        <v>13.757999999999999</v>
      </c>
      <c r="C192">
        <v>14.34</v>
      </c>
      <c r="D192">
        <v>13.4</v>
      </c>
      <c r="E192">
        <v>14.03</v>
      </c>
      <c r="F192">
        <v>3770225.9279999998</v>
      </c>
      <c r="G192">
        <v>14.03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0.34042553191489222</v>
      </c>
      <c r="Q192">
        <f t="shared" ref="Q192" si="936">F192*P192</f>
        <v>1283481.166978718</v>
      </c>
      <c r="R192">
        <f t="shared" ref="R192" si="937">R193+Q192</f>
        <v>39123091.359899379</v>
      </c>
      <c r="S192">
        <f t="shared" ref="S192" si="938">R192/100000</f>
        <v>391.23091359899377</v>
      </c>
      <c r="T192">
        <f t="shared" si="934"/>
        <v>0.39123091359899376</v>
      </c>
    </row>
    <row r="193" spans="1:20" x14ac:dyDescent="0.25">
      <c r="A193" s="5">
        <v>44400</v>
      </c>
      <c r="B193">
        <v>13.009</v>
      </c>
      <c r="C193">
        <v>13.89</v>
      </c>
      <c r="D193">
        <v>12.662000000000001</v>
      </c>
      <c r="E193">
        <v>13.768000000000001</v>
      </c>
      <c r="F193">
        <v>3360031.7480000001</v>
      </c>
      <c r="G193">
        <v>13.768000000000001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0.80130293159609134</v>
      </c>
      <c r="Q193">
        <f t="shared" ref="Q193" si="940">F193*P193</f>
        <v>2692403.2899283394</v>
      </c>
      <c r="R193">
        <f t="shared" ref="R193" si="941">R194+Q193</f>
        <v>37839610.192920662</v>
      </c>
      <c r="S193">
        <f t="shared" ref="S193" si="942">R193/100000</f>
        <v>378.39610192920662</v>
      </c>
      <c r="T193">
        <f t="shared" si="934"/>
        <v>0.37839610192920664</v>
      </c>
    </row>
    <row r="194" spans="1:20" x14ac:dyDescent="0.25">
      <c r="A194" s="5">
        <v>44399</v>
      </c>
      <c r="B194">
        <v>12.945</v>
      </c>
      <c r="C194">
        <v>13.234</v>
      </c>
      <c r="D194">
        <v>12.608000000000001</v>
      </c>
      <c r="E194">
        <v>13.005000000000001</v>
      </c>
      <c r="F194">
        <v>2747946.7519999999</v>
      </c>
      <c r="G194">
        <v>13.005000000000001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0.26837060702875587</v>
      </c>
      <c r="Q194">
        <f t="shared" ref="Q194" si="944">F194*P194</f>
        <v>737468.13791693805</v>
      </c>
      <c r="R194">
        <f t="shared" ref="R194" si="945">R195+Q194</f>
        <v>35147206.902992323</v>
      </c>
      <c r="S194">
        <f t="shared" ref="S194" si="946">R194/100000</f>
        <v>351.4720690299232</v>
      </c>
      <c r="T194">
        <f t="shared" si="934"/>
        <v>0.35147206902992323</v>
      </c>
    </row>
    <row r="195" spans="1:20" x14ac:dyDescent="0.25">
      <c r="A195" s="5">
        <v>44398</v>
      </c>
      <c r="B195">
        <v>11.236000000000001</v>
      </c>
      <c r="C195">
        <v>13.317</v>
      </c>
      <c r="D195">
        <v>11.081</v>
      </c>
      <c r="E195">
        <v>12.95</v>
      </c>
      <c r="F195">
        <v>4095065.1349999998</v>
      </c>
      <c r="G195">
        <v>12.95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0.67173524150268271</v>
      </c>
      <c r="Q195">
        <f t="shared" ref="Q195" si="948">F195*P195</f>
        <v>2750799.5674284408</v>
      </c>
      <c r="R195">
        <f t="shared" ref="R195" si="949">R196+Q195</f>
        <v>34409738.765075386</v>
      </c>
      <c r="S195">
        <f t="shared" ref="S195" si="950">R195/100000</f>
        <v>344.09738765075383</v>
      </c>
      <c r="T195">
        <f t="shared" si="934"/>
        <v>0.34409738765075382</v>
      </c>
    </row>
    <row r="196" spans="1:20" x14ac:dyDescent="0.25">
      <c r="A196" s="5">
        <v>44397</v>
      </c>
      <c r="B196">
        <v>12.023</v>
      </c>
      <c r="C196">
        <v>12.183</v>
      </c>
      <c r="D196">
        <v>10.85</v>
      </c>
      <c r="E196">
        <v>11.226000000000001</v>
      </c>
      <c r="F196">
        <v>4069818.5290000001</v>
      </c>
      <c r="G196">
        <v>11.226000000000001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-0.43585896474118352</v>
      </c>
      <c r="Q196">
        <f t="shared" ref="Q196" si="952">F196*P196</f>
        <v>-1773866.8907344264</v>
      </c>
      <c r="R196">
        <f t="shared" ref="R196" si="953">R197+Q196</f>
        <v>31658939.197646942</v>
      </c>
      <c r="S196">
        <f t="shared" ref="S196" si="954">R196/100000</f>
        <v>316.58939197646941</v>
      </c>
      <c r="T196">
        <f t="shared" si="934"/>
        <v>0.3165893919764694</v>
      </c>
    </row>
    <row r="197" spans="1:20" x14ac:dyDescent="0.25">
      <c r="A197" s="5">
        <v>44396</v>
      </c>
      <c r="B197">
        <v>12.93</v>
      </c>
      <c r="C197">
        <v>12.997999999999999</v>
      </c>
      <c r="D197">
        <v>12</v>
      </c>
      <c r="E197">
        <v>12.036</v>
      </c>
      <c r="F197">
        <v>2341038.273</v>
      </c>
      <c r="G197">
        <v>0</v>
      </c>
      <c r="L197" t="s">
        <v>7</v>
      </c>
      <c r="M197" t="s">
        <v>7</v>
      </c>
      <c r="N197" t="s">
        <v>8</v>
      </c>
      <c r="P197">
        <f t="shared" ref="P197" si="955">IF(C197=D197,0,((E197-D197)-(C197-E197))/(C197-D197))</f>
        <v>-0.92785571142284651</v>
      </c>
      <c r="Q197">
        <f t="shared" ref="Q197" si="956">F197*P197</f>
        <v>-2172145.7322625271</v>
      </c>
      <c r="R197">
        <f t="shared" ref="R197" si="957">R198+Q197</f>
        <v>33432806.088381369</v>
      </c>
      <c r="S197">
        <f t="shared" ref="S197" si="958">R197/100000</f>
        <v>334.32806088381369</v>
      </c>
      <c r="T197">
        <f t="shared" si="934"/>
        <v>0.33432806088381367</v>
      </c>
    </row>
    <row r="198" spans="1:20" x14ac:dyDescent="0.25">
      <c r="A198" s="5">
        <v>44395</v>
      </c>
      <c r="B198">
        <v>12.737</v>
      </c>
      <c r="C198">
        <v>13.3</v>
      </c>
      <c r="D198">
        <v>12.683</v>
      </c>
      <c r="E198">
        <v>12.93</v>
      </c>
      <c r="F198">
        <v>1607492.0919999999</v>
      </c>
      <c r="G198">
        <v>0</v>
      </c>
      <c r="L198" t="s">
        <v>7</v>
      </c>
      <c r="M198" t="s">
        <v>7</v>
      </c>
      <c r="N198" t="s">
        <v>8</v>
      </c>
      <c r="P198">
        <f t="shared" ref="P198:P261" si="959">IF(C198=D198,0,((E198-D198)-(C198-E198))/(C198-D198))</f>
        <v>-0.19935170178282161</v>
      </c>
      <c r="Q198">
        <f t="shared" ref="Q198:Q261" si="960">F198*P198</f>
        <v>-320456.28414262802</v>
      </c>
      <c r="R198">
        <f t="shared" ref="R198:R261" si="961">R199+Q198</f>
        <v>35604951.820643894</v>
      </c>
      <c r="S198">
        <f t="shared" ref="S198:S261" si="962">R198/100000</f>
        <v>356.04951820643896</v>
      </c>
      <c r="T198">
        <f t="shared" ref="T198:T261" si="963">S198/1000</f>
        <v>0.35604951820643899</v>
      </c>
    </row>
    <row r="199" spans="1:20" x14ac:dyDescent="0.25">
      <c r="A199" s="5">
        <v>44394</v>
      </c>
      <c r="B199">
        <v>12.817</v>
      </c>
      <c r="C199">
        <v>13.012</v>
      </c>
      <c r="D199">
        <v>12.385999999999999</v>
      </c>
      <c r="E199">
        <v>12.746</v>
      </c>
      <c r="F199">
        <v>2293328.7220000001</v>
      </c>
      <c r="G199">
        <v>0</v>
      </c>
      <c r="L199" t="s">
        <v>7</v>
      </c>
      <c r="M199" t="s">
        <v>7</v>
      </c>
      <c r="N199" t="s">
        <v>8</v>
      </c>
      <c r="P199">
        <f t="shared" si="959"/>
        <v>0.1501597444089473</v>
      </c>
      <c r="Q199">
        <f t="shared" si="960"/>
        <v>344365.65474121779</v>
      </c>
      <c r="R199">
        <f t="shared" si="961"/>
        <v>35925408.104786523</v>
      </c>
      <c r="S199">
        <f t="shared" si="962"/>
        <v>359.25408104786521</v>
      </c>
      <c r="T199">
        <f t="shared" si="963"/>
        <v>0.35925408104786521</v>
      </c>
    </row>
    <row r="200" spans="1:20" x14ac:dyDescent="0.25">
      <c r="A200" s="5">
        <v>44393</v>
      </c>
      <c r="B200">
        <v>13.699</v>
      </c>
      <c r="C200">
        <v>14.022</v>
      </c>
      <c r="D200">
        <v>12.795</v>
      </c>
      <c r="E200">
        <v>12.816000000000001</v>
      </c>
      <c r="F200">
        <v>3283178.6570000001</v>
      </c>
      <c r="G200">
        <v>0</v>
      </c>
      <c r="L200" t="s">
        <v>7</v>
      </c>
      <c r="M200" t="s">
        <v>7</v>
      </c>
      <c r="N200" t="s">
        <v>8</v>
      </c>
      <c r="P200">
        <f t="shared" si="959"/>
        <v>-0.96577017114914299</v>
      </c>
      <c r="Q200">
        <f t="shared" si="960"/>
        <v>-3170796.0134841036</v>
      </c>
      <c r="R200">
        <f t="shared" si="961"/>
        <v>35581042.450045303</v>
      </c>
      <c r="S200">
        <f t="shared" si="962"/>
        <v>355.81042450045305</v>
      </c>
      <c r="T200">
        <f t="shared" si="963"/>
        <v>0.35581042450045303</v>
      </c>
    </row>
    <row r="201" spans="1:20" x14ac:dyDescent="0.25">
      <c r="A201" s="5">
        <v>44392</v>
      </c>
      <c r="B201">
        <v>14.012</v>
      </c>
      <c r="C201">
        <v>14.577999999999999</v>
      </c>
      <c r="D201">
        <v>13.51</v>
      </c>
      <c r="E201">
        <v>13.696999999999999</v>
      </c>
      <c r="F201">
        <v>3385693.3319999999</v>
      </c>
      <c r="G201">
        <v>0</v>
      </c>
      <c r="L201" t="s">
        <v>8</v>
      </c>
      <c r="M201" t="s">
        <v>7</v>
      </c>
      <c r="N201" t="s">
        <v>8</v>
      </c>
      <c r="P201">
        <f t="shared" si="959"/>
        <v>-0.64981273408239804</v>
      </c>
      <c r="Q201">
        <f t="shared" si="960"/>
        <v>-2200066.640831464</v>
      </c>
      <c r="R201">
        <f t="shared" si="961"/>
        <v>38751838.463529408</v>
      </c>
      <c r="S201">
        <f t="shared" si="962"/>
        <v>387.51838463529407</v>
      </c>
      <c r="T201">
        <f t="shared" si="963"/>
        <v>0.38751838463529409</v>
      </c>
    </row>
    <row r="202" spans="1:20" x14ac:dyDescent="0.25">
      <c r="A202" s="5">
        <v>44391</v>
      </c>
      <c r="B202">
        <v>14.478</v>
      </c>
      <c r="C202">
        <v>14.534000000000001</v>
      </c>
      <c r="D202">
        <v>13.298</v>
      </c>
      <c r="E202">
        <v>14.007999999999999</v>
      </c>
      <c r="F202">
        <v>4040724.7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0.1488673139158555</v>
      </c>
      <c r="Q202">
        <f t="shared" si="960"/>
        <v>601531.83236245112</v>
      </c>
      <c r="R202">
        <f t="shared" si="961"/>
        <v>40951905.104360871</v>
      </c>
      <c r="S202">
        <f t="shared" si="962"/>
        <v>409.51905104360873</v>
      </c>
      <c r="T202">
        <f t="shared" si="963"/>
        <v>0.40951905104360875</v>
      </c>
    </row>
    <row r="203" spans="1:20" x14ac:dyDescent="0.25">
      <c r="A203" s="5">
        <v>44390</v>
      </c>
      <c r="B203">
        <v>14.85</v>
      </c>
      <c r="C203">
        <v>15.132999999999999</v>
      </c>
      <c r="D203">
        <v>14.231</v>
      </c>
      <c r="E203">
        <v>14.471</v>
      </c>
      <c r="F203">
        <v>2224696.0610000002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-0.46784922394678402</v>
      </c>
      <c r="Q203">
        <f t="shared" si="960"/>
        <v>-1040822.3256563174</v>
      </c>
      <c r="R203">
        <f t="shared" si="961"/>
        <v>40350373.27199842</v>
      </c>
      <c r="S203">
        <f t="shared" si="962"/>
        <v>403.50373271998421</v>
      </c>
      <c r="T203">
        <f t="shared" si="963"/>
        <v>0.40350373271998419</v>
      </c>
    </row>
    <row r="204" spans="1:20" x14ac:dyDescent="0.25">
      <c r="A204" s="5">
        <v>44389</v>
      </c>
      <c r="B204">
        <v>15.148999999999999</v>
      </c>
      <c r="C204">
        <v>15.978999999999999</v>
      </c>
      <c r="D204">
        <v>14.472</v>
      </c>
      <c r="E204">
        <v>14.849</v>
      </c>
      <c r="F204">
        <v>3142004.4240000001</v>
      </c>
      <c r="G204">
        <v>0</v>
      </c>
      <c r="L204" t="s">
        <v>8</v>
      </c>
      <c r="M204" t="s">
        <v>7</v>
      </c>
      <c r="N204" t="s">
        <v>8</v>
      </c>
      <c r="P204">
        <f t="shared" si="959"/>
        <v>-0.49966821499668118</v>
      </c>
      <c r="Q204">
        <f t="shared" si="960"/>
        <v>-1569959.7420517555</v>
      </c>
      <c r="R204">
        <f t="shared" si="961"/>
        <v>41391195.597654738</v>
      </c>
      <c r="S204">
        <f t="shared" si="962"/>
        <v>413.9119559765474</v>
      </c>
      <c r="T204">
        <f t="shared" si="963"/>
        <v>0.4139119559765474</v>
      </c>
    </row>
    <row r="205" spans="1:20" x14ac:dyDescent="0.25">
      <c r="A205" s="5">
        <v>44388</v>
      </c>
      <c r="B205">
        <v>14.959</v>
      </c>
      <c r="C205">
        <v>15.429</v>
      </c>
      <c r="D205">
        <v>14.621</v>
      </c>
      <c r="E205">
        <v>15.144</v>
      </c>
      <c r="F205">
        <v>2451158.693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0.29455445544554404</v>
      </c>
      <c r="Q205">
        <f t="shared" si="960"/>
        <v>721999.71402722644</v>
      </c>
      <c r="R205">
        <f t="shared" si="961"/>
        <v>42961155.339706495</v>
      </c>
      <c r="S205">
        <f t="shared" si="962"/>
        <v>429.61155339706494</v>
      </c>
      <c r="T205">
        <f t="shared" si="963"/>
        <v>0.42961155339706492</v>
      </c>
    </row>
    <row r="206" spans="1:20" x14ac:dyDescent="0.25">
      <c r="A206" s="5">
        <v>44387</v>
      </c>
      <c r="B206">
        <v>14.577</v>
      </c>
      <c r="C206">
        <v>15.301</v>
      </c>
      <c r="D206">
        <v>14.282999999999999</v>
      </c>
      <c r="E206">
        <v>14.959</v>
      </c>
      <c r="F206">
        <v>3363103.93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0.32809430255402694</v>
      </c>
      <c r="Q206">
        <f t="shared" si="960"/>
        <v>1103415.2383300571</v>
      </c>
      <c r="R206">
        <f t="shared" si="961"/>
        <v>42239155.625679269</v>
      </c>
      <c r="S206">
        <f t="shared" si="962"/>
        <v>422.39155625679268</v>
      </c>
      <c r="T206">
        <f t="shared" si="963"/>
        <v>0.4223915562567927</v>
      </c>
    </row>
    <row r="207" spans="1:20" x14ac:dyDescent="0.25">
      <c r="A207" s="5">
        <v>44386</v>
      </c>
      <c r="B207">
        <v>14.278</v>
      </c>
      <c r="C207">
        <v>14.696</v>
      </c>
      <c r="D207">
        <v>13.7</v>
      </c>
      <c r="E207">
        <v>14.577</v>
      </c>
      <c r="F207">
        <v>2729916.787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0.76104417670682789</v>
      </c>
      <c r="Q207">
        <f t="shared" si="960"/>
        <v>2077587.2736405639</v>
      </c>
      <c r="R207">
        <f t="shared" si="961"/>
        <v>41135740.387349211</v>
      </c>
      <c r="S207">
        <f t="shared" si="962"/>
        <v>411.3574038734921</v>
      </c>
      <c r="T207">
        <f t="shared" si="963"/>
        <v>0.41135740387349212</v>
      </c>
    </row>
    <row r="208" spans="1:20" x14ac:dyDescent="0.25">
      <c r="A208" s="5">
        <v>44385</v>
      </c>
      <c r="B208">
        <v>15.183999999999999</v>
      </c>
      <c r="C208">
        <v>15.278</v>
      </c>
      <c r="D208">
        <v>14.065</v>
      </c>
      <c r="E208">
        <v>14.278</v>
      </c>
      <c r="F208">
        <v>3773997.6860000002</v>
      </c>
      <c r="G208">
        <v>0</v>
      </c>
      <c r="L208" t="s">
        <v>7</v>
      </c>
      <c r="M208" t="s">
        <v>8</v>
      </c>
      <c r="N208" t="s">
        <v>8</v>
      </c>
      <c r="P208">
        <f t="shared" si="959"/>
        <v>-0.64880461665292533</v>
      </c>
      <c r="Q208">
        <f t="shared" si="960"/>
        <v>-2448587.1219142573</v>
      </c>
      <c r="R208">
        <f t="shared" si="961"/>
        <v>39058153.113708645</v>
      </c>
      <c r="S208">
        <f t="shared" si="962"/>
        <v>390.58153113708647</v>
      </c>
      <c r="T208">
        <f t="shared" si="963"/>
        <v>0.39058153113708649</v>
      </c>
    </row>
    <row r="209" spans="1:20" x14ac:dyDescent="0.25">
      <c r="A209" s="5">
        <v>44384</v>
      </c>
      <c r="B209">
        <v>15.459</v>
      </c>
      <c r="C209">
        <v>16.317</v>
      </c>
      <c r="D209">
        <v>15.087</v>
      </c>
      <c r="E209">
        <v>15.191000000000001</v>
      </c>
      <c r="F209">
        <v>5421297.6979999999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-0.83089430894308791</v>
      </c>
      <c r="Q209">
        <f t="shared" si="960"/>
        <v>-4504525.4043544633</v>
      </c>
      <c r="R209">
        <f t="shared" si="961"/>
        <v>41506740.235622905</v>
      </c>
      <c r="S209">
        <f t="shared" si="962"/>
        <v>415.06740235622902</v>
      </c>
      <c r="T209">
        <f t="shared" si="963"/>
        <v>0.41506740235622902</v>
      </c>
    </row>
    <row r="210" spans="1:20" x14ac:dyDescent="0.25">
      <c r="A210" s="5">
        <v>44383</v>
      </c>
      <c r="B210">
        <v>14.042999999999999</v>
      </c>
      <c r="C210">
        <v>15.869</v>
      </c>
      <c r="D210">
        <v>13.991</v>
      </c>
      <c r="E210">
        <v>15.459</v>
      </c>
      <c r="F210">
        <v>6633076.5149999997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0.56336528221512239</v>
      </c>
      <c r="Q210">
        <f t="shared" si="960"/>
        <v>3736845.0228274753</v>
      </c>
      <c r="R210">
        <f t="shared" si="961"/>
        <v>46011265.639977366</v>
      </c>
      <c r="S210">
        <f t="shared" si="962"/>
        <v>460.11265639977364</v>
      </c>
      <c r="T210">
        <f t="shared" si="963"/>
        <v>0.46011265639977367</v>
      </c>
    </row>
    <row r="211" spans="1:20" x14ac:dyDescent="0.25">
      <c r="A211" s="5">
        <v>44382</v>
      </c>
      <c r="B211">
        <v>14.159000000000001</v>
      </c>
      <c r="C211">
        <v>14.459</v>
      </c>
      <c r="D211">
        <v>13.246</v>
      </c>
      <c r="E211">
        <v>14.037000000000001</v>
      </c>
      <c r="F211">
        <v>3593623.1850000001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0.30420445177246647</v>
      </c>
      <c r="Q211">
        <f t="shared" si="960"/>
        <v>1093196.17086975</v>
      </c>
      <c r="R211">
        <f t="shared" si="961"/>
        <v>42274420.617149889</v>
      </c>
      <c r="S211">
        <f t="shared" si="962"/>
        <v>422.74420617149889</v>
      </c>
      <c r="T211">
        <f t="shared" si="963"/>
        <v>0.42274420617149888</v>
      </c>
    </row>
    <row r="212" spans="1:20" x14ac:dyDescent="0.25">
      <c r="A212" s="5">
        <v>44381</v>
      </c>
      <c r="B212">
        <v>13.568</v>
      </c>
      <c r="C212">
        <v>14.641999999999999</v>
      </c>
      <c r="D212">
        <v>13.319000000000001</v>
      </c>
      <c r="E212">
        <v>14.163</v>
      </c>
      <c r="F212">
        <v>2593319.4309999999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0.27588813303099063</v>
      </c>
      <c r="Q212">
        <f t="shared" si="960"/>
        <v>715466.05617158092</v>
      </c>
      <c r="R212">
        <f t="shared" si="961"/>
        <v>41181224.446280137</v>
      </c>
      <c r="S212">
        <f t="shared" si="962"/>
        <v>411.81224446280135</v>
      </c>
      <c r="T212">
        <f t="shared" si="963"/>
        <v>0.41181224446280135</v>
      </c>
    </row>
    <row r="213" spans="1:20" x14ac:dyDescent="0.25">
      <c r="A213" s="5">
        <v>44380</v>
      </c>
      <c r="B213">
        <v>12.981999999999999</v>
      </c>
      <c r="C213">
        <v>13.86</v>
      </c>
      <c r="D213">
        <v>12.638999999999999</v>
      </c>
      <c r="E213">
        <v>13.568</v>
      </c>
      <c r="F213">
        <v>2157096.821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0.52170352170352208</v>
      </c>
      <c r="Q213">
        <f t="shared" si="960"/>
        <v>1125365.0081711719</v>
      </c>
      <c r="R213">
        <f t="shared" si="961"/>
        <v>40465758.390108556</v>
      </c>
      <c r="S213">
        <f t="shared" si="962"/>
        <v>404.65758390108556</v>
      </c>
      <c r="T213">
        <f t="shared" si="963"/>
        <v>0.40465758390108558</v>
      </c>
    </row>
    <row r="214" spans="1:20" x14ac:dyDescent="0.25">
      <c r="A214" s="5">
        <v>44379</v>
      </c>
      <c r="B214">
        <v>12.827</v>
      </c>
      <c r="C214">
        <v>13</v>
      </c>
      <c r="D214">
        <v>12.398999999999999</v>
      </c>
      <c r="E214">
        <v>12.981999999999999</v>
      </c>
      <c r="F214">
        <v>1764639.5079999999</v>
      </c>
      <c r="G214">
        <v>0</v>
      </c>
      <c r="L214" t="s">
        <v>7</v>
      </c>
      <c r="M214" t="s">
        <v>8</v>
      </c>
      <c r="N214" t="s">
        <v>8</v>
      </c>
      <c r="P214">
        <f t="shared" si="959"/>
        <v>0.94009983361064675</v>
      </c>
      <c r="Q214">
        <f t="shared" si="960"/>
        <v>1658937.3078535735</v>
      </c>
      <c r="R214">
        <f t="shared" si="961"/>
        <v>39340393.381937385</v>
      </c>
      <c r="S214">
        <f t="shared" si="962"/>
        <v>393.40393381937383</v>
      </c>
      <c r="T214">
        <f t="shared" si="963"/>
        <v>0.39340393381937383</v>
      </c>
    </row>
    <row r="215" spans="1:20" x14ac:dyDescent="0.25">
      <c r="A215" s="5">
        <v>44378</v>
      </c>
      <c r="B215">
        <v>13.846</v>
      </c>
      <c r="C215">
        <v>13.9</v>
      </c>
      <c r="D215">
        <v>12.593999999999999</v>
      </c>
      <c r="E215">
        <v>12.840999999999999</v>
      </c>
      <c r="F215">
        <v>2600057.4470000002</v>
      </c>
      <c r="G215">
        <v>0</v>
      </c>
      <c r="L215" t="s">
        <v>7</v>
      </c>
      <c r="M215" t="s">
        <v>8</v>
      </c>
      <c r="N215" t="s">
        <v>8</v>
      </c>
      <c r="P215">
        <f t="shared" si="959"/>
        <v>-0.62174578866768804</v>
      </c>
      <c r="Q215">
        <f t="shared" si="960"/>
        <v>-1616574.7679663105</v>
      </c>
      <c r="R215">
        <f t="shared" si="961"/>
        <v>37681456.074083813</v>
      </c>
      <c r="S215">
        <f t="shared" si="962"/>
        <v>376.81456074083815</v>
      </c>
      <c r="T215">
        <f t="shared" si="963"/>
        <v>0.37681456074083813</v>
      </c>
    </row>
    <row r="216" spans="1:20" x14ac:dyDescent="0.25">
      <c r="A216" s="5">
        <v>44377</v>
      </c>
      <c r="B216">
        <v>13.808999999999999</v>
      </c>
      <c r="C216">
        <v>13.901</v>
      </c>
      <c r="D216">
        <v>12.712</v>
      </c>
      <c r="E216">
        <v>13.836</v>
      </c>
      <c r="F216">
        <v>3131838.3450000002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0.89066442388561906</v>
      </c>
      <c r="Q216">
        <f t="shared" si="960"/>
        <v>2789416.9952523159</v>
      </c>
      <c r="R216">
        <f t="shared" si="961"/>
        <v>39298030.84205012</v>
      </c>
      <c r="S216">
        <f t="shared" si="962"/>
        <v>392.98030842050122</v>
      </c>
      <c r="T216">
        <f t="shared" si="963"/>
        <v>0.39298030842050119</v>
      </c>
    </row>
    <row r="217" spans="1:20" x14ac:dyDescent="0.25">
      <c r="A217" s="5">
        <v>44376</v>
      </c>
      <c r="B217">
        <v>13.303000000000001</v>
      </c>
      <c r="C217">
        <v>14.441000000000001</v>
      </c>
      <c r="D217">
        <v>13.26</v>
      </c>
      <c r="E217">
        <v>13.814</v>
      </c>
      <c r="F217">
        <v>3699194.7310000001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-6.1812023708721707E-2</v>
      </c>
      <c r="Q217">
        <f t="shared" si="960"/>
        <v>-228654.71241575043</v>
      </c>
      <c r="R217">
        <f t="shared" si="961"/>
        <v>36508613.846797802</v>
      </c>
      <c r="S217">
        <f t="shared" si="962"/>
        <v>365.086138467978</v>
      </c>
      <c r="T217">
        <f t="shared" si="963"/>
        <v>0.36508613846797799</v>
      </c>
    </row>
    <row r="218" spans="1:20" x14ac:dyDescent="0.25">
      <c r="A218" s="5">
        <v>44375</v>
      </c>
      <c r="B218">
        <v>13.021000000000001</v>
      </c>
      <c r="C218">
        <v>13.679</v>
      </c>
      <c r="D218">
        <v>12.602</v>
      </c>
      <c r="E218">
        <v>13.301</v>
      </c>
      <c r="F218">
        <v>3285417.5860000001</v>
      </c>
      <c r="G218">
        <v>0</v>
      </c>
      <c r="L218" t="s">
        <v>8</v>
      </c>
      <c r="M218" t="s">
        <v>8</v>
      </c>
      <c r="N218" t="s">
        <v>8</v>
      </c>
      <c r="P218">
        <f t="shared" si="959"/>
        <v>0.29805013927576579</v>
      </c>
      <c r="Q218">
        <f t="shared" si="960"/>
        <v>979219.16908635024</v>
      </c>
      <c r="R218">
        <f t="shared" si="961"/>
        <v>36737268.559213549</v>
      </c>
      <c r="S218">
        <f t="shared" si="962"/>
        <v>367.3726855921355</v>
      </c>
      <c r="T218">
        <f t="shared" si="963"/>
        <v>0.36737268559213548</v>
      </c>
    </row>
    <row r="219" spans="1:20" x14ac:dyDescent="0.25">
      <c r="A219" s="5">
        <v>44374</v>
      </c>
      <c r="B219">
        <v>12.26</v>
      </c>
      <c r="C219">
        <v>13.048999999999999</v>
      </c>
      <c r="D219">
        <v>11.849</v>
      </c>
      <c r="E219">
        <v>13.021000000000001</v>
      </c>
      <c r="F219">
        <v>3069749.8939999999</v>
      </c>
      <c r="G219">
        <v>0</v>
      </c>
      <c r="L219" t="s">
        <v>8</v>
      </c>
      <c r="M219" t="s">
        <v>7</v>
      </c>
      <c r="N219" t="s">
        <v>8</v>
      </c>
      <c r="P219">
        <f t="shared" si="959"/>
        <v>0.95333333333333548</v>
      </c>
      <c r="Q219">
        <f t="shared" si="960"/>
        <v>2926494.8989466731</v>
      </c>
      <c r="R219">
        <f t="shared" si="961"/>
        <v>35758049.390127197</v>
      </c>
      <c r="S219">
        <f t="shared" si="962"/>
        <v>357.58049390127195</v>
      </c>
      <c r="T219">
        <f t="shared" si="963"/>
        <v>0.35758049390127195</v>
      </c>
    </row>
    <row r="220" spans="1:20" x14ac:dyDescent="0.25">
      <c r="A220" s="5">
        <v>44373</v>
      </c>
      <c r="B220">
        <v>12.189</v>
      </c>
      <c r="C220">
        <v>12.677</v>
      </c>
      <c r="D220">
        <v>11.358000000000001</v>
      </c>
      <c r="E220">
        <v>12.260999999999999</v>
      </c>
      <c r="F220">
        <v>4045805.7689999999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0.36921910538286479</v>
      </c>
      <c r="Q220">
        <f t="shared" si="960"/>
        <v>1493788.7865830134</v>
      </c>
      <c r="R220">
        <f t="shared" si="961"/>
        <v>32831554.491180524</v>
      </c>
      <c r="S220">
        <f t="shared" si="962"/>
        <v>328.31554491180526</v>
      </c>
      <c r="T220">
        <f t="shared" si="963"/>
        <v>0.32831554491180526</v>
      </c>
    </row>
    <row r="221" spans="1:20" x14ac:dyDescent="0.25">
      <c r="A221" s="5">
        <v>44372</v>
      </c>
      <c r="B221">
        <v>13.817</v>
      </c>
      <c r="C221">
        <v>14.058999999999999</v>
      </c>
      <c r="D221">
        <v>11.781000000000001</v>
      </c>
      <c r="E221">
        <v>12.180999999999999</v>
      </c>
      <c r="F221">
        <v>4497421.8159999996</v>
      </c>
      <c r="G221">
        <v>0</v>
      </c>
      <c r="L221" t="s">
        <v>7</v>
      </c>
      <c r="M221" t="s">
        <v>7</v>
      </c>
      <c r="N221" t="s">
        <v>8</v>
      </c>
      <c r="P221">
        <f t="shared" si="959"/>
        <v>-0.64881474978051024</v>
      </c>
      <c r="Q221">
        <f t="shared" si="960"/>
        <v>-2917993.6102054478</v>
      </c>
      <c r="R221">
        <f t="shared" si="961"/>
        <v>31337765.70459751</v>
      </c>
      <c r="S221">
        <f t="shared" si="962"/>
        <v>313.37765704597513</v>
      </c>
      <c r="T221">
        <f t="shared" si="963"/>
        <v>0.31337765704597514</v>
      </c>
    </row>
    <row r="222" spans="1:20" x14ac:dyDescent="0.25">
      <c r="A222" s="5">
        <v>44371</v>
      </c>
      <c r="B222">
        <v>13.621</v>
      </c>
      <c r="C222">
        <v>14.2</v>
      </c>
      <c r="D222">
        <v>12.757999999999999</v>
      </c>
      <c r="E222">
        <v>13.815</v>
      </c>
      <c r="F222">
        <v>3800934.3169999998</v>
      </c>
      <c r="G222">
        <v>0</v>
      </c>
      <c r="L222" t="s">
        <v>7</v>
      </c>
      <c r="M222" t="s">
        <v>8</v>
      </c>
      <c r="N222" t="s">
        <v>8</v>
      </c>
      <c r="P222">
        <f t="shared" si="959"/>
        <v>0.4660194174757285</v>
      </c>
      <c r="Q222">
        <f t="shared" si="960"/>
        <v>1771309.1962718458</v>
      </c>
      <c r="R222">
        <f t="shared" si="961"/>
        <v>34255759.31480296</v>
      </c>
      <c r="S222">
        <f t="shared" si="962"/>
        <v>342.55759314802958</v>
      </c>
      <c r="T222">
        <f t="shared" si="963"/>
        <v>0.34255759314802958</v>
      </c>
    </row>
    <row r="223" spans="1:20" x14ac:dyDescent="0.25">
      <c r="A223" s="5">
        <v>44370</v>
      </c>
      <c r="B223">
        <v>12.009</v>
      </c>
      <c r="C223">
        <v>14.468</v>
      </c>
      <c r="D223">
        <v>11.398999999999999</v>
      </c>
      <c r="E223">
        <v>13.61</v>
      </c>
      <c r="F223">
        <v>7156917.1600000001</v>
      </c>
      <c r="G223">
        <v>0</v>
      </c>
      <c r="L223" t="s">
        <v>8</v>
      </c>
      <c r="M223" t="s">
        <v>8</v>
      </c>
      <c r="N223" t="s">
        <v>8</v>
      </c>
      <c r="P223">
        <f t="shared" si="959"/>
        <v>0.44086021505376322</v>
      </c>
      <c r="Q223">
        <f t="shared" si="960"/>
        <v>3155200.0382795683</v>
      </c>
      <c r="R223">
        <f t="shared" si="961"/>
        <v>32484450.118531112</v>
      </c>
      <c r="S223">
        <f t="shared" si="962"/>
        <v>324.84450118531112</v>
      </c>
      <c r="T223">
        <f t="shared" si="963"/>
        <v>0.32484450118531111</v>
      </c>
    </row>
    <row r="224" spans="1:20" x14ac:dyDescent="0.25">
      <c r="A224" s="5">
        <v>44369</v>
      </c>
      <c r="B224">
        <v>12.077</v>
      </c>
      <c r="C224">
        <v>14</v>
      </c>
      <c r="D224">
        <v>9.6440000000000001</v>
      </c>
      <c r="E224">
        <v>12.009</v>
      </c>
      <c r="F224">
        <v>14030475.673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8.5858585858585995E-2</v>
      </c>
      <c r="Q224">
        <f t="shared" si="960"/>
        <v>1204636.8002070726</v>
      </c>
      <c r="R224">
        <f t="shared" si="961"/>
        <v>29329250.080251545</v>
      </c>
      <c r="S224">
        <f t="shared" si="962"/>
        <v>293.29250080251546</v>
      </c>
      <c r="T224">
        <f t="shared" si="963"/>
        <v>0.29329250080251545</v>
      </c>
    </row>
    <row r="225" spans="1:20" x14ac:dyDescent="0.25">
      <c r="A225" s="5">
        <v>44368</v>
      </c>
      <c r="B225">
        <v>15.981999999999999</v>
      </c>
      <c r="C225">
        <v>16.096</v>
      </c>
      <c r="D225">
        <v>12.000999999999999</v>
      </c>
      <c r="E225">
        <v>12.086</v>
      </c>
      <c r="F225">
        <v>6963955.6519999998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-0.95848595848595808</v>
      </c>
      <c r="Q225">
        <f t="shared" si="960"/>
        <v>-6674853.7079609251</v>
      </c>
      <c r="R225">
        <f t="shared" si="961"/>
        <v>28124613.280044474</v>
      </c>
      <c r="S225">
        <f t="shared" si="962"/>
        <v>281.24613280044474</v>
      </c>
      <c r="T225">
        <f t="shared" si="963"/>
        <v>0.28124613280044475</v>
      </c>
    </row>
    <row r="226" spans="1:20" x14ac:dyDescent="0.25">
      <c r="A226" s="5">
        <v>44367</v>
      </c>
      <c r="B226">
        <v>15.385999999999999</v>
      </c>
      <c r="C226">
        <v>16.097999999999999</v>
      </c>
      <c r="D226">
        <v>14.329000000000001</v>
      </c>
      <c r="E226">
        <v>15.981999999999999</v>
      </c>
      <c r="F226">
        <v>3530269.463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0.86885245901639374</v>
      </c>
      <c r="Q226">
        <f t="shared" si="960"/>
        <v>3067283.3039180338</v>
      </c>
      <c r="R226">
        <f t="shared" si="961"/>
        <v>34799466.9880054</v>
      </c>
      <c r="S226">
        <f t="shared" si="962"/>
        <v>347.994669880054</v>
      </c>
      <c r="T226">
        <f t="shared" si="963"/>
        <v>0.34799466988005401</v>
      </c>
    </row>
    <row r="227" spans="1:20" x14ac:dyDescent="0.25">
      <c r="A227" s="5">
        <v>44366</v>
      </c>
      <c r="B227">
        <v>15.63</v>
      </c>
      <c r="C227">
        <v>15.846</v>
      </c>
      <c r="D227">
        <v>15.172000000000001</v>
      </c>
      <c r="E227">
        <v>15.387</v>
      </c>
      <c r="F227">
        <v>2379089.7889999999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-0.36201780415430262</v>
      </c>
      <c r="Q227">
        <f t="shared" si="960"/>
        <v>-861272.86129970313</v>
      </c>
      <c r="R227">
        <f t="shared" si="961"/>
        <v>31732183.684087366</v>
      </c>
      <c r="S227">
        <f t="shared" si="962"/>
        <v>317.32183684087369</v>
      </c>
      <c r="T227">
        <f t="shared" si="963"/>
        <v>0.31732183684087367</v>
      </c>
    </row>
    <row r="228" spans="1:20" x14ac:dyDescent="0.25">
      <c r="A228" s="5">
        <v>44365</v>
      </c>
      <c r="B228">
        <v>16.175999999999998</v>
      </c>
      <c r="C228">
        <v>16.478999999999999</v>
      </c>
      <c r="D228">
        <v>15.02</v>
      </c>
      <c r="E228">
        <v>15.64</v>
      </c>
      <c r="F228">
        <v>3132385.59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-0.15010281014393262</v>
      </c>
      <c r="Q228">
        <f t="shared" si="960"/>
        <v>-470179.87951336033</v>
      </c>
      <c r="R228">
        <f t="shared" si="961"/>
        <v>32593456.545387071</v>
      </c>
      <c r="S228">
        <f t="shared" si="962"/>
        <v>325.93456545387073</v>
      </c>
      <c r="T228">
        <f t="shared" si="963"/>
        <v>0.32593456545387073</v>
      </c>
    </row>
    <row r="229" spans="1:20" x14ac:dyDescent="0.25">
      <c r="A229" s="5">
        <v>44364</v>
      </c>
      <c r="B229">
        <v>15.987</v>
      </c>
      <c r="C229">
        <v>16.867000000000001</v>
      </c>
      <c r="D229">
        <v>15.827999999999999</v>
      </c>
      <c r="E229">
        <v>16.175000000000001</v>
      </c>
      <c r="F229">
        <v>2862979.648</v>
      </c>
      <c r="G229">
        <v>0</v>
      </c>
      <c r="L229" t="s">
        <v>8</v>
      </c>
      <c r="M229" t="s">
        <v>8</v>
      </c>
      <c r="N229" t="s">
        <v>7</v>
      </c>
      <c r="P229">
        <f t="shared" si="959"/>
        <v>-0.33205004812319383</v>
      </c>
      <c r="Q229">
        <f t="shared" si="960"/>
        <v>-950652.5298941246</v>
      </c>
      <c r="R229">
        <f t="shared" si="961"/>
        <v>33063636.424900431</v>
      </c>
      <c r="S229">
        <f t="shared" si="962"/>
        <v>330.63636424900432</v>
      </c>
      <c r="T229">
        <f t="shared" si="963"/>
        <v>0.33063636424900433</v>
      </c>
    </row>
    <row r="230" spans="1:20" x14ac:dyDescent="0.25">
      <c r="A230" s="5">
        <v>44363</v>
      </c>
      <c r="B230">
        <v>17.177</v>
      </c>
      <c r="C230">
        <v>17.184999999999999</v>
      </c>
      <c r="D230">
        <v>15.622999999999999</v>
      </c>
      <c r="E230">
        <v>16</v>
      </c>
      <c r="F230">
        <v>3577095.7659999998</v>
      </c>
      <c r="G230">
        <v>0</v>
      </c>
      <c r="L230" t="s">
        <v>7</v>
      </c>
      <c r="M230" t="s">
        <v>8</v>
      </c>
      <c r="N230" t="s">
        <v>7</v>
      </c>
      <c r="P230">
        <f t="shared" si="959"/>
        <v>-0.51728553137003741</v>
      </c>
      <c r="Q230">
        <f t="shared" si="960"/>
        <v>-1850379.8840768209</v>
      </c>
      <c r="R230">
        <f t="shared" si="961"/>
        <v>34014288.954794556</v>
      </c>
      <c r="S230">
        <f t="shared" si="962"/>
        <v>340.14288954794557</v>
      </c>
      <c r="T230">
        <f t="shared" si="963"/>
        <v>0.34014288954794558</v>
      </c>
    </row>
    <row r="231" spans="1:20" x14ac:dyDescent="0.25">
      <c r="A231" s="5">
        <v>44362</v>
      </c>
      <c r="B231">
        <v>17.311</v>
      </c>
      <c r="C231">
        <v>18.042000000000002</v>
      </c>
      <c r="D231">
        <v>16.988</v>
      </c>
      <c r="E231">
        <v>17.175000000000001</v>
      </c>
      <c r="F231">
        <v>3692440.409</v>
      </c>
      <c r="G231">
        <v>0</v>
      </c>
      <c r="L231" t="s">
        <v>8</v>
      </c>
      <c r="M231" t="s">
        <v>8</v>
      </c>
      <c r="N231" t="s">
        <v>7</v>
      </c>
      <c r="P231">
        <f t="shared" si="959"/>
        <v>-0.64516129032257907</v>
      </c>
      <c r="Q231">
        <f t="shared" si="960"/>
        <v>-2382219.6187096718</v>
      </c>
      <c r="R231">
        <f t="shared" si="961"/>
        <v>35864668.838871375</v>
      </c>
      <c r="S231">
        <f t="shared" si="962"/>
        <v>358.64668838871376</v>
      </c>
      <c r="T231">
        <f t="shared" si="963"/>
        <v>0.35864668838871377</v>
      </c>
    </row>
    <row r="232" spans="1:20" x14ac:dyDescent="0.25">
      <c r="A232" s="5">
        <v>44361</v>
      </c>
      <c r="B232">
        <v>16.841999999999999</v>
      </c>
      <c r="C232">
        <v>17.8</v>
      </c>
      <c r="D232">
        <v>16.367999999999999</v>
      </c>
      <c r="E232">
        <v>17.300999999999998</v>
      </c>
      <c r="F232">
        <v>4519080.1560000004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0.30307262569832183</v>
      </c>
      <c r="Q232">
        <f t="shared" si="960"/>
        <v>1369609.4886201019</v>
      </c>
      <c r="R232">
        <f t="shared" si="961"/>
        <v>38246888.457581043</v>
      </c>
      <c r="S232">
        <f t="shared" si="962"/>
        <v>382.46888457581042</v>
      </c>
      <c r="T232">
        <f t="shared" si="963"/>
        <v>0.38246888457581041</v>
      </c>
    </row>
    <row r="233" spans="1:20" x14ac:dyDescent="0.25">
      <c r="A233" s="5">
        <v>44360</v>
      </c>
      <c r="B233">
        <v>15.722</v>
      </c>
      <c r="C233">
        <v>17.13</v>
      </c>
      <c r="D233">
        <v>15.137</v>
      </c>
      <c r="E233">
        <v>16.829999999999998</v>
      </c>
      <c r="F233">
        <v>4096956.6540000001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0.69894631209232216</v>
      </c>
      <c r="Q233">
        <f t="shared" si="960"/>
        <v>2863552.7441154001</v>
      </c>
      <c r="R233">
        <f t="shared" si="961"/>
        <v>36877278.968960941</v>
      </c>
      <c r="S233">
        <f t="shared" si="962"/>
        <v>368.7727896896094</v>
      </c>
      <c r="T233">
        <f t="shared" si="963"/>
        <v>0.36877278968960941</v>
      </c>
    </row>
    <row r="234" spans="1:20" x14ac:dyDescent="0.25">
      <c r="A234" s="5">
        <v>44359</v>
      </c>
      <c r="B234">
        <v>15.95</v>
      </c>
      <c r="C234">
        <v>16.289000000000001</v>
      </c>
      <c r="D234">
        <v>15</v>
      </c>
      <c r="E234">
        <v>15.718999999999999</v>
      </c>
      <c r="F234">
        <v>4507143.1710000001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0.11559348332040123</v>
      </c>
      <c r="Q234">
        <f t="shared" si="960"/>
        <v>520996.37895964884</v>
      </c>
      <c r="R234">
        <f t="shared" si="961"/>
        <v>34013726.224845544</v>
      </c>
      <c r="S234">
        <f t="shared" si="962"/>
        <v>340.13726224845544</v>
      </c>
      <c r="T234">
        <f t="shared" si="963"/>
        <v>0.34013726224845542</v>
      </c>
    </row>
    <row r="235" spans="1:20" x14ac:dyDescent="0.25">
      <c r="A235" s="5">
        <v>44358</v>
      </c>
      <c r="B235">
        <v>16.768999999999998</v>
      </c>
      <c r="C235">
        <v>17.5</v>
      </c>
      <c r="D235">
        <v>15.696</v>
      </c>
      <c r="E235">
        <v>15.96</v>
      </c>
      <c r="F235">
        <v>5145506.17</v>
      </c>
      <c r="G235">
        <v>0</v>
      </c>
      <c r="L235" t="s">
        <v>7</v>
      </c>
      <c r="M235" t="s">
        <v>8</v>
      </c>
      <c r="N235" t="s">
        <v>7</v>
      </c>
      <c r="P235">
        <f t="shared" si="959"/>
        <v>-0.70731707317073056</v>
      </c>
      <c r="Q235">
        <f t="shared" si="960"/>
        <v>-3639504.3641463355</v>
      </c>
      <c r="R235">
        <f t="shared" si="961"/>
        <v>33492729.845885895</v>
      </c>
      <c r="S235">
        <f t="shared" si="962"/>
        <v>334.92729845885896</v>
      </c>
      <c r="T235">
        <f t="shared" si="963"/>
        <v>0.33492729845885894</v>
      </c>
    </row>
    <row r="236" spans="1:20" x14ac:dyDescent="0.25">
      <c r="A236" s="5">
        <v>44357</v>
      </c>
      <c r="B236">
        <v>18.431000000000001</v>
      </c>
      <c r="C236">
        <v>18.603000000000002</v>
      </c>
      <c r="D236">
        <v>16.600000000000001</v>
      </c>
      <c r="E236">
        <v>16.768999999999998</v>
      </c>
      <c r="F236">
        <v>6742342.8789999997</v>
      </c>
      <c r="G236">
        <v>0</v>
      </c>
      <c r="L236" t="s">
        <v>7</v>
      </c>
      <c r="M236" t="s">
        <v>8</v>
      </c>
      <c r="N236" t="s">
        <v>7</v>
      </c>
      <c r="P236">
        <f t="shared" si="959"/>
        <v>-0.83125312031952381</v>
      </c>
      <c r="Q236">
        <f t="shared" si="960"/>
        <v>-5604593.5564328711</v>
      </c>
      <c r="R236">
        <f t="shared" si="961"/>
        <v>37132234.210032232</v>
      </c>
      <c r="S236">
        <f t="shared" si="962"/>
        <v>371.32234210032232</v>
      </c>
      <c r="T236">
        <f t="shared" si="963"/>
        <v>0.37132234210032233</v>
      </c>
    </row>
    <row r="237" spans="1:20" x14ac:dyDescent="0.25">
      <c r="A237" s="5">
        <v>44356</v>
      </c>
      <c r="B237">
        <v>16.984999999999999</v>
      </c>
      <c r="C237">
        <v>18.62</v>
      </c>
      <c r="D237">
        <v>16.065999999999999</v>
      </c>
      <c r="E237">
        <v>18.431000000000001</v>
      </c>
      <c r="F237">
        <v>6860910.4330000002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0.85199686765857485</v>
      </c>
      <c r="Q237">
        <f t="shared" si="960"/>
        <v>5845474.1982020363</v>
      </c>
      <c r="R237">
        <f t="shared" si="961"/>
        <v>42736827.766465105</v>
      </c>
      <c r="S237">
        <f t="shared" si="962"/>
        <v>427.36827766465103</v>
      </c>
      <c r="T237">
        <f t="shared" si="963"/>
        <v>0.42736827766465102</v>
      </c>
    </row>
    <row r="238" spans="1:20" x14ac:dyDescent="0.25">
      <c r="A238" s="5">
        <v>44355</v>
      </c>
      <c r="B238">
        <v>17.010999999999999</v>
      </c>
      <c r="C238">
        <v>17.516999999999999</v>
      </c>
      <c r="D238">
        <v>15.260999999999999</v>
      </c>
      <c r="E238">
        <v>16.997</v>
      </c>
      <c r="F238">
        <v>9475448.2960000001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0.53900709219858201</v>
      </c>
      <c r="Q238">
        <f t="shared" si="960"/>
        <v>5107333.8333049687</v>
      </c>
      <c r="R238">
        <f t="shared" si="961"/>
        <v>36891353.568263069</v>
      </c>
      <c r="S238">
        <f t="shared" si="962"/>
        <v>368.91353568263071</v>
      </c>
      <c r="T238">
        <f t="shared" si="963"/>
        <v>0.36891353568263069</v>
      </c>
    </row>
    <row r="239" spans="1:20" x14ac:dyDescent="0.25">
      <c r="A239" s="5">
        <v>44354</v>
      </c>
      <c r="B239">
        <v>18.814</v>
      </c>
      <c r="C239">
        <v>20.381</v>
      </c>
      <c r="D239">
        <v>16.907</v>
      </c>
      <c r="E239">
        <v>17.010000000000002</v>
      </c>
      <c r="F239">
        <v>8449100.6669999994</v>
      </c>
      <c r="G239">
        <v>0</v>
      </c>
      <c r="L239" t="s">
        <v>7</v>
      </c>
      <c r="M239" t="s">
        <v>7</v>
      </c>
      <c r="N239" t="s">
        <v>8</v>
      </c>
      <c r="P239">
        <f t="shared" si="959"/>
        <v>-0.9407023603914787</v>
      </c>
      <c r="Q239">
        <f t="shared" si="960"/>
        <v>-7948088.940632117</v>
      </c>
      <c r="R239">
        <f t="shared" si="961"/>
        <v>31784019.734958101</v>
      </c>
      <c r="S239">
        <f t="shared" si="962"/>
        <v>317.84019734958099</v>
      </c>
      <c r="T239">
        <f t="shared" si="963"/>
        <v>0.31784019734958097</v>
      </c>
    </row>
    <row r="240" spans="1:20" x14ac:dyDescent="0.25">
      <c r="A240" s="5">
        <v>44353</v>
      </c>
      <c r="B240">
        <v>18.951000000000001</v>
      </c>
      <c r="C240">
        <v>19.478999999999999</v>
      </c>
      <c r="D240">
        <v>18.045999999999999</v>
      </c>
      <c r="E240">
        <v>18.818999999999999</v>
      </c>
      <c r="F240">
        <v>5068058.8470000001</v>
      </c>
      <c r="G240">
        <v>0</v>
      </c>
      <c r="L240" t="s">
        <v>7</v>
      </c>
      <c r="M240" t="s">
        <v>8</v>
      </c>
      <c r="N240" t="s">
        <v>8</v>
      </c>
      <c r="P240">
        <f t="shared" si="959"/>
        <v>7.8855547801814072E-2</v>
      </c>
      <c r="Q240">
        <f t="shared" si="960"/>
        <v>399644.55667201523</v>
      </c>
      <c r="R240">
        <f t="shared" si="961"/>
        <v>39732108.675590217</v>
      </c>
      <c r="S240">
        <f t="shared" si="962"/>
        <v>397.32108675590217</v>
      </c>
      <c r="T240">
        <f t="shared" si="963"/>
        <v>0.39732108675590216</v>
      </c>
    </row>
    <row r="241" spans="1:20" x14ac:dyDescent="0.25">
      <c r="A241" s="5">
        <v>44352</v>
      </c>
      <c r="B241">
        <v>19.074999999999999</v>
      </c>
      <c r="C241">
        <v>21.073</v>
      </c>
      <c r="D241">
        <v>18.091999999999999</v>
      </c>
      <c r="E241">
        <v>18.954000000000001</v>
      </c>
      <c r="F241">
        <v>7006090.9199999999</v>
      </c>
      <c r="G241">
        <v>0</v>
      </c>
      <c r="L241" t="s">
        <v>8</v>
      </c>
      <c r="M241" t="s">
        <v>8</v>
      </c>
      <c r="N241" t="s">
        <v>8</v>
      </c>
      <c r="P241">
        <f t="shared" si="959"/>
        <v>-0.42167058034216615</v>
      </c>
      <c r="Q241">
        <f t="shared" si="960"/>
        <v>-2954262.4241663809</v>
      </c>
      <c r="R241">
        <f t="shared" si="961"/>
        <v>39332464.118918203</v>
      </c>
      <c r="S241">
        <f t="shared" si="962"/>
        <v>393.32464118918205</v>
      </c>
      <c r="T241">
        <f t="shared" si="963"/>
        <v>0.39332464118918203</v>
      </c>
    </row>
    <row r="242" spans="1:20" x14ac:dyDescent="0.25">
      <c r="A242" s="5">
        <v>44351</v>
      </c>
      <c r="B242">
        <v>21.18</v>
      </c>
      <c r="C242">
        <v>21.257999999999999</v>
      </c>
      <c r="D242">
        <v>17.687999999999999</v>
      </c>
      <c r="E242">
        <v>19.081</v>
      </c>
      <c r="F242">
        <v>7892052.8729999997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-0.21960784313725459</v>
      </c>
      <c r="Q242">
        <f t="shared" si="960"/>
        <v>-1733156.7093647034</v>
      </c>
      <c r="R242">
        <f t="shared" si="961"/>
        <v>42286726.543084584</v>
      </c>
      <c r="S242">
        <f t="shared" si="962"/>
        <v>422.86726543084586</v>
      </c>
      <c r="T242">
        <f t="shared" si="963"/>
        <v>0.42286726543084585</v>
      </c>
    </row>
    <row r="243" spans="1:20" x14ac:dyDescent="0.25">
      <c r="A243" s="5">
        <v>44350</v>
      </c>
      <c r="B243">
        <v>19.251000000000001</v>
      </c>
      <c r="C243">
        <v>21.527999999999999</v>
      </c>
      <c r="D243">
        <v>18.838999999999999</v>
      </c>
      <c r="E243">
        <v>21.18</v>
      </c>
      <c r="F243">
        <v>6337765.2419999996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0.74116772034213541</v>
      </c>
      <c r="Q243">
        <f t="shared" si="960"/>
        <v>4697347.0164767615</v>
      </c>
      <c r="R243">
        <f t="shared" si="961"/>
        <v>44019883.252449289</v>
      </c>
      <c r="S243">
        <f t="shared" si="962"/>
        <v>440.1988325244929</v>
      </c>
      <c r="T243">
        <f t="shared" si="963"/>
        <v>0.44019883252449288</v>
      </c>
    </row>
    <row r="244" spans="1:20" x14ac:dyDescent="0.25">
      <c r="A244" s="5">
        <v>44349</v>
      </c>
      <c r="B244">
        <v>17.841999999999999</v>
      </c>
      <c r="C244">
        <v>20.587</v>
      </c>
      <c r="D244">
        <v>17.28</v>
      </c>
      <c r="E244">
        <v>19.259</v>
      </c>
      <c r="F244">
        <v>7629440.9780000001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0.19685515573026915</v>
      </c>
      <c r="Q244">
        <f t="shared" si="960"/>
        <v>1501894.7918590871</v>
      </c>
      <c r="R244">
        <f t="shared" si="961"/>
        <v>39322536.235972531</v>
      </c>
      <c r="S244">
        <f t="shared" si="962"/>
        <v>393.2253623597253</v>
      </c>
      <c r="T244">
        <f t="shared" si="963"/>
        <v>0.39322536235972527</v>
      </c>
    </row>
    <row r="245" spans="1:20" x14ac:dyDescent="0.25">
      <c r="A245" s="5">
        <v>44348</v>
      </c>
      <c r="B245">
        <v>17.925999999999998</v>
      </c>
      <c r="C245">
        <v>18.5</v>
      </c>
      <c r="D245">
        <v>16.916</v>
      </c>
      <c r="E245">
        <v>17.841999999999999</v>
      </c>
      <c r="F245">
        <v>6206430.0640000002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0.16919191919191742</v>
      </c>
      <c r="Q245">
        <f t="shared" si="960"/>
        <v>1050077.813858575</v>
      </c>
      <c r="R245">
        <f t="shared" si="961"/>
        <v>37820641.444113441</v>
      </c>
      <c r="S245">
        <f t="shared" si="962"/>
        <v>378.20641444113443</v>
      </c>
      <c r="T245">
        <f t="shared" si="963"/>
        <v>0.37820641444113445</v>
      </c>
    </row>
    <row r="246" spans="1:20" x14ac:dyDescent="0.25">
      <c r="A246" s="5">
        <v>44347</v>
      </c>
      <c r="B246">
        <v>15.865</v>
      </c>
      <c r="C246">
        <v>18.312000000000001</v>
      </c>
      <c r="D246">
        <v>14.9</v>
      </c>
      <c r="E246">
        <v>17.925999999999998</v>
      </c>
      <c r="F246">
        <v>7620027.1710000001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0.773739742086751</v>
      </c>
      <c r="Q246">
        <f t="shared" si="960"/>
        <v>5895917.8579835752</v>
      </c>
      <c r="R246">
        <f t="shared" si="961"/>
        <v>36770563.630254865</v>
      </c>
      <c r="S246">
        <f t="shared" si="962"/>
        <v>367.70563630254867</v>
      </c>
      <c r="T246">
        <f t="shared" si="963"/>
        <v>0.36770563630254866</v>
      </c>
    </row>
    <row r="247" spans="1:20" x14ac:dyDescent="0.25">
      <c r="A247" s="5">
        <v>44346</v>
      </c>
      <c r="B247">
        <v>14.682</v>
      </c>
      <c r="C247">
        <v>16.547000000000001</v>
      </c>
      <c r="D247">
        <v>13.811999999999999</v>
      </c>
      <c r="E247">
        <v>15.875</v>
      </c>
      <c r="F247">
        <v>6706109.3109999998</v>
      </c>
      <c r="G247">
        <v>0</v>
      </c>
      <c r="L247" t="s">
        <v>7</v>
      </c>
      <c r="M247" t="s">
        <v>8</v>
      </c>
      <c r="N247" t="s">
        <v>7</v>
      </c>
      <c r="P247">
        <f t="shared" si="959"/>
        <v>0.50859232175502722</v>
      </c>
      <c r="Q247">
        <f t="shared" si="960"/>
        <v>3410675.7044244958</v>
      </c>
      <c r="R247">
        <f t="shared" si="961"/>
        <v>30874645.77227129</v>
      </c>
      <c r="S247">
        <f t="shared" si="962"/>
        <v>308.74645772271293</v>
      </c>
      <c r="T247">
        <f t="shared" si="963"/>
        <v>0.30874645772271292</v>
      </c>
    </row>
    <row r="248" spans="1:20" x14ac:dyDescent="0.25">
      <c r="A248" s="5">
        <v>44345</v>
      </c>
      <c r="B248">
        <v>15.916</v>
      </c>
      <c r="C248">
        <v>16.855</v>
      </c>
      <c r="D248">
        <v>13.933999999999999</v>
      </c>
      <c r="E248">
        <v>14.675000000000001</v>
      </c>
      <c r="F248">
        <v>6453417.4900000002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-0.49263950701814369</v>
      </c>
      <c r="Q248">
        <f t="shared" si="960"/>
        <v>-3179208.4108558665</v>
      </c>
      <c r="R248">
        <f t="shared" si="961"/>
        <v>27463970.067846794</v>
      </c>
      <c r="S248">
        <f t="shared" si="962"/>
        <v>274.63970067846793</v>
      </c>
      <c r="T248">
        <f t="shared" si="963"/>
        <v>0.27463970067846794</v>
      </c>
    </row>
    <row r="249" spans="1:20" x14ac:dyDescent="0.25">
      <c r="A249" s="5">
        <v>44344</v>
      </c>
      <c r="B249">
        <v>18.222999999999999</v>
      </c>
      <c r="C249">
        <v>18.492000000000001</v>
      </c>
      <c r="D249">
        <v>15.102</v>
      </c>
      <c r="E249">
        <v>15.897</v>
      </c>
      <c r="F249">
        <v>8767794.284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-0.53097345132743379</v>
      </c>
      <c r="Q249">
        <f t="shared" si="960"/>
        <v>-4655465.9915044261</v>
      </c>
      <c r="R249">
        <f t="shared" si="961"/>
        <v>30643178.478702661</v>
      </c>
      <c r="S249">
        <f t="shared" si="962"/>
        <v>306.43178478702663</v>
      </c>
      <c r="T249">
        <f t="shared" si="963"/>
        <v>0.30643178478702665</v>
      </c>
    </row>
    <row r="250" spans="1:20" x14ac:dyDescent="0.25">
      <c r="A250" s="5">
        <v>44343</v>
      </c>
      <c r="B250">
        <v>19.309999999999999</v>
      </c>
      <c r="C250">
        <v>19.677</v>
      </c>
      <c r="D250">
        <v>17.021999999999998</v>
      </c>
      <c r="E250">
        <v>18.22</v>
      </c>
      <c r="F250">
        <v>10220779.1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-9.7551789077212889E-2</v>
      </c>
      <c r="Q250">
        <f t="shared" si="960"/>
        <v>-997055.2869679858</v>
      </c>
      <c r="R250">
        <f t="shared" si="961"/>
        <v>35298644.470207088</v>
      </c>
      <c r="S250">
        <f t="shared" si="962"/>
        <v>352.98644470207086</v>
      </c>
      <c r="T250">
        <f t="shared" si="963"/>
        <v>0.35298644470207086</v>
      </c>
    </row>
    <row r="251" spans="1:20" x14ac:dyDescent="0.25">
      <c r="A251" s="5">
        <v>44342</v>
      </c>
      <c r="B251">
        <v>17.695</v>
      </c>
      <c r="C251">
        <v>20.100000000000001</v>
      </c>
      <c r="D251">
        <v>17.346</v>
      </c>
      <c r="E251">
        <v>19.306000000000001</v>
      </c>
      <c r="F251">
        <v>10285734.316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0.42338416848220761</v>
      </c>
      <c r="Q251">
        <f t="shared" si="960"/>
        <v>4354817.0706085684</v>
      </c>
      <c r="R251">
        <f t="shared" si="961"/>
        <v>36295699.757175073</v>
      </c>
      <c r="S251">
        <f t="shared" si="962"/>
        <v>362.95699757175072</v>
      </c>
      <c r="T251">
        <f t="shared" si="963"/>
        <v>0.36295699757175071</v>
      </c>
    </row>
    <row r="252" spans="1:20" x14ac:dyDescent="0.25">
      <c r="A252" s="5">
        <v>44341</v>
      </c>
      <c r="B252">
        <v>17.812999999999999</v>
      </c>
      <c r="C252">
        <v>19.399999999999999</v>
      </c>
      <c r="D252">
        <v>15.15</v>
      </c>
      <c r="E252">
        <v>17.7</v>
      </c>
      <c r="F252">
        <v>13979950.655999999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0.2</v>
      </c>
      <c r="Q252">
        <f t="shared" si="960"/>
        <v>2795990.1312000002</v>
      </c>
      <c r="R252">
        <f t="shared" si="961"/>
        <v>31940882.686566502</v>
      </c>
      <c r="S252">
        <f t="shared" si="962"/>
        <v>319.40882686566499</v>
      </c>
      <c r="T252">
        <f t="shared" si="963"/>
        <v>0.31940882686566502</v>
      </c>
    </row>
    <row r="253" spans="1:20" x14ac:dyDescent="0.25">
      <c r="A253" s="5">
        <v>44340</v>
      </c>
      <c r="B253">
        <v>12.696999999999999</v>
      </c>
      <c r="C253">
        <v>18.443999999999999</v>
      </c>
      <c r="D253">
        <v>12.670999999999999</v>
      </c>
      <c r="E253">
        <v>17.812999999999999</v>
      </c>
      <c r="F253">
        <v>19763702.838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0.7813961545123852</v>
      </c>
      <c r="Q253">
        <f t="shared" si="960"/>
        <v>15443281.396538714</v>
      </c>
      <c r="R253">
        <f t="shared" si="961"/>
        <v>29144892.555366501</v>
      </c>
      <c r="S253">
        <f t="shared" si="962"/>
        <v>291.44892555366499</v>
      </c>
      <c r="T253">
        <f t="shared" si="963"/>
        <v>0.29144892555366497</v>
      </c>
    </row>
    <row r="254" spans="1:20" x14ac:dyDescent="0.25">
      <c r="A254" s="5">
        <v>44339</v>
      </c>
      <c r="B254">
        <v>15.166</v>
      </c>
      <c r="C254">
        <v>15.929</v>
      </c>
      <c r="D254">
        <v>9.4469999999999992</v>
      </c>
      <c r="E254">
        <v>12.715999999999999</v>
      </c>
      <c r="F254">
        <v>20870721.557999998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8.6393088552914454E-3</v>
      </c>
      <c r="Q254">
        <f t="shared" si="960"/>
        <v>180308.60957235144</v>
      </c>
      <c r="R254">
        <f t="shared" si="961"/>
        <v>13701611.158827789</v>
      </c>
      <c r="S254">
        <f t="shared" si="962"/>
        <v>137.01611158827788</v>
      </c>
      <c r="T254">
        <f t="shared" si="963"/>
        <v>0.13701611158827787</v>
      </c>
    </row>
    <row r="255" spans="1:20" x14ac:dyDescent="0.25">
      <c r="A255" s="5">
        <v>44338</v>
      </c>
      <c r="B255">
        <v>16.803999999999998</v>
      </c>
      <c r="C255">
        <v>17.5</v>
      </c>
      <c r="D255">
        <v>14.076000000000001</v>
      </c>
      <c r="E255">
        <v>15.141999999999999</v>
      </c>
      <c r="F255">
        <v>9987589.3729999997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-0.37733644859813137</v>
      </c>
      <c r="Q255">
        <f t="shared" si="960"/>
        <v>-3768681.5040642573</v>
      </c>
      <c r="R255">
        <f t="shared" si="961"/>
        <v>13521302.549255438</v>
      </c>
      <c r="S255">
        <f t="shared" si="962"/>
        <v>135.21302549255438</v>
      </c>
      <c r="T255">
        <f t="shared" si="963"/>
        <v>0.13521302549255437</v>
      </c>
    </row>
    <row r="256" spans="1:20" x14ac:dyDescent="0.25">
      <c r="A256" s="5">
        <v>44337</v>
      </c>
      <c r="B256">
        <v>20.173999999999999</v>
      </c>
      <c r="C256">
        <v>21.698</v>
      </c>
      <c r="D256">
        <v>13.5</v>
      </c>
      <c r="E256">
        <v>16.826000000000001</v>
      </c>
      <c r="F256">
        <v>15353478.948999999</v>
      </c>
      <c r="G256">
        <v>0</v>
      </c>
      <c r="L256" t="s">
        <v>8</v>
      </c>
      <c r="M256" t="s">
        <v>8</v>
      </c>
      <c r="N256" t="s">
        <v>8</v>
      </c>
      <c r="P256">
        <f t="shared" si="959"/>
        <v>-0.1885825811173456</v>
      </c>
      <c r="Q256">
        <f t="shared" si="960"/>
        <v>-2895398.6893332503</v>
      </c>
      <c r="R256">
        <f t="shared" si="961"/>
        <v>17289984.053319696</v>
      </c>
      <c r="S256">
        <f t="shared" si="962"/>
        <v>172.89984053319696</v>
      </c>
      <c r="T256">
        <f t="shared" si="963"/>
        <v>0.17289984053319696</v>
      </c>
    </row>
    <row r="257" spans="1:20" x14ac:dyDescent="0.25">
      <c r="A257" s="5">
        <v>44336</v>
      </c>
      <c r="B257">
        <v>15.663</v>
      </c>
      <c r="C257">
        <v>22.5</v>
      </c>
      <c r="D257">
        <v>13.625</v>
      </c>
      <c r="E257">
        <v>20.181000000000001</v>
      </c>
      <c r="F257">
        <v>21425201.956</v>
      </c>
      <c r="G257">
        <v>0</v>
      </c>
      <c r="L257" t="s">
        <v>7</v>
      </c>
      <c r="M257" t="s">
        <v>7</v>
      </c>
      <c r="N257" t="s">
        <v>7</v>
      </c>
      <c r="P257">
        <f t="shared" si="959"/>
        <v>0.47740845070422555</v>
      </c>
      <c r="Q257">
        <f t="shared" si="960"/>
        <v>10228572.471839104</v>
      </c>
      <c r="R257">
        <f t="shared" si="961"/>
        <v>20185382.742652945</v>
      </c>
      <c r="S257">
        <f t="shared" si="962"/>
        <v>201.85382742652945</v>
      </c>
      <c r="T257">
        <f t="shared" si="963"/>
        <v>0.20185382742652944</v>
      </c>
    </row>
    <row r="258" spans="1:20" x14ac:dyDescent="0.25">
      <c r="A258" s="5">
        <v>44335</v>
      </c>
      <c r="B258">
        <v>26.977</v>
      </c>
      <c r="C258">
        <v>27.640999999999998</v>
      </c>
      <c r="D258">
        <v>14.7</v>
      </c>
      <c r="E258">
        <v>15.664999999999999</v>
      </c>
      <c r="F258">
        <v>20914305.215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-0.85086160265821809</v>
      </c>
      <c r="Q258">
        <f t="shared" si="960"/>
        <v>-17795179.25371803</v>
      </c>
      <c r="R258">
        <f t="shared" si="961"/>
        <v>9956810.2708138414</v>
      </c>
      <c r="S258">
        <f t="shared" si="962"/>
        <v>99.568102708138412</v>
      </c>
      <c r="T258">
        <f t="shared" si="963"/>
        <v>9.9568102708138415E-2</v>
      </c>
    </row>
    <row r="259" spans="1:20" x14ac:dyDescent="0.25">
      <c r="A259" s="5">
        <v>44334</v>
      </c>
      <c r="B259">
        <v>26.765999999999998</v>
      </c>
      <c r="C259">
        <v>29.074000000000002</v>
      </c>
      <c r="D259">
        <v>25.9</v>
      </c>
      <c r="E259">
        <v>26.977</v>
      </c>
      <c r="F259">
        <v>6341959.6229999997</v>
      </c>
      <c r="G259">
        <v>0</v>
      </c>
      <c r="L259" t="s">
        <v>8</v>
      </c>
      <c r="M259" t="s">
        <v>8</v>
      </c>
      <c r="N259" t="s">
        <v>7</v>
      </c>
      <c r="P259">
        <f t="shared" si="959"/>
        <v>-0.32136105860113379</v>
      </c>
      <c r="Q259">
        <f t="shared" si="960"/>
        <v>-2038058.8580529273</v>
      </c>
      <c r="R259">
        <f t="shared" si="961"/>
        <v>27751989.524531871</v>
      </c>
      <c r="S259">
        <f t="shared" si="962"/>
        <v>277.51989524531871</v>
      </c>
      <c r="T259">
        <f t="shared" si="963"/>
        <v>0.27751989524531873</v>
      </c>
    </row>
    <row r="260" spans="1:20" x14ac:dyDescent="0.25">
      <c r="A260" s="5">
        <v>44333</v>
      </c>
      <c r="B260">
        <v>29.199000000000002</v>
      </c>
      <c r="C260">
        <v>29.25</v>
      </c>
      <c r="D260">
        <v>24.146999999999998</v>
      </c>
      <c r="E260">
        <v>26.73</v>
      </c>
      <c r="F260">
        <v>7599512.9800000004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1.2345679012346143E-2</v>
      </c>
      <c r="Q260">
        <f t="shared" si="960"/>
        <v>93821.147901238102</v>
      </c>
      <c r="R260">
        <f t="shared" si="961"/>
        <v>29790048.382584799</v>
      </c>
      <c r="S260">
        <f t="shared" si="962"/>
        <v>297.90048382584797</v>
      </c>
      <c r="T260">
        <f t="shared" si="963"/>
        <v>0.29790048382584799</v>
      </c>
    </row>
    <row r="261" spans="1:20" x14ac:dyDescent="0.25">
      <c r="A261" s="5">
        <v>44332</v>
      </c>
      <c r="B261">
        <v>28.643000000000001</v>
      </c>
      <c r="C261">
        <v>32.5</v>
      </c>
      <c r="D261">
        <v>27.12</v>
      </c>
      <c r="E261">
        <v>29.2</v>
      </c>
      <c r="F261">
        <v>5288166.0999999996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-0.22676579925650606</v>
      </c>
      <c r="Q261">
        <f t="shared" si="960"/>
        <v>-1199175.2122676605</v>
      </c>
      <c r="R261">
        <f t="shared" si="961"/>
        <v>29696227.234683562</v>
      </c>
      <c r="S261">
        <f t="shared" si="962"/>
        <v>296.96227234683562</v>
      </c>
      <c r="T261">
        <f t="shared" si="963"/>
        <v>0.29696227234683564</v>
      </c>
    </row>
    <row r="262" spans="1:20" x14ac:dyDescent="0.25">
      <c r="A262" s="5">
        <v>44331</v>
      </c>
      <c r="B262">
        <v>31.638999999999999</v>
      </c>
      <c r="C262">
        <v>32.122999999999998</v>
      </c>
      <c r="D262">
        <v>28.3</v>
      </c>
      <c r="E262">
        <v>28.632999999999999</v>
      </c>
      <c r="F262">
        <v>4200997.9040000001</v>
      </c>
      <c r="G262">
        <v>0</v>
      </c>
      <c r="L262" t="s">
        <v>7</v>
      </c>
      <c r="M262" t="s">
        <v>8</v>
      </c>
      <c r="N262" t="s">
        <v>7</v>
      </c>
      <c r="P262">
        <f t="shared" ref="P262:P325" si="964">IF(C262=D262,0,((E262-D262)-(C262-E262))/(C262-D262))</f>
        <v>-0.82579126340570297</v>
      </c>
      <c r="Q262">
        <f t="shared" ref="Q262:Q325" si="965">F262*P262</f>
        <v>-3469147.36670887</v>
      </c>
      <c r="R262">
        <f t="shared" ref="R262:R325" si="966">R263+Q262</f>
        <v>30895402.446951222</v>
      </c>
      <c r="S262">
        <f t="shared" ref="S262:S325" si="967">R262/100000</f>
        <v>308.95402446951221</v>
      </c>
      <c r="T262">
        <f t="shared" ref="T262:T325" si="968">S262/1000</f>
        <v>0.3089540244695122</v>
      </c>
    </row>
    <row r="263" spans="1:20" x14ac:dyDescent="0.25">
      <c r="A263" s="5">
        <v>44330</v>
      </c>
      <c r="B263">
        <v>29.564</v>
      </c>
      <c r="C263">
        <v>33</v>
      </c>
      <c r="D263">
        <v>29</v>
      </c>
      <c r="E263">
        <v>31.638000000000002</v>
      </c>
      <c r="F263">
        <v>4922547.01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0.31900000000000084</v>
      </c>
      <c r="Q263">
        <f t="shared" si="965"/>
        <v>1570292.4961900041</v>
      </c>
      <c r="R263">
        <f t="shared" si="966"/>
        <v>34364549.813660093</v>
      </c>
      <c r="S263">
        <f t="shared" si="967"/>
        <v>343.64549813660091</v>
      </c>
      <c r="T263">
        <f t="shared" si="968"/>
        <v>0.34364549813660089</v>
      </c>
    </row>
    <row r="264" spans="1:20" x14ac:dyDescent="0.25">
      <c r="A264" s="5">
        <v>44329</v>
      </c>
      <c r="B264">
        <v>29.41</v>
      </c>
      <c r="C264">
        <v>33.652000000000001</v>
      </c>
      <c r="D264">
        <v>27.298999999999999</v>
      </c>
      <c r="E264">
        <v>29.565999999999999</v>
      </c>
      <c r="F264">
        <v>9419855.2609999999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-0.28632142294978785</v>
      </c>
      <c r="Q264">
        <f t="shared" si="965"/>
        <v>-2697106.3623105651</v>
      </c>
      <c r="R264">
        <f t="shared" si="966"/>
        <v>32794257.317470089</v>
      </c>
      <c r="S264">
        <f t="shared" si="967"/>
        <v>327.9425731747009</v>
      </c>
      <c r="T264">
        <f t="shared" si="968"/>
        <v>0.32794257317470088</v>
      </c>
    </row>
    <row r="265" spans="1:20" x14ac:dyDescent="0.25">
      <c r="A265" s="5">
        <v>44328</v>
      </c>
      <c r="B265">
        <v>36.811999999999998</v>
      </c>
      <c r="C265">
        <v>37.198999999999998</v>
      </c>
      <c r="D265">
        <v>29.09</v>
      </c>
      <c r="E265">
        <v>29.303000000000001</v>
      </c>
      <c r="F265">
        <v>6969563.2050000001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-0.94746577876433569</v>
      </c>
      <c r="Q265">
        <f t="shared" si="965"/>
        <v>-6603422.6296725841</v>
      </c>
      <c r="R265">
        <f t="shared" si="966"/>
        <v>35491363.679780655</v>
      </c>
      <c r="S265">
        <f t="shared" si="967"/>
        <v>354.91363679780653</v>
      </c>
      <c r="T265">
        <f t="shared" si="968"/>
        <v>0.35491363679780652</v>
      </c>
    </row>
    <row r="266" spans="1:20" x14ac:dyDescent="0.25">
      <c r="A266" s="5">
        <v>44327</v>
      </c>
      <c r="B266">
        <v>36</v>
      </c>
      <c r="C266">
        <v>37.128</v>
      </c>
      <c r="D266">
        <v>34.700000000000003</v>
      </c>
      <c r="E266">
        <v>36.814</v>
      </c>
      <c r="F266">
        <v>3322016.2459999998</v>
      </c>
      <c r="G266">
        <v>0</v>
      </c>
      <c r="L266" t="s">
        <v>7</v>
      </c>
      <c r="M266" t="s">
        <v>7</v>
      </c>
      <c r="N266" t="s">
        <v>8</v>
      </c>
      <c r="P266">
        <f t="shared" si="964"/>
        <v>0.74135090609555154</v>
      </c>
      <c r="Q266">
        <f t="shared" si="965"/>
        <v>2462779.7540362426</v>
      </c>
      <c r="R266">
        <f t="shared" si="966"/>
        <v>42094786.309453242</v>
      </c>
      <c r="S266">
        <f t="shared" si="967"/>
        <v>420.94786309453241</v>
      </c>
      <c r="T266">
        <f t="shared" si="968"/>
        <v>0.42094786309453242</v>
      </c>
    </row>
    <row r="267" spans="1:20" x14ac:dyDescent="0.25">
      <c r="A267" s="5">
        <v>44326</v>
      </c>
      <c r="B267">
        <v>38.332999999999998</v>
      </c>
      <c r="C267">
        <v>40.642000000000003</v>
      </c>
      <c r="D267">
        <v>35</v>
      </c>
      <c r="E267">
        <v>35.981999999999999</v>
      </c>
      <c r="F267">
        <v>5089710.5769999996</v>
      </c>
      <c r="G267">
        <v>0</v>
      </c>
      <c r="L267" t="s">
        <v>8</v>
      </c>
      <c r="M267" t="s">
        <v>7</v>
      </c>
      <c r="N267" t="s">
        <v>8</v>
      </c>
      <c r="P267">
        <f t="shared" si="964"/>
        <v>-0.6518964906061685</v>
      </c>
      <c r="Q267">
        <f t="shared" si="965"/>
        <v>-3317964.4633473968</v>
      </c>
      <c r="R267">
        <f t="shared" si="966"/>
        <v>39632006.555417001</v>
      </c>
      <c r="S267">
        <f t="shared" si="967"/>
        <v>396.32006555417001</v>
      </c>
      <c r="T267">
        <f t="shared" si="968"/>
        <v>0.39632006555416999</v>
      </c>
    </row>
    <row r="268" spans="1:20" x14ac:dyDescent="0.25">
      <c r="A268" s="5">
        <v>44325</v>
      </c>
      <c r="B268">
        <v>37.021000000000001</v>
      </c>
      <c r="C268">
        <v>39.9</v>
      </c>
      <c r="D268">
        <v>36.08</v>
      </c>
      <c r="E268">
        <v>38.302999999999997</v>
      </c>
      <c r="F268">
        <v>4787319.6320000002</v>
      </c>
      <c r="G268">
        <v>0</v>
      </c>
      <c r="L268" t="s">
        <v>8</v>
      </c>
      <c r="M268" t="s">
        <v>7</v>
      </c>
      <c r="N268" t="s">
        <v>8</v>
      </c>
      <c r="P268">
        <f t="shared" si="964"/>
        <v>0.16387434554973759</v>
      </c>
      <c r="Q268">
        <f t="shared" si="965"/>
        <v>784518.87163141067</v>
      </c>
      <c r="R268">
        <f t="shared" si="966"/>
        <v>42949971.018764399</v>
      </c>
      <c r="S268">
        <f t="shared" si="967"/>
        <v>429.49971018764398</v>
      </c>
      <c r="T268">
        <f t="shared" si="968"/>
        <v>0.42949971018764399</v>
      </c>
    </row>
    <row r="269" spans="1:20" x14ac:dyDescent="0.25">
      <c r="A269" s="5">
        <v>44324</v>
      </c>
      <c r="B269">
        <v>36.036000000000001</v>
      </c>
      <c r="C269">
        <v>39.35</v>
      </c>
      <c r="D269">
        <v>35.64</v>
      </c>
      <c r="E269">
        <v>37.027999999999999</v>
      </c>
      <c r="F269">
        <v>4517835.7829999998</v>
      </c>
      <c r="G269">
        <v>0</v>
      </c>
      <c r="L269" t="s">
        <v>8</v>
      </c>
      <c r="M269" t="s">
        <v>7</v>
      </c>
      <c r="N269" t="s">
        <v>8</v>
      </c>
      <c r="P269">
        <f t="shared" si="964"/>
        <v>-0.25175202156334348</v>
      </c>
      <c r="Q269">
        <f t="shared" si="965"/>
        <v>-1137374.2914614608</v>
      </c>
      <c r="R269">
        <f t="shared" si="966"/>
        <v>42165452.147132985</v>
      </c>
      <c r="S269">
        <f t="shared" si="967"/>
        <v>421.65452147132987</v>
      </c>
      <c r="T269">
        <f t="shared" si="968"/>
        <v>0.42165452147132987</v>
      </c>
    </row>
    <row r="270" spans="1:20" x14ac:dyDescent="0.25">
      <c r="A270" s="5">
        <v>44323</v>
      </c>
      <c r="B270">
        <v>36.704999999999998</v>
      </c>
      <c r="C270">
        <v>37.68</v>
      </c>
      <c r="D270">
        <v>34.051000000000002</v>
      </c>
      <c r="E270">
        <v>36.024000000000001</v>
      </c>
      <c r="F270">
        <v>4819771.1109999996</v>
      </c>
      <c r="G270">
        <v>0</v>
      </c>
      <c r="L270" t="s">
        <v>7</v>
      </c>
      <c r="M270" t="s">
        <v>7</v>
      </c>
      <c r="N270" t="s">
        <v>8</v>
      </c>
      <c r="P270">
        <f t="shared" si="964"/>
        <v>8.7351887572334072E-2</v>
      </c>
      <c r="Q270">
        <f t="shared" si="965"/>
        <v>421016.10421245563</v>
      </c>
      <c r="R270">
        <f t="shared" si="966"/>
        <v>43302826.438594446</v>
      </c>
      <c r="S270">
        <f t="shared" si="967"/>
        <v>433.02826438594445</v>
      </c>
      <c r="T270">
        <f t="shared" si="968"/>
        <v>0.43302826438594444</v>
      </c>
    </row>
    <row r="271" spans="1:20" x14ac:dyDescent="0.25">
      <c r="A271" s="5">
        <v>44322</v>
      </c>
      <c r="B271">
        <v>38.970999999999997</v>
      </c>
      <c r="C271">
        <v>39.04</v>
      </c>
      <c r="D271">
        <v>35.591000000000001</v>
      </c>
      <c r="E271">
        <v>36.722999999999999</v>
      </c>
      <c r="F271">
        <v>5299276.7719999999</v>
      </c>
      <c r="G271">
        <v>0</v>
      </c>
      <c r="L271" t="s">
        <v>7</v>
      </c>
      <c r="M271" t="s">
        <v>7</v>
      </c>
      <c r="N271" t="s">
        <v>8</v>
      </c>
      <c r="P271">
        <f t="shared" si="964"/>
        <v>-0.34357784865178398</v>
      </c>
      <c r="Q271">
        <f t="shared" si="965"/>
        <v>-1820714.1127341304</v>
      </c>
      <c r="R271">
        <f t="shared" si="966"/>
        <v>42881810.33438199</v>
      </c>
      <c r="S271">
        <f t="shared" si="967"/>
        <v>428.81810334381993</v>
      </c>
      <c r="T271">
        <f t="shared" si="968"/>
        <v>0.42881810334381992</v>
      </c>
    </row>
    <row r="272" spans="1:20" x14ac:dyDescent="0.25">
      <c r="A272" s="5">
        <v>44321</v>
      </c>
      <c r="B272">
        <v>36.545999999999999</v>
      </c>
      <c r="C272">
        <v>40.700000000000003</v>
      </c>
      <c r="D272">
        <v>36.5</v>
      </c>
      <c r="E272">
        <v>38.970999999999997</v>
      </c>
      <c r="F272">
        <v>4107567.781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0.17666666666666422</v>
      </c>
      <c r="Q272">
        <f t="shared" si="965"/>
        <v>725670.30797665659</v>
      </c>
      <c r="R272">
        <f t="shared" si="966"/>
        <v>44702524.447116122</v>
      </c>
      <c r="S272">
        <f t="shared" si="967"/>
        <v>447.02524447116122</v>
      </c>
      <c r="T272">
        <f t="shared" si="968"/>
        <v>0.44702524447116121</v>
      </c>
    </row>
    <row r="273" spans="1:20" x14ac:dyDescent="0.25">
      <c r="A273" s="5">
        <v>44320</v>
      </c>
      <c r="B273">
        <v>40.9</v>
      </c>
      <c r="C273">
        <v>41.119</v>
      </c>
      <c r="D273">
        <v>36.012999999999998</v>
      </c>
      <c r="E273">
        <v>36.563000000000002</v>
      </c>
      <c r="F273">
        <v>6728023.5959999999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-0.78456717587152214</v>
      </c>
      <c r="Q273">
        <f t="shared" si="965"/>
        <v>-5278586.4719106825</v>
      </c>
      <c r="R273">
        <f t="shared" si="966"/>
        <v>43976854.139139466</v>
      </c>
      <c r="S273">
        <f t="shared" si="967"/>
        <v>439.76854139139465</v>
      </c>
      <c r="T273">
        <f t="shared" si="968"/>
        <v>0.43976854139139465</v>
      </c>
    </row>
    <row r="274" spans="1:20" x14ac:dyDescent="0.25">
      <c r="A274" s="5">
        <v>44319</v>
      </c>
      <c r="B274">
        <v>40.847999999999999</v>
      </c>
      <c r="C274">
        <v>42.98</v>
      </c>
      <c r="D274">
        <v>39.5</v>
      </c>
      <c r="E274">
        <v>40.9</v>
      </c>
      <c r="F274">
        <v>5780538.0109999999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-0.19540229885057481</v>
      </c>
      <c r="Q274">
        <f t="shared" si="965"/>
        <v>-1129530.4159425292</v>
      </c>
      <c r="R274">
        <f t="shared" si="966"/>
        <v>49255440.611050151</v>
      </c>
      <c r="S274">
        <f t="shared" si="967"/>
        <v>492.55440611050153</v>
      </c>
      <c r="T274">
        <f t="shared" si="968"/>
        <v>0.49255440611050155</v>
      </c>
    </row>
    <row r="275" spans="1:20" x14ac:dyDescent="0.25">
      <c r="A275" s="5">
        <v>44318</v>
      </c>
      <c r="B275">
        <v>38.515999999999998</v>
      </c>
      <c r="C275">
        <v>42.517000000000003</v>
      </c>
      <c r="D275">
        <v>36.713000000000001</v>
      </c>
      <c r="E275">
        <v>40.807000000000002</v>
      </c>
      <c r="F275">
        <v>7316285.5959999999</v>
      </c>
      <c r="G275">
        <v>0</v>
      </c>
      <c r="L275" t="s">
        <v>7</v>
      </c>
      <c r="M275" t="s">
        <v>7</v>
      </c>
      <c r="N275" t="s">
        <v>8</v>
      </c>
      <c r="P275">
        <f t="shared" si="964"/>
        <v>0.41075120606478283</v>
      </c>
      <c r="Q275">
        <f t="shared" si="965"/>
        <v>3005173.1324713985</v>
      </c>
      <c r="R275">
        <f t="shared" si="966"/>
        <v>50384971.026992679</v>
      </c>
      <c r="S275">
        <f t="shared" si="967"/>
        <v>503.84971026992679</v>
      </c>
      <c r="T275">
        <f t="shared" si="968"/>
        <v>0.50384971026992675</v>
      </c>
    </row>
    <row r="276" spans="1:20" x14ac:dyDescent="0.25">
      <c r="A276" s="5">
        <v>44317</v>
      </c>
      <c r="B276">
        <v>40.811999999999998</v>
      </c>
      <c r="C276">
        <v>42.292000000000002</v>
      </c>
      <c r="D276">
        <v>38.067</v>
      </c>
      <c r="E276">
        <v>38.527000000000001</v>
      </c>
      <c r="F276">
        <v>5143244.227</v>
      </c>
      <c r="G276">
        <v>0</v>
      </c>
      <c r="L276" t="s">
        <v>7</v>
      </c>
      <c r="M276" t="s">
        <v>8</v>
      </c>
      <c r="N276" t="s">
        <v>8</v>
      </c>
      <c r="P276">
        <f t="shared" si="964"/>
        <v>-0.78224852071005879</v>
      </c>
      <c r="Q276">
        <f t="shared" si="965"/>
        <v>-4023295.1882213</v>
      </c>
      <c r="R276">
        <f t="shared" si="966"/>
        <v>47379797.894521281</v>
      </c>
      <c r="S276">
        <f t="shared" si="967"/>
        <v>473.79797894521283</v>
      </c>
      <c r="T276">
        <f t="shared" si="968"/>
        <v>0.47379797894521281</v>
      </c>
    </row>
    <row r="277" spans="1:20" x14ac:dyDescent="0.25">
      <c r="A277" s="5">
        <v>44316</v>
      </c>
      <c r="B277">
        <v>42.66</v>
      </c>
      <c r="C277">
        <v>44.277999999999999</v>
      </c>
      <c r="D277">
        <v>39.979999999999997</v>
      </c>
      <c r="E277">
        <v>40.793999999999997</v>
      </c>
      <c r="F277">
        <v>8074109.5130000003</v>
      </c>
      <c r="G277">
        <v>0</v>
      </c>
      <c r="L277" t="s">
        <v>7</v>
      </c>
      <c r="M277" t="s">
        <v>8</v>
      </c>
      <c r="N277" t="s">
        <v>8</v>
      </c>
      <c r="P277">
        <f t="shared" si="964"/>
        <v>-0.62121917170777119</v>
      </c>
      <c r="Q277">
        <f t="shared" si="965"/>
        <v>-5015791.6239436958</v>
      </c>
      <c r="R277">
        <f t="shared" si="966"/>
        <v>51403093.082742579</v>
      </c>
      <c r="S277">
        <f t="shared" si="967"/>
        <v>514.03093082742578</v>
      </c>
      <c r="T277">
        <f t="shared" si="968"/>
        <v>0.51403093082742579</v>
      </c>
    </row>
    <row r="278" spans="1:20" x14ac:dyDescent="0.25">
      <c r="A278" s="5">
        <v>44315</v>
      </c>
      <c r="B278">
        <v>36.133000000000003</v>
      </c>
      <c r="C278">
        <v>44.1</v>
      </c>
      <c r="D278">
        <v>36.097000000000001</v>
      </c>
      <c r="E278">
        <v>42.679000000000002</v>
      </c>
      <c r="F278">
        <v>13978382.998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0.64488316881169583</v>
      </c>
      <c r="Q278">
        <f t="shared" si="965"/>
        <v>9014423.9226137735</v>
      </c>
      <c r="R278">
        <f t="shared" si="966"/>
        <v>56418884.706686273</v>
      </c>
      <c r="S278">
        <f t="shared" si="967"/>
        <v>564.18884706686276</v>
      </c>
      <c r="T278">
        <f t="shared" si="968"/>
        <v>0.56418884706686279</v>
      </c>
    </row>
    <row r="279" spans="1:20" x14ac:dyDescent="0.25">
      <c r="A279" s="5">
        <v>44314</v>
      </c>
      <c r="B279">
        <v>35.805</v>
      </c>
      <c r="C279">
        <v>36.85</v>
      </c>
      <c r="D279">
        <v>33.659999999999997</v>
      </c>
      <c r="E279">
        <v>36.094000000000001</v>
      </c>
      <c r="F279">
        <v>5912157.2369999997</v>
      </c>
      <c r="G279">
        <v>0</v>
      </c>
      <c r="L279" t="s">
        <v>8</v>
      </c>
      <c r="M279" t="s">
        <v>8</v>
      </c>
      <c r="N279" t="s">
        <v>8</v>
      </c>
      <c r="P279">
        <f t="shared" si="964"/>
        <v>0.52601880877743001</v>
      </c>
      <c r="Q279">
        <f t="shared" si="965"/>
        <v>3109905.9071116019</v>
      </c>
      <c r="R279">
        <f t="shared" si="966"/>
        <v>47404460.784072496</v>
      </c>
      <c r="S279">
        <f t="shared" si="967"/>
        <v>474.04460784072495</v>
      </c>
      <c r="T279">
        <f t="shared" si="968"/>
        <v>0.47404460784072494</v>
      </c>
    </row>
    <row r="280" spans="1:20" x14ac:dyDescent="0.25">
      <c r="A280" s="5">
        <v>44313</v>
      </c>
      <c r="B280">
        <v>33.564</v>
      </c>
      <c r="C280">
        <v>36.6</v>
      </c>
      <c r="D280">
        <v>32.118000000000002</v>
      </c>
      <c r="E280">
        <v>35.805</v>
      </c>
      <c r="F280">
        <v>7488840.3219999997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0.64524765729584921</v>
      </c>
      <c r="Q280">
        <f t="shared" si="965"/>
        <v>4832156.6736331927</v>
      </c>
      <c r="R280">
        <f t="shared" si="966"/>
        <v>44294554.876960896</v>
      </c>
      <c r="S280">
        <f t="shared" si="967"/>
        <v>442.94554876960893</v>
      </c>
      <c r="T280">
        <f t="shared" si="968"/>
        <v>0.44294554876960895</v>
      </c>
    </row>
    <row r="281" spans="1:20" x14ac:dyDescent="0.25">
      <c r="A281" s="5">
        <v>44312</v>
      </c>
      <c r="B281">
        <v>30.184000000000001</v>
      </c>
      <c r="C281">
        <v>34.884999999999998</v>
      </c>
      <c r="D281">
        <v>30.001999999999999</v>
      </c>
      <c r="E281">
        <v>33.564</v>
      </c>
      <c r="F281">
        <v>12088296.199999999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0.45893917673561407</v>
      </c>
      <c r="Q281">
        <f t="shared" si="965"/>
        <v>5547792.706164252</v>
      </c>
      <c r="R281">
        <f t="shared" si="966"/>
        <v>39462398.2033277</v>
      </c>
      <c r="S281">
        <f t="shared" si="967"/>
        <v>394.623982033277</v>
      </c>
      <c r="T281">
        <f t="shared" si="968"/>
        <v>0.39462398203327698</v>
      </c>
    </row>
    <row r="282" spans="1:20" x14ac:dyDescent="0.25">
      <c r="A282" s="5">
        <v>44311</v>
      </c>
      <c r="B282">
        <v>28.3</v>
      </c>
      <c r="C282">
        <v>31.5</v>
      </c>
      <c r="D282">
        <v>27.54</v>
      </c>
      <c r="E282">
        <v>30.184000000000001</v>
      </c>
      <c r="F282">
        <v>11879383.245999999</v>
      </c>
      <c r="G282">
        <v>0</v>
      </c>
      <c r="L282" t="s">
        <v>8</v>
      </c>
      <c r="M282" t="s">
        <v>8</v>
      </c>
      <c r="N282" t="s">
        <v>8</v>
      </c>
      <c r="P282">
        <f t="shared" si="964"/>
        <v>0.33535353535353601</v>
      </c>
      <c r="Q282">
        <f t="shared" si="965"/>
        <v>3983793.169365664</v>
      </c>
      <c r="R282">
        <f t="shared" si="966"/>
        <v>33914605.497163445</v>
      </c>
      <c r="S282">
        <f t="shared" si="967"/>
        <v>339.14605497163444</v>
      </c>
      <c r="T282">
        <f t="shared" si="968"/>
        <v>0.33914605497163441</v>
      </c>
    </row>
    <row r="283" spans="1:20" x14ac:dyDescent="0.25">
      <c r="A283" s="5">
        <v>44310</v>
      </c>
      <c r="B283">
        <v>26.968</v>
      </c>
      <c r="C283">
        <v>29.567</v>
      </c>
      <c r="D283">
        <v>25.387</v>
      </c>
      <c r="E283">
        <v>28.283000000000001</v>
      </c>
      <c r="F283">
        <v>12229411.313999999</v>
      </c>
      <c r="G283">
        <v>0</v>
      </c>
      <c r="L283" t="s">
        <v>8</v>
      </c>
      <c r="M283" t="s">
        <v>8</v>
      </c>
      <c r="N283" t="s">
        <v>8</v>
      </c>
      <c r="P283">
        <f t="shared" si="964"/>
        <v>0.38564593301435457</v>
      </c>
      <c r="Q283">
        <f t="shared" si="965"/>
        <v>4716222.7364038341</v>
      </c>
      <c r="R283">
        <f t="shared" si="966"/>
        <v>29930812.327797778</v>
      </c>
      <c r="S283">
        <f t="shared" si="967"/>
        <v>299.30812327797776</v>
      </c>
      <c r="T283">
        <f t="shared" si="968"/>
        <v>0.29930812327797773</v>
      </c>
    </row>
    <row r="284" spans="1:20" x14ac:dyDescent="0.25">
      <c r="A284" s="5">
        <v>44309</v>
      </c>
      <c r="B284">
        <v>25.117999999999999</v>
      </c>
      <c r="C284">
        <v>27.2</v>
      </c>
      <c r="D284">
        <v>22</v>
      </c>
      <c r="E284">
        <v>26.946000000000002</v>
      </c>
      <c r="F284">
        <v>12767887.243000001</v>
      </c>
      <c r="G284">
        <v>0</v>
      </c>
      <c r="L284" t="s">
        <v>7</v>
      </c>
      <c r="M284" t="s">
        <v>7</v>
      </c>
      <c r="N284" t="s">
        <v>8</v>
      </c>
      <c r="P284">
        <f t="shared" si="964"/>
        <v>0.90230769230769314</v>
      </c>
      <c r="Q284">
        <f t="shared" si="965"/>
        <v>11520562.873876166</v>
      </c>
      <c r="R284">
        <f t="shared" si="966"/>
        <v>25214589.591393944</v>
      </c>
      <c r="S284">
        <f t="shared" si="967"/>
        <v>252.14589591393943</v>
      </c>
      <c r="T284">
        <f t="shared" si="968"/>
        <v>0.25214589591393943</v>
      </c>
    </row>
    <row r="285" spans="1:20" x14ac:dyDescent="0.25">
      <c r="A285" s="5">
        <v>44308</v>
      </c>
      <c r="B285">
        <v>26.059000000000001</v>
      </c>
      <c r="C285">
        <v>28.5</v>
      </c>
      <c r="D285">
        <v>24.2</v>
      </c>
      <c r="E285">
        <v>25.131</v>
      </c>
      <c r="F285">
        <v>10650859.118000001</v>
      </c>
      <c r="G285">
        <v>0</v>
      </c>
      <c r="L285" t="s">
        <v>7</v>
      </c>
      <c r="M285" t="s">
        <v>7</v>
      </c>
      <c r="N285" t="s">
        <v>8</v>
      </c>
      <c r="P285">
        <f t="shared" si="964"/>
        <v>-0.56697674418604616</v>
      </c>
      <c r="Q285">
        <f t="shared" si="965"/>
        <v>-6038789.425507904</v>
      </c>
      <c r="R285">
        <f t="shared" si="966"/>
        <v>13694026.717517778</v>
      </c>
      <c r="S285">
        <f t="shared" si="967"/>
        <v>136.94026717517778</v>
      </c>
      <c r="T285">
        <f t="shared" si="968"/>
        <v>0.13694026717517779</v>
      </c>
    </row>
    <row r="286" spans="1:20" x14ac:dyDescent="0.25">
      <c r="A286" s="5">
        <v>44307</v>
      </c>
      <c r="B286">
        <v>27.539000000000001</v>
      </c>
      <c r="C286">
        <v>29.332999999999998</v>
      </c>
      <c r="D286">
        <v>25.6</v>
      </c>
      <c r="E286">
        <v>26.1</v>
      </c>
      <c r="F286">
        <v>16065054.536</v>
      </c>
      <c r="G286">
        <v>0</v>
      </c>
      <c r="L286" t="s">
        <v>8</v>
      </c>
      <c r="M286" t="s">
        <v>8</v>
      </c>
      <c r="N286" t="s">
        <v>8</v>
      </c>
      <c r="P286">
        <f t="shared" si="964"/>
        <v>-0.73211893919099902</v>
      </c>
      <c r="Q286">
        <f t="shared" si="965"/>
        <v>-11761530.684941867</v>
      </c>
      <c r="R286">
        <f t="shared" si="966"/>
        <v>19732816.143025681</v>
      </c>
      <c r="S286">
        <f t="shared" si="967"/>
        <v>197.32816143025681</v>
      </c>
      <c r="T286">
        <f t="shared" si="968"/>
        <v>0.1973281614302568</v>
      </c>
    </row>
    <row r="287" spans="1:20" x14ac:dyDescent="0.25">
      <c r="A287" s="5">
        <v>44306</v>
      </c>
      <c r="B287">
        <v>22.699000000000002</v>
      </c>
      <c r="C287">
        <v>27.559000000000001</v>
      </c>
      <c r="D287">
        <v>21</v>
      </c>
      <c r="E287">
        <v>27.51</v>
      </c>
      <c r="F287">
        <v>10562081.694</v>
      </c>
      <c r="G287">
        <v>0</v>
      </c>
      <c r="L287" t="s">
        <v>8</v>
      </c>
      <c r="M287" t="s">
        <v>8</v>
      </c>
      <c r="N287" t="s">
        <v>8</v>
      </c>
      <c r="P287">
        <f t="shared" si="964"/>
        <v>0.98505869797225198</v>
      </c>
      <c r="Q287">
        <f t="shared" si="965"/>
        <v>10404270.441368198</v>
      </c>
      <c r="R287">
        <f t="shared" si="966"/>
        <v>31494346.827967547</v>
      </c>
      <c r="S287">
        <f t="shared" si="967"/>
        <v>314.94346827967547</v>
      </c>
      <c r="T287">
        <f t="shared" si="968"/>
        <v>0.31494346827967545</v>
      </c>
    </row>
    <row r="288" spans="1:20" x14ac:dyDescent="0.25">
      <c r="A288" s="5">
        <v>44305</v>
      </c>
      <c r="B288">
        <v>22.193000000000001</v>
      </c>
      <c r="C288">
        <v>25.355</v>
      </c>
      <c r="D288">
        <v>21.401</v>
      </c>
      <c r="E288">
        <v>22.699000000000002</v>
      </c>
      <c r="F288">
        <v>7621300.4409999996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-0.34344967121901787</v>
      </c>
      <c r="Q288">
        <f t="shared" si="965"/>
        <v>-2617533.1307228059</v>
      </c>
      <c r="R288">
        <f t="shared" si="966"/>
        <v>21090076.386599347</v>
      </c>
      <c r="S288">
        <f t="shared" si="967"/>
        <v>210.90076386599347</v>
      </c>
      <c r="T288">
        <f t="shared" si="968"/>
        <v>0.21090076386599346</v>
      </c>
    </row>
    <row r="289" spans="1:20" x14ac:dyDescent="0.25">
      <c r="A289" s="5">
        <v>44304</v>
      </c>
      <c r="B289">
        <v>23.934000000000001</v>
      </c>
      <c r="C289">
        <v>25.012</v>
      </c>
      <c r="D289">
        <v>19.09</v>
      </c>
      <c r="E289">
        <v>22.227</v>
      </c>
      <c r="F289">
        <v>7050977.7019999996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5.9439378588314808E-2</v>
      </c>
      <c r="Q289">
        <f t="shared" si="965"/>
        <v>419105.7330469439</v>
      </c>
      <c r="R289">
        <f t="shared" si="966"/>
        <v>23707609.517322153</v>
      </c>
      <c r="S289">
        <f t="shared" si="967"/>
        <v>237.07609517322152</v>
      </c>
      <c r="T289">
        <f t="shared" si="968"/>
        <v>0.23707609517322151</v>
      </c>
    </row>
    <row r="290" spans="1:20" x14ac:dyDescent="0.25">
      <c r="A290" s="5">
        <v>44303</v>
      </c>
      <c r="B290">
        <v>22.47</v>
      </c>
      <c r="C290">
        <v>24.99</v>
      </c>
      <c r="D290">
        <v>22.298999999999999</v>
      </c>
      <c r="E290">
        <v>23.888999999999999</v>
      </c>
      <c r="F290">
        <v>4522644.4639999997</v>
      </c>
      <c r="G290">
        <v>0</v>
      </c>
      <c r="L290" t="s">
        <v>8</v>
      </c>
      <c r="M290" t="s">
        <v>7</v>
      </c>
      <c r="N290" t="s">
        <v>8</v>
      </c>
      <c r="P290">
        <f t="shared" si="964"/>
        <v>0.1817168338907473</v>
      </c>
      <c r="Q290">
        <f t="shared" si="965"/>
        <v>821840.6328115958</v>
      </c>
      <c r="R290">
        <f t="shared" si="966"/>
        <v>23288503.784275208</v>
      </c>
      <c r="S290">
        <f t="shared" si="967"/>
        <v>232.88503784275207</v>
      </c>
      <c r="T290">
        <f t="shared" si="968"/>
        <v>0.23288503784275208</v>
      </c>
    </row>
    <row r="291" spans="1:20" x14ac:dyDescent="0.25">
      <c r="A291" s="5">
        <v>44302</v>
      </c>
      <c r="B291">
        <v>23.53</v>
      </c>
      <c r="C291">
        <v>24</v>
      </c>
      <c r="D291">
        <v>21.4</v>
      </c>
      <c r="E291">
        <v>22.475999999999999</v>
      </c>
      <c r="F291">
        <v>4685897.7960000001</v>
      </c>
      <c r="G291">
        <v>0</v>
      </c>
      <c r="L291" t="s">
        <v>8</v>
      </c>
      <c r="M291" t="s">
        <v>7</v>
      </c>
      <c r="N291" t="s">
        <v>8</v>
      </c>
      <c r="P291">
        <f t="shared" si="964"/>
        <v>-0.17230769230769236</v>
      </c>
      <c r="Q291">
        <f t="shared" si="965"/>
        <v>-807416.23561846174</v>
      </c>
      <c r="R291">
        <f t="shared" si="966"/>
        <v>22466663.151463613</v>
      </c>
      <c r="S291">
        <f t="shared" si="967"/>
        <v>224.66663151463612</v>
      </c>
      <c r="T291">
        <f t="shared" si="968"/>
        <v>0.22466663151463612</v>
      </c>
    </row>
    <row r="292" spans="1:20" x14ac:dyDescent="0.25">
      <c r="A292" s="5">
        <v>44301</v>
      </c>
      <c r="B292">
        <v>23.225000000000001</v>
      </c>
      <c r="C292">
        <v>24.491</v>
      </c>
      <c r="D292">
        <v>21.46</v>
      </c>
      <c r="E292">
        <v>23.536999999999999</v>
      </c>
      <c r="F292">
        <v>6887717.7259999998</v>
      </c>
      <c r="G292">
        <v>0</v>
      </c>
      <c r="L292" t="s">
        <v>7</v>
      </c>
      <c r="M292" t="s">
        <v>7</v>
      </c>
      <c r="N292" t="s">
        <v>8</v>
      </c>
      <c r="P292">
        <f t="shared" si="964"/>
        <v>0.37050478389970243</v>
      </c>
      <c r="Q292">
        <f t="shared" si="965"/>
        <v>2551932.3676337795</v>
      </c>
      <c r="R292">
        <f t="shared" si="966"/>
        <v>23274079.387082074</v>
      </c>
      <c r="S292">
        <f t="shared" si="967"/>
        <v>232.74079387082074</v>
      </c>
      <c r="T292">
        <f t="shared" si="968"/>
        <v>0.23274079387082075</v>
      </c>
    </row>
    <row r="293" spans="1:20" x14ac:dyDescent="0.25">
      <c r="A293" s="5">
        <v>44300</v>
      </c>
      <c r="B293">
        <v>24.23</v>
      </c>
      <c r="C293">
        <v>25.363</v>
      </c>
      <c r="D293">
        <v>22.178999999999998</v>
      </c>
      <c r="E293">
        <v>23.231999999999999</v>
      </c>
      <c r="F293">
        <v>5368098.2510000002</v>
      </c>
      <c r="G293">
        <v>0</v>
      </c>
      <c r="L293" t="s">
        <v>7</v>
      </c>
      <c r="M293" t="s">
        <v>7</v>
      </c>
      <c r="N293" t="s">
        <v>8</v>
      </c>
      <c r="P293">
        <f t="shared" si="964"/>
        <v>-0.3385678391959796</v>
      </c>
      <c r="Q293">
        <f t="shared" si="965"/>
        <v>-1817465.4254327875</v>
      </c>
      <c r="R293">
        <f t="shared" si="966"/>
        <v>20722147.019448295</v>
      </c>
      <c r="S293">
        <f t="shared" si="967"/>
        <v>207.22147019448295</v>
      </c>
      <c r="T293">
        <f t="shared" si="968"/>
        <v>0.20722147019448295</v>
      </c>
    </row>
    <row r="294" spans="1:20" x14ac:dyDescent="0.25">
      <c r="A294" s="5">
        <v>44299</v>
      </c>
      <c r="B294">
        <v>26.195</v>
      </c>
      <c r="C294">
        <v>26.582000000000001</v>
      </c>
      <c r="D294">
        <v>23.105</v>
      </c>
      <c r="E294">
        <v>24.236999999999998</v>
      </c>
      <c r="F294">
        <v>6789002.9029999999</v>
      </c>
      <c r="G294">
        <v>0</v>
      </c>
      <c r="L294" t="s">
        <v>7</v>
      </c>
      <c r="M294" t="s">
        <v>7</v>
      </c>
      <c r="N294" t="s">
        <v>8</v>
      </c>
      <c r="P294">
        <f t="shared" si="964"/>
        <v>-0.34886396318665641</v>
      </c>
      <c r="Q294">
        <f t="shared" si="965"/>
        <v>-2368438.4588262956</v>
      </c>
      <c r="R294">
        <f t="shared" si="966"/>
        <v>22539612.444881082</v>
      </c>
      <c r="S294">
        <f t="shared" si="967"/>
        <v>225.39612444881081</v>
      </c>
      <c r="T294">
        <f t="shared" si="968"/>
        <v>0.2253961244488108</v>
      </c>
    </row>
    <row r="295" spans="1:20" x14ac:dyDescent="0.25">
      <c r="A295" s="5">
        <v>44298</v>
      </c>
      <c r="B295">
        <v>26.204999999999998</v>
      </c>
      <c r="C295">
        <v>28.242000000000001</v>
      </c>
      <c r="D295">
        <v>23.858000000000001</v>
      </c>
      <c r="E295">
        <v>26.195</v>
      </c>
      <c r="F295">
        <v>12809189.393999999</v>
      </c>
      <c r="G295">
        <v>0</v>
      </c>
      <c r="L295" t="s">
        <v>8</v>
      </c>
      <c r="M295" t="s">
        <v>8</v>
      </c>
      <c r="N295" t="s">
        <v>8</v>
      </c>
      <c r="P295">
        <f t="shared" si="964"/>
        <v>6.6149635036496152E-2</v>
      </c>
      <c r="Q295">
        <f t="shared" si="965"/>
        <v>847323.20352645731</v>
      </c>
      <c r="R295">
        <f t="shared" si="966"/>
        <v>24908050.903707378</v>
      </c>
      <c r="S295">
        <f t="shared" si="967"/>
        <v>249.08050903707377</v>
      </c>
      <c r="T295">
        <f t="shared" si="968"/>
        <v>0.24908050903707377</v>
      </c>
    </row>
    <row r="296" spans="1:20" x14ac:dyDescent="0.25">
      <c r="A296" s="5">
        <v>44297</v>
      </c>
      <c r="B296">
        <v>22.779</v>
      </c>
      <c r="C296">
        <v>26.666</v>
      </c>
      <c r="D296">
        <v>21.902999999999999</v>
      </c>
      <c r="E296">
        <v>26.221</v>
      </c>
      <c r="F296">
        <v>8056509.1619999995</v>
      </c>
      <c r="G296">
        <v>0</v>
      </c>
      <c r="L296" t="s">
        <v>8</v>
      </c>
      <c r="M296" t="s">
        <v>8</v>
      </c>
      <c r="N296" t="s">
        <v>8</v>
      </c>
      <c r="P296">
        <f t="shared" si="964"/>
        <v>0.8131429771152634</v>
      </c>
      <c r="Q296">
        <f t="shared" si="965"/>
        <v>6551093.8451450756</v>
      </c>
      <c r="R296">
        <f t="shared" si="966"/>
        <v>24060727.700180922</v>
      </c>
      <c r="S296">
        <f t="shared" si="967"/>
        <v>240.60727700180922</v>
      </c>
      <c r="T296">
        <f t="shared" si="968"/>
        <v>0.24060727700180923</v>
      </c>
    </row>
    <row r="297" spans="1:20" x14ac:dyDescent="0.25">
      <c r="A297" s="5">
        <v>44296</v>
      </c>
      <c r="B297">
        <v>24.169</v>
      </c>
      <c r="C297">
        <v>25.268999999999998</v>
      </c>
      <c r="D297">
        <v>21.3</v>
      </c>
      <c r="E297">
        <v>22.803999999999998</v>
      </c>
      <c r="F297">
        <v>10081975.949999999</v>
      </c>
      <c r="G297">
        <v>0</v>
      </c>
      <c r="L297" t="s">
        <v>8</v>
      </c>
      <c r="M297" t="s">
        <v>8</v>
      </c>
      <c r="N297" t="s">
        <v>8</v>
      </c>
      <c r="P297">
        <f t="shared" si="964"/>
        <v>-0.24212648022171898</v>
      </c>
      <c r="Q297">
        <f t="shared" si="965"/>
        <v>-2441113.3504535211</v>
      </c>
      <c r="R297">
        <f t="shared" si="966"/>
        <v>17509633.855035845</v>
      </c>
      <c r="S297">
        <f t="shared" si="967"/>
        <v>175.09633855035844</v>
      </c>
      <c r="T297">
        <f t="shared" si="968"/>
        <v>0.17509633855035844</v>
      </c>
    </row>
    <row r="298" spans="1:20" x14ac:dyDescent="0.25">
      <c r="A298" s="5">
        <v>44295</v>
      </c>
      <c r="B298">
        <v>21.102</v>
      </c>
      <c r="C298">
        <v>24.344999999999999</v>
      </c>
      <c r="D298">
        <v>19.84</v>
      </c>
      <c r="E298">
        <v>24.151</v>
      </c>
      <c r="F298">
        <v>9701651.3839999996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0.91387347391786944</v>
      </c>
      <c r="Q298">
        <f t="shared" si="965"/>
        <v>8866081.8530361857</v>
      </c>
      <c r="R298">
        <f t="shared" si="966"/>
        <v>19950747.205489367</v>
      </c>
      <c r="S298">
        <f t="shared" si="967"/>
        <v>199.50747205489367</v>
      </c>
      <c r="T298">
        <f t="shared" si="968"/>
        <v>0.19950747205489366</v>
      </c>
    </row>
    <row r="299" spans="1:20" x14ac:dyDescent="0.25">
      <c r="A299" s="5">
        <v>44294</v>
      </c>
      <c r="B299">
        <v>17.178999999999998</v>
      </c>
      <c r="C299">
        <v>21.25</v>
      </c>
      <c r="D299">
        <v>17.100999999999999</v>
      </c>
      <c r="E299">
        <v>21.102</v>
      </c>
      <c r="F299">
        <v>12220039.505000001</v>
      </c>
      <c r="G299">
        <v>0</v>
      </c>
      <c r="L299" t="s">
        <v>8</v>
      </c>
      <c r="M299" t="s">
        <v>8</v>
      </c>
      <c r="N299" t="s">
        <v>8</v>
      </c>
      <c r="P299">
        <f t="shared" si="964"/>
        <v>0.92865750783321299</v>
      </c>
      <c r="Q299">
        <f t="shared" si="965"/>
        <v>11348231.43233671</v>
      </c>
      <c r="R299">
        <f t="shared" si="966"/>
        <v>11084665.352453182</v>
      </c>
      <c r="S299">
        <f t="shared" si="967"/>
        <v>110.84665352453182</v>
      </c>
      <c r="T299">
        <f t="shared" si="968"/>
        <v>0.11084665352453181</v>
      </c>
    </row>
    <row r="300" spans="1:20" x14ac:dyDescent="0.25">
      <c r="A300" s="5">
        <v>44293</v>
      </c>
      <c r="B300">
        <v>18.038</v>
      </c>
      <c r="C300">
        <v>18.5</v>
      </c>
      <c r="D300">
        <v>15.55</v>
      </c>
      <c r="E300">
        <v>17.146000000000001</v>
      </c>
      <c r="F300">
        <v>6811948.9210000001</v>
      </c>
      <c r="G300">
        <v>0</v>
      </c>
      <c r="L300" t="s">
        <v>8</v>
      </c>
      <c r="M300" t="s">
        <v>8</v>
      </c>
      <c r="N300" t="s">
        <v>8</v>
      </c>
      <c r="P300">
        <f t="shared" si="964"/>
        <v>8.2033898305085062E-2</v>
      </c>
      <c r="Q300">
        <f t="shared" si="965"/>
        <v>558810.72504474793</v>
      </c>
      <c r="R300">
        <f t="shared" si="966"/>
        <v>-263566.07988352829</v>
      </c>
      <c r="S300">
        <f t="shared" si="967"/>
        <v>-2.6356607988352829</v>
      </c>
      <c r="T300">
        <f t="shared" si="968"/>
        <v>-2.6356607988352828E-3</v>
      </c>
    </row>
    <row r="301" spans="1:20" x14ac:dyDescent="0.25">
      <c r="A301" s="5">
        <v>44292</v>
      </c>
      <c r="B301">
        <v>16.933</v>
      </c>
      <c r="C301">
        <v>18.335999999999999</v>
      </c>
      <c r="D301">
        <v>16.565999999999999</v>
      </c>
      <c r="E301">
        <v>18.03</v>
      </c>
      <c r="F301">
        <v>4949670.2130000005</v>
      </c>
      <c r="G301">
        <v>0</v>
      </c>
      <c r="L301" t="s">
        <v>8</v>
      </c>
      <c r="M301" t="s">
        <v>8</v>
      </c>
      <c r="N301" t="s">
        <v>8</v>
      </c>
      <c r="P301">
        <f t="shared" si="964"/>
        <v>0.65423728813559612</v>
      </c>
      <c r="Q301">
        <f t="shared" si="965"/>
        <v>3238258.8173186588</v>
      </c>
      <c r="R301">
        <f t="shared" si="966"/>
        <v>-822376.80492827622</v>
      </c>
      <c r="S301">
        <f t="shared" si="967"/>
        <v>-8.2237680492827625</v>
      </c>
      <c r="T301">
        <f t="shared" si="968"/>
        <v>-8.223768049282763E-3</v>
      </c>
    </row>
    <row r="302" spans="1:20" x14ac:dyDescent="0.25">
      <c r="A302" s="5">
        <v>44291</v>
      </c>
      <c r="B302">
        <v>16.763000000000002</v>
      </c>
      <c r="C302">
        <v>18</v>
      </c>
      <c r="D302">
        <v>15.843999999999999</v>
      </c>
      <c r="E302">
        <v>16.940000000000001</v>
      </c>
      <c r="F302">
        <v>4393514.875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1.6697588126161008E-2</v>
      </c>
      <c r="Q302">
        <f t="shared" si="965"/>
        <v>73361.101808911772</v>
      </c>
      <c r="R302">
        <f t="shared" si="966"/>
        <v>-4060635.622246935</v>
      </c>
      <c r="S302">
        <f t="shared" si="967"/>
        <v>-40.606356222469351</v>
      </c>
      <c r="T302">
        <f t="shared" si="968"/>
        <v>-4.0606356222469352E-2</v>
      </c>
    </row>
    <row r="303" spans="1:20" x14ac:dyDescent="0.25">
      <c r="A303" s="5">
        <v>44290</v>
      </c>
      <c r="B303">
        <v>15.602</v>
      </c>
      <c r="C303">
        <v>16.97</v>
      </c>
      <c r="D303">
        <v>15.2</v>
      </c>
      <c r="E303">
        <v>16.757000000000001</v>
      </c>
      <c r="F303">
        <v>3410120.8480000002</v>
      </c>
      <c r="G303">
        <v>0</v>
      </c>
      <c r="L303" t="s">
        <v>7</v>
      </c>
      <c r="M303" t="s">
        <v>7</v>
      </c>
      <c r="N303" t="s">
        <v>8</v>
      </c>
      <c r="P303">
        <f t="shared" si="964"/>
        <v>0.75932203389830799</v>
      </c>
      <c r="Q303">
        <f t="shared" si="965"/>
        <v>2589379.898142383</v>
      </c>
      <c r="R303">
        <f t="shared" si="966"/>
        <v>-4133996.7240558467</v>
      </c>
      <c r="S303">
        <f t="shared" si="967"/>
        <v>-41.339967240558465</v>
      </c>
      <c r="T303">
        <f t="shared" si="968"/>
        <v>-4.1339967240558467E-2</v>
      </c>
    </row>
    <row r="304" spans="1:20" x14ac:dyDescent="0.25">
      <c r="A304" s="5">
        <v>44289</v>
      </c>
      <c r="B304">
        <v>17.065999999999999</v>
      </c>
      <c r="C304">
        <v>17.486999999999998</v>
      </c>
      <c r="D304">
        <v>15.4</v>
      </c>
      <c r="E304">
        <v>15.601000000000001</v>
      </c>
      <c r="F304">
        <v>4161091.7340000002</v>
      </c>
      <c r="G304">
        <v>0</v>
      </c>
      <c r="L304" t="s">
        <v>7</v>
      </c>
      <c r="M304" t="s">
        <v>7</v>
      </c>
      <c r="N304" t="s">
        <v>8</v>
      </c>
      <c r="P304">
        <f t="shared" si="964"/>
        <v>-0.8073790129372298</v>
      </c>
      <c r="Q304">
        <f t="shared" si="965"/>
        <v>-3359578.1369381859</v>
      </c>
      <c r="R304">
        <f t="shared" si="966"/>
        <v>-6723376.6221982297</v>
      </c>
      <c r="S304">
        <f t="shared" si="967"/>
        <v>-67.233766221982293</v>
      </c>
      <c r="T304">
        <f t="shared" si="968"/>
        <v>-6.7233766221982294E-2</v>
      </c>
    </row>
    <row r="305" spans="1:20" x14ac:dyDescent="0.25">
      <c r="A305" s="5">
        <v>44288</v>
      </c>
      <c r="B305">
        <v>17.12</v>
      </c>
      <c r="C305">
        <v>18.53</v>
      </c>
      <c r="D305">
        <v>16.870999999999999</v>
      </c>
      <c r="E305">
        <v>17.068999999999999</v>
      </c>
      <c r="F305">
        <v>4921815.9400000004</v>
      </c>
      <c r="G305">
        <v>0</v>
      </c>
      <c r="L305" t="s">
        <v>8</v>
      </c>
      <c r="M305" t="s">
        <v>7</v>
      </c>
      <c r="N305" t="s">
        <v>8</v>
      </c>
      <c r="P305">
        <f t="shared" si="964"/>
        <v>-0.76130198915009029</v>
      </c>
      <c r="Q305">
        <f t="shared" si="965"/>
        <v>-3746988.2653526217</v>
      </c>
      <c r="R305">
        <f t="shared" si="966"/>
        <v>-3363798.4852600442</v>
      </c>
      <c r="S305">
        <f t="shared" si="967"/>
        <v>-33.637984852600439</v>
      </c>
      <c r="T305">
        <f t="shared" si="968"/>
        <v>-3.3637984852600437E-2</v>
      </c>
    </row>
    <row r="306" spans="1:20" x14ac:dyDescent="0.25">
      <c r="A306" s="5">
        <v>44287</v>
      </c>
      <c r="B306">
        <v>18.058</v>
      </c>
      <c r="C306">
        <v>18.396999999999998</v>
      </c>
      <c r="D306">
        <v>16.344000000000001</v>
      </c>
      <c r="E306">
        <v>17.100999999999999</v>
      </c>
      <c r="F306">
        <v>5248247.1660000002</v>
      </c>
      <c r="G306">
        <v>0</v>
      </c>
      <c r="L306" t="s">
        <v>7</v>
      </c>
      <c r="M306" t="s">
        <v>7</v>
      </c>
      <c r="N306" t="s">
        <v>8</v>
      </c>
      <c r="P306">
        <f t="shared" si="964"/>
        <v>-0.26254262055528604</v>
      </c>
      <c r="Q306">
        <f t="shared" si="965"/>
        <v>-1377888.5642834934</v>
      </c>
      <c r="R306">
        <f t="shared" si="966"/>
        <v>383189.78009257768</v>
      </c>
      <c r="S306">
        <f t="shared" si="967"/>
        <v>3.8318978009257769</v>
      </c>
      <c r="T306">
        <f t="shared" si="968"/>
        <v>3.831897800925777E-3</v>
      </c>
    </row>
    <row r="307" spans="1:20" x14ac:dyDescent="0.25">
      <c r="A307" s="5">
        <v>44286</v>
      </c>
      <c r="B307">
        <v>19</v>
      </c>
      <c r="C307">
        <v>19.710999999999999</v>
      </c>
      <c r="D307">
        <v>17.05</v>
      </c>
      <c r="E307">
        <v>18.059999999999999</v>
      </c>
      <c r="F307">
        <v>7696882.1430000002</v>
      </c>
      <c r="G307">
        <v>0</v>
      </c>
      <c r="L307" t="s">
        <v>8</v>
      </c>
      <c r="M307" t="s">
        <v>8</v>
      </c>
      <c r="N307" t="s">
        <v>8</v>
      </c>
      <c r="P307">
        <f t="shared" si="964"/>
        <v>-0.24088688462983929</v>
      </c>
      <c r="Q307">
        <f t="shared" si="965"/>
        <v>-1854077.9607903112</v>
      </c>
      <c r="R307">
        <f t="shared" si="966"/>
        <v>1761078.3443760711</v>
      </c>
      <c r="S307">
        <f t="shared" si="967"/>
        <v>17.61078344376071</v>
      </c>
      <c r="T307">
        <f t="shared" si="968"/>
        <v>1.761078344376071E-2</v>
      </c>
    </row>
    <row r="308" spans="1:20" x14ac:dyDescent="0.25">
      <c r="A308" s="5">
        <v>44285</v>
      </c>
      <c r="B308">
        <v>17.227</v>
      </c>
      <c r="C308">
        <v>19</v>
      </c>
      <c r="D308">
        <v>16.600000000000001</v>
      </c>
      <c r="E308">
        <v>19</v>
      </c>
      <c r="F308">
        <v>7126977.2750000004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1</v>
      </c>
      <c r="Q308">
        <f t="shared" si="965"/>
        <v>7126977.2750000004</v>
      </c>
      <c r="R308">
        <f t="shared" si="966"/>
        <v>3615156.3051663823</v>
      </c>
      <c r="S308">
        <f t="shared" si="967"/>
        <v>36.151563051663821</v>
      </c>
      <c r="T308">
        <f t="shared" si="968"/>
        <v>3.6151563051663824E-2</v>
      </c>
    </row>
    <row r="309" spans="1:20" x14ac:dyDescent="0.25">
      <c r="A309" s="5">
        <v>44284</v>
      </c>
      <c r="B309">
        <v>16.183</v>
      </c>
      <c r="C309">
        <v>18</v>
      </c>
      <c r="D309">
        <v>15.983000000000001</v>
      </c>
      <c r="E309">
        <v>17.215</v>
      </c>
      <c r="F309">
        <v>7514992.8669999996</v>
      </c>
      <c r="G309">
        <v>0</v>
      </c>
      <c r="L309" t="s">
        <v>7</v>
      </c>
      <c r="M309" t="s">
        <v>8</v>
      </c>
      <c r="N309" t="s">
        <v>8</v>
      </c>
      <c r="P309">
        <f t="shared" si="964"/>
        <v>0.22161626177491289</v>
      </c>
      <c r="Q309">
        <f t="shared" si="965"/>
        <v>1665444.6264496751</v>
      </c>
      <c r="R309">
        <f t="shared" si="966"/>
        <v>-3511820.969833618</v>
      </c>
      <c r="S309">
        <f t="shared" si="967"/>
        <v>-35.11820969833618</v>
      </c>
      <c r="T309">
        <f t="shared" si="968"/>
        <v>-3.5118209698336178E-2</v>
      </c>
    </row>
    <row r="310" spans="1:20" x14ac:dyDescent="0.25">
      <c r="A310" s="5">
        <v>44283</v>
      </c>
      <c r="B310">
        <v>17.295000000000002</v>
      </c>
      <c r="C310">
        <v>18.600000000000001</v>
      </c>
      <c r="D310">
        <v>15.311999999999999</v>
      </c>
      <c r="E310">
        <v>16.183</v>
      </c>
      <c r="F310">
        <v>14390476.58</v>
      </c>
      <c r="G310">
        <v>0</v>
      </c>
      <c r="L310" t="s">
        <v>8</v>
      </c>
      <c r="M310" t="s">
        <v>7</v>
      </c>
      <c r="N310" t="s">
        <v>8</v>
      </c>
      <c r="P310">
        <f t="shared" si="964"/>
        <v>-0.47019464720194654</v>
      </c>
      <c r="Q310">
        <f t="shared" si="965"/>
        <v>-6766325.0586009743</v>
      </c>
      <c r="R310">
        <f t="shared" si="966"/>
        <v>-5177265.5962832933</v>
      </c>
      <c r="S310">
        <f t="shared" si="967"/>
        <v>-51.772655962832935</v>
      </c>
      <c r="T310">
        <f t="shared" si="968"/>
        <v>-5.1772655962832932E-2</v>
      </c>
    </row>
    <row r="311" spans="1:20" x14ac:dyDescent="0.25">
      <c r="A311" s="5">
        <v>44282</v>
      </c>
      <c r="B311">
        <v>14.778</v>
      </c>
      <c r="C311">
        <v>18.21</v>
      </c>
      <c r="D311">
        <v>14.102</v>
      </c>
      <c r="E311">
        <v>17.309000000000001</v>
      </c>
      <c r="F311">
        <v>15738487.915999999</v>
      </c>
      <c r="G311">
        <v>0</v>
      </c>
      <c r="L311" t="s">
        <v>8</v>
      </c>
      <c r="M311" t="s">
        <v>8</v>
      </c>
      <c r="N311" t="s">
        <v>8</v>
      </c>
      <c r="P311">
        <f t="shared" si="964"/>
        <v>0.56134371957156781</v>
      </c>
      <c r="Q311">
        <f t="shared" si="965"/>
        <v>8834701.3471996114</v>
      </c>
      <c r="R311">
        <f t="shared" si="966"/>
        <v>1589059.4623176809</v>
      </c>
      <c r="S311">
        <f t="shared" si="967"/>
        <v>15.89059462317681</v>
      </c>
      <c r="T311">
        <f t="shared" si="968"/>
        <v>1.589059462317681E-2</v>
      </c>
    </row>
    <row r="312" spans="1:20" x14ac:dyDescent="0.25">
      <c r="A312" s="5">
        <v>44281</v>
      </c>
      <c r="B312">
        <v>11.917999999999999</v>
      </c>
      <c r="C312">
        <v>15.2</v>
      </c>
      <c r="D312">
        <v>11.851000000000001</v>
      </c>
      <c r="E312">
        <v>14.782</v>
      </c>
      <c r="F312">
        <v>13486393.666999999</v>
      </c>
      <c r="G312">
        <v>0</v>
      </c>
      <c r="L312" t="s">
        <v>8</v>
      </c>
      <c r="M312" t="s">
        <v>8</v>
      </c>
      <c r="N312" t="s">
        <v>8</v>
      </c>
      <c r="P312">
        <f t="shared" si="964"/>
        <v>0.75037324574499886</v>
      </c>
      <c r="Q312">
        <f t="shared" si="965"/>
        <v>10119828.989301587</v>
      </c>
      <c r="R312">
        <f t="shared" si="966"/>
        <v>-7245641.8848819304</v>
      </c>
      <c r="S312">
        <f t="shared" si="967"/>
        <v>-72.456418848819311</v>
      </c>
      <c r="T312">
        <f t="shared" si="968"/>
        <v>-7.2456418848819315E-2</v>
      </c>
    </row>
    <row r="313" spans="1:20" x14ac:dyDescent="0.25">
      <c r="A313" s="5">
        <v>44280</v>
      </c>
      <c r="B313">
        <v>12.077999999999999</v>
      </c>
      <c r="C313">
        <v>12.89</v>
      </c>
      <c r="D313">
        <v>11.175000000000001</v>
      </c>
      <c r="E313">
        <v>11.925000000000001</v>
      </c>
      <c r="F313">
        <v>8575192.9680000003</v>
      </c>
      <c r="G313">
        <v>0</v>
      </c>
      <c r="L313" t="s">
        <v>7</v>
      </c>
      <c r="M313" t="s">
        <v>7</v>
      </c>
      <c r="N313" t="s">
        <v>8</v>
      </c>
      <c r="P313">
        <f t="shared" si="964"/>
        <v>-0.1253644314868804</v>
      </c>
      <c r="Q313">
        <f t="shared" si="965"/>
        <v>-1075024.1913236147</v>
      </c>
      <c r="R313">
        <f t="shared" si="966"/>
        <v>-17365470.874183517</v>
      </c>
      <c r="S313">
        <f t="shared" si="967"/>
        <v>-173.65470874183518</v>
      </c>
      <c r="T313">
        <f t="shared" si="968"/>
        <v>-0.17365470874183517</v>
      </c>
    </row>
    <row r="314" spans="1:20" x14ac:dyDescent="0.25">
      <c r="A314" s="5">
        <v>44279</v>
      </c>
      <c r="B314">
        <v>11.455</v>
      </c>
      <c r="C314">
        <v>13.949</v>
      </c>
      <c r="D314">
        <v>11.12</v>
      </c>
      <c r="E314">
        <v>12.079000000000001</v>
      </c>
      <c r="F314">
        <v>12287277.461999999</v>
      </c>
      <c r="G314">
        <v>0</v>
      </c>
      <c r="L314" t="s">
        <v>8</v>
      </c>
      <c r="M314" t="s">
        <v>8</v>
      </c>
      <c r="N314" t="s">
        <v>8</v>
      </c>
      <c r="P314">
        <f t="shared" si="964"/>
        <v>-0.32202191587133178</v>
      </c>
      <c r="Q314">
        <f t="shared" si="965"/>
        <v>-3956772.6291558747</v>
      </c>
      <c r="R314">
        <f t="shared" si="966"/>
        <v>-16290446.682859903</v>
      </c>
      <c r="S314">
        <f t="shared" si="967"/>
        <v>-162.90446682859903</v>
      </c>
      <c r="T314">
        <f t="shared" si="968"/>
        <v>-0.16290446682859902</v>
      </c>
    </row>
    <row r="315" spans="1:20" x14ac:dyDescent="0.25">
      <c r="A315" s="5">
        <v>44278</v>
      </c>
      <c r="B315">
        <v>10.89</v>
      </c>
      <c r="C315">
        <v>12.5</v>
      </c>
      <c r="D315">
        <v>10.555999999999999</v>
      </c>
      <c r="E315">
        <v>11.47</v>
      </c>
      <c r="F315">
        <v>9430932.8920000009</v>
      </c>
      <c r="G315">
        <v>0</v>
      </c>
      <c r="L315" t="s">
        <v>7</v>
      </c>
      <c r="M315" t="s">
        <v>8</v>
      </c>
      <c r="N315" t="s">
        <v>7</v>
      </c>
      <c r="P315">
        <f t="shared" si="964"/>
        <v>-5.9670781893002997E-2</v>
      </c>
      <c r="Q315">
        <f t="shared" si="965"/>
        <v>-562751.13964608009</v>
      </c>
      <c r="R315">
        <f t="shared" si="966"/>
        <v>-12333674.053704029</v>
      </c>
      <c r="S315">
        <f t="shared" si="967"/>
        <v>-123.33674053704028</v>
      </c>
      <c r="T315">
        <f t="shared" si="968"/>
        <v>-0.12333674053704029</v>
      </c>
    </row>
    <row r="316" spans="1:20" x14ac:dyDescent="0.25">
      <c r="A316" s="5">
        <v>44277</v>
      </c>
      <c r="B316">
        <v>10.137</v>
      </c>
      <c r="C316">
        <v>12.57</v>
      </c>
      <c r="D316">
        <v>10.074999999999999</v>
      </c>
      <c r="E316">
        <v>10.916</v>
      </c>
      <c r="F316">
        <v>12170266.897</v>
      </c>
      <c r="G316">
        <v>0</v>
      </c>
      <c r="L316" t="s">
        <v>8</v>
      </c>
      <c r="M316" t="s">
        <v>8</v>
      </c>
      <c r="N316" t="s">
        <v>7</v>
      </c>
      <c r="P316">
        <f t="shared" si="964"/>
        <v>-0.32585170340681302</v>
      </c>
      <c r="Q316">
        <f t="shared" si="965"/>
        <v>-3965702.1993029984</v>
      </c>
      <c r="R316">
        <f t="shared" si="966"/>
        <v>-11770922.91405795</v>
      </c>
      <c r="S316">
        <f t="shared" si="967"/>
        <v>-117.7092291405795</v>
      </c>
      <c r="T316">
        <f t="shared" si="968"/>
        <v>-0.11770922914057949</v>
      </c>
    </row>
    <row r="317" spans="1:20" x14ac:dyDescent="0.25">
      <c r="A317" s="5">
        <v>44276</v>
      </c>
      <c r="B317">
        <v>9.9009999999999998</v>
      </c>
      <c r="C317">
        <v>10.193</v>
      </c>
      <c r="D317">
        <v>9.68</v>
      </c>
      <c r="E317">
        <v>10.193</v>
      </c>
      <c r="F317">
        <v>2147253.551</v>
      </c>
      <c r="G317">
        <v>0</v>
      </c>
      <c r="L317" t="s">
        <v>7</v>
      </c>
      <c r="M317" t="s">
        <v>7</v>
      </c>
      <c r="N317" t="s">
        <v>7</v>
      </c>
      <c r="P317">
        <f t="shared" si="964"/>
        <v>1</v>
      </c>
      <c r="Q317">
        <f t="shared" si="965"/>
        <v>2147253.551</v>
      </c>
      <c r="R317">
        <f t="shared" si="966"/>
        <v>-7805220.7147549512</v>
      </c>
      <c r="S317">
        <f t="shared" si="967"/>
        <v>-78.05220714754951</v>
      </c>
      <c r="T317">
        <f t="shared" si="968"/>
        <v>-7.8052207147549513E-2</v>
      </c>
    </row>
    <row r="318" spans="1:20" x14ac:dyDescent="0.25">
      <c r="A318" s="5">
        <v>44275</v>
      </c>
      <c r="B318">
        <v>9.8290000000000006</v>
      </c>
      <c r="C318">
        <v>10.548</v>
      </c>
      <c r="D318">
        <v>9.7799999999999994</v>
      </c>
      <c r="E318">
        <v>9.9060000000000006</v>
      </c>
      <c r="F318">
        <v>3093022.0619999999</v>
      </c>
      <c r="G318">
        <v>0</v>
      </c>
      <c r="L318" t="s">
        <v>8</v>
      </c>
      <c r="M318" t="s">
        <v>7</v>
      </c>
      <c r="N318" t="s">
        <v>7</v>
      </c>
      <c r="P318">
        <f t="shared" si="964"/>
        <v>-0.67187499999999711</v>
      </c>
      <c r="Q318">
        <f t="shared" si="965"/>
        <v>-2078124.1979062411</v>
      </c>
      <c r="R318">
        <f t="shared" si="966"/>
        <v>-9952474.2657549512</v>
      </c>
      <c r="S318">
        <f t="shared" si="967"/>
        <v>-99.52474265754951</v>
      </c>
      <c r="T318">
        <f t="shared" si="968"/>
        <v>-9.9524742657549514E-2</v>
      </c>
    </row>
    <row r="319" spans="1:20" x14ac:dyDescent="0.25">
      <c r="A319" s="5">
        <v>44274</v>
      </c>
      <c r="B319">
        <v>9.9009999999999998</v>
      </c>
      <c r="C319">
        <v>10.144</v>
      </c>
      <c r="D319">
        <v>9.65</v>
      </c>
      <c r="E319">
        <v>9.8290000000000006</v>
      </c>
      <c r="F319">
        <v>2477142.2620000001</v>
      </c>
      <c r="G319">
        <v>0</v>
      </c>
      <c r="L319" t="s">
        <v>7</v>
      </c>
      <c r="M319" t="s">
        <v>7</v>
      </c>
      <c r="N319" t="s">
        <v>7</v>
      </c>
      <c r="P319">
        <f t="shared" si="964"/>
        <v>-0.2753036437246949</v>
      </c>
      <c r="Q319">
        <f t="shared" si="965"/>
        <v>-681966.2907530329</v>
      </c>
      <c r="R319">
        <f t="shared" si="966"/>
        <v>-7874350.0678487103</v>
      </c>
      <c r="S319">
        <f t="shared" si="967"/>
        <v>-78.743500678487109</v>
      </c>
      <c r="T319">
        <f t="shared" si="968"/>
        <v>-7.8743500678487108E-2</v>
      </c>
    </row>
    <row r="320" spans="1:20" x14ac:dyDescent="0.25">
      <c r="A320" s="5">
        <v>44273</v>
      </c>
      <c r="B320">
        <v>10.343999999999999</v>
      </c>
      <c r="C320">
        <v>10.683999999999999</v>
      </c>
      <c r="D320">
        <v>9.8209999999999997</v>
      </c>
      <c r="E320">
        <v>9.9</v>
      </c>
      <c r="F320">
        <v>3831002.4109999998</v>
      </c>
      <c r="G320">
        <v>0</v>
      </c>
      <c r="L320" t="s">
        <v>8</v>
      </c>
      <c r="M320" t="s">
        <v>7</v>
      </c>
      <c r="N320" t="s">
        <v>7</v>
      </c>
      <c r="P320">
        <f t="shared" si="964"/>
        <v>-0.81691772885283742</v>
      </c>
      <c r="Q320">
        <f t="shared" si="965"/>
        <v>-3129613.7888238644</v>
      </c>
      <c r="R320">
        <f t="shared" si="966"/>
        <v>-7192383.7770956773</v>
      </c>
      <c r="S320">
        <f t="shared" si="967"/>
        <v>-71.92383777095678</v>
      </c>
      <c r="T320">
        <f t="shared" si="968"/>
        <v>-7.1923837770956775E-2</v>
      </c>
    </row>
    <row r="321" spans="1:20" x14ac:dyDescent="0.25">
      <c r="A321" s="5">
        <v>44272</v>
      </c>
      <c r="B321">
        <v>9.984</v>
      </c>
      <c r="C321">
        <v>10.526999999999999</v>
      </c>
      <c r="D321">
        <v>9.3480000000000008</v>
      </c>
      <c r="E321">
        <v>10.346</v>
      </c>
      <c r="F321">
        <v>4581722.1270000003</v>
      </c>
      <c r="G321">
        <v>0</v>
      </c>
      <c r="L321" t="s">
        <v>8</v>
      </c>
      <c r="M321" t="s">
        <v>7</v>
      </c>
      <c r="N321" t="s">
        <v>7</v>
      </c>
      <c r="P321">
        <f t="shared" si="964"/>
        <v>0.69296013570822834</v>
      </c>
      <c r="Q321">
        <f t="shared" si="965"/>
        <v>3174950.7869033129</v>
      </c>
      <c r="R321">
        <f t="shared" si="966"/>
        <v>-4062769.9882718134</v>
      </c>
      <c r="S321">
        <f t="shared" si="967"/>
        <v>-40.627699882718133</v>
      </c>
      <c r="T321">
        <f t="shared" si="968"/>
        <v>-4.0627699882718131E-2</v>
      </c>
    </row>
    <row r="322" spans="1:20" x14ac:dyDescent="0.25">
      <c r="A322" s="5">
        <v>44271</v>
      </c>
      <c r="B322">
        <v>9.9860000000000007</v>
      </c>
      <c r="C322">
        <v>10.4</v>
      </c>
      <c r="D322">
        <v>9.32</v>
      </c>
      <c r="E322">
        <v>9.9760000000000009</v>
      </c>
      <c r="F322">
        <v>5555988.0619999999</v>
      </c>
      <c r="G322">
        <v>0</v>
      </c>
      <c r="L322" t="s">
        <v>7</v>
      </c>
      <c r="M322" t="s">
        <v>7</v>
      </c>
      <c r="N322" t="s">
        <v>7</v>
      </c>
      <c r="P322">
        <f t="shared" si="964"/>
        <v>0.21481481481481582</v>
      </c>
      <c r="Q322">
        <f t="shared" si="965"/>
        <v>1193508.5466518574</v>
      </c>
      <c r="R322">
        <f t="shared" si="966"/>
        <v>-7237720.7751751263</v>
      </c>
      <c r="S322">
        <f t="shared" si="967"/>
        <v>-72.377207751751257</v>
      </c>
      <c r="T322">
        <f t="shared" si="968"/>
        <v>-7.2377207751751257E-2</v>
      </c>
    </row>
    <row r="323" spans="1:20" x14ac:dyDescent="0.25">
      <c r="A323" s="5">
        <v>44270</v>
      </c>
      <c r="B323">
        <v>10.92</v>
      </c>
      <c r="C323">
        <v>11.048</v>
      </c>
      <c r="D323">
        <v>9.6</v>
      </c>
      <c r="E323">
        <v>9.9730000000000008</v>
      </c>
      <c r="F323">
        <v>7731331.1639999999</v>
      </c>
      <c r="G323">
        <v>0</v>
      </c>
      <c r="L323" t="s">
        <v>7</v>
      </c>
      <c r="M323" t="s">
        <v>7</v>
      </c>
      <c r="N323" t="s">
        <v>7</v>
      </c>
      <c r="P323">
        <f t="shared" si="964"/>
        <v>-0.48480662983425277</v>
      </c>
      <c r="Q323">
        <f t="shared" si="965"/>
        <v>-3748200.6057513705</v>
      </c>
      <c r="R323">
        <f t="shared" si="966"/>
        <v>-8431229.3218269832</v>
      </c>
      <c r="S323">
        <f t="shared" si="967"/>
        <v>-84.312293218269829</v>
      </c>
      <c r="T323">
        <f t="shared" si="968"/>
        <v>-8.4312293218269829E-2</v>
      </c>
    </row>
    <row r="324" spans="1:20" x14ac:dyDescent="0.25">
      <c r="A324" s="5">
        <v>44269</v>
      </c>
      <c r="B324">
        <v>11.372999999999999</v>
      </c>
      <c r="C324">
        <v>11.42</v>
      </c>
      <c r="D324">
        <v>10.61</v>
      </c>
      <c r="E324">
        <v>10.935</v>
      </c>
      <c r="F324">
        <v>3259831.483</v>
      </c>
      <c r="G324">
        <v>0</v>
      </c>
      <c r="L324" t="s">
        <v>7</v>
      </c>
      <c r="M324" t="s">
        <v>7</v>
      </c>
      <c r="N324" t="s">
        <v>7</v>
      </c>
      <c r="P324">
        <f t="shared" si="964"/>
        <v>-0.19753086419752872</v>
      </c>
      <c r="Q324">
        <f t="shared" si="965"/>
        <v>-643917.32997530163</v>
      </c>
      <c r="R324">
        <f t="shared" si="966"/>
        <v>-4683028.7160756122</v>
      </c>
      <c r="S324">
        <f t="shared" si="967"/>
        <v>-46.830287160756122</v>
      </c>
      <c r="T324">
        <f t="shared" si="968"/>
        <v>-4.6830287160756122E-2</v>
      </c>
    </row>
    <row r="325" spans="1:20" x14ac:dyDescent="0.25">
      <c r="A325" s="5">
        <v>44268</v>
      </c>
      <c r="B325">
        <v>11.016999999999999</v>
      </c>
      <c r="C325">
        <v>11.917</v>
      </c>
      <c r="D325">
        <v>10.625</v>
      </c>
      <c r="E325">
        <v>11.372999999999999</v>
      </c>
      <c r="F325">
        <v>4392455.4189999998</v>
      </c>
      <c r="G325">
        <v>0</v>
      </c>
      <c r="L325" t="s">
        <v>8</v>
      </c>
      <c r="M325" t="s">
        <v>7</v>
      </c>
      <c r="N325" t="s">
        <v>7</v>
      </c>
      <c r="P325">
        <f t="shared" si="964"/>
        <v>0.15789473684210439</v>
      </c>
      <c r="Q325">
        <f t="shared" si="965"/>
        <v>693545.59247368039</v>
      </c>
      <c r="R325">
        <f t="shared" si="966"/>
        <v>-4039111.3861003108</v>
      </c>
      <c r="S325">
        <f t="shared" si="967"/>
        <v>-40.391113861003106</v>
      </c>
      <c r="T325">
        <f t="shared" si="968"/>
        <v>-4.0391113861003108E-2</v>
      </c>
    </row>
    <row r="326" spans="1:20" x14ac:dyDescent="0.25">
      <c r="A326" s="5">
        <v>44267</v>
      </c>
      <c r="B326">
        <v>12.327</v>
      </c>
      <c r="C326">
        <v>12.387</v>
      </c>
      <c r="D326">
        <v>10.502000000000001</v>
      </c>
      <c r="E326">
        <v>11.018000000000001</v>
      </c>
      <c r="F326">
        <v>5511411.9029999999</v>
      </c>
      <c r="G326">
        <v>0</v>
      </c>
      <c r="L326" t="s">
        <v>7</v>
      </c>
      <c r="M326" t="s">
        <v>7</v>
      </c>
      <c r="N326" t="s">
        <v>7</v>
      </c>
      <c r="P326">
        <f t="shared" ref="P326:P389" si="969">IF(C326=D326,0,((E326-D326)-(C326-E326))/(C326-D326))</f>
        <v>-0.45251989389920416</v>
      </c>
      <c r="Q326">
        <f t="shared" ref="Q326:Q389" si="970">F326*P326</f>
        <v>-2494023.529580371</v>
      </c>
      <c r="R326">
        <f t="shared" ref="R326:R389" si="971">R327+Q326</f>
        <v>-4732656.978573991</v>
      </c>
      <c r="S326">
        <f t="shared" ref="S326:S389" si="972">R326/100000</f>
        <v>-47.326569785739913</v>
      </c>
      <c r="T326">
        <f t="shared" ref="T326:T389" si="973">S326/1000</f>
        <v>-4.7326569785739916E-2</v>
      </c>
    </row>
    <row r="327" spans="1:20" x14ac:dyDescent="0.25">
      <c r="A327" s="5">
        <v>44266</v>
      </c>
      <c r="B327">
        <v>12.743</v>
      </c>
      <c r="C327">
        <v>13.666</v>
      </c>
      <c r="D327">
        <v>12.058999999999999</v>
      </c>
      <c r="E327">
        <v>12.333</v>
      </c>
      <c r="F327">
        <v>5256734.7010000004</v>
      </c>
      <c r="G327">
        <v>0</v>
      </c>
      <c r="L327" t="s">
        <v>7</v>
      </c>
      <c r="M327" t="s">
        <v>7</v>
      </c>
      <c r="N327" t="s">
        <v>8</v>
      </c>
      <c r="P327">
        <f t="shared" si="969"/>
        <v>-0.65899191039203397</v>
      </c>
      <c r="Q327">
        <f t="shared" si="970"/>
        <v>-3464145.6430360875</v>
      </c>
      <c r="R327">
        <f t="shared" si="971"/>
        <v>-2238633.44899362</v>
      </c>
      <c r="S327">
        <f t="shared" si="972"/>
        <v>-22.3863344899362</v>
      </c>
      <c r="T327">
        <f t="shared" si="973"/>
        <v>-2.23863344899362E-2</v>
      </c>
    </row>
    <row r="328" spans="1:20" x14ac:dyDescent="0.25">
      <c r="A328" s="5">
        <v>44265</v>
      </c>
      <c r="B328">
        <v>14.2</v>
      </c>
      <c r="C328">
        <v>14.388</v>
      </c>
      <c r="D328">
        <v>12.500999999999999</v>
      </c>
      <c r="E328">
        <v>12.744999999999999</v>
      </c>
      <c r="F328">
        <v>6093463.4189999998</v>
      </c>
      <c r="G328">
        <v>0</v>
      </c>
      <c r="L328" t="s">
        <v>7</v>
      </c>
      <c r="M328" t="s">
        <v>7</v>
      </c>
      <c r="N328" t="s">
        <v>8</v>
      </c>
      <c r="P328">
        <f t="shared" si="969"/>
        <v>-0.74138844727080055</v>
      </c>
      <c r="Q328">
        <f t="shared" si="970"/>
        <v>-4517623.3827138338</v>
      </c>
      <c r="R328">
        <f t="shared" si="971"/>
        <v>1225512.1940424675</v>
      </c>
      <c r="S328">
        <f t="shared" si="972"/>
        <v>12.255121940424676</v>
      </c>
      <c r="T328">
        <f t="shared" si="973"/>
        <v>1.2255121940424676E-2</v>
      </c>
    </row>
    <row r="329" spans="1:20" x14ac:dyDescent="0.25">
      <c r="A329" s="5">
        <v>44264</v>
      </c>
      <c r="B329">
        <v>11.935</v>
      </c>
      <c r="C329">
        <v>14.691000000000001</v>
      </c>
      <c r="D329">
        <v>11.654</v>
      </c>
      <c r="E329">
        <v>14.201000000000001</v>
      </c>
      <c r="F329">
        <v>7557254.8909999998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0.67731313796509707</v>
      </c>
      <c r="Q329">
        <f t="shared" si="970"/>
        <v>5118628.0246252874</v>
      </c>
      <c r="R329">
        <f t="shared" si="971"/>
        <v>5743135.5767563013</v>
      </c>
      <c r="S329">
        <f t="shared" si="972"/>
        <v>57.431355767563012</v>
      </c>
      <c r="T329">
        <f t="shared" si="973"/>
        <v>5.743135576756301E-2</v>
      </c>
    </row>
    <row r="330" spans="1:20" x14ac:dyDescent="0.25">
      <c r="A330" s="5">
        <v>44263</v>
      </c>
      <c r="B330">
        <v>11.667999999999999</v>
      </c>
      <c r="C330">
        <v>11.944000000000001</v>
      </c>
      <c r="D330">
        <v>11.021000000000001</v>
      </c>
      <c r="E330">
        <v>11.936</v>
      </c>
      <c r="F330">
        <v>3755272.977</v>
      </c>
      <c r="G330">
        <v>0</v>
      </c>
      <c r="L330" t="s">
        <v>7</v>
      </c>
      <c r="M330" t="s">
        <v>7</v>
      </c>
      <c r="N330" t="s">
        <v>8</v>
      </c>
      <c r="P330">
        <f t="shared" si="969"/>
        <v>0.98266522210183993</v>
      </c>
      <c r="Q330">
        <f t="shared" si="970"/>
        <v>3690176.1539967428</v>
      </c>
      <c r="R330">
        <f t="shared" si="971"/>
        <v>624507.55213101394</v>
      </c>
      <c r="S330">
        <f t="shared" si="972"/>
        <v>6.2450755213101399</v>
      </c>
      <c r="T330">
        <f t="shared" si="973"/>
        <v>6.2450755213101401E-3</v>
      </c>
    </row>
    <row r="331" spans="1:20" x14ac:dyDescent="0.25">
      <c r="A331" s="5">
        <v>44262</v>
      </c>
      <c r="B331">
        <v>11.113</v>
      </c>
      <c r="C331">
        <v>12.2</v>
      </c>
      <c r="D331">
        <v>10.904</v>
      </c>
      <c r="E331">
        <v>11.678000000000001</v>
      </c>
      <c r="F331">
        <v>3989422.665</v>
      </c>
      <c r="G331">
        <v>0</v>
      </c>
      <c r="L331" t="s">
        <v>8</v>
      </c>
      <c r="M331" t="s">
        <v>7</v>
      </c>
      <c r="N331" t="s">
        <v>8</v>
      </c>
      <c r="P331">
        <f t="shared" si="969"/>
        <v>0.19444444444444642</v>
      </c>
      <c r="Q331">
        <f t="shared" si="970"/>
        <v>775721.0737500079</v>
      </c>
      <c r="R331">
        <f t="shared" si="971"/>
        <v>-3065668.6018657289</v>
      </c>
      <c r="S331">
        <f t="shared" si="972"/>
        <v>-30.65668601865729</v>
      </c>
      <c r="T331">
        <f t="shared" si="973"/>
        <v>-3.065668601865729E-2</v>
      </c>
    </row>
    <row r="332" spans="1:20" x14ac:dyDescent="0.25">
      <c r="A332" s="5">
        <v>44261</v>
      </c>
      <c r="B332">
        <v>11.061</v>
      </c>
      <c r="C332">
        <v>12.000999999999999</v>
      </c>
      <c r="D332">
        <v>10.776999999999999</v>
      </c>
      <c r="E332">
        <v>11.13</v>
      </c>
      <c r="F332">
        <v>3035233.469</v>
      </c>
      <c r="G332">
        <v>0</v>
      </c>
      <c r="L332" t="s">
        <v>8</v>
      </c>
      <c r="M332" t="s">
        <v>7</v>
      </c>
      <c r="N332" t="s">
        <v>8</v>
      </c>
      <c r="P332">
        <f t="shared" si="969"/>
        <v>-0.42320261437908258</v>
      </c>
      <c r="Q332">
        <f t="shared" si="970"/>
        <v>-1284518.739331692</v>
      </c>
      <c r="R332">
        <f t="shared" si="971"/>
        <v>-3841389.6756157367</v>
      </c>
      <c r="S332">
        <f t="shared" si="972"/>
        <v>-38.413896756157371</v>
      </c>
      <c r="T332">
        <f t="shared" si="973"/>
        <v>-3.8413896756157369E-2</v>
      </c>
    </row>
    <row r="333" spans="1:20" x14ac:dyDescent="0.25">
      <c r="A333" s="5">
        <v>44260</v>
      </c>
      <c r="B333">
        <v>11.542999999999999</v>
      </c>
      <c r="C333">
        <v>11.755000000000001</v>
      </c>
      <c r="D333">
        <v>10.6</v>
      </c>
      <c r="E333">
        <v>11.093999999999999</v>
      </c>
      <c r="F333">
        <v>4042764.7689999999</v>
      </c>
      <c r="G333">
        <v>0</v>
      </c>
      <c r="L333" t="s">
        <v>7</v>
      </c>
      <c r="M333" t="s">
        <v>7</v>
      </c>
      <c r="N333" t="s">
        <v>8</v>
      </c>
      <c r="P333">
        <f t="shared" si="969"/>
        <v>-0.14458874458874582</v>
      </c>
      <c r="Q333">
        <f t="shared" si="970"/>
        <v>-584538.28261732101</v>
      </c>
      <c r="R333">
        <f t="shared" si="971"/>
        <v>-2556870.9362840448</v>
      </c>
      <c r="S333">
        <f t="shared" si="972"/>
        <v>-25.568709362840448</v>
      </c>
      <c r="T333">
        <f t="shared" si="973"/>
        <v>-2.5568709362840447E-2</v>
      </c>
    </row>
    <row r="334" spans="1:20" x14ac:dyDescent="0.25">
      <c r="A334" s="5">
        <v>44259</v>
      </c>
      <c r="B334">
        <v>12.599</v>
      </c>
      <c r="C334">
        <v>13.356</v>
      </c>
      <c r="D334">
        <v>11.102</v>
      </c>
      <c r="E334">
        <v>11.544</v>
      </c>
      <c r="F334">
        <v>5671803.4950000001</v>
      </c>
      <c r="G334">
        <v>0</v>
      </c>
      <c r="L334" t="s">
        <v>7</v>
      </c>
      <c r="M334" t="s">
        <v>7</v>
      </c>
      <c r="N334" t="s">
        <v>8</v>
      </c>
      <c r="P334">
        <f t="shared" si="969"/>
        <v>-0.60780834072759515</v>
      </c>
      <c r="Q334">
        <f t="shared" si="970"/>
        <v>-3447369.471228925</v>
      </c>
      <c r="R334">
        <f t="shared" si="971"/>
        <v>-1972332.653666724</v>
      </c>
      <c r="S334">
        <f t="shared" si="972"/>
        <v>-19.723326536667241</v>
      </c>
      <c r="T334">
        <f t="shared" si="973"/>
        <v>-1.9723326536667241E-2</v>
      </c>
    </row>
    <row r="335" spans="1:20" x14ac:dyDescent="0.25">
      <c r="A335" s="5">
        <v>44258</v>
      </c>
      <c r="B335">
        <v>12.047000000000001</v>
      </c>
      <c r="C335">
        <v>13.48</v>
      </c>
      <c r="D335">
        <v>11.794</v>
      </c>
      <c r="E335">
        <v>12.599</v>
      </c>
      <c r="F335">
        <v>6142304.9009999996</v>
      </c>
      <c r="G335">
        <v>0</v>
      </c>
      <c r="L335" t="s">
        <v>7</v>
      </c>
      <c r="M335" t="s">
        <v>8</v>
      </c>
      <c r="N335" t="s">
        <v>8</v>
      </c>
      <c r="P335">
        <f t="shared" si="969"/>
        <v>-4.5077105575326522E-2</v>
      </c>
      <c r="Q335">
        <f t="shared" si="970"/>
        <v>-276877.32649822248</v>
      </c>
      <c r="R335">
        <f t="shared" si="971"/>
        <v>1475036.8175622011</v>
      </c>
      <c r="S335">
        <f t="shared" si="972"/>
        <v>14.750368175622011</v>
      </c>
      <c r="T335">
        <f t="shared" si="973"/>
        <v>1.4750368175622012E-2</v>
      </c>
    </row>
    <row r="336" spans="1:20" x14ac:dyDescent="0.25">
      <c r="A336" s="5">
        <v>44257</v>
      </c>
      <c r="B336">
        <v>13.119</v>
      </c>
      <c r="C336">
        <v>13.71</v>
      </c>
      <c r="D336">
        <v>11.09</v>
      </c>
      <c r="E336">
        <v>12.03</v>
      </c>
      <c r="F336">
        <v>7556363.7999999998</v>
      </c>
      <c r="G336">
        <v>0</v>
      </c>
      <c r="L336" t="s">
        <v>8</v>
      </c>
      <c r="M336" t="s">
        <v>7</v>
      </c>
      <c r="N336" t="s">
        <v>8</v>
      </c>
      <c r="P336">
        <f t="shared" si="969"/>
        <v>-0.28244274809160369</v>
      </c>
      <c r="Q336">
        <f t="shared" si="970"/>
        <v>-2134240.1572519131</v>
      </c>
      <c r="R336">
        <f t="shared" si="971"/>
        <v>1751914.1440604236</v>
      </c>
      <c r="S336">
        <f t="shared" si="972"/>
        <v>17.519141440604237</v>
      </c>
      <c r="T336">
        <f t="shared" si="973"/>
        <v>1.7519141440604236E-2</v>
      </c>
    </row>
    <row r="337" spans="1:20" x14ac:dyDescent="0.25">
      <c r="A337" s="5">
        <v>44256</v>
      </c>
      <c r="B337">
        <v>9.3789999999999996</v>
      </c>
      <c r="C337">
        <v>13.499000000000001</v>
      </c>
      <c r="D337">
        <v>9.3460000000000001</v>
      </c>
      <c r="E337">
        <v>13.11</v>
      </c>
      <c r="F337">
        <v>15477911.356000001</v>
      </c>
      <c r="G337">
        <v>0</v>
      </c>
      <c r="L337" t="s">
        <v>8</v>
      </c>
      <c r="M337" t="s">
        <v>8</v>
      </c>
      <c r="N337" t="s">
        <v>8</v>
      </c>
      <c r="P337">
        <f t="shared" si="969"/>
        <v>0.81266554298097704</v>
      </c>
      <c r="Q337">
        <f t="shared" si="970"/>
        <v>12578365.236335171</v>
      </c>
      <c r="R337">
        <f t="shared" si="971"/>
        <v>3886154.3013123367</v>
      </c>
      <c r="S337">
        <f t="shared" si="972"/>
        <v>38.861543013123367</v>
      </c>
      <c r="T337">
        <f t="shared" si="973"/>
        <v>3.8861543013123369E-2</v>
      </c>
    </row>
    <row r="338" spans="1:20" x14ac:dyDescent="0.25">
      <c r="A338" s="5">
        <v>44255</v>
      </c>
      <c r="B338">
        <v>10.651</v>
      </c>
      <c r="C338">
        <v>10.83</v>
      </c>
      <c r="D338">
        <v>8.3000000000000007</v>
      </c>
      <c r="E338">
        <v>9.3789999999999996</v>
      </c>
      <c r="F338">
        <v>7659675.2039999999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-0.14703557312253035</v>
      </c>
      <c r="Q338">
        <f t="shared" si="970"/>
        <v>-1126244.7335525746</v>
      </c>
      <c r="R338">
        <f t="shared" si="971"/>
        <v>-8692210.9350228347</v>
      </c>
      <c r="S338">
        <f t="shared" si="972"/>
        <v>-86.922109350228354</v>
      </c>
      <c r="T338">
        <f t="shared" si="973"/>
        <v>-8.6922109350228358E-2</v>
      </c>
    </row>
    <row r="339" spans="1:20" x14ac:dyDescent="0.25">
      <c r="A339" s="5">
        <v>44254</v>
      </c>
      <c r="B339">
        <v>11.282999999999999</v>
      </c>
      <c r="C339">
        <v>12.369</v>
      </c>
      <c r="D339">
        <v>10.359</v>
      </c>
      <c r="E339">
        <v>10.651999999999999</v>
      </c>
      <c r="F339">
        <v>4384904.7319999998</v>
      </c>
      <c r="G339">
        <v>0</v>
      </c>
      <c r="L339" t="s">
        <v>8</v>
      </c>
      <c r="M339" t="s">
        <v>7</v>
      </c>
      <c r="N339" t="s">
        <v>7</v>
      </c>
      <c r="P339">
        <f t="shared" si="969"/>
        <v>-0.7084577114427868</v>
      </c>
      <c r="Q339">
        <f t="shared" si="970"/>
        <v>-3106519.5713273664</v>
      </c>
      <c r="R339">
        <f t="shared" si="971"/>
        <v>-7565966.2014702596</v>
      </c>
      <c r="S339">
        <f t="shared" si="972"/>
        <v>-75.65966201470259</v>
      </c>
      <c r="T339">
        <f t="shared" si="973"/>
        <v>-7.5659662014702589E-2</v>
      </c>
    </row>
    <row r="340" spans="1:20" x14ac:dyDescent="0.25">
      <c r="A340" s="5">
        <v>44253</v>
      </c>
      <c r="B340">
        <v>11.711</v>
      </c>
      <c r="C340">
        <v>12.667999999999999</v>
      </c>
      <c r="D340">
        <v>10.419</v>
      </c>
      <c r="E340">
        <v>11.282999999999999</v>
      </c>
      <c r="F340">
        <v>6141482.1220000004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-0.23165851489550959</v>
      </c>
      <c r="Q340">
        <f t="shared" si="970"/>
        <v>-1422726.6276398429</v>
      </c>
      <c r="R340">
        <f t="shared" si="971"/>
        <v>-4459446.6301428936</v>
      </c>
      <c r="S340">
        <f t="shared" si="972"/>
        <v>-44.594466301428938</v>
      </c>
      <c r="T340">
        <f t="shared" si="973"/>
        <v>-4.4594466301428937E-2</v>
      </c>
    </row>
    <row r="341" spans="1:20" x14ac:dyDescent="0.25">
      <c r="A341" s="5">
        <v>44252</v>
      </c>
      <c r="B341">
        <v>14.16</v>
      </c>
      <c r="C341">
        <v>14.843999999999999</v>
      </c>
      <c r="D341">
        <v>11.51</v>
      </c>
      <c r="E341">
        <v>11.651999999999999</v>
      </c>
      <c r="F341">
        <v>4891170.49</v>
      </c>
      <c r="G341">
        <v>0</v>
      </c>
      <c r="L341" t="s">
        <v>7</v>
      </c>
      <c r="M341" t="s">
        <v>7</v>
      </c>
      <c r="N341" t="s">
        <v>7</v>
      </c>
      <c r="P341">
        <f t="shared" si="969"/>
        <v>-0.91481703659268176</v>
      </c>
      <c r="Q341">
        <f t="shared" si="970"/>
        <v>-4474526.0931313755</v>
      </c>
      <c r="R341">
        <f t="shared" si="971"/>
        <v>-3036720.0025030505</v>
      </c>
      <c r="S341">
        <f t="shared" si="972"/>
        <v>-30.367200025030506</v>
      </c>
      <c r="T341">
        <f t="shared" si="973"/>
        <v>-3.0367200025030506E-2</v>
      </c>
    </row>
    <row r="342" spans="1:20" x14ac:dyDescent="0.25">
      <c r="A342" s="5">
        <v>44251</v>
      </c>
      <c r="B342">
        <v>12.788</v>
      </c>
      <c r="C342">
        <v>16.131</v>
      </c>
      <c r="D342">
        <v>11.5</v>
      </c>
      <c r="E342">
        <v>14.16</v>
      </c>
      <c r="F342">
        <v>8049682.0959999999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0.14877996113150507</v>
      </c>
      <c r="Q342">
        <f t="shared" si="970"/>
        <v>1197631.3893638523</v>
      </c>
      <c r="R342">
        <f t="shared" si="971"/>
        <v>1437806.0906283248</v>
      </c>
      <c r="S342">
        <f t="shared" si="972"/>
        <v>14.378060906283247</v>
      </c>
      <c r="T342">
        <f t="shared" si="973"/>
        <v>1.4378060906283248E-2</v>
      </c>
    </row>
    <row r="343" spans="1:20" x14ac:dyDescent="0.25">
      <c r="A343" s="5">
        <v>44250</v>
      </c>
      <c r="B343">
        <v>15.055999999999999</v>
      </c>
      <c r="C343">
        <v>15.099</v>
      </c>
      <c r="D343">
        <v>9.66</v>
      </c>
      <c r="E343">
        <v>12.744</v>
      </c>
      <c r="F343">
        <v>9215981.5810000002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0.13403199117484818</v>
      </c>
      <c r="Q343">
        <f t="shared" si="970"/>
        <v>1235236.3619321554</v>
      </c>
      <c r="R343">
        <f t="shared" si="971"/>
        <v>240174.70126447245</v>
      </c>
      <c r="S343">
        <f t="shared" si="972"/>
        <v>2.4017470126447242</v>
      </c>
      <c r="T343">
        <f t="shared" si="973"/>
        <v>2.4017470126447243E-3</v>
      </c>
    </row>
    <row r="344" spans="1:20" x14ac:dyDescent="0.25">
      <c r="A344" s="5">
        <v>44249</v>
      </c>
      <c r="B344">
        <v>16.652000000000001</v>
      </c>
      <c r="C344">
        <v>16.751999999999999</v>
      </c>
      <c r="D344">
        <v>12.234999999999999</v>
      </c>
      <c r="E344">
        <v>15.026999999999999</v>
      </c>
      <c r="F344">
        <v>7186301.8140000002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0.23621872924507423</v>
      </c>
      <c r="Q344">
        <f t="shared" si="970"/>
        <v>1697539.0824746517</v>
      </c>
      <c r="R344">
        <f t="shared" si="971"/>
        <v>-995061.660667683</v>
      </c>
      <c r="S344">
        <f t="shared" si="972"/>
        <v>-9.9506166066768298</v>
      </c>
      <c r="T344">
        <f t="shared" si="973"/>
        <v>-9.9506166066768292E-3</v>
      </c>
    </row>
    <row r="345" spans="1:20" x14ac:dyDescent="0.25">
      <c r="A345" s="5">
        <v>44248</v>
      </c>
      <c r="B345">
        <v>14.611000000000001</v>
      </c>
      <c r="C345">
        <v>18.893999999999998</v>
      </c>
      <c r="D345">
        <v>14.1</v>
      </c>
      <c r="E345">
        <v>16.645</v>
      </c>
      <c r="F345">
        <v>8024148.2779999999</v>
      </c>
      <c r="G345">
        <v>0</v>
      </c>
      <c r="L345" t="s">
        <v>7</v>
      </c>
      <c r="M345" t="s">
        <v>7</v>
      </c>
      <c r="N345" t="s">
        <v>8</v>
      </c>
      <c r="P345">
        <f t="shared" si="969"/>
        <v>6.1743846474760375E-2</v>
      </c>
      <c r="Q345">
        <f t="shared" si="970"/>
        <v>495441.7793675448</v>
      </c>
      <c r="R345">
        <f t="shared" si="971"/>
        <v>-2692600.7431423347</v>
      </c>
      <c r="S345">
        <f t="shared" si="972"/>
        <v>-26.926007431423347</v>
      </c>
      <c r="T345">
        <f t="shared" si="973"/>
        <v>-2.6926007431423347E-2</v>
      </c>
    </row>
    <row r="346" spans="1:20" x14ac:dyDescent="0.25">
      <c r="A346" s="5">
        <v>44247</v>
      </c>
      <c r="B346">
        <v>18.934000000000001</v>
      </c>
      <c r="C346">
        <v>19</v>
      </c>
      <c r="D346">
        <v>12.1</v>
      </c>
      <c r="E346">
        <v>14.673</v>
      </c>
      <c r="F346">
        <v>9194897.3469999991</v>
      </c>
      <c r="G346">
        <v>0</v>
      </c>
      <c r="L346" t="s">
        <v>8</v>
      </c>
      <c r="M346" t="s">
        <v>8</v>
      </c>
      <c r="N346" t="s">
        <v>8</v>
      </c>
      <c r="P346">
        <f t="shared" si="969"/>
        <v>-0.25420289855072459</v>
      </c>
      <c r="Q346">
        <f t="shared" si="970"/>
        <v>-2337369.5574837676</v>
      </c>
      <c r="R346">
        <f t="shared" si="971"/>
        <v>-3188042.5225098794</v>
      </c>
      <c r="S346">
        <f t="shared" si="972"/>
        <v>-31.880425225098794</v>
      </c>
      <c r="T346">
        <f t="shared" si="973"/>
        <v>-3.1880425225098791E-2</v>
      </c>
    </row>
    <row r="347" spans="1:20" x14ac:dyDescent="0.25">
      <c r="A347" s="5">
        <v>44246</v>
      </c>
      <c r="B347">
        <v>9.5500000000000007</v>
      </c>
      <c r="C347">
        <v>30</v>
      </c>
      <c r="D347">
        <v>9.5500000000000007</v>
      </c>
      <c r="E347">
        <v>18.934000000000001</v>
      </c>
      <c r="F347">
        <v>10342605.312000001</v>
      </c>
      <c r="G347">
        <v>0</v>
      </c>
      <c r="P347">
        <f t="shared" si="969"/>
        <v>-8.2249388753056166E-2</v>
      </c>
      <c r="Q347">
        <f t="shared" si="970"/>
        <v>-850672.96502611181</v>
      </c>
      <c r="R347">
        <f t="shared" si="971"/>
        <v>-850672.96502611181</v>
      </c>
      <c r="S347">
        <f t="shared" si="972"/>
        <v>-8.5067296502611178</v>
      </c>
      <c r="T347">
        <f t="shared" si="973"/>
        <v>-8.5067296502611186E-3</v>
      </c>
    </row>
    <row r="348" spans="1:20" x14ac:dyDescent="0.25">
      <c r="A348" s="5"/>
      <c r="C348"/>
      <c r="D348"/>
      <c r="P348">
        <f t="shared" si="969"/>
        <v>0</v>
      </c>
      <c r="Q348">
        <f t="shared" si="970"/>
        <v>0</v>
      </c>
      <c r="R348">
        <f t="shared" si="971"/>
        <v>0</v>
      </c>
      <c r="S348">
        <f t="shared" si="972"/>
        <v>0</v>
      </c>
      <c r="T348">
        <f t="shared" si="973"/>
        <v>0</v>
      </c>
    </row>
    <row r="349" spans="1:20" x14ac:dyDescent="0.25">
      <c r="A349" s="5"/>
      <c r="C349"/>
      <c r="D349"/>
      <c r="P349">
        <f t="shared" si="969"/>
        <v>0</v>
      </c>
      <c r="Q349">
        <f t="shared" si="970"/>
        <v>0</v>
      </c>
      <c r="R349">
        <f t="shared" si="971"/>
        <v>0</v>
      </c>
      <c r="S349">
        <f t="shared" si="972"/>
        <v>0</v>
      </c>
      <c r="T349">
        <f t="shared" si="973"/>
        <v>0</v>
      </c>
    </row>
    <row r="350" spans="1:20" x14ac:dyDescent="0.25">
      <c r="A350" s="5"/>
      <c r="C350"/>
      <c r="D350"/>
      <c r="P350">
        <f t="shared" si="969"/>
        <v>0</v>
      </c>
      <c r="Q350">
        <f t="shared" si="970"/>
        <v>0</v>
      </c>
      <c r="R350">
        <f t="shared" si="971"/>
        <v>0</v>
      </c>
      <c r="S350">
        <f t="shared" si="972"/>
        <v>0</v>
      </c>
      <c r="T350">
        <f t="shared" si="973"/>
        <v>0</v>
      </c>
    </row>
    <row r="351" spans="1:20" x14ac:dyDescent="0.25">
      <c r="A351" s="5"/>
      <c r="C351"/>
      <c r="D351"/>
      <c r="P351">
        <f t="shared" si="969"/>
        <v>0</v>
      </c>
      <c r="Q351">
        <f t="shared" si="970"/>
        <v>0</v>
      </c>
      <c r="R351">
        <f t="shared" si="971"/>
        <v>0</v>
      </c>
      <c r="S351">
        <f t="shared" si="972"/>
        <v>0</v>
      </c>
      <c r="T351">
        <f t="shared" si="973"/>
        <v>0</v>
      </c>
    </row>
    <row r="352" spans="1:20" x14ac:dyDescent="0.25">
      <c r="A352" s="5"/>
      <c r="C352"/>
      <c r="D352"/>
      <c r="P352">
        <f t="shared" si="969"/>
        <v>0</v>
      </c>
      <c r="Q352">
        <f t="shared" si="970"/>
        <v>0</v>
      </c>
      <c r="R352">
        <f t="shared" si="971"/>
        <v>0</v>
      </c>
      <c r="S352">
        <f t="shared" si="972"/>
        <v>0</v>
      </c>
      <c r="T352">
        <f t="shared" si="973"/>
        <v>0</v>
      </c>
    </row>
    <row r="353" spans="1:20" x14ac:dyDescent="0.25">
      <c r="A353" s="5"/>
      <c r="C353"/>
      <c r="D353"/>
      <c r="P353">
        <f t="shared" si="969"/>
        <v>0</v>
      </c>
      <c r="Q353">
        <f t="shared" si="970"/>
        <v>0</v>
      </c>
      <c r="R353">
        <f t="shared" si="971"/>
        <v>0</v>
      </c>
      <c r="S353">
        <f t="shared" si="972"/>
        <v>0</v>
      </c>
      <c r="T353">
        <f t="shared" si="973"/>
        <v>0</v>
      </c>
    </row>
    <row r="354" spans="1:20" x14ac:dyDescent="0.25">
      <c r="A354" s="5"/>
      <c r="C354"/>
      <c r="D354"/>
      <c r="P354">
        <f t="shared" si="969"/>
        <v>0</v>
      </c>
      <c r="Q354">
        <f t="shared" si="970"/>
        <v>0</v>
      </c>
      <c r="R354">
        <f t="shared" si="971"/>
        <v>0</v>
      </c>
      <c r="S354">
        <f t="shared" si="972"/>
        <v>0</v>
      </c>
      <c r="T354">
        <f t="shared" si="973"/>
        <v>0</v>
      </c>
    </row>
    <row r="355" spans="1:20" x14ac:dyDescent="0.25">
      <c r="A355" s="5"/>
      <c r="C355"/>
      <c r="D355"/>
      <c r="P355">
        <f t="shared" si="969"/>
        <v>0</v>
      </c>
      <c r="Q355">
        <f t="shared" si="970"/>
        <v>0</v>
      </c>
      <c r="R355">
        <f t="shared" si="971"/>
        <v>0</v>
      </c>
      <c r="S355">
        <f t="shared" si="972"/>
        <v>0</v>
      </c>
      <c r="T355">
        <f t="shared" si="973"/>
        <v>0</v>
      </c>
    </row>
    <row r="356" spans="1:20" x14ac:dyDescent="0.25">
      <c r="A356" s="5"/>
      <c r="C356"/>
      <c r="D356"/>
      <c r="P356">
        <f t="shared" si="969"/>
        <v>0</v>
      </c>
      <c r="Q356">
        <f t="shared" si="970"/>
        <v>0</v>
      </c>
      <c r="R356">
        <f t="shared" si="971"/>
        <v>0</v>
      </c>
      <c r="S356">
        <f t="shared" si="972"/>
        <v>0</v>
      </c>
      <c r="T356">
        <f t="shared" si="973"/>
        <v>0</v>
      </c>
    </row>
    <row r="357" spans="1:20" x14ac:dyDescent="0.25">
      <c r="A357" s="5"/>
      <c r="C357"/>
      <c r="D357"/>
      <c r="P357">
        <f t="shared" si="969"/>
        <v>0</v>
      </c>
      <c r="Q357">
        <f t="shared" si="970"/>
        <v>0</v>
      </c>
      <c r="R357">
        <f t="shared" si="971"/>
        <v>0</v>
      </c>
      <c r="S357">
        <f t="shared" si="972"/>
        <v>0</v>
      </c>
      <c r="T357">
        <f t="shared" si="973"/>
        <v>0</v>
      </c>
    </row>
    <row r="358" spans="1:20" x14ac:dyDescent="0.25">
      <c r="A358" s="5"/>
      <c r="C358"/>
      <c r="D358"/>
      <c r="P358">
        <f t="shared" si="969"/>
        <v>0</v>
      </c>
      <c r="Q358">
        <f t="shared" si="970"/>
        <v>0</v>
      </c>
      <c r="R358">
        <f t="shared" si="971"/>
        <v>0</v>
      </c>
      <c r="S358">
        <f t="shared" si="972"/>
        <v>0</v>
      </c>
      <c r="T358">
        <f t="shared" si="973"/>
        <v>0</v>
      </c>
    </row>
    <row r="359" spans="1:20" x14ac:dyDescent="0.25">
      <c r="A359" s="5"/>
      <c r="C359"/>
      <c r="D359"/>
      <c r="P359">
        <f t="shared" si="969"/>
        <v>0</v>
      </c>
      <c r="Q359">
        <f t="shared" si="970"/>
        <v>0</v>
      </c>
      <c r="R359">
        <f t="shared" si="971"/>
        <v>0</v>
      </c>
      <c r="S359">
        <f t="shared" si="972"/>
        <v>0</v>
      </c>
      <c r="T359">
        <f t="shared" si="973"/>
        <v>0</v>
      </c>
    </row>
    <row r="360" spans="1:20" x14ac:dyDescent="0.25">
      <c r="A360" s="5"/>
      <c r="C360"/>
      <c r="D360"/>
      <c r="P360">
        <f t="shared" si="969"/>
        <v>0</v>
      </c>
      <c r="Q360">
        <f t="shared" si="970"/>
        <v>0</v>
      </c>
      <c r="R360">
        <f t="shared" si="971"/>
        <v>0</v>
      </c>
      <c r="S360">
        <f t="shared" si="972"/>
        <v>0</v>
      </c>
      <c r="T360">
        <f t="shared" si="973"/>
        <v>0</v>
      </c>
    </row>
    <row r="361" spans="1:20" x14ac:dyDescent="0.25">
      <c r="A361" s="5"/>
      <c r="C361"/>
      <c r="D361"/>
      <c r="P361">
        <f t="shared" si="969"/>
        <v>0</v>
      </c>
      <c r="Q361">
        <f t="shared" si="970"/>
        <v>0</v>
      </c>
      <c r="R361">
        <f t="shared" si="971"/>
        <v>0</v>
      </c>
      <c r="S361">
        <f t="shared" si="972"/>
        <v>0</v>
      </c>
      <c r="T361">
        <f t="shared" si="973"/>
        <v>0</v>
      </c>
    </row>
    <row r="362" spans="1:20" x14ac:dyDescent="0.25">
      <c r="A362" s="5"/>
      <c r="C362"/>
      <c r="D362"/>
      <c r="P362">
        <f t="shared" si="969"/>
        <v>0</v>
      </c>
      <c r="Q362">
        <f t="shared" si="970"/>
        <v>0</v>
      </c>
      <c r="R362">
        <f t="shared" si="971"/>
        <v>0</v>
      </c>
      <c r="S362">
        <f t="shared" si="972"/>
        <v>0</v>
      </c>
      <c r="T362">
        <f t="shared" si="973"/>
        <v>0</v>
      </c>
    </row>
    <row r="363" spans="1:20" x14ac:dyDescent="0.25">
      <c r="A363" s="5"/>
      <c r="C363"/>
      <c r="D363"/>
      <c r="P363">
        <f t="shared" si="969"/>
        <v>0</v>
      </c>
      <c r="Q363">
        <f t="shared" si="970"/>
        <v>0</v>
      </c>
      <c r="R363">
        <f t="shared" si="971"/>
        <v>0</v>
      </c>
      <c r="S363">
        <f t="shared" si="972"/>
        <v>0</v>
      </c>
      <c r="T363">
        <f t="shared" si="973"/>
        <v>0</v>
      </c>
    </row>
    <row r="364" spans="1:20" x14ac:dyDescent="0.25">
      <c r="A364" s="5"/>
      <c r="C364"/>
      <c r="D364"/>
      <c r="P364">
        <f t="shared" si="969"/>
        <v>0</v>
      </c>
      <c r="Q364">
        <f t="shared" si="970"/>
        <v>0</v>
      </c>
      <c r="R364">
        <f t="shared" si="971"/>
        <v>0</v>
      </c>
      <c r="S364">
        <f t="shared" si="972"/>
        <v>0</v>
      </c>
      <c r="T364">
        <f t="shared" si="973"/>
        <v>0</v>
      </c>
    </row>
    <row r="365" spans="1:20" x14ac:dyDescent="0.25">
      <c r="A365" s="5"/>
      <c r="C365"/>
      <c r="D365"/>
      <c r="P365">
        <f t="shared" si="969"/>
        <v>0</v>
      </c>
      <c r="Q365">
        <f t="shared" si="970"/>
        <v>0</v>
      </c>
      <c r="R365">
        <f t="shared" si="971"/>
        <v>0</v>
      </c>
      <c r="S365">
        <f t="shared" si="972"/>
        <v>0</v>
      </c>
      <c r="T365">
        <f t="shared" si="973"/>
        <v>0</v>
      </c>
    </row>
    <row r="366" spans="1:20" x14ac:dyDescent="0.25">
      <c r="A366" s="5"/>
      <c r="C366"/>
      <c r="D366"/>
      <c r="P366">
        <f t="shared" si="969"/>
        <v>0</v>
      </c>
      <c r="Q366">
        <f t="shared" si="970"/>
        <v>0</v>
      </c>
      <c r="R366">
        <f t="shared" si="971"/>
        <v>0</v>
      </c>
      <c r="S366">
        <f t="shared" si="972"/>
        <v>0</v>
      </c>
      <c r="T366">
        <f t="shared" si="973"/>
        <v>0</v>
      </c>
    </row>
    <row r="367" spans="1:20" x14ac:dyDescent="0.25">
      <c r="A367" s="5"/>
      <c r="C367"/>
      <c r="D367"/>
      <c r="P367">
        <f t="shared" si="969"/>
        <v>0</v>
      </c>
      <c r="Q367">
        <f t="shared" si="970"/>
        <v>0</v>
      </c>
      <c r="R367">
        <f t="shared" si="971"/>
        <v>0</v>
      </c>
      <c r="S367">
        <f t="shared" si="972"/>
        <v>0</v>
      </c>
      <c r="T367">
        <f t="shared" si="973"/>
        <v>0</v>
      </c>
    </row>
    <row r="368" spans="1:20" x14ac:dyDescent="0.25">
      <c r="A368" s="5"/>
      <c r="C368"/>
      <c r="D368"/>
      <c r="P368">
        <f t="shared" si="969"/>
        <v>0</v>
      </c>
      <c r="Q368">
        <f t="shared" si="970"/>
        <v>0</v>
      </c>
      <c r="R368">
        <f t="shared" si="971"/>
        <v>0</v>
      </c>
      <c r="S368">
        <f t="shared" si="972"/>
        <v>0</v>
      </c>
      <c r="T368">
        <f t="shared" si="973"/>
        <v>0</v>
      </c>
    </row>
    <row r="369" spans="1:20" x14ac:dyDescent="0.25">
      <c r="A369" s="5"/>
      <c r="C369"/>
      <c r="D369"/>
      <c r="P369">
        <f t="shared" si="969"/>
        <v>0</v>
      </c>
      <c r="Q369">
        <f t="shared" si="970"/>
        <v>0</v>
      </c>
      <c r="R369">
        <f t="shared" si="971"/>
        <v>0</v>
      </c>
      <c r="S369">
        <f t="shared" si="972"/>
        <v>0</v>
      </c>
      <c r="T369">
        <f t="shared" si="973"/>
        <v>0</v>
      </c>
    </row>
    <row r="370" spans="1:20" x14ac:dyDescent="0.25">
      <c r="A370" s="5"/>
      <c r="C370"/>
      <c r="D370"/>
      <c r="P370">
        <f t="shared" si="969"/>
        <v>0</v>
      </c>
      <c r="Q370">
        <f t="shared" si="970"/>
        <v>0</v>
      </c>
      <c r="R370">
        <f t="shared" si="971"/>
        <v>0</v>
      </c>
      <c r="S370">
        <f t="shared" si="972"/>
        <v>0</v>
      </c>
      <c r="T370">
        <f t="shared" si="973"/>
        <v>0</v>
      </c>
    </row>
    <row r="371" spans="1:20" x14ac:dyDescent="0.25">
      <c r="A371" s="5"/>
      <c r="C371"/>
      <c r="D371"/>
      <c r="P371">
        <f t="shared" si="969"/>
        <v>0</v>
      </c>
      <c r="Q371">
        <f t="shared" si="970"/>
        <v>0</v>
      </c>
      <c r="R371">
        <f t="shared" si="971"/>
        <v>0</v>
      </c>
      <c r="S371">
        <f t="shared" si="972"/>
        <v>0</v>
      </c>
      <c r="T371">
        <f t="shared" si="973"/>
        <v>0</v>
      </c>
    </row>
    <row r="372" spans="1:20" x14ac:dyDescent="0.25">
      <c r="A372" s="5"/>
      <c r="C372"/>
      <c r="D372"/>
      <c r="P372">
        <f t="shared" si="969"/>
        <v>0</v>
      </c>
      <c r="Q372">
        <f t="shared" si="970"/>
        <v>0</v>
      </c>
      <c r="R372">
        <f t="shared" si="971"/>
        <v>0</v>
      </c>
      <c r="S372">
        <f t="shared" si="972"/>
        <v>0</v>
      </c>
      <c r="T372">
        <f t="shared" si="973"/>
        <v>0</v>
      </c>
    </row>
    <row r="373" spans="1:20" x14ac:dyDescent="0.25">
      <c r="A373" s="5"/>
      <c r="C373"/>
      <c r="D373"/>
      <c r="P373">
        <f t="shared" si="969"/>
        <v>0</v>
      </c>
      <c r="Q373">
        <f t="shared" si="970"/>
        <v>0</v>
      </c>
      <c r="R373">
        <f t="shared" si="971"/>
        <v>0</v>
      </c>
      <c r="S373">
        <f t="shared" si="972"/>
        <v>0</v>
      </c>
      <c r="T373">
        <f t="shared" si="973"/>
        <v>0</v>
      </c>
    </row>
    <row r="374" spans="1:20" x14ac:dyDescent="0.25">
      <c r="A374" s="5"/>
      <c r="C374"/>
      <c r="D374"/>
      <c r="P374">
        <f t="shared" si="969"/>
        <v>0</v>
      </c>
      <c r="Q374">
        <f t="shared" si="970"/>
        <v>0</v>
      </c>
      <c r="R374">
        <f t="shared" si="971"/>
        <v>0</v>
      </c>
      <c r="S374">
        <f t="shared" si="972"/>
        <v>0</v>
      </c>
      <c r="T374">
        <f t="shared" si="973"/>
        <v>0</v>
      </c>
    </row>
    <row r="375" spans="1:20" x14ac:dyDescent="0.25">
      <c r="A375" s="5"/>
      <c r="C375"/>
      <c r="D375"/>
      <c r="P375">
        <f t="shared" si="969"/>
        <v>0</v>
      </c>
      <c r="Q375">
        <f t="shared" si="970"/>
        <v>0</v>
      </c>
      <c r="R375">
        <f t="shared" si="971"/>
        <v>0</v>
      </c>
      <c r="S375">
        <f t="shared" si="972"/>
        <v>0</v>
      </c>
      <c r="T375">
        <f t="shared" si="973"/>
        <v>0</v>
      </c>
    </row>
    <row r="376" spans="1:20" x14ac:dyDescent="0.25">
      <c r="A376" s="5"/>
      <c r="C376"/>
      <c r="D376"/>
      <c r="P376">
        <f t="shared" si="969"/>
        <v>0</v>
      </c>
      <c r="Q376">
        <f t="shared" si="970"/>
        <v>0</v>
      </c>
      <c r="R376">
        <f t="shared" si="971"/>
        <v>0</v>
      </c>
      <c r="S376">
        <f t="shared" si="972"/>
        <v>0</v>
      </c>
      <c r="T376">
        <f t="shared" si="973"/>
        <v>0</v>
      </c>
    </row>
    <row r="377" spans="1:20" x14ac:dyDescent="0.25">
      <c r="A377" s="5"/>
      <c r="C377"/>
      <c r="D377"/>
      <c r="P377">
        <f t="shared" si="969"/>
        <v>0</v>
      </c>
      <c r="Q377">
        <f t="shared" si="970"/>
        <v>0</v>
      </c>
      <c r="R377">
        <f t="shared" si="971"/>
        <v>0</v>
      </c>
      <c r="S377">
        <f t="shared" si="972"/>
        <v>0</v>
      </c>
      <c r="T377">
        <f t="shared" si="973"/>
        <v>0</v>
      </c>
    </row>
    <row r="378" spans="1:20" x14ac:dyDescent="0.25">
      <c r="A378" s="5"/>
      <c r="C378"/>
      <c r="D378"/>
      <c r="P378">
        <f t="shared" si="969"/>
        <v>0</v>
      </c>
      <c r="Q378">
        <f t="shared" si="970"/>
        <v>0</v>
      </c>
      <c r="R378">
        <f t="shared" si="971"/>
        <v>0</v>
      </c>
      <c r="S378">
        <f t="shared" si="972"/>
        <v>0</v>
      </c>
      <c r="T378">
        <f t="shared" si="973"/>
        <v>0</v>
      </c>
    </row>
    <row r="379" spans="1:20" x14ac:dyDescent="0.25">
      <c r="A379" s="5"/>
      <c r="C379"/>
      <c r="D379"/>
      <c r="P379">
        <f t="shared" si="969"/>
        <v>0</v>
      </c>
      <c r="Q379">
        <f t="shared" si="970"/>
        <v>0</v>
      </c>
      <c r="R379">
        <f t="shared" si="971"/>
        <v>0</v>
      </c>
      <c r="S379">
        <f t="shared" si="972"/>
        <v>0</v>
      </c>
      <c r="T379">
        <f t="shared" si="973"/>
        <v>0</v>
      </c>
    </row>
    <row r="380" spans="1:20" x14ac:dyDescent="0.25">
      <c r="A380" s="5"/>
      <c r="C380"/>
      <c r="D380"/>
      <c r="P380">
        <f t="shared" si="969"/>
        <v>0</v>
      </c>
      <c r="Q380">
        <f t="shared" si="970"/>
        <v>0</v>
      </c>
      <c r="R380">
        <f t="shared" si="971"/>
        <v>0</v>
      </c>
      <c r="S380">
        <f t="shared" si="972"/>
        <v>0</v>
      </c>
      <c r="T380">
        <f t="shared" si="973"/>
        <v>0</v>
      </c>
    </row>
    <row r="381" spans="1:20" x14ac:dyDescent="0.25">
      <c r="A381" s="5"/>
      <c r="C381"/>
      <c r="D381"/>
      <c r="P381">
        <f t="shared" si="969"/>
        <v>0</v>
      </c>
      <c r="Q381">
        <f t="shared" si="970"/>
        <v>0</v>
      </c>
      <c r="R381">
        <f t="shared" si="971"/>
        <v>0</v>
      </c>
      <c r="S381">
        <f t="shared" si="972"/>
        <v>0</v>
      </c>
      <c r="T381">
        <f t="shared" si="973"/>
        <v>0</v>
      </c>
    </row>
    <row r="382" spans="1:20" x14ac:dyDescent="0.25">
      <c r="A382" s="5"/>
      <c r="C382"/>
      <c r="D382"/>
      <c r="P382">
        <f t="shared" si="969"/>
        <v>0</v>
      </c>
      <c r="Q382">
        <f t="shared" si="970"/>
        <v>0</v>
      </c>
      <c r="R382">
        <f t="shared" si="971"/>
        <v>0</v>
      </c>
      <c r="S382">
        <f t="shared" si="972"/>
        <v>0</v>
      </c>
      <c r="T382">
        <f t="shared" si="973"/>
        <v>0</v>
      </c>
    </row>
    <row r="383" spans="1:20" x14ac:dyDescent="0.25">
      <c r="A383" s="5"/>
      <c r="C383"/>
      <c r="D383"/>
      <c r="P383">
        <f t="shared" si="969"/>
        <v>0</v>
      </c>
      <c r="Q383">
        <f t="shared" si="970"/>
        <v>0</v>
      </c>
      <c r="R383">
        <f t="shared" si="971"/>
        <v>0</v>
      </c>
      <c r="S383">
        <f t="shared" si="972"/>
        <v>0</v>
      </c>
      <c r="T383">
        <f t="shared" si="973"/>
        <v>0</v>
      </c>
    </row>
    <row r="384" spans="1:20" x14ac:dyDescent="0.25">
      <c r="A384" s="5"/>
      <c r="C384"/>
      <c r="D384"/>
      <c r="P384">
        <f t="shared" si="969"/>
        <v>0</v>
      </c>
      <c r="Q384">
        <f t="shared" si="970"/>
        <v>0</v>
      </c>
      <c r="R384">
        <f t="shared" si="971"/>
        <v>0</v>
      </c>
      <c r="S384">
        <f t="shared" si="972"/>
        <v>0</v>
      </c>
      <c r="T384">
        <f t="shared" si="973"/>
        <v>0</v>
      </c>
    </row>
    <row r="385" spans="1:20" x14ac:dyDescent="0.25">
      <c r="A385" s="5"/>
      <c r="C385"/>
      <c r="D385"/>
      <c r="P385">
        <f t="shared" si="969"/>
        <v>0</v>
      </c>
      <c r="Q385">
        <f t="shared" si="970"/>
        <v>0</v>
      </c>
      <c r="R385">
        <f t="shared" si="971"/>
        <v>0</v>
      </c>
      <c r="S385">
        <f t="shared" si="972"/>
        <v>0</v>
      </c>
      <c r="T385">
        <f t="shared" si="973"/>
        <v>0</v>
      </c>
    </row>
    <row r="386" spans="1:20" x14ac:dyDescent="0.25">
      <c r="A386" s="5"/>
      <c r="C386"/>
      <c r="D386"/>
      <c r="P386">
        <f t="shared" si="969"/>
        <v>0</v>
      </c>
      <c r="Q386">
        <f t="shared" si="970"/>
        <v>0</v>
      </c>
      <c r="R386">
        <f t="shared" si="971"/>
        <v>0</v>
      </c>
      <c r="S386">
        <f t="shared" si="972"/>
        <v>0</v>
      </c>
      <c r="T386">
        <f t="shared" si="973"/>
        <v>0</v>
      </c>
    </row>
    <row r="387" spans="1:20" x14ac:dyDescent="0.25">
      <c r="A387" s="5"/>
      <c r="C387"/>
      <c r="D387"/>
      <c r="P387">
        <f t="shared" si="969"/>
        <v>0</v>
      </c>
      <c r="Q387">
        <f t="shared" si="970"/>
        <v>0</v>
      </c>
      <c r="R387">
        <f t="shared" si="971"/>
        <v>0</v>
      </c>
      <c r="S387">
        <f t="shared" si="972"/>
        <v>0</v>
      </c>
      <c r="T387">
        <f t="shared" si="973"/>
        <v>0</v>
      </c>
    </row>
    <row r="388" spans="1:20" x14ac:dyDescent="0.25">
      <c r="A388" s="5"/>
      <c r="C388"/>
      <c r="D388"/>
      <c r="P388">
        <f t="shared" si="969"/>
        <v>0</v>
      </c>
      <c r="Q388">
        <f t="shared" si="970"/>
        <v>0</v>
      </c>
      <c r="R388">
        <f t="shared" si="971"/>
        <v>0</v>
      </c>
      <c r="S388">
        <f t="shared" si="972"/>
        <v>0</v>
      </c>
      <c r="T388">
        <f t="shared" si="973"/>
        <v>0</v>
      </c>
    </row>
    <row r="389" spans="1:20" x14ac:dyDescent="0.25">
      <c r="A389" s="5"/>
      <c r="C389"/>
      <c r="D389"/>
      <c r="P389">
        <f t="shared" si="969"/>
        <v>0</v>
      </c>
      <c r="Q389">
        <f t="shared" si="970"/>
        <v>0</v>
      </c>
      <c r="R389">
        <f t="shared" si="971"/>
        <v>0</v>
      </c>
      <c r="S389">
        <f t="shared" si="972"/>
        <v>0</v>
      </c>
      <c r="T389">
        <f t="shared" si="973"/>
        <v>0</v>
      </c>
    </row>
    <row r="390" spans="1:20" x14ac:dyDescent="0.25">
      <c r="A390" s="5"/>
      <c r="C390"/>
      <c r="D390"/>
      <c r="P390">
        <f t="shared" ref="P390:P453" si="974">IF(C390=D390,0,((E390-D390)-(C390-E390))/(C390-D390))</f>
        <v>0</v>
      </c>
      <c r="Q390">
        <f t="shared" ref="Q390:Q453" si="975">F390*P390</f>
        <v>0</v>
      </c>
      <c r="R390">
        <f t="shared" ref="R390:R453" si="976">R391+Q390</f>
        <v>0</v>
      </c>
      <c r="S390">
        <f t="shared" ref="S390:S453" si="977">R390/100000</f>
        <v>0</v>
      </c>
      <c r="T390">
        <f t="shared" ref="T390:T453" si="978">S390/1000</f>
        <v>0</v>
      </c>
    </row>
    <row r="391" spans="1:20" x14ac:dyDescent="0.25">
      <c r="A391" s="5"/>
      <c r="C391"/>
      <c r="D391"/>
      <c r="P391">
        <f t="shared" si="974"/>
        <v>0</v>
      </c>
      <c r="Q391">
        <f t="shared" si="975"/>
        <v>0</v>
      </c>
      <c r="R391">
        <f t="shared" si="976"/>
        <v>0</v>
      </c>
      <c r="S391">
        <f t="shared" si="977"/>
        <v>0</v>
      </c>
      <c r="T391">
        <f t="shared" si="978"/>
        <v>0</v>
      </c>
    </row>
    <row r="392" spans="1:20" x14ac:dyDescent="0.25">
      <c r="A392" s="5"/>
      <c r="C392"/>
      <c r="D392"/>
      <c r="P392">
        <f t="shared" si="974"/>
        <v>0</v>
      </c>
      <c r="Q392">
        <f t="shared" si="975"/>
        <v>0</v>
      </c>
      <c r="R392">
        <f t="shared" si="976"/>
        <v>0</v>
      </c>
      <c r="S392">
        <f t="shared" si="977"/>
        <v>0</v>
      </c>
      <c r="T392">
        <f t="shared" si="978"/>
        <v>0</v>
      </c>
    </row>
    <row r="393" spans="1:20" x14ac:dyDescent="0.25">
      <c r="A393" s="5"/>
      <c r="C393"/>
      <c r="D393"/>
      <c r="P393">
        <f t="shared" si="974"/>
        <v>0</v>
      </c>
      <c r="Q393">
        <f t="shared" si="975"/>
        <v>0</v>
      </c>
      <c r="R393">
        <f t="shared" si="976"/>
        <v>0</v>
      </c>
      <c r="S393">
        <f t="shared" si="977"/>
        <v>0</v>
      </c>
      <c r="T393">
        <f t="shared" si="978"/>
        <v>0</v>
      </c>
    </row>
    <row r="394" spans="1:20" x14ac:dyDescent="0.25">
      <c r="A394" s="5"/>
      <c r="C394"/>
      <c r="D394"/>
      <c r="P394">
        <f t="shared" si="974"/>
        <v>0</v>
      </c>
      <c r="Q394">
        <f t="shared" si="975"/>
        <v>0</v>
      </c>
      <c r="R394">
        <f t="shared" si="976"/>
        <v>0</v>
      </c>
      <c r="S394">
        <f t="shared" si="977"/>
        <v>0</v>
      </c>
      <c r="T394">
        <f t="shared" si="978"/>
        <v>0</v>
      </c>
    </row>
    <row r="395" spans="1:20" x14ac:dyDescent="0.25">
      <c r="A395" s="5"/>
      <c r="C395"/>
      <c r="D395"/>
      <c r="P395">
        <f t="shared" si="974"/>
        <v>0</v>
      </c>
      <c r="Q395">
        <f t="shared" si="975"/>
        <v>0</v>
      </c>
      <c r="R395">
        <f t="shared" si="976"/>
        <v>0</v>
      </c>
      <c r="S395">
        <f t="shared" si="977"/>
        <v>0</v>
      </c>
      <c r="T395">
        <f t="shared" si="978"/>
        <v>0</v>
      </c>
    </row>
    <row r="396" spans="1:20" x14ac:dyDescent="0.25">
      <c r="A396" s="5"/>
      <c r="C396"/>
      <c r="D396"/>
      <c r="P396">
        <f t="shared" si="974"/>
        <v>0</v>
      </c>
      <c r="Q396">
        <f t="shared" si="975"/>
        <v>0</v>
      </c>
      <c r="R396">
        <f t="shared" si="976"/>
        <v>0</v>
      </c>
      <c r="S396">
        <f t="shared" si="977"/>
        <v>0</v>
      </c>
      <c r="T396">
        <f t="shared" si="978"/>
        <v>0</v>
      </c>
    </row>
    <row r="397" spans="1:20" x14ac:dyDescent="0.25">
      <c r="A397" s="5"/>
      <c r="C397"/>
      <c r="D397"/>
      <c r="P397">
        <f t="shared" si="974"/>
        <v>0</v>
      </c>
      <c r="Q397">
        <f t="shared" si="975"/>
        <v>0</v>
      </c>
      <c r="R397">
        <f t="shared" si="976"/>
        <v>0</v>
      </c>
      <c r="S397">
        <f t="shared" si="977"/>
        <v>0</v>
      </c>
      <c r="T397">
        <f t="shared" si="978"/>
        <v>0</v>
      </c>
    </row>
    <row r="398" spans="1:20" x14ac:dyDescent="0.25">
      <c r="A398" s="5"/>
      <c r="C398"/>
      <c r="D398"/>
      <c r="P398">
        <f t="shared" si="974"/>
        <v>0</v>
      </c>
      <c r="Q398">
        <f t="shared" si="975"/>
        <v>0</v>
      </c>
      <c r="R398">
        <f t="shared" si="976"/>
        <v>0</v>
      </c>
      <c r="S398">
        <f t="shared" si="977"/>
        <v>0</v>
      </c>
      <c r="T398">
        <f t="shared" si="978"/>
        <v>0</v>
      </c>
    </row>
    <row r="399" spans="1:20" x14ac:dyDescent="0.25">
      <c r="A399" s="5"/>
      <c r="C399"/>
      <c r="D399"/>
      <c r="P399">
        <f t="shared" si="974"/>
        <v>0</v>
      </c>
      <c r="Q399">
        <f t="shared" si="975"/>
        <v>0</v>
      </c>
      <c r="R399">
        <f t="shared" si="976"/>
        <v>0</v>
      </c>
      <c r="S399">
        <f t="shared" si="977"/>
        <v>0</v>
      </c>
      <c r="T399">
        <f t="shared" si="978"/>
        <v>0</v>
      </c>
    </row>
    <row r="400" spans="1:20" x14ac:dyDescent="0.25">
      <c r="A400" s="5"/>
      <c r="C400"/>
      <c r="D400"/>
      <c r="P400">
        <f t="shared" si="974"/>
        <v>0</v>
      </c>
      <c r="Q400">
        <f t="shared" si="975"/>
        <v>0</v>
      </c>
      <c r="R400">
        <f t="shared" si="976"/>
        <v>0</v>
      </c>
      <c r="S400">
        <f t="shared" si="977"/>
        <v>0</v>
      </c>
      <c r="T400">
        <f t="shared" si="978"/>
        <v>0</v>
      </c>
    </row>
    <row r="401" spans="1:20" x14ac:dyDescent="0.25">
      <c r="A401" s="5"/>
      <c r="C401"/>
      <c r="D401"/>
      <c r="P401">
        <f t="shared" si="974"/>
        <v>0</v>
      </c>
      <c r="Q401">
        <f t="shared" si="975"/>
        <v>0</v>
      </c>
      <c r="R401">
        <f t="shared" si="976"/>
        <v>0</v>
      </c>
      <c r="S401">
        <f t="shared" si="977"/>
        <v>0</v>
      </c>
      <c r="T401">
        <f t="shared" si="978"/>
        <v>0</v>
      </c>
    </row>
    <row r="402" spans="1:20" x14ac:dyDescent="0.25">
      <c r="A402" s="5"/>
      <c r="C402"/>
      <c r="D402"/>
      <c r="P402">
        <f t="shared" si="974"/>
        <v>0</v>
      </c>
      <c r="Q402">
        <f t="shared" si="975"/>
        <v>0</v>
      </c>
      <c r="R402">
        <f t="shared" si="976"/>
        <v>0</v>
      </c>
      <c r="S402">
        <f t="shared" si="977"/>
        <v>0</v>
      </c>
      <c r="T402">
        <f t="shared" si="978"/>
        <v>0</v>
      </c>
    </row>
    <row r="403" spans="1:20" x14ac:dyDescent="0.25">
      <c r="A403" s="5"/>
      <c r="C403"/>
      <c r="D403"/>
      <c r="P403">
        <f t="shared" si="974"/>
        <v>0</v>
      </c>
      <c r="Q403">
        <f t="shared" si="975"/>
        <v>0</v>
      </c>
      <c r="R403">
        <f t="shared" si="976"/>
        <v>0</v>
      </c>
      <c r="S403">
        <f t="shared" si="977"/>
        <v>0</v>
      </c>
      <c r="T403">
        <f t="shared" si="978"/>
        <v>0</v>
      </c>
    </row>
    <row r="404" spans="1:20" x14ac:dyDescent="0.25">
      <c r="A404" s="5"/>
      <c r="C404"/>
      <c r="D404"/>
      <c r="P404">
        <f t="shared" si="974"/>
        <v>0</v>
      </c>
      <c r="Q404">
        <f t="shared" si="975"/>
        <v>0</v>
      </c>
      <c r="R404">
        <f t="shared" si="976"/>
        <v>0</v>
      </c>
      <c r="S404">
        <f t="shared" si="977"/>
        <v>0</v>
      </c>
      <c r="T404">
        <f t="shared" si="978"/>
        <v>0</v>
      </c>
    </row>
    <row r="405" spans="1:20" x14ac:dyDescent="0.25">
      <c r="A405" s="5"/>
      <c r="C405"/>
      <c r="D405"/>
      <c r="P405">
        <f t="shared" si="974"/>
        <v>0</v>
      </c>
      <c r="Q405">
        <f t="shared" si="975"/>
        <v>0</v>
      </c>
      <c r="R405">
        <f t="shared" si="976"/>
        <v>0</v>
      </c>
      <c r="S405">
        <f t="shared" si="977"/>
        <v>0</v>
      </c>
      <c r="T405">
        <f t="shared" si="978"/>
        <v>0</v>
      </c>
    </row>
    <row r="406" spans="1:20" x14ac:dyDescent="0.25">
      <c r="A406" s="5"/>
      <c r="C406"/>
      <c r="D406"/>
      <c r="P406">
        <f t="shared" si="974"/>
        <v>0</v>
      </c>
      <c r="Q406">
        <f t="shared" si="975"/>
        <v>0</v>
      </c>
      <c r="R406">
        <f t="shared" si="976"/>
        <v>0</v>
      </c>
      <c r="S406">
        <f t="shared" si="977"/>
        <v>0</v>
      </c>
      <c r="T406">
        <f t="shared" si="978"/>
        <v>0</v>
      </c>
    </row>
    <row r="407" spans="1:20" x14ac:dyDescent="0.25">
      <c r="A407" s="5"/>
      <c r="C407"/>
      <c r="D407"/>
      <c r="P407">
        <f t="shared" si="974"/>
        <v>0</v>
      </c>
      <c r="Q407">
        <f t="shared" si="975"/>
        <v>0</v>
      </c>
      <c r="R407">
        <f t="shared" si="976"/>
        <v>0</v>
      </c>
      <c r="S407">
        <f t="shared" si="977"/>
        <v>0</v>
      </c>
      <c r="T407">
        <f t="shared" si="978"/>
        <v>0</v>
      </c>
    </row>
    <row r="408" spans="1:20" x14ac:dyDescent="0.25">
      <c r="A408" s="5"/>
      <c r="C408"/>
      <c r="D408"/>
      <c r="P408">
        <f t="shared" si="974"/>
        <v>0</v>
      </c>
      <c r="Q408">
        <f t="shared" si="975"/>
        <v>0</v>
      </c>
      <c r="R408">
        <f t="shared" si="976"/>
        <v>0</v>
      </c>
      <c r="S408">
        <f t="shared" si="977"/>
        <v>0</v>
      </c>
      <c r="T408">
        <f t="shared" si="978"/>
        <v>0</v>
      </c>
    </row>
    <row r="409" spans="1:20" x14ac:dyDescent="0.25">
      <c r="A409" s="5"/>
      <c r="C409"/>
      <c r="D409"/>
      <c r="P409">
        <f t="shared" si="974"/>
        <v>0</v>
      </c>
      <c r="Q409">
        <f t="shared" si="975"/>
        <v>0</v>
      </c>
      <c r="R409">
        <f t="shared" si="976"/>
        <v>0</v>
      </c>
      <c r="S409">
        <f t="shared" si="977"/>
        <v>0</v>
      </c>
      <c r="T409">
        <f t="shared" si="978"/>
        <v>0</v>
      </c>
    </row>
    <row r="410" spans="1:20" x14ac:dyDescent="0.25">
      <c r="A410" s="5"/>
      <c r="C410"/>
      <c r="D410"/>
      <c r="P410">
        <f t="shared" si="974"/>
        <v>0</v>
      </c>
      <c r="Q410">
        <f t="shared" si="975"/>
        <v>0</v>
      </c>
      <c r="R410">
        <f t="shared" si="976"/>
        <v>0</v>
      </c>
      <c r="S410">
        <f t="shared" si="977"/>
        <v>0</v>
      </c>
      <c r="T410">
        <f t="shared" si="978"/>
        <v>0</v>
      </c>
    </row>
    <row r="411" spans="1:20" x14ac:dyDescent="0.25">
      <c r="A411" s="5"/>
      <c r="C411"/>
      <c r="D411"/>
      <c r="P411">
        <f t="shared" si="974"/>
        <v>0</v>
      </c>
      <c r="Q411">
        <f t="shared" si="975"/>
        <v>0</v>
      </c>
      <c r="R411">
        <f t="shared" si="976"/>
        <v>0</v>
      </c>
      <c r="S411">
        <f t="shared" si="977"/>
        <v>0</v>
      </c>
      <c r="T411">
        <f t="shared" si="978"/>
        <v>0</v>
      </c>
    </row>
    <row r="412" spans="1:20" x14ac:dyDescent="0.25">
      <c r="A412" s="5"/>
      <c r="C412"/>
      <c r="D412"/>
      <c r="P412">
        <f t="shared" si="974"/>
        <v>0</v>
      </c>
      <c r="Q412">
        <f t="shared" si="975"/>
        <v>0</v>
      </c>
      <c r="R412">
        <f t="shared" si="976"/>
        <v>0</v>
      </c>
      <c r="S412">
        <f t="shared" si="977"/>
        <v>0</v>
      </c>
      <c r="T412">
        <f t="shared" si="978"/>
        <v>0</v>
      </c>
    </row>
    <row r="413" spans="1:20" x14ac:dyDescent="0.25">
      <c r="A413" s="5"/>
      <c r="C413"/>
      <c r="D413"/>
      <c r="P413">
        <f t="shared" si="974"/>
        <v>0</v>
      </c>
      <c r="Q413">
        <f t="shared" si="975"/>
        <v>0</v>
      </c>
      <c r="R413">
        <f t="shared" si="976"/>
        <v>0</v>
      </c>
      <c r="S413">
        <f t="shared" si="977"/>
        <v>0</v>
      </c>
      <c r="T413">
        <f t="shared" si="978"/>
        <v>0</v>
      </c>
    </row>
    <row r="414" spans="1:20" x14ac:dyDescent="0.25">
      <c r="A414" s="5"/>
      <c r="C414"/>
      <c r="D414"/>
      <c r="P414">
        <f t="shared" si="974"/>
        <v>0</v>
      </c>
      <c r="Q414">
        <f t="shared" si="975"/>
        <v>0</v>
      </c>
      <c r="R414">
        <f t="shared" si="976"/>
        <v>0</v>
      </c>
      <c r="S414">
        <f t="shared" si="977"/>
        <v>0</v>
      </c>
      <c r="T414">
        <f t="shared" si="978"/>
        <v>0</v>
      </c>
    </row>
    <row r="415" spans="1:20" x14ac:dyDescent="0.25">
      <c r="A415" s="5"/>
      <c r="C415"/>
      <c r="D415"/>
      <c r="P415">
        <f t="shared" si="974"/>
        <v>0</v>
      </c>
      <c r="Q415">
        <f t="shared" si="975"/>
        <v>0</v>
      </c>
      <c r="R415">
        <f t="shared" si="976"/>
        <v>0</v>
      </c>
      <c r="S415">
        <f t="shared" si="977"/>
        <v>0</v>
      </c>
      <c r="T415">
        <f t="shared" si="978"/>
        <v>0</v>
      </c>
    </row>
    <row r="416" spans="1:20" x14ac:dyDescent="0.25">
      <c r="A416" s="5"/>
      <c r="C416"/>
      <c r="D416"/>
      <c r="P416">
        <f t="shared" si="974"/>
        <v>0</v>
      </c>
      <c r="Q416">
        <f t="shared" si="975"/>
        <v>0</v>
      </c>
      <c r="R416">
        <f t="shared" si="976"/>
        <v>0</v>
      </c>
      <c r="S416">
        <f t="shared" si="977"/>
        <v>0</v>
      </c>
      <c r="T416">
        <f t="shared" si="978"/>
        <v>0</v>
      </c>
    </row>
    <row r="417" spans="1:20" x14ac:dyDescent="0.25">
      <c r="A417" s="5"/>
      <c r="C417"/>
      <c r="D417"/>
      <c r="P417">
        <f t="shared" si="974"/>
        <v>0</v>
      </c>
      <c r="Q417">
        <f t="shared" si="975"/>
        <v>0</v>
      </c>
      <c r="R417">
        <f t="shared" si="976"/>
        <v>0</v>
      </c>
      <c r="S417">
        <f t="shared" si="977"/>
        <v>0</v>
      </c>
      <c r="T417">
        <f t="shared" si="978"/>
        <v>0</v>
      </c>
    </row>
    <row r="418" spans="1:20" x14ac:dyDescent="0.25">
      <c r="A418" s="5"/>
      <c r="C418"/>
      <c r="D418"/>
      <c r="P418">
        <f t="shared" si="974"/>
        <v>0</v>
      </c>
      <c r="Q418">
        <f t="shared" si="975"/>
        <v>0</v>
      </c>
      <c r="R418">
        <f t="shared" si="976"/>
        <v>0</v>
      </c>
      <c r="S418">
        <f t="shared" si="977"/>
        <v>0</v>
      </c>
      <c r="T418">
        <f t="shared" si="978"/>
        <v>0</v>
      </c>
    </row>
    <row r="419" spans="1:20" x14ac:dyDescent="0.25">
      <c r="A419" s="5"/>
      <c r="C419"/>
      <c r="D419"/>
      <c r="P419">
        <f t="shared" si="974"/>
        <v>0</v>
      </c>
      <c r="Q419">
        <f t="shared" si="975"/>
        <v>0</v>
      </c>
      <c r="R419">
        <f t="shared" si="976"/>
        <v>0</v>
      </c>
      <c r="S419">
        <f t="shared" si="977"/>
        <v>0</v>
      </c>
      <c r="T419">
        <f t="shared" si="978"/>
        <v>0</v>
      </c>
    </row>
    <row r="420" spans="1:20" x14ac:dyDescent="0.25">
      <c r="A420" s="5"/>
      <c r="C420"/>
      <c r="D420"/>
      <c r="P420">
        <f t="shared" si="974"/>
        <v>0</v>
      </c>
      <c r="Q420">
        <f t="shared" si="975"/>
        <v>0</v>
      </c>
      <c r="R420">
        <f t="shared" si="976"/>
        <v>0</v>
      </c>
      <c r="S420">
        <f t="shared" si="977"/>
        <v>0</v>
      </c>
      <c r="T420">
        <f t="shared" si="978"/>
        <v>0</v>
      </c>
    </row>
    <row r="421" spans="1:20" x14ac:dyDescent="0.25">
      <c r="A421" s="5"/>
      <c r="C421"/>
      <c r="D421"/>
      <c r="P421">
        <f t="shared" si="974"/>
        <v>0</v>
      </c>
      <c r="Q421">
        <f t="shared" si="975"/>
        <v>0</v>
      </c>
      <c r="R421">
        <f t="shared" si="976"/>
        <v>0</v>
      </c>
      <c r="S421">
        <f t="shared" si="977"/>
        <v>0</v>
      </c>
      <c r="T421">
        <f t="shared" si="978"/>
        <v>0</v>
      </c>
    </row>
    <row r="422" spans="1:20" x14ac:dyDescent="0.25">
      <c r="A422" s="5"/>
      <c r="C422"/>
      <c r="D422"/>
      <c r="P422">
        <f t="shared" si="974"/>
        <v>0</v>
      </c>
      <c r="Q422">
        <f t="shared" si="975"/>
        <v>0</v>
      </c>
      <c r="R422">
        <f t="shared" si="976"/>
        <v>0</v>
      </c>
      <c r="S422">
        <f t="shared" si="977"/>
        <v>0</v>
      </c>
      <c r="T422">
        <f t="shared" si="978"/>
        <v>0</v>
      </c>
    </row>
    <row r="423" spans="1:20" x14ac:dyDescent="0.25">
      <c r="A423" s="5"/>
      <c r="C423"/>
      <c r="D423"/>
      <c r="P423">
        <f t="shared" si="974"/>
        <v>0</v>
      </c>
      <c r="Q423">
        <f t="shared" si="975"/>
        <v>0</v>
      </c>
      <c r="R423">
        <f t="shared" si="976"/>
        <v>0</v>
      </c>
      <c r="S423">
        <f t="shared" si="977"/>
        <v>0</v>
      </c>
      <c r="T423">
        <f t="shared" si="978"/>
        <v>0</v>
      </c>
    </row>
    <row r="424" spans="1:20" x14ac:dyDescent="0.25">
      <c r="A424" s="5"/>
      <c r="C424"/>
      <c r="D424"/>
      <c r="P424">
        <f t="shared" si="974"/>
        <v>0</v>
      </c>
      <c r="Q424">
        <f t="shared" si="975"/>
        <v>0</v>
      </c>
      <c r="R424">
        <f t="shared" si="976"/>
        <v>0</v>
      </c>
      <c r="S424">
        <f t="shared" si="977"/>
        <v>0</v>
      </c>
      <c r="T424">
        <f t="shared" si="978"/>
        <v>0</v>
      </c>
    </row>
    <row r="425" spans="1:20" x14ac:dyDescent="0.25">
      <c r="A425" s="5"/>
      <c r="C425"/>
      <c r="D425"/>
      <c r="P425">
        <f t="shared" si="974"/>
        <v>0</v>
      </c>
      <c r="Q425">
        <f t="shared" si="975"/>
        <v>0</v>
      </c>
      <c r="R425">
        <f t="shared" si="976"/>
        <v>0</v>
      </c>
      <c r="S425">
        <f t="shared" si="977"/>
        <v>0</v>
      </c>
      <c r="T425">
        <f t="shared" si="978"/>
        <v>0</v>
      </c>
    </row>
    <row r="426" spans="1:20" x14ac:dyDescent="0.25">
      <c r="A426" s="5"/>
      <c r="C426"/>
      <c r="D426"/>
      <c r="P426">
        <f t="shared" si="974"/>
        <v>0</v>
      </c>
      <c r="Q426">
        <f t="shared" si="975"/>
        <v>0</v>
      </c>
      <c r="R426">
        <f t="shared" si="976"/>
        <v>0</v>
      </c>
      <c r="S426">
        <f t="shared" si="977"/>
        <v>0</v>
      </c>
      <c r="T426">
        <f t="shared" si="978"/>
        <v>0</v>
      </c>
    </row>
    <row r="427" spans="1:20" x14ac:dyDescent="0.25">
      <c r="A427" s="5"/>
      <c r="C427"/>
      <c r="D427"/>
      <c r="P427">
        <f t="shared" si="974"/>
        <v>0</v>
      </c>
      <c r="Q427">
        <f t="shared" si="975"/>
        <v>0</v>
      </c>
      <c r="R427">
        <f t="shared" si="976"/>
        <v>0</v>
      </c>
      <c r="S427">
        <f t="shared" si="977"/>
        <v>0</v>
      </c>
      <c r="T427">
        <f t="shared" si="978"/>
        <v>0</v>
      </c>
    </row>
    <row r="428" spans="1:20" x14ac:dyDescent="0.25">
      <c r="A428" s="5"/>
      <c r="C428"/>
      <c r="D428"/>
      <c r="P428">
        <f t="shared" si="974"/>
        <v>0</v>
      </c>
      <c r="Q428">
        <f t="shared" si="975"/>
        <v>0</v>
      </c>
      <c r="R428">
        <f t="shared" si="976"/>
        <v>0</v>
      </c>
      <c r="S428">
        <f t="shared" si="977"/>
        <v>0</v>
      </c>
      <c r="T428">
        <f t="shared" si="978"/>
        <v>0</v>
      </c>
    </row>
    <row r="429" spans="1:20" x14ac:dyDescent="0.25">
      <c r="A429" s="5"/>
      <c r="C429"/>
      <c r="D429"/>
      <c r="P429">
        <f t="shared" si="974"/>
        <v>0</v>
      </c>
      <c r="Q429">
        <f t="shared" si="975"/>
        <v>0</v>
      </c>
      <c r="R429">
        <f t="shared" si="976"/>
        <v>0</v>
      </c>
      <c r="S429">
        <f t="shared" si="977"/>
        <v>0</v>
      </c>
      <c r="T429">
        <f t="shared" si="978"/>
        <v>0</v>
      </c>
    </row>
    <row r="430" spans="1:20" x14ac:dyDescent="0.25">
      <c r="A430" s="5"/>
      <c r="C430"/>
      <c r="D430"/>
      <c r="P430">
        <f t="shared" si="974"/>
        <v>0</v>
      </c>
      <c r="Q430">
        <f t="shared" si="975"/>
        <v>0</v>
      </c>
      <c r="R430">
        <f t="shared" si="976"/>
        <v>0</v>
      </c>
      <c r="S430">
        <f t="shared" si="977"/>
        <v>0</v>
      </c>
      <c r="T430">
        <f t="shared" si="978"/>
        <v>0</v>
      </c>
    </row>
    <row r="431" spans="1:20" x14ac:dyDescent="0.25">
      <c r="A431" s="5"/>
      <c r="C431"/>
      <c r="D431"/>
      <c r="P431">
        <f t="shared" si="974"/>
        <v>0</v>
      </c>
      <c r="Q431">
        <f t="shared" si="975"/>
        <v>0</v>
      </c>
      <c r="R431">
        <f t="shared" si="976"/>
        <v>0</v>
      </c>
      <c r="S431">
        <f t="shared" si="977"/>
        <v>0</v>
      </c>
      <c r="T431">
        <f t="shared" si="978"/>
        <v>0</v>
      </c>
    </row>
    <row r="432" spans="1:20" x14ac:dyDescent="0.25">
      <c r="A432" s="5"/>
      <c r="C432"/>
      <c r="D432"/>
      <c r="P432">
        <f t="shared" si="974"/>
        <v>0</v>
      </c>
      <c r="Q432">
        <f t="shared" si="975"/>
        <v>0</v>
      </c>
      <c r="R432">
        <f t="shared" si="976"/>
        <v>0</v>
      </c>
      <c r="S432">
        <f t="shared" si="977"/>
        <v>0</v>
      </c>
      <c r="T432">
        <f t="shared" si="978"/>
        <v>0</v>
      </c>
    </row>
    <row r="433" spans="1:20" x14ac:dyDescent="0.25">
      <c r="A433" s="5"/>
      <c r="C433"/>
      <c r="D433"/>
      <c r="P433">
        <f t="shared" si="974"/>
        <v>0</v>
      </c>
      <c r="Q433">
        <f t="shared" si="975"/>
        <v>0</v>
      </c>
      <c r="R433">
        <f t="shared" si="976"/>
        <v>0</v>
      </c>
      <c r="S433">
        <f t="shared" si="977"/>
        <v>0</v>
      </c>
      <c r="T433">
        <f t="shared" si="978"/>
        <v>0</v>
      </c>
    </row>
    <row r="434" spans="1:20" x14ac:dyDescent="0.25">
      <c r="A434" s="5"/>
      <c r="C434"/>
      <c r="D434"/>
      <c r="P434">
        <f t="shared" si="974"/>
        <v>0</v>
      </c>
      <c r="Q434">
        <f t="shared" si="975"/>
        <v>0</v>
      </c>
      <c r="R434">
        <f t="shared" si="976"/>
        <v>0</v>
      </c>
      <c r="S434">
        <f t="shared" si="977"/>
        <v>0</v>
      </c>
      <c r="T434">
        <f t="shared" si="978"/>
        <v>0</v>
      </c>
    </row>
    <row r="435" spans="1:20" x14ac:dyDescent="0.25">
      <c r="A435" s="5"/>
      <c r="C435"/>
      <c r="D435"/>
      <c r="P435">
        <f t="shared" si="974"/>
        <v>0</v>
      </c>
      <c r="Q435">
        <f t="shared" si="975"/>
        <v>0</v>
      </c>
      <c r="R435">
        <f t="shared" si="976"/>
        <v>0</v>
      </c>
      <c r="S435">
        <f t="shared" si="977"/>
        <v>0</v>
      </c>
      <c r="T435">
        <f t="shared" si="978"/>
        <v>0</v>
      </c>
    </row>
    <row r="436" spans="1:20" x14ac:dyDescent="0.25">
      <c r="A436" s="5"/>
      <c r="C436"/>
      <c r="D436"/>
      <c r="P436">
        <f t="shared" si="974"/>
        <v>0</v>
      </c>
      <c r="Q436">
        <f t="shared" si="975"/>
        <v>0</v>
      </c>
      <c r="R436">
        <f t="shared" si="976"/>
        <v>0</v>
      </c>
      <c r="S436">
        <f t="shared" si="977"/>
        <v>0</v>
      </c>
      <c r="T436">
        <f t="shared" si="978"/>
        <v>0</v>
      </c>
    </row>
    <row r="437" spans="1:20" x14ac:dyDescent="0.25">
      <c r="A437" s="5"/>
      <c r="C437"/>
      <c r="D437"/>
      <c r="P437">
        <f t="shared" si="974"/>
        <v>0</v>
      </c>
      <c r="Q437">
        <f t="shared" si="975"/>
        <v>0</v>
      </c>
      <c r="R437">
        <f t="shared" si="976"/>
        <v>0</v>
      </c>
      <c r="S437">
        <f t="shared" si="977"/>
        <v>0</v>
      </c>
      <c r="T437">
        <f t="shared" si="978"/>
        <v>0</v>
      </c>
    </row>
    <row r="438" spans="1:20" x14ac:dyDescent="0.25">
      <c r="A438" s="5"/>
      <c r="C438"/>
      <c r="D438"/>
      <c r="P438">
        <f t="shared" si="974"/>
        <v>0</v>
      </c>
      <c r="Q438">
        <f t="shared" si="975"/>
        <v>0</v>
      </c>
      <c r="R438">
        <f t="shared" si="976"/>
        <v>0</v>
      </c>
      <c r="S438">
        <f t="shared" si="977"/>
        <v>0</v>
      </c>
      <c r="T438">
        <f t="shared" si="978"/>
        <v>0</v>
      </c>
    </row>
    <row r="439" spans="1:20" x14ac:dyDescent="0.25">
      <c r="A439" s="5"/>
      <c r="C439"/>
      <c r="D439"/>
      <c r="P439">
        <f t="shared" si="974"/>
        <v>0</v>
      </c>
      <c r="Q439">
        <f t="shared" si="975"/>
        <v>0</v>
      </c>
      <c r="R439">
        <f t="shared" si="976"/>
        <v>0</v>
      </c>
      <c r="S439">
        <f t="shared" si="977"/>
        <v>0</v>
      </c>
      <c r="T439">
        <f t="shared" si="978"/>
        <v>0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FB486" sqref="FB486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$A$485</v>
      </c>
      <c r="D111" s="1" t="str">
        <f>ADDRESS(C121-1,D121,1,1)</f>
        <v>$FB$485</v>
      </c>
      <c r="E111"/>
    </row>
    <row r="112" spans="1:5" x14ac:dyDescent="0.25">
      <c r="A112" s="7">
        <v>12164.144957890772</v>
      </c>
      <c r="C112" s="1" t="str">
        <f>ADDRESS(C121,1,1,1)</f>
        <v>$A$486</v>
      </c>
      <c r="D112" s="1" t="str">
        <f>ADDRESS(C121,D121-1,1,1)</f>
        <v>$FA$486</v>
      </c>
      <c r="E112"/>
    </row>
    <row r="113" spans="1:5" x14ac:dyDescent="0.25">
      <c r="A113" s="7">
        <v>11925.63231165762</v>
      </c>
      <c r="C113" s="1" t="str">
        <f>ADDRESS(C121+1,1,1,1)</f>
        <v>$A$487</v>
      </c>
      <c r="D113" s="1" t="str">
        <f>ADDRESS(C121-1,D121+1,1,1)</f>
        <v>$FC$485</v>
      </c>
    </row>
    <row r="114" spans="1:5" x14ac:dyDescent="0.25">
      <c r="A114" s="7">
        <v>11691.796383978059</v>
      </c>
      <c r="C114" s="1" t="str">
        <f>ADDRESS(C121,D121,1,1)</f>
        <v>$FB$486</v>
      </c>
      <c r="D114" s="1" t="str">
        <f>ADDRESS(C121+1,D121+1,1,1)</f>
        <v>$FC$487</v>
      </c>
    </row>
    <row r="115" spans="1:5" x14ac:dyDescent="0.25">
      <c r="A115" s="7">
        <v>11462.545474488292</v>
      </c>
      <c r="C115" s="1" t="str">
        <f>ADDRESS(C121+1,D121,1,1)</f>
        <v>$FB$487</v>
      </c>
    </row>
    <row r="116" spans="1:5" x14ac:dyDescent="0.25">
      <c r="A116" s="7">
        <v>11237.789680870874</v>
      </c>
      <c r="C116" s="1">
        <f>C117-1</f>
        <v>485</v>
      </c>
    </row>
    <row r="117" spans="1:5" x14ac:dyDescent="0.25">
      <c r="A117" s="7">
        <v>11017.440863598895</v>
      </c>
      <c r="C117" s="1">
        <f>C121</f>
        <v>486</v>
      </c>
      <c r="D117" s="1">
        <f>D121</f>
        <v>158</v>
      </c>
    </row>
    <row r="118" spans="1:5" x14ac:dyDescent="0.25">
      <c r="A118" s="7">
        <v>10801.412611371465</v>
      </c>
      <c r="C118" s="1">
        <f>C117+1</f>
        <v>487</v>
      </c>
      <c r="D118" s="1">
        <f>D117+1</f>
        <v>159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486</v>
      </c>
      <c r="D121" s="19">
        <v>158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R486</v>
      </c>
      <c r="D123" s="1" t="str">
        <f>"C"&amp;D121</f>
        <v>C158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7.389539040617394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45" x14ac:dyDescent="0.25">
      <c r="A385" s="7">
        <v>54.605287232808607</v>
      </c>
      <c r="B385"/>
      <c r="C385"/>
      <c r="D385"/>
      <c r="E385"/>
    </row>
    <row r="386" spans="1:45" x14ac:dyDescent="0.25">
      <c r="A386" s="7">
        <v>53.534595326282947</v>
      </c>
      <c r="B386"/>
      <c r="C386"/>
      <c r="D386"/>
      <c r="E386"/>
    </row>
    <row r="387" spans="1:45" x14ac:dyDescent="0.25">
      <c r="A387" s="7">
        <v>52.484897378708773</v>
      </c>
      <c r="B387"/>
      <c r="C387"/>
      <c r="D387"/>
      <c r="E387"/>
    </row>
    <row r="388" spans="1:45" x14ac:dyDescent="0.25">
      <c r="A388" s="7">
        <v>51.455781743832127</v>
      </c>
      <c r="B388"/>
      <c r="C388"/>
      <c r="D388"/>
      <c r="E388"/>
    </row>
    <row r="389" spans="1:45" x14ac:dyDescent="0.25">
      <c r="A389" s="7">
        <v>50.446844846894244</v>
      </c>
      <c r="B389"/>
      <c r="C389"/>
      <c r="D389"/>
      <c r="E389"/>
    </row>
    <row r="390" spans="1:45" x14ac:dyDescent="0.25">
      <c r="A390" s="7">
        <v>49.457691026366902</v>
      </c>
      <c r="B390"/>
      <c r="C390"/>
      <c r="D390"/>
      <c r="E390"/>
    </row>
    <row r="391" spans="1:45" x14ac:dyDescent="0.25">
      <c r="A391" s="7">
        <v>48.487932378791079</v>
      </c>
      <c r="B391"/>
      <c r="C391"/>
      <c r="D391"/>
      <c r="E391"/>
    </row>
    <row r="392" spans="1:45" x14ac:dyDescent="0.25">
      <c r="A392" s="7">
        <v>47.537188606657921</v>
      </c>
      <c r="B392"/>
      <c r="C392"/>
      <c r="D392"/>
      <c r="E392"/>
    </row>
    <row r="393" spans="1:45" x14ac:dyDescent="0.25">
      <c r="A393" s="7">
        <v>46.605086869272469</v>
      </c>
      <c r="B393"/>
      <c r="C393"/>
      <c r="D393"/>
      <c r="E393"/>
    </row>
    <row r="394" spans="1:45" x14ac:dyDescent="0.25">
      <c r="A394" s="7">
        <v>45.691261636541633</v>
      </c>
      <c r="B394"/>
      <c r="C394"/>
      <c r="D394"/>
      <c r="E394"/>
    </row>
    <row r="395" spans="1:45" x14ac:dyDescent="0.25">
      <c r="A395" s="7">
        <v>44.795354545629053</v>
      </c>
      <c r="B395"/>
      <c r="C395"/>
      <c r="D395"/>
      <c r="E395"/>
    </row>
    <row r="396" spans="1:45" x14ac:dyDescent="0.25">
      <c r="A396" s="7">
        <v>43.917014260420636</v>
      </c>
      <c r="B396"/>
      <c r="C396"/>
      <c r="D396"/>
      <c r="E396"/>
      <c r="AM396" s="27" t="s">
        <v>8</v>
      </c>
    </row>
    <row r="397" spans="1:45" x14ac:dyDescent="0.25">
      <c r="A397" s="7">
        <v>43.055896333745721</v>
      </c>
      <c r="B397"/>
      <c r="C397"/>
      <c r="D397"/>
      <c r="E397"/>
      <c r="AM397" s="27" t="s">
        <v>8</v>
      </c>
      <c r="AN397" s="27" t="s">
        <v>7</v>
      </c>
    </row>
    <row r="398" spans="1:45" x14ac:dyDescent="0.25">
      <c r="A398" s="7">
        <v>42.211663072299729</v>
      </c>
      <c r="B398"/>
      <c r="C398"/>
      <c r="D398"/>
      <c r="E398"/>
      <c r="AM398" s="27" t="s">
        <v>8</v>
      </c>
      <c r="AN398" s="27" t="s">
        <v>7</v>
      </c>
      <c r="AO398" s="27" t="s">
        <v>8</v>
      </c>
    </row>
    <row r="399" spans="1:45" x14ac:dyDescent="0.25">
      <c r="A399" s="7">
        <v>41.383983404215421</v>
      </c>
      <c r="B399"/>
      <c r="C399"/>
      <c r="D399"/>
      <c r="E399"/>
      <c r="AM399" s="27" t="s">
        <v>8</v>
      </c>
      <c r="AN399" s="27" t="s">
        <v>7</v>
      </c>
      <c r="AO399" s="27" t="s">
        <v>8</v>
      </c>
      <c r="AP399" s="27" t="s">
        <v>7</v>
      </c>
    </row>
    <row r="400" spans="1:45" x14ac:dyDescent="0.25">
      <c r="A400" s="7">
        <v>40.572532749230803</v>
      </c>
      <c r="B400"/>
      <c r="C400"/>
      <c r="D400"/>
      <c r="E400"/>
      <c r="AM400" s="27" t="s">
        <v>8</v>
      </c>
      <c r="AN400" s="27" t="s">
        <v>7</v>
      </c>
      <c r="AO400" s="27" t="s">
        <v>8</v>
      </c>
      <c r="AP400" s="27" t="s">
        <v>7</v>
      </c>
      <c r="AQ400" s="27" t="s">
        <v>8</v>
      </c>
      <c r="AS400" s="27" t="s">
        <v>8</v>
      </c>
    </row>
    <row r="401" spans="1:48" x14ac:dyDescent="0.25">
      <c r="A401" s="7">
        <v>39.776992891402749</v>
      </c>
      <c r="B401"/>
      <c r="C401"/>
      <c r="D401"/>
      <c r="E401"/>
      <c r="AM401" s="27" t="s">
        <v>8</v>
      </c>
      <c r="AN401" s="27" t="s">
        <v>7</v>
      </c>
      <c r="AO401" s="27" t="s">
        <v>8</v>
      </c>
      <c r="AP401" s="27" t="s">
        <v>7</v>
      </c>
      <c r="AQ401" s="27" t="s">
        <v>8</v>
      </c>
      <c r="AR401" s="27" t="s">
        <v>7</v>
      </c>
      <c r="AS401" s="27" t="s">
        <v>8</v>
      </c>
      <c r="AT401" s="27" t="s">
        <v>7</v>
      </c>
    </row>
    <row r="402" spans="1:48" x14ac:dyDescent="0.25">
      <c r="A402" s="7">
        <v>38.997051854316418</v>
      </c>
      <c r="B402"/>
      <c r="C402"/>
      <c r="D402"/>
      <c r="E402"/>
      <c r="AM402" s="27" t="s">
        <v>8</v>
      </c>
      <c r="AN402" s="27" t="s">
        <v>7</v>
      </c>
      <c r="AO402" s="27" t="s">
        <v>8</v>
      </c>
      <c r="AP402" s="27" t="s">
        <v>7</v>
      </c>
      <c r="AQ402" s="27" t="s">
        <v>8</v>
      </c>
      <c r="AR402" s="27" t="s">
        <v>7</v>
      </c>
      <c r="AS402" s="27" t="s">
        <v>8</v>
      </c>
      <c r="AT402" s="27" t="s">
        <v>7</v>
      </c>
    </row>
    <row r="403" spans="1:48" x14ac:dyDescent="0.25">
      <c r="A403" s="7">
        <v>38.232403778741585</v>
      </c>
      <c r="B403"/>
      <c r="C403"/>
      <c r="D403"/>
      <c r="E403"/>
      <c r="AM403" s="27" t="s">
        <v>8</v>
      </c>
      <c r="AN403" s="27" t="s">
        <v>7</v>
      </c>
      <c r="AO403" s="27" t="s">
        <v>8</v>
      </c>
      <c r="AP403" s="27" t="s">
        <v>7</v>
      </c>
      <c r="AQ403" s="27" t="s">
        <v>8</v>
      </c>
      <c r="AR403" s="27" t="s">
        <v>7</v>
      </c>
      <c r="AS403" s="27" t="s">
        <v>8</v>
      </c>
      <c r="AT403" s="27" t="s">
        <v>7</v>
      </c>
    </row>
    <row r="404" spans="1:48" x14ac:dyDescent="0.25">
      <c r="A404" s="7">
        <v>37.48274880268783</v>
      </c>
      <c r="B404"/>
      <c r="C404"/>
      <c r="D404"/>
      <c r="E404"/>
      <c r="AM404" s="27" t="s">
        <v>8</v>
      </c>
      <c r="AN404" s="27" t="s">
        <v>7</v>
      </c>
      <c r="AO404" s="27" t="s">
        <v>8</v>
      </c>
      <c r="AP404" s="27" t="s">
        <v>7</v>
      </c>
      <c r="AQ404" s="27" t="s">
        <v>8</v>
      </c>
      <c r="AR404" s="27" t="s">
        <v>7</v>
      </c>
      <c r="AS404" s="27" t="s">
        <v>8</v>
      </c>
      <c r="AT404" s="27" t="s">
        <v>7</v>
      </c>
    </row>
    <row r="405" spans="1:48" x14ac:dyDescent="0.25">
      <c r="A405" s="7">
        <v>36.747792943811596</v>
      </c>
      <c r="B405"/>
      <c r="C405"/>
      <c r="D405"/>
      <c r="E405"/>
      <c r="AM405" s="27" t="s">
        <v>8</v>
      </c>
      <c r="AN405" s="27" t="s">
        <v>7</v>
      </c>
      <c r="AP405" s="27" t="s">
        <v>7</v>
      </c>
      <c r="AQ405" s="27" t="s">
        <v>8</v>
      </c>
      <c r="AR405" s="27" t="s">
        <v>7</v>
      </c>
      <c r="AS405" s="27" t="s">
        <v>8</v>
      </c>
      <c r="AT405" s="27" t="s">
        <v>7</v>
      </c>
    </row>
    <row r="406" spans="1:48" x14ac:dyDescent="0.25">
      <c r="A406" s="7">
        <v>36.027247984129012</v>
      </c>
      <c r="B406"/>
      <c r="C406"/>
      <c r="D406"/>
      <c r="E406"/>
      <c r="AM406" s="27" t="s">
        <v>8</v>
      </c>
      <c r="AP406" s="27" t="s">
        <v>7</v>
      </c>
      <c r="AR406" s="27" t="s">
        <v>7</v>
      </c>
      <c r="AS406" s="27" t="s">
        <v>8</v>
      </c>
      <c r="AT406" s="27" t="s">
        <v>7</v>
      </c>
    </row>
    <row r="407" spans="1:48" x14ac:dyDescent="0.25">
      <c r="A407" s="7">
        <v>35.320831356989224</v>
      </c>
      <c r="B407"/>
      <c r="C407"/>
      <c r="D407"/>
      <c r="E407"/>
      <c r="AM407" s="27" t="s">
        <v>8</v>
      </c>
      <c r="AR407" s="27" t="s">
        <v>7</v>
      </c>
      <c r="AS407" s="27" t="s">
        <v>8</v>
      </c>
      <c r="AT407" s="27" t="s">
        <v>7</v>
      </c>
    </row>
    <row r="408" spans="1:48" x14ac:dyDescent="0.25">
      <c r="A408" s="7">
        <v>34.628266036263945</v>
      </c>
      <c r="B408"/>
      <c r="C408"/>
      <c r="D408"/>
      <c r="E408"/>
      <c r="AM408" s="27" t="s">
        <v>8</v>
      </c>
      <c r="AR408" s="27" t="s">
        <v>7</v>
      </c>
      <c r="AT408" s="27" t="s">
        <v>7</v>
      </c>
    </row>
    <row r="409" spans="1:48" x14ac:dyDescent="0.25">
      <c r="A409" s="7">
        <v>33.949280427709752</v>
      </c>
      <c r="B409"/>
      <c r="C409"/>
      <c r="D409"/>
      <c r="E409"/>
      <c r="AM409" s="27" t="s">
        <v>8</v>
      </c>
      <c r="AT409" s="27" t="s">
        <v>7</v>
      </c>
    </row>
    <row r="410" spans="1:48" x14ac:dyDescent="0.25">
      <c r="A410" s="7">
        <v>33.28360826246054</v>
      </c>
      <c r="B410"/>
      <c r="C410"/>
      <c r="D410"/>
      <c r="E410"/>
      <c r="AM410" s="27" t="s">
        <v>8</v>
      </c>
      <c r="AT410" s="27" t="s">
        <v>7</v>
      </c>
    </row>
    <row r="411" spans="1:48" x14ac:dyDescent="0.25">
      <c r="A411" s="7">
        <v>32.630988492608374</v>
      </c>
      <c r="B411"/>
      <c r="C411"/>
      <c r="D411"/>
      <c r="E411"/>
      <c r="AM411" s="27" t="s">
        <v>8</v>
      </c>
      <c r="AT411" s="27" t="s">
        <v>7</v>
      </c>
      <c r="AU411" s="27" t="s">
        <v>8</v>
      </c>
    </row>
    <row r="412" spans="1:48" x14ac:dyDescent="0.25">
      <c r="A412" s="7">
        <v>31.99116518883174</v>
      </c>
      <c r="B412"/>
      <c r="C412"/>
      <c r="D412"/>
      <c r="E412"/>
      <c r="AM412" s="27" t="s">
        <v>8</v>
      </c>
      <c r="AT412" s="27" t="s">
        <v>7</v>
      </c>
      <c r="AU412" s="27" t="s">
        <v>8</v>
      </c>
      <c r="AV412" s="27" t="s">
        <v>7</v>
      </c>
    </row>
    <row r="413" spans="1:48" x14ac:dyDescent="0.25">
      <c r="A413" s="7">
        <v>31.363887440031117</v>
      </c>
      <c r="B413"/>
      <c r="C413"/>
      <c r="D413"/>
      <c r="E413"/>
      <c r="AM413" s="27" t="s">
        <v>8</v>
      </c>
      <c r="AT413" s="27" t="s">
        <v>7</v>
      </c>
      <c r="AU413" s="27" t="s">
        <v>8</v>
      </c>
      <c r="AV413" s="27" t="s">
        <v>7</v>
      </c>
    </row>
    <row r="414" spans="1:48" x14ac:dyDescent="0.25">
      <c r="A414" s="7">
        <v>30.748909254932467</v>
      </c>
      <c r="B414"/>
      <c r="C414"/>
      <c r="D414"/>
      <c r="E414"/>
      <c r="AM414" s="27" t="s">
        <v>8</v>
      </c>
      <c r="AT414" s="27" t="s">
        <v>7</v>
      </c>
      <c r="AU414" s="27" t="s">
        <v>8</v>
      </c>
      <c r="AV414" s="27" t="s">
        <v>7</v>
      </c>
    </row>
    <row r="415" spans="1:48" x14ac:dyDescent="0.25">
      <c r="A415" s="7">
        <v>30.145989465620065</v>
      </c>
      <c r="B415"/>
      <c r="C415"/>
      <c r="D415"/>
      <c r="E415"/>
      <c r="AM415" s="27" t="s">
        <v>8</v>
      </c>
      <c r="AT415" s="27" t="s">
        <v>7</v>
      </c>
      <c r="AU415" s="27" t="s">
        <v>8</v>
      </c>
      <c r="AV415" s="27" t="s">
        <v>7</v>
      </c>
    </row>
    <row r="416" spans="1:48" x14ac:dyDescent="0.25">
      <c r="A416" s="7">
        <v>29.55489163296085</v>
      </c>
      <c r="B416"/>
      <c r="C416"/>
      <c r="D416"/>
      <c r="E416"/>
      <c r="AM416" s="27" t="s">
        <v>8</v>
      </c>
      <c r="AT416" s="27" t="s">
        <v>7</v>
      </c>
      <c r="AU416" s="27" t="s">
        <v>8</v>
      </c>
      <c r="AV416" s="27" t="s">
        <v>7</v>
      </c>
    </row>
    <row r="417" spans="1:108" x14ac:dyDescent="0.25">
      <c r="A417" s="7">
        <v>28.975383953883185</v>
      </c>
      <c r="B417"/>
      <c r="C417"/>
      <c r="D417"/>
      <c r="E417"/>
      <c r="AK417" s="27" t="s">
        <v>8</v>
      </c>
      <c r="AM417" s="27" t="s">
        <v>8</v>
      </c>
      <c r="AT417" s="27" t="s">
        <v>7</v>
      </c>
      <c r="AU417" s="27" t="s">
        <v>8</v>
      </c>
      <c r="AV417" s="27" t="s">
        <v>7</v>
      </c>
      <c r="AW417" s="27" t="s">
        <v>8</v>
      </c>
    </row>
    <row r="418" spans="1:108" x14ac:dyDescent="0.25">
      <c r="A418" s="7">
        <v>28.407239170473709</v>
      </c>
      <c r="B418"/>
      <c r="C418"/>
      <c r="D418"/>
      <c r="E418"/>
      <c r="AK418" s="27" t="s">
        <v>8</v>
      </c>
      <c r="AL418" s="27" t="s">
        <v>7</v>
      </c>
      <c r="AM418" s="27" t="s">
        <v>8</v>
      </c>
      <c r="AT418" s="27" t="s">
        <v>7</v>
      </c>
      <c r="AU418" s="27" t="s">
        <v>8</v>
      </c>
      <c r="AV418" s="27" t="s">
        <v>7</v>
      </c>
      <c r="AW418" s="27" t="s">
        <v>8</v>
      </c>
      <c r="AX418" s="27" t="s">
        <v>7</v>
      </c>
    </row>
    <row r="419" spans="1:108" x14ac:dyDescent="0.25">
      <c r="A419" s="7">
        <v>27.850234480856578</v>
      </c>
      <c r="B419"/>
      <c r="C419"/>
      <c r="D419"/>
      <c r="E419"/>
      <c r="AG419" s="27" t="s">
        <v>8</v>
      </c>
      <c r="AK419" s="27" t="s">
        <v>8</v>
      </c>
      <c r="AL419" s="27" t="s">
        <v>7</v>
      </c>
      <c r="AM419" s="27" t="s">
        <v>8</v>
      </c>
      <c r="AT419" s="27" t="s">
        <v>7</v>
      </c>
      <c r="AU419" s="27" t="s">
        <v>8</v>
      </c>
      <c r="AV419" s="27" t="s">
        <v>7</v>
      </c>
      <c r="AW419" s="27" t="s">
        <v>8</v>
      </c>
      <c r="AX419" s="27" t="s">
        <v>7</v>
      </c>
    </row>
    <row r="420" spans="1:108" x14ac:dyDescent="0.25">
      <c r="A420" s="7">
        <v>27.304151451820175</v>
      </c>
      <c r="B420"/>
      <c r="C420"/>
      <c r="D420"/>
      <c r="E420"/>
      <c r="AG420" s="27" t="s">
        <v>8</v>
      </c>
      <c r="AH420" s="27" t="s">
        <v>7</v>
      </c>
      <c r="AK420" s="27" t="s">
        <v>8</v>
      </c>
      <c r="AL420" s="27" t="s">
        <v>7</v>
      </c>
      <c r="AM420" s="27" t="s">
        <v>8</v>
      </c>
      <c r="AT420" s="27" t="s">
        <v>7</v>
      </c>
      <c r="AV420" s="27" t="s">
        <v>7</v>
      </c>
      <c r="AW420" s="27" t="s">
        <v>8</v>
      </c>
      <c r="AX420" s="27" t="s">
        <v>7</v>
      </c>
    </row>
    <row r="421" spans="1:108" x14ac:dyDescent="0.25">
      <c r="A421" s="7">
        <v>26.768775933157034</v>
      </c>
      <c r="B421"/>
      <c r="C421"/>
      <c r="D421"/>
      <c r="E421"/>
      <c r="AG421" s="27" t="s">
        <v>8</v>
      </c>
      <c r="AH421" s="27" t="s">
        <v>7</v>
      </c>
      <c r="AK421" s="27" t="s">
        <v>8</v>
      </c>
      <c r="AL421" s="27" t="s">
        <v>7</v>
      </c>
      <c r="AM421" s="27" t="s">
        <v>8</v>
      </c>
      <c r="AV421" s="27" t="s">
        <v>7</v>
      </c>
      <c r="AW421" s="27" t="s">
        <v>8</v>
      </c>
      <c r="AX421" s="27" t="s">
        <v>7</v>
      </c>
    </row>
    <row r="422" spans="1:108" x14ac:dyDescent="0.25">
      <c r="A422" s="7">
        <v>26.243897973683367</v>
      </c>
      <c r="B422"/>
      <c r="C422"/>
      <c r="D422"/>
      <c r="E422"/>
      <c r="AG422" s="27" t="s">
        <v>8</v>
      </c>
      <c r="AH422" s="27" t="s">
        <v>7</v>
      </c>
      <c r="AK422" s="27" t="s">
        <v>8</v>
      </c>
      <c r="AL422" s="27" t="s">
        <v>7</v>
      </c>
      <c r="AM422" s="27" t="s">
        <v>8</v>
      </c>
      <c r="AV422" s="27" t="s">
        <v>7</v>
      </c>
      <c r="AW422" s="27" t="s">
        <v>8</v>
      </c>
      <c r="AX422" s="27" t="s">
        <v>7</v>
      </c>
      <c r="CO422" s="27" t="s">
        <v>8</v>
      </c>
    </row>
    <row r="423" spans="1:108" x14ac:dyDescent="0.25">
      <c r="A423" s="7">
        <v>25.729311738905263</v>
      </c>
      <c r="B423"/>
      <c r="C423"/>
      <c r="D423"/>
      <c r="E423"/>
      <c r="AG423" s="27" t="s">
        <v>8</v>
      </c>
      <c r="AH423" s="27" t="s">
        <v>7</v>
      </c>
      <c r="AK423" s="27" t="s">
        <v>8</v>
      </c>
      <c r="AL423" s="27" t="s">
        <v>7</v>
      </c>
      <c r="AM423" s="27" t="s">
        <v>8</v>
      </c>
      <c r="AV423" s="27" t="s">
        <v>7</v>
      </c>
      <c r="AW423" s="27" t="s">
        <v>8</v>
      </c>
      <c r="AX423" s="27" t="s">
        <v>7</v>
      </c>
      <c r="CM423" s="27" t="s">
        <v>8</v>
      </c>
      <c r="CO423" s="27" t="s">
        <v>8</v>
      </c>
      <c r="CP423" s="27" t="s">
        <v>7</v>
      </c>
      <c r="CQ423" s="27" t="s">
        <v>8</v>
      </c>
    </row>
    <row r="424" spans="1:108" x14ac:dyDescent="0.25">
      <c r="A424" s="7">
        <v>25.224815430299277</v>
      </c>
      <c r="B424"/>
      <c r="C424"/>
      <c r="D424"/>
      <c r="E424"/>
      <c r="AG424" s="27" t="s">
        <v>8</v>
      </c>
      <c r="AH424" s="27" t="s">
        <v>7</v>
      </c>
      <c r="AK424" s="27" t="s">
        <v>8</v>
      </c>
      <c r="AL424" s="27" t="s">
        <v>7</v>
      </c>
      <c r="AM424" s="27" t="s">
        <v>8</v>
      </c>
      <c r="AV424" s="27" t="s">
        <v>7</v>
      </c>
      <c r="AW424" s="27" t="s">
        <v>8</v>
      </c>
      <c r="AX424" s="27" t="s">
        <v>7</v>
      </c>
      <c r="CM424" s="27" t="s">
        <v>8</v>
      </c>
      <c r="CN424" s="27" t="s">
        <v>7</v>
      </c>
      <c r="CO424" s="27" t="s">
        <v>8</v>
      </c>
      <c r="CP424" s="27" t="s">
        <v>7</v>
      </c>
      <c r="CQ424" s="27" t="s">
        <v>8</v>
      </c>
      <c r="CR424" s="27" t="s">
        <v>7</v>
      </c>
      <c r="CU424" s="27" t="s">
        <v>8</v>
      </c>
    </row>
    <row r="425" spans="1:108" x14ac:dyDescent="0.25">
      <c r="A425" s="7">
        <v>24.73021120617576</v>
      </c>
      <c r="B425"/>
      <c r="C425"/>
      <c r="D425"/>
      <c r="E425"/>
      <c r="AG425" s="27" t="s">
        <v>8</v>
      </c>
      <c r="AH425" s="27" t="s">
        <v>7</v>
      </c>
      <c r="AI425" s="27" t="s">
        <v>8</v>
      </c>
      <c r="AK425" s="27" t="s">
        <v>8</v>
      </c>
      <c r="AL425" s="27" t="s">
        <v>7</v>
      </c>
      <c r="AM425" s="27" t="s">
        <v>8</v>
      </c>
      <c r="AV425" s="27" t="s">
        <v>7</v>
      </c>
      <c r="AW425" s="27" t="s">
        <v>8</v>
      </c>
      <c r="AX425" s="27" t="s">
        <v>7</v>
      </c>
      <c r="CM425" s="27" t="s">
        <v>8</v>
      </c>
      <c r="CN425" s="27" t="s">
        <v>7</v>
      </c>
      <c r="CO425" s="27" t="s">
        <v>8</v>
      </c>
      <c r="CP425" s="27" t="s">
        <v>7</v>
      </c>
      <c r="CQ425" s="27" t="s">
        <v>8</v>
      </c>
      <c r="CR425" s="27" t="s">
        <v>7</v>
      </c>
      <c r="CS425" s="27" t="s">
        <v>8</v>
      </c>
      <c r="CU425" s="27" t="s">
        <v>8</v>
      </c>
      <c r="CV425" s="27" t="s">
        <v>7</v>
      </c>
    </row>
    <row r="426" spans="1:108" x14ac:dyDescent="0.25">
      <c r="A426" s="7">
        <v>24.24530510409388</v>
      </c>
      <c r="B426"/>
      <c r="C426"/>
      <c r="D426"/>
      <c r="E426"/>
      <c r="AG426" s="27" t="s">
        <v>8</v>
      </c>
      <c r="AH426" s="27" t="s">
        <v>7</v>
      </c>
      <c r="AI426" s="27" t="s">
        <v>8</v>
      </c>
      <c r="AJ426" s="27" t="s">
        <v>7</v>
      </c>
      <c r="AK426" s="27" t="s">
        <v>8</v>
      </c>
      <c r="AL426" s="27" t="s">
        <v>7</v>
      </c>
      <c r="AM426" s="27" t="s">
        <v>8</v>
      </c>
      <c r="AV426" s="27" t="s">
        <v>7</v>
      </c>
      <c r="AX426" s="27" t="s">
        <v>7</v>
      </c>
      <c r="CM426" s="27" t="s">
        <v>8</v>
      </c>
      <c r="CN426" s="27" t="s">
        <v>7</v>
      </c>
      <c r="CO426" s="27" t="s">
        <v>8</v>
      </c>
      <c r="CP426" s="27" t="s">
        <v>7</v>
      </c>
      <c r="CR426" s="27" t="s">
        <v>7</v>
      </c>
      <c r="CS426" s="27" t="s">
        <v>8</v>
      </c>
      <c r="CT426" s="27" t="s">
        <v>7</v>
      </c>
      <c r="CU426" s="27" t="s">
        <v>8</v>
      </c>
      <c r="CV426" s="27" t="s">
        <v>7</v>
      </c>
    </row>
    <row r="427" spans="1:108" x14ac:dyDescent="0.25">
      <c r="A427" s="7">
        <v>23.769906964797922</v>
      </c>
      <c r="B427"/>
      <c r="C427"/>
      <c r="D427"/>
      <c r="E427"/>
      <c r="AG427" s="27" t="s">
        <v>8</v>
      </c>
      <c r="AH427" s="27" t="s">
        <v>7</v>
      </c>
      <c r="AI427" s="27" t="s">
        <v>8</v>
      </c>
      <c r="AJ427" s="27" t="s">
        <v>7</v>
      </c>
      <c r="AK427" s="27" t="s">
        <v>8</v>
      </c>
      <c r="AL427" s="27" t="s">
        <v>7</v>
      </c>
      <c r="AM427" s="27" t="s">
        <v>8</v>
      </c>
      <c r="AX427" s="27" t="s">
        <v>7</v>
      </c>
      <c r="CM427" s="27" t="s">
        <v>8</v>
      </c>
      <c r="CN427" s="27" t="s">
        <v>7</v>
      </c>
      <c r="CO427" s="27" t="s">
        <v>8</v>
      </c>
      <c r="CR427" s="27" t="s">
        <v>7</v>
      </c>
      <c r="CS427" s="27" t="s">
        <v>8</v>
      </c>
      <c r="CT427" s="27" t="s">
        <v>7</v>
      </c>
      <c r="CU427" s="27" t="s">
        <v>8</v>
      </c>
      <c r="CV427" s="27" t="s">
        <v>7</v>
      </c>
      <c r="DC427" s="27" t="s">
        <v>8</v>
      </c>
    </row>
    <row r="428" spans="1:108" x14ac:dyDescent="0.25">
      <c r="A428" s="7">
        <v>23.303830357645023</v>
      </c>
      <c r="B428"/>
      <c r="C428"/>
      <c r="D428"/>
      <c r="E428"/>
      <c r="AG428" s="27" t="s">
        <v>8</v>
      </c>
      <c r="AH428" s="27" t="s">
        <v>7</v>
      </c>
      <c r="AI428" s="27" t="s">
        <v>8</v>
      </c>
      <c r="AJ428" s="27" t="s">
        <v>7</v>
      </c>
      <c r="AK428" s="27" t="s">
        <v>8</v>
      </c>
      <c r="AL428" s="27" t="s">
        <v>7</v>
      </c>
      <c r="AM428" s="27" t="s">
        <v>8</v>
      </c>
      <c r="AX428" s="27" t="s">
        <v>7</v>
      </c>
      <c r="CK428" s="27" t="s">
        <v>8</v>
      </c>
      <c r="CM428" s="27" t="s">
        <v>8</v>
      </c>
      <c r="CN428" s="27" t="s">
        <v>7</v>
      </c>
      <c r="CR428" s="27" t="s">
        <v>7</v>
      </c>
      <c r="CS428" s="27" t="s">
        <v>8</v>
      </c>
      <c r="CT428" s="27" t="s">
        <v>7</v>
      </c>
      <c r="CV428" s="27" t="s">
        <v>7</v>
      </c>
      <c r="DC428" s="27" t="s">
        <v>8</v>
      </c>
      <c r="DD428" s="27" t="s">
        <v>7</v>
      </c>
    </row>
    <row r="429" spans="1:108" x14ac:dyDescent="0.25">
      <c r="A429" s="7">
        <v>22.84689250749512</v>
      </c>
      <c r="B429"/>
      <c r="C429"/>
      <c r="D429"/>
      <c r="E429"/>
      <c r="AG429" s="27" t="s">
        <v>8</v>
      </c>
      <c r="AH429" s="27" t="s">
        <v>7</v>
      </c>
      <c r="AI429" s="27" t="s">
        <v>8</v>
      </c>
      <c r="AJ429" s="27" t="s">
        <v>7</v>
      </c>
      <c r="AK429" s="27" t="s">
        <v>8</v>
      </c>
      <c r="AL429" s="27" t="s">
        <v>7</v>
      </c>
      <c r="AM429" s="27" t="s">
        <v>8</v>
      </c>
      <c r="AX429" s="27" t="s">
        <v>7</v>
      </c>
      <c r="CK429" s="27" t="s">
        <v>8</v>
      </c>
      <c r="CL429" s="27" t="s">
        <v>7</v>
      </c>
      <c r="CM429" s="27" t="s">
        <v>8</v>
      </c>
      <c r="CR429" s="27" t="s">
        <v>7</v>
      </c>
      <c r="CS429" s="27" t="s">
        <v>8</v>
      </c>
      <c r="CV429" s="27" t="s">
        <v>7</v>
      </c>
      <c r="DA429" s="27" t="s">
        <v>8</v>
      </c>
      <c r="DC429" s="27" t="s">
        <v>8</v>
      </c>
      <c r="DD429" s="27" t="s">
        <v>7</v>
      </c>
    </row>
    <row r="430" spans="1:108" x14ac:dyDescent="0.25">
      <c r="A430" s="7">
        <v>22.398914223034431</v>
      </c>
      <c r="B430"/>
      <c r="C430"/>
      <c r="D430"/>
      <c r="E430"/>
      <c r="AG430" s="27" t="s">
        <v>8</v>
      </c>
      <c r="AH430" s="27" t="s">
        <v>7</v>
      </c>
      <c r="AI430" s="27" t="s">
        <v>8</v>
      </c>
      <c r="AJ430" s="27" t="s">
        <v>7</v>
      </c>
      <c r="AK430" s="27" t="s">
        <v>8</v>
      </c>
      <c r="AL430" s="27" t="s">
        <v>7</v>
      </c>
      <c r="AX430" s="27" t="s">
        <v>7</v>
      </c>
      <c r="CK430" s="27" t="s">
        <v>8</v>
      </c>
      <c r="CL430" s="27" t="s">
        <v>7</v>
      </c>
      <c r="CM430" s="27" t="s">
        <v>8</v>
      </c>
      <c r="CR430" s="27" t="s">
        <v>7</v>
      </c>
      <c r="CS430" s="27" t="s">
        <v>8</v>
      </c>
      <c r="CV430" s="27" t="s">
        <v>7</v>
      </c>
      <c r="DA430" s="27" t="s">
        <v>8</v>
      </c>
      <c r="DB430" s="27" t="s">
        <v>7</v>
      </c>
      <c r="DC430" s="27" t="s">
        <v>8</v>
      </c>
      <c r="DD430" s="27" t="s">
        <v>7</v>
      </c>
    </row>
    <row r="431" spans="1:108" x14ac:dyDescent="0.25">
      <c r="A431" s="7">
        <v>21.959719826504344</v>
      </c>
      <c r="B431"/>
      <c r="C431"/>
      <c r="D431"/>
      <c r="E431"/>
      <c r="AG431" s="27" t="s">
        <v>8</v>
      </c>
      <c r="AH431" s="27" t="s">
        <v>7</v>
      </c>
      <c r="AI431" s="27" t="s">
        <v>8</v>
      </c>
      <c r="AJ431" s="27" t="s">
        <v>7</v>
      </c>
      <c r="AK431" s="27" t="s">
        <v>8</v>
      </c>
      <c r="AX431" s="27" t="s">
        <v>7</v>
      </c>
      <c r="CK431" s="27" t="s">
        <v>8</v>
      </c>
      <c r="CL431" s="27" t="s">
        <v>7</v>
      </c>
      <c r="CM431" s="27" t="s">
        <v>8</v>
      </c>
      <c r="CR431" s="27" t="s">
        <v>7</v>
      </c>
      <c r="CV431" s="27" t="s">
        <v>7</v>
      </c>
      <c r="DA431" s="27" t="s">
        <v>8</v>
      </c>
      <c r="DB431" s="27" t="s">
        <v>7</v>
      </c>
      <c r="DC431" s="27" t="s">
        <v>8</v>
      </c>
      <c r="DD431" s="27" t="s">
        <v>7</v>
      </c>
    </row>
    <row r="432" spans="1:108" x14ac:dyDescent="0.25">
      <c r="A432" s="7">
        <v>21.52913708480818</v>
      </c>
      <c r="B432"/>
      <c r="C432"/>
      <c r="D432"/>
      <c r="E432"/>
      <c r="AG432" s="27" t="s">
        <v>8</v>
      </c>
      <c r="AH432" s="27" t="s">
        <v>7</v>
      </c>
      <c r="AJ432" s="27" t="s">
        <v>7</v>
      </c>
      <c r="AK432" s="27" t="s">
        <v>8</v>
      </c>
      <c r="AX432" s="27" t="s">
        <v>7</v>
      </c>
      <c r="AY432" s="27" t="s">
        <v>8</v>
      </c>
      <c r="CK432" s="27" t="s">
        <v>8</v>
      </c>
      <c r="CL432" s="27" t="s">
        <v>7</v>
      </c>
      <c r="CM432" s="27" t="s">
        <v>8</v>
      </c>
      <c r="CV432" s="27" t="s">
        <v>7</v>
      </c>
      <c r="DA432" s="27" t="s">
        <v>8</v>
      </c>
      <c r="DB432" s="27" t="s">
        <v>7</v>
      </c>
      <c r="DC432" s="27" t="s">
        <v>8</v>
      </c>
      <c r="DD432" s="27" t="s">
        <v>7</v>
      </c>
    </row>
    <row r="433" spans="1:134" x14ac:dyDescent="0.25">
      <c r="A433" s="7">
        <v>21.106997141968804</v>
      </c>
      <c r="B433"/>
      <c r="C433"/>
      <c r="D433"/>
      <c r="E433"/>
      <c r="AG433" s="27" t="s">
        <v>8</v>
      </c>
      <c r="AJ433" s="27" t="s">
        <v>7</v>
      </c>
      <c r="AK433" s="27" t="s">
        <v>8</v>
      </c>
      <c r="AX433" s="27" t="s">
        <v>7</v>
      </c>
      <c r="AY433" s="27" t="s">
        <v>8</v>
      </c>
      <c r="AZ433" s="27" t="s">
        <v>7</v>
      </c>
      <c r="BC433" s="27" t="s">
        <v>8</v>
      </c>
      <c r="CK433" s="27" t="s">
        <v>8</v>
      </c>
      <c r="CL433" s="27" t="s">
        <v>7</v>
      </c>
      <c r="CM433" s="27" t="s">
        <v>8</v>
      </c>
      <c r="CV433" s="27" t="s">
        <v>7</v>
      </c>
      <c r="CW433" s="27" t="s">
        <v>8</v>
      </c>
      <c r="DA433" s="27" t="s">
        <v>8</v>
      </c>
      <c r="DB433" s="27" t="s">
        <v>7</v>
      </c>
      <c r="DD433" s="27" t="s">
        <v>7</v>
      </c>
      <c r="DK433" s="27" t="s">
        <v>8</v>
      </c>
      <c r="DO433" s="27" t="s">
        <v>8</v>
      </c>
    </row>
    <row r="434" spans="1:134" x14ac:dyDescent="0.25">
      <c r="A434" s="7">
        <v>20.693134452910591</v>
      </c>
      <c r="B434"/>
      <c r="C434"/>
      <c r="D434"/>
      <c r="E434"/>
      <c r="AG434" s="27" t="s">
        <v>8</v>
      </c>
      <c r="AJ434" s="27" t="s">
        <v>7</v>
      </c>
      <c r="AK434" s="27" t="s">
        <v>8</v>
      </c>
      <c r="AX434" s="27" t="s">
        <v>7</v>
      </c>
      <c r="AY434" s="27" t="s">
        <v>8</v>
      </c>
      <c r="AZ434" s="27" t="s">
        <v>7</v>
      </c>
      <c r="BC434" s="27" t="s">
        <v>8</v>
      </c>
      <c r="BD434" s="27" t="s">
        <v>7</v>
      </c>
      <c r="BE434" s="27" t="s">
        <v>8</v>
      </c>
      <c r="CK434" s="27" t="s">
        <v>8</v>
      </c>
      <c r="CL434" s="27" t="s">
        <v>7</v>
      </c>
      <c r="CV434" s="27" t="s">
        <v>7</v>
      </c>
      <c r="CW434" s="27" t="s">
        <v>8</v>
      </c>
      <c r="CX434" s="27" t="s">
        <v>7</v>
      </c>
      <c r="CY434" s="27" t="s">
        <v>8</v>
      </c>
      <c r="DA434" s="27" t="s">
        <v>8</v>
      </c>
      <c r="DD434" s="27" t="s">
        <v>7</v>
      </c>
      <c r="DK434" s="27" t="s">
        <v>8</v>
      </c>
      <c r="DL434" s="27" t="s">
        <v>7</v>
      </c>
      <c r="DO434" s="27" t="s">
        <v>8</v>
      </c>
      <c r="DP434" s="27" t="s">
        <v>7</v>
      </c>
      <c r="DQ434" s="27" t="s">
        <v>8</v>
      </c>
    </row>
    <row r="435" spans="1:134" x14ac:dyDescent="0.25">
      <c r="A435" s="7">
        <v>20.287386718539796</v>
      </c>
      <c r="B435"/>
      <c r="C435"/>
      <c r="D435"/>
      <c r="E435"/>
      <c r="AG435" s="27" t="s">
        <v>8</v>
      </c>
      <c r="AJ435" s="27" t="s">
        <v>7</v>
      </c>
      <c r="AK435" s="27" t="s">
        <v>8</v>
      </c>
      <c r="AX435" s="27" t="s">
        <v>7</v>
      </c>
      <c r="AY435" s="27" t="s">
        <v>8</v>
      </c>
      <c r="AZ435" s="27" t="s">
        <v>7</v>
      </c>
      <c r="BC435" s="27" t="s">
        <v>8</v>
      </c>
      <c r="BD435" s="27" t="s">
        <v>7</v>
      </c>
      <c r="BE435" s="27" t="s">
        <v>8</v>
      </c>
      <c r="BF435" s="27" t="s">
        <v>7</v>
      </c>
      <c r="CI435" s="27" t="s">
        <v>8</v>
      </c>
      <c r="CK435" s="27" t="s">
        <v>8</v>
      </c>
      <c r="CV435" s="27" t="s">
        <v>7</v>
      </c>
      <c r="CW435" s="27" t="s">
        <v>8</v>
      </c>
      <c r="CX435" s="27" t="s">
        <v>7</v>
      </c>
      <c r="CY435" s="27" t="s">
        <v>8</v>
      </c>
      <c r="CZ435" s="27" t="s">
        <v>7</v>
      </c>
      <c r="DA435" s="27" t="s">
        <v>8</v>
      </c>
      <c r="DD435" s="27" t="s">
        <v>7</v>
      </c>
      <c r="DE435" s="27" t="s">
        <v>8</v>
      </c>
      <c r="DI435" s="27" t="s">
        <v>8</v>
      </c>
      <c r="DK435" s="27" t="s">
        <v>8</v>
      </c>
      <c r="DL435" s="27" t="s">
        <v>7</v>
      </c>
      <c r="DO435" s="27" t="s">
        <v>8</v>
      </c>
      <c r="DP435" s="27" t="s">
        <v>7</v>
      </c>
      <c r="DQ435" s="27" t="s">
        <v>8</v>
      </c>
      <c r="DR435" s="27" t="s">
        <v>7</v>
      </c>
      <c r="DU435" s="27" t="s">
        <v>8</v>
      </c>
      <c r="DW435" s="27" t="s">
        <v>8</v>
      </c>
    </row>
    <row r="436" spans="1:134" x14ac:dyDescent="0.25">
      <c r="A436" s="7">
        <v>19.889594822097838</v>
      </c>
      <c r="B436"/>
      <c r="C436"/>
      <c r="D436"/>
      <c r="E436"/>
      <c r="AG436" s="27" t="s">
        <v>8</v>
      </c>
      <c r="AJ436" s="27" t="s">
        <v>7</v>
      </c>
      <c r="AK436" s="27" t="s">
        <v>8</v>
      </c>
      <c r="AX436" s="27" t="s">
        <v>7</v>
      </c>
      <c r="AY436" s="27" t="s">
        <v>8</v>
      </c>
      <c r="AZ436" s="27" t="s">
        <v>7</v>
      </c>
      <c r="BA436" s="27" t="s">
        <v>8</v>
      </c>
      <c r="BC436" s="27" t="s">
        <v>8</v>
      </c>
      <c r="BD436" s="27" t="s">
        <v>7</v>
      </c>
      <c r="BE436" s="27" t="s">
        <v>8</v>
      </c>
      <c r="BF436" s="27" t="s">
        <v>7</v>
      </c>
      <c r="CI436" s="27" t="s">
        <v>8</v>
      </c>
      <c r="CJ436" s="27" t="s">
        <v>7</v>
      </c>
      <c r="CK436" s="27" t="s">
        <v>8</v>
      </c>
      <c r="CV436" s="27" t="s">
        <v>7</v>
      </c>
      <c r="CW436" s="27" t="s">
        <v>8</v>
      </c>
      <c r="CX436" s="27" t="s">
        <v>7</v>
      </c>
      <c r="CY436" s="27" t="s">
        <v>8</v>
      </c>
      <c r="CZ436" s="27" t="s">
        <v>7</v>
      </c>
      <c r="DA436" s="27" t="s">
        <v>8</v>
      </c>
      <c r="DD436" s="27" t="s">
        <v>7</v>
      </c>
      <c r="DE436" s="27" t="s">
        <v>8</v>
      </c>
      <c r="DF436" s="27" t="s">
        <v>7</v>
      </c>
      <c r="DI436" s="27" t="s">
        <v>8</v>
      </c>
      <c r="DJ436" s="27" t="s">
        <v>7</v>
      </c>
      <c r="DK436" s="27" t="s">
        <v>8</v>
      </c>
      <c r="DL436" s="27" t="s">
        <v>7</v>
      </c>
      <c r="DM436" s="27" t="s">
        <v>8</v>
      </c>
      <c r="DO436" s="27" t="s">
        <v>8</v>
      </c>
      <c r="DP436" s="27" t="s">
        <v>7</v>
      </c>
      <c r="DQ436" s="27" t="s">
        <v>8</v>
      </c>
      <c r="DR436" s="27" t="s">
        <v>7</v>
      </c>
      <c r="DU436" s="27" t="s">
        <v>8</v>
      </c>
      <c r="DV436" s="27" t="s">
        <v>7</v>
      </c>
      <c r="DW436" s="27" t="s">
        <v>8</v>
      </c>
      <c r="DX436" s="27" t="s">
        <v>7</v>
      </c>
    </row>
    <row r="437" spans="1:134" x14ac:dyDescent="0.25">
      <c r="A437" s="7">
        <v>19.499602766762585</v>
      </c>
      <c r="B437"/>
      <c r="C437"/>
      <c r="D437"/>
      <c r="E437"/>
      <c r="AC437" s="27" t="s">
        <v>8</v>
      </c>
      <c r="AG437" s="27" t="s">
        <v>8</v>
      </c>
      <c r="AJ437" s="27" t="s">
        <v>7</v>
      </c>
      <c r="AK437" s="27" t="s">
        <v>8</v>
      </c>
      <c r="AX437" s="27" t="s">
        <v>7</v>
      </c>
      <c r="AY437" s="27" t="s">
        <v>8</v>
      </c>
      <c r="AZ437" s="27" t="s">
        <v>7</v>
      </c>
      <c r="BA437" s="27" t="s">
        <v>8</v>
      </c>
      <c r="BB437" s="27" t="s">
        <v>7</v>
      </c>
      <c r="BC437" s="27" t="s">
        <v>8</v>
      </c>
      <c r="BD437" s="27" t="s">
        <v>7</v>
      </c>
      <c r="BE437" s="27" t="s">
        <v>8</v>
      </c>
      <c r="BF437" s="27" t="s">
        <v>7</v>
      </c>
      <c r="CI437" s="27" t="s">
        <v>8</v>
      </c>
      <c r="CJ437" s="27" t="s">
        <v>7</v>
      </c>
      <c r="CK437" s="27" t="s">
        <v>8</v>
      </c>
      <c r="CV437" s="27" t="s">
        <v>7</v>
      </c>
      <c r="CW437" s="27" t="s">
        <v>8</v>
      </c>
      <c r="CX437" s="27" t="s">
        <v>7</v>
      </c>
      <c r="CY437" s="27" t="s">
        <v>8</v>
      </c>
      <c r="CZ437" s="27" t="s">
        <v>7</v>
      </c>
      <c r="DA437" s="27" t="s">
        <v>8</v>
      </c>
      <c r="DD437" s="27" t="s">
        <v>7</v>
      </c>
      <c r="DE437" s="27" t="s">
        <v>8</v>
      </c>
      <c r="DF437" s="27" t="s">
        <v>7</v>
      </c>
      <c r="DG437" s="27" t="s">
        <v>8</v>
      </c>
      <c r="DI437" s="27" t="s">
        <v>8</v>
      </c>
      <c r="DJ437" s="27" t="s">
        <v>7</v>
      </c>
      <c r="DK437" s="27" t="s">
        <v>8</v>
      </c>
      <c r="DL437" s="27" t="s">
        <v>7</v>
      </c>
      <c r="DM437" s="27" t="s">
        <v>8</v>
      </c>
      <c r="DN437" s="27" t="s">
        <v>7</v>
      </c>
      <c r="DO437" s="27" t="s">
        <v>8</v>
      </c>
      <c r="DP437" s="27" t="s">
        <v>7</v>
      </c>
      <c r="DQ437" s="27" t="s">
        <v>8</v>
      </c>
      <c r="DR437" s="27" t="s">
        <v>7</v>
      </c>
      <c r="DU437" s="27" t="s">
        <v>8</v>
      </c>
      <c r="DV437" s="27" t="s">
        <v>7</v>
      </c>
      <c r="DW437" s="27" t="s">
        <v>8</v>
      </c>
      <c r="DX437" s="27" t="s">
        <v>7</v>
      </c>
    </row>
    <row r="438" spans="1:134" x14ac:dyDescent="0.25">
      <c r="A438" s="7">
        <v>19.117257614473122</v>
      </c>
      <c r="B438"/>
      <c r="C438"/>
      <c r="D438"/>
      <c r="E438"/>
      <c r="AC438" s="27" t="s">
        <v>8</v>
      </c>
      <c r="AD438" s="27" t="s">
        <v>7</v>
      </c>
      <c r="AG438" s="27" t="s">
        <v>8</v>
      </c>
      <c r="AJ438" s="27" t="s">
        <v>7</v>
      </c>
      <c r="AX438" s="27" t="s">
        <v>7</v>
      </c>
      <c r="AY438" s="27" t="s">
        <v>8</v>
      </c>
      <c r="AZ438" s="27" t="s">
        <v>7</v>
      </c>
      <c r="BA438" s="27" t="s">
        <v>8</v>
      </c>
      <c r="BB438" s="27" t="s">
        <v>7</v>
      </c>
      <c r="BC438" s="27" t="s">
        <v>8</v>
      </c>
      <c r="BD438" s="27" t="s">
        <v>7</v>
      </c>
      <c r="BE438" s="27" t="s">
        <v>8</v>
      </c>
      <c r="BF438" s="27" t="s">
        <v>7</v>
      </c>
      <c r="CI438" s="27" t="s">
        <v>8</v>
      </c>
      <c r="CJ438" s="27" t="s">
        <v>7</v>
      </c>
      <c r="CK438" s="27" t="s">
        <v>8</v>
      </c>
      <c r="CV438" s="27" t="s">
        <v>7</v>
      </c>
      <c r="CW438" s="27" t="s">
        <v>8</v>
      </c>
      <c r="CX438" s="27" t="s">
        <v>7</v>
      </c>
      <c r="CY438" s="27" t="s">
        <v>8</v>
      </c>
      <c r="CZ438" s="27" t="s">
        <v>7</v>
      </c>
      <c r="DA438" s="27" t="s">
        <v>8</v>
      </c>
      <c r="DD438" s="27" t="s">
        <v>7</v>
      </c>
      <c r="DE438" s="27" t="s">
        <v>8</v>
      </c>
      <c r="DF438" s="27" t="s">
        <v>7</v>
      </c>
      <c r="DG438" s="27" t="s">
        <v>8</v>
      </c>
      <c r="DH438" s="27" t="s">
        <v>7</v>
      </c>
      <c r="DI438" s="27" t="s">
        <v>8</v>
      </c>
      <c r="DJ438" s="27" t="s">
        <v>7</v>
      </c>
      <c r="DK438" s="27" t="s">
        <v>8</v>
      </c>
      <c r="DL438" s="27" t="s">
        <v>7</v>
      </c>
      <c r="DM438" s="27" t="s">
        <v>8</v>
      </c>
      <c r="DN438" s="27" t="s">
        <v>7</v>
      </c>
      <c r="DO438" s="27" t="s">
        <v>8</v>
      </c>
      <c r="DP438" s="27" t="s">
        <v>7</v>
      </c>
      <c r="DR438" s="27" t="s">
        <v>7</v>
      </c>
      <c r="DU438" s="27" t="s">
        <v>8</v>
      </c>
      <c r="DV438" s="27" t="s">
        <v>7</v>
      </c>
      <c r="DW438" s="27" t="s">
        <v>8</v>
      </c>
      <c r="DX438" s="27" t="s">
        <v>7</v>
      </c>
      <c r="DY438" s="27" t="s">
        <v>8</v>
      </c>
      <c r="EA438" s="27" t="s">
        <v>8</v>
      </c>
    </row>
    <row r="439" spans="1:134" x14ac:dyDescent="0.25">
      <c r="A439" s="7">
        <v>18.74240942595404</v>
      </c>
      <c r="B439"/>
      <c r="C439"/>
      <c r="D439"/>
      <c r="E439" t="s">
        <v>8</v>
      </c>
      <c r="AC439" s="27" t="s">
        <v>8</v>
      </c>
      <c r="AD439" s="27" t="s">
        <v>7</v>
      </c>
      <c r="AG439" s="27" t="s">
        <v>8</v>
      </c>
      <c r="AX439" s="27" t="s">
        <v>7</v>
      </c>
      <c r="AY439" s="27" t="s">
        <v>8</v>
      </c>
      <c r="AZ439" s="27" t="s">
        <v>7</v>
      </c>
      <c r="BA439" s="27" t="s">
        <v>8</v>
      </c>
      <c r="BB439" s="27" t="s">
        <v>7</v>
      </c>
      <c r="BC439" s="27" t="s">
        <v>8</v>
      </c>
      <c r="BD439" s="27" t="s">
        <v>7</v>
      </c>
      <c r="BE439" s="27" t="s">
        <v>8</v>
      </c>
      <c r="BF439" s="27" t="s">
        <v>7</v>
      </c>
      <c r="CG439" s="27" t="s">
        <v>8</v>
      </c>
      <c r="CI439" s="27" t="s">
        <v>8</v>
      </c>
      <c r="CJ439" s="27" t="s">
        <v>7</v>
      </c>
      <c r="CV439" s="27" t="s">
        <v>7</v>
      </c>
      <c r="CW439" s="27" t="s">
        <v>8</v>
      </c>
      <c r="CX439" s="27" t="s">
        <v>7</v>
      </c>
      <c r="CZ439" s="27" t="s">
        <v>7</v>
      </c>
      <c r="DD439" s="27" t="s">
        <v>7</v>
      </c>
      <c r="DE439" s="27" t="s">
        <v>8</v>
      </c>
      <c r="DF439" s="27" t="s">
        <v>7</v>
      </c>
      <c r="DG439" s="27" t="s">
        <v>8</v>
      </c>
      <c r="DH439" s="27" t="s">
        <v>7</v>
      </c>
      <c r="DI439" s="27" t="s">
        <v>8</v>
      </c>
      <c r="DJ439" s="27" t="s">
        <v>7</v>
      </c>
      <c r="DL439" s="27" t="s">
        <v>7</v>
      </c>
      <c r="DN439" s="27" t="s">
        <v>7</v>
      </c>
      <c r="DO439" s="27" t="s">
        <v>8</v>
      </c>
      <c r="DR439" s="27" t="s">
        <v>7</v>
      </c>
      <c r="DS439" s="27" t="s">
        <v>8</v>
      </c>
      <c r="DU439" s="27" t="s">
        <v>8</v>
      </c>
      <c r="DV439" s="27" t="s">
        <v>7</v>
      </c>
      <c r="DX439" s="27" t="s">
        <v>7</v>
      </c>
      <c r="DY439" s="27" t="s">
        <v>8</v>
      </c>
      <c r="DZ439" s="27" t="s">
        <v>7</v>
      </c>
      <c r="EA439" s="27" t="s">
        <v>8</v>
      </c>
      <c r="EB439" s="27" t="s">
        <v>7</v>
      </c>
    </row>
    <row r="440" spans="1:134" x14ac:dyDescent="0.25">
      <c r="A440" s="7">
        <v>18.374911201915726</v>
      </c>
      <c r="B440"/>
      <c r="C440"/>
      <c r="D440"/>
      <c r="E440" t="s">
        <v>8</v>
      </c>
      <c r="F440" s="27" t="s">
        <v>7</v>
      </c>
      <c r="AA440" s="27" t="s">
        <v>8</v>
      </c>
      <c r="AC440" s="27" t="s">
        <v>8</v>
      </c>
      <c r="AD440" s="27" t="s">
        <v>7</v>
      </c>
      <c r="AE440" s="27" t="s">
        <v>8</v>
      </c>
      <c r="AG440" s="27" t="s">
        <v>8</v>
      </c>
      <c r="AX440" s="27" t="s">
        <v>7</v>
      </c>
      <c r="AY440" s="27" t="s">
        <v>8</v>
      </c>
      <c r="AZ440" s="27" t="s">
        <v>7</v>
      </c>
      <c r="BA440" s="27" t="s">
        <v>8</v>
      </c>
      <c r="BB440" s="27" t="s">
        <v>7</v>
      </c>
      <c r="BC440" s="27" t="s">
        <v>8</v>
      </c>
      <c r="BD440" s="27" t="s">
        <v>7</v>
      </c>
      <c r="BE440" s="27" t="s">
        <v>8</v>
      </c>
      <c r="BF440" s="27" t="s">
        <v>7</v>
      </c>
      <c r="BG440" s="27" t="s">
        <v>8</v>
      </c>
      <c r="CG440" s="27" t="s">
        <v>8</v>
      </c>
      <c r="CH440" s="27" t="s">
        <v>7</v>
      </c>
      <c r="CI440" s="27" t="s">
        <v>8</v>
      </c>
      <c r="CV440" s="27" t="s">
        <v>7</v>
      </c>
      <c r="CW440" s="27" t="s">
        <v>8</v>
      </c>
      <c r="DD440" s="27" t="s">
        <v>7</v>
      </c>
      <c r="DE440" s="27" t="s">
        <v>8</v>
      </c>
      <c r="DF440" s="27" t="s">
        <v>7</v>
      </c>
      <c r="DG440" s="27" t="s">
        <v>8</v>
      </c>
      <c r="DH440" s="27" t="s">
        <v>7</v>
      </c>
      <c r="DI440" s="27" t="s">
        <v>8</v>
      </c>
      <c r="DN440" s="27" t="s">
        <v>7</v>
      </c>
      <c r="DO440" s="27" t="s">
        <v>8</v>
      </c>
      <c r="DR440" s="27" t="s">
        <v>7</v>
      </c>
      <c r="DS440" s="27" t="s">
        <v>8</v>
      </c>
      <c r="DT440" s="27" t="s">
        <v>7</v>
      </c>
      <c r="DU440" s="27" t="s">
        <v>8</v>
      </c>
      <c r="DX440" s="27" t="s">
        <v>7</v>
      </c>
      <c r="DY440" s="27" t="s">
        <v>8</v>
      </c>
      <c r="DZ440" s="27" t="s">
        <v>7</v>
      </c>
      <c r="EA440" s="27" t="s">
        <v>8</v>
      </c>
      <c r="EB440" s="27" t="s">
        <v>7</v>
      </c>
    </row>
    <row r="441" spans="1:134" x14ac:dyDescent="0.25">
      <c r="A441" s="7">
        <v>18.014618825407574</v>
      </c>
      <c r="B441"/>
      <c r="C441"/>
      <c r="D441"/>
      <c r="E441" t="s">
        <v>8</v>
      </c>
      <c r="F441" s="27" t="s">
        <v>7</v>
      </c>
      <c r="AA441" s="27" t="s">
        <v>8</v>
      </c>
      <c r="AB441" s="27" t="s">
        <v>7</v>
      </c>
      <c r="AC441" s="27" t="s">
        <v>8</v>
      </c>
      <c r="AD441" s="27" t="s">
        <v>7</v>
      </c>
      <c r="AE441" s="27" t="s">
        <v>8</v>
      </c>
      <c r="AF441" s="27" t="s">
        <v>7</v>
      </c>
      <c r="AG441" s="27" t="s">
        <v>8</v>
      </c>
      <c r="AX441" s="27" t="s">
        <v>7</v>
      </c>
      <c r="AY441" s="27" t="s">
        <v>8</v>
      </c>
      <c r="AZ441" s="27" t="s">
        <v>7</v>
      </c>
      <c r="BA441" s="27" t="s">
        <v>8</v>
      </c>
      <c r="BB441" s="27" t="s">
        <v>7</v>
      </c>
      <c r="BC441" s="27" t="s">
        <v>8</v>
      </c>
      <c r="BD441" s="27" t="s">
        <v>7</v>
      </c>
      <c r="BF441" s="27" t="s">
        <v>7</v>
      </c>
      <c r="BG441" s="27" t="s">
        <v>8</v>
      </c>
      <c r="BH441" s="27" t="s">
        <v>7</v>
      </c>
      <c r="BI441" s="27" t="s">
        <v>8</v>
      </c>
      <c r="CG441" s="27" t="s">
        <v>8</v>
      </c>
      <c r="CH441" s="27" t="s">
        <v>7</v>
      </c>
      <c r="CI441" s="27" t="s">
        <v>8</v>
      </c>
      <c r="CV441" s="27" t="s">
        <v>7</v>
      </c>
      <c r="DD441" s="27" t="s">
        <v>7</v>
      </c>
      <c r="DE441" s="27" t="s">
        <v>8</v>
      </c>
      <c r="DF441" s="27" t="s">
        <v>7</v>
      </c>
      <c r="DG441" s="27" t="s">
        <v>8</v>
      </c>
      <c r="DH441" s="27" t="s">
        <v>7</v>
      </c>
      <c r="DN441" s="27" t="s">
        <v>7</v>
      </c>
      <c r="DR441" s="27" t="s">
        <v>7</v>
      </c>
      <c r="DS441" s="27" t="s">
        <v>8</v>
      </c>
      <c r="DT441" s="27" t="s">
        <v>7</v>
      </c>
      <c r="DU441" s="27" t="s">
        <v>8</v>
      </c>
      <c r="DX441" s="27" t="s">
        <v>7</v>
      </c>
      <c r="DY441" s="27" t="s">
        <v>8</v>
      </c>
      <c r="DZ441" s="27" t="s">
        <v>7</v>
      </c>
      <c r="EB441" s="27" t="s">
        <v>7</v>
      </c>
    </row>
    <row r="442" spans="1:134" x14ac:dyDescent="0.25">
      <c r="A442" s="7">
        <v>17.661391005301542</v>
      </c>
      <c r="B442"/>
      <c r="C442"/>
      <c r="D442"/>
      <c r="E442" t="s">
        <v>8</v>
      </c>
      <c r="F442" s="27" t="s">
        <v>7</v>
      </c>
      <c r="AA442" s="27" t="s">
        <v>8</v>
      </c>
      <c r="AB442" s="27" t="s">
        <v>7</v>
      </c>
      <c r="AC442" s="27" t="s">
        <v>8</v>
      </c>
      <c r="AD442" s="27" t="s">
        <v>7</v>
      </c>
      <c r="AE442" s="27" t="s">
        <v>8</v>
      </c>
      <c r="AF442" s="27" t="s">
        <v>7</v>
      </c>
      <c r="AG442" s="27" t="s">
        <v>8</v>
      </c>
      <c r="AX442" s="27" t="s">
        <v>7</v>
      </c>
      <c r="AY442" s="27" t="s">
        <v>8</v>
      </c>
      <c r="AZ442" s="27" t="s">
        <v>7</v>
      </c>
      <c r="BA442" s="27" t="s">
        <v>8</v>
      </c>
      <c r="BB442" s="27" t="s">
        <v>7</v>
      </c>
      <c r="BC442" s="27" t="s">
        <v>8</v>
      </c>
      <c r="BF442" s="27" t="s">
        <v>7</v>
      </c>
      <c r="BG442" s="27" t="s">
        <v>8</v>
      </c>
      <c r="BH442" s="27" t="s">
        <v>7</v>
      </c>
      <c r="BI442" s="27" t="s">
        <v>8</v>
      </c>
      <c r="BJ442" s="27" t="s">
        <v>7</v>
      </c>
      <c r="CE442" s="27" t="s">
        <v>8</v>
      </c>
      <c r="CG442" s="27" t="s">
        <v>8</v>
      </c>
      <c r="CH442" s="27" t="s">
        <v>7</v>
      </c>
      <c r="CI442" s="27" t="s">
        <v>8</v>
      </c>
      <c r="DD442" s="27" t="s">
        <v>7</v>
      </c>
      <c r="DF442" s="27" t="s">
        <v>7</v>
      </c>
      <c r="DG442" s="27" t="s">
        <v>8</v>
      </c>
      <c r="DR442" s="27" t="s">
        <v>7</v>
      </c>
      <c r="DT442" s="27" t="s">
        <v>7</v>
      </c>
      <c r="DU442" s="27" t="s">
        <v>8</v>
      </c>
      <c r="DX442" s="27" t="s">
        <v>7</v>
      </c>
      <c r="EB442" s="27" t="s">
        <v>7</v>
      </c>
    </row>
    <row r="443" spans="1:134" x14ac:dyDescent="0.25">
      <c r="A443" s="7">
        <v>17.315089220883866</v>
      </c>
      <c r="B443"/>
      <c r="C443"/>
      <c r="D443"/>
      <c r="E443" t="s">
        <v>8</v>
      </c>
      <c r="F443" s="27" t="s">
        <v>7</v>
      </c>
      <c r="AA443" s="27" t="s">
        <v>8</v>
      </c>
      <c r="AB443" s="27" t="s">
        <v>7</v>
      </c>
      <c r="AC443" s="27" t="s">
        <v>8</v>
      </c>
      <c r="AD443" s="27" t="s">
        <v>7</v>
      </c>
      <c r="AE443" s="27" t="s">
        <v>8</v>
      </c>
      <c r="AF443" s="27" t="s">
        <v>7</v>
      </c>
      <c r="AG443" s="27" t="s">
        <v>8</v>
      </c>
      <c r="AX443" s="27" t="s">
        <v>7</v>
      </c>
      <c r="AY443" s="27" t="s">
        <v>8</v>
      </c>
      <c r="AZ443" s="27" t="s">
        <v>7</v>
      </c>
      <c r="BA443" s="27" t="s">
        <v>8</v>
      </c>
      <c r="BB443" s="27" t="s">
        <v>7</v>
      </c>
      <c r="BC443" s="27" t="s">
        <v>8</v>
      </c>
      <c r="BF443" s="27" t="s">
        <v>7</v>
      </c>
      <c r="BG443" s="27" t="s">
        <v>8</v>
      </c>
      <c r="BH443" s="27" t="s">
        <v>7</v>
      </c>
      <c r="BI443" s="27" t="s">
        <v>8</v>
      </c>
      <c r="BJ443" s="27" t="s">
        <v>7</v>
      </c>
      <c r="CE443" s="27" t="s">
        <v>8</v>
      </c>
      <c r="CF443" s="27" t="s">
        <v>7</v>
      </c>
      <c r="CG443" s="27" t="s">
        <v>8</v>
      </c>
      <c r="CH443" s="27" t="s">
        <v>7</v>
      </c>
      <c r="DF443" s="27" t="s">
        <v>7</v>
      </c>
      <c r="DT443" s="27" t="s">
        <v>7</v>
      </c>
      <c r="EB443" s="27" t="s">
        <v>7</v>
      </c>
    </row>
    <row r="444" spans="1:134" x14ac:dyDescent="0.25">
      <c r="A444" s="7">
        <v>16.975577667533202</v>
      </c>
      <c r="B444"/>
      <c r="C444"/>
      <c r="D444"/>
      <c r="E444" t="s">
        <v>8</v>
      </c>
      <c r="F444" s="27" t="s">
        <v>7</v>
      </c>
      <c r="AA444" s="27" t="s">
        <v>8</v>
      </c>
      <c r="AB444" s="27" t="s">
        <v>7</v>
      </c>
      <c r="AC444" s="27" t="s">
        <v>8</v>
      </c>
      <c r="AD444" s="27" t="s">
        <v>7</v>
      </c>
      <c r="AE444" s="27" t="s">
        <v>8</v>
      </c>
      <c r="AF444" s="27" t="s">
        <v>7</v>
      </c>
      <c r="AG444" s="27" t="s">
        <v>8</v>
      </c>
      <c r="AX444" s="27" t="s">
        <v>7</v>
      </c>
      <c r="AY444" s="27" t="s">
        <v>8</v>
      </c>
      <c r="AZ444" s="27" t="s">
        <v>7</v>
      </c>
      <c r="BA444" s="27" t="s">
        <v>8</v>
      </c>
      <c r="BB444" s="27" t="s">
        <v>7</v>
      </c>
      <c r="BC444" s="27" t="s">
        <v>8</v>
      </c>
      <c r="BF444" s="27" t="s">
        <v>7</v>
      </c>
      <c r="BG444" s="27" t="s">
        <v>8</v>
      </c>
      <c r="BH444" s="27" t="s">
        <v>7</v>
      </c>
      <c r="BI444" s="27" t="s">
        <v>8</v>
      </c>
      <c r="BJ444" s="27" t="s">
        <v>7</v>
      </c>
      <c r="CE444" s="27" t="s">
        <v>8</v>
      </c>
      <c r="CF444" s="27" t="s">
        <v>7</v>
      </c>
      <c r="CG444" s="27" t="s">
        <v>8</v>
      </c>
      <c r="EB444" s="27" t="s">
        <v>7</v>
      </c>
    </row>
    <row r="445" spans="1:134" x14ac:dyDescent="0.25">
      <c r="A445" s="7">
        <v>16.642723203463923</v>
      </c>
      <c r="B445"/>
      <c r="C445"/>
      <c r="D445"/>
      <c r="E445" t="s">
        <v>8</v>
      </c>
      <c r="F445" s="27" t="s">
        <v>7</v>
      </c>
      <c r="AA445" s="27" t="s">
        <v>8</v>
      </c>
      <c r="AB445" s="27" t="s">
        <v>7</v>
      </c>
      <c r="AC445" s="27" t="s">
        <v>8</v>
      </c>
      <c r="AD445" s="27" t="s">
        <v>7</v>
      </c>
      <c r="AF445" s="27" t="s">
        <v>7</v>
      </c>
      <c r="AG445" s="27" t="s">
        <v>8</v>
      </c>
      <c r="AX445" s="27" t="s">
        <v>7</v>
      </c>
      <c r="AY445" s="27" t="s">
        <v>8</v>
      </c>
      <c r="AZ445" s="27" t="s">
        <v>7</v>
      </c>
      <c r="BA445" s="27" t="s">
        <v>8</v>
      </c>
      <c r="BB445" s="27" t="s">
        <v>7</v>
      </c>
      <c r="BC445" s="27" t="s">
        <v>8</v>
      </c>
      <c r="BF445" s="27" t="s">
        <v>7</v>
      </c>
      <c r="BG445" s="27" t="s">
        <v>8</v>
      </c>
      <c r="BH445" s="27" t="s">
        <v>7</v>
      </c>
      <c r="BI445" s="27" t="s">
        <v>8</v>
      </c>
      <c r="BJ445" s="27" t="s">
        <v>7</v>
      </c>
      <c r="BK445" s="27" t="s">
        <v>8</v>
      </c>
      <c r="CC445" s="27" t="s">
        <v>8</v>
      </c>
      <c r="CE445" s="27" t="s">
        <v>8</v>
      </c>
      <c r="CF445" s="27" t="s">
        <v>7</v>
      </c>
      <c r="EB445" s="27" t="s">
        <v>7</v>
      </c>
    </row>
    <row r="446" spans="1:134" x14ac:dyDescent="0.25">
      <c r="A446" s="7">
        <v>16.316395297513651</v>
      </c>
      <c r="B446"/>
      <c r="C446"/>
      <c r="D446"/>
      <c r="E446" t="s">
        <v>8</v>
      </c>
      <c r="F446" s="27" t="s">
        <v>7</v>
      </c>
      <c r="AA446" s="27" t="s">
        <v>8</v>
      </c>
      <c r="AB446" s="27" t="s">
        <v>7</v>
      </c>
      <c r="AC446" s="27" t="s">
        <v>8</v>
      </c>
      <c r="AF446" s="27" t="s">
        <v>7</v>
      </c>
      <c r="AG446" s="27" t="s">
        <v>8</v>
      </c>
      <c r="AX446" s="27" t="s">
        <v>7</v>
      </c>
      <c r="AY446" s="27" t="s">
        <v>8</v>
      </c>
      <c r="AZ446" s="27" t="s">
        <v>7</v>
      </c>
      <c r="BA446" s="27" t="s">
        <v>8</v>
      </c>
      <c r="BB446" s="27" t="s">
        <v>7</v>
      </c>
      <c r="BC446" s="27" t="s">
        <v>8</v>
      </c>
      <c r="BF446" s="27" t="s">
        <v>7</v>
      </c>
      <c r="BG446" s="27" t="s">
        <v>8</v>
      </c>
      <c r="BH446" s="27" t="s">
        <v>7</v>
      </c>
      <c r="BI446" s="27" t="s">
        <v>8</v>
      </c>
      <c r="BJ446" s="27" t="s">
        <v>7</v>
      </c>
      <c r="BK446" s="27" t="s">
        <v>8</v>
      </c>
      <c r="BL446" s="27" t="s">
        <v>7</v>
      </c>
      <c r="BS446" s="27" t="s">
        <v>8</v>
      </c>
      <c r="CC446" s="27" t="s">
        <v>8</v>
      </c>
      <c r="CD446" s="27" t="s">
        <v>7</v>
      </c>
      <c r="CE446" s="27" t="s">
        <v>8</v>
      </c>
      <c r="EB446" s="27" t="s">
        <v>7</v>
      </c>
    </row>
    <row r="447" spans="1:134" x14ac:dyDescent="0.25">
      <c r="A447" s="7">
        <v>15.996465977954561</v>
      </c>
      <c r="B447"/>
      <c r="C447"/>
      <c r="D447"/>
      <c r="E447" t="s">
        <v>8</v>
      </c>
      <c r="F447" s="27" t="s">
        <v>7</v>
      </c>
      <c r="G447" s="27" t="s">
        <v>8</v>
      </c>
      <c r="AA447" s="27" t="s">
        <v>8</v>
      </c>
      <c r="AB447" s="27" t="s">
        <v>7</v>
      </c>
      <c r="AF447" s="27" t="s">
        <v>7</v>
      </c>
      <c r="AG447" s="27" t="s">
        <v>8</v>
      </c>
      <c r="AX447" s="27" t="s">
        <v>7</v>
      </c>
      <c r="AY447" s="27" t="s">
        <v>8</v>
      </c>
      <c r="AZ447" s="27" t="s">
        <v>7</v>
      </c>
      <c r="BA447" s="27" t="s">
        <v>8</v>
      </c>
      <c r="BB447" s="27" t="s">
        <v>7</v>
      </c>
      <c r="BC447" s="27" t="s">
        <v>8</v>
      </c>
      <c r="BF447" s="27" t="s">
        <v>7</v>
      </c>
      <c r="BG447" s="27" t="s">
        <v>8</v>
      </c>
      <c r="BH447" s="27" t="s">
        <v>7</v>
      </c>
      <c r="BI447" s="27" t="s">
        <v>8</v>
      </c>
      <c r="BJ447" s="27" t="s">
        <v>7</v>
      </c>
      <c r="BK447" s="27" t="s">
        <v>8</v>
      </c>
      <c r="BL447" s="27" t="s">
        <v>7</v>
      </c>
      <c r="BS447" s="27" t="s">
        <v>8</v>
      </c>
      <c r="BT447" s="27" t="s">
        <v>7</v>
      </c>
      <c r="CC447" s="27" t="s">
        <v>8</v>
      </c>
      <c r="CD447" s="27" t="s">
        <v>7</v>
      </c>
      <c r="CE447" s="27" t="s">
        <v>8</v>
      </c>
      <c r="EB447" s="27" t="s">
        <v>7</v>
      </c>
      <c r="EC447" s="27" t="s">
        <v>8</v>
      </c>
    </row>
    <row r="448" spans="1:134" x14ac:dyDescent="0.25">
      <c r="A448" s="7">
        <v>15.682809782308393</v>
      </c>
      <c r="B448"/>
      <c r="C448"/>
      <c r="D448"/>
      <c r="E448" t="s">
        <v>8</v>
      </c>
      <c r="F448" s="27" t="s">
        <v>7</v>
      </c>
      <c r="G448" s="27" t="s">
        <v>8</v>
      </c>
      <c r="H448" s="27" t="s">
        <v>7</v>
      </c>
      <c r="AA448" s="27" t="s">
        <v>8</v>
      </c>
      <c r="AF448" s="27" t="s">
        <v>7</v>
      </c>
      <c r="AG448" s="27" t="s">
        <v>8</v>
      </c>
      <c r="AX448" s="27" t="s">
        <v>7</v>
      </c>
      <c r="AY448" s="27" t="s">
        <v>8</v>
      </c>
      <c r="AZ448" s="27" t="s">
        <v>7</v>
      </c>
      <c r="BA448" s="27" t="s">
        <v>8</v>
      </c>
      <c r="BB448" s="27" t="s">
        <v>7</v>
      </c>
      <c r="BC448" s="27" t="s">
        <v>8</v>
      </c>
      <c r="BF448" s="27" t="s">
        <v>7</v>
      </c>
      <c r="BG448" s="27" t="s">
        <v>8</v>
      </c>
      <c r="BH448" s="27" t="s">
        <v>7</v>
      </c>
      <c r="BI448" s="27" t="s">
        <v>8</v>
      </c>
      <c r="BJ448" s="27" t="s">
        <v>7</v>
      </c>
      <c r="BL448" s="27" t="s">
        <v>7</v>
      </c>
      <c r="BS448" s="27" t="s">
        <v>8</v>
      </c>
      <c r="BT448" s="27" t="s">
        <v>7</v>
      </c>
      <c r="BU448" s="27" t="s">
        <v>8</v>
      </c>
      <c r="CC448" s="27" t="s">
        <v>8</v>
      </c>
      <c r="CD448" s="27" t="s">
        <v>7</v>
      </c>
      <c r="EB448" s="27" t="s">
        <v>7</v>
      </c>
      <c r="EC448" s="27" t="s">
        <v>8</v>
      </c>
      <c r="ED448" s="27" t="s">
        <v>7</v>
      </c>
    </row>
    <row r="449" spans="1:152" x14ac:dyDescent="0.25">
      <c r="A449" s="7">
        <v>15.375303708145482</v>
      </c>
      <c r="B449"/>
      <c r="C449"/>
      <c r="D449"/>
      <c r="E449" t="s">
        <v>8</v>
      </c>
      <c r="F449" s="27" t="s">
        <v>7</v>
      </c>
      <c r="G449" s="27" t="s">
        <v>8</v>
      </c>
      <c r="H449" s="27" t="s">
        <v>7</v>
      </c>
      <c r="AA449" s="27" t="s">
        <v>8</v>
      </c>
      <c r="AF449" s="27" t="s">
        <v>7</v>
      </c>
      <c r="AX449" s="27" t="s">
        <v>7</v>
      </c>
      <c r="AY449" s="27" t="s">
        <v>8</v>
      </c>
      <c r="AZ449" s="27" t="s">
        <v>7</v>
      </c>
      <c r="BA449" s="27" t="s">
        <v>8</v>
      </c>
      <c r="BB449" s="27" t="s">
        <v>7</v>
      </c>
      <c r="BC449" s="27" t="s">
        <v>8</v>
      </c>
      <c r="BF449" s="27" t="s">
        <v>7</v>
      </c>
      <c r="BH449" s="27" t="s">
        <v>7</v>
      </c>
      <c r="BI449" s="27" t="s">
        <v>8</v>
      </c>
      <c r="BL449" s="27" t="s">
        <v>7</v>
      </c>
      <c r="BS449" s="27" t="s">
        <v>8</v>
      </c>
      <c r="BT449" s="27" t="s">
        <v>7</v>
      </c>
      <c r="BU449" s="27" t="s">
        <v>8</v>
      </c>
      <c r="BV449" s="27" t="s">
        <v>7</v>
      </c>
      <c r="CA449" s="27" t="s">
        <v>8</v>
      </c>
      <c r="CC449" s="27" t="s">
        <v>8</v>
      </c>
      <c r="EB449" s="27" t="s">
        <v>7</v>
      </c>
      <c r="EC449" s="27" t="s">
        <v>8</v>
      </c>
      <c r="ED449" s="27" t="s">
        <v>7</v>
      </c>
    </row>
    <row r="450" spans="1:152" x14ac:dyDescent="0.25">
      <c r="A450" s="7">
        <v>15.073827164848511</v>
      </c>
      <c r="B450"/>
      <c r="C450"/>
      <c r="D450"/>
      <c r="E450" t="s">
        <v>8</v>
      </c>
      <c r="F450" s="27" t="s">
        <v>7</v>
      </c>
      <c r="G450" s="27" t="s">
        <v>8</v>
      </c>
      <c r="H450" s="27" t="s">
        <v>7</v>
      </c>
      <c r="AA450" s="27" t="s">
        <v>8</v>
      </c>
      <c r="AX450" s="27" t="s">
        <v>7</v>
      </c>
      <c r="AY450" s="27" t="s">
        <v>8</v>
      </c>
      <c r="AZ450" s="27" t="s">
        <v>7</v>
      </c>
      <c r="BA450" s="27" t="s">
        <v>8</v>
      </c>
      <c r="BB450" s="27" t="s">
        <v>7</v>
      </c>
      <c r="BC450" s="27" t="s">
        <v>8</v>
      </c>
      <c r="BH450" s="27" t="s">
        <v>7</v>
      </c>
      <c r="BL450" s="27" t="s">
        <v>7</v>
      </c>
      <c r="BS450" s="27" t="s">
        <v>8</v>
      </c>
      <c r="BT450" s="27" t="s">
        <v>7</v>
      </c>
      <c r="BU450" s="27" t="s">
        <v>8</v>
      </c>
      <c r="BV450" s="27" t="s">
        <v>7</v>
      </c>
      <c r="CA450" s="27" t="s">
        <v>8</v>
      </c>
      <c r="CB450" s="27" t="s">
        <v>7</v>
      </c>
      <c r="CC450" s="27" t="s">
        <v>8</v>
      </c>
      <c r="EB450" s="27" t="s">
        <v>7</v>
      </c>
      <c r="EC450" s="27" t="s">
        <v>8</v>
      </c>
      <c r="ED450" s="27" t="s">
        <v>7</v>
      </c>
    </row>
    <row r="451" spans="1:152" x14ac:dyDescent="0.25">
      <c r="A451" s="7">
        <v>14.77826192632207</v>
      </c>
      <c r="B451"/>
      <c r="C451"/>
      <c r="D451"/>
      <c r="E451" t="s">
        <v>8</v>
      </c>
      <c r="F451" s="27" t="s">
        <v>7</v>
      </c>
      <c r="G451" s="27" t="s">
        <v>8</v>
      </c>
      <c r="H451" s="27" t="s">
        <v>7</v>
      </c>
      <c r="AA451" s="27" t="s">
        <v>8</v>
      </c>
      <c r="AX451" s="27" t="s">
        <v>7</v>
      </c>
      <c r="AY451" s="27" t="s">
        <v>8</v>
      </c>
      <c r="AZ451" s="27" t="s">
        <v>7</v>
      </c>
      <c r="BA451" s="27" t="s">
        <v>8</v>
      </c>
      <c r="BB451" s="27" t="s">
        <v>7</v>
      </c>
      <c r="BC451" s="27" t="s">
        <v>8</v>
      </c>
      <c r="BL451" s="27" t="s">
        <v>7</v>
      </c>
      <c r="BS451" s="27" t="s">
        <v>8</v>
      </c>
      <c r="BT451" s="27" t="s">
        <v>7</v>
      </c>
      <c r="BU451" s="27" t="s">
        <v>8</v>
      </c>
      <c r="BV451" s="27" t="s">
        <v>7</v>
      </c>
      <c r="CA451" s="27" t="s">
        <v>8</v>
      </c>
      <c r="CB451" s="27" t="s">
        <v>7</v>
      </c>
      <c r="CC451" s="27" t="s">
        <v>8</v>
      </c>
      <c r="EB451" s="27" t="s">
        <v>7</v>
      </c>
      <c r="EC451" s="27" t="s">
        <v>8</v>
      </c>
      <c r="ED451" s="27" t="s">
        <v>7</v>
      </c>
    </row>
    <row r="452" spans="1:152" x14ac:dyDescent="0.25">
      <c r="A452" s="7">
        <v>14.488492084629481</v>
      </c>
      <c r="B452"/>
      <c r="C452"/>
      <c r="D452"/>
      <c r="E452" t="s">
        <v>8</v>
      </c>
      <c r="F452" s="27" t="s">
        <v>7</v>
      </c>
      <c r="G452" s="27" t="s">
        <v>8</v>
      </c>
      <c r="H452" s="27" t="s">
        <v>7</v>
      </c>
      <c r="O452" s="27" t="s">
        <v>8</v>
      </c>
      <c r="AA452" s="27" t="s">
        <v>8</v>
      </c>
      <c r="AX452" s="27" t="s">
        <v>7</v>
      </c>
      <c r="AY452" s="27" t="s">
        <v>8</v>
      </c>
      <c r="AZ452" s="27" t="s">
        <v>7</v>
      </c>
      <c r="BA452" s="27" t="s">
        <v>8</v>
      </c>
      <c r="BB452" s="27" t="s">
        <v>7</v>
      </c>
      <c r="BC452" s="27" t="s">
        <v>8</v>
      </c>
      <c r="BL452" s="27" t="s">
        <v>7</v>
      </c>
      <c r="BQ452" s="27" t="s">
        <v>8</v>
      </c>
      <c r="BS452" s="27" t="s">
        <v>8</v>
      </c>
      <c r="BT452" s="27" t="s">
        <v>7</v>
      </c>
      <c r="BU452" s="27" t="s">
        <v>8</v>
      </c>
      <c r="BV452" s="27" t="s">
        <v>7</v>
      </c>
      <c r="BW452" s="27" t="s">
        <v>8</v>
      </c>
      <c r="CA452" s="27" t="s">
        <v>8</v>
      </c>
      <c r="CB452" s="27" t="s">
        <v>7</v>
      </c>
      <c r="CC452" s="27" t="s">
        <v>8</v>
      </c>
      <c r="EB452" s="27" t="s">
        <v>7</v>
      </c>
      <c r="EC452" s="27" t="s">
        <v>8</v>
      </c>
      <c r="ED452" s="27" t="s">
        <v>7</v>
      </c>
      <c r="EG452" s="27" t="s">
        <v>8</v>
      </c>
    </row>
    <row r="453" spans="1:152" x14ac:dyDescent="0.25">
      <c r="A453" s="7">
        <v>14.204404004538707</v>
      </c>
      <c r="B453"/>
      <c r="C453"/>
      <c r="D453"/>
      <c r="E453" t="s">
        <v>8</v>
      </c>
      <c r="F453" s="27" t="s">
        <v>7</v>
      </c>
      <c r="G453" s="27" t="s">
        <v>8</v>
      </c>
      <c r="H453" s="27" t="s">
        <v>7</v>
      </c>
      <c r="O453" s="27" t="s">
        <v>8</v>
      </c>
      <c r="P453" s="27" t="s">
        <v>7</v>
      </c>
      <c r="AA453" s="27" t="s">
        <v>8</v>
      </c>
      <c r="AX453" s="27" t="s">
        <v>7</v>
      </c>
      <c r="AY453" s="27" t="s">
        <v>8</v>
      </c>
      <c r="AZ453" s="27" t="s">
        <v>7</v>
      </c>
      <c r="BA453" s="27" t="s">
        <v>8</v>
      </c>
      <c r="BB453" s="27" t="s">
        <v>7</v>
      </c>
      <c r="BC453" s="27" t="s">
        <v>8</v>
      </c>
      <c r="BL453" s="27" t="s">
        <v>7</v>
      </c>
      <c r="BM453" s="27" t="s">
        <v>8</v>
      </c>
      <c r="BO453" s="27" t="s">
        <v>8</v>
      </c>
      <c r="BQ453" s="27" t="s">
        <v>8</v>
      </c>
      <c r="BR453" s="27" t="s">
        <v>7</v>
      </c>
      <c r="BS453" s="27" t="s">
        <v>8</v>
      </c>
      <c r="BT453" s="27" t="s">
        <v>7</v>
      </c>
      <c r="BU453" s="27" t="s">
        <v>8</v>
      </c>
      <c r="BV453" s="27" t="s">
        <v>7</v>
      </c>
      <c r="BW453" s="27" t="s">
        <v>8</v>
      </c>
      <c r="BX453" s="27" t="s">
        <v>7</v>
      </c>
      <c r="BY453" s="27" t="s">
        <v>8</v>
      </c>
      <c r="CA453" s="27" t="s">
        <v>8</v>
      </c>
      <c r="CB453" s="27" t="s">
        <v>7</v>
      </c>
      <c r="CC453" s="27" t="s">
        <v>8</v>
      </c>
      <c r="EB453" s="27" t="s">
        <v>7</v>
      </c>
      <c r="ED453" s="27" t="s">
        <v>7</v>
      </c>
      <c r="EG453" s="27" t="s">
        <v>8</v>
      </c>
      <c r="EH453" s="27" t="s">
        <v>7</v>
      </c>
    </row>
    <row r="454" spans="1:152" x14ac:dyDescent="0.25">
      <c r="A454" s="7">
        <v>13.925886278959517</v>
      </c>
      <c r="B454"/>
      <c r="C454"/>
      <c r="D454"/>
      <c r="E454" t="s">
        <v>8</v>
      </c>
      <c r="F454" s="27" t="s">
        <v>7</v>
      </c>
      <c r="G454" s="27" t="s">
        <v>8</v>
      </c>
      <c r="H454" s="27" t="s">
        <v>7</v>
      </c>
      <c r="O454" s="27" t="s">
        <v>8</v>
      </c>
      <c r="P454" s="27" t="s">
        <v>7</v>
      </c>
      <c r="Y454" s="27" t="s">
        <v>8</v>
      </c>
      <c r="AA454" s="27" t="s">
        <v>8</v>
      </c>
      <c r="AX454" s="27" t="s">
        <v>7</v>
      </c>
      <c r="AY454" s="27" t="s">
        <v>8</v>
      </c>
      <c r="AZ454" s="27" t="s">
        <v>7</v>
      </c>
      <c r="BA454" s="27" t="s">
        <v>8</v>
      </c>
      <c r="BB454" s="27" t="s">
        <v>7</v>
      </c>
      <c r="BL454" s="27" t="s">
        <v>7</v>
      </c>
      <c r="BM454" s="27" t="s">
        <v>8</v>
      </c>
      <c r="BN454" s="27" t="s">
        <v>7</v>
      </c>
      <c r="BO454" s="27" t="s">
        <v>8</v>
      </c>
      <c r="BP454" s="27" t="s">
        <v>7</v>
      </c>
      <c r="BQ454" s="27" t="s">
        <v>8</v>
      </c>
      <c r="BR454" s="27" t="s">
        <v>7</v>
      </c>
      <c r="BS454" s="27" t="s">
        <v>8</v>
      </c>
      <c r="BT454" s="27" t="s">
        <v>7</v>
      </c>
      <c r="BV454" s="27" t="s">
        <v>7</v>
      </c>
      <c r="BW454" s="27" t="s">
        <v>8</v>
      </c>
      <c r="BX454" s="27" t="s">
        <v>7</v>
      </c>
      <c r="BY454" s="27" t="s">
        <v>8</v>
      </c>
      <c r="BZ454" s="27" t="s">
        <v>7</v>
      </c>
      <c r="CA454" s="27" t="s">
        <v>8</v>
      </c>
      <c r="CB454" s="27" t="s">
        <v>7</v>
      </c>
      <c r="ED454" s="27" t="s">
        <v>7</v>
      </c>
      <c r="EG454" s="27" t="s">
        <v>8</v>
      </c>
      <c r="EH454" s="27" t="s">
        <v>7</v>
      </c>
    </row>
    <row r="455" spans="1:152" x14ac:dyDescent="0.25">
      <c r="A455" s="7">
        <v>13.652829685254428</v>
      </c>
      <c r="B455"/>
      <c r="C455"/>
      <c r="D455"/>
      <c r="E455" t="s">
        <v>8</v>
      </c>
      <c r="F455" s="27" t="s">
        <v>7</v>
      </c>
      <c r="G455" s="27" t="s">
        <v>8</v>
      </c>
      <c r="H455" s="27" t="s">
        <v>7</v>
      </c>
      <c r="K455" s="27" t="s">
        <v>8</v>
      </c>
      <c r="O455" s="27" t="s">
        <v>8</v>
      </c>
      <c r="P455" s="27" t="s">
        <v>7</v>
      </c>
      <c r="Y455" s="27" t="s">
        <v>8</v>
      </c>
      <c r="Z455" s="27" t="s">
        <v>7</v>
      </c>
      <c r="AA455" s="27" t="s">
        <v>8</v>
      </c>
      <c r="AX455" s="27" t="s">
        <v>7</v>
      </c>
      <c r="AZ455" s="27" t="s">
        <v>7</v>
      </c>
      <c r="BA455" s="27" t="s">
        <v>8</v>
      </c>
      <c r="BL455" s="27" t="s">
        <v>7</v>
      </c>
      <c r="BM455" s="27" t="s">
        <v>8</v>
      </c>
      <c r="BN455" s="27" t="s">
        <v>7</v>
      </c>
      <c r="BO455" s="27" t="s">
        <v>8</v>
      </c>
      <c r="BP455" s="27" t="s">
        <v>7</v>
      </c>
      <c r="BQ455" s="27" t="s">
        <v>8</v>
      </c>
      <c r="BR455" s="27" t="s">
        <v>7</v>
      </c>
      <c r="BS455" s="27" t="s">
        <v>8</v>
      </c>
      <c r="BV455" s="27" t="s">
        <v>7</v>
      </c>
      <c r="BW455" s="27" t="s">
        <v>8</v>
      </c>
      <c r="BX455" s="27" t="s">
        <v>7</v>
      </c>
      <c r="BY455" s="27" t="s">
        <v>8</v>
      </c>
      <c r="BZ455" s="27" t="s">
        <v>7</v>
      </c>
      <c r="CA455" s="27" t="s">
        <v>8</v>
      </c>
      <c r="ED455" s="27" t="s">
        <v>7</v>
      </c>
      <c r="EG455" s="27" t="s">
        <v>8</v>
      </c>
      <c r="EH455" s="27" t="s">
        <v>7</v>
      </c>
    </row>
    <row r="456" spans="1:152" x14ac:dyDescent="0.25">
      <c r="A456" s="7">
        <v>13.385127142406303</v>
      </c>
      <c r="B456"/>
      <c r="C456"/>
      <c r="D456"/>
      <c r="E456" t="s">
        <v>8</v>
      </c>
      <c r="F456" s="27" t="s">
        <v>7</v>
      </c>
      <c r="G456" s="27" t="s">
        <v>8</v>
      </c>
      <c r="H456" s="27" t="s">
        <v>7</v>
      </c>
      <c r="K456" s="27" t="s">
        <v>8</v>
      </c>
      <c r="L456" s="27" t="s">
        <v>7</v>
      </c>
      <c r="O456" s="27" t="s">
        <v>8</v>
      </c>
      <c r="P456" s="27" t="s">
        <v>7</v>
      </c>
      <c r="Y456" s="27" t="s">
        <v>8</v>
      </c>
      <c r="Z456" s="27" t="s">
        <v>7</v>
      </c>
      <c r="AA456" s="27" t="s">
        <v>8</v>
      </c>
      <c r="AZ456" s="27" t="s">
        <v>7</v>
      </c>
      <c r="BA456" s="27" t="s">
        <v>8</v>
      </c>
      <c r="BL456" s="27" t="s">
        <v>7</v>
      </c>
      <c r="BM456" s="27" t="s">
        <v>8</v>
      </c>
      <c r="BN456" s="27" t="s">
        <v>7</v>
      </c>
      <c r="BO456" s="27" t="s">
        <v>8</v>
      </c>
      <c r="BP456" s="27" t="s">
        <v>7</v>
      </c>
      <c r="BQ456" s="27" t="s">
        <v>8</v>
      </c>
      <c r="BR456" s="27" t="s">
        <v>7</v>
      </c>
      <c r="BV456" s="27" t="s">
        <v>7</v>
      </c>
      <c r="BX456" s="27" t="s">
        <v>7</v>
      </c>
      <c r="BY456" s="27" t="s">
        <v>8</v>
      </c>
      <c r="BZ456" s="27" t="s">
        <v>7</v>
      </c>
      <c r="ED456" s="27" t="s">
        <v>7</v>
      </c>
      <c r="EE456" s="27" t="s">
        <v>8</v>
      </c>
      <c r="EG456" s="27" t="s">
        <v>8</v>
      </c>
      <c r="EH456" s="27" t="s">
        <v>7</v>
      </c>
      <c r="EK456" s="27" t="s">
        <v>8</v>
      </c>
    </row>
    <row r="457" spans="1:152" x14ac:dyDescent="0.25">
      <c r="A457" s="7">
        <v>13.122673669025787</v>
      </c>
      <c r="B457"/>
      <c r="C457"/>
      <c r="D457"/>
      <c r="E457" t="s">
        <v>8</v>
      </c>
      <c r="F457" s="27" t="s">
        <v>7</v>
      </c>
      <c r="G457" s="27" t="s">
        <v>8</v>
      </c>
      <c r="H457" s="27" t="s">
        <v>7</v>
      </c>
      <c r="K457" s="27" t="s">
        <v>8</v>
      </c>
      <c r="L457" s="27" t="s">
        <v>7</v>
      </c>
      <c r="O457" s="27" t="s">
        <v>8</v>
      </c>
      <c r="P457" s="27" t="s">
        <v>7</v>
      </c>
      <c r="Y457" s="27" t="s">
        <v>8</v>
      </c>
      <c r="Z457" s="27" t="s">
        <v>7</v>
      </c>
      <c r="AA457" s="27" t="s">
        <v>8</v>
      </c>
      <c r="AZ457" s="27" t="s">
        <v>7</v>
      </c>
      <c r="BA457" s="27" t="s">
        <v>8</v>
      </c>
      <c r="BL457" s="27" t="s">
        <v>7</v>
      </c>
      <c r="BM457" s="27" t="s">
        <v>8</v>
      </c>
      <c r="BN457" s="27" t="s">
        <v>7</v>
      </c>
      <c r="BO457" s="27" t="s">
        <v>8</v>
      </c>
      <c r="BP457" s="27" t="s">
        <v>7</v>
      </c>
      <c r="BQ457" s="27" t="s">
        <v>8</v>
      </c>
      <c r="BX457" s="27" t="s">
        <v>7</v>
      </c>
      <c r="BY457" s="27" t="s">
        <v>8</v>
      </c>
      <c r="ED457" s="27" t="s">
        <v>7</v>
      </c>
      <c r="EE457" s="27" t="s">
        <v>8</v>
      </c>
      <c r="EF457" s="27" t="s">
        <v>7</v>
      </c>
      <c r="EG457" s="27" t="s">
        <v>8</v>
      </c>
      <c r="EH457" s="27" t="s">
        <v>7</v>
      </c>
      <c r="EK457" s="27" t="s">
        <v>8</v>
      </c>
      <c r="EL457" s="27" t="s">
        <v>7</v>
      </c>
      <c r="EO457" s="27" t="s">
        <v>8</v>
      </c>
    </row>
    <row r="458" spans="1:152" x14ac:dyDescent="0.25">
      <c r="A458" s="7">
        <v>12.865366342182144</v>
      </c>
      <c r="B458"/>
      <c r="C458"/>
      <c r="D458"/>
      <c r="E458" t="s">
        <v>8</v>
      </c>
      <c r="F458" s="27" t="s">
        <v>7</v>
      </c>
      <c r="G458" s="27" t="s">
        <v>8</v>
      </c>
      <c r="H458" s="27" t="s">
        <v>7</v>
      </c>
      <c r="K458" s="27" t="s">
        <v>8</v>
      </c>
      <c r="L458" s="27" t="s">
        <v>7</v>
      </c>
      <c r="O458" s="27" t="s">
        <v>8</v>
      </c>
      <c r="P458" s="27" t="s">
        <v>7</v>
      </c>
      <c r="Y458" s="27" t="s">
        <v>8</v>
      </c>
      <c r="Z458" s="27" t="s">
        <v>7</v>
      </c>
      <c r="AA458" s="27" t="s">
        <v>8</v>
      </c>
      <c r="AZ458" s="27" t="s">
        <v>7</v>
      </c>
      <c r="BA458" s="27" t="s">
        <v>8</v>
      </c>
      <c r="BL458" s="27" t="s">
        <v>7</v>
      </c>
      <c r="BM458" s="27" t="s">
        <v>8</v>
      </c>
      <c r="BN458" s="27" t="s">
        <v>7</v>
      </c>
      <c r="BO458" s="27" t="s">
        <v>8</v>
      </c>
      <c r="BP458" s="27" t="s">
        <v>7</v>
      </c>
      <c r="BQ458" s="27" t="s">
        <v>8</v>
      </c>
      <c r="BX458" s="27" t="s">
        <v>7</v>
      </c>
      <c r="BY458" s="27" t="s">
        <v>8</v>
      </c>
      <c r="ED458" s="27" t="s">
        <v>7</v>
      </c>
      <c r="EE458" s="27" t="s">
        <v>8</v>
      </c>
      <c r="EF458" s="27" t="s">
        <v>7</v>
      </c>
      <c r="EG458" s="27" t="s">
        <v>8</v>
      </c>
      <c r="EH458" s="27" t="s">
        <v>7</v>
      </c>
      <c r="EK458" s="27" t="s">
        <v>8</v>
      </c>
      <c r="EL458" s="27" t="s">
        <v>7</v>
      </c>
      <c r="EM458" s="27" t="s">
        <v>8</v>
      </c>
      <c r="EO458" s="27" t="s">
        <v>8</v>
      </c>
      <c r="EP458" s="27" t="s">
        <v>7</v>
      </c>
    </row>
    <row r="459" spans="1:152" x14ac:dyDescent="0.25">
      <c r="A459" s="7">
        <v>12.613104257041318</v>
      </c>
      <c r="B459"/>
      <c r="C459"/>
      <c r="D459"/>
      <c r="E459" t="s">
        <v>8</v>
      </c>
      <c r="F459" s="27" t="s">
        <v>7</v>
      </c>
      <c r="G459" s="27" t="s">
        <v>8</v>
      </c>
      <c r="H459" s="27" t="s">
        <v>7</v>
      </c>
      <c r="K459" s="27" t="s">
        <v>8</v>
      </c>
      <c r="L459" s="27" t="s">
        <v>7</v>
      </c>
      <c r="O459" s="27" t="s">
        <v>8</v>
      </c>
      <c r="P459" s="27" t="s">
        <v>7</v>
      </c>
      <c r="Y459" s="27" t="s">
        <v>8</v>
      </c>
      <c r="Z459" s="27" t="s">
        <v>7</v>
      </c>
      <c r="AA459" s="27" t="s">
        <v>8</v>
      </c>
      <c r="AZ459" s="27" t="s">
        <v>7</v>
      </c>
      <c r="BA459" s="27" t="s">
        <v>8</v>
      </c>
      <c r="BL459" s="27" t="s">
        <v>7</v>
      </c>
      <c r="BM459" s="27" t="s">
        <v>8</v>
      </c>
      <c r="BN459" s="27" t="s">
        <v>7</v>
      </c>
      <c r="BO459" s="27" t="s">
        <v>8</v>
      </c>
      <c r="BP459" s="27" t="s">
        <v>7</v>
      </c>
      <c r="BX459" s="27" t="s">
        <v>7</v>
      </c>
      <c r="BY459" s="27" t="s">
        <v>8</v>
      </c>
      <c r="ED459" s="27" t="s">
        <v>7</v>
      </c>
      <c r="EE459" s="27" t="s">
        <v>8</v>
      </c>
      <c r="EF459" s="27" t="s">
        <v>7</v>
      </c>
      <c r="EH459" s="27" t="s">
        <v>7</v>
      </c>
      <c r="EI459" s="27" t="s">
        <v>8</v>
      </c>
      <c r="EK459" s="27" t="s">
        <v>8</v>
      </c>
      <c r="EL459" s="27" t="s">
        <v>7</v>
      </c>
      <c r="EM459" s="27" t="s">
        <v>8</v>
      </c>
      <c r="EN459" s="27" t="s">
        <v>7</v>
      </c>
      <c r="EO459" s="27" t="s">
        <v>8</v>
      </c>
      <c r="EP459" s="27" t="s">
        <v>7</v>
      </c>
    </row>
    <row r="460" spans="1:152" x14ac:dyDescent="0.25">
      <c r="A460" s="7">
        <v>12.36578848729541</v>
      </c>
      <c r="B460"/>
      <c r="C460"/>
      <c r="D460"/>
      <c r="E460" t="s">
        <v>8</v>
      </c>
      <c r="F460" s="27" t="s">
        <v>7</v>
      </c>
      <c r="G460" s="27" t="s">
        <v>8</v>
      </c>
      <c r="H460" s="27" t="s">
        <v>7</v>
      </c>
      <c r="I460" s="27" t="s">
        <v>8</v>
      </c>
      <c r="K460" s="27" t="s">
        <v>8</v>
      </c>
      <c r="L460" s="27" t="s">
        <v>7</v>
      </c>
      <c r="O460" s="27" t="s">
        <v>8</v>
      </c>
      <c r="P460" s="27" t="s">
        <v>7</v>
      </c>
      <c r="W460" s="27" t="s">
        <v>8</v>
      </c>
      <c r="Y460" s="27" t="s">
        <v>8</v>
      </c>
      <c r="Z460" s="27" t="s">
        <v>7</v>
      </c>
      <c r="AA460" s="27" t="s">
        <v>8</v>
      </c>
      <c r="AZ460" s="27" t="s">
        <v>7</v>
      </c>
      <c r="BA460" s="27" t="s">
        <v>8</v>
      </c>
      <c r="BL460" s="27" t="s">
        <v>7</v>
      </c>
      <c r="BM460" s="27" t="s">
        <v>8</v>
      </c>
      <c r="BN460" s="27" t="s">
        <v>7</v>
      </c>
      <c r="BO460" s="27" t="s">
        <v>8</v>
      </c>
      <c r="BX460" s="27" t="s">
        <v>7</v>
      </c>
      <c r="BY460" s="27" t="s">
        <v>8</v>
      </c>
      <c r="ED460" s="27" t="s">
        <v>7</v>
      </c>
      <c r="EE460" s="27" t="s">
        <v>8</v>
      </c>
      <c r="EH460" s="27" t="s">
        <v>7</v>
      </c>
      <c r="EI460" s="27" t="s">
        <v>8</v>
      </c>
      <c r="EJ460" s="27" t="s">
        <v>7</v>
      </c>
      <c r="EK460" s="27" t="s">
        <v>8</v>
      </c>
      <c r="EL460" s="27" t="s">
        <v>7</v>
      </c>
      <c r="EM460" s="27" t="s">
        <v>8</v>
      </c>
      <c r="EN460" s="27" t="s">
        <v>7</v>
      </c>
      <c r="EO460" s="27" t="s">
        <v>8</v>
      </c>
      <c r="EP460" s="27" t="s">
        <v>7</v>
      </c>
      <c r="EQ460" s="27" t="s">
        <v>8</v>
      </c>
    </row>
    <row r="461" spans="1:152" x14ac:dyDescent="0.25">
      <c r="A461" s="7">
        <v>12.123322046368049</v>
      </c>
      <c r="B461"/>
      <c r="C461"/>
      <c r="D461"/>
      <c r="E461" t="s">
        <v>8</v>
      </c>
      <c r="F461" s="27" t="s">
        <v>7</v>
      </c>
      <c r="G461" s="27" t="s">
        <v>8</v>
      </c>
      <c r="H461" s="27" t="s">
        <v>7</v>
      </c>
      <c r="I461" s="27" t="s">
        <v>8</v>
      </c>
      <c r="J461" s="27" t="s">
        <v>7</v>
      </c>
      <c r="K461" s="27" t="s">
        <v>8</v>
      </c>
      <c r="L461" s="27" t="s">
        <v>7</v>
      </c>
      <c r="M461" s="27" t="s">
        <v>8</v>
      </c>
      <c r="O461" s="27" t="s">
        <v>8</v>
      </c>
      <c r="P461" s="27" t="s">
        <v>7</v>
      </c>
      <c r="W461" s="27" t="s">
        <v>8</v>
      </c>
      <c r="X461" s="27" t="s">
        <v>7</v>
      </c>
      <c r="Y461" s="27" t="s">
        <v>8</v>
      </c>
      <c r="Z461" s="27" t="s">
        <v>7</v>
      </c>
      <c r="AA461" s="27" t="s">
        <v>8</v>
      </c>
      <c r="AZ461" s="27" t="s">
        <v>7</v>
      </c>
      <c r="BA461" s="27" t="s">
        <v>8</v>
      </c>
      <c r="BL461" s="27" t="s">
        <v>7</v>
      </c>
      <c r="BM461" s="27" t="s">
        <v>8</v>
      </c>
      <c r="BN461" s="27" t="s">
        <v>7</v>
      </c>
      <c r="BO461" s="27" t="s">
        <v>8</v>
      </c>
      <c r="BX461" s="18" t="s">
        <v>7</v>
      </c>
      <c r="BY461" s="27" t="s">
        <v>8</v>
      </c>
      <c r="ED461" s="27" t="s">
        <v>7</v>
      </c>
      <c r="EH461" s="27" t="s">
        <v>7</v>
      </c>
      <c r="EI461" s="27" t="s">
        <v>8</v>
      </c>
      <c r="EJ461" s="27" t="s">
        <v>7</v>
      </c>
      <c r="EK461" s="27" t="s">
        <v>8</v>
      </c>
      <c r="EL461" s="27" t="s">
        <v>7</v>
      </c>
      <c r="EM461" s="27" t="s">
        <v>8</v>
      </c>
      <c r="EN461" s="27" t="s">
        <v>7</v>
      </c>
      <c r="EO461" s="27" t="s">
        <v>8</v>
      </c>
      <c r="EP461" s="27" t="s">
        <v>7</v>
      </c>
      <c r="EQ461" s="27" t="s">
        <v>8</v>
      </c>
      <c r="ER461" s="27" t="s">
        <v>7</v>
      </c>
      <c r="EU461" s="27" t="s">
        <v>8</v>
      </c>
    </row>
    <row r="462" spans="1:152" x14ac:dyDescent="0.25">
      <c r="A462" s="7">
        <v>11.88560984938044</v>
      </c>
      <c r="B462"/>
      <c r="C462"/>
      <c r="D462"/>
      <c r="E462" t="s">
        <v>8</v>
      </c>
      <c r="F462" s="27" t="s">
        <v>7</v>
      </c>
      <c r="G462" s="27" t="s">
        <v>8</v>
      </c>
      <c r="H462" s="27" t="s">
        <v>7</v>
      </c>
      <c r="I462" s="27" t="s">
        <v>8</v>
      </c>
      <c r="J462" s="27" t="s">
        <v>7</v>
      </c>
      <c r="K462" s="27" t="s">
        <v>8</v>
      </c>
      <c r="L462" s="27" t="s">
        <v>7</v>
      </c>
      <c r="M462" s="27" t="s">
        <v>8</v>
      </c>
      <c r="N462" s="27" t="s">
        <v>7</v>
      </c>
      <c r="O462" s="27" t="s">
        <v>8</v>
      </c>
      <c r="P462" s="27" t="s">
        <v>7</v>
      </c>
      <c r="Q462" s="27" t="s">
        <v>8</v>
      </c>
      <c r="W462" s="27" t="s">
        <v>8</v>
      </c>
      <c r="X462" s="27" t="s">
        <v>7</v>
      </c>
      <c r="Y462" s="27" t="s">
        <v>8</v>
      </c>
      <c r="Z462" s="27" t="s">
        <v>7</v>
      </c>
      <c r="AA462" s="27" t="s">
        <v>8</v>
      </c>
      <c r="AZ462" s="27" t="s">
        <v>7</v>
      </c>
      <c r="BA462" s="27" t="s">
        <v>8</v>
      </c>
      <c r="BL462" s="27" t="s">
        <v>7</v>
      </c>
      <c r="BM462" s="27" t="s">
        <v>8</v>
      </c>
      <c r="BN462" s="27" t="s">
        <v>7</v>
      </c>
      <c r="BO462" s="27" t="s">
        <v>8</v>
      </c>
      <c r="BX462" s="27" t="s">
        <v>7</v>
      </c>
      <c r="BY462" s="27" t="s">
        <v>8</v>
      </c>
      <c r="EH462" s="27" t="s">
        <v>7</v>
      </c>
      <c r="EI462" s="27" t="s">
        <v>8</v>
      </c>
      <c r="EJ462" s="27" t="s">
        <v>7</v>
      </c>
      <c r="EK462" s="27" t="s">
        <v>8</v>
      </c>
      <c r="EL462" s="27" t="s">
        <v>7</v>
      </c>
      <c r="EN462" s="27" t="s">
        <v>7</v>
      </c>
      <c r="EO462" s="27" t="s">
        <v>8</v>
      </c>
      <c r="EP462" s="27" t="s">
        <v>7</v>
      </c>
      <c r="EQ462" s="27" t="s">
        <v>8</v>
      </c>
      <c r="ER462" s="27" t="s">
        <v>7</v>
      </c>
      <c r="EU462" s="27" t="s">
        <v>8</v>
      </c>
      <c r="EV462" s="27" t="s">
        <v>7</v>
      </c>
    </row>
    <row r="463" spans="1:152" x14ac:dyDescent="0.25">
      <c r="A463" s="7">
        <v>11.652558675863176</v>
      </c>
      <c r="B463"/>
      <c r="C463"/>
      <c r="D463"/>
      <c r="E463" t="s">
        <v>8</v>
      </c>
      <c r="F463" s="27" t="s">
        <v>7</v>
      </c>
      <c r="G463" s="27" t="s">
        <v>8</v>
      </c>
      <c r="H463" s="27" t="s">
        <v>7</v>
      </c>
      <c r="I463" s="27" t="s">
        <v>8</v>
      </c>
      <c r="J463" s="27" t="s">
        <v>7</v>
      </c>
      <c r="K463" s="27" t="s">
        <v>8</v>
      </c>
      <c r="L463" s="27" t="s">
        <v>7</v>
      </c>
      <c r="M463" s="27" t="s">
        <v>8</v>
      </c>
      <c r="N463" s="27" t="s">
        <v>7</v>
      </c>
      <c r="O463" s="27" t="s">
        <v>8</v>
      </c>
      <c r="P463" s="27" t="s">
        <v>7</v>
      </c>
      <c r="Q463" s="27" t="s">
        <v>8</v>
      </c>
      <c r="R463" s="27" t="s">
        <v>7</v>
      </c>
      <c r="W463" s="27" t="s">
        <v>8</v>
      </c>
      <c r="X463" s="27" t="s">
        <v>7</v>
      </c>
      <c r="Y463" s="27" t="s">
        <v>8</v>
      </c>
      <c r="Z463" s="27" t="s">
        <v>7</v>
      </c>
      <c r="AA463" s="27" t="s">
        <v>8</v>
      </c>
      <c r="AZ463" s="27" t="s">
        <v>7</v>
      </c>
      <c r="BA463" s="27" t="s">
        <v>8</v>
      </c>
      <c r="BL463" s="27" t="s">
        <v>7</v>
      </c>
      <c r="BM463" s="27" t="s">
        <v>8</v>
      </c>
      <c r="BN463" s="27" t="s">
        <v>7</v>
      </c>
      <c r="BO463" s="27" t="s">
        <v>8</v>
      </c>
      <c r="BX463" s="27" t="s">
        <v>7</v>
      </c>
      <c r="BY463" s="27" t="s">
        <v>8</v>
      </c>
      <c r="EH463" s="27" t="s">
        <v>7</v>
      </c>
      <c r="EI463" s="27" t="s">
        <v>8</v>
      </c>
      <c r="EJ463" s="27" t="s">
        <v>7</v>
      </c>
      <c r="EK463" s="27" t="s">
        <v>8</v>
      </c>
      <c r="EN463" s="27" t="s">
        <v>7</v>
      </c>
      <c r="EP463" s="27" t="s">
        <v>7</v>
      </c>
      <c r="ER463" s="27" t="s">
        <v>7</v>
      </c>
      <c r="EU463" s="27" t="s">
        <v>8</v>
      </c>
      <c r="EV463" s="27" t="s">
        <v>7</v>
      </c>
    </row>
    <row r="464" spans="1:152" x14ac:dyDescent="0.25">
      <c r="A464" s="7">
        <v>11.424077133199193</v>
      </c>
      <c r="B464"/>
      <c r="C464"/>
      <c r="D464"/>
      <c r="E464" t="s">
        <v>8</v>
      </c>
      <c r="F464" s="27" t="s">
        <v>7</v>
      </c>
      <c r="G464" s="27" t="s">
        <v>8</v>
      </c>
      <c r="H464" s="27" t="s">
        <v>7</v>
      </c>
      <c r="I464" s="27" t="s">
        <v>8</v>
      </c>
      <c r="J464" s="27" t="s">
        <v>7</v>
      </c>
      <c r="K464" s="27" t="s">
        <v>8</v>
      </c>
      <c r="L464" s="27" t="s">
        <v>7</v>
      </c>
      <c r="M464" s="27" t="s">
        <v>8</v>
      </c>
      <c r="N464" s="27" t="s">
        <v>7</v>
      </c>
      <c r="O464" s="27" t="s">
        <v>8</v>
      </c>
      <c r="P464" s="27" t="s">
        <v>7</v>
      </c>
      <c r="Q464" s="27" t="s">
        <v>8</v>
      </c>
      <c r="R464" s="27" t="s">
        <v>7</v>
      </c>
      <c r="W464" s="27" t="s">
        <v>8</v>
      </c>
      <c r="X464" s="27" t="s">
        <v>7</v>
      </c>
      <c r="Y464" s="27" t="s">
        <v>8</v>
      </c>
      <c r="Z464" s="27" t="s">
        <v>7</v>
      </c>
      <c r="AA464" s="27" t="s">
        <v>8</v>
      </c>
      <c r="AZ464" s="27" t="s">
        <v>7</v>
      </c>
      <c r="BA464" s="27" t="s">
        <v>8</v>
      </c>
      <c r="BL464" s="27" t="s">
        <v>7</v>
      </c>
      <c r="BM464" s="27" t="s">
        <v>8</v>
      </c>
      <c r="BN464" s="27" t="s">
        <v>7</v>
      </c>
      <c r="BX464" s="27" t="s">
        <v>7</v>
      </c>
      <c r="BY464" s="27" t="s">
        <v>8</v>
      </c>
      <c r="EH464" s="27" t="s">
        <v>7</v>
      </c>
      <c r="EI464" s="27" t="s">
        <v>8</v>
      </c>
      <c r="EJ464" s="27" t="s">
        <v>7</v>
      </c>
      <c r="EK464" s="27" t="s">
        <v>8</v>
      </c>
      <c r="ER464" s="27" t="s">
        <v>7</v>
      </c>
      <c r="EU464" s="27" t="s">
        <v>8</v>
      </c>
      <c r="EV464" s="27" t="s">
        <v>7</v>
      </c>
    </row>
    <row r="465" spans="1:156" x14ac:dyDescent="0.25">
      <c r="A465" s="7">
        <v>11.200075620783522</v>
      </c>
      <c r="B465"/>
      <c r="C465"/>
      <c r="D465"/>
      <c r="E465" t="s">
        <v>8</v>
      </c>
      <c r="F465" s="27" t="s">
        <v>7</v>
      </c>
      <c r="G465" s="27" t="s">
        <v>8</v>
      </c>
      <c r="H465" s="27" t="s">
        <v>7</v>
      </c>
      <c r="I465" s="27" t="s">
        <v>8</v>
      </c>
      <c r="J465" s="27" t="s">
        <v>7</v>
      </c>
      <c r="K465" s="27" t="s">
        <v>8</v>
      </c>
      <c r="L465" s="27" t="s">
        <v>7</v>
      </c>
      <c r="M465" s="27" t="s">
        <v>8</v>
      </c>
      <c r="N465" s="27" t="s">
        <v>7</v>
      </c>
      <c r="P465" s="27" t="s">
        <v>7</v>
      </c>
      <c r="Q465" s="27" t="s">
        <v>8</v>
      </c>
      <c r="R465" s="27" t="s">
        <v>7</v>
      </c>
      <c r="W465" s="27" t="s">
        <v>8</v>
      </c>
      <c r="X465" s="27" t="s">
        <v>7</v>
      </c>
      <c r="Y465" s="27" t="s">
        <v>8</v>
      </c>
      <c r="Z465" s="27" t="s">
        <v>7</v>
      </c>
      <c r="AZ465" s="27" t="s">
        <v>7</v>
      </c>
      <c r="BA465" s="27" t="s">
        <v>8</v>
      </c>
      <c r="BL465" s="27" t="s">
        <v>7</v>
      </c>
      <c r="BM465" s="27" t="s">
        <v>8</v>
      </c>
      <c r="BX465" s="27" t="s">
        <v>7</v>
      </c>
      <c r="BY465" s="27" t="s">
        <v>8</v>
      </c>
      <c r="EH465" s="27" t="s">
        <v>7</v>
      </c>
      <c r="EI465" s="27" t="s">
        <v>8</v>
      </c>
      <c r="EJ465" s="27" t="s">
        <v>7</v>
      </c>
      <c r="EK465" s="27" t="s">
        <v>8</v>
      </c>
      <c r="ER465" s="27" t="s">
        <v>7</v>
      </c>
      <c r="EU465" s="27" t="s">
        <v>8</v>
      </c>
      <c r="EV465" s="27" t="s">
        <v>7</v>
      </c>
    </row>
    <row r="466" spans="1:156" x14ac:dyDescent="0.25">
      <c r="A466" s="7">
        <v>10.980466294885806</v>
      </c>
      <c r="B466"/>
      <c r="C466"/>
      <c r="D466"/>
      <c r="E466" t="s">
        <v>8</v>
      </c>
      <c r="F466" s="27" t="s">
        <v>7</v>
      </c>
      <c r="G466" s="27" t="s">
        <v>8</v>
      </c>
      <c r="H466" s="27" t="s">
        <v>7</v>
      </c>
      <c r="I466" s="27" t="s">
        <v>8</v>
      </c>
      <c r="J466" s="27" t="s">
        <v>7</v>
      </c>
      <c r="K466" s="27" t="s">
        <v>8</v>
      </c>
      <c r="L466" s="27" t="s">
        <v>7</v>
      </c>
      <c r="M466" s="27" t="s">
        <v>8</v>
      </c>
      <c r="P466" s="27" t="s">
        <v>7</v>
      </c>
      <c r="Q466" s="27" t="s">
        <v>8</v>
      </c>
      <c r="R466" s="27" t="s">
        <v>7</v>
      </c>
      <c r="W466" s="27" t="s">
        <v>8</v>
      </c>
      <c r="X466" s="27" t="s">
        <v>7</v>
      </c>
      <c r="Y466" s="27" t="s">
        <v>8</v>
      </c>
      <c r="AZ466" s="27" t="s">
        <v>7</v>
      </c>
      <c r="BA466" s="27" t="s">
        <v>8</v>
      </c>
      <c r="BL466" s="27" t="s">
        <v>7</v>
      </c>
      <c r="BM466" s="27" t="s">
        <v>8</v>
      </c>
      <c r="BX466" s="27" t="s">
        <v>7</v>
      </c>
      <c r="EH466" s="27" t="s">
        <v>7</v>
      </c>
      <c r="EI466" s="27" t="s">
        <v>8</v>
      </c>
      <c r="EJ466" s="27" t="s">
        <v>7</v>
      </c>
      <c r="EK466" s="27" t="s">
        <v>8</v>
      </c>
      <c r="ER466" s="27" t="s">
        <v>7</v>
      </c>
      <c r="ES466" s="27" t="s">
        <v>8</v>
      </c>
      <c r="EU466" s="27" t="s">
        <v>8</v>
      </c>
      <c r="EV466" s="27" t="s">
        <v>7</v>
      </c>
      <c r="EW466" s="27" t="s">
        <v>8</v>
      </c>
    </row>
    <row r="467" spans="1:156" x14ac:dyDescent="0.25">
      <c r="A467" s="7">
        <v>10.765163034201771</v>
      </c>
      <c r="B467"/>
      <c r="C467"/>
      <c r="D467"/>
      <c r="E467" t="s">
        <v>8</v>
      </c>
      <c r="F467" s="27" t="s">
        <v>7</v>
      </c>
      <c r="G467" s="27" t="s">
        <v>8</v>
      </c>
      <c r="H467" s="27" t="s">
        <v>7</v>
      </c>
      <c r="I467" s="27" t="s">
        <v>8</v>
      </c>
      <c r="J467" s="27" t="s">
        <v>7</v>
      </c>
      <c r="K467" s="27" t="s">
        <v>8</v>
      </c>
      <c r="L467" s="27" t="s">
        <v>7</v>
      </c>
      <c r="P467" s="27" t="s">
        <v>7</v>
      </c>
      <c r="Q467" s="27" t="s">
        <v>8</v>
      </c>
      <c r="R467" s="27" t="s">
        <v>7</v>
      </c>
      <c r="W467" s="27" t="s">
        <v>8</v>
      </c>
      <c r="X467" s="27" t="s">
        <v>7</v>
      </c>
      <c r="AZ467" s="27" t="s">
        <v>7</v>
      </c>
      <c r="BA467" s="27" t="s">
        <v>8</v>
      </c>
      <c r="BL467" s="27" t="s">
        <v>7</v>
      </c>
      <c r="BM467" s="27" t="s">
        <v>8</v>
      </c>
      <c r="EH467" s="27" t="s">
        <v>7</v>
      </c>
      <c r="EI467" s="27" t="s">
        <v>8</v>
      </c>
      <c r="EJ467" s="27" t="s">
        <v>7</v>
      </c>
      <c r="ER467" s="27" t="s">
        <v>7</v>
      </c>
      <c r="ES467" s="27" t="s">
        <v>8</v>
      </c>
      <c r="ET467" s="27" t="s">
        <v>7</v>
      </c>
      <c r="EU467" s="27" t="s">
        <v>8</v>
      </c>
      <c r="EV467" s="27" t="s">
        <v>7</v>
      </c>
      <c r="EW467" s="27" t="s">
        <v>8</v>
      </c>
      <c r="EX467" s="27" t="s">
        <v>7</v>
      </c>
    </row>
    <row r="468" spans="1:156" x14ac:dyDescent="0.25">
      <c r="A468" s="7">
        <v>10.554081406080169</v>
      </c>
      <c r="B468"/>
      <c r="C468"/>
      <c r="D468"/>
      <c r="E468" t="s">
        <v>8</v>
      </c>
      <c r="F468" s="27" t="s">
        <v>7</v>
      </c>
      <c r="G468" s="27" t="s">
        <v>8</v>
      </c>
      <c r="H468" s="27" t="s">
        <v>7</v>
      </c>
      <c r="J468" s="27" t="s">
        <v>7</v>
      </c>
      <c r="K468" s="27" t="s">
        <v>8</v>
      </c>
      <c r="P468" s="27" t="s">
        <v>7</v>
      </c>
      <c r="R468" s="27" t="s">
        <v>7</v>
      </c>
      <c r="S468" s="27" t="s">
        <v>8</v>
      </c>
      <c r="W468" s="27" t="s">
        <v>8</v>
      </c>
      <c r="AZ468" s="27" t="s">
        <v>7</v>
      </c>
      <c r="BA468" s="27" t="s">
        <v>8</v>
      </c>
      <c r="BL468" s="27" t="s">
        <v>7</v>
      </c>
      <c r="BM468" s="27" t="s">
        <v>8</v>
      </c>
      <c r="EH468" s="27" t="s">
        <v>7</v>
      </c>
      <c r="EI468" s="27" t="s">
        <v>8</v>
      </c>
      <c r="ER468" s="27" t="s">
        <v>7</v>
      </c>
      <c r="ES468" s="27" t="s">
        <v>8</v>
      </c>
      <c r="ET468" s="27" t="s">
        <v>7</v>
      </c>
      <c r="EU468" s="27" t="s">
        <v>8</v>
      </c>
      <c r="EV468" s="27" t="s">
        <v>7</v>
      </c>
      <c r="EW468" s="27" t="s">
        <v>8</v>
      </c>
      <c r="EX468" s="27" t="s">
        <v>7</v>
      </c>
    </row>
    <row r="469" spans="1:156" x14ac:dyDescent="0.25">
      <c r="A469" s="7">
        <v>10.34713863341193</v>
      </c>
      <c r="B469"/>
      <c r="C469"/>
      <c r="D469"/>
      <c r="E469" t="s">
        <v>8</v>
      </c>
      <c r="F469" s="27" t="s">
        <v>7</v>
      </c>
      <c r="G469" s="27" t="s">
        <v>8</v>
      </c>
      <c r="J469" s="27" t="s">
        <v>7</v>
      </c>
      <c r="K469" s="27" t="s">
        <v>8</v>
      </c>
      <c r="R469" s="27" t="s">
        <v>7</v>
      </c>
      <c r="S469" s="27" t="s">
        <v>8</v>
      </c>
      <c r="T469" s="27" t="s">
        <v>7</v>
      </c>
      <c r="U469" s="27" t="s">
        <v>8</v>
      </c>
      <c r="W469" s="27" t="s">
        <v>8</v>
      </c>
      <c r="AZ469" s="27" t="s">
        <v>7</v>
      </c>
      <c r="BA469" s="27" t="s">
        <v>8</v>
      </c>
      <c r="BL469" s="27" t="s">
        <v>7</v>
      </c>
      <c r="BM469" s="27" t="s">
        <v>8</v>
      </c>
      <c r="EH469" s="27" t="s">
        <v>7</v>
      </c>
      <c r="EI469" s="27" t="s">
        <v>8</v>
      </c>
      <c r="ER469" s="27" t="s">
        <v>7</v>
      </c>
      <c r="ES469" s="27" t="s">
        <v>8</v>
      </c>
      <c r="ET469" s="27" t="s">
        <v>7</v>
      </c>
      <c r="EU469" s="27" t="s">
        <v>8</v>
      </c>
      <c r="EV469" s="27" t="s">
        <v>7</v>
      </c>
      <c r="EX469" s="27" t="s">
        <v>7</v>
      </c>
    </row>
    <row r="470" spans="1:156" x14ac:dyDescent="0.25">
      <c r="A470" s="7">
        <v>10.14425356216856</v>
      </c>
      <c r="B470"/>
      <c r="C470"/>
      <c r="D470"/>
      <c r="E470" t="s">
        <v>8</v>
      </c>
      <c r="F470" s="27" t="s">
        <v>7</v>
      </c>
      <c r="G470" s="27" t="s">
        <v>8</v>
      </c>
      <c r="J470" s="27" t="s">
        <v>7</v>
      </c>
      <c r="K470" s="27" t="s">
        <v>8</v>
      </c>
      <c r="R470" s="27" t="s">
        <v>7</v>
      </c>
      <c r="S470" s="27" t="s">
        <v>8</v>
      </c>
      <c r="T470" s="27" t="s">
        <v>7</v>
      </c>
      <c r="U470" s="27" t="s">
        <v>8</v>
      </c>
      <c r="V470" s="27" t="s">
        <v>7</v>
      </c>
      <c r="W470" s="27" t="s">
        <v>8</v>
      </c>
      <c r="AZ470" s="27" t="s">
        <v>7</v>
      </c>
      <c r="BA470" s="27" t="s">
        <v>8</v>
      </c>
      <c r="BL470" s="27" t="s">
        <v>7</v>
      </c>
      <c r="BM470" s="27" t="s">
        <v>8</v>
      </c>
      <c r="EH470" s="27" t="s">
        <v>7</v>
      </c>
      <c r="ER470" s="27" t="s">
        <v>7</v>
      </c>
      <c r="ET470" s="27" t="s">
        <v>7</v>
      </c>
      <c r="EX470" s="27" t="s">
        <v>7</v>
      </c>
    </row>
    <row r="471" spans="1:156" x14ac:dyDescent="0.25">
      <c r="A471" s="7">
        <v>9.9453466295770188</v>
      </c>
      <c r="B471"/>
      <c r="C471"/>
      <c r="D471"/>
      <c r="E471" t="s">
        <v>8</v>
      </c>
      <c r="F471" s="27" t="s">
        <v>7</v>
      </c>
      <c r="G471" s="27" t="s">
        <v>8</v>
      </c>
      <c r="J471" s="27" t="s">
        <v>7</v>
      </c>
      <c r="K471" s="27" t="s">
        <v>8</v>
      </c>
      <c r="R471" s="27" t="s">
        <v>7</v>
      </c>
      <c r="S471" s="27" t="s">
        <v>8</v>
      </c>
      <c r="T471" s="27" t="s">
        <v>7</v>
      </c>
      <c r="U471" s="27" t="s">
        <v>8</v>
      </c>
      <c r="V471" s="27" t="s">
        <v>7</v>
      </c>
      <c r="W471" s="27" t="s">
        <v>8</v>
      </c>
      <c r="AZ471" s="27" t="s">
        <v>7</v>
      </c>
      <c r="BA471" s="27" t="s">
        <v>8</v>
      </c>
      <c r="BL471" s="27" t="s">
        <v>7</v>
      </c>
      <c r="BM471" s="27" t="s">
        <v>8</v>
      </c>
      <c r="EX471" s="27" t="s">
        <v>7</v>
      </c>
    </row>
    <row r="472" spans="1:156" x14ac:dyDescent="0.25">
      <c r="A472" s="7">
        <v>9.7503398329186464</v>
      </c>
      <c r="B472"/>
      <c r="C472"/>
      <c r="D472"/>
      <c r="E472" t="s">
        <v>8</v>
      </c>
      <c r="F472" s="27" t="s">
        <v>7</v>
      </c>
      <c r="J472" s="27" t="s">
        <v>7</v>
      </c>
      <c r="K472" s="27" t="s">
        <v>8</v>
      </c>
      <c r="R472" s="27" t="s">
        <v>7</v>
      </c>
      <c r="S472" s="27" t="s">
        <v>8</v>
      </c>
      <c r="T472" s="27" t="s">
        <v>7</v>
      </c>
      <c r="V472" s="27" t="s">
        <v>7</v>
      </c>
      <c r="AZ472" s="27" t="s">
        <v>7</v>
      </c>
      <c r="BA472" s="27" t="s">
        <v>8</v>
      </c>
      <c r="BL472" s="27" t="s">
        <v>7</v>
      </c>
      <c r="EX472" s="27" t="s">
        <v>7</v>
      </c>
    </row>
    <row r="473" spans="1:156" x14ac:dyDescent="0.25">
      <c r="A473" s="7">
        <v>9.5591566989398498</v>
      </c>
      <c r="B473"/>
      <c r="C473"/>
      <c r="D473"/>
      <c r="E473" t="s">
        <v>8</v>
      </c>
      <c r="J473" s="27" t="s">
        <v>7</v>
      </c>
      <c r="K473" s="27" t="s">
        <v>8</v>
      </c>
      <c r="R473" s="27" t="s">
        <v>7</v>
      </c>
      <c r="S473" s="27" t="s">
        <v>8</v>
      </c>
      <c r="AZ473" s="27" t="s">
        <v>7</v>
      </c>
      <c r="EX473" s="27" t="s">
        <v>7</v>
      </c>
    </row>
    <row r="474" spans="1:156" x14ac:dyDescent="0.25">
      <c r="A474" s="7">
        <v>9.3717222538625968</v>
      </c>
      <c r="B474"/>
      <c r="C474"/>
      <c r="D474"/>
      <c r="E474" t="s">
        <v>8</v>
      </c>
      <c r="J474" s="27" t="s">
        <v>7</v>
      </c>
      <c r="K474" s="27" t="s">
        <v>8</v>
      </c>
      <c r="R474" s="27" t="s">
        <v>7</v>
      </c>
      <c r="EX474" s="27" t="s">
        <v>7</v>
      </c>
    </row>
    <row r="475" spans="1:156" x14ac:dyDescent="0.25">
      <c r="A475" s="7">
        <v>9.1879629939829375</v>
      </c>
      <c r="B475"/>
      <c r="C475"/>
      <c r="D475"/>
      <c r="E475" t="s">
        <v>8</v>
      </c>
      <c r="J475" s="27" t="s">
        <v>7</v>
      </c>
      <c r="K475" s="27" t="s">
        <v>8</v>
      </c>
      <c r="EX475" s="27" t="s">
        <v>7</v>
      </c>
    </row>
    <row r="476" spans="1:156" x14ac:dyDescent="0.25">
      <c r="A476" s="7">
        <v>9.0078068568460168</v>
      </c>
      <c r="B476"/>
      <c r="C476"/>
      <c r="D476"/>
      <c r="E476" t="s">
        <v>8</v>
      </c>
      <c r="J476" s="27" t="s">
        <v>7</v>
      </c>
      <c r="K476" s="27" t="s">
        <v>8</v>
      </c>
      <c r="EX476" s="27" t="s">
        <v>7</v>
      </c>
    </row>
    <row r="477" spans="1:156" x14ac:dyDescent="0.25">
      <c r="A477" s="7">
        <v>8.8311831929862912</v>
      </c>
      <c r="B477"/>
      <c r="C477"/>
      <c r="D477"/>
      <c r="E477" t="s">
        <v>8</v>
      </c>
      <c r="J477" s="27" t="s">
        <v>7</v>
      </c>
      <c r="K477" s="27" t="s">
        <v>8</v>
      </c>
      <c r="EX477" s="27" t="s">
        <v>7</v>
      </c>
    </row>
    <row r="478" spans="1:156" x14ac:dyDescent="0.25">
      <c r="A478" s="7">
        <v>8.6580227382218542</v>
      </c>
      <c r="B478"/>
      <c r="C478"/>
      <c r="D478"/>
      <c r="E478" t="s">
        <v>8</v>
      </c>
      <c r="J478" s="27" t="s">
        <v>7</v>
      </c>
      <c r="K478" s="27" t="s">
        <v>8</v>
      </c>
      <c r="EX478" s="27" t="s">
        <v>7</v>
      </c>
      <c r="EY478" s="27" t="s">
        <v>8</v>
      </c>
    </row>
    <row r="479" spans="1:156" x14ac:dyDescent="0.25">
      <c r="A479" s="7">
        <v>8.4882575864920131</v>
      </c>
      <c r="B479"/>
      <c r="C479"/>
      <c r="D479"/>
      <c r="E479" t="s">
        <v>8</v>
      </c>
      <c r="J479" s="27" t="s">
        <v>7</v>
      </c>
      <c r="K479" s="27" t="s">
        <v>8</v>
      </c>
      <c r="EX479" s="27" t="s">
        <v>7</v>
      </c>
      <c r="EY479" s="27" t="s">
        <v>8</v>
      </c>
      <c r="EZ479" s="27" t="s">
        <v>7</v>
      </c>
    </row>
    <row r="480" spans="1:156" x14ac:dyDescent="0.25">
      <c r="A480" s="7">
        <v>8.3218211632274635</v>
      </c>
      <c r="B480"/>
      <c r="C480"/>
      <c r="D480"/>
      <c r="E480" t="s">
        <v>8</v>
      </c>
      <c r="J480" s="27" t="s">
        <v>7</v>
      </c>
      <c r="EX480" s="27" t="s">
        <v>7</v>
      </c>
      <c r="EY480" s="27" t="s">
        <v>8</v>
      </c>
      <c r="EZ480" s="27" t="s">
        <v>7</v>
      </c>
    </row>
    <row r="481" spans="1:158" x14ac:dyDescent="0.25">
      <c r="A481" s="7">
        <v>8.1586481992426112</v>
      </c>
      <c r="B481"/>
      <c r="C481"/>
      <c r="D481"/>
      <c r="E481" t="s">
        <v>8</v>
      </c>
      <c r="EX481" s="27" t="s">
        <v>7</v>
      </c>
      <c r="EY481" s="27" t="s">
        <v>8</v>
      </c>
      <c r="EZ481" s="27" t="s">
        <v>7</v>
      </c>
    </row>
    <row r="482" spans="1:158" x14ac:dyDescent="0.25">
      <c r="A482" s="7">
        <v>7.9986747051398144</v>
      </c>
      <c r="B482"/>
      <c r="C482"/>
      <c r="D482"/>
      <c r="E482" t="s">
        <v>8</v>
      </c>
      <c r="EX482" s="27" t="s">
        <v>7</v>
      </c>
      <c r="EY482" s="27" t="s">
        <v>8</v>
      </c>
      <c r="EZ482" s="27" t="s">
        <v>7</v>
      </c>
      <c r="FA482" s="27" t="s">
        <v>8</v>
      </c>
    </row>
    <row r="483" spans="1:158" x14ac:dyDescent="0.25">
      <c r="A483" s="7">
        <v>7.8418379462155041</v>
      </c>
      <c r="B483"/>
      <c r="C483"/>
      <c r="D483"/>
      <c r="E483" t="s">
        <v>8</v>
      </c>
      <c r="EX483" s="27" t="s">
        <v>7</v>
      </c>
      <c r="EY483" s="27" t="s">
        <v>8</v>
      </c>
      <c r="EZ483" s="27" t="s">
        <v>7</v>
      </c>
      <c r="FA483" s="27" t="s">
        <v>8</v>
      </c>
      <c r="FB483" s="27" t="s">
        <v>7</v>
      </c>
    </row>
    <row r="484" spans="1:158" x14ac:dyDescent="0.25">
      <c r="A484" s="7">
        <v>7.688076417858337</v>
      </c>
      <c r="B484"/>
      <c r="C484"/>
      <c r="D484"/>
      <c r="E484" t="s">
        <v>8</v>
      </c>
      <c r="EX484" s="27" t="s">
        <v>7</v>
      </c>
      <c r="EY484" s="27" t="s">
        <v>8</v>
      </c>
      <c r="EZ484" s="27" t="s">
        <v>7</v>
      </c>
      <c r="FA484" s="27" t="s">
        <v>8</v>
      </c>
      <c r="FB484" s="27" t="s">
        <v>7</v>
      </c>
    </row>
    <row r="485" spans="1:158" x14ac:dyDescent="0.25">
      <c r="A485" s="7">
        <v>7.5373298214297417</v>
      </c>
      <c r="B485"/>
      <c r="C485"/>
      <c r="D485"/>
      <c r="E485" t="s">
        <v>8</v>
      </c>
      <c r="EX485" s="27" t="s">
        <v>7</v>
      </c>
      <c r="EY485" s="27" t="s">
        <v>8</v>
      </c>
      <c r="EZ485" s="27" t="s">
        <v>7</v>
      </c>
      <c r="FA485" s="27" t="s">
        <v>8</v>
      </c>
      <c r="FB485" s="27" t="s">
        <v>7</v>
      </c>
    </row>
    <row r="486" spans="1:158" x14ac:dyDescent="0.25">
      <c r="A486" s="7">
        <v>7.389539040617394</v>
      </c>
      <c r="B486"/>
      <c r="C486"/>
      <c r="D486"/>
      <c r="E486" t="s">
        <v>8</v>
      </c>
      <c r="EX486" s="27" t="s">
        <v>7</v>
      </c>
      <c r="EY486" s="27" t="s">
        <v>8</v>
      </c>
      <c r="EZ486" s="27" t="s">
        <v>7</v>
      </c>
      <c r="FA486" s="27" t="s">
        <v>8</v>
      </c>
      <c r="FB486" s="27" t="s">
        <v>7</v>
      </c>
    </row>
    <row r="487" spans="1:158" x14ac:dyDescent="0.25">
      <c r="A487" s="7">
        <v>7.2446461182523469</v>
      </c>
      <c r="B487"/>
      <c r="C487"/>
      <c r="D487"/>
      <c r="E487" t="s">
        <v>8</v>
      </c>
      <c r="EX487" s="27" t="s">
        <v>7</v>
      </c>
      <c r="EY487" s="27" t="s">
        <v>8</v>
      </c>
      <c r="EZ487" s="27" t="s">
        <v>7</v>
      </c>
      <c r="FA487" s="27" t="s">
        <v>8</v>
      </c>
    </row>
    <row r="488" spans="1:158" x14ac:dyDescent="0.25">
      <c r="A488" s="7">
        <v>7.1025942335807324</v>
      </c>
      <c r="B488"/>
      <c r="C488"/>
      <c r="D488"/>
      <c r="E488" t="s">
        <v>8</v>
      </c>
      <c r="EX488" s="27" t="s">
        <v>7</v>
      </c>
      <c r="EY488" s="27" t="s">
        <v>8</v>
      </c>
      <c r="EZ488" s="27" t="s">
        <v>7</v>
      </c>
      <c r="FA488" s="27" t="s">
        <v>8</v>
      </c>
    </row>
    <row r="489" spans="1:158" x14ac:dyDescent="0.25">
      <c r="A489" s="7">
        <v>6.9633276799811101</v>
      </c>
      <c r="B489"/>
      <c r="C489"/>
      <c r="D489"/>
      <c r="E489" t="s">
        <v>8</v>
      </c>
      <c r="EX489" s="27" t="s">
        <v>7</v>
      </c>
      <c r="EY489" s="27" t="s">
        <v>8</v>
      </c>
      <c r="EZ489" s="27" t="s">
        <v>7</v>
      </c>
      <c r="FA489" s="27" t="s">
        <v>8</v>
      </c>
    </row>
    <row r="490" spans="1:158" x14ac:dyDescent="0.25">
      <c r="A490" s="7">
        <v>6.8267918431187349</v>
      </c>
      <c r="B490"/>
      <c r="C490"/>
      <c r="D490"/>
      <c r="E490" t="s">
        <v>8</v>
      </c>
      <c r="EX490" s="27" t="s">
        <v>7</v>
      </c>
      <c r="EZ490" s="27" t="s">
        <v>7</v>
      </c>
    </row>
    <row r="491" spans="1:158" x14ac:dyDescent="0.25">
      <c r="A491" s="7">
        <v>6.692933179528171</v>
      </c>
      <c r="B491"/>
      <c r="C491"/>
      <c r="D491"/>
      <c r="E491" t="s">
        <v>8</v>
      </c>
    </row>
    <row r="492" spans="1:158" x14ac:dyDescent="0.25">
      <c r="A492" s="7">
        <v>6.5616991956158541</v>
      </c>
      <c r="B492"/>
      <c r="C492"/>
      <c r="D492"/>
      <c r="E492" t="s">
        <v>8</v>
      </c>
    </row>
    <row r="493" spans="1:158" x14ac:dyDescent="0.25">
      <c r="A493" s="7">
        <v>6.4330384270743668</v>
      </c>
      <c r="B493"/>
      <c r="C493"/>
      <c r="D493"/>
      <c r="E493" t="s">
        <v>8</v>
      </c>
    </row>
    <row r="494" spans="1:158" x14ac:dyDescent="0.25">
      <c r="A494" s="7">
        <v>6.3069004187003594</v>
      </c>
      <c r="B494"/>
      <c r="C494"/>
      <c r="D494"/>
      <c r="E494" t="s">
        <v>8</v>
      </c>
    </row>
    <row r="495" spans="1:158" x14ac:dyDescent="0.25">
      <c r="A495" s="7">
        <v>6.1832357046081956</v>
      </c>
      <c r="B495"/>
      <c r="C495"/>
      <c r="D495"/>
      <c r="E495" t="s">
        <v>8</v>
      </c>
    </row>
    <row r="496" spans="1:158" x14ac:dyDescent="0.25">
      <c r="A496" s="7">
        <v>6.0619957888315641</v>
      </c>
      <c r="B496"/>
      <c r="C496"/>
      <c r="D496"/>
      <c r="E496" t="s">
        <v>8</v>
      </c>
    </row>
    <row r="497" spans="1:5" x14ac:dyDescent="0.25">
      <c r="A497" s="7">
        <v>5.9431331263054545</v>
      </c>
      <c r="B497"/>
      <c r="C497"/>
      <c r="D497"/>
      <c r="E497" t="s">
        <v>8</v>
      </c>
    </row>
    <row r="498" spans="1:5" x14ac:dyDescent="0.25">
      <c r="A498" s="7">
        <v>5.8266011042210337</v>
      </c>
      <c r="B498"/>
      <c r="C498"/>
      <c r="D498"/>
      <c r="E498" t="s">
        <v>8</v>
      </c>
    </row>
    <row r="499" spans="1:5" x14ac:dyDescent="0.25">
      <c r="A499" s="7">
        <v>5.7123540237461112</v>
      </c>
      <c r="B499"/>
      <c r="C499"/>
      <c r="D499"/>
      <c r="E499" t="s">
        <v>8</v>
      </c>
    </row>
    <row r="500" spans="1:5" x14ac:dyDescent="0.25">
      <c r="A500" s="7">
        <v>5.6003470821040304</v>
      </c>
      <c r="B500"/>
      <c r="C500"/>
      <c r="D500"/>
      <c r="E500" t="s">
        <v>8</v>
      </c>
    </row>
    <row r="501" spans="1:5" x14ac:dyDescent="0.25">
      <c r="A501" s="7">
        <v>5.4905363550039512</v>
      </c>
      <c r="B501"/>
      <c r="C501"/>
      <c r="D501"/>
      <c r="E501" t="s">
        <v>8</v>
      </c>
    </row>
    <row r="502" spans="1:5" x14ac:dyDescent="0.25">
      <c r="A502" s="7">
        <v>5.3828787794156385</v>
      </c>
      <c r="B502"/>
      <c r="C502"/>
      <c r="D502"/>
      <c r="E502" t="s">
        <v>8</v>
      </c>
    </row>
    <row r="503" spans="1:5" x14ac:dyDescent="0.25">
      <c r="A503" s="7">
        <v>5.2773321366819985</v>
      </c>
      <c r="B503"/>
      <c r="C503"/>
      <c r="D503"/>
      <c r="E503" t="s">
        <v>8</v>
      </c>
    </row>
    <row r="504" spans="1:5" x14ac:dyDescent="0.25">
      <c r="A504" s="7">
        <v>5.1738550359627435</v>
      </c>
      <c r="B504"/>
      <c r="C504"/>
      <c r="D504"/>
      <c r="E504" t="s">
        <v>8</v>
      </c>
    </row>
    <row r="505" spans="1:5" x14ac:dyDescent="0.25">
      <c r="A505" s="7">
        <v>5.07240689800269</v>
      </c>
      <c r="B505"/>
      <c r="C505"/>
      <c r="D505"/>
      <c r="E505" t="s">
        <v>8</v>
      </c>
    </row>
    <row r="506" spans="1:5" x14ac:dyDescent="0.25">
      <c r="A506" s="7">
        <v>4.9729479392183231</v>
      </c>
      <c r="B506"/>
      <c r="C506"/>
      <c r="D506"/>
      <c r="E506" t="s">
        <v>8</v>
      </c>
    </row>
    <row r="507" spans="1:5" x14ac:dyDescent="0.25">
      <c r="A507" s="7">
        <v>4.8754391560963954</v>
      </c>
      <c r="B507"/>
      <c r="C507"/>
      <c r="D507"/>
      <c r="E507" t="s">
        <v>8</v>
      </c>
    </row>
    <row r="508" spans="1:5" x14ac:dyDescent="0.25">
      <c r="A508" s="7">
        <v>4.7798423098984264</v>
      </c>
      <c r="B508"/>
      <c r="C508"/>
      <c r="D508"/>
      <c r="E508" t="s">
        <v>8</v>
      </c>
    </row>
    <row r="509" spans="1:5" x14ac:dyDescent="0.25">
      <c r="A509" s="7">
        <v>4.6861199116651235</v>
      </c>
      <c r="B509"/>
      <c r="C509"/>
      <c r="D509"/>
      <c r="E509" t="s">
        <v>8</v>
      </c>
    </row>
    <row r="510" spans="1:5" x14ac:dyDescent="0.25">
      <c r="A510" s="7">
        <v>4.5942352075148269</v>
      </c>
      <c r="B510"/>
      <c r="C510"/>
      <c r="D510"/>
      <c r="E510" t="s">
        <v>8</v>
      </c>
    </row>
    <row r="511" spans="1:5" x14ac:dyDescent="0.25">
      <c r="A511" s="7">
        <v>4.5041521642302227</v>
      </c>
      <c r="B511"/>
      <c r="C511"/>
      <c r="D511"/>
      <c r="E511" t="s">
        <v>8</v>
      </c>
    </row>
    <row r="512" spans="1:5" x14ac:dyDescent="0.25">
      <c r="A512" s="7">
        <v>4.4158354551276693</v>
      </c>
      <c r="B512"/>
      <c r="C512"/>
      <c r="D512"/>
      <c r="E512" t="s">
        <v>8</v>
      </c>
    </row>
    <row r="513" spans="1:5" x14ac:dyDescent="0.25">
      <c r="A513" s="7">
        <v>4.3292504462035977</v>
      </c>
      <c r="B513"/>
      <c r="C513"/>
      <c r="D513"/>
      <c r="E513" t="s">
        <v>8</v>
      </c>
    </row>
    <row r="514" spans="1:5" x14ac:dyDescent="0.25">
      <c r="A514" s="7">
        <v>4.2443631825525463</v>
      </c>
      <c r="B514"/>
      <c r="C514"/>
      <c r="D514"/>
      <c r="E514" t="s">
        <v>8</v>
      </c>
    </row>
    <row r="515" spans="1:5" x14ac:dyDescent="0.25">
      <c r="A515" s="7">
        <v>4.1611403750515157</v>
      </c>
      <c r="B515"/>
      <c r="C515"/>
      <c r="D515"/>
      <c r="E515" t="s">
        <v>8</v>
      </c>
    </row>
    <row r="516" spans="1:5" x14ac:dyDescent="0.25">
      <c r="A516" s="7">
        <v>4.0795493873054074</v>
      </c>
      <c r="B516"/>
      <c r="C516"/>
      <c r="D516"/>
      <c r="E516" t="s">
        <v>8</v>
      </c>
    </row>
    <row r="517" spans="1:5" x14ac:dyDescent="0.25">
      <c r="A517" s="7">
        <v>3.9995582228484383</v>
      </c>
      <c r="B517"/>
      <c r="C517"/>
      <c r="D517"/>
      <c r="E517" t="s">
        <v>8</v>
      </c>
    </row>
    <row r="518" spans="1:5" x14ac:dyDescent="0.25">
      <c r="A518" s="7">
        <v>3.9211355125965079</v>
      </c>
      <c r="B518"/>
      <c r="C518"/>
      <c r="D518"/>
      <c r="E518" t="s">
        <v>8</v>
      </c>
    </row>
    <row r="519" spans="1:5" x14ac:dyDescent="0.25">
      <c r="A519" s="7">
        <v>3.844250502545596</v>
      </c>
      <c r="B519"/>
      <c r="C519"/>
      <c r="D519"/>
      <c r="E519" t="s">
        <v>8</v>
      </c>
    </row>
    <row r="520" spans="1:5" x14ac:dyDescent="0.25">
      <c r="A520" s="7">
        <v>3.7688730417113687</v>
      </c>
      <c r="B520"/>
      <c r="C520"/>
      <c r="D520"/>
      <c r="E520" t="s">
        <v>8</v>
      </c>
    </row>
    <row r="521" spans="1:5" x14ac:dyDescent="0.25">
      <c r="A521" s="7">
        <v>3.6949735703052635</v>
      </c>
      <c r="B521"/>
      <c r="C521"/>
      <c r="D521"/>
      <c r="E521" t="s">
        <v>8</v>
      </c>
    </row>
    <row r="522" spans="1:5" x14ac:dyDescent="0.25">
      <c r="A522" s="7">
        <v>3.6225231081424152</v>
      </c>
      <c r="B522"/>
      <c r="C522"/>
      <c r="D522"/>
      <c r="E522" t="s">
        <v>8</v>
      </c>
    </row>
    <row r="523" spans="1:5" x14ac:dyDescent="0.25">
      <c r="A523" s="7">
        <v>3.5514932432768775</v>
      </c>
      <c r="B523"/>
      <c r="C523"/>
      <c r="D523"/>
      <c r="E523" t="s">
        <v>8</v>
      </c>
    </row>
    <row r="524" spans="1:5" x14ac:dyDescent="0.25">
      <c r="A524" s="7">
        <v>3.4818561208596837</v>
      </c>
      <c r="B524"/>
      <c r="C524"/>
      <c r="D524"/>
      <c r="E524" t="s">
        <v>8</v>
      </c>
    </row>
    <row r="525" spans="1:5" x14ac:dyDescent="0.25">
      <c r="A525" s="7">
        <v>3.4135844322153761</v>
      </c>
      <c r="B525"/>
      <c r="C525"/>
      <c r="D525"/>
      <c r="E525" t="s">
        <v>8</v>
      </c>
    </row>
    <row r="526" spans="1:5" x14ac:dyDescent="0.25">
      <c r="A526" s="7">
        <v>3.3466514041327216</v>
      </c>
      <c r="B526"/>
      <c r="C526"/>
      <c r="D526"/>
      <c r="E526" t="s">
        <v>8</v>
      </c>
    </row>
    <row r="527" spans="1:5" x14ac:dyDescent="0.25">
      <c r="A527" s="7">
        <v>3.2810307883654133</v>
      </c>
      <c r="B527"/>
      <c r="C527"/>
      <c r="D527"/>
      <c r="E527" t="s">
        <v>8</v>
      </c>
    </row>
    <row r="528" spans="1:5" x14ac:dyDescent="0.25">
      <c r="A528" s="7">
        <v>3.2166968513386403</v>
      </c>
      <c r="B528"/>
      <c r="C528"/>
      <c r="D528"/>
      <c r="E528" t="s">
        <v>8</v>
      </c>
    </row>
    <row r="529" spans="1:5" x14ac:dyDescent="0.25">
      <c r="A529" s="7">
        <v>3.1536243640574906</v>
      </c>
      <c r="B529"/>
      <c r="C529"/>
      <c r="D529"/>
      <c r="E529" t="s">
        <v>8</v>
      </c>
    </row>
    <row r="530" spans="1:5" x14ac:dyDescent="0.25">
      <c r="A530" s="7">
        <v>3.0917885922132262</v>
      </c>
      <c r="B530"/>
      <c r="C530"/>
      <c r="D530"/>
      <c r="E530" t="s">
        <v>8</v>
      </c>
    </row>
    <row r="531" spans="1:5" x14ac:dyDescent="0.25">
      <c r="A531" s="7">
        <v>3.0311652864835552</v>
      </c>
      <c r="B531"/>
      <c r="C531"/>
      <c r="D531"/>
      <c r="E531" t="s">
        <v>8</v>
      </c>
    </row>
    <row r="532" spans="1:5" x14ac:dyDescent="0.25">
      <c r="A532" s="7">
        <v>2.9717306730230932</v>
      </c>
      <c r="B532"/>
      <c r="C532"/>
      <c r="D532"/>
      <c r="E532" t="s">
        <v>8</v>
      </c>
    </row>
    <row r="533" spans="1:5" x14ac:dyDescent="0.25">
      <c r="A533" s="7">
        <v>2.9134614441402875</v>
      </c>
      <c r="B533"/>
      <c r="C533"/>
      <c r="D533"/>
      <c r="E533" t="s">
        <v>8</v>
      </c>
    </row>
    <row r="534" spans="1:5" x14ac:dyDescent="0.25">
      <c r="A534" s="7">
        <v>2.8563347491571447</v>
      </c>
      <c r="B534"/>
      <c r="C534"/>
      <c r="D534"/>
      <c r="E534" t="s">
        <v>8</v>
      </c>
    </row>
    <row r="535" spans="1:5" x14ac:dyDescent="0.25">
      <c r="A535" s="7">
        <v>2.8003281854481812</v>
      </c>
      <c r="B535"/>
      <c r="C535"/>
      <c r="D535"/>
      <c r="E535" t="s">
        <v>8</v>
      </c>
    </row>
    <row r="536" spans="1:5" x14ac:dyDescent="0.25">
      <c r="A536" s="7">
        <v>2.7454197896550796</v>
      </c>
      <c r="B536"/>
      <c r="C536"/>
      <c r="D536"/>
      <c r="E536" t="s">
        <v>8</v>
      </c>
    </row>
    <row r="537" spans="1:5" x14ac:dyDescent="0.25">
      <c r="A537" s="7">
        <v>2.6915880290736074</v>
      </c>
      <c r="B537"/>
      <c r="C537"/>
      <c r="D537"/>
      <c r="E537" t="s">
        <v>8</v>
      </c>
    </row>
    <row r="538" spans="1:5" x14ac:dyDescent="0.25">
      <c r="A538" s="7">
        <v>2.6388117932094191</v>
      </c>
      <c r="B538"/>
      <c r="C538"/>
      <c r="D538"/>
      <c r="E538" t="s">
        <v>8</v>
      </c>
    </row>
    <row r="539" spans="1:5" x14ac:dyDescent="0.25">
      <c r="A539" s="7">
        <v>2.5870703854994304</v>
      </c>
      <c r="B539"/>
      <c r="C539"/>
      <c r="D539"/>
      <c r="E539" t="s">
        <v>8</v>
      </c>
    </row>
    <row r="540" spans="1:5" x14ac:dyDescent="0.25">
      <c r="A540" s="7">
        <v>2.53634351519552</v>
      </c>
      <c r="B540"/>
      <c r="C540"/>
      <c r="D540"/>
      <c r="E540" t="s">
        <v>8</v>
      </c>
    </row>
    <row r="541" spans="1:5" x14ac:dyDescent="0.25">
      <c r="A541" s="7">
        <v>2.4866112894073726</v>
      </c>
      <c r="B541"/>
      <c r="C541"/>
      <c r="D541"/>
      <c r="E541" t="s">
        <v>8</v>
      </c>
    </row>
    <row r="542" spans="1:5" x14ac:dyDescent="0.25">
      <c r="A542" s="7">
        <v>2.4378542053013459</v>
      </c>
      <c r="B542"/>
      <c r="C542"/>
      <c r="D542"/>
      <c r="E542" t="s">
        <v>8</v>
      </c>
    </row>
    <row r="543" spans="1:5" x14ac:dyDescent="0.25">
      <c r="A543" s="7">
        <v>2.3900531424522997</v>
      </c>
      <c r="B543"/>
      <c r="C543"/>
      <c r="D543"/>
      <c r="E543" t="s">
        <v>8</v>
      </c>
    </row>
    <row r="544" spans="1:5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748" operator="equal">
      <formula>$U$1</formula>
    </cfRule>
    <cfRule type="cellIs" dxfId="89" priority="749" operator="equal">
      <formula>$S$1</formula>
    </cfRule>
  </conditionalFormatting>
  <conditionalFormatting sqref="D27">
    <cfRule type="cellIs" dxfId="88" priority="746" operator="equal">
      <formula>$S$1</formula>
    </cfRule>
    <cfRule type="cellIs" dxfId="87" priority="747" operator="equal">
      <formula>$U$1</formula>
    </cfRule>
  </conditionalFormatting>
  <conditionalFormatting sqref="C164">
    <cfRule type="cellIs" dxfId="86" priority="744" operator="equal">
      <formula>$U$1</formula>
    </cfRule>
    <cfRule type="cellIs" dxfId="85" priority="745" operator="equal">
      <formula>$S$1</formula>
    </cfRule>
  </conditionalFormatting>
  <conditionalFormatting sqref="D164">
    <cfRule type="cellIs" dxfId="84" priority="742" operator="equal">
      <formula>$S$1</formula>
    </cfRule>
    <cfRule type="cellIs" dxfId="83" priority="743" operator="equal">
      <formula>$U$1</formula>
    </cfRule>
  </conditionalFormatting>
  <conditionalFormatting sqref="C55">
    <cfRule type="cellIs" dxfId="82" priority="740" operator="equal">
      <formula>$U$1</formula>
    </cfRule>
    <cfRule type="cellIs" dxfId="81" priority="741" operator="equal">
      <formula>$S$1</formula>
    </cfRule>
  </conditionalFormatting>
  <conditionalFormatting sqref="D55">
    <cfRule type="cellIs" dxfId="80" priority="738" operator="equal">
      <formula>$S$1</formula>
    </cfRule>
    <cfRule type="cellIs" dxfId="79" priority="739" operator="equal">
      <formula>$U$1</formula>
    </cfRule>
  </conditionalFormatting>
  <conditionalFormatting sqref="C89">
    <cfRule type="cellIs" dxfId="78" priority="736" operator="equal">
      <formula>$U$1</formula>
    </cfRule>
    <cfRule type="cellIs" dxfId="77" priority="737" operator="equal">
      <formula>$S$1</formula>
    </cfRule>
  </conditionalFormatting>
  <conditionalFormatting sqref="D89">
    <cfRule type="cellIs" dxfId="76" priority="734" operator="equal">
      <formula>$S$1</formula>
    </cfRule>
    <cfRule type="cellIs" dxfId="75" priority="735" operator="equal">
      <formula>$U$1</formula>
    </cfRule>
  </conditionalFormatting>
  <conditionalFormatting sqref="C136">
    <cfRule type="cellIs" dxfId="74" priority="732" operator="equal">
      <formula>$U$1</formula>
    </cfRule>
    <cfRule type="cellIs" dxfId="73" priority="733" operator="equal">
      <formula>$S$1</formula>
    </cfRule>
  </conditionalFormatting>
  <conditionalFormatting sqref="D136">
    <cfRule type="cellIs" dxfId="72" priority="730" operator="equal">
      <formula>$S$1</formula>
    </cfRule>
    <cfRule type="cellIs" dxfId="71" priority="731" operator="equal">
      <formula>$U$1</formula>
    </cfRule>
  </conditionalFormatting>
  <conditionalFormatting sqref="C1">
    <cfRule type="cellIs" dxfId="70" priority="729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165" zoomScale="90" zoomScaleNormal="90" workbookViewId="0">
      <pane xSplit="4" topLeftCell="G1" activePane="topRight" state="frozen"/>
      <selection activeCell="A109" sqref="A109"/>
      <selection pane="topRight" activeCell="BN200" sqref="BN200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$A$199</v>
      </c>
      <c r="D111" s="1" t="str">
        <f>ADDRESS(C121-1,D121,1,1)</f>
        <v>$BN$199</v>
      </c>
      <c r="E111"/>
    </row>
    <row r="112" spans="1:5" x14ac:dyDescent="0.25">
      <c r="A112" s="30">
        <v>515.50191262726139</v>
      </c>
      <c r="C112" s="1" t="str">
        <f>ADDRESS(C121,1,1,1)</f>
        <v>$A$200</v>
      </c>
      <c r="D112" s="1" t="str">
        <f>ADDRESS(C121,D121-1,1,1)</f>
        <v>$BM$200</v>
      </c>
      <c r="E112"/>
    </row>
    <row r="113" spans="1:5" x14ac:dyDescent="0.25">
      <c r="A113" s="30">
        <v>490.95420250215363</v>
      </c>
      <c r="C113" s="1" t="str">
        <f>ADDRESS(C121+1,1,1,1)</f>
        <v>$A$201</v>
      </c>
      <c r="D113" s="1" t="str">
        <f>ADDRESS(C121-1,D121+1,1,1)</f>
        <v>$BO$199</v>
      </c>
    </row>
    <row r="114" spans="1:5" x14ac:dyDescent="0.25">
      <c r="A114" s="30">
        <v>467.57543095443202</v>
      </c>
      <c r="C114" s="1" t="str">
        <f>ADDRESS(C121,D121,1,1)</f>
        <v>$BN$200</v>
      </c>
      <c r="D114" s="1" t="str">
        <f>ADDRESS(C121+1,D121+1,1,1)</f>
        <v>$BO$201</v>
      </c>
    </row>
    <row r="115" spans="1:5" x14ac:dyDescent="0.25">
      <c r="A115" s="30">
        <v>445.30993424231622</v>
      </c>
      <c r="C115" s="1" t="str">
        <f>ADDRESS(C121+1,D121,1,1)</f>
        <v>$BN$201</v>
      </c>
    </row>
    <row r="116" spans="1:5" x14ac:dyDescent="0.25">
      <c r="A116" s="30">
        <v>424.10469927839637</v>
      </c>
      <c r="C116" s="1">
        <f>C117-1</f>
        <v>199</v>
      </c>
    </row>
    <row r="117" spans="1:5" x14ac:dyDescent="0.25">
      <c r="A117" s="30">
        <v>403.9092374079965</v>
      </c>
      <c r="C117" s="1">
        <f>C121</f>
        <v>200</v>
      </c>
      <c r="D117" s="1">
        <f>D121</f>
        <v>66</v>
      </c>
    </row>
    <row r="118" spans="1:5" x14ac:dyDescent="0.25">
      <c r="A118" s="30">
        <v>384.6754641980919</v>
      </c>
      <c r="C118" s="1">
        <f>C117+1</f>
        <v>201</v>
      </c>
      <c r="D118" s="1">
        <f>D117+1</f>
        <v>67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200</v>
      </c>
      <c r="D121" s="19">
        <v>66</v>
      </c>
      <c r="E121" s="19"/>
    </row>
    <row r="122" spans="1:5" x14ac:dyDescent="0.25">
      <c r="A122" s="30">
        <v>316.47345638748612</v>
      </c>
      <c r="C122" s="1" t="str">
        <f>INDEX(1:1048576,C117,D117)</f>
        <v>O</v>
      </c>
    </row>
    <row r="123" spans="1:5" x14ac:dyDescent="0.25">
      <c r="A123" s="30">
        <v>301.40329179760585</v>
      </c>
      <c r="C123" s="1" t="str">
        <f>"R"&amp;C121</f>
        <v>R200</v>
      </c>
      <c r="D123" s="1" t="str">
        <f>"C"&amp;D121</f>
        <v>C66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7.0399887121246598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O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4" x14ac:dyDescent="0.25">
      <c r="A161" s="30">
        <v>47.201372444612005</v>
      </c>
      <c r="E161"/>
    </row>
    <row r="162" spans="1:54" x14ac:dyDescent="0.25">
      <c r="A162" s="30">
        <v>44.95368804248762</v>
      </c>
      <c r="E162"/>
    </row>
    <row r="163" spans="1:54" x14ac:dyDescent="0.25">
      <c r="A163" s="30">
        <v>42.81303623094059</v>
      </c>
      <c r="E163"/>
      <c r="Y163" s="32" t="s">
        <v>8</v>
      </c>
      <c r="AA163" s="32" t="s">
        <v>8</v>
      </c>
    </row>
    <row r="164" spans="1:54" x14ac:dyDescent="0.25">
      <c r="A164" s="30">
        <v>40.774320219943419</v>
      </c>
      <c r="E164"/>
      <c r="Y164" s="27" t="s">
        <v>8</v>
      </c>
      <c r="Z164" s="27" t="s">
        <v>7</v>
      </c>
      <c r="AA164" s="27" t="s">
        <v>8</v>
      </c>
      <c r="AB164" s="31" t="s">
        <v>7</v>
      </c>
    </row>
    <row r="165" spans="1:54" x14ac:dyDescent="0.25">
      <c r="A165" s="30">
        <v>38.832685923755633</v>
      </c>
      <c r="E165"/>
      <c r="Y165" s="27" t="s">
        <v>8</v>
      </c>
      <c r="Z165" s="27" t="s">
        <v>7</v>
      </c>
      <c r="AA165" s="27" t="s">
        <v>8</v>
      </c>
      <c r="AB165" s="27" t="s">
        <v>7</v>
      </c>
      <c r="AC165" s="31"/>
    </row>
    <row r="166" spans="1:54" x14ac:dyDescent="0.25">
      <c r="A166" s="30">
        <v>36.983510403576794</v>
      </c>
      <c r="E166"/>
      <c r="Y166" s="27" t="s">
        <v>8</v>
      </c>
      <c r="Z166" s="27" t="s">
        <v>7</v>
      </c>
      <c r="AB166" s="27" t="s">
        <v>7</v>
      </c>
      <c r="AD166" s="31"/>
    </row>
    <row r="167" spans="1:54" x14ac:dyDescent="0.25">
      <c r="A167" s="30">
        <v>35.222390860549325</v>
      </c>
      <c r="E167"/>
      <c r="Y167" s="27" t="s">
        <v>8</v>
      </c>
      <c r="AB167" s="34" t="s">
        <v>7</v>
      </c>
      <c r="AE167" s="31"/>
    </row>
    <row r="168" spans="1:54" x14ac:dyDescent="0.25">
      <c r="A168" s="30">
        <v>33.545134152904119</v>
      </c>
      <c r="E168"/>
      <c r="Y168" s="27" t="s">
        <v>8</v>
      </c>
      <c r="AB168" s="27" t="s">
        <v>7</v>
      </c>
      <c r="AF168" s="31"/>
    </row>
    <row r="169" spans="1:54" x14ac:dyDescent="0.25">
      <c r="A169" s="30">
        <v>31.947746812289637</v>
      </c>
      <c r="E169"/>
      <c r="Y169" s="27" t="s">
        <v>8</v>
      </c>
      <c r="AB169" s="27" t="s">
        <v>7</v>
      </c>
      <c r="AC169" s="27" t="s">
        <v>8</v>
      </c>
      <c r="AG169" s="31"/>
    </row>
    <row r="170" spans="1:54" x14ac:dyDescent="0.25">
      <c r="A170" s="30">
        <v>30.426425535513939</v>
      </c>
      <c r="E170"/>
      <c r="Y170" s="27" t="s">
        <v>8</v>
      </c>
      <c r="AB170" s="27" t="s">
        <v>7</v>
      </c>
      <c r="AC170" s="27" t="s">
        <v>8</v>
      </c>
      <c r="AD170" s="27" t="s">
        <v>7</v>
      </c>
      <c r="AH170" s="31"/>
    </row>
    <row r="171" spans="1:54" x14ac:dyDescent="0.25">
      <c r="A171" s="30">
        <v>28.977548129060892</v>
      </c>
      <c r="E171"/>
      <c r="W171" s="27" t="s">
        <v>8</v>
      </c>
      <c r="Y171" s="27" t="s">
        <v>8</v>
      </c>
      <c r="AB171" s="27" t="s">
        <v>7</v>
      </c>
      <c r="AC171" s="27" t="s">
        <v>8</v>
      </c>
      <c r="AD171" s="27" t="s">
        <v>7</v>
      </c>
      <c r="AE171" s="27" t="s">
        <v>8</v>
      </c>
      <c r="AI171" s="31"/>
    </row>
    <row r="172" spans="1:54" x14ac:dyDescent="0.25">
      <c r="A172" s="30">
        <v>27.597664884819896</v>
      </c>
      <c r="E172"/>
      <c r="U172" s="27" t="s">
        <v>8</v>
      </c>
      <c r="W172" s="27" t="s">
        <v>8</v>
      </c>
      <c r="X172" s="27" t="s">
        <v>7</v>
      </c>
      <c r="Y172" s="27" t="s">
        <v>8</v>
      </c>
      <c r="AB172" s="27" t="s">
        <v>7</v>
      </c>
      <c r="AD172" s="27" t="s">
        <v>7</v>
      </c>
      <c r="AE172" s="27" t="s">
        <v>8</v>
      </c>
      <c r="AF172" s="27" t="s">
        <v>7</v>
      </c>
      <c r="AJ172" s="31"/>
    </row>
    <row r="173" spans="1:54" x14ac:dyDescent="0.25">
      <c r="A173" s="30">
        <v>26.283490366495137</v>
      </c>
      <c r="E173"/>
      <c r="U173" s="27" t="s">
        <v>8</v>
      </c>
      <c r="V173" s="27" t="s">
        <v>7</v>
      </c>
      <c r="W173" s="27" t="s">
        <v>8</v>
      </c>
      <c r="X173" s="27" t="s">
        <v>7</v>
      </c>
      <c r="Y173" s="27" t="s">
        <v>8</v>
      </c>
      <c r="AD173" s="27" t="s">
        <v>7</v>
      </c>
      <c r="AE173" s="27" t="s">
        <v>8</v>
      </c>
      <c r="AF173" s="27" t="s">
        <v>7</v>
      </c>
      <c r="AK173" s="31"/>
      <c r="AW173" s="27" t="s">
        <v>8</v>
      </c>
    </row>
    <row r="174" spans="1:54" x14ac:dyDescent="0.25">
      <c r="A174" s="30">
        <v>25.031895587138223</v>
      </c>
      <c r="E174"/>
      <c r="U174" s="27" t="s">
        <v>8</v>
      </c>
      <c r="V174" s="27" t="s">
        <v>7</v>
      </c>
      <c r="W174" s="27" t="s">
        <v>8</v>
      </c>
      <c r="X174" s="27" t="s">
        <v>7</v>
      </c>
      <c r="Y174" s="27" t="s">
        <v>8</v>
      </c>
      <c r="AD174" s="27" t="s">
        <v>7</v>
      </c>
      <c r="AF174" s="27" t="s">
        <v>7</v>
      </c>
      <c r="AL174" s="31"/>
      <c r="AW174" s="27" t="s">
        <v>8</v>
      </c>
      <c r="AX174" s="27" t="s">
        <v>7</v>
      </c>
      <c r="AY174" s="27" t="s">
        <v>8</v>
      </c>
    </row>
    <row r="175" spans="1:54" x14ac:dyDescent="0.25">
      <c r="A175" s="30">
        <v>23.839900559179259</v>
      </c>
      <c r="E175"/>
      <c r="U175" s="27" t="s">
        <v>8</v>
      </c>
      <c r="V175" s="27" t="s">
        <v>7</v>
      </c>
      <c r="W175" s="27" t="s">
        <v>8</v>
      </c>
      <c r="X175" s="27" t="s">
        <v>7</v>
      </c>
      <c r="Y175" s="27" t="s">
        <v>8</v>
      </c>
      <c r="AF175" s="27" t="s">
        <v>7</v>
      </c>
      <c r="AM175" s="31"/>
      <c r="AW175" s="27" t="s">
        <v>8</v>
      </c>
      <c r="AX175" s="27" t="s">
        <v>7</v>
      </c>
      <c r="AY175" s="27" t="s">
        <v>8</v>
      </c>
      <c r="AZ175" s="27" t="s">
        <v>7</v>
      </c>
      <c r="BA175" s="27" t="s">
        <v>8</v>
      </c>
    </row>
    <row r="176" spans="1:54" x14ac:dyDescent="0.25">
      <c r="A176" s="30">
        <v>22.704667199218342</v>
      </c>
      <c r="E176"/>
      <c r="U176" s="27" t="s">
        <v>8</v>
      </c>
      <c r="V176" s="27" t="s">
        <v>7</v>
      </c>
      <c r="W176" s="27" t="s">
        <v>8</v>
      </c>
      <c r="X176" s="27" t="s">
        <v>7</v>
      </c>
      <c r="AF176" s="31" t="s">
        <v>7</v>
      </c>
      <c r="AN176" s="31"/>
      <c r="AW176" s="27" t="s">
        <v>8</v>
      </c>
      <c r="AX176" s="27" t="s">
        <v>7</v>
      </c>
      <c r="AY176" s="27" t="s">
        <v>8</v>
      </c>
      <c r="AZ176" s="27" t="s">
        <v>7</v>
      </c>
      <c r="BA176" s="27" t="s">
        <v>8</v>
      </c>
      <c r="BB176" s="27" t="s">
        <v>7</v>
      </c>
    </row>
    <row r="177" spans="1:64" x14ac:dyDescent="0.25">
      <c r="A177" s="30">
        <v>21.623492570684135</v>
      </c>
      <c r="E177"/>
      <c r="U177" s="27" t="s">
        <v>8</v>
      </c>
      <c r="V177" s="27" t="s">
        <v>7</v>
      </c>
      <c r="W177" s="27" t="s">
        <v>8</v>
      </c>
      <c r="AE177" s="31"/>
      <c r="AF177" s="27" t="s">
        <v>7</v>
      </c>
      <c r="AG177" s="27" t="s">
        <v>8</v>
      </c>
      <c r="AO177" s="31"/>
      <c r="AW177" s="27" t="s">
        <v>8</v>
      </c>
      <c r="AX177" s="27" t="s">
        <v>7</v>
      </c>
      <c r="AZ177" s="27" t="s">
        <v>7</v>
      </c>
      <c r="BA177" s="27" t="s">
        <v>8</v>
      </c>
      <c r="BB177" s="27" t="s">
        <v>7</v>
      </c>
    </row>
    <row r="178" spans="1:64" x14ac:dyDescent="0.25">
      <c r="A178" s="30">
        <v>20.593802448270605</v>
      </c>
      <c r="C178" s="7"/>
      <c r="D178"/>
      <c r="E178"/>
      <c r="U178" s="27" t="s">
        <v>8</v>
      </c>
      <c r="V178" s="27" t="s">
        <v>7</v>
      </c>
      <c r="W178" s="27" t="s">
        <v>8</v>
      </c>
      <c r="AD178" s="31"/>
      <c r="AF178" s="27" t="s">
        <v>7</v>
      </c>
      <c r="AG178" s="27" t="s">
        <v>8</v>
      </c>
      <c r="AH178" s="27" t="s">
        <v>7</v>
      </c>
      <c r="AK178" s="33" t="s">
        <v>8</v>
      </c>
      <c r="AM178" s="32" t="s">
        <v>8</v>
      </c>
      <c r="AP178" s="31"/>
      <c r="AW178" s="27" t="s">
        <v>8</v>
      </c>
      <c r="AZ178" s="27" t="s">
        <v>7</v>
      </c>
      <c r="BA178" s="27" t="s">
        <v>8</v>
      </c>
      <c r="BB178" s="27" t="s">
        <v>7</v>
      </c>
      <c r="BC178" s="32" t="s">
        <v>8</v>
      </c>
      <c r="BE178" s="32" t="s">
        <v>8</v>
      </c>
    </row>
    <row r="179" spans="1:64" x14ac:dyDescent="0.25">
      <c r="A179" s="30">
        <v>19.613145188829147</v>
      </c>
      <c r="E179"/>
      <c r="S179" s="27" t="s">
        <v>8</v>
      </c>
      <c r="U179" s="27" t="s">
        <v>8</v>
      </c>
      <c r="V179" s="27" t="s">
        <v>7</v>
      </c>
      <c r="AC179" s="31"/>
      <c r="AF179" s="27" t="s">
        <v>7</v>
      </c>
      <c r="AG179" s="27" t="s">
        <v>8</v>
      </c>
      <c r="AH179" s="27" t="s">
        <v>7</v>
      </c>
      <c r="AI179" s="27" t="s">
        <v>8</v>
      </c>
      <c r="AK179" s="27" t="s">
        <v>8</v>
      </c>
      <c r="AL179" s="27" t="s">
        <v>7</v>
      </c>
      <c r="AM179" s="27" t="s">
        <v>8</v>
      </c>
      <c r="AN179" s="27" t="s">
        <v>7</v>
      </c>
      <c r="AQ179" s="31"/>
      <c r="AW179" s="27" t="s">
        <v>8</v>
      </c>
      <c r="AZ179" s="27" t="s">
        <v>7</v>
      </c>
      <c r="BA179" s="27" t="s">
        <v>8</v>
      </c>
      <c r="BB179" s="27" t="s">
        <v>7</v>
      </c>
      <c r="BC179" s="27" t="s">
        <v>8</v>
      </c>
      <c r="BD179" s="27" t="s">
        <v>7</v>
      </c>
      <c r="BE179" s="27" t="s">
        <v>8</v>
      </c>
      <c r="BF179" s="35" t="s">
        <v>7</v>
      </c>
    </row>
    <row r="180" spans="1:64" x14ac:dyDescent="0.25">
      <c r="A180" s="30">
        <v>18.679185894122998</v>
      </c>
      <c r="E180" t="s">
        <v>8</v>
      </c>
      <c r="S180" s="27" t="s">
        <v>8</v>
      </c>
      <c r="T180" s="27" t="s">
        <v>7</v>
      </c>
      <c r="U180" s="27" t="s">
        <v>8</v>
      </c>
      <c r="AB180" s="31"/>
      <c r="AF180" s="27" t="s">
        <v>7</v>
      </c>
      <c r="AG180" s="27" t="s">
        <v>8</v>
      </c>
      <c r="AH180" s="27" t="s">
        <v>7</v>
      </c>
      <c r="AI180" s="27" t="s">
        <v>8</v>
      </c>
      <c r="AJ180" s="27" t="s">
        <v>7</v>
      </c>
      <c r="AK180" s="27" t="s">
        <v>8</v>
      </c>
      <c r="AL180" s="27" t="s">
        <v>7</v>
      </c>
      <c r="AM180" s="27" t="s">
        <v>8</v>
      </c>
      <c r="AN180" s="27" t="s">
        <v>7</v>
      </c>
      <c r="AR180" s="31"/>
      <c r="AW180" s="27" t="s">
        <v>8</v>
      </c>
      <c r="AZ180" s="27" t="s">
        <v>7</v>
      </c>
      <c r="BA180" s="27" t="s">
        <v>8</v>
      </c>
      <c r="BB180" s="27" t="s">
        <v>7</v>
      </c>
      <c r="BC180" s="27" t="s">
        <v>8</v>
      </c>
      <c r="BD180" s="27" t="s">
        <v>7</v>
      </c>
      <c r="BE180" s="27" t="s">
        <v>8</v>
      </c>
      <c r="BF180" s="27" t="s">
        <v>7</v>
      </c>
      <c r="BG180" s="35"/>
    </row>
    <row r="181" spans="1:64" x14ac:dyDescent="0.25">
      <c r="A181" s="30">
        <v>17.78970085154571</v>
      </c>
      <c r="C181"/>
      <c r="D181"/>
      <c r="E181" t="s">
        <v>8</v>
      </c>
      <c r="F181" s="27" t="s">
        <v>7</v>
      </c>
      <c r="Q181" s="27" t="s">
        <v>8</v>
      </c>
      <c r="S181" s="27" t="s">
        <v>8</v>
      </c>
      <c r="T181" s="27" t="s">
        <v>7</v>
      </c>
      <c r="U181" s="27" t="s">
        <v>8</v>
      </c>
      <c r="AA181" s="31"/>
      <c r="AF181" s="27" t="s">
        <v>7</v>
      </c>
      <c r="AG181" s="27" t="s">
        <v>8</v>
      </c>
      <c r="AH181" s="27" t="s">
        <v>7</v>
      </c>
      <c r="AI181" s="27" t="s">
        <v>8</v>
      </c>
      <c r="AJ181" s="27" t="s">
        <v>7</v>
      </c>
      <c r="AK181" s="27" t="s">
        <v>8</v>
      </c>
      <c r="AL181" s="27" t="s">
        <v>7</v>
      </c>
      <c r="AN181" s="27" t="s">
        <v>7</v>
      </c>
      <c r="AO181" s="32" t="s">
        <v>8</v>
      </c>
      <c r="AQ181" s="32" t="s">
        <v>8</v>
      </c>
      <c r="AS181" s="31"/>
      <c r="AW181" s="27" t="s">
        <v>8</v>
      </c>
      <c r="AZ181" s="27" t="s">
        <v>7</v>
      </c>
      <c r="BB181" s="27" t="s">
        <v>7</v>
      </c>
      <c r="BC181" s="27" t="s">
        <v>8</v>
      </c>
      <c r="BD181" s="27" t="s">
        <v>7</v>
      </c>
      <c r="BF181" s="31" t="s">
        <v>7</v>
      </c>
      <c r="BH181" s="35"/>
    </row>
    <row r="182" spans="1:64" x14ac:dyDescent="0.25">
      <c r="A182" s="30">
        <v>16.942572239567344</v>
      </c>
      <c r="E182" t="s">
        <v>8</v>
      </c>
      <c r="F182" s="27" t="s">
        <v>7</v>
      </c>
      <c r="Q182" s="27" t="s">
        <v>8</v>
      </c>
      <c r="R182" s="27" t="s">
        <v>7</v>
      </c>
      <c r="S182" s="27" t="s">
        <v>8</v>
      </c>
      <c r="T182" s="27" t="s">
        <v>7</v>
      </c>
      <c r="U182" s="27" t="s">
        <v>8</v>
      </c>
      <c r="Z182" s="31"/>
      <c r="AF182" s="27" t="s">
        <v>7</v>
      </c>
      <c r="AG182" s="27" t="s">
        <v>8</v>
      </c>
      <c r="AH182" s="27" t="s">
        <v>7</v>
      </c>
      <c r="AI182" s="27" t="s">
        <v>8</v>
      </c>
      <c r="AJ182" s="27" t="s">
        <v>7</v>
      </c>
      <c r="AK182" s="27" t="s">
        <v>8</v>
      </c>
      <c r="AN182" s="34" t="s">
        <v>7</v>
      </c>
      <c r="AO182" s="27" t="s">
        <v>8</v>
      </c>
      <c r="AP182" s="27" t="s">
        <v>7</v>
      </c>
      <c r="AQ182" s="27" t="s">
        <v>8</v>
      </c>
      <c r="AR182" s="27" t="s">
        <v>7</v>
      </c>
      <c r="AT182" s="31"/>
      <c r="AW182" s="33" t="s">
        <v>8</v>
      </c>
      <c r="BB182" s="27" t="s">
        <v>7</v>
      </c>
      <c r="BE182" s="31"/>
      <c r="BF182" s="27" t="s">
        <v>7</v>
      </c>
      <c r="BI182" s="35"/>
    </row>
    <row r="183" spans="1:64" x14ac:dyDescent="0.25">
      <c r="A183" s="30">
        <v>16.135783085302233</v>
      </c>
      <c r="E183" t="s">
        <v>8</v>
      </c>
      <c r="F183" s="27" t="s">
        <v>7</v>
      </c>
      <c r="Q183" s="27" t="s">
        <v>8</v>
      </c>
      <c r="R183" s="27" t="s">
        <v>7</v>
      </c>
      <c r="S183" s="27" t="s">
        <v>8</v>
      </c>
      <c r="T183" s="27" t="s">
        <v>7</v>
      </c>
      <c r="U183" s="27" t="s">
        <v>8</v>
      </c>
      <c r="Y183" s="31"/>
      <c r="AF183" s="27" t="s">
        <v>7</v>
      </c>
      <c r="AG183" s="27" t="s">
        <v>8</v>
      </c>
      <c r="AH183" s="27" t="s">
        <v>7</v>
      </c>
      <c r="AI183" s="27" t="s">
        <v>8</v>
      </c>
      <c r="AJ183" s="27" t="s">
        <v>7</v>
      </c>
      <c r="AK183" s="27" t="s">
        <v>8</v>
      </c>
      <c r="AN183" s="27" t="s">
        <v>7</v>
      </c>
      <c r="AO183" s="27" t="s">
        <v>8</v>
      </c>
      <c r="AP183" s="27" t="s">
        <v>7</v>
      </c>
      <c r="AQ183" s="27" t="s">
        <v>8</v>
      </c>
      <c r="AR183" s="31" t="s">
        <v>7</v>
      </c>
      <c r="AU183" s="31" t="s">
        <v>8</v>
      </c>
      <c r="AW183" s="27" t="s">
        <v>8</v>
      </c>
      <c r="BD183" s="31"/>
      <c r="BF183" s="27" t="s">
        <v>7</v>
      </c>
      <c r="BJ183" s="35"/>
    </row>
    <row r="184" spans="1:64" x14ac:dyDescent="0.25">
      <c r="A184" s="30">
        <v>15.367412462192602</v>
      </c>
      <c r="E184" t="s">
        <v>8</v>
      </c>
      <c r="F184" s="27" t="s">
        <v>7</v>
      </c>
      <c r="G184" s="27" t="s">
        <v>8</v>
      </c>
      <c r="Q184" s="27" t="s">
        <v>8</v>
      </c>
      <c r="R184" s="32" t="s">
        <v>7</v>
      </c>
      <c r="T184" s="32" t="s">
        <v>7</v>
      </c>
      <c r="X184" s="31"/>
      <c r="AF184" s="27" t="s">
        <v>7</v>
      </c>
      <c r="AG184" s="27" t="s">
        <v>8</v>
      </c>
      <c r="AH184" s="27" t="s">
        <v>7</v>
      </c>
      <c r="AI184" s="27" t="s">
        <v>8</v>
      </c>
      <c r="AJ184" s="27" t="s">
        <v>7</v>
      </c>
      <c r="AK184" s="27" t="s">
        <v>8</v>
      </c>
      <c r="AN184" s="32" t="s">
        <v>7</v>
      </c>
      <c r="AP184" s="32" t="s">
        <v>7</v>
      </c>
      <c r="AQ184" s="31"/>
      <c r="AR184" s="27" t="s">
        <v>7</v>
      </c>
      <c r="AU184" s="27" t="s">
        <v>8</v>
      </c>
      <c r="AV184" s="31" t="s">
        <v>7</v>
      </c>
      <c r="AW184" s="27" t="s">
        <v>8</v>
      </c>
      <c r="BC184" s="31"/>
      <c r="BF184" s="27" t="s">
        <v>7</v>
      </c>
      <c r="BK184" s="35"/>
    </row>
    <row r="185" spans="1:64" x14ac:dyDescent="0.25">
      <c r="A185" s="30">
        <v>14.635630916373906</v>
      </c>
      <c r="C185"/>
      <c r="E185" t="s">
        <v>8</v>
      </c>
      <c r="F185" s="27" t="s">
        <v>7</v>
      </c>
      <c r="G185" s="27" t="s">
        <v>8</v>
      </c>
      <c r="H185" s="27" t="s">
        <v>7</v>
      </c>
      <c r="M185" s="27" t="s">
        <v>8</v>
      </c>
      <c r="Q185" s="33" t="s">
        <v>8</v>
      </c>
      <c r="W185" s="31"/>
      <c r="AF185" s="27" t="s">
        <v>7</v>
      </c>
      <c r="AG185" s="27" t="s">
        <v>8</v>
      </c>
      <c r="AH185" s="27" t="s">
        <v>7</v>
      </c>
      <c r="AI185" s="27" t="s">
        <v>8</v>
      </c>
      <c r="AJ185" s="27" t="s">
        <v>7</v>
      </c>
      <c r="AK185" s="27" t="s">
        <v>8</v>
      </c>
      <c r="AP185" s="31"/>
      <c r="AR185" s="34" t="s">
        <v>7</v>
      </c>
      <c r="AU185" s="33" t="s">
        <v>8</v>
      </c>
      <c r="AV185" s="27" t="s">
        <v>7</v>
      </c>
      <c r="AW185" s="27" t="s">
        <v>8</v>
      </c>
      <c r="BB185" s="31"/>
      <c r="BF185" s="27" t="s">
        <v>7</v>
      </c>
      <c r="BG185" s="27" t="s">
        <v>8</v>
      </c>
      <c r="BL185" s="35"/>
    </row>
    <row r="186" spans="1:64" x14ac:dyDescent="0.25">
      <c r="A186" s="30">
        <v>13.938696110832291</v>
      </c>
      <c r="E186" t="s">
        <v>8</v>
      </c>
      <c r="F186" s="27" t="s">
        <v>7</v>
      </c>
      <c r="G186" s="27" t="s">
        <v>8</v>
      </c>
      <c r="H186" s="27" t="s">
        <v>7</v>
      </c>
      <c r="M186" s="33" t="s">
        <v>8</v>
      </c>
      <c r="N186" s="27" t="s">
        <v>7</v>
      </c>
      <c r="O186" s="27" t="s">
        <v>8</v>
      </c>
      <c r="Q186" s="27" t="s">
        <v>8</v>
      </c>
      <c r="V186" s="31"/>
      <c r="AF186" s="27" t="s">
        <v>7</v>
      </c>
      <c r="AH186" s="27" t="s">
        <v>7</v>
      </c>
      <c r="AI186" s="27" t="s">
        <v>8</v>
      </c>
      <c r="AJ186" s="27" t="s">
        <v>7</v>
      </c>
      <c r="AO186" s="31"/>
      <c r="AR186" s="27" t="s">
        <v>7</v>
      </c>
      <c r="AS186" s="27" t="s">
        <v>8</v>
      </c>
      <c r="AU186" s="27" t="s">
        <v>8</v>
      </c>
      <c r="AV186" s="27" t="s">
        <v>7</v>
      </c>
      <c r="AW186" s="27" t="s">
        <v>8</v>
      </c>
      <c r="BA186" s="31"/>
      <c r="BF186" s="27" t="s">
        <v>7</v>
      </c>
      <c r="BG186" s="27" t="s">
        <v>8</v>
      </c>
      <c r="BH186" s="27" t="s">
        <v>7</v>
      </c>
    </row>
    <row r="187" spans="1:64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 t="s">
        <v>8</v>
      </c>
      <c r="F187" s="27" t="s">
        <v>7</v>
      </c>
      <c r="G187" s="27" t="s">
        <v>8</v>
      </c>
      <c r="H187" s="27" t="s">
        <v>7</v>
      </c>
      <c r="I187" s="32" t="s">
        <v>8</v>
      </c>
      <c r="K187" s="32" t="s">
        <v>8</v>
      </c>
      <c r="M187" s="27" t="s">
        <v>8</v>
      </c>
      <c r="N187" s="27" t="s">
        <v>7</v>
      </c>
      <c r="O187" s="27" t="s">
        <v>8</v>
      </c>
      <c r="P187" s="27" t="s">
        <v>7</v>
      </c>
      <c r="Q187" s="27" t="s">
        <v>8</v>
      </c>
      <c r="U187" s="31"/>
      <c r="AH187" s="27" t="s">
        <v>7</v>
      </c>
      <c r="AI187" s="27" t="s">
        <v>8</v>
      </c>
      <c r="AN187" s="31"/>
      <c r="AR187" s="27" t="s">
        <v>7</v>
      </c>
      <c r="AS187" s="27" t="s">
        <v>8</v>
      </c>
      <c r="AT187" s="27" t="s">
        <v>7</v>
      </c>
      <c r="AU187" s="27" t="s">
        <v>8</v>
      </c>
      <c r="AV187" s="27" t="s">
        <v>7</v>
      </c>
      <c r="AW187" s="27" t="s">
        <v>8</v>
      </c>
      <c r="AZ187" s="31"/>
      <c r="BF187" s="27" t="s">
        <v>7</v>
      </c>
      <c r="BG187" s="27" t="s">
        <v>8</v>
      </c>
      <c r="BH187" s="27" t="s">
        <v>7</v>
      </c>
      <c r="BI187" s="27" t="s">
        <v>8</v>
      </c>
    </row>
    <row r="188" spans="1:64" x14ac:dyDescent="0.25">
      <c r="A188" s="30">
        <v>12.64280826379346</v>
      </c>
      <c r="E188" t="s">
        <v>8</v>
      </c>
      <c r="F188" s="27" t="s">
        <v>7</v>
      </c>
      <c r="G188" s="27" t="s">
        <v>8</v>
      </c>
      <c r="H188" s="27" t="s">
        <v>7</v>
      </c>
      <c r="I188" s="27" t="s">
        <v>8</v>
      </c>
      <c r="J188" s="27" t="s">
        <v>7</v>
      </c>
      <c r="K188" s="27" t="s">
        <v>8</v>
      </c>
      <c r="L188" s="27" t="s">
        <v>7</v>
      </c>
      <c r="M188" s="27" t="s">
        <v>8</v>
      </c>
      <c r="N188" s="27" t="s">
        <v>7</v>
      </c>
      <c r="O188" s="27" t="s">
        <v>8</v>
      </c>
      <c r="P188" s="27" t="s">
        <v>7</v>
      </c>
      <c r="Q188" s="27" t="s">
        <v>8</v>
      </c>
      <c r="T188" s="31"/>
      <c r="AH188" s="27" t="s">
        <v>7</v>
      </c>
      <c r="AI188" s="27" t="s">
        <v>8</v>
      </c>
      <c r="AM188" s="31"/>
      <c r="AR188" s="27" t="s">
        <v>7</v>
      </c>
      <c r="AS188" s="27" t="s">
        <v>8</v>
      </c>
      <c r="AT188" s="27" t="s">
        <v>7</v>
      </c>
      <c r="AU188" s="27" t="s">
        <v>8</v>
      </c>
      <c r="AV188" s="27" t="s">
        <v>7</v>
      </c>
      <c r="AW188" s="27" t="s">
        <v>8</v>
      </c>
      <c r="AY188" s="31"/>
      <c r="BF188" s="27" t="s">
        <v>7</v>
      </c>
      <c r="BG188" s="27" t="s">
        <v>8</v>
      </c>
      <c r="BH188" s="27" t="s">
        <v>7</v>
      </c>
      <c r="BI188" s="27" t="s">
        <v>8</v>
      </c>
      <c r="BJ188" s="27" t="s">
        <v>7</v>
      </c>
    </row>
    <row r="189" spans="1:64" x14ac:dyDescent="0.25">
      <c r="A189" s="30">
        <v>12.04076977504139</v>
      </c>
      <c r="E189" t="s">
        <v>8</v>
      </c>
      <c r="F189" s="27" t="s">
        <v>7</v>
      </c>
      <c r="G189" s="27" t="s">
        <v>8</v>
      </c>
      <c r="H189" s="27" t="s">
        <v>7</v>
      </c>
      <c r="I189" s="27" t="s">
        <v>8</v>
      </c>
      <c r="J189" s="27" t="s">
        <v>7</v>
      </c>
      <c r="K189" s="27" t="s">
        <v>8</v>
      </c>
      <c r="L189" s="27" t="s">
        <v>7</v>
      </c>
      <c r="M189" s="27" t="s">
        <v>8</v>
      </c>
      <c r="N189" s="27" t="s">
        <v>7</v>
      </c>
      <c r="O189" s="27" t="s">
        <v>8</v>
      </c>
      <c r="P189" s="27" t="s">
        <v>7</v>
      </c>
      <c r="Q189" s="27" t="s">
        <v>8</v>
      </c>
      <c r="S189" s="31"/>
      <c r="AH189" s="27" t="s">
        <v>7</v>
      </c>
      <c r="AI189" s="27" t="s">
        <v>8</v>
      </c>
      <c r="AL189" s="31"/>
      <c r="AR189" s="27" t="s">
        <v>7</v>
      </c>
      <c r="AS189" s="27" t="s">
        <v>8</v>
      </c>
      <c r="AT189" s="27" t="s">
        <v>7</v>
      </c>
      <c r="AU189" s="27" t="s">
        <v>8</v>
      </c>
      <c r="AV189" s="31" t="s">
        <v>7</v>
      </c>
      <c r="AW189" s="27" t="s">
        <v>8</v>
      </c>
      <c r="AX189" s="31"/>
      <c r="BF189" s="27" t="s">
        <v>7</v>
      </c>
      <c r="BH189" s="27" t="s">
        <v>7</v>
      </c>
      <c r="BI189" s="27" t="s">
        <v>8</v>
      </c>
      <c r="BJ189" s="27" t="s">
        <v>7</v>
      </c>
      <c r="BK189" s="27" t="s">
        <v>8</v>
      </c>
    </row>
    <row r="190" spans="1:64" x14ac:dyDescent="0.25">
      <c r="A190" s="30">
        <v>11.467399785753704</v>
      </c>
      <c r="E190" t="s">
        <v>8</v>
      </c>
      <c r="F190" s="27" t="s">
        <v>7</v>
      </c>
      <c r="G190" s="27" t="s">
        <v>8</v>
      </c>
      <c r="H190" s="27" t="s">
        <v>7</v>
      </c>
      <c r="I190" s="27" t="s">
        <v>8</v>
      </c>
      <c r="J190" s="27" t="s">
        <v>7</v>
      </c>
      <c r="L190" s="27" t="s">
        <v>7</v>
      </c>
      <c r="M190" s="27" t="s">
        <v>8</v>
      </c>
      <c r="N190" s="27" t="s">
        <v>7</v>
      </c>
      <c r="O190" s="27" t="s">
        <v>8</v>
      </c>
      <c r="P190" s="27" t="s">
        <v>7</v>
      </c>
      <c r="R190" s="31"/>
      <c r="AH190" s="27" t="s">
        <v>7</v>
      </c>
      <c r="AI190" s="27" t="s">
        <v>8</v>
      </c>
      <c r="AK190" s="31"/>
      <c r="AR190" s="27" t="s">
        <v>7</v>
      </c>
      <c r="AS190" s="27" t="s">
        <v>8</v>
      </c>
      <c r="AT190" s="27" t="s">
        <v>7</v>
      </c>
      <c r="AU190" s="31"/>
      <c r="AV190" s="27" t="s">
        <v>7</v>
      </c>
      <c r="AW190" s="31" t="s">
        <v>8</v>
      </c>
      <c r="BH190" s="27" t="s">
        <v>7</v>
      </c>
      <c r="BI190" s="27" t="s">
        <v>8</v>
      </c>
      <c r="BJ190" s="27" t="s">
        <v>7</v>
      </c>
      <c r="BK190" s="27" t="s">
        <v>8</v>
      </c>
      <c r="BL190" s="27" t="s">
        <v>7</v>
      </c>
    </row>
    <row r="191" spans="1:64" x14ac:dyDescent="0.25">
      <c r="A191" s="30">
        <v>10.921333129289241</v>
      </c>
      <c r="E191" t="s">
        <v>8</v>
      </c>
      <c r="F191" s="27" t="s">
        <v>7</v>
      </c>
      <c r="G191" s="27" t="s">
        <v>8</v>
      </c>
      <c r="H191" s="27" t="s">
        <v>7</v>
      </c>
      <c r="I191" s="27" t="s">
        <v>8</v>
      </c>
      <c r="L191" s="27" t="s">
        <v>7</v>
      </c>
      <c r="N191" s="27" t="s">
        <v>7</v>
      </c>
      <c r="O191" s="27" t="s">
        <v>8</v>
      </c>
      <c r="Q191" s="31"/>
      <c r="AH191" s="27" t="s">
        <v>7</v>
      </c>
      <c r="AI191" s="27" t="s">
        <v>8</v>
      </c>
      <c r="AJ191" s="31"/>
      <c r="AR191" s="27" t="s">
        <v>7</v>
      </c>
      <c r="AS191" s="27" t="s">
        <v>8</v>
      </c>
      <c r="AT191" s="31"/>
      <c r="AV191" s="34" t="s">
        <v>7</v>
      </c>
      <c r="BH191" s="27" t="s">
        <v>7</v>
      </c>
      <c r="BI191" s="27" t="s">
        <v>8</v>
      </c>
      <c r="BJ191" s="27" t="s">
        <v>7</v>
      </c>
      <c r="BK191" s="27" t="s">
        <v>8</v>
      </c>
      <c r="BL191" s="27" t="s">
        <v>7</v>
      </c>
    </row>
    <row r="192" spans="1:64" x14ac:dyDescent="0.25">
      <c r="A192" s="30">
        <v>10.401269646942135</v>
      </c>
      <c r="E192" t="s">
        <v>8</v>
      </c>
      <c r="F192" s="27" t="s">
        <v>7</v>
      </c>
      <c r="G192" s="27" t="s">
        <v>8</v>
      </c>
      <c r="H192" s="27" t="s">
        <v>7</v>
      </c>
      <c r="I192" s="27" t="s">
        <v>8</v>
      </c>
      <c r="N192" s="34" t="s">
        <v>7</v>
      </c>
      <c r="O192" s="27" t="s">
        <v>8</v>
      </c>
      <c r="P192" s="31"/>
      <c r="AH192" s="27" t="s">
        <v>7</v>
      </c>
      <c r="AI192" s="31" t="s">
        <v>8</v>
      </c>
      <c r="AR192" s="27" t="s">
        <v>7</v>
      </c>
      <c r="AS192" s="31" t="s">
        <v>8</v>
      </c>
      <c r="BH192" s="27" t="s">
        <v>7</v>
      </c>
      <c r="BJ192" s="27" t="s">
        <v>7</v>
      </c>
      <c r="BL192" s="27" t="s">
        <v>7</v>
      </c>
    </row>
    <row r="193" spans="1:66" x14ac:dyDescent="0.25">
      <c r="A193" s="30">
        <v>9.9059710923258422</v>
      </c>
      <c r="E193" t="s">
        <v>8</v>
      </c>
      <c r="F193" s="27" t="s">
        <v>7</v>
      </c>
      <c r="H193" s="27" t="s">
        <v>7</v>
      </c>
      <c r="I193" s="27" t="s">
        <v>8</v>
      </c>
      <c r="N193" s="27" t="s">
        <v>7</v>
      </c>
      <c r="O193" s="31" t="s">
        <v>8</v>
      </c>
      <c r="AH193" s="31" t="s">
        <v>7</v>
      </c>
      <c r="AR193" s="31" t="s">
        <v>7</v>
      </c>
      <c r="BL193" s="27" t="s">
        <v>7</v>
      </c>
    </row>
    <row r="194" spans="1:66" x14ac:dyDescent="0.25">
      <c r="A194" s="30">
        <v>9.4342581831674686</v>
      </c>
      <c r="E194" t="s">
        <v>8</v>
      </c>
      <c r="H194" s="27" t="s">
        <v>7</v>
      </c>
      <c r="I194" s="27" t="s">
        <v>8</v>
      </c>
      <c r="N194" s="31" t="s">
        <v>7</v>
      </c>
      <c r="BL194" s="27" t="s">
        <v>7</v>
      </c>
    </row>
    <row r="195" spans="1:66" x14ac:dyDescent="0.25">
      <c r="A195" s="30">
        <v>8.9850077934928265</v>
      </c>
      <c r="E195" t="s">
        <v>8</v>
      </c>
      <c r="H195" s="27" t="s">
        <v>7</v>
      </c>
      <c r="I195" s="27" t="s">
        <v>8</v>
      </c>
      <c r="BL195" s="27" t="s">
        <v>7</v>
      </c>
    </row>
    <row r="196" spans="1:66" x14ac:dyDescent="0.25">
      <c r="A196" s="30">
        <v>8.5571502795169767</v>
      </c>
      <c r="E196" t="s">
        <v>8</v>
      </c>
      <c r="H196" s="27" t="s">
        <v>7</v>
      </c>
      <c r="BL196" s="27" t="s">
        <v>7</v>
      </c>
      <c r="BM196" s="27" t="s">
        <v>8</v>
      </c>
    </row>
    <row r="197" spans="1:66" x14ac:dyDescent="0.25">
      <c r="A197" s="30">
        <v>8.1496669328733109</v>
      </c>
      <c r="E197" t="s">
        <v>8</v>
      </c>
      <c r="BL197" s="27" t="s">
        <v>7</v>
      </c>
      <c r="BM197" s="27" t="s">
        <v>8</v>
      </c>
      <c r="BN197" s="27" t="s">
        <v>7</v>
      </c>
    </row>
    <row r="198" spans="1:66" x14ac:dyDescent="0.25">
      <c r="A198" s="30">
        <v>7.7615875551174378</v>
      </c>
      <c r="E198" t="s">
        <v>8</v>
      </c>
      <c r="BL198" s="27" t="s">
        <v>7</v>
      </c>
      <c r="BM198" s="27" t="s">
        <v>8</v>
      </c>
      <c r="BN198" s="27" t="s">
        <v>7</v>
      </c>
    </row>
    <row r="199" spans="1:66" x14ac:dyDescent="0.25">
      <c r="A199" s="30">
        <v>7.3919881477308929</v>
      </c>
      <c r="E199" t="s">
        <v>8</v>
      </c>
      <c r="BL199" s="27" t="s">
        <v>7</v>
      </c>
      <c r="BM199" s="27" t="s">
        <v>8</v>
      </c>
      <c r="BN199" s="27" t="s">
        <v>7</v>
      </c>
    </row>
    <row r="200" spans="1:66" x14ac:dyDescent="0.25">
      <c r="A200" s="30">
        <v>7.0399887121246598</v>
      </c>
      <c r="E200" t="s">
        <v>8</v>
      </c>
      <c r="BL200" s="27" t="s">
        <v>7</v>
      </c>
      <c r="BN200" s="27" t="s">
        <v>7</v>
      </c>
    </row>
    <row r="201" spans="1:66" x14ac:dyDescent="0.25">
      <c r="A201" s="30">
        <v>6.7047511544044376</v>
      </c>
      <c r="E201" t="s">
        <v>8</v>
      </c>
    </row>
    <row r="202" spans="1:66" x14ac:dyDescent="0.25">
      <c r="A202" s="30">
        <v>6.3854772899089882</v>
      </c>
      <c r="E202" t="s">
        <v>8</v>
      </c>
    </row>
    <row r="203" spans="1:66" x14ac:dyDescent="0.25">
      <c r="A203" s="30">
        <v>6.0814069427704647</v>
      </c>
      <c r="C203" s="7"/>
      <c r="D203"/>
      <c r="E203" t="s">
        <v>8</v>
      </c>
    </row>
    <row r="204" spans="1:66" x14ac:dyDescent="0.25">
      <c r="A204" s="30">
        <v>5.7918161359718709</v>
      </c>
      <c r="E204" t="s">
        <v>8</v>
      </c>
    </row>
    <row r="205" spans="1:66" x14ac:dyDescent="0.25">
      <c r="A205" s="30">
        <v>5.5160153675922574</v>
      </c>
      <c r="E205" t="s">
        <v>8</v>
      </c>
    </row>
    <row r="206" spans="1:66" x14ac:dyDescent="0.25">
      <c r="A206" s="30">
        <v>5.2533479691354827</v>
      </c>
      <c r="C206"/>
      <c r="D206"/>
      <c r="E206" t="s">
        <v>8</v>
      </c>
    </row>
    <row r="207" spans="1:66" x14ac:dyDescent="0.25">
      <c r="A207" s="30">
        <v>5.0031885420337927</v>
      </c>
      <c r="E207" t="s">
        <v>8</v>
      </c>
    </row>
    <row r="208" spans="1:66" x14ac:dyDescent="0.25">
      <c r="A208" s="30">
        <v>4.7649414686036122</v>
      </c>
      <c r="E208" t="s">
        <v>8</v>
      </c>
    </row>
    <row r="209" spans="1:5" x14ac:dyDescent="0.25">
      <c r="A209" s="30">
        <v>4.5380394939082018</v>
      </c>
      <c r="E209" t="s">
        <v>8</v>
      </c>
    </row>
    <row r="210" spans="1:5" x14ac:dyDescent="0.25">
      <c r="A210" s="30">
        <v>4.3219423751506678</v>
      </c>
      <c r="C210"/>
      <c r="E210" t="s">
        <v>8</v>
      </c>
    </row>
    <row r="211" spans="1:5" x14ac:dyDescent="0.25">
      <c r="A211" s="30">
        <v>4.1161355953815884</v>
      </c>
      <c r="E211" t="s">
        <v>8</v>
      </c>
    </row>
    <row r="212" spans="1:5" x14ac:dyDescent="0.25">
      <c r="A212" s="30">
        <v>3.9201291384586554</v>
      </c>
      <c r="E212" t="s">
        <v>8</v>
      </c>
    </row>
    <row r="213" spans="1:5" x14ac:dyDescent="0.25">
      <c r="A213" s="30">
        <v>3.7334563223415764</v>
      </c>
      <c r="E213" t="s">
        <v>8</v>
      </c>
    </row>
    <row r="214" spans="1:5" x14ac:dyDescent="0.25">
      <c r="A214" s="30">
        <v>3.5556726879443583</v>
      </c>
      <c r="E214" t="s">
        <v>8</v>
      </c>
    </row>
    <row r="215" spans="1:5" x14ac:dyDescent="0.25">
      <c r="A215" s="30">
        <v>3.3863549408993889</v>
      </c>
      <c r="E215" t="s">
        <v>8</v>
      </c>
    </row>
    <row r="216" spans="1:5" x14ac:dyDescent="0.25">
      <c r="A216" s="30">
        <v>3.2250999437137038</v>
      </c>
      <c r="E216" t="s">
        <v>8</v>
      </c>
    </row>
    <row r="217" spans="1:5" x14ac:dyDescent="0.25">
      <c r="A217" s="30">
        <v>3.0715237559178128</v>
      </c>
      <c r="E217" t="s">
        <v>8</v>
      </c>
    </row>
    <row r="218" spans="1:5" x14ac:dyDescent="0.25">
      <c r="A218" s="30">
        <v>2.9252607199217264</v>
      </c>
      <c r="E218" t="s">
        <v>8</v>
      </c>
    </row>
    <row r="219" spans="1:5" x14ac:dyDescent="0.25">
      <c r="A219" s="30">
        <v>2.7859625904016441</v>
      </c>
      <c r="E219" t="s">
        <v>8</v>
      </c>
    </row>
    <row r="220" spans="1:5" x14ac:dyDescent="0.25">
      <c r="A220" s="30">
        <v>2.6532977051444226</v>
      </c>
      <c r="E220" t="s">
        <v>8</v>
      </c>
    </row>
    <row r="221" spans="1:5" x14ac:dyDescent="0.25">
      <c r="A221" s="30">
        <v>2.5269501953756404</v>
      </c>
      <c r="E221" t="s">
        <v>8</v>
      </c>
    </row>
    <row r="222" spans="1:5" x14ac:dyDescent="0.25">
      <c r="A222" s="30">
        <v>2.4066192336910861</v>
      </c>
      <c r="E222" t="s">
        <v>8</v>
      </c>
    </row>
    <row r="223" spans="1:5" x14ac:dyDescent="0.25">
      <c r="A223" s="30">
        <v>2.2920183178010345</v>
      </c>
      <c r="E223" t="s">
        <v>8</v>
      </c>
    </row>
    <row r="224" spans="1:5" x14ac:dyDescent="0.25">
      <c r="A224" s="30">
        <v>2.1828745883819374</v>
      </c>
      <c r="E224" t="s">
        <v>8</v>
      </c>
    </row>
    <row r="225" spans="1:5" x14ac:dyDescent="0.25">
      <c r="A225" s="30">
        <v>2.0789281794113688</v>
      </c>
      <c r="E225" t="s">
        <v>8</v>
      </c>
    </row>
    <row r="226" spans="1:5" x14ac:dyDescent="0.25">
      <c r="A226" s="30">
        <v>1.9799315994393987</v>
      </c>
      <c r="E226" t="s">
        <v>8</v>
      </c>
    </row>
    <row r="227" spans="1:5" x14ac:dyDescent="0.25">
      <c r="A227" s="30">
        <v>1.8856491423232367</v>
      </c>
      <c r="E227" t="s">
        <v>8</v>
      </c>
    </row>
    <row r="228" spans="1:5" x14ac:dyDescent="0.25">
      <c r="A228" s="30">
        <v>1.7958563260221301</v>
      </c>
      <c r="C228" s="7"/>
      <c r="D228"/>
      <c r="E228" t="s">
        <v>8</v>
      </c>
    </row>
    <row r="229" spans="1:5" x14ac:dyDescent="0.25">
      <c r="A229" s="30">
        <v>1.7103393581163142</v>
      </c>
      <c r="E229" t="s">
        <v>8</v>
      </c>
    </row>
    <row r="230" spans="1:5" x14ac:dyDescent="0.25">
      <c r="A230" s="30">
        <v>1.628894626777442</v>
      </c>
      <c r="E230" t="s">
        <v>8</v>
      </c>
    </row>
    <row r="231" spans="1:5" x14ac:dyDescent="0.25">
      <c r="A231" s="30">
        <v>1.5513282159785162</v>
      </c>
      <c r="C231"/>
      <c r="D231"/>
      <c r="E231" t="s">
        <v>8</v>
      </c>
    </row>
    <row r="232" spans="1:5" x14ac:dyDescent="0.25">
      <c r="A232" s="30">
        <v>1.477455443789063</v>
      </c>
      <c r="E232" t="s">
        <v>8</v>
      </c>
    </row>
    <row r="233" spans="1:5" x14ac:dyDescent="0.25">
      <c r="A233" s="30">
        <v>1.4071004226562505</v>
      </c>
      <c r="E233" t="s">
        <v>8</v>
      </c>
    </row>
    <row r="234" spans="1:5" x14ac:dyDescent="0.25">
      <c r="A234" s="30">
        <v>1.3400956406250004</v>
      </c>
      <c r="E234" t="s">
        <v>8</v>
      </c>
    </row>
    <row r="235" spans="1:5" x14ac:dyDescent="0.25">
      <c r="A235" s="30">
        <v>1.2762815625000004</v>
      </c>
      <c r="C235"/>
      <c r="E235" t="s">
        <v>8</v>
      </c>
    </row>
    <row r="236" spans="1:5" x14ac:dyDescent="0.25">
      <c r="A236" s="30">
        <v>1.2155062500000002</v>
      </c>
      <c r="E236" t="s">
        <v>8</v>
      </c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5" x14ac:dyDescent="0.25">
      <c r="A238" s="30">
        <v>1.1025</v>
      </c>
      <c r="E238" t="s">
        <v>8</v>
      </c>
    </row>
    <row r="239" spans="1:5" x14ac:dyDescent="0.25">
      <c r="A239" s="30">
        <v>1.05</v>
      </c>
      <c r="E239" t="s">
        <v>8</v>
      </c>
    </row>
    <row r="240" spans="1:5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763" operator="equal">
      <formula>$U$1</formula>
    </cfRule>
    <cfRule type="cellIs" dxfId="67" priority="764" operator="equal">
      <formula>$S$1</formula>
    </cfRule>
  </conditionalFormatting>
  <conditionalFormatting sqref="D136">
    <cfRule type="cellIs" dxfId="66" priority="761" operator="equal">
      <formula>$S$1</formula>
    </cfRule>
    <cfRule type="cellIs" dxfId="65" priority="762" operator="equal">
      <formula>$U$1</formula>
    </cfRule>
  </conditionalFormatting>
  <conditionalFormatting sqref="C162">
    <cfRule type="cellIs" dxfId="64" priority="759" operator="equal">
      <formula>$U$1</formula>
    </cfRule>
    <cfRule type="cellIs" dxfId="63" priority="760" operator="equal">
      <formula>$S$1</formula>
    </cfRule>
  </conditionalFormatting>
  <conditionalFormatting sqref="D162">
    <cfRule type="cellIs" dxfId="62" priority="757" operator="equal">
      <formula>$S$1</formula>
    </cfRule>
    <cfRule type="cellIs" dxfId="61" priority="758" operator="equal">
      <formula>$U$1</formula>
    </cfRule>
  </conditionalFormatting>
  <conditionalFormatting sqref="C187">
    <cfRule type="cellIs" dxfId="60" priority="755" operator="equal">
      <formula>$U$1</formula>
    </cfRule>
    <cfRule type="cellIs" dxfId="59" priority="756" operator="equal">
      <formula>$S$1</formula>
    </cfRule>
  </conditionalFormatting>
  <conditionalFormatting sqref="D187">
    <cfRule type="cellIs" dxfId="58" priority="753" operator="equal">
      <formula>$S$1</formula>
    </cfRule>
    <cfRule type="cellIs" dxfId="57" priority="754" operator="equal">
      <formula>$U$1</formula>
    </cfRule>
  </conditionalFormatting>
  <conditionalFormatting sqref="C212">
    <cfRule type="cellIs" dxfId="56" priority="751" operator="equal">
      <formula>$U$1</formula>
    </cfRule>
    <cfRule type="cellIs" dxfId="55" priority="752" operator="equal">
      <formula>$S$1</formula>
    </cfRule>
  </conditionalFormatting>
  <conditionalFormatting sqref="D212">
    <cfRule type="cellIs" dxfId="54" priority="749" operator="equal">
      <formula>$S$1</formula>
    </cfRule>
    <cfRule type="cellIs" dxfId="53" priority="750" operator="equal">
      <formula>$U$1</formula>
    </cfRule>
  </conditionalFormatting>
  <conditionalFormatting sqref="C237">
    <cfRule type="cellIs" dxfId="52" priority="747" operator="equal">
      <formula>$U$1</formula>
    </cfRule>
    <cfRule type="cellIs" dxfId="51" priority="748" operator="equal">
      <formula>$S$1</formula>
    </cfRule>
  </conditionalFormatting>
  <conditionalFormatting sqref="D237">
    <cfRule type="cellIs" dxfId="50" priority="745" operator="equal">
      <formula>$S$1</formula>
    </cfRule>
    <cfRule type="cellIs" dxfId="49" priority="746" operator="equal">
      <formula>$U$1</formula>
    </cfRule>
  </conditionalFormatting>
  <conditionalFormatting sqref="C106">
    <cfRule type="cellIs" dxfId="48" priority="743" operator="equal">
      <formula>$U$1</formula>
    </cfRule>
    <cfRule type="cellIs" dxfId="47" priority="744" operator="equal">
      <formula>$S$1</formula>
    </cfRule>
  </conditionalFormatting>
  <conditionalFormatting sqref="D106">
    <cfRule type="cellIs" dxfId="46" priority="741" operator="equal">
      <formula>$S$1</formula>
    </cfRule>
    <cfRule type="cellIs" dxfId="45" priority="742" operator="equal">
      <formula>$U$1</formula>
    </cfRule>
  </conditionalFormatting>
  <conditionalFormatting sqref="C81">
    <cfRule type="cellIs" dxfId="44" priority="739" operator="equal">
      <formula>$U$1</formula>
    </cfRule>
    <cfRule type="cellIs" dxfId="43" priority="740" operator="equal">
      <formula>$S$1</formula>
    </cfRule>
  </conditionalFormatting>
  <conditionalFormatting sqref="D81">
    <cfRule type="cellIs" dxfId="42" priority="737" operator="equal">
      <formula>$S$1</formula>
    </cfRule>
    <cfRule type="cellIs" dxfId="41" priority="738" operator="equal">
      <formula>$U$1</formula>
    </cfRule>
  </conditionalFormatting>
  <conditionalFormatting sqref="C56">
    <cfRule type="cellIs" dxfId="40" priority="735" operator="equal">
      <formula>$U$1</formula>
    </cfRule>
    <cfRule type="cellIs" dxfId="39" priority="736" operator="equal">
      <formula>$S$1</formula>
    </cfRule>
  </conditionalFormatting>
  <conditionalFormatting sqref="D56">
    <cfRule type="cellIs" dxfId="38" priority="733" operator="equal">
      <formula>$S$1</formula>
    </cfRule>
    <cfRule type="cellIs" dxfId="37" priority="734" operator="equal">
      <formula>$U$1</formula>
    </cfRule>
  </conditionalFormatting>
  <conditionalFormatting sqref="C31">
    <cfRule type="cellIs" dxfId="36" priority="731" operator="equal">
      <formula>$U$1</formula>
    </cfRule>
    <cfRule type="cellIs" dxfId="35" priority="732" operator="equal">
      <formula>$S$1</formula>
    </cfRule>
  </conditionalFormatting>
  <conditionalFormatting sqref="D31">
    <cfRule type="cellIs" dxfId="34" priority="729" operator="equal">
      <formula>$S$1</formula>
    </cfRule>
    <cfRule type="cellIs" dxfId="33" priority="730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76" zoomScale="90" zoomScaleNormal="90" workbookViewId="0">
      <pane xSplit="4" topLeftCell="G1" activePane="topRight" state="frozen"/>
      <selection activeCell="A109" sqref="A109"/>
      <selection pane="topRight" activeCell="X100" sqref="X100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25" x14ac:dyDescent="0.25">
      <c r="A81" s="30">
        <v>45.259255568176073</v>
      </c>
      <c r="E81"/>
    </row>
    <row r="82" spans="1:25" x14ac:dyDescent="0.25">
      <c r="A82" s="30">
        <v>41.144777789250973</v>
      </c>
      <c r="E82"/>
      <c r="M82" s="31" t="s">
        <v>8</v>
      </c>
    </row>
    <row r="83" spans="1:25" x14ac:dyDescent="0.25">
      <c r="A83" s="30">
        <v>37.404343444773609</v>
      </c>
      <c r="E83"/>
      <c r="M83" s="27" t="s">
        <v>8</v>
      </c>
      <c r="N83" s="31" t="s">
        <v>7</v>
      </c>
    </row>
    <row r="84" spans="1:25" x14ac:dyDescent="0.25">
      <c r="A84" s="30">
        <v>34.003948586157826</v>
      </c>
      <c r="E84"/>
      <c r="M84" s="27" t="s">
        <v>8</v>
      </c>
      <c r="N84" s="27" t="s">
        <v>7</v>
      </c>
      <c r="O84" s="31"/>
    </row>
    <row r="85" spans="1:25" x14ac:dyDescent="0.25">
      <c r="A85" s="30">
        <v>30.912680532870748</v>
      </c>
      <c r="E85"/>
      <c r="M85" s="27" t="s">
        <v>8</v>
      </c>
      <c r="N85" s="27" t="s">
        <v>7</v>
      </c>
      <c r="P85" s="31"/>
    </row>
    <row r="86" spans="1:25" x14ac:dyDescent="0.25">
      <c r="A86" s="30">
        <v>28.102436848064315</v>
      </c>
      <c r="E86"/>
      <c r="K86" s="27" t="s">
        <v>8</v>
      </c>
      <c r="M86" s="27" t="s">
        <v>8</v>
      </c>
      <c r="N86" s="27" t="s">
        <v>7</v>
      </c>
      <c r="Q86" s="31"/>
    </row>
    <row r="87" spans="1:25" x14ac:dyDescent="0.25">
      <c r="A87" s="30">
        <v>25.547669861876649</v>
      </c>
      <c r="E87"/>
      <c r="K87" s="27" t="s">
        <v>8</v>
      </c>
      <c r="L87" s="27" t="s">
        <v>7</v>
      </c>
      <c r="M87" s="27" t="s">
        <v>8</v>
      </c>
      <c r="N87" s="27" t="s">
        <v>7</v>
      </c>
      <c r="R87" s="31"/>
      <c r="W87" s="27" t="s">
        <v>8</v>
      </c>
    </row>
    <row r="88" spans="1:25" x14ac:dyDescent="0.25">
      <c r="A88" s="30">
        <v>23.225154419887861</v>
      </c>
      <c r="E88"/>
      <c r="K88" s="27" t="s">
        <v>8</v>
      </c>
      <c r="L88" s="27" t="s">
        <v>7</v>
      </c>
      <c r="M88" s="27" t="s">
        <v>8</v>
      </c>
      <c r="N88" s="27" t="s">
        <v>7</v>
      </c>
      <c r="S88" s="31"/>
      <c r="W88" s="27" t="s">
        <v>8</v>
      </c>
      <c r="X88" s="27" t="s">
        <v>7</v>
      </c>
    </row>
    <row r="89" spans="1:25" x14ac:dyDescent="0.25">
      <c r="A89" s="30">
        <v>21.113776745352599</v>
      </c>
      <c r="E89"/>
      <c r="K89" s="27" t="s">
        <v>8</v>
      </c>
      <c r="L89" s="27" t="s">
        <v>7</v>
      </c>
      <c r="M89" s="27" t="s">
        <v>8</v>
      </c>
      <c r="N89" s="27" t="s">
        <v>7</v>
      </c>
      <c r="O89" s="27" t="s">
        <v>8</v>
      </c>
      <c r="S89" s="33" t="s">
        <v>8</v>
      </c>
      <c r="T89" s="31"/>
      <c r="W89" s="27" t="s">
        <v>8</v>
      </c>
      <c r="X89" s="27" t="s">
        <v>7</v>
      </c>
    </row>
    <row r="90" spans="1:25" x14ac:dyDescent="0.25">
      <c r="A90" s="30">
        <v>19.194342495775089</v>
      </c>
      <c r="E90"/>
      <c r="K90" s="27" t="s">
        <v>8</v>
      </c>
      <c r="L90" s="27" t="s">
        <v>7</v>
      </c>
      <c r="N90" s="27" t="s">
        <v>7</v>
      </c>
      <c r="O90" s="27" t="s">
        <v>8</v>
      </c>
      <c r="P90" s="27" t="s">
        <v>7</v>
      </c>
      <c r="Q90" s="27" t="s">
        <v>8</v>
      </c>
      <c r="S90" s="27" t="s">
        <v>8</v>
      </c>
      <c r="T90" s="27" t="s">
        <v>7</v>
      </c>
      <c r="U90" s="31"/>
      <c r="W90" s="27" t="s">
        <v>8</v>
      </c>
      <c r="X90" s="27" t="s">
        <v>7</v>
      </c>
    </row>
    <row r="91" spans="1:25" x14ac:dyDescent="0.25">
      <c r="A91" s="30">
        <v>17.449402268886445</v>
      </c>
      <c r="E91" t="s">
        <v>8</v>
      </c>
      <c r="K91" s="27" t="s">
        <v>8</v>
      </c>
      <c r="N91" s="34" t="s">
        <v>7</v>
      </c>
      <c r="O91" s="27" t="s">
        <v>8</v>
      </c>
      <c r="P91" s="27" t="s">
        <v>7</v>
      </c>
      <c r="Q91" s="27" t="s">
        <v>8</v>
      </c>
      <c r="R91" s="27" t="s">
        <v>7</v>
      </c>
      <c r="S91" s="27" t="s">
        <v>8</v>
      </c>
      <c r="T91" s="27" t="s">
        <v>7</v>
      </c>
      <c r="V91" s="31"/>
      <c r="W91" s="33" t="s">
        <v>8</v>
      </c>
      <c r="X91" s="27" t="s">
        <v>7</v>
      </c>
    </row>
    <row r="92" spans="1:25" x14ac:dyDescent="0.25">
      <c r="A92" s="30">
        <v>15.863092971714948</v>
      </c>
      <c r="C92" s="1" t="s">
        <v>15</v>
      </c>
      <c r="E92" t="s">
        <v>8</v>
      </c>
      <c r="F92" s="27" t="s">
        <v>7</v>
      </c>
      <c r="G92" s="27" t="s">
        <v>8</v>
      </c>
      <c r="K92" s="33" t="s">
        <v>8</v>
      </c>
      <c r="N92" s="27" t="s">
        <v>7</v>
      </c>
      <c r="O92" s="27" t="s">
        <v>8</v>
      </c>
      <c r="P92" s="27" t="s">
        <v>7</v>
      </c>
      <c r="Q92" s="27" t="s">
        <v>8</v>
      </c>
      <c r="R92" s="27" t="s">
        <v>7</v>
      </c>
      <c r="S92" s="27" t="s">
        <v>8</v>
      </c>
      <c r="T92" s="27" t="s">
        <v>7</v>
      </c>
      <c r="U92" s="18" t="s">
        <v>8</v>
      </c>
      <c r="W92" s="31" t="s">
        <v>8</v>
      </c>
      <c r="X92" s="27" t="s">
        <v>7</v>
      </c>
      <c r="Y92" s="31"/>
    </row>
    <row r="93" spans="1:25" x14ac:dyDescent="0.25">
      <c r="A93" s="30">
        <v>14.420993610649951</v>
      </c>
      <c r="C93" s="7">
        <v>0.11167815779424731</v>
      </c>
      <c r="D93"/>
      <c r="E93" t="s">
        <v>8</v>
      </c>
      <c r="F93" s="27" t="s">
        <v>7</v>
      </c>
      <c r="G93" s="27" t="s">
        <v>8</v>
      </c>
      <c r="H93" s="27" t="s">
        <v>7</v>
      </c>
      <c r="I93" s="27" t="s">
        <v>8</v>
      </c>
      <c r="K93" s="27" t="s">
        <v>8</v>
      </c>
      <c r="N93" s="27" t="s">
        <v>7</v>
      </c>
      <c r="P93" s="27" t="s">
        <v>7</v>
      </c>
      <c r="Q93" s="27" t="s">
        <v>8</v>
      </c>
      <c r="R93" s="27" t="s">
        <v>7</v>
      </c>
      <c r="T93" s="27" t="s">
        <v>7</v>
      </c>
      <c r="U93" s="27" t="s">
        <v>8</v>
      </c>
      <c r="V93" s="27" t="s">
        <v>7</v>
      </c>
      <c r="W93" s="27" t="s">
        <v>8</v>
      </c>
      <c r="X93" s="31" t="s">
        <v>7</v>
      </c>
    </row>
    <row r="94" spans="1:25" x14ac:dyDescent="0.25">
      <c r="A94" s="30">
        <v>13.109994191499954</v>
      </c>
      <c r="E94" t="s">
        <v>8</v>
      </c>
      <c r="F94" s="27" t="s">
        <v>7</v>
      </c>
      <c r="G94" s="27" t="s">
        <v>8</v>
      </c>
      <c r="H94" s="27" t="s">
        <v>7</v>
      </c>
      <c r="I94" s="27" t="s">
        <v>8</v>
      </c>
      <c r="J94" s="27" t="s">
        <v>7</v>
      </c>
      <c r="K94" s="27" t="s">
        <v>8</v>
      </c>
      <c r="P94" s="27" t="s">
        <v>7</v>
      </c>
      <c r="Q94" s="27" t="s">
        <v>8</v>
      </c>
      <c r="T94" s="34" t="s">
        <v>7</v>
      </c>
      <c r="U94" s="27" t="s">
        <v>8</v>
      </c>
      <c r="V94" s="27" t="s">
        <v>7</v>
      </c>
      <c r="W94" s="31" t="s">
        <v>8</v>
      </c>
      <c r="X94" s="27" t="s">
        <v>7</v>
      </c>
    </row>
    <row r="95" spans="1:25" x14ac:dyDescent="0.25">
      <c r="A95" s="30">
        <v>11.918176537727231</v>
      </c>
      <c r="C95" s="1" t="s">
        <v>11</v>
      </c>
      <c r="D95" s="1" t="s">
        <v>12</v>
      </c>
      <c r="E95" t="s">
        <v>8</v>
      </c>
      <c r="F95" s="27" t="s">
        <v>7</v>
      </c>
      <c r="G95" s="27" t="s">
        <v>8</v>
      </c>
      <c r="H95" s="27" t="s">
        <v>7</v>
      </c>
      <c r="I95" s="27" t="s">
        <v>8</v>
      </c>
      <c r="J95" s="27" t="s">
        <v>7</v>
      </c>
      <c r="K95" s="27" t="s">
        <v>8</v>
      </c>
      <c r="P95" s="27" t="s">
        <v>7</v>
      </c>
      <c r="Q95" s="27" t="s">
        <v>8</v>
      </c>
      <c r="T95" s="27" t="s">
        <v>7</v>
      </c>
      <c r="U95" s="27" t="s">
        <v>8</v>
      </c>
      <c r="V95" s="31" t="s">
        <v>7</v>
      </c>
      <c r="X95" s="27" t="s">
        <v>7</v>
      </c>
    </row>
    <row r="96" spans="1:25" x14ac:dyDescent="0.25">
      <c r="A96" s="30">
        <v>10.834705943388391</v>
      </c>
      <c r="C96"/>
      <c r="D96"/>
      <c r="E96" t="s">
        <v>8</v>
      </c>
      <c r="F96" s="27" t="s">
        <v>7</v>
      </c>
      <c r="G96" s="27" t="s">
        <v>8</v>
      </c>
      <c r="H96" s="27" t="s">
        <v>7</v>
      </c>
      <c r="I96" s="27" t="s">
        <v>8</v>
      </c>
      <c r="J96" s="27" t="s">
        <v>7</v>
      </c>
      <c r="K96" s="27" t="s">
        <v>8</v>
      </c>
      <c r="P96" s="27" t="s">
        <v>7</v>
      </c>
      <c r="Q96" s="27" t="s">
        <v>8</v>
      </c>
      <c r="T96" s="27" t="s">
        <v>7</v>
      </c>
      <c r="U96" s="31" t="s">
        <v>8</v>
      </c>
      <c r="X96" s="34" t="s">
        <v>7</v>
      </c>
    </row>
    <row r="97" spans="1:24" x14ac:dyDescent="0.25">
      <c r="A97" s="30">
        <v>9.849732675807628</v>
      </c>
      <c r="E97" t="s">
        <v>8</v>
      </c>
      <c r="F97" s="27" t="s">
        <v>7</v>
      </c>
      <c r="H97" s="27" t="s">
        <v>7</v>
      </c>
      <c r="I97" s="27" t="s">
        <v>8</v>
      </c>
      <c r="J97" s="27" t="s">
        <v>7</v>
      </c>
      <c r="P97" s="27" t="s">
        <v>7</v>
      </c>
      <c r="T97" s="31" t="s">
        <v>7</v>
      </c>
      <c r="X97" s="27" t="s">
        <v>7</v>
      </c>
    </row>
    <row r="98" spans="1:24" x14ac:dyDescent="0.25">
      <c r="A98" s="30">
        <v>8.9543024325523888</v>
      </c>
      <c r="C98" s="1" t="s">
        <v>13</v>
      </c>
      <c r="E98" t="s">
        <v>8</v>
      </c>
      <c r="H98" s="27" t="s">
        <v>7</v>
      </c>
      <c r="X98" s="27" t="s">
        <v>7</v>
      </c>
    </row>
    <row r="99" spans="1:24" x14ac:dyDescent="0.25">
      <c r="A99" s="30">
        <v>8.140274938683989</v>
      </c>
      <c r="C99" s="1">
        <f>C88</f>
        <v>0</v>
      </c>
      <c r="E99" t="s">
        <v>8</v>
      </c>
      <c r="X99" s="27" t="s">
        <v>7</v>
      </c>
    </row>
    <row r="100" spans="1:24" x14ac:dyDescent="0.25">
      <c r="A100" s="30">
        <v>7.4002499442581717</v>
      </c>
      <c r="C100"/>
      <c r="D100"/>
      <c r="E100" t="s">
        <v>8</v>
      </c>
      <c r="X100" s="27" t="s">
        <v>7</v>
      </c>
    </row>
    <row r="101" spans="1:24" x14ac:dyDescent="0.25">
      <c r="A101" s="30">
        <v>6.72749994932561</v>
      </c>
      <c r="C101" s="1" t="s">
        <v>14</v>
      </c>
      <c r="E101" t="s">
        <v>8</v>
      </c>
    </row>
    <row r="102" spans="1:24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</row>
    <row r="103" spans="1:24" x14ac:dyDescent="0.25">
      <c r="A103" s="30">
        <v>5.5599173134922388</v>
      </c>
      <c r="E103" t="s">
        <v>8</v>
      </c>
    </row>
    <row r="104" spans="1:24" x14ac:dyDescent="0.25">
      <c r="A104" s="30">
        <v>5.0544702849929442</v>
      </c>
      <c r="E104" t="s">
        <v>8</v>
      </c>
    </row>
    <row r="105" spans="1:24" x14ac:dyDescent="0.25">
      <c r="A105" s="30">
        <v>4.594972986357222</v>
      </c>
      <c r="E105" t="s">
        <v>8</v>
      </c>
    </row>
    <row r="106" spans="1:24" x14ac:dyDescent="0.25">
      <c r="A106" s="30">
        <v>4.1772481694156562</v>
      </c>
      <c r="E106" t="s">
        <v>8</v>
      </c>
    </row>
    <row r="107" spans="1:24" x14ac:dyDescent="0.25">
      <c r="A107" s="30">
        <v>3.7974983358324148</v>
      </c>
      <c r="E107" t="s">
        <v>8</v>
      </c>
    </row>
    <row r="108" spans="1:24" x14ac:dyDescent="0.25">
      <c r="A108" s="30">
        <v>3.4522712143931042</v>
      </c>
      <c r="E108" t="s">
        <v>8</v>
      </c>
    </row>
    <row r="109" spans="1:24" x14ac:dyDescent="0.25">
      <c r="A109" s="30">
        <v>3.1384283767210035</v>
      </c>
      <c r="E109" t="s">
        <v>8</v>
      </c>
    </row>
    <row r="110" spans="1:24" x14ac:dyDescent="0.25">
      <c r="A110" s="30">
        <v>2.8531167061100029</v>
      </c>
      <c r="E110" t="s">
        <v>8</v>
      </c>
    </row>
    <row r="111" spans="1:24" x14ac:dyDescent="0.25">
      <c r="A111" s="30">
        <v>2.5937424601000023</v>
      </c>
      <c r="C111" s="1" t="str">
        <f>ADDRESS(C121-1,1,1,1)</f>
        <v>$A$99</v>
      </c>
      <c r="D111" s="1" t="str">
        <f>ADDRESS(C121-1,D121,1,1)</f>
        <v>$X$99</v>
      </c>
      <c r="E111" t="s">
        <v>8</v>
      </c>
    </row>
    <row r="112" spans="1:24" x14ac:dyDescent="0.25">
      <c r="A112" s="30">
        <v>2.3579476910000019</v>
      </c>
      <c r="C112" s="1" t="str">
        <f>ADDRESS(C121,1,1,1)</f>
        <v>$A$100</v>
      </c>
      <c r="D112" s="1" t="str">
        <f>ADDRESS(C121,D121-1,1,1)</f>
        <v>$W$100</v>
      </c>
      <c r="E112" t="s">
        <v>8</v>
      </c>
    </row>
    <row r="113" spans="1:5" x14ac:dyDescent="0.25">
      <c r="A113" s="30">
        <v>2.1435888100000016</v>
      </c>
      <c r="C113" s="1" t="str">
        <f>ADDRESS(C121+1,1,1,1)</f>
        <v>$A$101</v>
      </c>
      <c r="D113" s="1" t="str">
        <f>ADDRESS(C121-1,D121+1,1,1)</f>
        <v>$Y$99</v>
      </c>
      <c r="E113" s="1" t="s">
        <v>8</v>
      </c>
    </row>
    <row r="114" spans="1:5" x14ac:dyDescent="0.25">
      <c r="A114" s="30">
        <v>1.9487171000000014</v>
      </c>
      <c r="C114" s="1" t="str">
        <f>ADDRESS(C121,D121,1,1)</f>
        <v>$X$100</v>
      </c>
      <c r="D114" s="1" t="str">
        <f>ADDRESS(C121+1,D121+1,1,1)</f>
        <v>$Y$101</v>
      </c>
      <c r="E114" s="1" t="s">
        <v>8</v>
      </c>
    </row>
    <row r="115" spans="1:5" x14ac:dyDescent="0.25">
      <c r="A115" s="30">
        <v>1.7715610000000011</v>
      </c>
      <c r="C115" s="1" t="str">
        <f>ADDRESS(C121+1,D121,1,1)</f>
        <v>$X$101</v>
      </c>
      <c r="E115" s="1" t="s">
        <v>8</v>
      </c>
    </row>
    <row r="116" spans="1:5" x14ac:dyDescent="0.25">
      <c r="A116" s="30">
        <v>1.6105100000000008</v>
      </c>
      <c r="C116" s="1">
        <f>C117-1</f>
        <v>99</v>
      </c>
      <c r="E116" s="1" t="s">
        <v>8</v>
      </c>
    </row>
    <row r="117" spans="1:5" x14ac:dyDescent="0.25">
      <c r="A117" s="30">
        <v>1.4641000000000006</v>
      </c>
      <c r="C117" s="1">
        <f>C121</f>
        <v>100</v>
      </c>
      <c r="D117" s="1">
        <f>D121</f>
        <v>24</v>
      </c>
      <c r="E117" s="1" t="s">
        <v>8</v>
      </c>
    </row>
    <row r="118" spans="1:5" x14ac:dyDescent="0.25">
      <c r="A118" s="30">
        <v>1.3310000000000004</v>
      </c>
      <c r="C118" s="1">
        <f>C117+1</f>
        <v>101</v>
      </c>
      <c r="D118" s="1">
        <f>D117+1</f>
        <v>25</v>
      </c>
      <c r="E118" s="1" t="s">
        <v>8</v>
      </c>
    </row>
    <row r="119" spans="1:5" x14ac:dyDescent="0.25">
      <c r="A119" s="30">
        <v>1.2100000000000002</v>
      </c>
      <c r="E119" s="1" t="s">
        <v>8</v>
      </c>
    </row>
    <row r="120" spans="1:5" x14ac:dyDescent="0.25">
      <c r="A120" s="30">
        <v>1.1000000000000001</v>
      </c>
      <c r="C120" s="1" t="s">
        <v>9</v>
      </c>
      <c r="E120" s="1" t="s">
        <v>8</v>
      </c>
    </row>
    <row r="121" spans="1:5" x14ac:dyDescent="0.25">
      <c r="A121" s="30">
        <v>1</v>
      </c>
      <c r="C121" s="18">
        <v>100</v>
      </c>
      <c r="D121" s="19">
        <v>24</v>
      </c>
      <c r="E121" s="18" t="s">
        <v>8</v>
      </c>
    </row>
    <row r="122" spans="1:5" x14ac:dyDescent="0.25">
      <c r="A122" s="30">
        <v>0.90909090909090895</v>
      </c>
      <c r="C122" s="1" t="str">
        <f>INDEX(1:1048576,C117,D117)</f>
        <v>O</v>
      </c>
    </row>
    <row r="123" spans="1:5" x14ac:dyDescent="0.25">
      <c r="A123" s="30">
        <v>0.82644628099173523</v>
      </c>
      <c r="C123" s="1" t="str">
        <f>"R"&amp;C121</f>
        <v>R100</v>
      </c>
      <c r="D123" s="1" t="str">
        <f>"C"&amp;D121</f>
        <v>C24</v>
      </c>
    </row>
    <row r="124" spans="1:5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0.68301345536507019</v>
      </c>
    </row>
    <row r="126" spans="1:5" x14ac:dyDescent="0.25">
      <c r="A126" s="30">
        <v>0.6209213230591546</v>
      </c>
      <c r="C126" s="1" t="s">
        <v>10</v>
      </c>
    </row>
    <row r="127" spans="1:5" x14ac:dyDescent="0.25">
      <c r="A127" s="30">
        <v>0.56447393005377677</v>
      </c>
      <c r="C127" s="30">
        <v>7.4002499442581717</v>
      </c>
      <c r="D127"/>
    </row>
    <row r="128" spans="1:5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747" operator="equal">
      <formula>$U$1</formula>
    </cfRule>
    <cfRule type="cellIs" dxfId="30" priority="748" operator="equal">
      <formula>$S$1</formula>
    </cfRule>
  </conditionalFormatting>
  <conditionalFormatting sqref="D136">
    <cfRule type="cellIs" dxfId="29" priority="745" operator="equal">
      <formula>$S$1</formula>
    </cfRule>
    <cfRule type="cellIs" dxfId="28" priority="746" operator="equal">
      <formula>$U$1</formula>
    </cfRule>
  </conditionalFormatting>
  <conditionalFormatting sqref="C102">
    <cfRule type="cellIs" dxfId="27" priority="743" operator="equal">
      <formula>$U$1</formula>
    </cfRule>
    <cfRule type="cellIs" dxfId="26" priority="744" operator="equal">
      <formula>$S$1</formula>
    </cfRule>
  </conditionalFormatting>
  <conditionalFormatting sqref="D102">
    <cfRule type="cellIs" dxfId="25" priority="741" operator="equal">
      <formula>$S$1</formula>
    </cfRule>
    <cfRule type="cellIs" dxfId="24" priority="742" operator="equal">
      <formula>$U$1</formula>
    </cfRule>
  </conditionalFormatting>
  <conditionalFormatting sqref="C77">
    <cfRule type="cellIs" dxfId="23" priority="739" operator="equal">
      <formula>$U$1</formula>
    </cfRule>
    <cfRule type="cellIs" dxfId="22" priority="740" operator="equal">
      <formula>$S$1</formula>
    </cfRule>
  </conditionalFormatting>
  <conditionalFormatting sqref="D77">
    <cfRule type="cellIs" dxfId="21" priority="737" operator="equal">
      <formula>$S$1</formula>
    </cfRule>
    <cfRule type="cellIs" dxfId="20" priority="738" operator="equal">
      <formula>$U$1</formula>
    </cfRule>
  </conditionalFormatting>
  <conditionalFormatting sqref="C52">
    <cfRule type="cellIs" dxfId="19" priority="735" operator="equal">
      <formula>$U$1</formula>
    </cfRule>
    <cfRule type="cellIs" dxfId="18" priority="736" operator="equal">
      <formula>$S$1</formula>
    </cfRule>
  </conditionalFormatting>
  <conditionalFormatting sqref="D52">
    <cfRule type="cellIs" dxfId="17" priority="733" operator="equal">
      <formula>$S$1</formula>
    </cfRule>
    <cfRule type="cellIs" dxfId="16" priority="734" operator="equal">
      <formula>$U$1</formula>
    </cfRule>
  </conditionalFormatting>
  <conditionalFormatting sqref="C26">
    <cfRule type="cellIs" dxfId="15" priority="731" operator="equal">
      <formula>$U$1</formula>
    </cfRule>
    <cfRule type="cellIs" dxfId="14" priority="732" operator="equal">
      <formula>$S$1</formula>
    </cfRule>
  </conditionalFormatting>
  <conditionalFormatting sqref="D26">
    <cfRule type="cellIs" dxfId="13" priority="729" operator="equal">
      <formula>$S$1</formula>
    </cfRule>
    <cfRule type="cellIs" dxfId="12" priority="730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6" t="s">
        <v>17</v>
      </c>
      <c r="C1" s="36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10.921333129289241</v>
      </c>
      <c r="F3" s="30">
        <v>11.467399785753704</v>
      </c>
      <c r="G3" s="30">
        <v>26.283490366495137</v>
      </c>
      <c r="H3" s="25">
        <f>IF(G3="","",(3*(G3-F3))+E3)</f>
        <v>55.369604871513545</v>
      </c>
      <c r="I3" s="7"/>
      <c r="J3" s="7">
        <f>(E3+G3)/2</f>
        <v>18.602411747892191</v>
      </c>
      <c r="K3" s="7">
        <f>H3/2</f>
        <v>27.684802435756772</v>
      </c>
      <c r="M3" s="26">
        <f>IF(OR(J3="",H3=""),"",H3/J3)</f>
        <v>2.9764745357702012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2022-01-28T01:14:44Z</dcterms:modified>
</cp:coreProperties>
</file>