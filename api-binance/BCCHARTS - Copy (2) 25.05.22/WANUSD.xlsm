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C3EA77D-77B7-45F5-A5BC-23E4DE9B48EB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889" i="1"/>
  <c r="Q889" i="1" s="1"/>
  <c r="R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889" i="1"/>
  <c r="T88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8" i="5"/>
  <c r="C122" i="5"/>
  <c r="C133" i="5" s="1"/>
  <c r="C136" i="5" s="1"/>
  <c r="C116" i="4"/>
  <c r="C118" i="4"/>
  <c r="C122" i="3"/>
  <c r="C133" i="3" s="1"/>
  <c r="C136" i="3" s="1"/>
  <c r="C136" i="4"/>
  <c r="D136" i="4"/>
  <c r="C118" i="3"/>
  <c r="R888" i="1"/>
  <c r="D136" i="5" l="1"/>
  <c r="C138" i="5" s="1"/>
  <c r="D136" i="3"/>
  <c r="C138" i="3" s="1"/>
  <c r="C138" i="4"/>
  <c r="R887" i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<sst xmlns="http://schemas.openxmlformats.org/spreadsheetml/2006/main" count="8547" uniqueCount="34">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</sst>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0.4032</c:v>
                </c:pt>
                <c:pt idx="1">
                  <c:v>0.41160000000000002</c:v>
                </c:pt>
                <c:pt idx="2">
                  <c:v>0.3962</c:v>
                </c:pt>
                <c:pt idx="3">
                  <c:v>0.3982</c:v>
                </c:pt>
                <c:pt idx="4">
                  <c:v>0.41</c:v>
                </c:pt>
                <c:pt idx="5">
                  <c:v>0.41220000000000001</c:v>
                </c:pt>
                <c:pt idx="6">
                  <c:v>0.43509999999999999</c:v>
                </c:pt>
                <c:pt idx="7">
                  <c:v>0.52839999999999998</c:v>
                </c:pt>
                <c:pt idx="8">
                  <c:v>0.54369999999999996</c:v>
                </c:pt>
                <c:pt idx="9">
                  <c:v>0.54100000000000004</c:v>
                </c:pt>
                <c:pt idx="10">
                  <c:v>0.54469999999999996</c:v>
                </c:pt>
                <c:pt idx="11">
                  <c:v>0.56269999999999998</c:v>
                </c:pt>
                <c:pt idx="12">
                  <c:v>0.57669999999999999</c:v>
                </c:pt>
                <c:pt idx="13">
                  <c:v>0.57589999999999997</c:v>
                </c:pt>
                <c:pt idx="14">
                  <c:v>0.57640000000000002</c:v>
                </c:pt>
                <c:pt idx="15">
                  <c:v>0.58540000000000003</c:v>
                </c:pt>
                <c:pt idx="16">
                  <c:v>0.55059999999999998</c:v>
                </c:pt>
                <c:pt idx="17">
                  <c:v>0.53129999999999999</c:v>
                </c:pt>
                <c:pt idx="18">
                  <c:v>0.56869999999999998</c:v>
                </c:pt>
                <c:pt idx="19">
                  <c:v>0.55289999999999995</c:v>
                </c:pt>
                <c:pt idx="20">
                  <c:v>0.5716</c:v>
                </c:pt>
                <c:pt idx="21">
                  <c:v>0.61240000000000006</c:v>
                </c:pt>
                <c:pt idx="22">
                  <c:v>0.63539999999999996</c:v>
                </c:pt>
                <c:pt idx="23">
                  <c:v>0.68289999999999995</c:v>
                </c:pt>
                <c:pt idx="24">
                  <c:v>0.70130000000000003</c:v>
                </c:pt>
                <c:pt idx="25">
                  <c:v>0.72550000000000003</c:v>
                </c:pt>
                <c:pt idx="26">
                  <c:v>0.751</c:v>
                </c:pt>
                <c:pt idx="27">
                  <c:v>0.6986</c:v>
                </c:pt>
                <c:pt idx="28">
                  <c:v>0.71589999999999998</c:v>
                </c:pt>
                <c:pt idx="29">
                  <c:v>0.68</c:v>
                </c:pt>
                <c:pt idx="30">
                  <c:v>0.6875</c:v>
                </c:pt>
                <c:pt idx="31">
                  <c:v>0.7288</c:v>
                </c:pt>
                <c:pt idx="32">
                  <c:v>0.73</c:v>
                </c:pt>
                <c:pt idx="33">
                  <c:v>0.73019999999999996</c:v>
                </c:pt>
                <c:pt idx="34">
                  <c:v>0.68830000000000002</c:v>
                </c:pt>
                <c:pt idx="35">
                  <c:v>0.69679999999999997</c:v>
                </c:pt>
                <c:pt idx="36">
                  <c:v>0.67689999999999995</c:v>
                </c:pt>
                <c:pt idx="37">
                  <c:v>0.67400000000000004</c:v>
                </c:pt>
                <c:pt idx="38">
                  <c:v>0.64600000000000002</c:v>
                </c:pt>
                <c:pt idx="39">
                  <c:v>0.68479999999999996</c:v>
                </c:pt>
                <c:pt idx="40">
                  <c:v>0.66180000000000005</c:v>
                </c:pt>
                <c:pt idx="41">
                  <c:v>0.63260000000000005</c:v>
                </c:pt>
                <c:pt idx="42">
                  <c:v>0.63900000000000001</c:v>
                </c:pt>
                <c:pt idx="43">
                  <c:v>0.65710000000000002</c:v>
                </c:pt>
                <c:pt idx="44">
                  <c:v>0.64349999999999996</c:v>
                </c:pt>
                <c:pt idx="45">
                  <c:v>0.64649999999999996</c:v>
                </c:pt>
                <c:pt idx="46">
                  <c:v>0.70320000000000005</c:v>
                </c:pt>
                <c:pt idx="47">
                  <c:v>0.68359999999999999</c:v>
                </c:pt>
                <c:pt idx="48">
                  <c:v>0.67589999999999995</c:v>
                </c:pt>
                <c:pt idx="49">
                  <c:v>0.71830000000000005</c:v>
                </c:pt>
                <c:pt idx="50">
                  <c:v>0.7823</c:v>
                </c:pt>
                <c:pt idx="51">
                  <c:v>0.73670000000000002</c:v>
                </c:pt>
                <c:pt idx="52">
                  <c:v>0.73960000000000004</c:v>
                </c:pt>
                <c:pt idx="53">
                  <c:v>0.71350000000000002</c:v>
                </c:pt>
                <c:pt idx="54">
                  <c:v>0.7843</c:v>
                </c:pt>
                <c:pt idx="55">
                  <c:v>0.9143</c:v>
                </c:pt>
                <c:pt idx="56">
                  <c:v>0.88859999999999995</c:v>
                </c:pt>
                <c:pt idx="57">
                  <c:v>0.85650000000000004</c:v>
                </c:pt>
                <c:pt idx="58">
                  <c:v>0.85909999999999997</c:v>
                </c:pt>
                <c:pt idx="59">
                  <c:v>0.88700000000000001</c:v>
                </c:pt>
                <c:pt idx="60">
                  <c:v>0.87250000000000005</c:v>
                </c:pt>
                <c:pt idx="61">
                  <c:v>0.90180000000000005</c:v>
                </c:pt>
                <c:pt idx="62">
                  <c:v>0.87939999999999996</c:v>
                </c:pt>
                <c:pt idx="63">
                  <c:v>1.0321</c:v>
                </c:pt>
                <c:pt idx="64">
                  <c:v>0.92410000000000003</c:v>
                </c:pt>
                <c:pt idx="65">
                  <c:v>0.94159999999999999</c:v>
                </c:pt>
                <c:pt idx="66">
                  <c:v>0.88790000000000002</c:v>
                </c:pt>
                <c:pt idx="67">
                  <c:v>0.90229999999999999</c:v>
                </c:pt>
                <c:pt idx="68">
                  <c:v>0.87050000000000005</c:v>
                </c:pt>
                <c:pt idx="69">
                  <c:v>0.82189999999999996</c:v>
                </c:pt>
                <c:pt idx="70">
                  <c:v>0.78939999999999999</c:v>
                </c:pt>
                <c:pt idx="71">
                  <c:v>0.86990000000000001</c:v>
                </c:pt>
                <c:pt idx="72">
                  <c:v>0.8821</c:v>
                </c:pt>
                <c:pt idx="73">
                  <c:v>0.93510000000000004</c:v>
                </c:pt>
                <c:pt idx="74">
                  <c:v>0.95120000000000005</c:v>
                </c:pt>
                <c:pt idx="75">
                  <c:v>0.93879999999999997</c:v>
                </c:pt>
                <c:pt idx="76">
                  <c:v>0.9476</c:v>
                </c:pt>
                <c:pt idx="77">
                  <c:v>0.96350000000000002</c:v>
                </c:pt>
                <c:pt idx="78">
                  <c:v>0.95009999999999994</c:v>
                </c:pt>
                <c:pt idx="79">
                  <c:v>0.98519999999999996</c:v>
                </c:pt>
                <c:pt idx="80">
                  <c:v>1.0004</c:v>
                </c:pt>
                <c:pt idx="81">
                  <c:v>0.99919999999999998</c:v>
                </c:pt>
                <c:pt idx="82">
                  <c:v>0.94940000000000002</c:v>
                </c:pt>
                <c:pt idx="83">
                  <c:v>0.95340000000000003</c:v>
                </c:pt>
                <c:pt idx="84">
                  <c:v>0.97599999999999998</c:v>
                </c:pt>
                <c:pt idx="85">
                  <c:v>1.0346</c:v>
                </c:pt>
                <c:pt idx="86">
                  <c:v>0.98580000000000001</c:v>
                </c:pt>
                <c:pt idx="87">
                  <c:v>0.95779999999999998</c:v>
                </c:pt>
                <c:pt idx="88">
                  <c:v>0.93940000000000001</c:v>
                </c:pt>
                <c:pt idx="89">
                  <c:v>0.93</c:v>
                </c:pt>
                <c:pt idx="90">
                  <c:v>0.89590000000000003</c:v>
                </c:pt>
                <c:pt idx="91">
                  <c:v>0.88070000000000004</c:v>
                </c:pt>
                <c:pt idx="92">
                  <c:v>0.84609999999999996</c:v>
                </c:pt>
                <c:pt idx="93">
                  <c:v>0.91990000000000005</c:v>
                </c:pt>
                <c:pt idx="94">
                  <c:v>0.93659999999999999</c:v>
                </c:pt>
                <c:pt idx="95">
                  <c:v>0.91659999999999997</c:v>
                </c:pt>
                <c:pt idx="96">
                  <c:v>0.94359999999999999</c:v>
                </c:pt>
                <c:pt idx="97">
                  <c:v>0.90269999999999995</c:v>
                </c:pt>
                <c:pt idx="98">
                  <c:v>0.89800000000000002</c:v>
                </c:pt>
                <c:pt idx="99">
                  <c:v>0.93640000000000001</c:v>
                </c:pt>
                <c:pt idx="100">
                  <c:v>0.89300000000000002</c:v>
                </c:pt>
                <c:pt idx="101">
                  <c:v>0.91369999999999996</c:v>
                </c:pt>
                <c:pt idx="102">
                  <c:v>0.9304</c:v>
                </c:pt>
                <c:pt idx="103">
                  <c:v>0.95250000000000001</c:v>
                </c:pt>
                <c:pt idx="104">
                  <c:v>0.90810000000000002</c:v>
                </c:pt>
                <c:pt idx="105">
                  <c:v>0.90620000000000001</c:v>
                </c:pt>
                <c:pt idx="106">
                  <c:v>0.90710000000000002</c:v>
                </c:pt>
                <c:pt idx="107">
                  <c:v>0.90039999999999998</c:v>
                </c:pt>
                <c:pt idx="108">
                  <c:v>0.92020000000000002</c:v>
                </c:pt>
                <c:pt idx="109">
                  <c:v>0.88280000000000003</c:v>
                </c:pt>
                <c:pt idx="110">
                  <c:v>0.96619999999999995</c:v>
                </c:pt>
                <c:pt idx="111">
                  <c:v>0.95909999999999995</c:v>
                </c:pt>
                <c:pt idx="112">
                  <c:v>0.96440000000000003</c:v>
                </c:pt>
                <c:pt idx="113">
                  <c:v>0.94979999999999998</c:v>
                </c:pt>
                <c:pt idx="114">
                  <c:v>0.98640000000000005</c:v>
                </c:pt>
                <c:pt idx="115">
                  <c:v>0.91620000000000001</c:v>
                </c:pt>
                <c:pt idx="116">
                  <c:v>0.92430000000000001</c:v>
                </c:pt>
                <c:pt idx="117">
                  <c:v>0.88949999999999996</c:v>
                </c:pt>
                <c:pt idx="118">
                  <c:v>0.87250000000000005</c:v>
                </c:pt>
                <c:pt idx="119">
                  <c:v>0.75739999999999996</c:v>
                </c:pt>
                <c:pt idx="120">
                  <c:v>0.73340000000000005</c:v>
                </c:pt>
                <c:pt idx="121">
                  <c:v>0.71530000000000005</c:v>
                </c:pt>
                <c:pt idx="122">
                  <c:v>0.75160000000000005</c:v>
                </c:pt>
                <c:pt idx="123">
                  <c:v>0.78149999999999997</c:v>
                </c:pt>
                <c:pt idx="124">
                  <c:v>0.79769999999999996</c:v>
                </c:pt>
                <c:pt idx="125">
                  <c:v>0.84899999999999998</c:v>
                </c:pt>
                <c:pt idx="126">
                  <c:v>0.8286</c:v>
                </c:pt>
                <c:pt idx="127">
                  <c:v>0.8196</c:v>
                </c:pt>
                <c:pt idx="128">
                  <c:v>0.71750000000000003</c:v>
                </c:pt>
                <c:pt idx="129">
                  <c:v>0.82320000000000004</c:v>
                </c:pt>
                <c:pt idx="130">
                  <c:v>0.8931</c:v>
                </c:pt>
                <c:pt idx="131">
                  <c:v>0.94240000000000002</c:v>
                </c:pt>
                <c:pt idx="132">
                  <c:v>0.91700000000000004</c:v>
                </c:pt>
                <c:pt idx="133">
                  <c:v>0.92210000000000003</c:v>
                </c:pt>
                <c:pt idx="134">
                  <c:v>0.95020000000000004</c:v>
                </c:pt>
                <c:pt idx="135">
                  <c:v>0.93489999999999995</c:v>
                </c:pt>
                <c:pt idx="136">
                  <c:v>0.91390000000000005</c:v>
                </c:pt>
                <c:pt idx="137">
                  <c:v>0.95750000000000002</c:v>
                </c:pt>
                <c:pt idx="138">
                  <c:v>0.92879999999999996</c:v>
                </c:pt>
                <c:pt idx="139">
                  <c:v>0.89500000000000002</c:v>
                </c:pt>
                <c:pt idx="140">
                  <c:v>0.96220000000000006</c:v>
                </c:pt>
                <c:pt idx="141">
                  <c:v>0.95960000000000001</c:v>
                </c:pt>
                <c:pt idx="142">
                  <c:v>0.99860000000000004</c:v>
                </c:pt>
                <c:pt idx="143">
                  <c:v>1.2399</c:v>
                </c:pt>
                <c:pt idx="144">
                  <c:v>1.1440999999999999</c:v>
                </c:pt>
                <c:pt idx="145">
                  <c:v>1.1069</c:v>
                </c:pt>
                <c:pt idx="146">
                  <c:v>1.1580999999999999</c:v>
                </c:pt>
                <c:pt idx="147">
                  <c:v>1.0422</c:v>
                </c:pt>
                <c:pt idx="148">
                  <c:v>1.0964</c:v>
                </c:pt>
                <c:pt idx="149">
                  <c:v>0.97929999999999995</c:v>
                </c:pt>
                <c:pt idx="150">
                  <c:v>0.80810000000000004</c:v>
                </c:pt>
                <c:pt idx="151">
                  <c:v>0.82289999999999996</c:v>
                </c:pt>
                <c:pt idx="152">
                  <c:v>0.8296</c:v>
                </c:pt>
                <c:pt idx="153">
                  <c:v>0.86109999999999998</c:v>
                </c:pt>
                <c:pt idx="154">
                  <c:v>0.80959999999999999</c:v>
                </c:pt>
                <c:pt idx="155">
                  <c:v>0.90149999999999997</c:v>
                </c:pt>
                <c:pt idx="156">
                  <c:v>0.85370000000000001</c:v>
                </c:pt>
                <c:pt idx="157">
                  <c:v>0.93400000000000005</c:v>
                </c:pt>
                <c:pt idx="158">
                  <c:v>0.88160000000000005</c:v>
                </c:pt>
                <c:pt idx="159">
                  <c:v>0.86990000000000001</c:v>
                </c:pt>
                <c:pt idx="160">
                  <c:v>0.89039999999999997</c:v>
                </c:pt>
                <c:pt idx="161">
                  <c:v>0.85450000000000004</c:v>
                </c:pt>
                <c:pt idx="162">
                  <c:v>0.80420000000000003</c:v>
                </c:pt>
                <c:pt idx="163">
                  <c:v>0.80279999999999996</c:v>
                </c:pt>
                <c:pt idx="164">
                  <c:v>0.84750000000000003</c:v>
                </c:pt>
                <c:pt idx="165">
                  <c:v>0.89510000000000001</c:v>
                </c:pt>
                <c:pt idx="166">
                  <c:v>0.9163</c:v>
                </c:pt>
                <c:pt idx="167">
                  <c:v>0.90810000000000002</c:v>
                </c:pt>
                <c:pt idx="168">
                  <c:v>0.77059999999999995</c:v>
                </c:pt>
                <c:pt idx="169">
                  <c:v>0.78800000000000003</c:v>
                </c:pt>
                <c:pt idx="170">
                  <c:v>0.74629999999999996</c:v>
                </c:pt>
                <c:pt idx="171">
                  <c:v>0.72119999999999995</c:v>
                </c:pt>
                <c:pt idx="172">
                  <c:v>0.6875</c:v>
                </c:pt>
                <c:pt idx="173">
                  <c:v>0.72889999999999999</c:v>
                </c:pt>
                <c:pt idx="174">
                  <c:v>0.71030000000000004</c:v>
                </c:pt>
                <c:pt idx="175">
                  <c:v>0.69279999999999997</c:v>
                </c:pt>
                <c:pt idx="176">
                  <c:v>0.6482</c:v>
                </c:pt>
                <c:pt idx="177">
                  <c:v>0.623</c:v>
                </c:pt>
                <c:pt idx="178">
                  <c:v>0.65920000000000001</c:v>
                </c:pt>
                <c:pt idx="179">
                  <c:v>0.6129</c:v>
                </c:pt>
                <c:pt idx="180">
                  <c:v>0.61119999999999997</c:v>
                </c:pt>
                <c:pt idx="181">
                  <c:v>0.62070000000000003</c:v>
                </c:pt>
                <c:pt idx="182">
                  <c:v>0.61450000000000005</c:v>
                </c:pt>
                <c:pt idx="183">
                  <c:v>0.57279999999999998</c:v>
                </c:pt>
                <c:pt idx="184">
                  <c:v>0.55989999999999995</c:v>
                </c:pt>
                <c:pt idx="185">
                  <c:v>0.51629999999999998</c:v>
                </c:pt>
                <c:pt idx="186">
                  <c:v>0.51519999999999999</c:v>
                </c:pt>
                <c:pt idx="187">
                  <c:v>0.51139999999999997</c:v>
                </c:pt>
                <c:pt idx="188">
                  <c:v>0.49980000000000002</c:v>
                </c:pt>
                <c:pt idx="189">
                  <c:v>0.49390000000000001</c:v>
                </c:pt>
                <c:pt idx="190">
                  <c:v>0.4929</c:v>
                </c:pt>
                <c:pt idx="191">
                  <c:v>0.46329999999999999</c:v>
                </c:pt>
                <c:pt idx="192">
                  <c:v>0.46850000000000003</c:v>
                </c:pt>
                <c:pt idx="193">
                  <c:v>0.50029999999999997</c:v>
                </c:pt>
                <c:pt idx="194">
                  <c:v>0.49790000000000001</c:v>
                </c:pt>
                <c:pt idx="195">
                  <c:v>0.50649999999999995</c:v>
                </c:pt>
                <c:pt idx="196">
                  <c:v>0.51459999999999995</c:v>
                </c:pt>
                <c:pt idx="197">
                  <c:v>0.53939999999999999</c:v>
                </c:pt>
                <c:pt idx="198">
                  <c:v>0.53990000000000005</c:v>
                </c:pt>
                <c:pt idx="199">
                  <c:v>0.57599999999999996</c:v>
                </c:pt>
                <c:pt idx="200">
                  <c:v>0.5877</c:v>
                </c:pt>
                <c:pt idx="201">
                  <c:v>0.5726</c:v>
                </c:pt>
                <c:pt idx="202">
                  <c:v>0.58520000000000005</c:v>
                </c:pt>
                <c:pt idx="203">
                  <c:v>0.57969999999999999</c:v>
                </c:pt>
                <c:pt idx="204">
                  <c:v>0.61909999999999998</c:v>
                </c:pt>
                <c:pt idx="205">
                  <c:v>0.61809999999999998</c:v>
                </c:pt>
                <c:pt idx="206">
                  <c:v>0.59650000000000003</c:v>
                </c:pt>
                <c:pt idx="207">
                  <c:v>0.61429999999999996</c:v>
                </c:pt>
                <c:pt idx="208">
                  <c:v>0.60260000000000002</c:v>
                </c:pt>
                <c:pt idx="209">
                  <c:v>0.57799999999999996</c:v>
                </c:pt>
                <c:pt idx="210">
                  <c:v>0.56789999999999996</c:v>
                </c:pt>
                <c:pt idx="211">
                  <c:v>0.61329999999999996</c:v>
                </c:pt>
                <c:pt idx="212">
                  <c:v>0.63390000000000002</c:v>
                </c:pt>
                <c:pt idx="213">
                  <c:v>0.54759999999999998</c:v>
                </c:pt>
                <c:pt idx="214">
                  <c:v>0.53259999999999996</c:v>
                </c:pt>
                <c:pt idx="215">
                  <c:v>0.51619999999999999</c:v>
                </c:pt>
                <c:pt idx="216">
                  <c:v>0.50339999999999996</c:v>
                </c:pt>
                <c:pt idx="217">
                  <c:v>0.54669999999999996</c:v>
                </c:pt>
                <c:pt idx="218">
                  <c:v>0.54400000000000004</c:v>
                </c:pt>
                <c:pt idx="219">
                  <c:v>0.49940000000000001</c:v>
                </c:pt>
                <c:pt idx="220">
                  <c:v>0.53620000000000001</c:v>
                </c:pt>
                <c:pt idx="221">
                  <c:v>0.65820000000000001</c:v>
                </c:pt>
                <c:pt idx="222">
                  <c:v>0.66059999999999997</c:v>
                </c:pt>
                <c:pt idx="223">
                  <c:v>0.68510000000000004</c:v>
                </c:pt>
                <c:pt idx="224">
                  <c:v>0.72670000000000001</c:v>
                </c:pt>
                <c:pt idx="225">
                  <c:v>0.73240000000000005</c:v>
                </c:pt>
                <c:pt idx="226">
                  <c:v>0.77649999999999997</c:v>
                </c:pt>
                <c:pt idx="227">
                  <c:v>0.77759999999999996</c:v>
                </c:pt>
                <c:pt idx="228">
                  <c:v>0.75190000000000001</c:v>
                </c:pt>
                <c:pt idx="229">
                  <c:v>0.70040000000000002</c:v>
                </c:pt>
                <c:pt idx="230">
                  <c:v>0.72389999999999999</c:v>
                </c:pt>
                <c:pt idx="231">
                  <c:v>0.76190000000000002</c:v>
                </c:pt>
                <c:pt idx="232">
                  <c:v>0.79310000000000003</c:v>
                </c:pt>
                <c:pt idx="233">
                  <c:v>0.75460000000000005</c:v>
                </c:pt>
                <c:pt idx="234">
                  <c:v>0.76149999999999995</c:v>
                </c:pt>
                <c:pt idx="235">
                  <c:v>0.85009999999999997</c:v>
                </c:pt>
                <c:pt idx="236">
                  <c:v>0.84499999999999997</c:v>
                </c:pt>
                <c:pt idx="237">
                  <c:v>0.86240000000000006</c:v>
                </c:pt>
                <c:pt idx="238">
                  <c:v>0.96130000000000004</c:v>
                </c:pt>
                <c:pt idx="239">
                  <c:v>0.93100000000000005</c:v>
                </c:pt>
                <c:pt idx="240">
                  <c:v>0.88260000000000005</c:v>
                </c:pt>
                <c:pt idx="241">
                  <c:v>0.92720000000000002</c:v>
                </c:pt>
                <c:pt idx="242">
                  <c:v>0.85170000000000001</c:v>
                </c:pt>
                <c:pt idx="243">
                  <c:v>0.81120000000000003</c:v>
                </c:pt>
                <c:pt idx="244">
                  <c:v>0.86240000000000006</c:v>
                </c:pt>
                <c:pt idx="245">
                  <c:v>0.99939999999999996</c:v>
                </c:pt>
                <c:pt idx="246">
                  <c:v>0.99590000000000001</c:v>
                </c:pt>
                <c:pt idx="247">
                  <c:v>0.91920000000000002</c:v>
                </c:pt>
                <c:pt idx="248">
                  <c:v>0.89980000000000004</c:v>
                </c:pt>
                <c:pt idx="249">
                  <c:v>0.71460000000000001</c:v>
                </c:pt>
                <c:pt idx="250">
                  <c:v>0.86539999999999995</c:v>
                </c:pt>
                <c:pt idx="251">
                  <c:v>0.95740000000000003</c:v>
                </c:pt>
                <c:pt idx="252">
                  <c:v>1.0845</c:v>
                </c:pt>
                <c:pt idx="253">
                  <c:v>0.96279999999999999</c:v>
                </c:pt>
                <c:pt idx="254">
                  <c:v>1.4648000000000001</c:v>
                </c:pt>
                <c:pt idx="255">
                  <c:v>1.4536</c:v>
                </c:pt>
                <c:pt idx="256">
                  <c:v>1.6022000000000001</c:v>
                </c:pt>
                <c:pt idx="257">
                  <c:v>1.6419999999999999</c:v>
                </c:pt>
                <c:pt idx="258">
                  <c:v>1.8977999999999999</c:v>
                </c:pt>
                <c:pt idx="259">
                  <c:v>1.8047</c:v>
                </c:pt>
                <c:pt idx="260">
                  <c:v>1.8092999999999999</c:v>
                </c:pt>
                <c:pt idx="261">
                  <c:v>2.2898000000000001</c:v>
                </c:pt>
                <c:pt idx="262">
                  <c:v>2.1364000000000001</c:v>
                </c:pt>
                <c:pt idx="263">
                  <c:v>2.0011999999999999</c:v>
                </c:pt>
                <c:pt idx="264">
                  <c:v>1.9347000000000001</c:v>
                </c:pt>
                <c:pt idx="265">
                  <c:v>1.8617999999999999</c:v>
                </c:pt>
                <c:pt idx="266">
                  <c:v>1.825</c:v>
                </c:pt>
                <c:pt idx="267">
                  <c:v>1.7493000000000001</c:v>
                </c:pt>
                <c:pt idx="268">
                  <c:v>1.5627</c:v>
                </c:pt>
                <c:pt idx="269">
                  <c:v>1.8056000000000001</c:v>
                </c:pt>
                <c:pt idx="270">
                  <c:v>1.78</c:v>
                </c:pt>
                <c:pt idx="271">
                  <c:v>1.8438000000000001</c:v>
                </c:pt>
                <c:pt idx="272">
                  <c:v>1.8635999999999999</c:v>
                </c:pt>
                <c:pt idx="273">
                  <c:v>1.7605999999999999</c:v>
                </c:pt>
                <c:pt idx="274">
                  <c:v>1.6432</c:v>
                </c:pt>
                <c:pt idx="275">
                  <c:v>1.7164999999999999</c:v>
                </c:pt>
                <c:pt idx="276">
                  <c:v>1.5640000000000001</c:v>
                </c:pt>
                <c:pt idx="277">
                  <c:v>1.206</c:v>
                </c:pt>
                <c:pt idx="278">
                  <c:v>1.2303999999999999</c:v>
                </c:pt>
                <c:pt idx="279">
                  <c:v>1.3743000000000001</c:v>
                </c:pt>
                <c:pt idx="280">
                  <c:v>1.4850000000000001</c:v>
                </c:pt>
                <c:pt idx="281">
                  <c:v>1.6163000000000001</c:v>
                </c:pt>
                <c:pt idx="282">
                  <c:v>1.7413000000000001</c:v>
                </c:pt>
                <c:pt idx="283">
                  <c:v>1.758</c:v>
                </c:pt>
                <c:pt idx="284">
                  <c:v>1.9207000000000001</c:v>
                </c:pt>
                <c:pt idx="285">
                  <c:v>2.1356000000000002</c:v>
                </c:pt>
                <c:pt idx="286">
                  <c:v>2.1272000000000002</c:v>
                </c:pt>
                <c:pt idx="287">
                  <c:v>2.2698</c:v>
                </c:pt>
                <c:pt idx="288">
                  <c:v>2.23</c:v>
                </c:pt>
                <c:pt idx="289">
                  <c:v>2.3927</c:v>
                </c:pt>
                <c:pt idx="290">
                  <c:v>2.2269999999999999</c:v>
                </c:pt>
                <c:pt idx="291">
                  <c:v>2.456</c:v>
                </c:pt>
                <c:pt idx="292">
                  <c:v>2.1434000000000002</c:v>
                </c:pt>
                <c:pt idx="293">
                  <c:v>1.9743999999999999</c:v>
                </c:pt>
                <c:pt idx="294">
                  <c:v>1.8651</c:v>
                </c:pt>
                <c:pt idx="295">
                  <c:v>1.7159</c:v>
                </c:pt>
                <c:pt idx="296">
                  <c:v>1.8976999999999999</c:v>
                </c:pt>
                <c:pt idx="297">
                  <c:v>2.0146999999999999</c:v>
                </c:pt>
                <c:pt idx="298">
                  <c:v>1.8432999999999999</c:v>
                </c:pt>
                <c:pt idx="299">
                  <c:v>1.6153999999999999</c:v>
                </c:pt>
                <c:pt idx="300">
                  <c:v>1.7428999999999999</c:v>
                </c:pt>
                <c:pt idx="301">
                  <c:v>1.7592000000000001</c:v>
                </c:pt>
                <c:pt idx="302">
                  <c:v>1.9123000000000001</c:v>
                </c:pt>
                <c:pt idx="303">
                  <c:v>1.9037999999999999</c:v>
                </c:pt>
                <c:pt idx="304">
                  <c:v>1.8701000000000001</c:v>
                </c:pt>
                <c:pt idx="305">
                  <c:v>1.3313999999999999</c:v>
                </c:pt>
                <c:pt idx="306">
                  <c:v>1.2641</c:v>
                </c:pt>
                <c:pt idx="307">
                  <c:v>1.2464</c:v>
                </c:pt>
                <c:pt idx="308">
                  <c:v>1.097</c:v>
                </c:pt>
                <c:pt idx="309">
                  <c:v>1.1589</c:v>
                </c:pt>
                <c:pt idx="310">
                  <c:v>1.1657</c:v>
                </c:pt>
                <c:pt idx="311">
                  <c:v>1.1794</c:v>
                </c:pt>
                <c:pt idx="312">
                  <c:v>1.2732000000000001</c:v>
                </c:pt>
                <c:pt idx="313">
                  <c:v>1.2262</c:v>
                </c:pt>
                <c:pt idx="314">
                  <c:v>1.2983</c:v>
                </c:pt>
                <c:pt idx="315">
                  <c:v>1.2857000000000001</c:v>
                </c:pt>
                <c:pt idx="316">
                  <c:v>1.3920999999999999</c:v>
                </c:pt>
                <c:pt idx="317">
                  <c:v>1.3651</c:v>
                </c:pt>
                <c:pt idx="318">
                  <c:v>1.2741</c:v>
                </c:pt>
                <c:pt idx="319">
                  <c:v>1.0448999999999999</c:v>
                </c:pt>
                <c:pt idx="320">
                  <c:v>1.1501999999999999</c:v>
                </c:pt>
                <c:pt idx="321">
                  <c:v>0.99239999999999995</c:v>
                </c:pt>
                <c:pt idx="322">
                  <c:v>0.9093</c:v>
                </c:pt>
                <c:pt idx="323">
                  <c:v>0.90959999999999996</c:v>
                </c:pt>
                <c:pt idx="324">
                  <c:v>0.92759999999999998</c:v>
                </c:pt>
                <c:pt idx="325">
                  <c:v>0.85370000000000001</c:v>
                </c:pt>
                <c:pt idx="326">
                  <c:v>0.86209999999999998</c:v>
                </c:pt>
                <c:pt idx="327">
                  <c:v>0.84899999999999998</c:v>
                </c:pt>
                <c:pt idx="328">
                  <c:v>0.84299999999999997</c:v>
                </c:pt>
                <c:pt idx="329">
                  <c:v>0.79600000000000004</c:v>
                </c:pt>
                <c:pt idx="330">
                  <c:v>0.83499999999999996</c:v>
                </c:pt>
                <c:pt idx="331">
                  <c:v>0.80369999999999997</c:v>
                </c:pt>
                <c:pt idx="332">
                  <c:v>0.82950000000000002</c:v>
                </c:pt>
                <c:pt idx="333">
                  <c:v>0.74280000000000002</c:v>
                </c:pt>
                <c:pt idx="334">
                  <c:v>0.78610000000000002</c:v>
                </c:pt>
                <c:pt idx="335">
                  <c:v>0.77139999999999997</c:v>
                </c:pt>
                <c:pt idx="336">
                  <c:v>0.78800000000000003</c:v>
                </c:pt>
                <c:pt idx="337">
                  <c:v>0.83379999999999999</c:v>
                </c:pt>
                <c:pt idx="338">
                  <c:v>0.77</c:v>
                </c:pt>
                <c:pt idx="339">
                  <c:v>0.98</c:v>
                </c:pt>
                <c:pt idx="340">
                  <c:v>1.0202</c:v>
                </c:pt>
                <c:pt idx="341">
                  <c:v>1.056</c:v>
                </c:pt>
                <c:pt idx="342">
                  <c:v>1.1500999999999999</c:v>
                </c:pt>
                <c:pt idx="343">
                  <c:v>0.93789999999999996</c:v>
                </c:pt>
                <c:pt idx="344">
                  <c:v>0.89859999999999995</c:v>
                </c:pt>
                <c:pt idx="345">
                  <c:v>0.78380000000000005</c:v>
                </c:pt>
                <c:pt idx="346">
                  <c:v>0.82989999999999997</c:v>
                </c:pt>
                <c:pt idx="347">
                  <c:v>0.87009999999999998</c:v>
                </c:pt>
                <c:pt idx="348">
                  <c:v>0.93500000000000005</c:v>
                </c:pt>
                <c:pt idx="349">
                  <c:v>0.81499999999999995</c:v>
                </c:pt>
                <c:pt idx="350">
                  <c:v>0.78539999999999999</c:v>
                </c:pt>
                <c:pt idx="351">
                  <c:v>0.70050000000000001</c:v>
                </c:pt>
                <c:pt idx="352">
                  <c:v>0.63109999999999999</c:v>
                </c:pt>
                <c:pt idx="353">
                  <c:v>0.49640000000000001</c:v>
                </c:pt>
                <c:pt idx="354">
                  <c:v>0.45839999999999997</c:v>
                </c:pt>
                <c:pt idx="355">
                  <c:v>0.49080000000000001</c:v>
                </c:pt>
                <c:pt idx="356">
                  <c:v>0.52300000000000002</c:v>
                </c:pt>
                <c:pt idx="357">
                  <c:v>0.48220000000000002</c:v>
                </c:pt>
                <c:pt idx="358">
                  <c:v>0.47589999999999999</c:v>
                </c:pt>
                <c:pt idx="359">
                  <c:v>0.43120000000000003</c:v>
                </c:pt>
                <c:pt idx="360">
                  <c:v>0.43530000000000002</c:v>
                </c:pt>
                <c:pt idx="361">
                  <c:v>0.41560000000000002</c:v>
                </c:pt>
                <c:pt idx="362">
                  <c:v>0.40289999999999998</c:v>
                </c:pt>
                <c:pt idx="363">
                  <c:v>0.38</c:v>
                </c:pt>
                <c:pt idx="364">
                  <c:v>0.38100000000000001</c:v>
                </c:pt>
                <c:pt idx="365">
                  <c:v>0.3851</c:v>
                </c:pt>
                <c:pt idx="366">
                  <c:v>0.40579999999999999</c:v>
                </c:pt>
                <c:pt idx="367">
                  <c:v>0.42749999999999999</c:v>
                </c:pt>
                <c:pt idx="368">
                  <c:v>0.39960000000000001</c:v>
                </c:pt>
                <c:pt idx="369">
                  <c:v>0.3851</c:v>
                </c:pt>
                <c:pt idx="370">
                  <c:v>0.39040000000000002</c:v>
                </c:pt>
                <c:pt idx="371">
                  <c:v>0.38950000000000001</c:v>
                </c:pt>
                <c:pt idx="372">
                  <c:v>0.42620000000000002</c:v>
                </c:pt>
                <c:pt idx="373">
                  <c:v>0.41499999999999998</c:v>
                </c:pt>
                <c:pt idx="374">
                  <c:v>0.40060000000000001</c:v>
                </c:pt>
                <c:pt idx="375">
                  <c:v>0.3891</c:v>
                </c:pt>
                <c:pt idx="376">
                  <c:v>0.35210000000000002</c:v>
                </c:pt>
                <c:pt idx="377">
                  <c:v>0.34460000000000002</c:v>
                </c:pt>
                <c:pt idx="378">
                  <c:v>0.3412</c:v>
                </c:pt>
                <c:pt idx="379">
                  <c:v>0.33400000000000002</c:v>
                </c:pt>
                <c:pt idx="380">
                  <c:v>0.32</c:v>
                </c:pt>
                <c:pt idx="381">
                  <c:v>0.34229999999999999</c:v>
                </c:pt>
                <c:pt idx="382">
                  <c:v>0.38900000000000001</c:v>
                </c:pt>
                <c:pt idx="383">
                  <c:v>0.38650000000000001</c:v>
                </c:pt>
                <c:pt idx="384">
                  <c:v>0.34360000000000002</c:v>
                </c:pt>
                <c:pt idx="385">
                  <c:v>0.36370000000000002</c:v>
                </c:pt>
                <c:pt idx="386">
                  <c:v>0.33329999999999999</c:v>
                </c:pt>
                <c:pt idx="387">
                  <c:v>0.31730000000000003</c:v>
                </c:pt>
                <c:pt idx="388">
                  <c:v>0.30769999999999997</c:v>
                </c:pt>
                <c:pt idx="389">
                  <c:v>0.308</c:v>
                </c:pt>
                <c:pt idx="390">
                  <c:v>0.30270000000000002</c:v>
                </c:pt>
                <c:pt idx="391">
                  <c:v>0.31580000000000003</c:v>
                </c:pt>
                <c:pt idx="392">
                  <c:v>0.31130000000000002</c:v>
                </c:pt>
                <c:pt idx="393">
                  <c:v>0.32119999999999999</c:v>
                </c:pt>
                <c:pt idx="394">
                  <c:v>0.33379999999999999</c:v>
                </c:pt>
                <c:pt idx="395">
                  <c:v>0.36020000000000002</c:v>
                </c:pt>
                <c:pt idx="396">
                  <c:v>0.35749999999999998</c:v>
                </c:pt>
                <c:pt idx="397">
                  <c:v>0.32340000000000002</c:v>
                </c:pt>
                <c:pt idx="398">
                  <c:v>0.34589999999999999</c:v>
                </c:pt>
                <c:pt idx="399">
                  <c:v>0.32750000000000001</c:v>
                </c:pt>
                <c:pt idx="400">
                  <c:v>0.315</c:v>
                </c:pt>
                <c:pt idx="401">
                  <c:v>0.379</c:v>
                </c:pt>
                <c:pt idx="402">
                  <c:v>0.37719999999999998</c:v>
                </c:pt>
                <c:pt idx="403">
                  <c:v>0.38829999999999998</c:v>
                </c:pt>
                <c:pt idx="404">
                  <c:v>0.4103</c:v>
                </c:pt>
                <c:pt idx="405">
                  <c:v>0.39500000000000002</c:v>
                </c:pt>
                <c:pt idx="406">
                  <c:v>0.36420000000000002</c:v>
                </c:pt>
                <c:pt idx="407">
                  <c:v>0.3952</c:v>
                </c:pt>
                <c:pt idx="408">
                  <c:v>0.36880000000000002</c:v>
                </c:pt>
                <c:pt idx="409">
                  <c:v>0.38340000000000002</c:v>
                </c:pt>
                <c:pt idx="410">
                  <c:v>0.35189999999999999</c:v>
                </c:pt>
                <c:pt idx="411">
                  <c:v>0.34279999999999999</c:v>
                </c:pt>
                <c:pt idx="412">
                  <c:v>0.32640000000000002</c:v>
                </c:pt>
                <c:pt idx="413">
                  <c:v>0.3528</c:v>
                </c:pt>
                <c:pt idx="414">
                  <c:v>0.35</c:v>
                </c:pt>
                <c:pt idx="415">
                  <c:v>0.3236</c:v>
                </c:pt>
                <c:pt idx="416">
                  <c:v>0.3478</c:v>
                </c:pt>
                <c:pt idx="417">
                  <c:v>0.3392</c:v>
                </c:pt>
                <c:pt idx="418">
                  <c:v>0.34949999999999998</c:v>
                </c:pt>
                <c:pt idx="419">
                  <c:v>0.31640000000000001</c:v>
                </c:pt>
                <c:pt idx="420">
                  <c:v>0.35720000000000002</c:v>
                </c:pt>
                <c:pt idx="421">
                  <c:v>0.35649999999999998</c:v>
                </c:pt>
                <c:pt idx="422">
                  <c:v>0.35110000000000002</c:v>
                </c:pt>
                <c:pt idx="423">
                  <c:v>0.35289999999999999</c:v>
                </c:pt>
                <c:pt idx="424">
                  <c:v>0.36149999999999999</c:v>
                </c:pt>
                <c:pt idx="425">
                  <c:v>0.37609999999999999</c:v>
                </c:pt>
                <c:pt idx="426">
                  <c:v>0.373</c:v>
                </c:pt>
                <c:pt idx="427">
                  <c:v>0.35770000000000002</c:v>
                </c:pt>
                <c:pt idx="428">
                  <c:v>0.3851</c:v>
                </c:pt>
                <c:pt idx="429">
                  <c:v>0.36570000000000003</c:v>
                </c:pt>
                <c:pt idx="430">
                  <c:v>0.36209999999999998</c:v>
                </c:pt>
                <c:pt idx="431">
                  <c:v>0.30430000000000001</c:v>
                </c:pt>
                <c:pt idx="432">
                  <c:v>0.3165</c:v>
                </c:pt>
                <c:pt idx="433">
                  <c:v>0.29070000000000001</c:v>
                </c:pt>
                <c:pt idx="434">
                  <c:v>0.28610000000000002</c:v>
                </c:pt>
                <c:pt idx="435">
                  <c:v>0.29339999999999999</c:v>
                </c:pt>
                <c:pt idx="436">
                  <c:v>0.30969999999999998</c:v>
                </c:pt>
                <c:pt idx="437">
                  <c:v>0.30620000000000003</c:v>
                </c:pt>
                <c:pt idx="438">
                  <c:v>0.28660000000000002</c:v>
                </c:pt>
                <c:pt idx="439">
                  <c:v>0.2974</c:v>
                </c:pt>
                <c:pt idx="440">
                  <c:v>0.31240000000000001</c:v>
                </c:pt>
                <c:pt idx="441">
                  <c:v>0.27529999999999999</c:v>
                </c:pt>
                <c:pt idx="442">
                  <c:v>0.315</c:v>
                </c:pt>
                <c:pt idx="443">
                  <c:v>0.27750000000000002</c:v>
                </c:pt>
                <c:pt idx="444">
                  <c:v>0.26350000000000001</c:v>
                </c:pt>
                <c:pt idx="445">
                  <c:v>0.25590000000000002</c:v>
                </c:pt>
                <c:pt idx="446">
                  <c:v>0.24049999999999999</c:v>
                </c:pt>
                <c:pt idx="447">
                  <c:v>0.25119999999999998</c:v>
                </c:pt>
                <c:pt idx="448">
                  <c:v>0.23069999999999999</c:v>
                </c:pt>
                <c:pt idx="449">
                  <c:v>0.21779999999999999</c:v>
                </c:pt>
                <c:pt idx="450">
                  <c:v>0.22170000000000001</c:v>
                </c:pt>
                <c:pt idx="451">
                  <c:v>0.22750000000000001</c:v>
                </c:pt>
                <c:pt idx="452">
                  <c:v>0.24429999999999999</c:v>
                </c:pt>
                <c:pt idx="453">
                  <c:v>0.24529999999999999</c:v>
                </c:pt>
                <c:pt idx="454">
                  <c:v>0.2447</c:v>
                </c:pt>
                <c:pt idx="455">
                  <c:v>0.25359999999999999</c:v>
                </c:pt>
                <c:pt idx="456">
                  <c:v>0.24579999999999999</c:v>
                </c:pt>
                <c:pt idx="457">
                  <c:v>0.2661</c:v>
                </c:pt>
                <c:pt idx="458">
                  <c:v>0.2525</c:v>
                </c:pt>
                <c:pt idx="459">
                  <c:v>0.25490000000000002</c:v>
                </c:pt>
                <c:pt idx="460">
                  <c:v>0.26290000000000002</c:v>
                </c:pt>
                <c:pt idx="461">
                  <c:v>0.26040000000000002</c:v>
                </c:pt>
                <c:pt idx="462">
                  <c:v>0.26719999999999999</c:v>
                </c:pt>
                <c:pt idx="463">
                  <c:v>0.26240000000000002</c:v>
                </c:pt>
                <c:pt idx="464">
                  <c:v>0.24990000000000001</c:v>
                </c:pt>
                <c:pt idx="465">
                  <c:v>0.2581</c:v>
                </c:pt>
                <c:pt idx="466">
                  <c:v>0.26690000000000003</c:v>
                </c:pt>
                <c:pt idx="467">
                  <c:v>0.26400000000000001</c:v>
                </c:pt>
                <c:pt idx="468">
                  <c:v>0.24840000000000001</c:v>
                </c:pt>
                <c:pt idx="469">
                  <c:v>0.25590000000000002</c:v>
                </c:pt>
                <c:pt idx="470">
                  <c:v>0.26219999999999999</c:v>
                </c:pt>
                <c:pt idx="471">
                  <c:v>0.27279999999999999</c:v>
                </c:pt>
                <c:pt idx="472">
                  <c:v>0.25800000000000001</c:v>
                </c:pt>
                <c:pt idx="473">
                  <c:v>0.2601</c:v>
                </c:pt>
                <c:pt idx="474">
                  <c:v>0.2621</c:v>
                </c:pt>
                <c:pt idx="475">
                  <c:v>0.27150000000000002</c:v>
                </c:pt>
                <c:pt idx="476">
                  <c:v>0.2601</c:v>
                </c:pt>
                <c:pt idx="477">
                  <c:v>0.2409</c:v>
                </c:pt>
                <c:pt idx="478">
                  <c:v>0.23799999999999999</c:v>
                </c:pt>
                <c:pt idx="479">
                  <c:v>0.25580000000000003</c:v>
                </c:pt>
                <c:pt idx="480">
                  <c:v>0.26040000000000002</c:v>
                </c:pt>
                <c:pt idx="481">
                  <c:v>0.24790000000000001</c:v>
                </c:pt>
                <c:pt idx="482">
                  <c:v>0.25590000000000002</c:v>
                </c:pt>
                <c:pt idx="483">
                  <c:v>0.27600000000000002</c:v>
                </c:pt>
                <c:pt idx="484">
                  <c:v>0.29849999999999999</c:v>
                </c:pt>
                <c:pt idx="485">
                  <c:v>0.2918</c:v>
                </c:pt>
                <c:pt idx="486">
                  <c:v>0.2898</c:v>
                </c:pt>
                <c:pt idx="487">
                  <c:v>0.28910000000000002</c:v>
                </c:pt>
                <c:pt idx="488">
                  <c:v>0.30349999999999999</c:v>
                </c:pt>
                <c:pt idx="489">
                  <c:v>0.2878</c:v>
                </c:pt>
                <c:pt idx="490">
                  <c:v>0.2641</c:v>
                </c:pt>
                <c:pt idx="491">
                  <c:v>0.2339</c:v>
                </c:pt>
                <c:pt idx="492">
                  <c:v>0.2641</c:v>
                </c:pt>
                <c:pt idx="493">
                  <c:v>0.26119999999999999</c:v>
                </c:pt>
                <c:pt idx="494">
                  <c:v>0.29949999999999999</c:v>
                </c:pt>
                <c:pt idx="495">
                  <c:v>0.31159999999999999</c:v>
                </c:pt>
                <c:pt idx="496">
                  <c:v>0.30980000000000002</c:v>
                </c:pt>
                <c:pt idx="497">
                  <c:v>0.3276</c:v>
                </c:pt>
                <c:pt idx="498">
                  <c:v>0.33810000000000001</c:v>
                </c:pt>
                <c:pt idx="499">
                  <c:v>0.35959999999999998</c:v>
                </c:pt>
                <c:pt idx="500">
                  <c:v>0.37940000000000002</c:v>
                </c:pt>
                <c:pt idx="501">
                  <c:v>0.37809999999999999</c:v>
                </c:pt>
                <c:pt idx="502">
                  <c:v>0.41689999999999999</c:v>
                </c:pt>
                <c:pt idx="503">
                  <c:v>0.38679999999999998</c:v>
                </c:pt>
                <c:pt idx="504">
                  <c:v>0.3579</c:v>
                </c:pt>
                <c:pt idx="505">
                  <c:v>0.33689999999999998</c:v>
                </c:pt>
                <c:pt idx="506">
                  <c:v>0.32290000000000002</c:v>
                </c:pt>
                <c:pt idx="507">
                  <c:v>0.3367</c:v>
                </c:pt>
                <c:pt idx="508">
                  <c:v>0.35099999999999998</c:v>
                </c:pt>
                <c:pt idx="509">
                  <c:v>0.32700000000000001</c:v>
                </c:pt>
                <c:pt idx="510">
                  <c:v>0.41170000000000001</c:v>
                </c:pt>
                <c:pt idx="511">
                  <c:v>0.39379999999999998</c:v>
                </c:pt>
                <c:pt idx="512">
                  <c:v>0.54790000000000005</c:v>
                </c:pt>
                <c:pt idx="513">
                  <c:v>0.49120000000000003</c:v>
                </c:pt>
                <c:pt idx="514">
                  <c:v>0.3831</c:v>
                </c:pt>
                <c:pt idx="515">
                  <c:v>0.3967</c:v>
                </c:pt>
                <c:pt idx="516">
                  <c:v>0.3931</c:v>
                </c:pt>
                <c:pt idx="517">
                  <c:v>0.371</c:v>
                </c:pt>
                <c:pt idx="518">
                  <c:v>0.35489999999999999</c:v>
                </c:pt>
                <c:pt idx="519">
                  <c:v>0.38829999999999998</c:v>
                </c:pt>
                <c:pt idx="520">
                  <c:v>0.3977</c:v>
                </c:pt>
                <c:pt idx="521">
                  <c:v>0.44190000000000002</c:v>
                </c:pt>
                <c:pt idx="522">
                  <c:v>0.44209999999999999</c:v>
                </c:pt>
                <c:pt idx="523">
                  <c:v>0.46550000000000002</c:v>
                </c:pt>
                <c:pt idx="524">
                  <c:v>0.42920000000000003</c:v>
                </c:pt>
                <c:pt idx="525">
                  <c:v>0.43659999999999999</c:v>
                </c:pt>
                <c:pt idx="526">
                  <c:v>0.37819999999999998</c:v>
                </c:pt>
                <c:pt idx="527">
                  <c:v>0.40410000000000001</c:v>
                </c:pt>
                <c:pt idx="528">
                  <c:v>0.42109999999999997</c:v>
                </c:pt>
                <c:pt idx="529">
                  <c:v>0.432</c:v>
                </c:pt>
                <c:pt idx="530">
                  <c:v>0.40970000000000001</c:v>
                </c:pt>
                <c:pt idx="531">
                  <c:v>0.42059999999999997</c:v>
                </c:pt>
                <c:pt idx="532">
                  <c:v>0.37280000000000002</c:v>
                </c:pt>
                <c:pt idx="533">
                  <c:v>0.40839999999999999</c:v>
                </c:pt>
                <c:pt idx="534">
                  <c:v>0.3695</c:v>
                </c:pt>
                <c:pt idx="535">
                  <c:v>0.37869999999999998</c:v>
                </c:pt>
                <c:pt idx="536">
                  <c:v>0.32319999999999999</c:v>
                </c:pt>
                <c:pt idx="537">
                  <c:v>0.30230000000000001</c:v>
                </c:pt>
                <c:pt idx="538">
                  <c:v>0.2888</c:v>
                </c:pt>
                <c:pt idx="539">
                  <c:v>0.2944</c:v>
                </c:pt>
                <c:pt idx="540">
                  <c:v>0.26069999999999999</c:v>
                </c:pt>
                <c:pt idx="541">
                  <c:v>0.27189999999999998</c:v>
                </c:pt>
                <c:pt idx="542">
                  <c:v>0.2656</c:v>
                </c:pt>
                <c:pt idx="543">
                  <c:v>0.26740000000000003</c:v>
                </c:pt>
                <c:pt idx="544">
                  <c:v>0.2646</c:v>
                </c:pt>
                <c:pt idx="545">
                  <c:v>0.2621</c:v>
                </c:pt>
                <c:pt idx="546">
                  <c:v>0.26889999999999997</c:v>
                </c:pt>
                <c:pt idx="547">
                  <c:v>0.2606</c:v>
                </c:pt>
                <c:pt idx="548">
                  <c:v>0.2656</c:v>
                </c:pt>
                <c:pt idx="549">
                  <c:v>0.25850000000000001</c:v>
                </c:pt>
                <c:pt idx="550">
                  <c:v>0.28520000000000001</c:v>
                </c:pt>
                <c:pt idx="551">
                  <c:v>0.29520000000000002</c:v>
                </c:pt>
                <c:pt idx="552">
                  <c:v>0.3155</c:v>
                </c:pt>
                <c:pt idx="553">
                  <c:v>0.2843</c:v>
                </c:pt>
                <c:pt idx="554">
                  <c:v>0.26779999999999998</c:v>
                </c:pt>
                <c:pt idx="555">
                  <c:v>0.26240000000000002</c:v>
                </c:pt>
                <c:pt idx="556">
                  <c:v>0.27479999999999999</c:v>
                </c:pt>
                <c:pt idx="557">
                  <c:v>0.24410000000000001</c:v>
                </c:pt>
                <c:pt idx="558">
                  <c:v>0.2477</c:v>
                </c:pt>
                <c:pt idx="559">
                  <c:v>0.24709999999999999</c:v>
                </c:pt>
                <c:pt idx="560">
                  <c:v>0.21859999999999999</c:v>
                </c:pt>
                <c:pt idx="561">
                  <c:v>0.2258</c:v>
                </c:pt>
                <c:pt idx="562">
                  <c:v>0.23269999999999999</c:v>
                </c:pt>
                <c:pt idx="563">
                  <c:v>0.23150000000000001</c:v>
                </c:pt>
                <c:pt idx="564">
                  <c:v>0.21990000000000001</c:v>
                </c:pt>
                <c:pt idx="565">
                  <c:v>0.22090000000000001</c:v>
                </c:pt>
                <c:pt idx="566">
                  <c:v>0.22520000000000001</c:v>
                </c:pt>
                <c:pt idx="567">
                  <c:v>0.22320000000000001</c:v>
                </c:pt>
                <c:pt idx="568">
                  <c:v>0.2208</c:v>
                </c:pt>
                <c:pt idx="569">
                  <c:v>0.2175</c:v>
                </c:pt>
                <c:pt idx="570">
                  <c:v>0.20979999999999999</c:v>
                </c:pt>
                <c:pt idx="571">
                  <c:v>0.2014</c:v>
                </c:pt>
                <c:pt idx="572">
                  <c:v>0.2097</c:v>
                </c:pt>
                <c:pt idx="573">
                  <c:v>0.20780000000000001</c:v>
                </c:pt>
                <c:pt idx="574">
                  <c:v>0.20610000000000001</c:v>
                </c:pt>
                <c:pt idx="575">
                  <c:v>0.1996</c:v>
                </c:pt>
                <c:pt idx="576">
                  <c:v>0.1963</c:v>
                </c:pt>
                <c:pt idx="577">
                  <c:v>0.1976</c:v>
                </c:pt>
                <c:pt idx="578">
                  <c:v>0.20330000000000001</c:v>
                </c:pt>
                <c:pt idx="579">
                  <c:v>0.1915</c:v>
                </c:pt>
                <c:pt idx="580">
                  <c:v>0.20979999999999999</c:v>
                </c:pt>
                <c:pt idx="581">
                  <c:v>0.22189999999999999</c:v>
                </c:pt>
                <c:pt idx="582">
                  <c:v>0.2329</c:v>
                </c:pt>
                <c:pt idx="583">
                  <c:v>0.24640000000000001</c:v>
                </c:pt>
                <c:pt idx="584">
                  <c:v>0.25690000000000002</c:v>
                </c:pt>
                <c:pt idx="585">
                  <c:v>0.24310000000000001</c:v>
                </c:pt>
                <c:pt idx="586">
                  <c:v>0.23150000000000001</c:v>
                </c:pt>
                <c:pt idx="587">
                  <c:v>0.22589999999999999</c:v>
                </c:pt>
                <c:pt idx="588">
                  <c:v>0.24610000000000001</c:v>
                </c:pt>
                <c:pt idx="589">
                  <c:v>0.2293</c:v>
                </c:pt>
                <c:pt idx="590">
                  <c:v>0.2288</c:v>
                </c:pt>
                <c:pt idx="591">
                  <c:v>0.23350000000000001</c:v>
                </c:pt>
                <c:pt idx="592">
                  <c:v>0.23930000000000001</c:v>
                </c:pt>
                <c:pt idx="593">
                  <c:v>0.23910000000000001</c:v>
                </c:pt>
                <c:pt idx="594">
                  <c:v>0.23180000000000001</c:v>
                </c:pt>
                <c:pt idx="595">
                  <c:v>0.1963</c:v>
                </c:pt>
                <c:pt idx="596">
                  <c:v>0.22159999999999999</c:v>
                </c:pt>
                <c:pt idx="597">
                  <c:v>0.21540000000000001</c:v>
                </c:pt>
                <c:pt idx="598">
                  <c:v>0.21579999999999999</c:v>
                </c:pt>
                <c:pt idx="599">
                  <c:v>0.20760000000000001</c:v>
                </c:pt>
                <c:pt idx="600">
                  <c:v>0.2074</c:v>
                </c:pt>
                <c:pt idx="601">
                  <c:v>0.20130000000000001</c:v>
                </c:pt>
                <c:pt idx="602">
                  <c:v>0.20430000000000001</c:v>
                </c:pt>
                <c:pt idx="603">
                  <c:v>0.2092</c:v>
                </c:pt>
                <c:pt idx="604">
                  <c:v>0.21060000000000001</c:v>
                </c:pt>
                <c:pt idx="605">
                  <c:v>0.19220000000000001</c:v>
                </c:pt>
                <c:pt idx="606">
                  <c:v>0.18279999999999999</c:v>
                </c:pt>
                <c:pt idx="607">
                  <c:v>0.19489999999999999</c:v>
                </c:pt>
                <c:pt idx="608">
                  <c:v>0.19489999999999999</c:v>
                </c:pt>
                <c:pt idx="609">
                  <c:v>0.18110000000000001</c:v>
                </c:pt>
                <c:pt idx="610">
                  <c:v>0.18410000000000001</c:v>
                </c:pt>
                <c:pt idx="611">
                  <c:v>0.18140000000000001</c:v>
                </c:pt>
                <c:pt idx="612">
                  <c:v>0.1845</c:v>
                </c:pt>
                <c:pt idx="613">
                  <c:v>0.1739</c:v>
                </c:pt>
                <c:pt idx="614">
                  <c:v>0.17430000000000001</c:v>
                </c:pt>
                <c:pt idx="615">
                  <c:v>0.17760000000000001</c:v>
                </c:pt>
                <c:pt idx="616">
                  <c:v>0.17230000000000001</c:v>
                </c:pt>
                <c:pt idx="617">
                  <c:v>0.1663</c:v>
                </c:pt>
                <c:pt idx="618">
                  <c:v>0.16450000000000001</c:v>
                </c:pt>
                <c:pt idx="619">
                  <c:v>0.16830000000000001</c:v>
                </c:pt>
                <c:pt idx="620">
                  <c:v>0.1701</c:v>
                </c:pt>
                <c:pt idx="621">
                  <c:v>0.15679999999999999</c:v>
                </c:pt>
                <c:pt idx="622">
                  <c:v>0.15160000000000001</c:v>
                </c:pt>
                <c:pt idx="623">
                  <c:v>0.155</c:v>
                </c:pt>
                <c:pt idx="624">
                  <c:v>0.15759999999999999</c:v>
                </c:pt>
                <c:pt idx="625">
                  <c:v>0.14499999999999999</c:v>
                </c:pt>
                <c:pt idx="626">
                  <c:v>0.1394</c:v>
                </c:pt>
                <c:pt idx="627">
                  <c:v>0.1434</c:v>
                </c:pt>
                <c:pt idx="628">
                  <c:v>0.161</c:v>
                </c:pt>
                <c:pt idx="629">
                  <c:v>0.16259999999999999</c:v>
                </c:pt>
                <c:pt idx="630">
                  <c:v>0.153</c:v>
                </c:pt>
                <c:pt idx="631">
                  <c:v>0.152</c:v>
                </c:pt>
                <c:pt idx="632">
                  <c:v>0.15679999999999999</c:v>
                </c:pt>
                <c:pt idx="633">
                  <c:v>0.156</c:v>
                </c:pt>
                <c:pt idx="634">
                  <c:v>0.16159999999999999</c:v>
                </c:pt>
                <c:pt idx="635">
                  <c:v>0.16650000000000001</c:v>
                </c:pt>
                <c:pt idx="636">
                  <c:v>0.1643</c:v>
                </c:pt>
                <c:pt idx="637">
                  <c:v>0.1615</c:v>
                </c:pt>
                <c:pt idx="638">
                  <c:v>0.1653</c:v>
                </c:pt>
                <c:pt idx="639">
                  <c:v>0.16239999999999999</c:v>
                </c:pt>
                <c:pt idx="640">
                  <c:v>0.15579999999999999</c:v>
                </c:pt>
                <c:pt idx="641">
                  <c:v>0.1593</c:v>
                </c:pt>
                <c:pt idx="642">
                  <c:v>0.15989999999999999</c:v>
                </c:pt>
                <c:pt idx="643">
                  <c:v>0.1525</c:v>
                </c:pt>
                <c:pt idx="644">
                  <c:v>0.13850000000000001</c:v>
                </c:pt>
                <c:pt idx="645">
                  <c:v>0.1333</c:v>
                </c:pt>
                <c:pt idx="646">
                  <c:v>0.1283</c:v>
                </c:pt>
                <c:pt idx="647">
                  <c:v>0.12720000000000001</c:v>
                </c:pt>
                <c:pt idx="648">
                  <c:v>0.1394</c:v>
                </c:pt>
                <c:pt idx="649">
                  <c:v>0.14330000000000001</c:v>
                </c:pt>
                <c:pt idx="650">
                  <c:v>0.13750000000000001</c:v>
                </c:pt>
                <c:pt idx="651">
                  <c:v>0.13789999999999999</c:v>
                </c:pt>
                <c:pt idx="652">
                  <c:v>0.1221</c:v>
                </c:pt>
                <c:pt idx="653">
                  <c:v>0.12859999999999999</c:v>
                </c:pt>
                <c:pt idx="654">
                  <c:v>0.12839999999999999</c:v>
                </c:pt>
                <c:pt idx="655">
                  <c:v>0.128</c:v>
                </c:pt>
                <c:pt idx="656">
                  <c:v>0.12709999999999999</c:v>
                </c:pt>
                <c:pt idx="657">
                  <c:v>0.12770000000000001</c:v>
                </c:pt>
                <c:pt idx="658">
                  <c:v>0.1444</c:v>
                </c:pt>
                <c:pt idx="659">
                  <c:v>0.1464</c:v>
                </c:pt>
                <c:pt idx="660">
                  <c:v>0.14199999999999999</c:v>
                </c:pt>
                <c:pt idx="661">
                  <c:v>0.14099999999999999</c:v>
                </c:pt>
                <c:pt idx="662">
                  <c:v>0.12989999999999999</c:v>
                </c:pt>
                <c:pt idx="663">
                  <c:v>0.1326</c:v>
                </c:pt>
                <c:pt idx="664">
                  <c:v>0.13289999999999999</c:v>
                </c:pt>
                <c:pt idx="665">
                  <c:v>0.13320000000000001</c:v>
                </c:pt>
                <c:pt idx="666">
                  <c:v>0.1336</c:v>
                </c:pt>
                <c:pt idx="667">
                  <c:v>0.1244</c:v>
                </c:pt>
                <c:pt idx="668">
                  <c:v>0.125</c:v>
                </c:pt>
                <c:pt idx="669">
                  <c:v>0.1111</c:v>
                </c:pt>
                <c:pt idx="670">
                  <c:v>0.11559999999999999</c:v>
                </c:pt>
                <c:pt idx="671">
                  <c:v>0.1172</c:v>
                </c:pt>
                <c:pt idx="672">
                  <c:v>0.12959999999999999</c:v>
                </c:pt>
                <c:pt idx="673">
                  <c:v>0.12230000000000001</c:v>
                </c:pt>
                <c:pt idx="674">
                  <c:v>0.12130000000000001</c:v>
                </c:pt>
                <c:pt idx="675">
                  <c:v>0.1195</c:v>
                </c:pt>
                <c:pt idx="676">
                  <c:v>0.111</c:v>
                </c:pt>
                <c:pt idx="677">
                  <c:v>0.1222</c:v>
                </c:pt>
                <c:pt idx="678">
                  <c:v>0.1206</c:v>
                </c:pt>
                <c:pt idx="679">
                  <c:v>0.1225</c:v>
                </c:pt>
                <c:pt idx="680">
                  <c:v>0.1082</c:v>
                </c:pt>
                <c:pt idx="681">
                  <c:v>0.1051</c:v>
                </c:pt>
                <c:pt idx="682">
                  <c:v>9.5299999999999996E-2</c:v>
                </c:pt>
                <c:pt idx="683">
                  <c:v>0.1149</c:v>
                </c:pt>
                <c:pt idx="684">
                  <c:v>0.1095</c:v>
                </c:pt>
                <c:pt idx="685">
                  <c:v>0.11459999999999999</c:v>
                </c:pt>
                <c:pt idx="686">
                  <c:v>9.9599999999999994E-2</c:v>
                </c:pt>
                <c:pt idx="687">
                  <c:v>0.192</c:v>
                </c:pt>
                <c:pt idx="688">
                  <c:v>0.19889999999999999</c:v>
                </c:pt>
                <c:pt idx="689">
                  <c:v>0.20200000000000001</c:v>
                </c:pt>
                <c:pt idx="690">
                  <c:v>0.19900000000000001</c:v>
                </c:pt>
                <c:pt idx="691">
                  <c:v>0.2346</c:v>
                </c:pt>
                <c:pt idx="692">
                  <c:v>0.24940000000000001</c:v>
                </c:pt>
                <c:pt idx="693">
                  <c:v>0.24640000000000001</c:v>
                </c:pt>
                <c:pt idx="694">
                  <c:v>0.23599999999999999</c:v>
                </c:pt>
                <c:pt idx="695">
                  <c:v>0.22650000000000001</c:v>
                </c:pt>
                <c:pt idx="696">
                  <c:v>0.22969999999999999</c:v>
                </c:pt>
                <c:pt idx="697">
                  <c:v>0.21379999999999999</c:v>
                </c:pt>
                <c:pt idx="698">
                  <c:v>0.21379999999999999</c:v>
                </c:pt>
                <c:pt idx="699">
                  <c:v>0.22600000000000001</c:v>
                </c:pt>
                <c:pt idx="700">
                  <c:v>0.23200000000000001</c:v>
                </c:pt>
                <c:pt idx="701">
                  <c:v>0.2339</c:v>
                </c:pt>
                <c:pt idx="702">
                  <c:v>0.2382</c:v>
                </c:pt>
                <c:pt idx="703">
                  <c:v>0.26490000000000002</c:v>
                </c:pt>
                <c:pt idx="704">
                  <c:v>0.30020000000000002</c:v>
                </c:pt>
                <c:pt idx="705">
                  <c:v>0.2702</c:v>
                </c:pt>
                <c:pt idx="706">
                  <c:v>0.28289999999999998</c:v>
                </c:pt>
                <c:pt idx="707">
                  <c:v>0.25829999999999997</c:v>
                </c:pt>
                <c:pt idx="708">
                  <c:v>0.2492</c:v>
                </c:pt>
                <c:pt idx="709">
                  <c:v>0.28289999999999998</c:v>
                </c:pt>
                <c:pt idx="710">
                  <c:v>0.26300000000000001</c:v>
                </c:pt>
                <c:pt idx="711">
                  <c:v>0.27110000000000001</c:v>
                </c:pt>
                <c:pt idx="712">
                  <c:v>0.28370000000000001</c:v>
                </c:pt>
                <c:pt idx="713">
                  <c:v>0.312</c:v>
                </c:pt>
                <c:pt idx="714">
                  <c:v>0.29780000000000001</c:v>
                </c:pt>
                <c:pt idx="715">
                  <c:v>0.3256</c:v>
                </c:pt>
                <c:pt idx="716">
                  <c:v>0.30399999999999999</c:v>
                </c:pt>
                <c:pt idx="717">
                  <c:v>0.28820000000000001</c:v>
                </c:pt>
                <c:pt idx="718">
                  <c:v>0.31240000000000001</c:v>
                </c:pt>
                <c:pt idx="719">
                  <c:v>0.27629999999999999</c:v>
                </c:pt>
                <c:pt idx="720">
                  <c:v>0.29459999999999997</c:v>
                </c:pt>
                <c:pt idx="721">
                  <c:v>0.29010000000000002</c:v>
                </c:pt>
                <c:pt idx="722">
                  <c:v>0.3009</c:v>
                </c:pt>
                <c:pt idx="723">
                  <c:v>0.33510000000000001</c:v>
                </c:pt>
                <c:pt idx="724">
                  <c:v>0.26650000000000001</c:v>
                </c:pt>
                <c:pt idx="725">
                  <c:v>0.25290000000000001</c:v>
                </c:pt>
                <c:pt idx="726">
                  <c:v>0.2278</c:v>
                </c:pt>
                <c:pt idx="727">
                  <c:v>0.22620000000000001</c:v>
                </c:pt>
                <c:pt idx="728">
                  <c:v>0.19350000000000001</c:v>
                </c:pt>
                <c:pt idx="729">
                  <c:v>0.19239999999999999</c:v>
                </c:pt>
                <c:pt idx="730">
                  <c:v>0.18690000000000001</c:v>
                </c:pt>
                <c:pt idx="731">
                  <c:v>0.18740000000000001</c:v>
                </c:pt>
                <c:pt idx="732">
                  <c:v>0.193</c:v>
                </c:pt>
                <c:pt idx="733">
                  <c:v>0.1953</c:v>
                </c:pt>
                <c:pt idx="734">
                  <c:v>0.19209999999999999</c:v>
                </c:pt>
                <c:pt idx="735">
                  <c:v>0.18379999999999999</c:v>
                </c:pt>
                <c:pt idx="736">
                  <c:v>0.18490000000000001</c:v>
                </c:pt>
                <c:pt idx="737">
                  <c:v>0.18959999999999999</c:v>
                </c:pt>
                <c:pt idx="738">
                  <c:v>0.1898</c:v>
                </c:pt>
                <c:pt idx="739">
                  <c:v>0.18140000000000001</c:v>
                </c:pt>
                <c:pt idx="740">
                  <c:v>0.19700000000000001</c:v>
                </c:pt>
                <c:pt idx="741">
                  <c:v>0.1923</c:v>
                </c:pt>
                <c:pt idx="742">
                  <c:v>0.186</c:v>
                </c:pt>
                <c:pt idx="743">
                  <c:v>0.18440000000000001</c:v>
                </c:pt>
                <c:pt idx="744">
                  <c:v>0.17680000000000001</c:v>
                </c:pt>
                <c:pt idx="745">
                  <c:v>0.17030000000000001</c:v>
                </c:pt>
                <c:pt idx="746">
                  <c:v>0.1691</c:v>
                </c:pt>
                <c:pt idx="747">
                  <c:v>0.16739999999999999</c:v>
                </c:pt>
                <c:pt idx="748">
                  <c:v>0.1709</c:v>
                </c:pt>
                <c:pt idx="749">
                  <c:v>0.1678</c:v>
                </c:pt>
                <c:pt idx="750">
                  <c:v>0.17419999999999999</c:v>
                </c:pt>
                <c:pt idx="751">
                  <c:v>0.1701</c:v>
                </c:pt>
                <c:pt idx="752">
                  <c:v>0.1802</c:v>
                </c:pt>
                <c:pt idx="753">
                  <c:v>0.1759</c:v>
                </c:pt>
                <c:pt idx="754">
                  <c:v>0.17730000000000001</c:v>
                </c:pt>
                <c:pt idx="755">
                  <c:v>0.17949999999999999</c:v>
                </c:pt>
                <c:pt idx="756">
                  <c:v>0.17319999999999999</c:v>
                </c:pt>
                <c:pt idx="757">
                  <c:v>0.17580000000000001</c:v>
                </c:pt>
                <c:pt idx="758">
                  <c:v>0.17180000000000001</c:v>
                </c:pt>
                <c:pt idx="759">
                  <c:v>0.1731</c:v>
                </c:pt>
                <c:pt idx="760">
                  <c:v>0.17199999999999999</c:v>
                </c:pt>
                <c:pt idx="761">
                  <c:v>0.17019999999999999</c:v>
                </c:pt>
                <c:pt idx="762">
                  <c:v>0.17230000000000001</c:v>
                </c:pt>
                <c:pt idx="763">
                  <c:v>0.17330000000000001</c:v>
                </c:pt>
                <c:pt idx="764">
                  <c:v>0.17710000000000001</c:v>
                </c:pt>
                <c:pt idx="765">
                  <c:v>0.17510000000000001</c:v>
                </c:pt>
                <c:pt idx="766">
                  <c:v>0.17430000000000001</c:v>
                </c:pt>
                <c:pt idx="767">
                  <c:v>0.17730000000000001</c:v>
                </c:pt>
                <c:pt idx="768">
                  <c:v>0.1789</c:v>
                </c:pt>
                <c:pt idx="769">
                  <c:v>0.18859999999999999</c:v>
                </c:pt>
                <c:pt idx="770">
                  <c:v>0.19109999999999999</c:v>
                </c:pt>
                <c:pt idx="771">
                  <c:v>0.19220000000000001</c:v>
                </c:pt>
                <c:pt idx="772">
                  <c:v>0.18540000000000001</c:v>
                </c:pt>
                <c:pt idx="773">
                  <c:v>0.17730000000000001</c:v>
                </c:pt>
                <c:pt idx="774">
                  <c:v>0.17810000000000001</c:v>
                </c:pt>
                <c:pt idx="775">
                  <c:v>0.1762</c:v>
                </c:pt>
                <c:pt idx="776">
                  <c:v>0.18110000000000001</c:v>
                </c:pt>
                <c:pt idx="777">
                  <c:v>0.18290000000000001</c:v>
                </c:pt>
                <c:pt idx="778">
                  <c:v>0.17519999999999999</c:v>
                </c:pt>
                <c:pt idx="779">
                  <c:v>0.1769</c:v>
                </c:pt>
                <c:pt idx="780">
                  <c:v>0.18809999999999999</c:v>
                </c:pt>
                <c:pt idx="781">
                  <c:v>0.19500000000000001</c:v>
                </c:pt>
                <c:pt idx="782">
                  <c:v>0.1888</c:v>
                </c:pt>
                <c:pt idx="783">
                  <c:v>0.18609999999999999</c:v>
                </c:pt>
                <c:pt idx="784">
                  <c:v>0.18379999999999999</c:v>
                </c:pt>
                <c:pt idx="785">
                  <c:v>0.1827</c:v>
                </c:pt>
                <c:pt idx="786">
                  <c:v>0.18729999999999999</c:v>
                </c:pt>
                <c:pt idx="787">
                  <c:v>0.19289999999999999</c:v>
                </c:pt>
                <c:pt idx="788">
                  <c:v>0.19359999999999999</c:v>
                </c:pt>
                <c:pt idx="789">
                  <c:v>0.2079</c:v>
                </c:pt>
                <c:pt idx="790">
                  <c:v>0.219</c:v>
                </c:pt>
                <c:pt idx="791">
                  <c:v>0.21299999999999999</c:v>
                </c:pt>
                <c:pt idx="792">
                  <c:v>0.20760000000000001</c:v>
                </c:pt>
                <c:pt idx="793">
                  <c:v>0.20480000000000001</c:v>
                </c:pt>
                <c:pt idx="794">
                  <c:v>0.1946</c:v>
                </c:pt>
                <c:pt idx="795">
                  <c:v>0.18490000000000001</c:v>
                </c:pt>
                <c:pt idx="796">
                  <c:v>0.20710000000000001</c:v>
                </c:pt>
                <c:pt idx="797">
                  <c:v>0.19719999999999999</c:v>
                </c:pt>
                <c:pt idx="798">
                  <c:v>0.20880000000000001</c:v>
                </c:pt>
                <c:pt idx="799">
                  <c:v>0.23169999999999999</c:v>
                </c:pt>
                <c:pt idx="800">
                  <c:v>0.23</c:v>
                </c:pt>
                <c:pt idx="801">
                  <c:v>0.23019999999999999</c:v>
                </c:pt>
                <c:pt idx="802">
                  <c:v>0.26200000000000001</c:v>
                </c:pt>
                <c:pt idx="803">
                  <c:v>0.22839999999999999</c:v>
                </c:pt>
                <c:pt idx="804">
                  <c:v>0.21659999999999999</c:v>
                </c:pt>
                <c:pt idx="805">
                  <c:v>0.2213</c:v>
                </c:pt>
                <c:pt idx="806">
                  <c:v>0.2341</c:v>
                </c:pt>
                <c:pt idx="807">
                  <c:v>0.22689999999999999</c:v>
                </c:pt>
                <c:pt idx="808">
                  <c:v>0.22209999999999999</c:v>
                </c:pt>
                <c:pt idx="809">
                  <c:v>0.22320000000000001</c:v>
                </c:pt>
                <c:pt idx="810">
                  <c:v>0.216</c:v>
                </c:pt>
                <c:pt idx="811">
                  <c:v>0.2213</c:v>
                </c:pt>
                <c:pt idx="812">
                  <c:v>0.2306</c:v>
                </c:pt>
                <c:pt idx="813">
                  <c:v>0.2409</c:v>
                </c:pt>
                <c:pt idx="814">
                  <c:v>0.24329999999999999</c:v>
                </c:pt>
                <c:pt idx="815">
                  <c:v>0.22939999999999999</c:v>
                </c:pt>
                <c:pt idx="816">
                  <c:v>0.22320000000000001</c:v>
                </c:pt>
                <c:pt idx="817">
                  <c:v>0.2276</c:v>
                </c:pt>
                <c:pt idx="818">
                  <c:v>0.2271</c:v>
                </c:pt>
                <c:pt idx="819">
                  <c:v>0.2316</c:v>
                </c:pt>
                <c:pt idx="820">
                  <c:v>0.22370000000000001</c:v>
                </c:pt>
                <c:pt idx="821">
                  <c:v>0.22559999999999999</c:v>
                </c:pt>
                <c:pt idx="822">
                  <c:v>0.22090000000000001</c:v>
                </c:pt>
                <c:pt idx="823">
                  <c:v>0.2288</c:v>
                </c:pt>
                <c:pt idx="824">
                  <c:v>0.20150000000000001</c:v>
                </c:pt>
                <c:pt idx="825">
                  <c:v>0.1971</c:v>
                </c:pt>
                <c:pt idx="826">
                  <c:v>0.18140000000000001</c:v>
                </c:pt>
                <c:pt idx="827">
                  <c:v>0.1789</c:v>
                </c:pt>
                <c:pt idx="828">
                  <c:v>0.1961</c:v>
                </c:pt>
                <c:pt idx="829">
                  <c:v>0.2029</c:v>
                </c:pt>
                <c:pt idx="830">
                  <c:v>0.1991</c:v>
                </c:pt>
                <c:pt idx="831">
                  <c:v>0.1915</c:v>
                </c:pt>
                <c:pt idx="832">
                  <c:v>0.19139999999999999</c:v>
                </c:pt>
                <c:pt idx="833">
                  <c:v>0.19950000000000001</c:v>
                </c:pt>
                <c:pt idx="834">
                  <c:v>0.19220000000000001</c:v>
                </c:pt>
                <c:pt idx="835">
                  <c:v>0.20119999999999999</c:v>
                </c:pt>
                <c:pt idx="836">
                  <c:v>0.21429999999999999</c:v>
                </c:pt>
                <c:pt idx="837">
                  <c:v>0.20569999999999999</c:v>
                </c:pt>
                <c:pt idx="838">
                  <c:v>0.2024</c:v>
                </c:pt>
                <c:pt idx="839">
                  <c:v>0.20610000000000001</c:v>
                </c:pt>
                <c:pt idx="840">
                  <c:v>0.21740000000000001</c:v>
                </c:pt>
                <c:pt idx="841">
                  <c:v>0.2409</c:v>
                </c:pt>
                <c:pt idx="842">
                  <c:v>0.2137</c:v>
                </c:pt>
                <c:pt idx="843">
                  <c:v>0.20280000000000001</c:v>
                </c:pt>
                <c:pt idx="844">
                  <c:v>0.1898</c:v>
                </c:pt>
                <c:pt idx="845">
                  <c:v>0.20169999999999999</c:v>
                </c:pt>
                <c:pt idx="846">
                  <c:v>0.2036</c:v>
                </c:pt>
                <c:pt idx="847">
                  <c:v>0.21029999999999999</c:v>
                </c:pt>
                <c:pt idx="848">
                  <c:v>0.2084</c:v>
                </c:pt>
                <c:pt idx="849">
                  <c:v>0.19009999999999999</c:v>
                </c:pt>
                <c:pt idx="850">
                  <c:v>0.1948</c:v>
                </c:pt>
                <c:pt idx="851">
                  <c:v>0.18360000000000001</c:v>
                </c:pt>
                <c:pt idx="852">
                  <c:v>0.19139999999999999</c:v>
                </c:pt>
                <c:pt idx="853">
                  <c:v>0.19089999999999999</c:v>
                </c:pt>
                <c:pt idx="854">
                  <c:v>0.18690000000000001</c:v>
                </c:pt>
                <c:pt idx="855">
                  <c:v>0.20030000000000001</c:v>
                </c:pt>
                <c:pt idx="856">
                  <c:v>0.1986</c:v>
                </c:pt>
                <c:pt idx="857">
                  <c:v>0.2445</c:v>
                </c:pt>
                <c:pt idx="858">
                  <c:v>0.25609999999999999</c:v>
                </c:pt>
                <c:pt idx="859">
                  <c:v>0.25380000000000003</c:v>
                </c:pt>
                <c:pt idx="860">
                  <c:v>0.25109999999999999</c:v>
                </c:pt>
                <c:pt idx="861">
                  <c:v>0.25650000000000001</c:v>
                </c:pt>
                <c:pt idx="862">
                  <c:v>0.26669999999999999</c:v>
                </c:pt>
                <c:pt idx="863">
                  <c:v>0.249</c:v>
                </c:pt>
                <c:pt idx="864">
                  <c:v>0.24479999999999999</c:v>
                </c:pt>
                <c:pt idx="865">
                  <c:v>0.24740000000000001</c:v>
                </c:pt>
                <c:pt idx="866">
                  <c:v>0.25559999999999999</c:v>
                </c:pt>
                <c:pt idx="867">
                  <c:v>0.25950000000000001</c:v>
                </c:pt>
                <c:pt idx="868">
                  <c:v>0.27139999999999997</c:v>
                </c:pt>
                <c:pt idx="869">
                  <c:v>0.2389</c:v>
                </c:pt>
                <c:pt idx="870">
                  <c:v>0.26150000000000001</c:v>
                </c:pt>
                <c:pt idx="871">
                  <c:v>0.27029999999999998</c:v>
                </c:pt>
                <c:pt idx="872">
                  <c:v>0.28089999999999998</c:v>
                </c:pt>
                <c:pt idx="873">
                  <c:v>0.2787</c:v>
                </c:pt>
                <c:pt idx="874">
                  <c:v>0.28520000000000001</c:v>
                </c:pt>
                <c:pt idx="875">
                  <c:v>0.30719999999999997</c:v>
                </c:pt>
                <c:pt idx="876">
                  <c:v>0.33379999999999999</c:v>
                </c:pt>
                <c:pt idx="877">
                  <c:v>0.34889999999999999</c:v>
                </c:pt>
                <c:pt idx="878">
                  <c:v>0.38240000000000002</c:v>
                </c:pt>
                <c:pt idx="879">
                  <c:v>0.41739999999999999</c:v>
                </c:pt>
                <c:pt idx="880">
                  <c:v>0.3387</c:v>
                </c:pt>
                <c:pt idx="881">
                  <c:v>0.36559999999999998</c:v>
                </c:pt>
                <c:pt idx="882">
                  <c:v>0.29549999999999998</c:v>
                </c:pt>
                <c:pt idx="883">
                  <c:v>0.34620000000000001</c:v>
                </c:pt>
                <c:pt idx="884">
                  <c:v>0.40899999999999997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38-4E6C-A384-74988A765BC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-0.21804408630347202</c:v>
                </c:pt>
                <c:pt idx="1">
                  <c:v>-0.21745573559924672</c:v>
                </c:pt>
                <c:pt idx="2">
                  <c:v>-0.21638180979505092</c:v>
                </c:pt>
                <c:pt idx="3">
                  <c:v>-0.2181948409652637</c:v>
                </c:pt>
                <c:pt idx="4">
                  <c:v>-0.22493245204721493</c:v>
                </c:pt>
                <c:pt idx="5">
                  <c:v>-0.22687551110233301</c:v>
                </c:pt>
                <c:pt idx="6">
                  <c:v>-0.22016114496998004</c:v>
                </c:pt>
                <c:pt idx="7">
                  <c:v>-0.19209506422250319</c:v>
                </c:pt>
                <c:pt idx="8">
                  <c:v>-0.17826672611754688</c:v>
                </c:pt>
                <c:pt idx="9">
                  <c:v>-0.17850775292805343</c:v>
                </c:pt>
                <c:pt idx="10">
                  <c:v>-0.17949925475684725</c:v>
                </c:pt>
                <c:pt idx="11">
                  <c:v>-0.17446610910467331</c:v>
                </c:pt>
                <c:pt idx="12">
                  <c:v>-0.16650637632955362</c:v>
                </c:pt>
                <c:pt idx="13">
                  <c:v>-0.16319203122955367</c:v>
                </c:pt>
                <c:pt idx="14">
                  <c:v>-0.16861621942743354</c:v>
                </c:pt>
                <c:pt idx="15">
                  <c:v>-0.15364657490546979</c:v>
                </c:pt>
                <c:pt idx="16">
                  <c:v>-0.16050203028024126</c:v>
                </c:pt>
                <c:pt idx="17">
                  <c:v>-0.17011319506551728</c:v>
                </c:pt>
                <c:pt idx="18">
                  <c:v>-0.16623022729362713</c:v>
                </c:pt>
                <c:pt idx="19">
                  <c:v>-0.1710927716211125</c:v>
                </c:pt>
                <c:pt idx="20">
                  <c:v>-0.16548125160249047</c:v>
                </c:pt>
                <c:pt idx="21">
                  <c:v>-0.14869203581935797</c:v>
                </c:pt>
                <c:pt idx="22">
                  <c:v>-0.14118842112195171</c:v>
                </c:pt>
                <c:pt idx="23">
                  <c:v>-0.13036375791440449</c:v>
                </c:pt>
                <c:pt idx="24">
                  <c:v>-0.11781750144381625</c:v>
                </c:pt>
                <c:pt idx="25">
                  <c:v>-0.1130684202157461</c:v>
                </c:pt>
                <c:pt idx="26">
                  <c:v>-0.10274683304760457</c:v>
                </c:pt>
                <c:pt idx="27">
                  <c:v>-0.12725113451819281</c:v>
                </c:pt>
                <c:pt idx="28">
                  <c:v>-0.11955554187668338</c:v>
                </c:pt>
                <c:pt idx="29">
                  <c:v>-0.12545658824654637</c:v>
                </c:pt>
                <c:pt idx="30">
                  <c:v>-0.11959144056864375</c:v>
                </c:pt>
                <c:pt idx="31">
                  <c:v>-0.10995426698373809</c:v>
                </c:pt>
                <c:pt idx="32">
                  <c:v>-0.10029391553446267</c:v>
                </c:pt>
                <c:pt idx="33">
                  <c:v>-0.10528758316993062</c:v>
                </c:pt>
                <c:pt idx="34">
                  <c:v>-5.0189600429984181E-2</c:v>
                </c:pt>
                <c:pt idx="35">
                  <c:v>-4.3515329574721026E-2</c:v>
                </c:pt>
                <c:pt idx="36">
                  <c:v>-6.1924038665630073E-2</c:v>
                </c:pt>
                <c:pt idx="37">
                  <c:v>-5.734027161717186E-2</c:v>
                </c:pt>
                <c:pt idx="38">
                  <c:v>-6.191659343535371E-2</c:v>
                </c:pt>
                <c:pt idx="39">
                  <c:v>-4.956251606693271E-2</c:v>
                </c:pt>
                <c:pt idx="40">
                  <c:v>5.1211666294114673E-2</c:v>
                </c:pt>
                <c:pt idx="41">
                  <c:v>5.8330703773521578E-2</c:v>
                </c:pt>
                <c:pt idx="42">
                  <c:v>5.5027575453521556E-2</c:v>
                </c:pt>
                <c:pt idx="43">
                  <c:v>6.5093085453521507E-2</c:v>
                </c:pt>
                <c:pt idx="44">
                  <c:v>5.7447475969872638E-2</c:v>
                </c:pt>
                <c:pt idx="45">
                  <c:v>5.3883916449577483E-2</c:v>
                </c:pt>
                <c:pt idx="46">
                  <c:v>5.9216222105827485E-2</c:v>
                </c:pt>
                <c:pt idx="47">
                  <c:v>6.183789204293437E-2</c:v>
                </c:pt>
                <c:pt idx="48">
                  <c:v>6.1222559503251839E-2</c:v>
                </c:pt>
                <c:pt idx="49">
                  <c:v>7.5782046354880311E-2</c:v>
                </c:pt>
                <c:pt idx="50">
                  <c:v>8.7829214746488679E-2</c:v>
                </c:pt>
                <c:pt idx="51">
                  <c:v>6.1616163711066298E-2</c:v>
                </c:pt>
                <c:pt idx="52">
                  <c:v>9.2523098458281397E-2</c:v>
                </c:pt>
                <c:pt idx="53">
                  <c:v>9.6839415160925729E-2</c:v>
                </c:pt>
                <c:pt idx="54">
                  <c:v>0.11738427087270077</c:v>
                </c:pt>
                <c:pt idx="55">
                  <c:v>0.11688399573922345</c:v>
                </c:pt>
                <c:pt idx="56">
                  <c:v>0.23952540652522458</c:v>
                </c:pt>
                <c:pt idx="57">
                  <c:v>0.23626874656590816</c:v>
                </c:pt>
                <c:pt idx="58">
                  <c:v>0.24682729117629773</c:v>
                </c:pt>
                <c:pt idx="59">
                  <c:v>0.26047715233802898</c:v>
                </c:pt>
                <c:pt idx="60">
                  <c:v>0.25529174045231462</c:v>
                </c:pt>
                <c:pt idx="61">
                  <c:v>0.24717067261259335</c:v>
                </c:pt>
                <c:pt idx="62">
                  <c:v>0.25174065373740062</c:v>
                </c:pt>
                <c:pt idx="63">
                  <c:v>0.29831987784721764</c:v>
                </c:pt>
                <c:pt idx="64">
                  <c:v>0.35714828597982923</c:v>
                </c:pt>
                <c:pt idx="65">
                  <c:v>0.36271978420677953</c:v>
                </c:pt>
                <c:pt idx="66">
                  <c:v>0.33597098664952763</c:v>
                </c:pt>
                <c:pt idx="67">
                  <c:v>0.3284517229777848</c:v>
                </c:pt>
                <c:pt idx="68">
                  <c:v>0.33557940105621609</c:v>
                </c:pt>
                <c:pt idx="69">
                  <c:v>0.3212410415486921</c:v>
                </c:pt>
                <c:pt idx="70">
                  <c:v>0.30591847650521392</c:v>
                </c:pt>
                <c:pt idx="71">
                  <c:v>0.32285524151042766</c:v>
                </c:pt>
                <c:pt idx="72">
                  <c:v>0.31493803316560015</c:v>
                </c:pt>
                <c:pt idx="73">
                  <c:v>0.31994555672844166</c:v>
                </c:pt>
                <c:pt idx="74">
                  <c:v>0.33453279482018478</c:v>
                </c:pt>
                <c:pt idx="75">
                  <c:v>0.32333274104028042</c:v>
                </c:pt>
                <c:pt idx="76">
                  <c:v>0.328288029724491</c:v>
                </c:pt>
                <c:pt idx="77">
                  <c:v>0.32691906874888127</c:v>
                </c:pt>
                <c:pt idx="78">
                  <c:v>0.32667336541554792</c:v>
                </c:pt>
                <c:pt idx="79">
                  <c:v>0.34435800352665913</c:v>
                </c:pt>
                <c:pt idx="80">
                  <c:v>0.35434459170847732</c:v>
                </c:pt>
                <c:pt idx="81">
                  <c:v>0.35739427581423167</c:v>
                </c:pt>
                <c:pt idx="82">
                  <c:v>0.34369354801844559</c:v>
                </c:pt>
                <c:pt idx="83">
                  <c:v>0.34533751118676237</c:v>
                </c:pt>
                <c:pt idx="84">
                  <c:v>0.35488802107225847</c:v>
                </c:pt>
                <c:pt idx="85">
                  <c:v>0.36865827630412534</c:v>
                </c:pt>
                <c:pt idx="86">
                  <c:v>0.36359208681999838</c:v>
                </c:pt>
                <c:pt idx="87">
                  <c:v>0.36313926158851689</c:v>
                </c:pt>
                <c:pt idx="88">
                  <c:v>0.34687684660335366</c:v>
                </c:pt>
                <c:pt idx="89">
                  <c:v>0.34270361806043953</c:v>
                </c:pt>
                <c:pt idx="90">
                  <c:v>0.33414393969309253</c:v>
                </c:pt>
                <c:pt idx="91">
                  <c:v>0.32515109656809249</c:v>
                </c:pt>
                <c:pt idx="92">
                  <c:v>0.31740243563059251</c:v>
                </c:pt>
                <c:pt idx="93">
                  <c:v>0.33815408593792107</c:v>
                </c:pt>
                <c:pt idx="94">
                  <c:v>0.34751155919506393</c:v>
                </c:pt>
                <c:pt idx="95">
                  <c:v>0.33809768429142367</c:v>
                </c:pt>
                <c:pt idx="96">
                  <c:v>0.34821855404451013</c:v>
                </c:pt>
                <c:pt idx="97">
                  <c:v>0.35378265095555606</c:v>
                </c:pt>
                <c:pt idx="98">
                  <c:v>0.36334735134771295</c:v>
                </c:pt>
                <c:pt idx="99">
                  <c:v>0.37264298583047162</c:v>
                </c:pt>
                <c:pt idx="100">
                  <c:v>0.35824022497789604</c:v>
                </c:pt>
                <c:pt idx="101">
                  <c:v>0.36394570862111209</c:v>
                </c:pt>
                <c:pt idx="102">
                  <c:v>0.38365206117750317</c:v>
                </c:pt>
                <c:pt idx="103">
                  <c:v>0.41336886784960764</c:v>
                </c:pt>
                <c:pt idx="104">
                  <c:v>0.40413090940804913</c:v>
                </c:pt>
                <c:pt idx="105">
                  <c:v>0.40305724705510793</c:v>
                </c:pt>
                <c:pt idx="106">
                  <c:v>0.41267347524787901</c:v>
                </c:pt>
                <c:pt idx="107">
                  <c:v>0.4033615331654048</c:v>
                </c:pt>
                <c:pt idx="108">
                  <c:v>0.41542096468387268</c:v>
                </c:pt>
                <c:pt idx="109">
                  <c:v>0.42969337237618038</c:v>
                </c:pt>
                <c:pt idx="110">
                  <c:v>0.45176918155465057</c:v>
                </c:pt>
                <c:pt idx="111">
                  <c:v>0.45529824035246486</c:v>
                </c:pt>
                <c:pt idx="112">
                  <c:v>0.48073317712665847</c:v>
                </c:pt>
                <c:pt idx="113">
                  <c:v>0.48085648797003194</c:v>
                </c:pt>
                <c:pt idx="114">
                  <c:v>0.48373723227991616</c:v>
                </c:pt>
                <c:pt idx="115">
                  <c:v>0.4512160487037572</c:v>
                </c:pt>
                <c:pt idx="116">
                  <c:v>0.43237416159731046</c:v>
                </c:pt>
                <c:pt idx="117">
                  <c:v>0.42259638268539335</c:v>
                </c:pt>
                <c:pt idx="118">
                  <c:v>0.41561353292760789</c:v>
                </c:pt>
                <c:pt idx="119">
                  <c:v>0.38895549962826331</c:v>
                </c:pt>
                <c:pt idx="120">
                  <c:v>0.38105130861493008</c:v>
                </c:pt>
                <c:pt idx="121">
                  <c:v>0.37762436043582559</c:v>
                </c:pt>
                <c:pt idx="122">
                  <c:v>0.39260654634417258</c:v>
                </c:pt>
                <c:pt idx="123">
                  <c:v>0.40887656634417258</c:v>
                </c:pt>
                <c:pt idx="124">
                  <c:v>0.40101999594417259</c:v>
                </c:pt>
                <c:pt idx="125">
                  <c:v>0.43918555928667602</c:v>
                </c:pt>
                <c:pt idx="126">
                  <c:v>0.39632591933286537</c:v>
                </c:pt>
                <c:pt idx="127">
                  <c:v>0.38299424524292958</c:v>
                </c:pt>
                <c:pt idx="128">
                  <c:v>0.36157621739789331</c:v>
                </c:pt>
                <c:pt idx="129">
                  <c:v>0.38716711198344533</c:v>
                </c:pt>
                <c:pt idx="130">
                  <c:v>0.39861633143837194</c:v>
                </c:pt>
                <c:pt idx="131">
                  <c:v>0.40962963831735288</c:v>
                </c:pt>
                <c:pt idx="132">
                  <c:v>0.41762089358051074</c:v>
                </c:pt>
                <c:pt idx="133">
                  <c:v>0.43147779758051075</c:v>
                </c:pt>
                <c:pt idx="134">
                  <c:v>0.44181487440977901</c:v>
                </c:pt>
                <c:pt idx="135">
                  <c:v>0.43470297042998096</c:v>
                </c:pt>
                <c:pt idx="136">
                  <c:v>0.42414868771419151</c:v>
                </c:pt>
                <c:pt idx="137">
                  <c:v>0.4243177933479943</c:v>
                </c:pt>
                <c:pt idx="138">
                  <c:v>0.4202223444775624</c:v>
                </c:pt>
                <c:pt idx="139">
                  <c:v>0.42265435082164837</c:v>
                </c:pt>
                <c:pt idx="140">
                  <c:v>0.4571020152000862</c:v>
                </c:pt>
                <c:pt idx="141">
                  <c:v>0.49730365453860759</c:v>
                </c:pt>
                <c:pt idx="142">
                  <c:v>0.48795667566220308</c:v>
                </c:pt>
                <c:pt idx="143">
                  <c:v>0.52280597633443182</c:v>
                </c:pt>
                <c:pt idx="144">
                  <c:v>0.51801480547664946</c:v>
                </c:pt>
                <c:pt idx="145">
                  <c:v>0.52643275723175165</c:v>
                </c:pt>
                <c:pt idx="146">
                  <c:v>0.57318712642513336</c:v>
                </c:pt>
                <c:pt idx="147">
                  <c:v>0.52829374395885442</c:v>
                </c:pt>
                <c:pt idx="148">
                  <c:v>0.5689345180673816</c:v>
                </c:pt>
                <c:pt idx="149">
                  <c:v>0.43560873453379217</c:v>
                </c:pt>
                <c:pt idx="150">
                  <c:v>0.36507555722707902</c:v>
                </c:pt>
                <c:pt idx="151">
                  <c:v>0.36860963332463997</c:v>
                </c:pt>
                <c:pt idx="152">
                  <c:v>0.367885745842287</c:v>
                </c:pt>
                <c:pt idx="153">
                  <c:v>0.37709057250895361</c:v>
                </c:pt>
                <c:pt idx="154">
                  <c:v>0.35464104138888286</c:v>
                </c:pt>
                <c:pt idx="155">
                  <c:v>0.37656011763114694</c:v>
                </c:pt>
                <c:pt idx="156">
                  <c:v>0.3611373385012035</c:v>
                </c:pt>
                <c:pt idx="157">
                  <c:v>0.37386489169401788</c:v>
                </c:pt>
                <c:pt idx="158">
                  <c:v>0.35820723158600082</c:v>
                </c:pt>
                <c:pt idx="159">
                  <c:v>0.35616641341578803</c:v>
                </c:pt>
                <c:pt idx="160">
                  <c:v>0.38085361390538408</c:v>
                </c:pt>
                <c:pt idx="161">
                  <c:v>0.35014781102502701</c:v>
                </c:pt>
                <c:pt idx="162">
                  <c:v>0.32897426653459927</c:v>
                </c:pt>
                <c:pt idx="163">
                  <c:v>0.32713265341643227</c:v>
                </c:pt>
                <c:pt idx="164">
                  <c:v>0.34610473639853351</c:v>
                </c:pt>
                <c:pt idx="165">
                  <c:v>0.3822672235763252</c:v>
                </c:pt>
                <c:pt idx="166">
                  <c:v>0.37607305800059959</c:v>
                </c:pt>
                <c:pt idx="167">
                  <c:v>0.36441184115980352</c:v>
                </c:pt>
                <c:pt idx="168">
                  <c:v>0.31668133137901872</c:v>
                </c:pt>
                <c:pt idx="169">
                  <c:v>0.31844619375188044</c:v>
                </c:pt>
                <c:pt idx="170">
                  <c:v>0.31730261238659119</c:v>
                </c:pt>
                <c:pt idx="171">
                  <c:v>0.30589662218390667</c:v>
                </c:pt>
                <c:pt idx="172">
                  <c:v>0.28616194260270733</c:v>
                </c:pt>
                <c:pt idx="173">
                  <c:v>0.29457851025546328</c:v>
                </c:pt>
                <c:pt idx="174">
                  <c:v>0.27737404291071627</c:v>
                </c:pt>
                <c:pt idx="175">
                  <c:v>0.12054646256016274</c:v>
                </c:pt>
                <c:pt idx="176">
                  <c:v>7.4182644931244379E-2</c:v>
                </c:pt>
                <c:pt idx="177">
                  <c:v>6.48821969984609E-2</c:v>
                </c:pt>
                <c:pt idx="178">
                  <c:v>7.7553433051092469E-2</c:v>
                </c:pt>
                <c:pt idx="179">
                  <c:v>5.8333261456355624E-2</c:v>
                </c:pt>
                <c:pt idx="180">
                  <c:v>7.0799581265891046E-2</c:v>
                </c:pt>
                <c:pt idx="181">
                  <c:v>7.8061215754320873E-2</c:v>
                </c:pt>
                <c:pt idx="182">
                  <c:v>6.1952274090565425E-2</c:v>
                </c:pt>
                <c:pt idx="183">
                  <c:v>4.911018537482769E-2</c:v>
                </c:pt>
                <c:pt idx="184">
                  <c:v>4.1726115398357112E-2</c:v>
                </c:pt>
                <c:pt idx="185">
                  <c:v>3.9034645489820545E-2</c:v>
                </c:pt>
                <c:pt idx="186">
                  <c:v>5.8249698755610084E-2</c:v>
                </c:pt>
                <c:pt idx="187">
                  <c:v>4.7056239267759661E-2</c:v>
                </c:pt>
                <c:pt idx="188">
                  <c:v>4.2556727651396037E-2</c:v>
                </c:pt>
                <c:pt idx="189">
                  <c:v>3.9920228691396019E-2</c:v>
                </c:pt>
                <c:pt idx="190">
                  <c:v>3.4112851442569696E-2</c:v>
                </c:pt>
                <c:pt idx="191">
                  <c:v>2.8794577919970848E-2</c:v>
                </c:pt>
                <c:pt idx="192">
                  <c:v>4.4206070026637539E-2</c:v>
                </c:pt>
                <c:pt idx="193">
                  <c:v>5.1444054226140019E-2</c:v>
                </c:pt>
                <c:pt idx="194">
                  <c:v>5.3180336089460503E-2</c:v>
                </c:pt>
                <c:pt idx="195">
                  <c:v>5.382699689283129E-2</c:v>
                </c:pt>
                <c:pt idx="196">
                  <c:v>6.2457770531747552E-2</c:v>
                </c:pt>
                <c:pt idx="197">
                  <c:v>6.9742805818981637E-2</c:v>
                </c:pt>
                <c:pt idx="198">
                  <c:v>6.0615463243760409E-2</c:v>
                </c:pt>
                <c:pt idx="199">
                  <c:v>7.2577656123760381E-2</c:v>
                </c:pt>
                <c:pt idx="200">
                  <c:v>7.7331728904806149E-2</c:v>
                </c:pt>
                <c:pt idx="201">
                  <c:v>7.3592439920431144E-2</c:v>
                </c:pt>
                <c:pt idx="202">
                  <c:v>7.6534845766585008E-2</c:v>
                </c:pt>
                <c:pt idx="203">
                  <c:v>6.9877935991041515E-2</c:v>
                </c:pt>
                <c:pt idx="204">
                  <c:v>7.5770280554421823E-2</c:v>
                </c:pt>
                <c:pt idx="205">
                  <c:v>8.348506522273863E-2</c:v>
                </c:pt>
                <c:pt idx="206">
                  <c:v>7.061432113546591E-2</c:v>
                </c:pt>
                <c:pt idx="207">
                  <c:v>6.940668193249977E-2</c:v>
                </c:pt>
                <c:pt idx="208">
                  <c:v>6.3099356448038657E-2</c:v>
                </c:pt>
                <c:pt idx="209">
                  <c:v>5.5131171796023989E-2</c:v>
                </c:pt>
                <c:pt idx="210">
                  <c:v>3.8693250402815613E-2</c:v>
                </c:pt>
                <c:pt idx="211">
                  <c:v>4.736078260426755E-2</c:v>
                </c:pt>
                <c:pt idx="212">
                  <c:v>4.3652524609507727E-2</c:v>
                </c:pt>
                <c:pt idx="213">
                  <c:v>1.1171079251904045E-2</c:v>
                </c:pt>
                <c:pt idx="214">
                  <c:v>3.393716089237395E-3</c:v>
                </c:pt>
                <c:pt idx="215">
                  <c:v>-9.421100510762604E-3</c:v>
                </c:pt>
                <c:pt idx="216">
                  <c:v>-1.8825666791784518E-2</c:v>
                </c:pt>
                <c:pt idx="217">
                  <c:v>-7.0106183849468874E-3</c:v>
                </c:pt>
                <c:pt idx="218">
                  <c:v>-7.784491868817839E-3</c:v>
                </c:pt>
                <c:pt idx="219">
                  <c:v>-1.4102643911868697E-2</c:v>
                </c:pt>
                <c:pt idx="220">
                  <c:v>-1.1154524122697809E-2</c:v>
                </c:pt>
                <c:pt idx="221">
                  <c:v>6.2010214266315609E-3</c:v>
                </c:pt>
                <c:pt idx="222">
                  <c:v>-1.5769901916782908E-3</c:v>
                </c:pt>
                <c:pt idx="223">
                  <c:v>6.4606467629816948E-3</c:v>
                </c:pt>
                <c:pt idx="224">
                  <c:v>9.7999668389485289E-3</c:v>
                </c:pt>
                <c:pt idx="225">
                  <c:v>1.2964210110941329E-2</c:v>
                </c:pt>
                <c:pt idx="226">
                  <c:v>2.0532317298711095E-2</c:v>
                </c:pt>
                <c:pt idx="227">
                  <c:v>1.8308752720529307E-2</c:v>
                </c:pt>
                <c:pt idx="228">
                  <c:v>5.1252428839199636E-3</c:v>
                </c:pt>
                <c:pt idx="229">
                  <c:v>-5.0870778978982156E-3</c:v>
                </c:pt>
                <c:pt idx="230">
                  <c:v>-2.8069036196724062E-3</c:v>
                </c:pt>
                <c:pt idx="231">
                  <c:v>5.5142055928836574E-3</c:v>
                </c:pt>
                <c:pt idx="232">
                  <c:v>1.2657912853880727E-2</c:v>
                </c:pt>
                <c:pt idx="233">
                  <c:v>-2.6709104221483344E-3</c:v>
                </c:pt>
                <c:pt idx="234">
                  <c:v>-1.5234629619487631E-2</c:v>
                </c:pt>
                <c:pt idx="235">
                  <c:v>-2.0848506374248296E-3</c:v>
                </c:pt>
                <c:pt idx="236">
                  <c:v>2.8323538814595435E-4</c:v>
                </c:pt>
                <c:pt idx="237">
                  <c:v>5.7342496000423052E-3</c:v>
                </c:pt>
                <c:pt idx="238">
                  <c:v>1.3003626512770792E-2</c:v>
                </c:pt>
                <c:pt idx="239">
                  <c:v>7.8776074259490729E-3</c:v>
                </c:pt>
                <c:pt idx="240">
                  <c:v>-1.3134687690808671E-4</c:v>
                </c:pt>
                <c:pt idx="241">
                  <c:v>7.2543783239614659E-3</c:v>
                </c:pt>
                <c:pt idx="242">
                  <c:v>-8.3719003775310809E-3</c:v>
                </c:pt>
                <c:pt idx="243">
                  <c:v>-1.4639310985899637E-2</c:v>
                </c:pt>
                <c:pt idx="244">
                  <c:v>-6.5548972460862664E-3</c:v>
                </c:pt>
                <c:pt idx="245">
                  <c:v>1.7579135804697731E-2</c:v>
                </c:pt>
                <c:pt idx="246">
                  <c:v>8.1216969389160554E-3</c:v>
                </c:pt>
                <c:pt idx="247">
                  <c:v>-5.4673630281651111E-3</c:v>
                </c:pt>
                <c:pt idx="248">
                  <c:v>-1.7773323334140625E-2</c:v>
                </c:pt>
                <c:pt idx="249">
                  <c:v>-3.2276803207661492E-2</c:v>
                </c:pt>
                <c:pt idx="250">
                  <c:v>-1.7425466183588686E-2</c:v>
                </c:pt>
                <c:pt idx="251">
                  <c:v>3.0671897278749536E-3</c:v>
                </c:pt>
                <c:pt idx="252">
                  <c:v>1.0899636749967946E-2</c:v>
                </c:pt>
                <c:pt idx="253">
                  <c:v>-2.4049381438760762E-2</c:v>
                </c:pt>
                <c:pt idx="254">
                  <c:v>1.5311547695505712E-2</c:v>
                </c:pt>
                <c:pt idx="255">
                  <c:v>4.3367606012851986E-2</c:v>
                </c:pt>
                <c:pt idx="256">
                  <c:v>7.6045474211890396E-2</c:v>
                </c:pt>
                <c:pt idx="257">
                  <c:v>8.1824792632143553E-2</c:v>
                </c:pt>
                <c:pt idx="258">
                  <c:v>0.11219086687204285</c:v>
                </c:pt>
                <c:pt idx="259">
                  <c:v>0.10711338366383777</c:v>
                </c:pt>
                <c:pt idx="260">
                  <c:v>0.1093262897638665</c:v>
                </c:pt>
                <c:pt idx="261">
                  <c:v>0.1673558731528435</c:v>
                </c:pt>
                <c:pt idx="262">
                  <c:v>0.14573965808400466</c:v>
                </c:pt>
                <c:pt idx="263">
                  <c:v>0.26134394965127555</c:v>
                </c:pt>
                <c:pt idx="264">
                  <c:v>0.21165672457534337</c:v>
                </c:pt>
                <c:pt idx="265">
                  <c:v>0.2120642382676543</c:v>
                </c:pt>
                <c:pt idx="266">
                  <c:v>0.23099687386711129</c:v>
                </c:pt>
                <c:pt idx="267">
                  <c:v>0.21538514779500204</c:v>
                </c:pt>
                <c:pt idx="268">
                  <c:v>0.18868927442143354</c:v>
                </c:pt>
                <c:pt idx="269">
                  <c:v>0.21546312572454654</c:v>
                </c:pt>
                <c:pt idx="270">
                  <c:v>0.21884170124948155</c:v>
                </c:pt>
                <c:pt idx="271">
                  <c:v>0.22585984856401276</c:v>
                </c:pt>
                <c:pt idx="272">
                  <c:v>0.2364026062285767</c:v>
                </c:pt>
                <c:pt idx="273">
                  <c:v>0.2103204992430372</c:v>
                </c:pt>
                <c:pt idx="274">
                  <c:v>0.18487733146417737</c:v>
                </c:pt>
                <c:pt idx="275">
                  <c:v>0.20145498172068052</c:v>
                </c:pt>
                <c:pt idx="276">
                  <c:v>0.16105296707561856</c:v>
                </c:pt>
                <c:pt idx="277">
                  <c:v>0.10406573658794399</c:v>
                </c:pt>
                <c:pt idx="278">
                  <c:v>0.11063866947215677</c:v>
                </c:pt>
                <c:pt idx="279">
                  <c:v>0.13808836836463254</c:v>
                </c:pt>
                <c:pt idx="280">
                  <c:v>0.12484715650184181</c:v>
                </c:pt>
                <c:pt idx="281">
                  <c:v>0.15035857655611115</c:v>
                </c:pt>
                <c:pt idx="282">
                  <c:v>0.18040159982314052</c:v>
                </c:pt>
                <c:pt idx="283">
                  <c:v>0.16324736982430135</c:v>
                </c:pt>
                <c:pt idx="284">
                  <c:v>0.18785464502677732</c:v>
                </c:pt>
                <c:pt idx="285">
                  <c:v>0.18609693945734165</c:v>
                </c:pt>
                <c:pt idx="286">
                  <c:v>0.2147497800684369</c:v>
                </c:pt>
                <c:pt idx="287">
                  <c:v>0.21511506156877766</c:v>
                </c:pt>
                <c:pt idx="288">
                  <c:v>0.21681552075866939</c:v>
                </c:pt>
                <c:pt idx="289">
                  <c:v>0.22487012208803367</c:v>
                </c:pt>
                <c:pt idx="290">
                  <c:v>0.17404704819214173</c:v>
                </c:pt>
                <c:pt idx="291">
                  <c:v>0.23271129880983282</c:v>
                </c:pt>
                <c:pt idx="292">
                  <c:v>0.13957506968964584</c:v>
                </c:pt>
                <c:pt idx="293">
                  <c:v>8.3062028714250835E-2</c:v>
                </c:pt>
                <c:pt idx="294">
                  <c:v>5.156861716923801E-2</c:v>
                </c:pt>
                <c:pt idx="295">
                  <c:v>2.1321476284916419E-2</c:v>
                </c:pt>
                <c:pt idx="296">
                  <c:v>4.1654276250274645E-2</c:v>
                </c:pt>
                <c:pt idx="297">
                  <c:v>7.9686133045371185E-2</c:v>
                </c:pt>
                <c:pt idx="298">
                  <c:v>7.1228382808114929E-2</c:v>
                </c:pt>
                <c:pt idx="299">
                  <c:v>8.1738621797714656E-2</c:v>
                </c:pt>
                <c:pt idx="300">
                  <c:v>0.10850282028107076</c:v>
                </c:pt>
                <c:pt idx="301">
                  <c:v>0.10437986645733714</c:v>
                </c:pt>
                <c:pt idx="302">
                  <c:v>0.13352311197799205</c:v>
                </c:pt>
                <c:pt idx="303">
                  <c:v>6.9927857209625424E-2</c:v>
                </c:pt>
                <c:pt idx="304">
                  <c:v>0.24692000167612546</c:v>
                </c:pt>
                <c:pt idx="305">
                  <c:v>5.0242054882009682E-2</c:v>
                </c:pt>
                <c:pt idx="306">
                  <c:v>6.1276390189261259E-2</c:v>
                </c:pt>
                <c:pt idx="307">
                  <c:v>4.8874093144446455E-2</c:v>
                </c:pt>
                <c:pt idx="308">
                  <c:v>2.8981322948656046E-2</c:v>
                </c:pt>
                <c:pt idx="309">
                  <c:v>4.9157419821002038E-2</c:v>
                </c:pt>
                <c:pt idx="310">
                  <c:v>7.1959745222070451E-2</c:v>
                </c:pt>
                <c:pt idx="311">
                  <c:v>6.6919421503841905E-2</c:v>
                </c:pt>
                <c:pt idx="312">
                  <c:v>9.887861549209187E-2</c:v>
                </c:pt>
                <c:pt idx="313">
                  <c:v>7.868303155128302E-2</c:v>
                </c:pt>
                <c:pt idx="314">
                  <c:v>0.11885647025339841</c:v>
                </c:pt>
                <c:pt idx="315">
                  <c:v>0.12393627930378601</c:v>
                </c:pt>
                <c:pt idx="316">
                  <c:v>0.17405139176447873</c:v>
                </c:pt>
                <c:pt idx="317">
                  <c:v>0.21262162614021124</c:v>
                </c:pt>
                <c:pt idx="318">
                  <c:v>0.25794122672644482</c:v>
                </c:pt>
                <c:pt idx="319">
                  <c:v>0.18702178167440661</c:v>
                </c:pt>
                <c:pt idx="320">
                  <c:v>0.23403915846100729</c:v>
                </c:pt>
                <c:pt idx="321">
                  <c:v>0.17436148396987086</c:v>
                </c:pt>
                <c:pt idx="322">
                  <c:v>0.15107584776999064</c:v>
                </c:pt>
                <c:pt idx="323">
                  <c:v>0.13176406536491916</c:v>
                </c:pt>
                <c:pt idx="324">
                  <c:v>0.13871073442880807</c:v>
                </c:pt>
                <c:pt idx="325">
                  <c:v>9.4746451952083921E-2</c:v>
                </c:pt>
                <c:pt idx="326">
                  <c:v>9.207025287366799E-2</c:v>
                </c:pt>
                <c:pt idx="327">
                  <c:v>0.11931292084844911</c:v>
                </c:pt>
                <c:pt idx="328">
                  <c:v>9.9123047919115789E-2</c:v>
                </c:pt>
                <c:pt idx="329">
                  <c:v>7.5841784442670118E-2</c:v>
                </c:pt>
                <c:pt idx="330">
                  <c:v>8.4863441508523749E-2</c:v>
                </c:pt>
                <c:pt idx="331">
                  <c:v>9.3018395517516936E-2</c:v>
                </c:pt>
                <c:pt idx="332">
                  <c:v>9.2114790049208028E-2</c:v>
                </c:pt>
                <c:pt idx="333">
                  <c:v>6.0979905790553193E-2</c:v>
                </c:pt>
                <c:pt idx="334">
                  <c:v>5.4084519466084197E-2</c:v>
                </c:pt>
                <c:pt idx="335">
                  <c:v>6.1203249997427434E-2</c:v>
                </c:pt>
                <c:pt idx="336">
                  <c:v>5.8338066345266698E-2</c:v>
                </c:pt>
                <c:pt idx="337">
                  <c:v>0.10344842516342981</c:v>
                </c:pt>
                <c:pt idx="338">
                  <c:v>8.3326986354548424E-2</c:v>
                </c:pt>
                <c:pt idx="339">
                  <c:v>9.4769904565634888E-2</c:v>
                </c:pt>
                <c:pt idx="340">
                  <c:v>7.0280263527995684E-2</c:v>
                </c:pt>
                <c:pt idx="341">
                  <c:v>9.561541645650895E-2</c:v>
                </c:pt>
                <c:pt idx="342">
                  <c:v>8.6466280258667885E-2</c:v>
                </c:pt>
                <c:pt idx="343">
                  <c:v>3.7586920175321316E-2</c:v>
                </c:pt>
                <c:pt idx="344">
                  <c:v>-2.2130330434011482E-3</c:v>
                </c:pt>
                <c:pt idx="345">
                  <c:v>-4.2230586857348103E-2</c:v>
                </c:pt>
                <c:pt idx="346">
                  <c:v>-2.6310488641661908E-2</c:v>
                </c:pt>
                <c:pt idx="347">
                  <c:v>-3.3663151407900514E-2</c:v>
                </c:pt>
                <c:pt idx="348">
                  <c:v>-1.8735560355536855E-2</c:v>
                </c:pt>
                <c:pt idx="349">
                  <c:v>-7.6046995477488138E-2</c:v>
                </c:pt>
                <c:pt idx="350">
                  <c:v>-0.10473669889357635</c:v>
                </c:pt>
                <c:pt idx="351">
                  <c:v>-9.5486485711111915E-2</c:v>
                </c:pt>
                <c:pt idx="352">
                  <c:v>-0.14522604864740937</c:v>
                </c:pt>
                <c:pt idx="353">
                  <c:v>-0.20012696024778306</c:v>
                </c:pt>
                <c:pt idx="354">
                  <c:v>-0.21238900668767527</c:v>
                </c:pt>
                <c:pt idx="355">
                  <c:v>-0.20153332772655519</c:v>
                </c:pt>
                <c:pt idx="356">
                  <c:v>-0.19023084179055522</c:v>
                </c:pt>
                <c:pt idx="357">
                  <c:v>-0.19583485760902083</c:v>
                </c:pt>
                <c:pt idx="358">
                  <c:v>-0.2192785510919269</c:v>
                </c:pt>
                <c:pt idx="359">
                  <c:v>-0.24772656344906971</c:v>
                </c:pt>
                <c:pt idx="360">
                  <c:v>-0.25556374601806203</c:v>
                </c:pt>
                <c:pt idx="361">
                  <c:v>-0.29108685798768824</c:v>
                </c:pt>
                <c:pt idx="362">
                  <c:v>-0.31235613209931612</c:v>
                </c:pt>
                <c:pt idx="363">
                  <c:v>-0.30174457645563196</c:v>
                </c:pt>
                <c:pt idx="364">
                  <c:v>-0.29652586473575615</c:v>
                </c:pt>
                <c:pt idx="365">
                  <c:v>-0.29223921962556748</c:v>
                </c:pt>
                <c:pt idx="366">
                  <c:v>-0.29031670820738564</c:v>
                </c:pt>
                <c:pt idx="367">
                  <c:v>-0.28887776861950687</c:v>
                </c:pt>
                <c:pt idx="368">
                  <c:v>-0.30601601938617351</c:v>
                </c:pt>
                <c:pt idx="369">
                  <c:v>-0.31167759562770708</c:v>
                </c:pt>
                <c:pt idx="370">
                  <c:v>-0.30806698436182473</c:v>
                </c:pt>
                <c:pt idx="371">
                  <c:v>-0.32329931596641487</c:v>
                </c:pt>
                <c:pt idx="372">
                  <c:v>-0.23014284057338796</c:v>
                </c:pt>
                <c:pt idx="373">
                  <c:v>-0.20592146376061315</c:v>
                </c:pt>
                <c:pt idx="374">
                  <c:v>-0.20225971562009468</c:v>
                </c:pt>
                <c:pt idx="375">
                  <c:v>-0.2267170077982123</c:v>
                </c:pt>
                <c:pt idx="376">
                  <c:v>-0.24952505350142912</c:v>
                </c:pt>
                <c:pt idx="377">
                  <c:v>-0.22833238201885162</c:v>
                </c:pt>
                <c:pt idx="378">
                  <c:v>-0.23696253532226458</c:v>
                </c:pt>
                <c:pt idx="379">
                  <c:v>-0.23797478101594047</c:v>
                </c:pt>
                <c:pt idx="380">
                  <c:v>-0.24267885596346006</c:v>
                </c:pt>
                <c:pt idx="381">
                  <c:v>-0.22392787349679341</c:v>
                </c:pt>
                <c:pt idx="382">
                  <c:v>-0.22150274223701316</c:v>
                </c:pt>
                <c:pt idx="383">
                  <c:v>-0.22988754160754887</c:v>
                </c:pt>
                <c:pt idx="384">
                  <c:v>-0.23289075105705384</c:v>
                </c:pt>
                <c:pt idx="385">
                  <c:v>-0.22504169353257253</c:v>
                </c:pt>
                <c:pt idx="386">
                  <c:v>-0.23221790444495929</c:v>
                </c:pt>
                <c:pt idx="387">
                  <c:v>-0.24095837455034044</c:v>
                </c:pt>
                <c:pt idx="388">
                  <c:v>-0.24720616612057544</c:v>
                </c:pt>
                <c:pt idx="389">
                  <c:v>-0.23670536853605403</c:v>
                </c:pt>
                <c:pt idx="390">
                  <c:v>-0.24502191749275506</c:v>
                </c:pt>
                <c:pt idx="391">
                  <c:v>-0.22711857552440068</c:v>
                </c:pt>
                <c:pt idx="392">
                  <c:v>-0.21809185268781536</c:v>
                </c:pt>
                <c:pt idx="393">
                  <c:v>-0.21382368376383878</c:v>
                </c:pt>
                <c:pt idx="394">
                  <c:v>-0.2056043387930423</c:v>
                </c:pt>
                <c:pt idx="395">
                  <c:v>-0.1892648993384968</c:v>
                </c:pt>
                <c:pt idx="396">
                  <c:v>-0.16660143092031504</c:v>
                </c:pt>
                <c:pt idx="397">
                  <c:v>-0.16351163423037793</c:v>
                </c:pt>
                <c:pt idx="398">
                  <c:v>-0.15526692201125566</c:v>
                </c:pt>
                <c:pt idx="399">
                  <c:v>-0.16147734262962302</c:v>
                </c:pt>
                <c:pt idx="400">
                  <c:v>-0.17851966468523278</c:v>
                </c:pt>
                <c:pt idx="401">
                  <c:v>-0.16184568234240371</c:v>
                </c:pt>
                <c:pt idx="402">
                  <c:v>-0.16506553214080047</c:v>
                </c:pt>
                <c:pt idx="403">
                  <c:v>-0.16798750792583164</c:v>
                </c:pt>
                <c:pt idx="404">
                  <c:v>-0.15412756404949091</c:v>
                </c:pt>
                <c:pt idx="405">
                  <c:v>-0.10910859379261145</c:v>
                </c:pt>
                <c:pt idx="406">
                  <c:v>-0.12670195964232794</c:v>
                </c:pt>
                <c:pt idx="407">
                  <c:v>-9.6766730892462793E-2</c:v>
                </c:pt>
                <c:pt idx="408">
                  <c:v>-0.12386033004368227</c:v>
                </c:pt>
                <c:pt idx="409">
                  <c:v>-0.1179555336659871</c:v>
                </c:pt>
                <c:pt idx="410">
                  <c:v>-0.14646382660792265</c:v>
                </c:pt>
                <c:pt idx="411">
                  <c:v>-0.14899530654903764</c:v>
                </c:pt>
                <c:pt idx="412">
                  <c:v>-0.15554844904600737</c:v>
                </c:pt>
                <c:pt idx="413">
                  <c:v>-0.14991324860977548</c:v>
                </c:pt>
                <c:pt idx="414">
                  <c:v>-0.15241798321051625</c:v>
                </c:pt>
                <c:pt idx="415">
                  <c:v>-0.16658912932806011</c:v>
                </c:pt>
                <c:pt idx="416">
                  <c:v>-0.15616717418233261</c:v>
                </c:pt>
                <c:pt idx="417">
                  <c:v>-0.16092838312537056</c:v>
                </c:pt>
                <c:pt idx="418">
                  <c:v>-0.15747999452537056</c:v>
                </c:pt>
                <c:pt idx="419">
                  <c:v>-0.16354164253223924</c:v>
                </c:pt>
                <c:pt idx="420">
                  <c:v>-0.14766399955682941</c:v>
                </c:pt>
                <c:pt idx="421">
                  <c:v>-0.14590519198202628</c:v>
                </c:pt>
                <c:pt idx="422">
                  <c:v>-0.15577607280364791</c:v>
                </c:pt>
                <c:pt idx="423">
                  <c:v>-0.15459285368358211</c:v>
                </c:pt>
                <c:pt idx="424">
                  <c:v>-0.14918447241282398</c:v>
                </c:pt>
                <c:pt idx="425">
                  <c:v>-0.14271169918441817</c:v>
                </c:pt>
                <c:pt idx="426">
                  <c:v>-0.1426621458555373</c:v>
                </c:pt>
                <c:pt idx="427">
                  <c:v>-0.14719291807326151</c:v>
                </c:pt>
                <c:pt idx="428">
                  <c:v>-0.15999613990407124</c:v>
                </c:pt>
                <c:pt idx="429">
                  <c:v>-0.13753231075860459</c:v>
                </c:pt>
                <c:pt idx="430">
                  <c:v>-0.14815543157534874</c:v>
                </c:pt>
                <c:pt idx="431">
                  <c:v>-0.16888205828786676</c:v>
                </c:pt>
                <c:pt idx="432">
                  <c:v>-0.16932571283859141</c:v>
                </c:pt>
                <c:pt idx="433">
                  <c:v>-0.18057687572286107</c:v>
                </c:pt>
                <c:pt idx="434">
                  <c:v>-0.17579412174471903</c:v>
                </c:pt>
                <c:pt idx="435">
                  <c:v>-0.1739246430737513</c:v>
                </c:pt>
                <c:pt idx="436">
                  <c:v>-0.17754973132982807</c:v>
                </c:pt>
                <c:pt idx="437">
                  <c:v>-0.17416291948943716</c:v>
                </c:pt>
                <c:pt idx="438">
                  <c:v>-0.17964482497508313</c:v>
                </c:pt>
                <c:pt idx="439">
                  <c:v>-0.17367519300511847</c:v>
                </c:pt>
                <c:pt idx="440">
                  <c:v>-0.17291626773054219</c:v>
                </c:pt>
                <c:pt idx="441">
                  <c:v>-0.18099149496621098</c:v>
                </c:pt>
                <c:pt idx="442">
                  <c:v>-0.16621743084909865</c:v>
                </c:pt>
                <c:pt idx="443">
                  <c:v>-0.17300111053481296</c:v>
                </c:pt>
                <c:pt idx="444">
                  <c:v>-0.16872986811426502</c:v>
                </c:pt>
                <c:pt idx="445">
                  <c:v>-0.1739489407851193</c:v>
                </c:pt>
                <c:pt idx="446">
                  <c:v>-0.17543566311966477</c:v>
                </c:pt>
                <c:pt idx="447">
                  <c:v>-0.15813252726550697</c:v>
                </c:pt>
                <c:pt idx="448">
                  <c:v>-0.16321116518511483</c:v>
                </c:pt>
                <c:pt idx="449">
                  <c:v>-0.16892606361464502</c:v>
                </c:pt>
                <c:pt idx="450">
                  <c:v>-0.16739467424345855</c:v>
                </c:pt>
                <c:pt idx="451">
                  <c:v>-0.16757083959639973</c:v>
                </c:pt>
                <c:pt idx="452">
                  <c:v>-0.15875863710016547</c:v>
                </c:pt>
                <c:pt idx="453">
                  <c:v>-0.15862220000451327</c:v>
                </c:pt>
                <c:pt idx="454">
                  <c:v>-0.15620205693503955</c:v>
                </c:pt>
                <c:pt idx="455">
                  <c:v>-0.15340254425646813</c:v>
                </c:pt>
                <c:pt idx="456">
                  <c:v>-0.1472115534868052</c:v>
                </c:pt>
                <c:pt idx="457">
                  <c:v>-0.14066453901831205</c:v>
                </c:pt>
                <c:pt idx="458">
                  <c:v>-0.14708382022107702</c:v>
                </c:pt>
                <c:pt idx="459">
                  <c:v>-0.14808110298578289</c:v>
                </c:pt>
                <c:pt idx="460">
                  <c:v>-0.14643346250508113</c:v>
                </c:pt>
                <c:pt idx="461">
                  <c:v>-0.14776988344969655</c:v>
                </c:pt>
                <c:pt idx="462">
                  <c:v>-0.14502718788606017</c:v>
                </c:pt>
                <c:pt idx="463">
                  <c:v>-0.14218938752125332</c:v>
                </c:pt>
                <c:pt idx="464">
                  <c:v>-0.14416830858125332</c:v>
                </c:pt>
                <c:pt idx="465">
                  <c:v>-0.14174223197462352</c:v>
                </c:pt>
                <c:pt idx="466">
                  <c:v>-0.13880241486832429</c:v>
                </c:pt>
                <c:pt idx="467">
                  <c:v>-0.13922189495761003</c:v>
                </c:pt>
                <c:pt idx="468">
                  <c:v>-0.14082525662284304</c:v>
                </c:pt>
                <c:pt idx="469">
                  <c:v>-0.14045984011767063</c:v>
                </c:pt>
                <c:pt idx="470">
                  <c:v>-0.13961835713355847</c:v>
                </c:pt>
                <c:pt idx="471">
                  <c:v>-0.13782100930022514</c:v>
                </c:pt>
                <c:pt idx="472">
                  <c:v>-0.13917230655603907</c:v>
                </c:pt>
                <c:pt idx="473">
                  <c:v>-0.13660539095790245</c:v>
                </c:pt>
                <c:pt idx="474">
                  <c:v>-0.13522690202230922</c:v>
                </c:pt>
                <c:pt idx="475">
                  <c:v>-0.13035467826668792</c:v>
                </c:pt>
                <c:pt idx="476">
                  <c:v>-0.13505288544927502</c:v>
                </c:pt>
                <c:pt idx="477">
                  <c:v>-0.14283140682966716</c:v>
                </c:pt>
                <c:pt idx="478">
                  <c:v>-0.14678831525547364</c:v>
                </c:pt>
                <c:pt idx="479">
                  <c:v>-0.14177389875165683</c:v>
                </c:pt>
                <c:pt idx="480">
                  <c:v>-0.14080372600326976</c:v>
                </c:pt>
                <c:pt idx="481">
                  <c:v>-0.14424566648631071</c:v>
                </c:pt>
                <c:pt idx="482">
                  <c:v>-0.14051593275334981</c:v>
                </c:pt>
                <c:pt idx="483">
                  <c:v>-0.13570019191032656</c:v>
                </c:pt>
                <c:pt idx="484">
                  <c:v>-0.13083226286824864</c:v>
                </c:pt>
                <c:pt idx="485">
                  <c:v>-0.13362156791172691</c:v>
                </c:pt>
                <c:pt idx="486">
                  <c:v>-0.13537806682633366</c:v>
                </c:pt>
                <c:pt idx="487">
                  <c:v>-0.13008521014414742</c:v>
                </c:pt>
                <c:pt idx="488">
                  <c:v>-0.12664606158061154</c:v>
                </c:pt>
                <c:pt idx="489">
                  <c:v>-0.12788299335905465</c:v>
                </c:pt>
                <c:pt idx="490">
                  <c:v>-0.13594249468224856</c:v>
                </c:pt>
                <c:pt idx="491">
                  <c:v>-0.1423002180422486</c:v>
                </c:pt>
                <c:pt idx="492">
                  <c:v>-0.13312294720435383</c:v>
                </c:pt>
                <c:pt idx="493">
                  <c:v>-0.13722478531546495</c:v>
                </c:pt>
                <c:pt idx="494">
                  <c:v>-0.12998221752322611</c:v>
                </c:pt>
                <c:pt idx="495">
                  <c:v>-0.12744609815225838</c:v>
                </c:pt>
                <c:pt idx="496">
                  <c:v>-0.12504807243506091</c:v>
                </c:pt>
                <c:pt idx="497">
                  <c:v>-0.11396285169776191</c:v>
                </c:pt>
                <c:pt idx="498">
                  <c:v>-0.11086248819988957</c:v>
                </c:pt>
                <c:pt idx="499">
                  <c:v>-0.10600372105588957</c:v>
                </c:pt>
                <c:pt idx="500">
                  <c:v>-0.10234600877332825</c:v>
                </c:pt>
                <c:pt idx="501">
                  <c:v>-9.9279219320785886E-2</c:v>
                </c:pt>
                <c:pt idx="502">
                  <c:v>-9.3664238374421005E-2</c:v>
                </c:pt>
                <c:pt idx="503">
                  <c:v>-0.10129883430390818</c:v>
                </c:pt>
                <c:pt idx="504">
                  <c:v>-0.11553105058452356</c:v>
                </c:pt>
                <c:pt idx="505">
                  <c:v>-0.12070517186772141</c:v>
                </c:pt>
                <c:pt idx="506">
                  <c:v>-0.12538993097206921</c:v>
                </c:pt>
                <c:pt idx="507">
                  <c:v>-0.11732596437406592</c:v>
                </c:pt>
                <c:pt idx="508">
                  <c:v>-0.12318511745160439</c:v>
                </c:pt>
                <c:pt idx="509">
                  <c:v>-0.13473314465662869</c:v>
                </c:pt>
                <c:pt idx="510">
                  <c:v>-0.11660035032004332</c:v>
                </c:pt>
                <c:pt idx="511">
                  <c:v>-0.11763059048121083</c:v>
                </c:pt>
                <c:pt idx="512">
                  <c:v>-9.6202194091934021E-2</c:v>
                </c:pt>
                <c:pt idx="513">
                  <c:v>-0.15215674712301269</c:v>
                </c:pt>
                <c:pt idx="514">
                  <c:v>-0.16157511340977332</c:v>
                </c:pt>
                <c:pt idx="515">
                  <c:v>-0.15838281890055672</c:v>
                </c:pt>
                <c:pt idx="516">
                  <c:v>-0.16951086493750586</c:v>
                </c:pt>
                <c:pt idx="517">
                  <c:v>-0.1700113383325059</c:v>
                </c:pt>
                <c:pt idx="518">
                  <c:v>-0.17145676566676279</c:v>
                </c:pt>
                <c:pt idx="519">
                  <c:v>-0.16262350915992518</c:v>
                </c:pt>
                <c:pt idx="520">
                  <c:v>-0.15204164592487698</c:v>
                </c:pt>
                <c:pt idx="521">
                  <c:v>-0.14541258958346281</c:v>
                </c:pt>
                <c:pt idx="522">
                  <c:v>-0.14403254722273409</c:v>
                </c:pt>
                <c:pt idx="523">
                  <c:v>-0.13835156713270638</c:v>
                </c:pt>
                <c:pt idx="524">
                  <c:v>-0.14753986527703628</c:v>
                </c:pt>
                <c:pt idx="525">
                  <c:v>-0.11827452516113671</c:v>
                </c:pt>
                <c:pt idx="526">
                  <c:v>-0.13122147114382601</c:v>
                </c:pt>
                <c:pt idx="527">
                  <c:v>-0.12754658768977195</c:v>
                </c:pt>
                <c:pt idx="528">
                  <c:v>-0.13661823739119183</c:v>
                </c:pt>
                <c:pt idx="529">
                  <c:v>-0.12467569261312726</c:v>
                </c:pt>
                <c:pt idx="530">
                  <c:v>-0.12145041644471152</c:v>
                </c:pt>
                <c:pt idx="531">
                  <c:v>-0.11626486664436905</c:v>
                </c:pt>
                <c:pt idx="532">
                  <c:v>-0.12917477712034026</c:v>
                </c:pt>
                <c:pt idx="533">
                  <c:v>-0.10939766834034029</c:v>
                </c:pt>
                <c:pt idx="534">
                  <c:v>-0.12145465404178123</c:v>
                </c:pt>
                <c:pt idx="535">
                  <c:v>-0.13670465626645412</c:v>
                </c:pt>
                <c:pt idx="536">
                  <c:v>-0.16431347499843793</c:v>
                </c:pt>
                <c:pt idx="537">
                  <c:v>-0.17930914560951972</c:v>
                </c:pt>
                <c:pt idx="538">
                  <c:v>-0.18665787902474815</c:v>
                </c:pt>
                <c:pt idx="539">
                  <c:v>-0.18801857704782513</c:v>
                </c:pt>
                <c:pt idx="540">
                  <c:v>-0.20001992221900414</c:v>
                </c:pt>
                <c:pt idx="541">
                  <c:v>-0.19621584159141792</c:v>
                </c:pt>
                <c:pt idx="542">
                  <c:v>-0.20148963762891789</c:v>
                </c:pt>
                <c:pt idx="543">
                  <c:v>-0.19830443658567468</c:v>
                </c:pt>
                <c:pt idx="544">
                  <c:v>-0.20399185391967467</c:v>
                </c:pt>
                <c:pt idx="545">
                  <c:v>-0.20267714978438062</c:v>
                </c:pt>
                <c:pt idx="546">
                  <c:v>-0.20245536095810321</c:v>
                </c:pt>
                <c:pt idx="547">
                  <c:v>-0.2031347385524957</c:v>
                </c:pt>
                <c:pt idx="548">
                  <c:v>-0.19033759297224878</c:v>
                </c:pt>
                <c:pt idx="549">
                  <c:v>-0.19053852395683377</c:v>
                </c:pt>
                <c:pt idx="550">
                  <c:v>-0.1903424925510746</c:v>
                </c:pt>
                <c:pt idx="551">
                  <c:v>-0.18255769596150936</c:v>
                </c:pt>
                <c:pt idx="552">
                  <c:v>-0.15907757678413381</c:v>
                </c:pt>
                <c:pt idx="553">
                  <c:v>-0.18287305238522866</c:v>
                </c:pt>
                <c:pt idx="554">
                  <c:v>-0.19106547450414763</c:v>
                </c:pt>
                <c:pt idx="555">
                  <c:v>-0.18386897213364953</c:v>
                </c:pt>
                <c:pt idx="556">
                  <c:v>-0.17649507094896483</c:v>
                </c:pt>
                <c:pt idx="557">
                  <c:v>-0.19217762640900712</c:v>
                </c:pt>
                <c:pt idx="558">
                  <c:v>-0.20103336404537084</c:v>
                </c:pt>
                <c:pt idx="559">
                  <c:v>-0.19918196550537087</c:v>
                </c:pt>
                <c:pt idx="560">
                  <c:v>-0.22940206462624993</c:v>
                </c:pt>
                <c:pt idx="561">
                  <c:v>-0.23150491422201711</c:v>
                </c:pt>
                <c:pt idx="562">
                  <c:v>-0.22530196437915997</c:v>
                </c:pt>
                <c:pt idx="563">
                  <c:v>-0.22115342460223686</c:v>
                </c:pt>
                <c:pt idx="564">
                  <c:v>-0.22551191593458983</c:v>
                </c:pt>
                <c:pt idx="565">
                  <c:v>-0.21726654428902023</c:v>
                </c:pt>
                <c:pt idx="566">
                  <c:v>-0.21208913837250651</c:v>
                </c:pt>
                <c:pt idx="567">
                  <c:v>-0.21675884162964937</c:v>
                </c:pt>
                <c:pt idx="568">
                  <c:v>-0.20744437598698273</c:v>
                </c:pt>
                <c:pt idx="569">
                  <c:v>-0.20615731864948272</c:v>
                </c:pt>
                <c:pt idx="570">
                  <c:v>-0.21196165150470661</c:v>
                </c:pt>
                <c:pt idx="571">
                  <c:v>-0.21618824594470662</c:v>
                </c:pt>
                <c:pt idx="572">
                  <c:v>-0.21492443854686488</c:v>
                </c:pt>
                <c:pt idx="573">
                  <c:v>-0.21838787216419819</c:v>
                </c:pt>
                <c:pt idx="574">
                  <c:v>-0.20851641916755392</c:v>
                </c:pt>
                <c:pt idx="575">
                  <c:v>-0.19900322775739132</c:v>
                </c:pt>
                <c:pt idx="576">
                  <c:v>-0.20022401690092076</c:v>
                </c:pt>
                <c:pt idx="577">
                  <c:v>-0.19996152004166151</c:v>
                </c:pt>
                <c:pt idx="578">
                  <c:v>-0.20320886561274584</c:v>
                </c:pt>
                <c:pt idx="579">
                  <c:v>-0.20700655561274584</c:v>
                </c:pt>
                <c:pt idx="580">
                  <c:v>-0.20211425683920631</c:v>
                </c:pt>
                <c:pt idx="581">
                  <c:v>-0.19205616998255889</c:v>
                </c:pt>
                <c:pt idx="582">
                  <c:v>-0.18518121453407402</c:v>
                </c:pt>
                <c:pt idx="583">
                  <c:v>-0.17996983261146865</c:v>
                </c:pt>
                <c:pt idx="584">
                  <c:v>-0.17583050931102026</c:v>
                </c:pt>
                <c:pt idx="585">
                  <c:v>-0.18070094079722715</c:v>
                </c:pt>
                <c:pt idx="586">
                  <c:v>-0.18439386332300037</c:v>
                </c:pt>
                <c:pt idx="587">
                  <c:v>-0.18831288347300038</c:v>
                </c:pt>
                <c:pt idx="588">
                  <c:v>-0.17670606180843343</c:v>
                </c:pt>
                <c:pt idx="589">
                  <c:v>-0.18803334980593345</c:v>
                </c:pt>
                <c:pt idx="590">
                  <c:v>-0.18940471312358051</c:v>
                </c:pt>
                <c:pt idx="591">
                  <c:v>-0.18022934413254604</c:v>
                </c:pt>
                <c:pt idx="592">
                  <c:v>-0.19544344880115072</c:v>
                </c:pt>
                <c:pt idx="593">
                  <c:v>-0.17926576917198403</c:v>
                </c:pt>
                <c:pt idx="594">
                  <c:v>-0.17950261981342555</c:v>
                </c:pt>
                <c:pt idx="595">
                  <c:v>-0.20225508579855569</c:v>
                </c:pt>
                <c:pt idx="596">
                  <c:v>-0.19557428949326158</c:v>
                </c:pt>
                <c:pt idx="597">
                  <c:v>-0.20243048851699039</c:v>
                </c:pt>
                <c:pt idx="598">
                  <c:v>-0.20344058572599039</c:v>
                </c:pt>
                <c:pt idx="599">
                  <c:v>-0.20092970087860082</c:v>
                </c:pt>
                <c:pt idx="600">
                  <c:v>-0.20418824510752645</c:v>
                </c:pt>
                <c:pt idx="601">
                  <c:v>-0.20801722406226331</c:v>
                </c:pt>
                <c:pt idx="602">
                  <c:v>-0.20097087053812537</c:v>
                </c:pt>
                <c:pt idx="603">
                  <c:v>-0.20113743366499101</c:v>
                </c:pt>
                <c:pt idx="604">
                  <c:v>-0.19180647239408194</c:v>
                </c:pt>
                <c:pt idx="605">
                  <c:v>-0.20344684201706331</c:v>
                </c:pt>
                <c:pt idx="606">
                  <c:v>-0.20790199239459142</c:v>
                </c:pt>
                <c:pt idx="607">
                  <c:v>-0.19603370470555029</c:v>
                </c:pt>
                <c:pt idx="608">
                  <c:v>-0.19892031421555023</c:v>
                </c:pt>
                <c:pt idx="609">
                  <c:v>-0.20603674533886629</c:v>
                </c:pt>
                <c:pt idx="610">
                  <c:v>-0.2086164505118393</c:v>
                </c:pt>
                <c:pt idx="611">
                  <c:v>-0.21775908737953167</c:v>
                </c:pt>
                <c:pt idx="612">
                  <c:v>-0.20365247125209807</c:v>
                </c:pt>
                <c:pt idx="613">
                  <c:v>-0.21696031010664349</c:v>
                </c:pt>
                <c:pt idx="614">
                  <c:v>-0.20779377912173783</c:v>
                </c:pt>
                <c:pt idx="615">
                  <c:v>-0.20616729216173785</c:v>
                </c:pt>
                <c:pt idx="616">
                  <c:v>-0.2124159583622903</c:v>
                </c:pt>
                <c:pt idx="617">
                  <c:v>-0.20583858830883578</c:v>
                </c:pt>
                <c:pt idx="618">
                  <c:v>-0.20304851172883576</c:v>
                </c:pt>
                <c:pt idx="619">
                  <c:v>-0.201896664758344</c:v>
                </c:pt>
                <c:pt idx="620">
                  <c:v>-0.19984421157702531</c:v>
                </c:pt>
                <c:pt idx="621">
                  <c:v>-0.20235962367161989</c:v>
                </c:pt>
                <c:pt idx="622">
                  <c:v>-0.20298157756674187</c:v>
                </c:pt>
                <c:pt idx="623">
                  <c:v>-0.19695505582828032</c:v>
                </c:pt>
                <c:pt idx="624">
                  <c:v>-0.18600717198424366</c:v>
                </c:pt>
                <c:pt idx="625">
                  <c:v>-0.19757238772166297</c:v>
                </c:pt>
                <c:pt idx="626">
                  <c:v>-0.19931530220517946</c:v>
                </c:pt>
                <c:pt idx="627">
                  <c:v>-0.19835161739587712</c:v>
                </c:pt>
                <c:pt idx="628">
                  <c:v>-0.19671641944555868</c:v>
                </c:pt>
                <c:pt idx="629">
                  <c:v>-0.18837142204555868</c:v>
                </c:pt>
                <c:pt idx="630">
                  <c:v>-0.1938865067763279</c:v>
                </c:pt>
                <c:pt idx="631">
                  <c:v>-0.19262078939701754</c:v>
                </c:pt>
                <c:pt idx="632">
                  <c:v>-0.18995468018155362</c:v>
                </c:pt>
                <c:pt idx="633">
                  <c:v>-0.18904732856846951</c:v>
                </c:pt>
                <c:pt idx="634">
                  <c:v>-0.18916262516704094</c:v>
                </c:pt>
                <c:pt idx="635">
                  <c:v>-0.1866333843931279</c:v>
                </c:pt>
                <c:pt idx="636">
                  <c:v>-0.1917227166931279</c:v>
                </c:pt>
                <c:pt idx="637">
                  <c:v>-0.19149273556728519</c:v>
                </c:pt>
                <c:pt idx="638">
                  <c:v>-0.18618618060149572</c:v>
                </c:pt>
                <c:pt idx="639">
                  <c:v>-0.18156502311489781</c:v>
                </c:pt>
                <c:pt idx="640">
                  <c:v>-0.18643634793346067</c:v>
                </c:pt>
                <c:pt idx="641">
                  <c:v>-0.18358466999857695</c:v>
                </c:pt>
                <c:pt idx="642">
                  <c:v>-0.18023520842466387</c:v>
                </c:pt>
                <c:pt idx="643">
                  <c:v>-0.1850519066152716</c:v>
                </c:pt>
                <c:pt idx="644">
                  <c:v>-0.18970981684293117</c:v>
                </c:pt>
                <c:pt idx="645">
                  <c:v>-0.19349053766104143</c:v>
                </c:pt>
                <c:pt idx="646">
                  <c:v>-0.19659239161488759</c:v>
                </c:pt>
                <c:pt idx="647">
                  <c:v>-0.19619502851194642</c:v>
                </c:pt>
                <c:pt idx="648">
                  <c:v>-0.18592431531194642</c:v>
                </c:pt>
                <c:pt idx="649">
                  <c:v>-0.18523135393618886</c:v>
                </c:pt>
                <c:pt idx="650">
                  <c:v>-0.18906915027208629</c:v>
                </c:pt>
                <c:pt idx="651">
                  <c:v>-0.18401301054639824</c:v>
                </c:pt>
                <c:pt idx="652">
                  <c:v>-0.18964224508770258</c:v>
                </c:pt>
                <c:pt idx="653">
                  <c:v>-0.18691074286618359</c:v>
                </c:pt>
                <c:pt idx="654">
                  <c:v>-0.18673631052254722</c:v>
                </c:pt>
                <c:pt idx="655">
                  <c:v>-0.19134184611766916</c:v>
                </c:pt>
                <c:pt idx="656">
                  <c:v>-0.18835904422991404</c:v>
                </c:pt>
                <c:pt idx="657">
                  <c:v>-0.18761097710449032</c:v>
                </c:pt>
                <c:pt idx="658">
                  <c:v>-0.1802876507355583</c:v>
                </c:pt>
                <c:pt idx="659">
                  <c:v>-0.18252416637127264</c:v>
                </c:pt>
                <c:pt idx="660">
                  <c:v>-0.1865384023231714</c:v>
                </c:pt>
                <c:pt idx="661">
                  <c:v>-0.18070605277478427</c:v>
                </c:pt>
                <c:pt idx="662">
                  <c:v>-0.1871193947321613</c:v>
                </c:pt>
                <c:pt idx="663">
                  <c:v>-0.18528502495857641</c:v>
                </c:pt>
                <c:pt idx="664">
                  <c:v>-0.18458860653726494</c:v>
                </c:pt>
                <c:pt idx="665">
                  <c:v>-0.18472283525984559</c:v>
                </c:pt>
                <c:pt idx="666">
                  <c:v>-0.17989605964714722</c:v>
                </c:pt>
                <c:pt idx="667">
                  <c:v>-0.19129510357035162</c:v>
                </c:pt>
                <c:pt idx="668">
                  <c:v>-0.18172024575174694</c:v>
                </c:pt>
                <c:pt idx="669">
                  <c:v>-0.18418823769335277</c:v>
                </c:pt>
                <c:pt idx="670">
                  <c:v>-0.18164807849472261</c:v>
                </c:pt>
                <c:pt idx="671">
                  <c:v>-0.18507891240107183</c:v>
                </c:pt>
                <c:pt idx="672">
                  <c:v>-0.17896444635893347</c:v>
                </c:pt>
                <c:pt idx="673">
                  <c:v>-0.1849099325836859</c:v>
                </c:pt>
                <c:pt idx="674">
                  <c:v>-0.1855102495268677</c:v>
                </c:pt>
                <c:pt idx="675">
                  <c:v>-0.18678216750225235</c:v>
                </c:pt>
                <c:pt idx="676">
                  <c:v>-0.1910710083560985</c:v>
                </c:pt>
                <c:pt idx="677">
                  <c:v>-0.18580561978980015</c:v>
                </c:pt>
                <c:pt idx="678">
                  <c:v>-0.1865821513619895</c:v>
                </c:pt>
                <c:pt idx="679">
                  <c:v>-0.18120117018706691</c:v>
                </c:pt>
                <c:pt idx="680">
                  <c:v>-0.18742935617656462</c:v>
                </c:pt>
                <c:pt idx="681">
                  <c:v>-0.19140889837656461</c:v>
                </c:pt>
                <c:pt idx="682">
                  <c:v>-0.19786590778425692</c:v>
                </c:pt>
                <c:pt idx="683">
                  <c:v>-0.19140885772566316</c:v>
                </c:pt>
                <c:pt idx="684">
                  <c:v>-0.18780898810104776</c:v>
                </c:pt>
                <c:pt idx="685">
                  <c:v>-0.18495705736420565</c:v>
                </c:pt>
                <c:pt idx="686">
                  <c:v>-0.19323207294040456</c:v>
                </c:pt>
                <c:pt idx="687">
                  <c:v>-0.17817075529439516</c:v>
                </c:pt>
                <c:pt idx="688">
                  <c:v>-0.17837522781631299</c:v>
                </c:pt>
                <c:pt idx="689">
                  <c:v>-0.17791770502683932</c:v>
                </c:pt>
                <c:pt idx="690">
                  <c:v>-0.18250392991255363</c:v>
                </c:pt>
                <c:pt idx="691">
                  <c:v>-0.17204131657173172</c:v>
                </c:pt>
                <c:pt idx="692">
                  <c:v>-0.16530977703658528</c:v>
                </c:pt>
                <c:pt idx="693">
                  <c:v>-0.16470702992291619</c:v>
                </c:pt>
                <c:pt idx="694">
                  <c:v>-0.1590956131634913</c:v>
                </c:pt>
                <c:pt idx="695">
                  <c:v>-0.16587574995561249</c:v>
                </c:pt>
                <c:pt idx="696">
                  <c:v>-0.16377228212668687</c:v>
                </c:pt>
                <c:pt idx="697">
                  <c:v>-0.16671955613749767</c:v>
                </c:pt>
                <c:pt idx="698">
                  <c:v>-0.16507418375628963</c:v>
                </c:pt>
                <c:pt idx="699">
                  <c:v>-0.1607859497562896</c:v>
                </c:pt>
                <c:pt idx="700">
                  <c:v>-0.16053538670610373</c:v>
                </c:pt>
                <c:pt idx="701">
                  <c:v>-0.15819547898593084</c:v>
                </c:pt>
                <c:pt idx="702">
                  <c:v>-0.15836273640251619</c:v>
                </c:pt>
                <c:pt idx="703">
                  <c:v>-0.15102146691087531</c:v>
                </c:pt>
                <c:pt idx="704">
                  <c:v>-0.14362226385043173</c:v>
                </c:pt>
                <c:pt idx="705">
                  <c:v>-0.15241770007651873</c:v>
                </c:pt>
                <c:pt idx="706">
                  <c:v>-0.14987069038297032</c:v>
                </c:pt>
                <c:pt idx="707">
                  <c:v>-0.15842683042517997</c:v>
                </c:pt>
                <c:pt idx="708">
                  <c:v>-0.16380674521169677</c:v>
                </c:pt>
                <c:pt idx="709">
                  <c:v>-0.15940974625755047</c:v>
                </c:pt>
                <c:pt idx="710">
                  <c:v>-0.16792510852243139</c:v>
                </c:pt>
                <c:pt idx="711">
                  <c:v>-0.17074585328043745</c:v>
                </c:pt>
                <c:pt idx="712">
                  <c:v>-0.17034012067389198</c:v>
                </c:pt>
                <c:pt idx="713">
                  <c:v>-0.16219887851946158</c:v>
                </c:pt>
                <c:pt idx="714">
                  <c:v>-0.16974111937660444</c:v>
                </c:pt>
                <c:pt idx="715">
                  <c:v>-0.17465079964911753</c:v>
                </c:pt>
                <c:pt idx="716">
                  <c:v>-0.18813635070711754</c:v>
                </c:pt>
                <c:pt idx="717">
                  <c:v>-0.20015683337105197</c:v>
                </c:pt>
                <c:pt idx="718">
                  <c:v>-0.18129737696154039</c:v>
                </c:pt>
                <c:pt idx="719">
                  <c:v>-0.1946243002840535</c:v>
                </c:pt>
                <c:pt idx="720">
                  <c:v>-0.18924430598025599</c:v>
                </c:pt>
                <c:pt idx="721">
                  <c:v>-0.18906486614223941</c:v>
                </c:pt>
                <c:pt idx="722">
                  <c:v>-0.16693045002849904</c:v>
                </c:pt>
                <c:pt idx="723">
                  <c:v>-0.15828344267756209</c:v>
                </c:pt>
                <c:pt idx="724">
                  <c:v>-0.19218144805507215</c:v>
                </c:pt>
                <c:pt idx="725">
                  <c:v>-0.20425804749000365</c:v>
                </c:pt>
                <c:pt idx="726">
                  <c:v>-0.21164678063428935</c:v>
                </c:pt>
                <c:pt idx="727">
                  <c:v>-0.20664068231687194</c:v>
                </c:pt>
                <c:pt idx="728">
                  <c:v>-0.22300395047589197</c:v>
                </c:pt>
                <c:pt idx="729">
                  <c:v>-0.2201523817070031</c:v>
                </c:pt>
                <c:pt idx="730">
                  <c:v>-0.22281977205063946</c:v>
                </c:pt>
                <c:pt idx="731">
                  <c:v>-0.21951575123887479</c:v>
                </c:pt>
                <c:pt idx="732">
                  <c:v>-0.20763815053887477</c:v>
                </c:pt>
                <c:pt idx="733">
                  <c:v>-0.2012385778674462</c:v>
                </c:pt>
                <c:pt idx="734">
                  <c:v>-0.20368757866152903</c:v>
                </c:pt>
                <c:pt idx="735">
                  <c:v>-0.21234922675685611</c:v>
                </c:pt>
                <c:pt idx="736">
                  <c:v>-0.21355006981606661</c:v>
                </c:pt>
                <c:pt idx="737">
                  <c:v>-0.21140721862375894</c:v>
                </c:pt>
                <c:pt idx="738">
                  <c:v>-0.21246518803975895</c:v>
                </c:pt>
                <c:pt idx="739">
                  <c:v>-0.21866865810475894</c:v>
                </c:pt>
                <c:pt idx="740">
                  <c:v>-0.21254895385587003</c:v>
                </c:pt>
                <c:pt idx="741">
                  <c:v>-0.21352856003558021</c:v>
                </c:pt>
                <c:pt idx="742">
                  <c:v>-0.22350615595971815</c:v>
                </c:pt>
                <c:pt idx="743">
                  <c:v>-0.22850260594448638</c:v>
                </c:pt>
                <c:pt idx="744">
                  <c:v>-0.24602609724289906</c:v>
                </c:pt>
                <c:pt idx="745">
                  <c:v>-0.25832930094101225</c:v>
                </c:pt>
                <c:pt idx="746">
                  <c:v>-0.26156031439767896</c:v>
                </c:pt>
                <c:pt idx="747">
                  <c:v>-0.25926204281735116</c:v>
                </c:pt>
                <c:pt idx="748">
                  <c:v>-0.2552883050541932</c:v>
                </c:pt>
                <c:pt idx="749">
                  <c:v>-0.25924261444678581</c:v>
                </c:pt>
                <c:pt idx="750">
                  <c:v>-0.25569185444308207</c:v>
                </c:pt>
                <c:pt idx="751">
                  <c:v>-0.2615819677193979</c:v>
                </c:pt>
                <c:pt idx="752">
                  <c:v>-0.24944853764796932</c:v>
                </c:pt>
                <c:pt idx="753">
                  <c:v>-0.25211323323330265</c:v>
                </c:pt>
                <c:pt idx="754">
                  <c:v>-0.24856649206117148</c:v>
                </c:pt>
                <c:pt idx="755">
                  <c:v>-0.24792950774853992</c:v>
                </c:pt>
                <c:pt idx="756">
                  <c:v>-0.24705557265801359</c:v>
                </c:pt>
                <c:pt idx="757">
                  <c:v>-0.24372230483837071</c:v>
                </c:pt>
                <c:pt idx="758">
                  <c:v>-0.24186251169719425</c:v>
                </c:pt>
                <c:pt idx="759">
                  <c:v>-0.22381240751755357</c:v>
                </c:pt>
                <c:pt idx="760">
                  <c:v>-0.22454420783755358</c:v>
                </c:pt>
                <c:pt idx="761">
                  <c:v>-0.22391297463755358</c:v>
                </c:pt>
                <c:pt idx="762">
                  <c:v>-0.21883786668755356</c:v>
                </c:pt>
                <c:pt idx="763">
                  <c:v>-0.2185506032513834</c:v>
                </c:pt>
                <c:pt idx="764">
                  <c:v>-0.21623613785805007</c:v>
                </c:pt>
                <c:pt idx="765">
                  <c:v>-0.21811238480249448</c:v>
                </c:pt>
                <c:pt idx="766">
                  <c:v>-0.21582796212507518</c:v>
                </c:pt>
                <c:pt idx="767">
                  <c:v>-0.21534727764325701</c:v>
                </c:pt>
                <c:pt idx="768">
                  <c:v>-0.21484869666325707</c:v>
                </c:pt>
                <c:pt idx="769">
                  <c:v>-0.20879462857864167</c:v>
                </c:pt>
                <c:pt idx="770">
                  <c:v>-0.2000746486022637</c:v>
                </c:pt>
                <c:pt idx="771">
                  <c:v>-0.19060774883083514</c:v>
                </c:pt>
                <c:pt idx="772">
                  <c:v>-0.20325617209192112</c:v>
                </c:pt>
                <c:pt idx="773">
                  <c:v>-0.20413169009612281</c:v>
                </c:pt>
                <c:pt idx="774">
                  <c:v>-0.19994330898015644</c:v>
                </c:pt>
                <c:pt idx="775">
                  <c:v>-0.20051731023167157</c:v>
                </c:pt>
                <c:pt idx="776">
                  <c:v>-0.1999052052995961</c:v>
                </c:pt>
                <c:pt idx="777">
                  <c:v>-0.2010593491847025</c:v>
                </c:pt>
                <c:pt idx="778">
                  <c:v>-0.2032478373211731</c:v>
                </c:pt>
                <c:pt idx="779">
                  <c:v>-0.20295567819553206</c:v>
                </c:pt>
                <c:pt idx="780">
                  <c:v>-0.201365242433237</c:v>
                </c:pt>
                <c:pt idx="781">
                  <c:v>-0.19882525157063538</c:v>
                </c:pt>
                <c:pt idx="782">
                  <c:v>-0.19980125593110049</c:v>
                </c:pt>
                <c:pt idx="783">
                  <c:v>-0.1979500618944032</c:v>
                </c:pt>
                <c:pt idx="784">
                  <c:v>-0.19920024781440321</c:v>
                </c:pt>
                <c:pt idx="785">
                  <c:v>-0.20288781366202227</c:v>
                </c:pt>
                <c:pt idx="786">
                  <c:v>-0.19957657401118428</c:v>
                </c:pt>
                <c:pt idx="787">
                  <c:v>-0.19758267646580616</c:v>
                </c:pt>
                <c:pt idx="788">
                  <c:v>-0.19882303441770485</c:v>
                </c:pt>
                <c:pt idx="789">
                  <c:v>-0.19502244297632554</c:v>
                </c:pt>
                <c:pt idx="790">
                  <c:v>-0.19369457791786401</c:v>
                </c:pt>
                <c:pt idx="791">
                  <c:v>-0.19338811156562521</c:v>
                </c:pt>
                <c:pt idx="792">
                  <c:v>-0.19336140990921499</c:v>
                </c:pt>
                <c:pt idx="793">
                  <c:v>-0.19626022848277433</c:v>
                </c:pt>
                <c:pt idx="794">
                  <c:v>-0.19904357860325625</c:v>
                </c:pt>
                <c:pt idx="795">
                  <c:v>-0.20174537591214511</c:v>
                </c:pt>
                <c:pt idx="796">
                  <c:v>-0.19847607485393617</c:v>
                </c:pt>
                <c:pt idx="797">
                  <c:v>-0.20003983073882825</c:v>
                </c:pt>
                <c:pt idx="798">
                  <c:v>-0.19996206603366856</c:v>
                </c:pt>
                <c:pt idx="799">
                  <c:v>-0.19431114312816855</c:v>
                </c:pt>
                <c:pt idx="800">
                  <c:v>-0.19377331887486457</c:v>
                </c:pt>
                <c:pt idx="801">
                  <c:v>-0.19720190413600203</c:v>
                </c:pt>
                <c:pt idx="802">
                  <c:v>-0.18673805476899949</c:v>
                </c:pt>
                <c:pt idx="803">
                  <c:v>-0.2001196306734771</c:v>
                </c:pt>
                <c:pt idx="804">
                  <c:v>-0.20282322681706683</c:v>
                </c:pt>
                <c:pt idx="805">
                  <c:v>-0.20221723718070317</c:v>
                </c:pt>
                <c:pt idx="806">
                  <c:v>-0.20017839481429095</c:v>
                </c:pt>
                <c:pt idx="807">
                  <c:v>-0.20205985701253656</c:v>
                </c:pt>
                <c:pt idx="808">
                  <c:v>-0.20294313686053655</c:v>
                </c:pt>
                <c:pt idx="809">
                  <c:v>-0.20360127942720321</c:v>
                </c:pt>
                <c:pt idx="810">
                  <c:v>-0.20459004544004727</c:v>
                </c:pt>
                <c:pt idx="811">
                  <c:v>-0.20394058157048206</c:v>
                </c:pt>
                <c:pt idx="812">
                  <c:v>-0.20386222407090049</c:v>
                </c:pt>
                <c:pt idx="813">
                  <c:v>-0.20169537833913581</c:v>
                </c:pt>
                <c:pt idx="814">
                  <c:v>-0.19842194568160154</c:v>
                </c:pt>
                <c:pt idx="815">
                  <c:v>-0.20148787890160152</c:v>
                </c:pt>
                <c:pt idx="816">
                  <c:v>-0.20307479695874436</c:v>
                </c:pt>
                <c:pt idx="817">
                  <c:v>-0.20218582327277945</c:v>
                </c:pt>
                <c:pt idx="818">
                  <c:v>-0.20257151918047181</c:v>
                </c:pt>
                <c:pt idx="819">
                  <c:v>-0.20263585199223649</c:v>
                </c:pt>
                <c:pt idx="820">
                  <c:v>-0.20535276892371798</c:v>
                </c:pt>
                <c:pt idx="821">
                  <c:v>-0.20854458829439862</c:v>
                </c:pt>
                <c:pt idx="822">
                  <c:v>-0.21264102072028093</c:v>
                </c:pt>
                <c:pt idx="823">
                  <c:v>-0.20362850389821971</c:v>
                </c:pt>
                <c:pt idx="824">
                  <c:v>-0.20751058129285574</c:v>
                </c:pt>
                <c:pt idx="825">
                  <c:v>-0.20321270698296562</c:v>
                </c:pt>
                <c:pt idx="826">
                  <c:v>-0.20556774700383518</c:v>
                </c:pt>
                <c:pt idx="827">
                  <c:v>-0.20652903171464601</c:v>
                </c:pt>
                <c:pt idx="828">
                  <c:v>-0.20481418398770873</c:v>
                </c:pt>
                <c:pt idx="829">
                  <c:v>-0.20352558381043601</c:v>
                </c:pt>
                <c:pt idx="830">
                  <c:v>-0.20591804285412529</c:v>
                </c:pt>
                <c:pt idx="831">
                  <c:v>-0.20814892328923981</c:v>
                </c:pt>
                <c:pt idx="832">
                  <c:v>-0.20848903196111482</c:v>
                </c:pt>
                <c:pt idx="833">
                  <c:v>-0.2077409967747148</c:v>
                </c:pt>
                <c:pt idx="834">
                  <c:v>-0.20973326491338148</c:v>
                </c:pt>
                <c:pt idx="835">
                  <c:v>-0.20935664222623065</c:v>
                </c:pt>
                <c:pt idx="836">
                  <c:v>-0.20563268171341015</c:v>
                </c:pt>
                <c:pt idx="837">
                  <c:v>-0.20725461430930056</c:v>
                </c:pt>
                <c:pt idx="838">
                  <c:v>-0.20894712241166274</c:v>
                </c:pt>
                <c:pt idx="839">
                  <c:v>-0.20676684599166273</c:v>
                </c:pt>
                <c:pt idx="840">
                  <c:v>-0.20329977267267541</c:v>
                </c:pt>
                <c:pt idx="841">
                  <c:v>-0.19775947615858147</c:v>
                </c:pt>
                <c:pt idx="842">
                  <c:v>-0.20884526061458145</c:v>
                </c:pt>
                <c:pt idx="843">
                  <c:v>-0.21250232061458144</c:v>
                </c:pt>
                <c:pt idx="844">
                  <c:v>-0.21443421664874293</c:v>
                </c:pt>
                <c:pt idx="845">
                  <c:v>-0.21209248180831738</c:v>
                </c:pt>
                <c:pt idx="846">
                  <c:v>-0.21086445927584985</c:v>
                </c:pt>
                <c:pt idx="847">
                  <c:v>-0.21045006509584982</c:v>
                </c:pt>
                <c:pt idx="848">
                  <c:v>-0.21612872570223279</c:v>
                </c:pt>
                <c:pt idx="849">
                  <c:v>-0.21927228036602592</c:v>
                </c:pt>
                <c:pt idx="850">
                  <c:v>-0.21681247041489807</c:v>
                </c:pt>
                <c:pt idx="851">
                  <c:v>-0.22218027401489807</c:v>
                </c:pt>
                <c:pt idx="852">
                  <c:v>-0.22203202516156473</c:v>
                </c:pt>
                <c:pt idx="853">
                  <c:v>-0.22214281803898411</c:v>
                </c:pt>
                <c:pt idx="854">
                  <c:v>-0.22631900850666081</c:v>
                </c:pt>
                <c:pt idx="855">
                  <c:v>-0.22414835089862065</c:v>
                </c:pt>
                <c:pt idx="856">
                  <c:v>-0.22383148190973173</c:v>
                </c:pt>
                <c:pt idx="857">
                  <c:v>-0.21122538852905379</c:v>
                </c:pt>
                <c:pt idx="858">
                  <c:v>-0.2042593993325936</c:v>
                </c:pt>
                <c:pt idx="859">
                  <c:v>-0.19877586249533868</c:v>
                </c:pt>
                <c:pt idx="860">
                  <c:v>-0.19965401862391013</c:v>
                </c:pt>
                <c:pt idx="861">
                  <c:v>-0.19875523674287565</c:v>
                </c:pt>
                <c:pt idx="862">
                  <c:v>-0.2005250169095423</c:v>
                </c:pt>
                <c:pt idx="863">
                  <c:v>-0.20543415865769046</c:v>
                </c:pt>
                <c:pt idx="864">
                  <c:v>-0.20625254974102381</c:v>
                </c:pt>
                <c:pt idx="865">
                  <c:v>-0.20762855617297646</c:v>
                </c:pt>
                <c:pt idx="866">
                  <c:v>-0.20489804750918336</c:v>
                </c:pt>
                <c:pt idx="867">
                  <c:v>-0.20406600268267736</c:v>
                </c:pt>
                <c:pt idx="868">
                  <c:v>-0.19008493772223781</c:v>
                </c:pt>
                <c:pt idx="869">
                  <c:v>-0.20090021716765266</c:v>
                </c:pt>
                <c:pt idx="870">
                  <c:v>-0.19116503866929199</c:v>
                </c:pt>
                <c:pt idx="871">
                  <c:v>-0.18107172122599302</c:v>
                </c:pt>
                <c:pt idx="872">
                  <c:v>-0.17221401835048283</c:v>
                </c:pt>
                <c:pt idx="873">
                  <c:v>-0.16011876729593733</c:v>
                </c:pt>
                <c:pt idx="874">
                  <c:v>-0.14283143232013087</c:v>
                </c:pt>
                <c:pt idx="875">
                  <c:v>-0.13616549947245965</c:v>
                </c:pt>
                <c:pt idx="876">
                  <c:v>-0.11790253327354069</c:v>
                </c:pt>
                <c:pt idx="877">
                  <c:v>-9.1654151101306411E-2</c:v>
                </c:pt>
                <c:pt idx="878">
                  <c:v>-5.7440909671073875E-2</c:v>
                </c:pt>
                <c:pt idx="879">
                  <c:v>-1.8902824731352665E-2</c:v>
                </c:pt>
                <c:pt idx="880">
                  <c:v>-4.5141565777196697E-2</c:v>
                </c:pt>
                <c:pt idx="881">
                  <c:v>-1.0199739876295775E-2</c:v>
                </c:pt>
                <c:pt idx="882">
                  <c:v>-3.9368542840125524E-2</c:v>
                </c:pt>
                <c:pt idx="883">
                  <c:v>-2.735745158590016E-2</c:v>
                </c:pt>
                <c:pt idx="884">
                  <c:v>-2.2665653357142909E-3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38-4E6C-A384-74988A765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2263679"/>
        <c:axId val="322247455"/>
      </c:lineChart>
      <c:dateAx>
        <c:axId val="3222636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47455"/>
        <c:crosses val="autoZero"/>
        <c:auto val="1"/>
        <c:lblOffset val="100"/>
        <c:baseTimeUnit val="days"/>
      </c:dateAx>
      <c:valAx>
        <c:axId val="32224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26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118E46-1412-4BF8-B7F8-533E2BFE97D9}">
  <sheetPr codeName="Chart1"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A2BB1D4-7B40-4983-996D-0ADF3E18E95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2.6349999999999998</v>
      </c>
      <c r="D2" s="4">
        <f>MIN(D3:D1912)</f>
        <v>6.9800000000000001E-2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8</v>
      </c>
      <c r="M4" t="s">
        <v>7</v>
      </c>
      <c r="N4" t="s">
        <v>7</v>
      </c>
    </row>
    <row r="5" spans="1:20" x14ac:dyDescent="0.25">
      <c r="A5" s="5">
        <v>44588</v>
      </c>
      <c r="B5">
        <v>0.41170000000000001</v>
      </c>
      <c r="C5">
        <v>0.4168</v>
      </c>
      <c r="D5">
        <v>0.40260000000000001</v>
      </c>
      <c r="E5">
        <v>0.4032</v>
      </c>
      <c r="F5">
        <v>64266</v>
      </c>
      <c r="G5">
        <v>0.4032</v>
      </c>
      <c r="L5" t="s">
        <v>8</v>
      </c>
      <c r="M5" t="s">
        <v>7</v>
      </c>
      <c r="N5" t="s">
        <v>7</v>
      </c>
      <c r="P5">
        <f t="shared" ref="P5" si="0">IF(C5=D5,0,((E5-D5)-(C5-E5))/(C5-D5))</f>
        <v>-0.91549295774648032</v>
      </c>
      <c r="Q5">
        <f t="shared" ref="Q5" si="1">F5*P5</f>
        <v>-58835.070422535304</v>
      </c>
      <c r="R5">
        <f t="shared" ref="R5" si="2">R6+Q5</f>
        <v>-21804408.630347203</v>
      </c>
      <c r="S5">
        <f t="shared" ref="S5" si="3">R5/100000</f>
        <v>-218.04408630347203</v>
      </c>
      <c r="T5">
        <f t="shared" ref="T5" si="4">S5/1000</f>
        <v>-0.21804408630347202</v>
      </c>
    </row>
    <row r="6" spans="1:20" x14ac:dyDescent="0.25">
      <c r="A6" s="5">
        <v>44587</v>
      </c>
      <c r="B6">
        <v>0.39610000000000001</v>
      </c>
      <c r="C6">
        <v>0.43409999999999999</v>
      </c>
      <c r="D6">
        <v>0.39119999999999999</v>
      </c>
      <c r="E6">
        <v>0.41160000000000002</v>
      </c>
      <c r="F6">
        <v>2193877</v>
      </c>
      <c r="G6">
        <v>0.41160000000000002</v>
      </c>
      <c r="L6" t="s">
        <v>8</v>
      </c>
      <c r="M6" t="s">
        <v>7</v>
      </c>
      <c r="N6" t="s">
        <v>7</v>
      </c>
      <c r="P6">
        <f t="shared" ref="P6" si="5">IF(C6=D6,0,((E6-D6)-(C6-E6))/(C6-D6))</f>
        <v>-4.8951048951047446E-2</v>
      </c>
      <c r="Q6">
        <f t="shared" ref="Q6" si="6">F6*P6</f>
        <v>-107392.58041957712</v>
      </c>
      <c r="R6">
        <f t="shared" ref="R6" si="7">R7+Q6</f>
        <v>-21745573.55992467</v>
      </c>
      <c r="S6">
        <f t="shared" ref="S6" si="8">R6/100000</f>
        <v>-217.45573559924671</v>
      </c>
      <c r="T6">
        <f t="shared" ref="T6" si="9">S6/1000</f>
        <v>-0.21745573559924672</v>
      </c>
    </row>
    <row r="7" spans="1:20" x14ac:dyDescent="0.25">
      <c r="A7" s="5">
        <v>44586</v>
      </c>
      <c r="B7">
        <v>0.39700000000000002</v>
      </c>
      <c r="C7">
        <v>0.40429999999999999</v>
      </c>
      <c r="D7">
        <v>0.38550000000000001</v>
      </c>
      <c r="E7">
        <v>0.3962</v>
      </c>
      <c r="F7">
        <v>1310961</v>
      </c>
      <c r="G7">
        <v>0.3962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0.13829787234042518</v>
      </c>
      <c r="Q7">
        <f t="shared" ref="Q7" si="11">F7*P7</f>
        <v>181303.11702127612</v>
      </c>
      <c r="R7">
        <f t="shared" ref="R7" si="12">R8+Q7</f>
        <v>-21638180.979505092</v>
      </c>
      <c r="S7">
        <f t="shared" ref="S7" si="13">R7/100000</f>
        <v>-216.38180979505091</v>
      </c>
      <c r="T7">
        <f t="shared" ref="T7" si="14">S7/1000</f>
        <v>-0.21638180979505092</v>
      </c>
    </row>
    <row r="8" spans="1:20" x14ac:dyDescent="0.25">
      <c r="A8" s="5">
        <v>44585</v>
      </c>
      <c r="B8">
        <v>0.41</v>
      </c>
      <c r="C8">
        <v>0.41160000000000002</v>
      </c>
      <c r="D8">
        <v>0.37059999999999998</v>
      </c>
      <c r="E8">
        <v>0.3982</v>
      </c>
      <c r="F8">
        <v>1945366.58</v>
      </c>
      <c r="G8">
        <v>0.3982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0.34634146341463362</v>
      </c>
      <c r="Q8">
        <f t="shared" ref="Q8" si="16">F8*P8</f>
        <v>673761.10819512093</v>
      </c>
      <c r="R8">
        <f t="shared" ref="R8" si="17">R9+Q8</f>
        <v>-21819484.096526369</v>
      </c>
      <c r="S8">
        <f t="shared" ref="S8" si="18">R8/100000</f>
        <v>-218.19484096526369</v>
      </c>
      <c r="T8">
        <f t="shared" ref="T8" si="19">S8/1000</f>
        <v>-0.2181948409652637</v>
      </c>
    </row>
    <row r="9" spans="1:20" x14ac:dyDescent="0.25">
      <c r="A9" s="5">
        <v>44584</v>
      </c>
      <c r="B9">
        <v>0.41239999999999999</v>
      </c>
      <c r="C9">
        <v>0.4274</v>
      </c>
      <c r="D9">
        <v>0.38929999999999998</v>
      </c>
      <c r="E9">
        <v>0.41</v>
      </c>
      <c r="F9">
        <v>2243350</v>
      </c>
      <c r="G9">
        <v>0.41</v>
      </c>
      <c r="L9" t="s">
        <v>8</v>
      </c>
      <c r="M9" t="s">
        <v>7</v>
      </c>
      <c r="N9" t="s">
        <v>7</v>
      </c>
      <c r="P9">
        <f t="shared" ref="P9" si="20">IF(C9=D9,0,((E9-D9)-(C9-E9))/(C9-D9))</f>
        <v>8.6614173228345609E-2</v>
      </c>
      <c r="Q9">
        <f t="shared" ref="Q9" si="21">F9*P9</f>
        <v>194305.90551180913</v>
      </c>
      <c r="R9">
        <f t="shared" ref="R9" si="22">R10+Q9</f>
        <v>-22493245.204721492</v>
      </c>
      <c r="S9">
        <f t="shared" ref="S9" si="23">R9/100000</f>
        <v>-224.93245204721492</v>
      </c>
      <c r="T9">
        <f t="shared" ref="T9" si="24">S9/1000</f>
        <v>-0.22493245204721493</v>
      </c>
    </row>
    <row r="10" spans="1:20" x14ac:dyDescent="0.25">
      <c r="A10" s="5">
        <v>44583</v>
      </c>
      <c r="B10">
        <v>0.43509999999999999</v>
      </c>
      <c r="C10">
        <v>0.4551</v>
      </c>
      <c r="D10">
        <v>0.38030000000000003</v>
      </c>
      <c r="E10">
        <v>0.41220000000000001</v>
      </c>
      <c r="F10">
        <v>4565768.97</v>
      </c>
      <c r="G10">
        <v>0.41220000000000001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-0.14705882352941194</v>
      </c>
      <c r="Q10">
        <f t="shared" ref="Q10" si="26">F10*P10</f>
        <v>-671436.61323529482</v>
      </c>
      <c r="R10">
        <f t="shared" ref="R10" si="27">R11+Q10</f>
        <v>-22687551.110233299</v>
      </c>
      <c r="S10">
        <f t="shared" ref="S10" si="28">R10/100000</f>
        <v>-226.87551110233301</v>
      </c>
      <c r="T10">
        <f t="shared" ref="T10" si="29">S10/1000</f>
        <v>-0.22687551110233301</v>
      </c>
    </row>
    <row r="11" spans="1:20" x14ac:dyDescent="0.25">
      <c r="A11" s="5">
        <v>44582</v>
      </c>
      <c r="B11">
        <v>0.52769999999999995</v>
      </c>
      <c r="C11">
        <v>0.52800000000000002</v>
      </c>
      <c r="D11">
        <v>0.43090000000000001</v>
      </c>
      <c r="E11">
        <v>0.43509999999999999</v>
      </c>
      <c r="F11">
        <v>3072397.34</v>
      </c>
      <c r="G11">
        <v>0.43509999999999999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-0.91349124613800248</v>
      </c>
      <c r="Q11">
        <f t="shared" ref="Q11" si="31">F11*P11</f>
        <v>-2806608.0747476839</v>
      </c>
      <c r="R11">
        <f t="shared" ref="R11" si="32">R12+Q11</f>
        <v>-22016114.496998005</v>
      </c>
      <c r="S11">
        <f t="shared" ref="S11" si="33">R11/100000</f>
        <v>-220.16114496998006</v>
      </c>
      <c r="T11">
        <f t="shared" ref="T11" si="34">S11/1000</f>
        <v>-0.22016114496998004</v>
      </c>
    </row>
    <row r="12" spans="1:20" x14ac:dyDescent="0.25">
      <c r="A12" s="5">
        <v>44581</v>
      </c>
      <c r="B12">
        <v>0.54420000000000002</v>
      </c>
      <c r="C12">
        <v>0.5595</v>
      </c>
      <c r="D12">
        <v>0.5252</v>
      </c>
      <c r="E12">
        <v>0.52839999999999998</v>
      </c>
      <c r="F12">
        <v>1700043</v>
      </c>
      <c r="G12">
        <v>0.52839999999999998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-0.81341107871720231</v>
      </c>
      <c r="Q12">
        <f t="shared" ref="Q12" si="36">F12*P12</f>
        <v>-1382833.8104956287</v>
      </c>
      <c r="R12">
        <f t="shared" ref="R12" si="37">R13+Q12</f>
        <v>-19209506.422250319</v>
      </c>
      <c r="S12">
        <f t="shared" ref="S12" si="38">R12/100000</f>
        <v>-192.0950642225032</v>
      </c>
      <c r="T12">
        <f t="shared" ref="T12" si="39">S12/1000</f>
        <v>-0.19209506422250319</v>
      </c>
    </row>
    <row r="13" spans="1:20" x14ac:dyDescent="0.25">
      <c r="A13" s="5">
        <v>44580</v>
      </c>
      <c r="B13">
        <v>0.54110000000000003</v>
      </c>
      <c r="C13">
        <v>0.56999999999999995</v>
      </c>
      <c r="D13">
        <v>0.51670000000000005</v>
      </c>
      <c r="E13">
        <v>0.54369999999999996</v>
      </c>
      <c r="F13">
        <v>1835247</v>
      </c>
      <c r="G13">
        <v>0.54369999999999996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1.3133208255158051E-2</v>
      </c>
      <c r="Q13">
        <f t="shared" ref="Q13" si="41">F13*P13</f>
        <v>24102.68105065405</v>
      </c>
      <c r="R13">
        <f t="shared" ref="R13" si="42">R14+Q13</f>
        <v>-17826672.611754689</v>
      </c>
      <c r="S13">
        <f t="shared" ref="S13" si="43">R13/100000</f>
        <v>-178.26672611754688</v>
      </c>
      <c r="T13">
        <f t="shared" ref="T13" si="44">S13/1000</f>
        <v>-0.17826672611754688</v>
      </c>
    </row>
    <row r="14" spans="1:20" x14ac:dyDescent="0.25">
      <c r="A14" s="5">
        <v>44579</v>
      </c>
      <c r="B14">
        <v>0.54520000000000002</v>
      </c>
      <c r="C14">
        <v>0.55230000000000001</v>
      </c>
      <c r="D14">
        <v>0.52659999999999996</v>
      </c>
      <c r="E14">
        <v>0.54100000000000004</v>
      </c>
      <c r="F14">
        <v>821987</v>
      </c>
      <c r="G14">
        <v>0.54100000000000004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0.12062256809338895</v>
      </c>
      <c r="Q14">
        <f t="shared" ref="Q14" si="46">F14*P14</f>
        <v>99150.182879380503</v>
      </c>
      <c r="R14">
        <f t="shared" ref="R14" si="47">R15+Q14</f>
        <v>-17850775.292805344</v>
      </c>
      <c r="S14">
        <f t="shared" ref="S14" si="48">R14/100000</f>
        <v>-178.50775292805343</v>
      </c>
      <c r="T14">
        <f t="shared" ref="T14" si="49">S14/1000</f>
        <v>-0.17850775292805343</v>
      </c>
    </row>
    <row r="15" spans="1:20" x14ac:dyDescent="0.25">
      <c r="A15" s="5">
        <v>44578</v>
      </c>
      <c r="B15">
        <v>0.56259999999999999</v>
      </c>
      <c r="C15">
        <v>0.56559999999999999</v>
      </c>
      <c r="D15">
        <v>0.5403</v>
      </c>
      <c r="E15">
        <v>0.54469999999999996</v>
      </c>
      <c r="F15">
        <v>771749</v>
      </c>
      <c r="G15">
        <v>0.54469999999999996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-0.65217391304348127</v>
      </c>
      <c r="Q15">
        <f t="shared" ref="Q15" si="51">F15*P15</f>
        <v>-503314.56521739363</v>
      </c>
      <c r="R15">
        <f t="shared" ref="R15" si="52">R16+Q15</f>
        <v>-17949925.475684725</v>
      </c>
      <c r="S15">
        <f t="shared" ref="S15" si="53">R15/100000</f>
        <v>-179.49925475684725</v>
      </c>
      <c r="T15">
        <f t="shared" ref="T15" si="54">S15/1000</f>
        <v>-0.17949925475684725</v>
      </c>
    </row>
    <row r="16" spans="1:20" x14ac:dyDescent="0.25">
      <c r="A16" s="5">
        <v>44577</v>
      </c>
      <c r="B16">
        <v>0.57569999999999999</v>
      </c>
      <c r="C16">
        <v>0.57999999999999996</v>
      </c>
      <c r="D16">
        <v>0.55910000000000004</v>
      </c>
      <c r="E16">
        <v>0.56269999999999998</v>
      </c>
      <c r="F16">
        <v>1214295</v>
      </c>
      <c r="G16">
        <v>0.56269999999999998</v>
      </c>
      <c r="L16" t="s">
        <v>7</v>
      </c>
      <c r="M16" t="s">
        <v>7</v>
      </c>
      <c r="N16" t="s">
        <v>7</v>
      </c>
      <c r="P16">
        <f t="shared" ref="P16" si="55">IF(C16=D16,0,((E16-D16)-(C16-E16))/(C16-D16))</f>
        <v>-0.65550239234450236</v>
      </c>
      <c r="Q16">
        <f t="shared" ref="Q16" si="56">F16*P16</f>
        <v>-795973.27751196746</v>
      </c>
      <c r="R16">
        <f t="shared" ref="R16" si="57">R17+Q16</f>
        <v>-17446610.91046733</v>
      </c>
      <c r="S16">
        <f t="shared" ref="S16" si="58">R16/100000</f>
        <v>-174.46610910467331</v>
      </c>
      <c r="T16">
        <f t="shared" ref="T16" si="59">S16/1000</f>
        <v>-0.17446610910467331</v>
      </c>
    </row>
    <row r="17" spans="1:20" x14ac:dyDescent="0.25">
      <c r="A17" s="5">
        <v>44576</v>
      </c>
      <c r="B17">
        <v>0.5756</v>
      </c>
      <c r="C17">
        <v>0.59</v>
      </c>
      <c r="D17">
        <v>0.56999999999999995</v>
      </c>
      <c r="E17">
        <v>0.57669999999999999</v>
      </c>
      <c r="F17">
        <v>1004347</v>
      </c>
      <c r="G17">
        <v>0.57669999999999999</v>
      </c>
      <c r="L17" t="s">
        <v>7</v>
      </c>
      <c r="M17" t="s">
        <v>7</v>
      </c>
      <c r="N17" t="s">
        <v>7</v>
      </c>
      <c r="P17">
        <f t="shared" ref="P17" si="60">IF(C17=D17,0,((E17-D17)-(C17-E17))/(C17-D17))</f>
        <v>-0.32999999999999668</v>
      </c>
      <c r="Q17">
        <f t="shared" ref="Q17" si="61">F17*P17</f>
        <v>-331434.50999999669</v>
      </c>
      <c r="R17">
        <f t="shared" ref="R17" si="62">R18+Q17</f>
        <v>-16650637.632955363</v>
      </c>
      <c r="S17">
        <f t="shared" ref="S17" si="63">R17/100000</f>
        <v>-166.50637632955363</v>
      </c>
      <c r="T17">
        <f t="shared" ref="T17" si="64">S17/1000</f>
        <v>-0.16650637632955362</v>
      </c>
    </row>
    <row r="18" spans="1:20" x14ac:dyDescent="0.25">
      <c r="A18" s="5">
        <v>44575</v>
      </c>
      <c r="B18">
        <v>0.57799999999999996</v>
      </c>
      <c r="C18">
        <v>0.58409999999999995</v>
      </c>
      <c r="D18">
        <v>0.55579999999999996</v>
      </c>
      <c r="E18">
        <v>0.57589999999999997</v>
      </c>
      <c r="F18">
        <v>1289954</v>
      </c>
      <c r="G18">
        <v>0.57589999999999997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0.42049469964664399</v>
      </c>
      <c r="Q18">
        <f t="shared" ref="Q18" si="66">F18*P18</f>
        <v>542418.81978798704</v>
      </c>
      <c r="R18">
        <f t="shared" ref="R18" si="67">R19+Q18</f>
        <v>-16319203.122955367</v>
      </c>
      <c r="S18">
        <f t="shared" ref="S18" si="68">R18/100000</f>
        <v>-163.19203122955366</v>
      </c>
      <c r="T18">
        <f t="shared" ref="T18" si="69">S18/1000</f>
        <v>-0.16319203122955367</v>
      </c>
    </row>
    <row r="19" spans="1:20" x14ac:dyDescent="0.25">
      <c r="A19" s="5">
        <v>44574</v>
      </c>
      <c r="B19">
        <v>0.58579999999999999</v>
      </c>
      <c r="C19">
        <v>0.60870000000000002</v>
      </c>
      <c r="D19">
        <v>0.56999999999999995</v>
      </c>
      <c r="E19">
        <v>0.57640000000000002</v>
      </c>
      <c r="F19">
        <v>2236777</v>
      </c>
      <c r="G19">
        <v>0.57640000000000002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-0.66925064599482886</v>
      </c>
      <c r="Q19">
        <f t="shared" ref="Q19" si="71">F19*P19</f>
        <v>-1496964.4521963752</v>
      </c>
      <c r="R19">
        <f t="shared" ref="R19" si="72">R20+Q19</f>
        <v>-16861621.942743354</v>
      </c>
      <c r="S19">
        <f t="shared" ref="S19" si="73">R19/100000</f>
        <v>-168.61621942743355</v>
      </c>
      <c r="T19">
        <f t="shared" ref="T19" si="74">S19/1000</f>
        <v>-0.16861621942743354</v>
      </c>
    </row>
    <row r="20" spans="1:20" x14ac:dyDescent="0.25">
      <c r="A20" s="5">
        <v>44573</v>
      </c>
      <c r="B20">
        <v>0.55059999999999998</v>
      </c>
      <c r="C20">
        <v>0.5998</v>
      </c>
      <c r="D20">
        <v>0.54510000000000003</v>
      </c>
      <c r="E20">
        <v>0.58540000000000003</v>
      </c>
      <c r="F20">
        <v>1447851</v>
      </c>
      <c r="G20">
        <v>0.58540000000000003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0.47349177330895881</v>
      </c>
      <c r="Q20">
        <f t="shared" ref="Q20" si="76">F20*P20</f>
        <v>685545.53747714928</v>
      </c>
      <c r="R20">
        <f t="shared" ref="R20" si="77">R21+Q20</f>
        <v>-15364657.490546977</v>
      </c>
      <c r="S20">
        <f t="shared" ref="S20" si="78">R20/100000</f>
        <v>-153.64657490546978</v>
      </c>
      <c r="T20">
        <f t="shared" ref="T20" si="79">S20/1000</f>
        <v>-0.15364657490546979</v>
      </c>
    </row>
    <row r="21" spans="1:20" x14ac:dyDescent="0.25">
      <c r="A21" s="5">
        <v>44572</v>
      </c>
      <c r="B21">
        <v>0.53120000000000001</v>
      </c>
      <c r="C21">
        <v>0.55400000000000005</v>
      </c>
      <c r="D21">
        <v>0.52139999999999997</v>
      </c>
      <c r="E21">
        <v>0.55059999999999998</v>
      </c>
      <c r="F21">
        <v>1214434</v>
      </c>
      <c r="G21">
        <v>0.55059999999999998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0.79141104294478148</v>
      </c>
      <c r="Q21">
        <f t="shared" ref="Q21" si="81">F21*P21</f>
        <v>961116.47852760274</v>
      </c>
      <c r="R21">
        <f t="shared" ref="R21" si="82">R22+Q21</f>
        <v>-16050203.028024126</v>
      </c>
      <c r="S21">
        <f t="shared" ref="S21" si="83">R21/100000</f>
        <v>-160.50203028024126</v>
      </c>
      <c r="T21">
        <f t="shared" ref="T21" si="84">S21/1000</f>
        <v>-0.16050203028024126</v>
      </c>
    </row>
    <row r="22" spans="1:20" x14ac:dyDescent="0.25">
      <c r="A22" s="5">
        <v>44571</v>
      </c>
      <c r="B22">
        <v>0.56810000000000005</v>
      </c>
      <c r="C22">
        <v>0.56869999999999998</v>
      </c>
      <c r="D22">
        <v>0.50680000000000003</v>
      </c>
      <c r="E22">
        <v>0.53129999999999999</v>
      </c>
      <c r="F22">
        <v>1863222.52</v>
      </c>
      <c r="G22">
        <v>0.53129999999999999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-0.20840064620355464</v>
      </c>
      <c r="Q22">
        <f t="shared" ref="Q22" si="86">F22*P22</f>
        <v>-388296.77718901553</v>
      </c>
      <c r="R22">
        <f t="shared" ref="R22" si="87">R23+Q22</f>
        <v>-17011319.506551728</v>
      </c>
      <c r="S22">
        <f t="shared" ref="S22" si="88">R22/100000</f>
        <v>-170.11319506551729</v>
      </c>
      <c r="T22">
        <f t="shared" ref="T22" si="89">S22/1000</f>
        <v>-0.17011319506551728</v>
      </c>
    </row>
    <row r="23" spans="1:20" x14ac:dyDescent="0.25">
      <c r="A23" s="5">
        <v>44570</v>
      </c>
      <c r="B23">
        <v>0.55210000000000004</v>
      </c>
      <c r="C23">
        <v>0.57840000000000003</v>
      </c>
      <c r="D23">
        <v>0.54420000000000002</v>
      </c>
      <c r="E23">
        <v>0.56869999999999998</v>
      </c>
      <c r="F23">
        <v>1123642</v>
      </c>
      <c r="G23">
        <v>0.56869999999999998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0.43274853801169361</v>
      </c>
      <c r="Q23">
        <f t="shared" ref="Q23" si="91">F23*P23</f>
        <v>486254.43274853542</v>
      </c>
      <c r="R23">
        <f t="shared" ref="R23" si="92">R24+Q23</f>
        <v>-16623022.729362713</v>
      </c>
      <c r="S23">
        <f t="shared" ref="S23" si="93">R23/100000</f>
        <v>-166.23022729362714</v>
      </c>
      <c r="T23">
        <f t="shared" ref="T23" si="94">S23/1000</f>
        <v>-0.16623022729362713</v>
      </c>
    </row>
    <row r="24" spans="1:20" x14ac:dyDescent="0.25">
      <c r="A24" s="5">
        <v>44569</v>
      </c>
      <c r="B24">
        <v>0.57189999999999996</v>
      </c>
      <c r="C24">
        <v>0.59050000000000002</v>
      </c>
      <c r="D24">
        <v>0.53680000000000005</v>
      </c>
      <c r="E24">
        <v>0.55289999999999995</v>
      </c>
      <c r="F24">
        <v>1401575</v>
      </c>
      <c r="G24">
        <v>0.55289999999999995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-0.40037243947858842</v>
      </c>
      <c r="Q24">
        <f t="shared" ref="Q24" si="96">F24*P24</f>
        <v>-561152.00186220254</v>
      </c>
      <c r="R24">
        <f t="shared" ref="R24" si="97">R25+Q24</f>
        <v>-17109277.162111249</v>
      </c>
      <c r="S24">
        <f t="shared" ref="S24" si="98">R24/100000</f>
        <v>-171.09277162111249</v>
      </c>
      <c r="T24">
        <f t="shared" ref="T24" si="99">S24/1000</f>
        <v>-0.1710927716211125</v>
      </c>
    </row>
    <row r="25" spans="1:20" x14ac:dyDescent="0.25">
      <c r="A25" s="5">
        <v>44568</v>
      </c>
      <c r="B25">
        <v>0.61240000000000006</v>
      </c>
      <c r="C25">
        <v>0.61260000000000003</v>
      </c>
      <c r="D25">
        <v>0.56279999999999997</v>
      </c>
      <c r="E25">
        <v>0.5716</v>
      </c>
      <c r="F25">
        <v>2596593</v>
      </c>
      <c r="G25">
        <v>0.5716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-0.64658634538152537</v>
      </c>
      <c r="Q25">
        <f t="shared" ref="Q25" si="101">F25*P25</f>
        <v>-1678921.578313251</v>
      </c>
      <c r="R25">
        <f t="shared" ref="R25" si="102">R26+Q25</f>
        <v>-16548125.160249047</v>
      </c>
      <c r="S25">
        <f t="shared" ref="S25" si="103">R25/100000</f>
        <v>-165.48125160249046</v>
      </c>
      <c r="T25">
        <f t="shared" ref="T25" si="104">S25/1000</f>
        <v>-0.16548125160249047</v>
      </c>
    </row>
    <row r="26" spans="1:20" x14ac:dyDescent="0.25">
      <c r="A26" s="5">
        <v>44567</v>
      </c>
      <c r="B26">
        <v>0.63429999999999997</v>
      </c>
      <c r="C26">
        <v>0.65849999999999997</v>
      </c>
      <c r="D26">
        <v>0.58909999999999996</v>
      </c>
      <c r="E26">
        <v>0.61240000000000006</v>
      </c>
      <c r="F26">
        <v>2283995</v>
      </c>
      <c r="G26">
        <v>0.61240000000000006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-0.32853025936599156</v>
      </c>
      <c r="Q26">
        <f t="shared" ref="Q26" si="106">F26*P26</f>
        <v>-750361.46974062792</v>
      </c>
      <c r="R26">
        <f t="shared" ref="R26" si="107">R27+Q26</f>
        <v>-14869203.581935797</v>
      </c>
      <c r="S26">
        <f t="shared" ref="S26" si="108">R26/100000</f>
        <v>-148.69203581935798</v>
      </c>
      <c r="T26">
        <f t="shared" ref="T26" si="109">S26/1000</f>
        <v>-0.14869203581935797</v>
      </c>
    </row>
    <row r="27" spans="1:20" x14ac:dyDescent="0.25">
      <c r="A27" s="5">
        <v>44566</v>
      </c>
      <c r="B27">
        <v>0.68279999999999996</v>
      </c>
      <c r="C27">
        <v>0.7026</v>
      </c>
      <c r="D27">
        <v>0.61250000000000004</v>
      </c>
      <c r="E27">
        <v>0.63539999999999996</v>
      </c>
      <c r="F27">
        <v>2201585</v>
      </c>
      <c r="G27">
        <v>0.63539999999999996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-0.49167591564928009</v>
      </c>
      <c r="Q27">
        <f t="shared" ref="Q27" si="111">F27*P27</f>
        <v>-1082466.3207547204</v>
      </c>
      <c r="R27">
        <f t="shared" ref="R27" si="112">R28+Q27</f>
        <v>-14118842.11219517</v>
      </c>
      <c r="S27">
        <f t="shared" ref="S27" si="113">R27/100000</f>
        <v>-141.18842112195171</v>
      </c>
      <c r="T27">
        <f t="shared" ref="T27" si="114">S27/1000</f>
        <v>-0.14118842112195171</v>
      </c>
    </row>
    <row r="28" spans="1:20" x14ac:dyDescent="0.25">
      <c r="A28" s="5">
        <v>44565</v>
      </c>
      <c r="B28">
        <v>0.70189999999999997</v>
      </c>
      <c r="C28">
        <v>0.71389999999999998</v>
      </c>
      <c r="D28">
        <v>0.67989999999999995</v>
      </c>
      <c r="E28">
        <v>0.68289999999999995</v>
      </c>
      <c r="F28">
        <v>1523474</v>
      </c>
      <c r="G28">
        <v>0.68289999999999995</v>
      </c>
      <c r="L28" t="s">
        <v>7</v>
      </c>
      <c r="M28" t="s">
        <v>7</v>
      </c>
      <c r="N28" t="s">
        <v>8</v>
      </c>
      <c r="P28">
        <f t="shared" ref="P28" si="115">IF(C28=D28,0,((E28-D28)-(C28-E28))/(C28-D28))</f>
        <v>-0.82352941176470584</v>
      </c>
      <c r="Q28">
        <f t="shared" ref="Q28" si="116">F28*P28</f>
        <v>-1254625.6470588234</v>
      </c>
      <c r="R28">
        <f t="shared" ref="R28" si="117">R29+Q28</f>
        <v>-13036375.79144045</v>
      </c>
      <c r="S28">
        <f t="shared" ref="S28" si="118">R28/100000</f>
        <v>-130.36375791440449</v>
      </c>
      <c r="T28">
        <f t="shared" ref="T28" si="119">S28/1000</f>
        <v>-0.13036375791440449</v>
      </c>
    </row>
    <row r="29" spans="1:20" x14ac:dyDescent="0.25">
      <c r="A29" s="5">
        <v>44564</v>
      </c>
      <c r="B29">
        <v>0.72389999999999999</v>
      </c>
      <c r="C29">
        <v>0.72719999999999996</v>
      </c>
      <c r="D29">
        <v>0.68730000000000002</v>
      </c>
      <c r="E29">
        <v>0.70130000000000003</v>
      </c>
      <c r="F29">
        <v>1592339</v>
      </c>
      <c r="G29">
        <v>0.70130000000000003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-0.29824561403508598</v>
      </c>
      <c r="Q29">
        <f t="shared" ref="Q29" si="121">F29*P29</f>
        <v>-474908.12280701479</v>
      </c>
      <c r="R29">
        <f t="shared" ref="R29" si="122">R30+Q29</f>
        <v>-11781750.144381626</v>
      </c>
      <c r="S29">
        <f t="shared" ref="S29" si="123">R29/100000</f>
        <v>-117.81750144381625</v>
      </c>
      <c r="T29">
        <f t="shared" ref="T29" si="124">S29/1000</f>
        <v>-0.11781750144381625</v>
      </c>
    </row>
    <row r="30" spans="1:20" x14ac:dyDescent="0.25">
      <c r="A30" s="5">
        <v>44563</v>
      </c>
      <c r="B30">
        <v>0.75090000000000001</v>
      </c>
      <c r="C30">
        <v>0.7591</v>
      </c>
      <c r="D30">
        <v>0.71389999999999998</v>
      </c>
      <c r="E30">
        <v>0.72550000000000003</v>
      </c>
      <c r="F30">
        <v>2120617</v>
      </c>
      <c r="G30">
        <v>0.72550000000000003</v>
      </c>
      <c r="L30" t="s">
        <v>7</v>
      </c>
      <c r="M30" t="s">
        <v>7</v>
      </c>
      <c r="N30" t="s">
        <v>8</v>
      </c>
      <c r="P30">
        <f t="shared" ref="P30" si="125">IF(C30=D30,0,((E30-D30)-(C30-E30))/(C30-D30))</f>
        <v>-0.48672566371681192</v>
      </c>
      <c r="Q30">
        <f t="shared" ref="Q30" si="126">F30*P30</f>
        <v>-1032158.7168141545</v>
      </c>
      <c r="R30">
        <f t="shared" ref="R30" si="127">R31+Q30</f>
        <v>-11306842.021574611</v>
      </c>
      <c r="S30">
        <f t="shared" ref="S30" si="128">R30/100000</f>
        <v>-113.0684202157461</v>
      </c>
      <c r="T30">
        <f t="shared" ref="T30" si="129">S30/1000</f>
        <v>-0.1130684202157461</v>
      </c>
    </row>
    <row r="31" spans="1:20" x14ac:dyDescent="0.25">
      <c r="A31" s="5">
        <v>44562</v>
      </c>
      <c r="B31">
        <v>0.69730000000000003</v>
      </c>
      <c r="C31">
        <v>0.76</v>
      </c>
      <c r="D31">
        <v>0.69199999999999995</v>
      </c>
      <c r="E31">
        <v>0.751</v>
      </c>
      <c r="F31">
        <v>3332585</v>
      </c>
      <c r="G31">
        <v>0.751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0.73529411764705888</v>
      </c>
      <c r="Q31">
        <f t="shared" ref="Q31" si="131">F31*P31</f>
        <v>2450430.1470588236</v>
      </c>
      <c r="R31">
        <f t="shared" ref="R31" si="132">R32+Q31</f>
        <v>-10274683.304760456</v>
      </c>
      <c r="S31">
        <f t="shared" ref="S31" si="133">R31/100000</f>
        <v>-102.74683304760457</v>
      </c>
      <c r="T31">
        <f t="shared" ref="T31" si="134">S31/1000</f>
        <v>-0.10274683304760457</v>
      </c>
    </row>
    <row r="32" spans="1:20" x14ac:dyDescent="0.25">
      <c r="A32" s="5">
        <v>44561</v>
      </c>
      <c r="B32">
        <v>0.71450000000000002</v>
      </c>
      <c r="C32">
        <v>0.74219999999999997</v>
      </c>
      <c r="D32">
        <v>0.67859999999999998</v>
      </c>
      <c r="E32">
        <v>0.6986</v>
      </c>
      <c r="F32">
        <v>2073897</v>
      </c>
      <c r="G32">
        <v>0.6986</v>
      </c>
      <c r="L32" t="s">
        <v>7</v>
      </c>
      <c r="M32" t="s">
        <v>7</v>
      </c>
      <c r="N32" t="s">
        <v>8</v>
      </c>
      <c r="P32">
        <f t="shared" ref="P32" si="135">IF(C32=D32,0,((E32-D32)-(C32-E32))/(C32-D32))</f>
        <v>-0.37106918238993647</v>
      </c>
      <c r="Q32">
        <f t="shared" ref="Q32" si="136">F32*P32</f>
        <v>-769559.26415094209</v>
      </c>
      <c r="R32">
        <f t="shared" ref="R32" si="137">R33+Q32</f>
        <v>-12725113.45181928</v>
      </c>
      <c r="S32">
        <f t="shared" ref="S32" si="138">R32/100000</f>
        <v>-127.2511345181928</v>
      </c>
      <c r="T32">
        <f t="shared" ref="T32" si="139">S32/1000</f>
        <v>-0.12725113451819281</v>
      </c>
    </row>
    <row r="33" spans="1:20" x14ac:dyDescent="0.25">
      <c r="A33" s="5">
        <v>44560</v>
      </c>
      <c r="B33">
        <v>0.67989999999999995</v>
      </c>
      <c r="C33">
        <v>0.755</v>
      </c>
      <c r="D33">
        <v>0.66739999999999999</v>
      </c>
      <c r="E33">
        <v>0.71589999999999998</v>
      </c>
      <c r="F33">
        <v>5499273</v>
      </c>
      <c r="G33">
        <v>0.71589999999999998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0.10730593607305894</v>
      </c>
      <c r="Q33">
        <f t="shared" ref="Q33" si="141">F33*P33</f>
        <v>590104.63698629907</v>
      </c>
      <c r="R33">
        <f t="shared" ref="R33" si="142">R34+Q33</f>
        <v>-11955554.187668338</v>
      </c>
      <c r="S33">
        <f t="shared" ref="S33" si="143">R33/100000</f>
        <v>-119.55554187668338</v>
      </c>
      <c r="T33">
        <f t="shared" ref="T33" si="144">S33/1000</f>
        <v>-0.11955554187668338</v>
      </c>
    </row>
    <row r="34" spans="1:20" x14ac:dyDescent="0.25">
      <c r="A34" s="5">
        <v>44559</v>
      </c>
      <c r="B34">
        <v>0.68759999999999999</v>
      </c>
      <c r="C34">
        <v>0.71440000000000003</v>
      </c>
      <c r="D34">
        <v>0.66100000000000003</v>
      </c>
      <c r="E34">
        <v>0.68</v>
      </c>
      <c r="F34">
        <v>2033759</v>
      </c>
      <c r="G34">
        <v>0.68</v>
      </c>
      <c r="L34" t="s">
        <v>8</v>
      </c>
      <c r="M34" t="s">
        <v>7</v>
      </c>
      <c r="N34" t="s">
        <v>8</v>
      </c>
      <c r="P34">
        <f t="shared" ref="P34" si="145">IF(C34=D34,0,((E34-D34)-(C34-E34))/(C34-D34))</f>
        <v>-0.28838951310861366</v>
      </c>
      <c r="Q34">
        <f t="shared" ref="Q34" si="146">F34*P34</f>
        <v>-586514.76779026096</v>
      </c>
      <c r="R34">
        <f t="shared" ref="R34" si="147">R35+Q34</f>
        <v>-12545658.824654637</v>
      </c>
      <c r="S34">
        <f t="shared" ref="S34" si="148">R34/100000</f>
        <v>-125.45658824654637</v>
      </c>
      <c r="T34">
        <f t="shared" ref="T34" si="149">S34/1000</f>
        <v>-0.12545658824654637</v>
      </c>
    </row>
    <row r="35" spans="1:20" x14ac:dyDescent="0.25">
      <c r="A35" s="5">
        <v>44558</v>
      </c>
      <c r="B35">
        <v>0.72819999999999996</v>
      </c>
      <c r="C35">
        <v>0.72929999999999995</v>
      </c>
      <c r="D35">
        <v>0.67100000000000004</v>
      </c>
      <c r="E35">
        <v>0.6875</v>
      </c>
      <c r="F35">
        <v>2220740</v>
      </c>
      <c r="G35">
        <v>0.6875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-0.43396226415094391</v>
      </c>
      <c r="Q35">
        <f t="shared" ref="Q35" si="151">F35*P35</f>
        <v>-963717.35849056719</v>
      </c>
      <c r="R35">
        <f t="shared" ref="R35" si="152">R36+Q35</f>
        <v>-11959144.056864375</v>
      </c>
      <c r="S35">
        <f t="shared" ref="S35" si="153">R35/100000</f>
        <v>-119.59144056864375</v>
      </c>
      <c r="T35">
        <f t="shared" ref="T35" si="154">S35/1000</f>
        <v>-0.11959144056864375</v>
      </c>
    </row>
    <row r="36" spans="1:20" x14ac:dyDescent="0.25">
      <c r="A36" s="5">
        <v>44557</v>
      </c>
      <c r="B36">
        <v>0.73</v>
      </c>
      <c r="C36">
        <v>0.75</v>
      </c>
      <c r="D36">
        <v>0.72240000000000004</v>
      </c>
      <c r="E36">
        <v>0.7288</v>
      </c>
      <c r="F36">
        <v>1801525</v>
      </c>
      <c r="G36">
        <v>0.7288</v>
      </c>
      <c r="L36" t="s">
        <v>7</v>
      </c>
      <c r="M36" t="s">
        <v>7</v>
      </c>
      <c r="N36" t="s">
        <v>8</v>
      </c>
      <c r="P36">
        <f t="shared" ref="P36" si="155">IF(C36=D36,0,((E36-D36)-(C36-E36))/(C36-D36))</f>
        <v>-0.53623188405797306</v>
      </c>
      <c r="Q36">
        <f t="shared" ref="Q36" si="156">F36*P36</f>
        <v>-966035.14492753998</v>
      </c>
      <c r="R36">
        <f t="shared" ref="R36" si="157">R37+Q36</f>
        <v>-10995426.698373808</v>
      </c>
      <c r="S36">
        <f t="shared" ref="S36" si="158">R36/100000</f>
        <v>-109.95426698373808</v>
      </c>
      <c r="T36">
        <f t="shared" ref="T36" si="159">S36/1000</f>
        <v>-0.10995426698373809</v>
      </c>
    </row>
    <row r="37" spans="1:20" x14ac:dyDescent="0.25">
      <c r="A37" s="5">
        <v>44556</v>
      </c>
      <c r="B37">
        <v>0.73019999999999996</v>
      </c>
      <c r="C37">
        <v>0.74660000000000004</v>
      </c>
      <c r="D37">
        <v>0.70599999999999996</v>
      </c>
      <c r="E37">
        <v>0.73</v>
      </c>
      <c r="F37">
        <v>2739769</v>
      </c>
      <c r="G37">
        <v>0.73</v>
      </c>
      <c r="L37" t="s">
        <v>7</v>
      </c>
      <c r="M37" t="s">
        <v>7</v>
      </c>
      <c r="N37" t="s">
        <v>8</v>
      </c>
      <c r="P37">
        <f t="shared" ref="P37" si="160">IF(C37=D37,0,((E37-D37)-(C37-E37))/(C37-D37))</f>
        <v>0.18226600985221544</v>
      </c>
      <c r="Q37">
        <f t="shared" ref="Q37" si="161">F37*P37</f>
        <v>499366.76354679448</v>
      </c>
      <c r="R37">
        <f t="shared" ref="R37" si="162">R38+Q37</f>
        <v>-10029391.553446267</v>
      </c>
      <c r="S37">
        <f t="shared" ref="S37" si="163">R37/100000</f>
        <v>-100.29391553446267</v>
      </c>
      <c r="T37">
        <f t="shared" ref="T37" si="164">S37/1000</f>
        <v>-0.10029391553446267</v>
      </c>
    </row>
    <row r="38" spans="1:20" x14ac:dyDescent="0.25">
      <c r="A38" s="5">
        <v>44555</v>
      </c>
      <c r="B38">
        <v>0.68859999999999999</v>
      </c>
      <c r="C38">
        <v>0.87</v>
      </c>
      <c r="D38">
        <v>0.6835</v>
      </c>
      <c r="E38">
        <v>0.73019999999999996</v>
      </c>
      <c r="F38">
        <v>11037351</v>
      </c>
      <c r="G38">
        <v>0.73019999999999996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-0.49919571045576444</v>
      </c>
      <c r="Q38">
        <f t="shared" ref="Q38" si="166">F38*P38</f>
        <v>-5509798.2739946423</v>
      </c>
      <c r="R38">
        <f t="shared" ref="R38" si="167">R39+Q38</f>
        <v>-10528758.316993061</v>
      </c>
      <c r="S38">
        <f t="shared" ref="S38" si="168">R38/100000</f>
        <v>-105.28758316993061</v>
      </c>
      <c r="T38">
        <f t="shared" ref="T38" si="169">S38/1000</f>
        <v>-0.10528758316993062</v>
      </c>
    </row>
    <row r="39" spans="1:20" x14ac:dyDescent="0.25">
      <c r="A39" s="5">
        <v>44554</v>
      </c>
      <c r="B39">
        <v>0.69699999999999995</v>
      </c>
      <c r="C39">
        <v>0.70960000000000001</v>
      </c>
      <c r="D39">
        <v>0.67920000000000003</v>
      </c>
      <c r="E39">
        <v>0.68830000000000002</v>
      </c>
      <c r="F39">
        <v>1663097</v>
      </c>
      <c r="G39">
        <v>0.68830000000000002</v>
      </c>
      <c r="L39" t="s">
        <v>8</v>
      </c>
      <c r="M39" t="s">
        <v>7</v>
      </c>
      <c r="N39" t="s">
        <v>8</v>
      </c>
      <c r="P39">
        <f t="shared" ref="P39" si="170">IF(C39=D39,0,((E39-D39)-(C39-E39))/(C39-D39))</f>
        <v>-0.40131578947368407</v>
      </c>
      <c r="Q39">
        <f t="shared" ref="Q39" si="171">F39*P39</f>
        <v>-667427.08552631561</v>
      </c>
      <c r="R39">
        <f t="shared" ref="R39" si="172">R40+Q39</f>
        <v>-5018960.0429984182</v>
      </c>
      <c r="S39">
        <f t="shared" ref="S39" si="173">R39/100000</f>
        <v>-50.189600429984182</v>
      </c>
      <c r="T39">
        <f t="shared" ref="T39" si="174">S39/1000</f>
        <v>-5.0189600429984181E-2</v>
      </c>
    </row>
    <row r="40" spans="1:20" x14ac:dyDescent="0.25">
      <c r="A40" s="5">
        <v>44553</v>
      </c>
      <c r="B40">
        <v>0.6774</v>
      </c>
      <c r="C40">
        <v>0.7036</v>
      </c>
      <c r="D40">
        <v>0.66400000000000003</v>
      </c>
      <c r="E40">
        <v>0.69679999999999997</v>
      </c>
      <c r="F40">
        <v>2803788</v>
      </c>
      <c r="G40">
        <v>0.69679999999999997</v>
      </c>
      <c r="L40" t="s">
        <v>8</v>
      </c>
      <c r="M40" t="s">
        <v>7</v>
      </c>
      <c r="N40" t="s">
        <v>8</v>
      </c>
      <c r="P40">
        <f t="shared" ref="P40" si="175">IF(C40=D40,0,((E40-D40)-(C40-E40))/(C40-D40))</f>
        <v>0.65656565656565491</v>
      </c>
      <c r="Q40">
        <f t="shared" ref="Q40" si="176">F40*P40</f>
        <v>1840870.9090909045</v>
      </c>
      <c r="R40">
        <f t="shared" ref="R40" si="177">R41+Q40</f>
        <v>-4351532.9574721027</v>
      </c>
      <c r="S40">
        <f t="shared" ref="S40" si="178">R40/100000</f>
        <v>-43.515329574721029</v>
      </c>
      <c r="T40">
        <f t="shared" ref="T40" si="179">S40/1000</f>
        <v>-4.3515329574721026E-2</v>
      </c>
    </row>
    <row r="41" spans="1:20" x14ac:dyDescent="0.25">
      <c r="A41" s="5">
        <v>44552</v>
      </c>
      <c r="B41">
        <v>0.67459999999999998</v>
      </c>
      <c r="C41">
        <v>0.69310000000000005</v>
      </c>
      <c r="D41">
        <v>0.6704</v>
      </c>
      <c r="E41">
        <v>0.67689999999999995</v>
      </c>
      <c r="F41">
        <v>1072696</v>
      </c>
      <c r="G41">
        <v>0.67689999999999995</v>
      </c>
      <c r="L41" t="s">
        <v>8</v>
      </c>
      <c r="M41" t="s">
        <v>7</v>
      </c>
      <c r="N41" t="s">
        <v>8</v>
      </c>
      <c r="P41">
        <f t="shared" ref="P41" si="180">IF(C41=D41,0,((E41-D41)-(C41-E41))/(C41-D41))</f>
        <v>-0.42731277533040218</v>
      </c>
      <c r="Q41">
        <f t="shared" ref="Q41" si="181">F41*P41</f>
        <v>-458376.70484582108</v>
      </c>
      <c r="R41">
        <f t="shared" ref="R41" si="182">R42+Q41</f>
        <v>-6192403.8665630072</v>
      </c>
      <c r="S41">
        <f t="shared" ref="S41" si="183">R41/100000</f>
        <v>-61.924038665630071</v>
      </c>
      <c r="T41">
        <f t="shared" ref="T41" si="184">S41/1000</f>
        <v>-6.1924038665630073E-2</v>
      </c>
    </row>
    <row r="42" spans="1:20" x14ac:dyDescent="0.25">
      <c r="A42" s="5">
        <v>44551</v>
      </c>
      <c r="B42">
        <v>0.64580000000000004</v>
      </c>
      <c r="C42">
        <v>0.68789999999999996</v>
      </c>
      <c r="D42">
        <v>0.64280000000000004</v>
      </c>
      <c r="E42">
        <v>0.67400000000000004</v>
      </c>
      <c r="F42">
        <v>1193018</v>
      </c>
      <c r="G42">
        <v>0.67400000000000004</v>
      </c>
      <c r="L42" t="s">
        <v>8</v>
      </c>
      <c r="M42" t="s">
        <v>7</v>
      </c>
      <c r="N42" t="s">
        <v>8</v>
      </c>
      <c r="P42">
        <f t="shared" ref="P42" si="185">IF(C42=D42,0,((E42-D42)-(C42-E42))/(C42-D42))</f>
        <v>0.38359201773836199</v>
      </c>
      <c r="Q42">
        <f t="shared" ref="Q42" si="186">F42*P42</f>
        <v>457632.18181818514</v>
      </c>
      <c r="R42">
        <f t="shared" ref="R42" si="187">R43+Q42</f>
        <v>-5734027.1617171858</v>
      </c>
      <c r="S42">
        <f t="shared" ref="S42" si="188">R42/100000</f>
        <v>-57.340271617171858</v>
      </c>
      <c r="T42">
        <f t="shared" ref="T42" si="189">S42/1000</f>
        <v>-5.734027161717186E-2</v>
      </c>
    </row>
    <row r="43" spans="1:20" x14ac:dyDescent="0.25">
      <c r="A43" s="5">
        <v>44550</v>
      </c>
      <c r="B43">
        <v>0.68489999999999995</v>
      </c>
      <c r="C43">
        <v>0.69989999999999997</v>
      </c>
      <c r="D43">
        <v>0.63149999999999995</v>
      </c>
      <c r="E43">
        <v>0.64600000000000002</v>
      </c>
      <c r="F43">
        <v>2144718</v>
      </c>
      <c r="G43">
        <v>0.64600000000000002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-0.57602339181286355</v>
      </c>
      <c r="Q43">
        <f t="shared" ref="Q43" si="191">F43*P43</f>
        <v>-1235407.736842101</v>
      </c>
      <c r="R43">
        <f t="shared" ref="R43" si="192">R44+Q43</f>
        <v>-6191659.3435353711</v>
      </c>
      <c r="S43">
        <f t="shared" ref="S43" si="193">R43/100000</f>
        <v>-61.916593435353711</v>
      </c>
      <c r="T43">
        <f t="shared" ref="T43" si="194">S43/1000</f>
        <v>-6.191659343535371E-2</v>
      </c>
    </row>
    <row r="44" spans="1:20" x14ac:dyDescent="0.25">
      <c r="A44" s="5">
        <v>44549</v>
      </c>
      <c r="B44">
        <v>0.66190000000000004</v>
      </c>
      <c r="C44">
        <v>0.86880000000000002</v>
      </c>
      <c r="D44">
        <v>0.65110000000000001</v>
      </c>
      <c r="E44">
        <v>0.68479999999999996</v>
      </c>
      <c r="F44">
        <v>14596500</v>
      </c>
      <c r="G44">
        <v>0.68479999999999996</v>
      </c>
      <c r="L44" t="s">
        <v>8</v>
      </c>
      <c r="M44" t="s">
        <v>8</v>
      </c>
      <c r="N44" t="s">
        <v>8</v>
      </c>
      <c r="P44">
        <f t="shared" ref="P44" si="195">IF(C44=D44,0,((E44-D44)-(C44-E44))/(C44-D44))</f>
        <v>-0.69039963252181946</v>
      </c>
      <c r="Q44">
        <f t="shared" ref="Q44" si="196">F44*P44</f>
        <v>-10077418.236104738</v>
      </c>
      <c r="R44">
        <f t="shared" ref="R44" si="197">R45+Q44</f>
        <v>-4956251.6066932706</v>
      </c>
      <c r="S44">
        <f t="shared" ref="S44" si="198">R44/100000</f>
        <v>-49.562516066932709</v>
      </c>
      <c r="T44">
        <f t="shared" ref="T44" si="199">S44/1000</f>
        <v>-4.956251606693271E-2</v>
      </c>
    </row>
    <row r="45" spans="1:20" x14ac:dyDescent="0.25">
      <c r="A45" s="5">
        <v>44548</v>
      </c>
      <c r="B45">
        <v>0.63270000000000004</v>
      </c>
      <c r="C45">
        <v>0.74</v>
      </c>
      <c r="D45">
        <v>0.61860000000000004</v>
      </c>
      <c r="E45">
        <v>0.66180000000000005</v>
      </c>
      <c r="F45">
        <v>2469289</v>
      </c>
      <c r="G45">
        <v>0.66180000000000005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-0.28830313014826964</v>
      </c>
      <c r="Q45">
        <f t="shared" ref="Q45" si="201">F45*P45</f>
        <v>-711903.74794069061</v>
      </c>
      <c r="R45">
        <f t="shared" ref="R45" si="202">R46+Q45</f>
        <v>5121166.6294114674</v>
      </c>
      <c r="S45">
        <f t="shared" ref="S45" si="203">R45/100000</f>
        <v>51.211666294114671</v>
      </c>
      <c r="T45">
        <f t="shared" ref="T45" si="204">S45/1000</f>
        <v>5.1211666294114673E-2</v>
      </c>
    </row>
    <row r="46" spans="1:20" x14ac:dyDescent="0.25">
      <c r="A46" s="5">
        <v>44547</v>
      </c>
      <c r="B46">
        <v>0.6391</v>
      </c>
      <c r="C46">
        <v>0.64480000000000004</v>
      </c>
      <c r="D46">
        <v>0.60729999999999995</v>
      </c>
      <c r="E46">
        <v>0.63260000000000005</v>
      </c>
      <c r="F46">
        <v>945552</v>
      </c>
      <c r="G46">
        <v>0.63260000000000005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0.34933333333333549</v>
      </c>
      <c r="Q46">
        <f t="shared" ref="Q46" si="206">F46*P46</f>
        <v>330312.83200000203</v>
      </c>
      <c r="R46">
        <f t="shared" ref="R46" si="207">R47+Q46</f>
        <v>5833070.3773521576</v>
      </c>
      <c r="S46">
        <f t="shared" ref="S46" si="208">R46/100000</f>
        <v>58.330703773521577</v>
      </c>
      <c r="T46">
        <f t="shared" ref="T46" si="209">S46/1000</f>
        <v>5.8330703773521578E-2</v>
      </c>
    </row>
    <row r="47" spans="1:20" x14ac:dyDescent="0.25">
      <c r="A47" s="5">
        <v>44546</v>
      </c>
      <c r="B47">
        <v>0.65710000000000002</v>
      </c>
      <c r="C47">
        <v>0.67300000000000004</v>
      </c>
      <c r="D47">
        <v>0.63649999999999995</v>
      </c>
      <c r="E47">
        <v>0.63900000000000001</v>
      </c>
      <c r="F47">
        <v>1166321</v>
      </c>
      <c r="G47">
        <v>0.63900000000000001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-0.86301369863013411</v>
      </c>
      <c r="Q47">
        <f t="shared" ref="Q47" si="211">F47*P47</f>
        <v>-1006550.9999999966</v>
      </c>
      <c r="R47">
        <f t="shared" ref="R47" si="212">R48+Q47</f>
        <v>5502757.5453521553</v>
      </c>
      <c r="S47">
        <f t="shared" ref="S47" si="213">R47/100000</f>
        <v>55.027575453521557</v>
      </c>
      <c r="T47">
        <f t="shared" ref="T47" si="214">S47/1000</f>
        <v>5.5027575453521556E-2</v>
      </c>
    </row>
    <row r="48" spans="1:20" x14ac:dyDescent="0.25">
      <c r="A48" s="5">
        <v>44545</v>
      </c>
      <c r="B48">
        <v>0.64349999999999996</v>
      </c>
      <c r="C48">
        <v>0.66700000000000004</v>
      </c>
      <c r="D48">
        <v>0.6089</v>
      </c>
      <c r="E48">
        <v>0.65710000000000002</v>
      </c>
      <c r="F48">
        <v>1159817</v>
      </c>
      <c r="G48">
        <v>0.65710000000000002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0.65920826161789969</v>
      </c>
      <c r="Q48">
        <f t="shared" ref="Q48" si="216">F48*P48</f>
        <v>764560.94836488762</v>
      </c>
      <c r="R48">
        <f t="shared" ref="R48" si="217">R49+Q48</f>
        <v>6509308.5453521516</v>
      </c>
      <c r="S48">
        <f t="shared" ref="S48" si="218">R48/100000</f>
        <v>65.09308545352151</v>
      </c>
      <c r="T48">
        <f t="shared" ref="T48" si="219">S48/1000</f>
        <v>6.5093085453521507E-2</v>
      </c>
    </row>
    <row r="49" spans="1:20" x14ac:dyDescent="0.25">
      <c r="A49" s="5">
        <v>44544</v>
      </c>
      <c r="B49">
        <v>0.64639999999999997</v>
      </c>
      <c r="C49">
        <v>0.65200000000000002</v>
      </c>
      <c r="D49">
        <v>0.62490000000000001</v>
      </c>
      <c r="E49">
        <v>0.64349999999999996</v>
      </c>
      <c r="F49">
        <v>956163</v>
      </c>
      <c r="G49">
        <v>0.64349999999999996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0.37269372693726505</v>
      </c>
      <c r="Q49">
        <f t="shared" ref="Q49" si="221">F49*P49</f>
        <v>356355.95202951616</v>
      </c>
      <c r="R49">
        <f t="shared" ref="R49" si="222">R50+Q49</f>
        <v>5744747.5969872642</v>
      </c>
      <c r="S49">
        <f t="shared" ref="S49" si="223">R49/100000</f>
        <v>57.447475969872642</v>
      </c>
      <c r="T49">
        <f t="shared" ref="T49" si="224">S49/1000</f>
        <v>5.7447475969872638E-2</v>
      </c>
    </row>
    <row r="50" spans="1:20" x14ac:dyDescent="0.25">
      <c r="A50" s="5">
        <v>44543</v>
      </c>
      <c r="B50">
        <v>0.70330000000000004</v>
      </c>
      <c r="C50">
        <v>0.70760000000000001</v>
      </c>
      <c r="D50">
        <v>0.62439999999999996</v>
      </c>
      <c r="E50">
        <v>0.64649999999999996</v>
      </c>
      <c r="F50">
        <v>1137558.54</v>
      </c>
      <c r="G50">
        <v>0.64649999999999996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-0.46875000000000011</v>
      </c>
      <c r="Q50">
        <f t="shared" ref="Q50" si="226">F50*P50</f>
        <v>-533230.56562500016</v>
      </c>
      <c r="R50">
        <f t="shared" ref="R50" si="227">R51+Q50</f>
        <v>5388391.6449577482</v>
      </c>
      <c r="S50">
        <f t="shared" ref="S50" si="228">R50/100000</f>
        <v>53.883916449577484</v>
      </c>
      <c r="T50">
        <f t="shared" ref="T50" si="229">S50/1000</f>
        <v>5.3883916449577483E-2</v>
      </c>
    </row>
    <row r="51" spans="1:20" x14ac:dyDescent="0.25">
      <c r="A51" s="5">
        <v>44542</v>
      </c>
      <c r="B51">
        <v>0.71130000000000004</v>
      </c>
      <c r="C51">
        <v>0.72189999999999999</v>
      </c>
      <c r="D51">
        <v>0.69010000000000005</v>
      </c>
      <c r="E51">
        <v>0.70320000000000005</v>
      </c>
      <c r="F51">
        <v>1488734</v>
      </c>
      <c r="G51">
        <v>0.70320000000000005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-0.17610062893081602</v>
      </c>
      <c r="Q51">
        <f t="shared" ref="Q51" si="231">F51*P51</f>
        <v>-262166.99371068948</v>
      </c>
      <c r="R51">
        <f t="shared" ref="R51" si="232">R52+Q51</f>
        <v>5921622.2105827481</v>
      </c>
      <c r="S51">
        <f t="shared" ref="S51" si="233">R51/100000</f>
        <v>59.216222105827484</v>
      </c>
      <c r="T51">
        <f t="shared" ref="T51" si="234">S51/1000</f>
        <v>5.9216222105827485E-2</v>
      </c>
    </row>
    <row r="52" spans="1:20" x14ac:dyDescent="0.25">
      <c r="A52" s="5">
        <v>44541</v>
      </c>
      <c r="B52">
        <v>0.67630000000000001</v>
      </c>
      <c r="C52">
        <v>0.68420000000000003</v>
      </c>
      <c r="D52">
        <v>0.6653</v>
      </c>
      <c r="E52">
        <v>0.68359999999999999</v>
      </c>
      <c r="F52">
        <v>65705</v>
      </c>
      <c r="G52">
        <v>0.68359999999999999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0.93650793650793185</v>
      </c>
      <c r="Q52">
        <f t="shared" ref="Q52" si="236">F52*P52</f>
        <v>61533.253968253659</v>
      </c>
      <c r="R52">
        <f t="shared" ref="R52" si="237">R53+Q52</f>
        <v>6183789.2042934373</v>
      </c>
      <c r="S52">
        <f t="shared" ref="S52" si="238">R52/100000</f>
        <v>61.837892042934371</v>
      </c>
      <c r="T52">
        <f t="shared" ref="T52" si="239">S52/1000</f>
        <v>6.183789204293437E-2</v>
      </c>
    </row>
    <row r="53" spans="1:20" x14ac:dyDescent="0.25">
      <c r="A53" s="5">
        <v>44540</v>
      </c>
      <c r="B53">
        <v>0.71830000000000005</v>
      </c>
      <c r="C53">
        <v>0.75660000000000005</v>
      </c>
      <c r="D53">
        <v>0.67369999999999997</v>
      </c>
      <c r="E53">
        <v>0.67589999999999995</v>
      </c>
      <c r="F53">
        <v>1537556</v>
      </c>
      <c r="G53">
        <v>0.67589999999999995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-0.94692400482509098</v>
      </c>
      <c r="Q53">
        <f t="shared" ref="Q53" si="241">F53*P53</f>
        <v>-1455948.6851628476</v>
      </c>
      <c r="R53">
        <f t="shared" ref="R53" si="242">R54+Q53</f>
        <v>6122255.9503251836</v>
      </c>
      <c r="S53">
        <f t="shared" ref="S53" si="243">R53/100000</f>
        <v>61.222559503251837</v>
      </c>
      <c r="T53">
        <f t="shared" ref="T53" si="244">S53/1000</f>
        <v>6.1222559503251839E-2</v>
      </c>
    </row>
    <row r="54" spans="1:20" x14ac:dyDescent="0.25">
      <c r="A54" s="5">
        <v>44539</v>
      </c>
      <c r="B54">
        <v>0.78249999999999997</v>
      </c>
      <c r="C54">
        <v>0.78879999999999995</v>
      </c>
      <c r="D54">
        <v>0.70299999999999996</v>
      </c>
      <c r="E54">
        <v>0.71830000000000005</v>
      </c>
      <c r="F54">
        <v>1872549</v>
      </c>
      <c r="G54">
        <v>0.71830000000000005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-0.64335664335664122</v>
      </c>
      <c r="Q54">
        <f t="shared" ref="Q54" si="246">F54*P54</f>
        <v>-1204716.8391608351</v>
      </c>
      <c r="R54">
        <f t="shared" ref="R54" si="247">R55+Q54</f>
        <v>7578204.6354880314</v>
      </c>
      <c r="S54">
        <f t="shared" ref="S54" si="248">R54/100000</f>
        <v>75.782046354880308</v>
      </c>
      <c r="T54">
        <f t="shared" ref="T54" si="249">S54/1000</f>
        <v>7.5782046354880311E-2</v>
      </c>
    </row>
    <row r="55" spans="1:20" x14ac:dyDescent="0.25">
      <c r="A55" s="5">
        <v>44538</v>
      </c>
      <c r="B55">
        <v>0.73699999999999999</v>
      </c>
      <c r="C55">
        <v>0.79769999999999996</v>
      </c>
      <c r="D55">
        <v>0.72430000000000005</v>
      </c>
      <c r="E55">
        <v>0.7823</v>
      </c>
      <c r="F55">
        <v>4516521</v>
      </c>
      <c r="G55">
        <v>0.7823</v>
      </c>
      <c r="L55" t="s">
        <v>8</v>
      </c>
      <c r="M55" t="s">
        <v>7</v>
      </c>
      <c r="N55" t="s">
        <v>7</v>
      </c>
      <c r="P55">
        <f t="shared" ref="P55" si="250">IF(C55=D55,0,((E55-D55)-(C55-E55))/(C55-D55))</f>
        <v>0.58038147138964613</v>
      </c>
      <c r="Q55">
        <f t="shared" ref="Q55" si="251">F55*P55</f>
        <v>2621305.1035422361</v>
      </c>
      <c r="R55">
        <f t="shared" ref="R55" si="252">R56+Q55</f>
        <v>8782921.4746488668</v>
      </c>
      <c r="S55">
        <f t="shared" ref="S55" si="253">R55/100000</f>
        <v>87.829214746488674</v>
      </c>
      <c r="T55">
        <f t="shared" ref="T55" si="254">S55/1000</f>
        <v>8.7829214746488679E-2</v>
      </c>
    </row>
    <row r="56" spans="1:20" x14ac:dyDescent="0.25">
      <c r="A56" s="5">
        <v>44537</v>
      </c>
      <c r="B56">
        <v>0.73640000000000005</v>
      </c>
      <c r="C56">
        <v>0.82410000000000005</v>
      </c>
      <c r="D56">
        <v>0.70740000000000003</v>
      </c>
      <c r="E56">
        <v>0.73670000000000002</v>
      </c>
      <c r="F56">
        <v>6207985</v>
      </c>
      <c r="G56">
        <v>0.73670000000000002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-0.49785775492716389</v>
      </c>
      <c r="Q56">
        <f t="shared" ref="Q56" si="256">F56*P56</f>
        <v>-3090693.4747215095</v>
      </c>
      <c r="R56">
        <f t="shared" ref="R56" si="257">R57+Q56</f>
        <v>6161616.3711066302</v>
      </c>
      <c r="S56">
        <f t="shared" ref="S56" si="258">R56/100000</f>
        <v>61.616163711066299</v>
      </c>
      <c r="T56">
        <f t="shared" ref="T56" si="259">S56/1000</f>
        <v>6.1616163711066298E-2</v>
      </c>
    </row>
    <row r="57" spans="1:20" x14ac:dyDescent="0.25">
      <c r="A57" s="5">
        <v>44536</v>
      </c>
      <c r="B57">
        <v>0.71399999999999997</v>
      </c>
      <c r="C57">
        <v>0.84</v>
      </c>
      <c r="D57">
        <v>0.65469999999999995</v>
      </c>
      <c r="E57">
        <v>0.73960000000000004</v>
      </c>
      <c r="F57">
        <v>5160087</v>
      </c>
      <c r="G57">
        <v>0.73960000000000004</v>
      </c>
      <c r="L57" t="s">
        <v>8</v>
      </c>
      <c r="M57" t="s">
        <v>8</v>
      </c>
      <c r="N57" t="s">
        <v>7</v>
      </c>
      <c r="P57">
        <f t="shared" ref="P57" si="260">IF(C57=D57,0,((E57-D57)-(C57-E57))/(C57-D57))</f>
        <v>-8.3648138154343479E-2</v>
      </c>
      <c r="Q57">
        <f t="shared" ref="Q57" si="261">F57*P57</f>
        <v>-431631.6702644318</v>
      </c>
      <c r="R57">
        <f t="shared" ref="R57" si="262">R58+Q57</f>
        <v>9252309.8458281402</v>
      </c>
      <c r="S57">
        <f t="shared" ref="S57" si="263">R57/100000</f>
        <v>92.523098458281396</v>
      </c>
      <c r="T57">
        <f t="shared" ref="T57" si="264">S57/1000</f>
        <v>9.2523098458281397E-2</v>
      </c>
    </row>
    <row r="58" spans="1:20" x14ac:dyDescent="0.25">
      <c r="A58" s="5">
        <v>44535</v>
      </c>
      <c r="B58">
        <v>0.78239999999999998</v>
      </c>
      <c r="C58">
        <v>0.81420000000000003</v>
      </c>
      <c r="D58">
        <v>0.70040000000000002</v>
      </c>
      <c r="E58">
        <v>0.71350000000000002</v>
      </c>
      <c r="F58">
        <v>2668955</v>
      </c>
      <c r="G58">
        <v>0.71350000000000002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-0.76977152899824253</v>
      </c>
      <c r="Q58">
        <f t="shared" ref="Q58" si="266">F58*P58</f>
        <v>-2054485.5711775045</v>
      </c>
      <c r="R58">
        <f t="shared" ref="R58" si="267">R59+Q58</f>
        <v>9683941.5160925724</v>
      </c>
      <c r="S58">
        <f t="shared" ref="S58" si="268">R58/100000</f>
        <v>96.839415160925725</v>
      </c>
      <c r="T58">
        <f t="shared" ref="T58" si="269">S58/1000</f>
        <v>9.6839415160925729E-2</v>
      </c>
    </row>
    <row r="59" spans="1:20" x14ac:dyDescent="0.25">
      <c r="A59" s="5">
        <v>44534</v>
      </c>
      <c r="B59">
        <v>0.91359999999999997</v>
      </c>
      <c r="C59">
        <v>0.92200000000000004</v>
      </c>
      <c r="D59">
        <v>0.64419999999999999</v>
      </c>
      <c r="E59">
        <v>0.7843</v>
      </c>
      <c r="F59">
        <v>5790684.6699999999</v>
      </c>
      <c r="G59">
        <v>0.7843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8.6393088552914228E-3</v>
      </c>
      <c r="Q59">
        <f t="shared" ref="Q59" si="271">F59*P59</f>
        <v>50027.513347731292</v>
      </c>
      <c r="R59">
        <f t="shared" ref="R59" si="272">R60+Q59</f>
        <v>11738427.087270077</v>
      </c>
      <c r="S59">
        <f t="shared" ref="S59" si="273">R59/100000</f>
        <v>117.38427087270077</v>
      </c>
      <c r="T59">
        <f t="shared" ref="T59" si="274">S59/1000</f>
        <v>0.11738427087270077</v>
      </c>
    </row>
    <row r="60" spans="1:20" x14ac:dyDescent="0.25">
      <c r="A60" s="5">
        <v>44533</v>
      </c>
      <c r="B60">
        <v>0.88959999999999995</v>
      </c>
      <c r="C60">
        <v>1.1986000000000001</v>
      </c>
      <c r="D60">
        <v>0.85</v>
      </c>
      <c r="E60">
        <v>0.9143</v>
      </c>
      <c r="F60">
        <v>19433089</v>
      </c>
      <c r="G60">
        <v>0.9143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-0.63109581181870333</v>
      </c>
      <c r="Q60">
        <f t="shared" ref="Q60" si="276">F60*P60</f>
        <v>-12264141.078600114</v>
      </c>
      <c r="R60">
        <f t="shared" ref="R60" si="277">R61+Q60</f>
        <v>11688399.573922345</v>
      </c>
      <c r="S60">
        <f t="shared" ref="S60" si="278">R60/100000</f>
        <v>116.88399573922345</v>
      </c>
      <c r="T60">
        <f t="shared" ref="T60" si="279">S60/1000</f>
        <v>0.11688399573922345</v>
      </c>
    </row>
    <row r="61" spans="1:20" x14ac:dyDescent="0.25">
      <c r="A61" s="5">
        <v>44532</v>
      </c>
      <c r="B61">
        <v>0.85680000000000001</v>
      </c>
      <c r="C61">
        <v>0.94699999999999995</v>
      </c>
      <c r="D61">
        <v>0.82410000000000005</v>
      </c>
      <c r="E61">
        <v>0.88859999999999995</v>
      </c>
      <c r="F61">
        <v>6561369</v>
      </c>
      <c r="G61">
        <v>0.88859999999999995</v>
      </c>
      <c r="L61" t="s">
        <v>8</v>
      </c>
      <c r="M61" t="s">
        <v>7</v>
      </c>
      <c r="N61" t="s">
        <v>7</v>
      </c>
      <c r="P61">
        <f t="shared" ref="P61" si="280">IF(C61=D61,0,((E61-D61)-(C61-E61))/(C61-D61))</f>
        <v>4.963384865744417E-2</v>
      </c>
      <c r="Q61">
        <f t="shared" ref="Q61" si="281">F61*P61</f>
        <v>325665.9959316458</v>
      </c>
      <c r="R61">
        <f t="shared" ref="R61" si="282">R62+Q61</f>
        <v>23952540.65252246</v>
      </c>
      <c r="S61">
        <f t="shared" ref="S61" si="283">R61/100000</f>
        <v>239.52540652522458</v>
      </c>
      <c r="T61">
        <f t="shared" ref="T61" si="284">S61/1000</f>
        <v>0.23952540652522458</v>
      </c>
    </row>
    <row r="62" spans="1:20" x14ac:dyDescent="0.25">
      <c r="A62" s="5">
        <v>44531</v>
      </c>
      <c r="B62">
        <v>0.85970000000000002</v>
      </c>
      <c r="C62">
        <v>0.88260000000000005</v>
      </c>
      <c r="D62">
        <v>0.8518</v>
      </c>
      <c r="E62">
        <v>0.85650000000000004</v>
      </c>
      <c r="F62">
        <v>1519641</v>
      </c>
      <c r="G62">
        <v>0.85650000000000004</v>
      </c>
      <c r="L62" t="s">
        <v>8</v>
      </c>
      <c r="M62" t="s">
        <v>7</v>
      </c>
      <c r="N62" t="s">
        <v>7</v>
      </c>
      <c r="P62">
        <f t="shared" ref="P62" si="285">IF(C62=D62,0,((E62-D62)-(C62-E62))/(C62-D62))</f>
        <v>-0.69480519480519287</v>
      </c>
      <c r="Q62">
        <f t="shared" ref="Q62" si="286">F62*P62</f>
        <v>-1055854.461038958</v>
      </c>
      <c r="R62">
        <f t="shared" ref="R62" si="287">R63+Q62</f>
        <v>23626874.656590816</v>
      </c>
      <c r="S62">
        <f t="shared" ref="S62" si="288">R62/100000</f>
        <v>236.26874656590815</v>
      </c>
      <c r="T62">
        <f t="shared" ref="T62" si="289">S62/1000</f>
        <v>0.23626874656590816</v>
      </c>
    </row>
    <row r="63" spans="1:20" x14ac:dyDescent="0.25">
      <c r="A63" s="5">
        <v>44530</v>
      </c>
      <c r="B63">
        <v>0.88690000000000002</v>
      </c>
      <c r="C63">
        <v>0.89780000000000004</v>
      </c>
      <c r="D63">
        <v>0.85389999999999999</v>
      </c>
      <c r="E63">
        <v>0.85909999999999997</v>
      </c>
      <c r="F63">
        <v>1788743</v>
      </c>
      <c r="G63">
        <v>0.85909999999999997</v>
      </c>
      <c r="L63" t="s">
        <v>8</v>
      </c>
      <c r="M63" t="s">
        <v>7</v>
      </c>
      <c r="N63" t="s">
        <v>7</v>
      </c>
      <c r="P63">
        <f t="shared" ref="P63" si="290">IF(C63=D63,0,((E63-D63)-(C63-E63))/(C63-D63))</f>
        <v>-0.76309794988610591</v>
      </c>
      <c r="Q63">
        <f t="shared" ref="Q63" si="291">F63*P63</f>
        <v>-1364986.1161731228</v>
      </c>
      <c r="R63">
        <f t="shared" ref="R63" si="292">R64+Q63</f>
        <v>24682729.117629774</v>
      </c>
      <c r="S63">
        <f t="shared" ref="S63" si="293">R63/100000</f>
        <v>246.82729117629773</v>
      </c>
      <c r="T63">
        <f t="shared" ref="T63" si="294">S63/1000</f>
        <v>0.24682729117629773</v>
      </c>
    </row>
    <row r="64" spans="1:20" x14ac:dyDescent="0.25">
      <c r="A64" s="5">
        <v>44529</v>
      </c>
      <c r="B64">
        <v>0.87209999999999999</v>
      </c>
      <c r="C64">
        <v>0.89939999999999998</v>
      </c>
      <c r="D64">
        <v>0.86439999999999995</v>
      </c>
      <c r="E64">
        <v>0.88700000000000001</v>
      </c>
      <c r="F64">
        <v>1779308</v>
      </c>
      <c r="G64">
        <v>0.88700000000000001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0.29142857142857398</v>
      </c>
      <c r="Q64">
        <f t="shared" ref="Q64" si="296">F64*P64</f>
        <v>518541.18857143313</v>
      </c>
      <c r="R64">
        <f t="shared" ref="R64" si="297">R65+Q64</f>
        <v>26047715.233802896</v>
      </c>
      <c r="S64">
        <f t="shared" ref="S64" si="298">R64/100000</f>
        <v>260.47715233802899</v>
      </c>
      <c r="T64">
        <f t="shared" ref="T64" si="299">S64/1000</f>
        <v>0.26047715233802898</v>
      </c>
    </row>
    <row r="65" spans="1:20" x14ac:dyDescent="0.25">
      <c r="A65" s="5">
        <v>44528</v>
      </c>
      <c r="B65">
        <v>0.90049999999999997</v>
      </c>
      <c r="C65">
        <v>0.90159999999999996</v>
      </c>
      <c r="D65">
        <v>0.8155</v>
      </c>
      <c r="E65">
        <v>0.87250000000000005</v>
      </c>
      <c r="F65">
        <v>2506179</v>
      </c>
      <c r="G65">
        <v>0.87250000000000005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0.32404181184669179</v>
      </c>
      <c r="Q65">
        <f t="shared" ref="Q65" si="301">F65*P65</f>
        <v>812106.78397213016</v>
      </c>
      <c r="R65">
        <f t="shared" ref="R65" si="302">R66+Q65</f>
        <v>25529174.045231462</v>
      </c>
      <c r="S65">
        <f t="shared" ref="S65" si="303">R65/100000</f>
        <v>255.29174045231463</v>
      </c>
      <c r="T65">
        <f t="shared" ref="T65" si="304">S65/1000</f>
        <v>0.25529174045231462</v>
      </c>
    </row>
    <row r="66" spans="1:20" x14ac:dyDescent="0.25">
      <c r="A66" s="5">
        <v>44527</v>
      </c>
      <c r="B66">
        <v>0.87980000000000003</v>
      </c>
      <c r="C66">
        <v>0.93799999999999994</v>
      </c>
      <c r="D66">
        <v>0.87309999999999999</v>
      </c>
      <c r="E66">
        <v>0.90180000000000005</v>
      </c>
      <c r="F66">
        <v>3954557</v>
      </c>
      <c r="G66">
        <v>0.90180000000000005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-0.11556240369799453</v>
      </c>
      <c r="Q66">
        <f t="shared" ref="Q66" si="306">F66*P66</f>
        <v>-456998.11248073017</v>
      </c>
      <c r="R66">
        <f t="shared" ref="R66" si="307">R67+Q66</f>
        <v>24717067.261259332</v>
      </c>
      <c r="S66">
        <f t="shared" ref="S66" si="308">R66/100000</f>
        <v>247.17067261259334</v>
      </c>
      <c r="T66">
        <f t="shared" ref="T66" si="309">S66/1000</f>
        <v>0.24717067261259335</v>
      </c>
    </row>
    <row r="67" spans="1:20" x14ac:dyDescent="0.25">
      <c r="A67" s="5">
        <v>44526</v>
      </c>
      <c r="B67">
        <v>1.034</v>
      </c>
      <c r="C67">
        <v>1.048</v>
      </c>
      <c r="D67">
        <v>0.86770000000000003</v>
      </c>
      <c r="E67">
        <v>0.87939999999999996</v>
      </c>
      <c r="F67">
        <v>5352603</v>
      </c>
      <c r="G67">
        <v>0.87939999999999996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-0.87021630615640677</v>
      </c>
      <c r="Q67">
        <f t="shared" ref="Q67" si="311">F67*P67</f>
        <v>-4657922.4109817017</v>
      </c>
      <c r="R67">
        <f t="shared" ref="R67" si="312">R68+Q67</f>
        <v>25174065.373740062</v>
      </c>
      <c r="S67">
        <f t="shared" ref="S67" si="313">R67/100000</f>
        <v>251.74065373740063</v>
      </c>
      <c r="T67">
        <f t="shared" ref="T67" si="314">S67/1000</f>
        <v>0.25174065373740062</v>
      </c>
    </row>
    <row r="68" spans="1:20" x14ac:dyDescent="0.25">
      <c r="A68" s="5">
        <v>44525</v>
      </c>
      <c r="B68">
        <v>0.94199999999999995</v>
      </c>
      <c r="C68">
        <v>1.2336</v>
      </c>
      <c r="D68">
        <v>0.93799999999999994</v>
      </c>
      <c r="E68">
        <v>1.0321</v>
      </c>
      <c r="F68">
        <v>16191506</v>
      </c>
      <c r="G68">
        <v>1.0321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-0.36332882273342326</v>
      </c>
      <c r="Q68">
        <f t="shared" ref="Q68" si="316">F68*P68</f>
        <v>-5882840.8132611588</v>
      </c>
      <c r="R68">
        <f t="shared" ref="R68" si="317">R69+Q68</f>
        <v>29831987.784721762</v>
      </c>
      <c r="S68">
        <f t="shared" ref="S68" si="318">R68/100000</f>
        <v>298.31987784721764</v>
      </c>
      <c r="T68">
        <f t="shared" ref="T68" si="319">S68/1000</f>
        <v>0.29831987784721764</v>
      </c>
    </row>
    <row r="69" spans="1:20" x14ac:dyDescent="0.25">
      <c r="A69" s="5">
        <v>44524</v>
      </c>
      <c r="B69">
        <v>0.94259999999999999</v>
      </c>
      <c r="C69">
        <v>0.95069999999999999</v>
      </c>
      <c r="D69">
        <v>0.92249999999999999</v>
      </c>
      <c r="E69">
        <v>0.92410000000000003</v>
      </c>
      <c r="F69">
        <v>628465</v>
      </c>
      <c r="G69">
        <v>0.92410000000000003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-0.88652482269503219</v>
      </c>
      <c r="Q69">
        <f t="shared" ref="Q69" si="321">F69*P69</f>
        <v>-557149.82269503339</v>
      </c>
      <c r="R69">
        <f t="shared" ref="R69" si="322">R70+Q69</f>
        <v>35714828.597982921</v>
      </c>
      <c r="S69">
        <f t="shared" ref="S69" si="323">R69/100000</f>
        <v>357.14828597982921</v>
      </c>
      <c r="T69">
        <f t="shared" ref="T69" si="324">S69/1000</f>
        <v>0.35714828597982923</v>
      </c>
    </row>
    <row r="70" spans="1:20" x14ac:dyDescent="0.25">
      <c r="A70" s="5">
        <v>44523</v>
      </c>
      <c r="B70">
        <v>0.88759999999999994</v>
      </c>
      <c r="C70">
        <v>0.96360000000000001</v>
      </c>
      <c r="D70">
        <v>0.85880000000000001</v>
      </c>
      <c r="E70">
        <v>0.94159999999999999</v>
      </c>
      <c r="F70">
        <v>4610648</v>
      </c>
      <c r="G70">
        <v>0.94159999999999999</v>
      </c>
      <c r="L70" t="s">
        <v>8</v>
      </c>
      <c r="M70" t="s">
        <v>8</v>
      </c>
      <c r="N70" t="s">
        <v>8</v>
      </c>
      <c r="P70">
        <f t="shared" ref="P70" si="325">IF(C70=D70,0,((E70-D70)-(C70-E70))/(C70-D70))</f>
        <v>0.58015267175572482</v>
      </c>
      <c r="Q70">
        <f t="shared" ref="Q70" si="326">F70*P70</f>
        <v>2674879.7557251891</v>
      </c>
      <c r="R70">
        <f t="shared" ref="R70" si="327">R71+Q70</f>
        <v>36271978.420677952</v>
      </c>
      <c r="S70">
        <f t="shared" ref="S70" si="328">R70/100000</f>
        <v>362.71978420677954</v>
      </c>
      <c r="T70">
        <f t="shared" ref="T70" si="329">S70/1000</f>
        <v>0.36271978420677953</v>
      </c>
    </row>
    <row r="71" spans="1:20" x14ac:dyDescent="0.25">
      <c r="A71" s="5">
        <v>44522</v>
      </c>
      <c r="B71">
        <v>0.90269999999999995</v>
      </c>
      <c r="C71">
        <v>0.91149999999999998</v>
      </c>
      <c r="D71">
        <v>0.85240000000000005</v>
      </c>
      <c r="E71">
        <v>0.88790000000000002</v>
      </c>
      <c r="F71">
        <v>3734357</v>
      </c>
      <c r="G71">
        <v>0.88790000000000002</v>
      </c>
      <c r="L71" t="s">
        <v>7</v>
      </c>
      <c r="M71" t="s">
        <v>8</v>
      </c>
      <c r="N71" t="s">
        <v>8</v>
      </c>
      <c r="P71">
        <f t="shared" ref="P71" si="330">IF(C71=D71,0,((E71-D71)-(C71-E71))/(C71-D71))</f>
        <v>0.20135363790186186</v>
      </c>
      <c r="Q71">
        <f t="shared" ref="Q71" si="331">F71*P71</f>
        <v>751926.36717428314</v>
      </c>
      <c r="R71">
        <f t="shared" ref="R71" si="332">R72+Q71</f>
        <v>33597098.664952762</v>
      </c>
      <c r="S71">
        <f t="shared" ref="S71" si="333">R71/100000</f>
        <v>335.97098664952762</v>
      </c>
      <c r="T71">
        <f t="shared" ref="T71" si="334">S71/1000</f>
        <v>0.33597098664952763</v>
      </c>
    </row>
    <row r="72" spans="1:20" x14ac:dyDescent="0.25">
      <c r="A72" s="5">
        <v>44521</v>
      </c>
      <c r="B72">
        <v>0.87039999999999995</v>
      </c>
      <c r="C72">
        <v>0.96</v>
      </c>
      <c r="D72">
        <v>0.85799999999999998</v>
      </c>
      <c r="E72">
        <v>0.90229999999999999</v>
      </c>
      <c r="F72">
        <v>5425546</v>
      </c>
      <c r="G72">
        <v>0.90229999999999999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-0.13137254901960754</v>
      </c>
      <c r="Q72">
        <f t="shared" ref="Q72" si="336">F72*P72</f>
        <v>-712767.80784313567</v>
      </c>
      <c r="R72">
        <f t="shared" ref="R72" si="337">R73+Q72</f>
        <v>32845172.29777848</v>
      </c>
      <c r="S72">
        <f t="shared" ref="S72" si="338">R72/100000</f>
        <v>328.45172297778481</v>
      </c>
      <c r="T72">
        <f t="shared" ref="T72" si="339">S72/1000</f>
        <v>0.3284517229777848</v>
      </c>
    </row>
    <row r="73" spans="1:20" x14ac:dyDescent="0.25">
      <c r="A73" s="5">
        <v>44520</v>
      </c>
      <c r="B73">
        <v>0.82210000000000005</v>
      </c>
      <c r="C73">
        <v>0.88729999999999998</v>
      </c>
      <c r="D73">
        <v>0.81420000000000003</v>
      </c>
      <c r="E73">
        <v>0.87050000000000005</v>
      </c>
      <c r="F73">
        <v>2653504</v>
      </c>
      <c r="G73">
        <v>0.87050000000000005</v>
      </c>
      <c r="L73" t="s">
        <v>8</v>
      </c>
      <c r="M73" t="s">
        <v>7</v>
      </c>
      <c r="N73" t="s">
        <v>8</v>
      </c>
      <c r="P73">
        <f t="shared" ref="P73" si="340">IF(C73=D73,0,((E73-D73)-(C73-E73))/(C73-D73))</f>
        <v>0.54035567715458444</v>
      </c>
      <c r="Q73">
        <f t="shared" ref="Q73" si="341">F73*P73</f>
        <v>1433835.9507523985</v>
      </c>
      <c r="R73">
        <f t="shared" ref="R73" si="342">R74+Q73</f>
        <v>33557940.105621614</v>
      </c>
      <c r="S73">
        <f t="shared" ref="S73" si="343">R73/100000</f>
        <v>335.57940105621611</v>
      </c>
      <c r="T73">
        <f t="shared" ref="T73" si="344">S73/1000</f>
        <v>0.33557940105621609</v>
      </c>
    </row>
    <row r="74" spans="1:20" x14ac:dyDescent="0.25">
      <c r="A74" s="5">
        <v>44519</v>
      </c>
      <c r="B74">
        <v>0.7873</v>
      </c>
      <c r="C74">
        <v>0.82840000000000003</v>
      </c>
      <c r="D74">
        <v>0.77090000000000003</v>
      </c>
      <c r="E74">
        <v>0.82189999999999996</v>
      </c>
      <c r="F74">
        <v>1979882</v>
      </c>
      <c r="G74">
        <v>0.82189999999999996</v>
      </c>
      <c r="L74" t="s">
        <v>7</v>
      </c>
      <c r="M74" t="s">
        <v>7</v>
      </c>
      <c r="N74" t="s">
        <v>8</v>
      </c>
      <c r="P74">
        <f t="shared" ref="P74" si="345">IF(C74=D74,0,((E74-D74)-(C74-E74))/(C74-D74))</f>
        <v>0.77391304347825873</v>
      </c>
      <c r="Q74">
        <f t="shared" ref="Q74" si="346">F74*P74</f>
        <v>1532256.5043478219</v>
      </c>
      <c r="R74">
        <f t="shared" ref="R74" si="347">R75+Q74</f>
        <v>32124104.154869214</v>
      </c>
      <c r="S74">
        <f t="shared" ref="S74" si="348">R74/100000</f>
        <v>321.24104154869212</v>
      </c>
      <c r="T74">
        <f t="shared" ref="T74" si="349">S74/1000</f>
        <v>0.3212410415486921</v>
      </c>
    </row>
    <row r="75" spans="1:20" x14ac:dyDescent="0.25">
      <c r="A75" s="5">
        <v>44518</v>
      </c>
      <c r="B75">
        <v>0.86880000000000002</v>
      </c>
      <c r="C75">
        <v>0.87490000000000001</v>
      </c>
      <c r="D75">
        <v>0.77900000000000003</v>
      </c>
      <c r="E75">
        <v>0.78939999999999999</v>
      </c>
      <c r="F75">
        <v>2162764</v>
      </c>
      <c r="G75">
        <v>0.78939999999999999</v>
      </c>
      <c r="L75" t="s">
        <v>7</v>
      </c>
      <c r="M75" t="s">
        <v>7</v>
      </c>
      <c r="N75" t="s">
        <v>8</v>
      </c>
      <c r="P75">
        <f t="shared" ref="P75" si="350">IF(C75=D75,0,((E75-D75)-(C75-E75))/(C75-D75))</f>
        <v>-0.78310740354536046</v>
      </c>
      <c r="Q75">
        <f t="shared" ref="Q75" si="351">F75*P75</f>
        <v>-1693676.5005213779</v>
      </c>
      <c r="R75">
        <f t="shared" ref="R75" si="352">R76+Q75</f>
        <v>30591847.65052139</v>
      </c>
      <c r="S75">
        <f t="shared" ref="S75" si="353">R75/100000</f>
        <v>305.9184765052139</v>
      </c>
      <c r="T75">
        <f t="shared" ref="T75" si="354">S75/1000</f>
        <v>0.30591847650521392</v>
      </c>
    </row>
    <row r="76" spans="1:20" x14ac:dyDescent="0.25">
      <c r="A76" s="5">
        <v>44517</v>
      </c>
      <c r="B76">
        <v>0.88019999999999998</v>
      </c>
      <c r="C76">
        <v>0.88870000000000005</v>
      </c>
      <c r="D76">
        <v>0.83069999999999999</v>
      </c>
      <c r="E76">
        <v>0.86990000000000001</v>
      </c>
      <c r="F76">
        <v>2250971</v>
      </c>
      <c r="G76">
        <v>0.86990000000000001</v>
      </c>
      <c r="L76" t="s">
        <v>7</v>
      </c>
      <c r="M76" t="s">
        <v>7</v>
      </c>
      <c r="N76" t="s">
        <v>8</v>
      </c>
      <c r="P76">
        <f t="shared" ref="P76" si="355">IF(C76=D76,0,((E76-D76)-(C76-E76))/(C76-D76))</f>
        <v>0.35172413793103374</v>
      </c>
      <c r="Q76">
        <f t="shared" ref="Q76" si="356">F76*P76</f>
        <v>791720.83448275691</v>
      </c>
      <c r="R76">
        <f t="shared" ref="R76" si="357">R77+Q76</f>
        <v>32285524.151042767</v>
      </c>
      <c r="S76">
        <f t="shared" ref="S76" si="358">R76/100000</f>
        <v>322.85524151042767</v>
      </c>
      <c r="T76">
        <f t="shared" ref="T76" si="359">S76/1000</f>
        <v>0.32285524151042766</v>
      </c>
    </row>
    <row r="77" spans="1:20" x14ac:dyDescent="0.25">
      <c r="A77" s="5">
        <v>44516</v>
      </c>
      <c r="B77">
        <v>0.93520000000000003</v>
      </c>
      <c r="C77">
        <v>0.93630000000000002</v>
      </c>
      <c r="D77">
        <v>0.8448</v>
      </c>
      <c r="E77">
        <v>0.8821</v>
      </c>
      <c r="F77">
        <v>2711174</v>
      </c>
      <c r="G77">
        <v>0.8821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-0.18469945355191281</v>
      </c>
      <c r="Q77">
        <f t="shared" ref="Q77" si="361">F77*P77</f>
        <v>-500752.35628415365</v>
      </c>
      <c r="R77">
        <f t="shared" ref="R77" si="362">R78+Q77</f>
        <v>31493803.316560011</v>
      </c>
      <c r="S77">
        <f t="shared" ref="S77" si="363">R77/100000</f>
        <v>314.93803316560013</v>
      </c>
      <c r="T77">
        <f t="shared" ref="T77" si="364">S77/1000</f>
        <v>0.31493803316560015</v>
      </c>
    </row>
    <row r="78" spans="1:20" x14ac:dyDescent="0.25">
      <c r="A78" s="5">
        <v>44515</v>
      </c>
      <c r="B78">
        <v>0.9496</v>
      </c>
      <c r="C78">
        <v>0.98650000000000004</v>
      </c>
      <c r="D78">
        <v>0.93200000000000005</v>
      </c>
      <c r="E78">
        <v>0.93510000000000004</v>
      </c>
      <c r="F78">
        <v>1645972</v>
      </c>
      <c r="G78">
        <v>0.93510000000000004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-0.88623853211009207</v>
      </c>
      <c r="Q78">
        <f t="shared" ref="Q78" si="366">F78*P78</f>
        <v>-1458723.8091743125</v>
      </c>
      <c r="R78">
        <f t="shared" ref="R78" si="367">R79+Q78</f>
        <v>31994555.672844164</v>
      </c>
      <c r="S78">
        <f t="shared" ref="S78" si="368">R78/100000</f>
        <v>319.94555672844166</v>
      </c>
      <c r="T78">
        <f t="shared" ref="T78" si="369">S78/1000</f>
        <v>0.31994555672844166</v>
      </c>
    </row>
    <row r="79" spans="1:20" x14ac:dyDescent="0.25">
      <c r="A79" s="5">
        <v>44514</v>
      </c>
      <c r="B79">
        <v>0.93910000000000005</v>
      </c>
      <c r="C79">
        <v>0.9597</v>
      </c>
      <c r="D79">
        <v>0.91790000000000005</v>
      </c>
      <c r="E79">
        <v>0.95120000000000005</v>
      </c>
      <c r="F79">
        <v>1887751</v>
      </c>
      <c r="G79">
        <v>0.95120000000000005</v>
      </c>
      <c r="L79" t="s">
        <v>7</v>
      </c>
      <c r="M79" t="s">
        <v>8</v>
      </c>
      <c r="N79" t="s">
        <v>8</v>
      </c>
      <c r="P79">
        <f t="shared" ref="P79" si="370">IF(C79=D79,0,((E79-D79)-(C79-E79))/(C79-D79))</f>
        <v>0.59330143540670033</v>
      </c>
      <c r="Q79">
        <f t="shared" ref="Q79" si="371">F79*P79</f>
        <v>1120005.3779904339</v>
      </c>
      <c r="R79">
        <f t="shared" ref="R79" si="372">R80+Q79</f>
        <v>33453279.482018478</v>
      </c>
      <c r="S79">
        <f t="shared" ref="S79" si="373">R79/100000</f>
        <v>334.53279482018479</v>
      </c>
      <c r="T79">
        <f t="shared" ref="T79" si="374">S79/1000</f>
        <v>0.33453279482018478</v>
      </c>
    </row>
    <row r="80" spans="1:20" x14ac:dyDescent="0.25">
      <c r="A80" s="5">
        <v>44513</v>
      </c>
      <c r="B80">
        <v>0.94899999999999995</v>
      </c>
      <c r="C80">
        <v>0.96230000000000004</v>
      </c>
      <c r="D80">
        <v>0.92430000000000001</v>
      </c>
      <c r="E80">
        <v>0.93879999999999997</v>
      </c>
      <c r="F80">
        <v>2092233</v>
      </c>
      <c r="G80">
        <v>0.93879999999999997</v>
      </c>
      <c r="L80" t="s">
        <v>7</v>
      </c>
      <c r="M80" t="s">
        <v>8</v>
      </c>
      <c r="N80" t="s">
        <v>8</v>
      </c>
      <c r="P80">
        <f t="shared" ref="P80" si="375">IF(C80=D80,0,((E80-D80)-(C80-E80))/(C80-D80))</f>
        <v>-0.23684210526316082</v>
      </c>
      <c r="Q80">
        <f t="shared" ref="Q80" si="376">F80*P80</f>
        <v>-495528.86842105875</v>
      </c>
      <c r="R80">
        <f t="shared" ref="R80" si="377">R81+Q80</f>
        <v>32333274.104028046</v>
      </c>
      <c r="S80">
        <f t="shared" ref="S80" si="378">R80/100000</f>
        <v>323.33274104028044</v>
      </c>
      <c r="T80">
        <f t="shared" ref="T80" si="379">S80/1000</f>
        <v>0.32333274104028042</v>
      </c>
    </row>
    <row r="81" spans="1:20" x14ac:dyDescent="0.25">
      <c r="A81" s="5">
        <v>44512</v>
      </c>
      <c r="B81">
        <v>0.96440000000000003</v>
      </c>
      <c r="C81">
        <v>0.97599999999999998</v>
      </c>
      <c r="D81">
        <v>0.91449999999999998</v>
      </c>
      <c r="E81">
        <v>0.9476</v>
      </c>
      <c r="F81">
        <v>1791300</v>
      </c>
      <c r="G81">
        <v>0.9476</v>
      </c>
      <c r="L81" t="s">
        <v>7</v>
      </c>
      <c r="M81" t="s">
        <v>8</v>
      </c>
      <c r="N81" t="s">
        <v>8</v>
      </c>
      <c r="P81">
        <f t="shared" ref="P81" si="380">IF(C81=D81,0,((E81-D81)-(C81-E81))/(C81-D81))</f>
        <v>7.6422764227642881E-2</v>
      </c>
      <c r="Q81">
        <f t="shared" ref="Q81" si="381">F81*P81</f>
        <v>136896.09756097669</v>
      </c>
      <c r="R81">
        <f t="shared" ref="R81" si="382">R82+Q81</f>
        <v>32828802.972449105</v>
      </c>
      <c r="S81">
        <f t="shared" ref="S81" si="383">R81/100000</f>
        <v>328.28802972449103</v>
      </c>
      <c r="T81">
        <f t="shared" ref="T81" si="384">S81/1000</f>
        <v>0.328288029724491</v>
      </c>
    </row>
    <row r="82" spans="1:20" x14ac:dyDescent="0.25">
      <c r="A82" s="5">
        <v>44511</v>
      </c>
      <c r="B82">
        <v>0.95179999999999998</v>
      </c>
      <c r="C82">
        <v>0.9859</v>
      </c>
      <c r="D82">
        <v>0.94030000000000002</v>
      </c>
      <c r="E82">
        <v>0.96350000000000002</v>
      </c>
      <c r="F82">
        <v>1400509</v>
      </c>
      <c r="G82">
        <v>0.96350000000000002</v>
      </c>
      <c r="L82" t="s">
        <v>7</v>
      </c>
      <c r="M82" t="s">
        <v>8</v>
      </c>
      <c r="N82" t="s">
        <v>8</v>
      </c>
      <c r="P82">
        <f t="shared" ref="P82" si="385">IF(C82=D82,0,((E82-D82)-(C82-E82))/(C82-D82))</f>
        <v>1.754385964912332E-2</v>
      </c>
      <c r="Q82">
        <f t="shared" ref="Q82" si="386">F82*P82</f>
        <v>24570.333333334052</v>
      </c>
      <c r="R82">
        <f t="shared" ref="R82" si="387">R83+Q82</f>
        <v>32691906.87488813</v>
      </c>
      <c r="S82">
        <f t="shared" ref="S82" si="388">R82/100000</f>
        <v>326.91906874888127</v>
      </c>
      <c r="T82">
        <f t="shared" ref="T82" si="389">S82/1000</f>
        <v>0.32691906874888127</v>
      </c>
    </row>
    <row r="83" spans="1:20" x14ac:dyDescent="0.25">
      <c r="A83" s="5">
        <v>44510</v>
      </c>
      <c r="B83">
        <v>0.98440000000000005</v>
      </c>
      <c r="C83">
        <v>1.038</v>
      </c>
      <c r="D83">
        <v>0.93</v>
      </c>
      <c r="E83">
        <v>0.95009999999999994</v>
      </c>
      <c r="F83">
        <v>2817022</v>
      </c>
      <c r="G83">
        <v>0.95009999999999994</v>
      </c>
      <c r="L83" t="s">
        <v>7</v>
      </c>
      <c r="M83" t="s">
        <v>8</v>
      </c>
      <c r="N83" t="s">
        <v>8</v>
      </c>
      <c r="P83">
        <f t="shared" ref="P83" si="390">IF(C83=D83,0,((E83-D83)-(C83-E83))/(C83-D83))</f>
        <v>-0.62777777777777966</v>
      </c>
      <c r="Q83">
        <f t="shared" ref="Q83" si="391">F83*P83</f>
        <v>-1768463.8111111163</v>
      </c>
      <c r="R83">
        <f t="shared" ref="R83" si="392">R84+Q83</f>
        <v>32667336.541554794</v>
      </c>
      <c r="S83">
        <f t="shared" ref="S83" si="393">R83/100000</f>
        <v>326.67336541554795</v>
      </c>
      <c r="T83">
        <f t="shared" ref="T83" si="394">S83/1000</f>
        <v>0.32667336541554792</v>
      </c>
    </row>
    <row r="84" spans="1:20" x14ac:dyDescent="0.25">
      <c r="A84" s="5">
        <v>44509</v>
      </c>
      <c r="B84">
        <v>1.0004</v>
      </c>
      <c r="C84">
        <v>1.02</v>
      </c>
      <c r="D84">
        <v>0.9738</v>
      </c>
      <c r="E84">
        <v>0.98519999999999996</v>
      </c>
      <c r="F84">
        <v>1971711</v>
      </c>
      <c r="G84">
        <v>0.98519999999999996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-0.50649350649350822</v>
      </c>
      <c r="Q84">
        <f t="shared" ref="Q84" si="396">F84*P84</f>
        <v>-998658.81818182161</v>
      </c>
      <c r="R84">
        <f t="shared" ref="R84" si="397">R85+Q84</f>
        <v>34435800.352665909</v>
      </c>
      <c r="S84">
        <f t="shared" ref="S84" si="398">R84/100000</f>
        <v>344.3580035266591</v>
      </c>
      <c r="T84">
        <f t="shared" ref="T84" si="399">S84/1000</f>
        <v>0.34435800352665913</v>
      </c>
    </row>
    <row r="85" spans="1:20" x14ac:dyDescent="0.25">
      <c r="A85" s="5">
        <v>44508</v>
      </c>
      <c r="B85">
        <v>0.99919999999999998</v>
      </c>
      <c r="C85">
        <v>1.036</v>
      </c>
      <c r="D85">
        <v>0.97170000000000001</v>
      </c>
      <c r="E85">
        <v>1.0004</v>
      </c>
      <c r="F85">
        <v>2841952</v>
      </c>
      <c r="G85">
        <v>1.0004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-0.10730948678071735</v>
      </c>
      <c r="Q85">
        <f t="shared" ref="Q85" si="401">F85*P85</f>
        <v>-304968.41057543323</v>
      </c>
      <c r="R85">
        <f t="shared" ref="R85" si="402">R86+Q85</f>
        <v>35434459.170847729</v>
      </c>
      <c r="S85">
        <f t="shared" ref="S85" si="403">R85/100000</f>
        <v>354.34459170847731</v>
      </c>
      <c r="T85">
        <f t="shared" ref="T85" si="404">S85/1000</f>
        <v>0.35434459170847732</v>
      </c>
    </row>
    <row r="86" spans="1:20" x14ac:dyDescent="0.25">
      <c r="A86" s="5">
        <v>44507</v>
      </c>
      <c r="B86">
        <v>0.9496</v>
      </c>
      <c r="C86">
        <v>1.0043</v>
      </c>
      <c r="D86">
        <v>0.94259999999999999</v>
      </c>
      <c r="E86">
        <v>0.99919999999999998</v>
      </c>
      <c r="F86">
        <v>1641427</v>
      </c>
      <c r="G86">
        <v>0.99919999999999998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0.83468395461912492</v>
      </c>
      <c r="Q86">
        <f t="shared" ref="Q86" si="406">F86*P86</f>
        <v>1370072.7795786064</v>
      </c>
      <c r="R86">
        <f t="shared" ref="R86" si="407">R87+Q86</f>
        <v>35739427.581423163</v>
      </c>
      <c r="S86">
        <f t="shared" ref="S86" si="408">R86/100000</f>
        <v>357.39427581423166</v>
      </c>
      <c r="T86">
        <f t="shared" ref="T86" si="409">S86/1000</f>
        <v>0.35739427581423167</v>
      </c>
    </row>
    <row r="87" spans="1:20" x14ac:dyDescent="0.25">
      <c r="A87" s="5">
        <v>44506</v>
      </c>
      <c r="B87">
        <v>0.95199999999999996</v>
      </c>
      <c r="C87">
        <v>0.97199999999999998</v>
      </c>
      <c r="D87">
        <v>0.93159999999999998</v>
      </c>
      <c r="E87">
        <v>0.94940000000000002</v>
      </c>
      <c r="F87">
        <v>1383669</v>
      </c>
      <c r="G87">
        <v>0.94940000000000002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-0.11881188118811674</v>
      </c>
      <c r="Q87">
        <f t="shared" ref="Q87" si="411">F87*P87</f>
        <v>-164396.31683168031</v>
      </c>
      <c r="R87">
        <f t="shared" ref="R87" si="412">R88+Q87</f>
        <v>34369354.80184456</v>
      </c>
      <c r="S87">
        <f t="shared" ref="S87" si="413">R87/100000</f>
        <v>343.6935480184456</v>
      </c>
      <c r="T87">
        <f t="shared" ref="T87" si="414">S87/1000</f>
        <v>0.34369354801844559</v>
      </c>
    </row>
    <row r="88" spans="1:20" x14ac:dyDescent="0.25">
      <c r="A88" s="5">
        <v>44505</v>
      </c>
      <c r="B88">
        <v>0.97660000000000002</v>
      </c>
      <c r="C88">
        <v>0.9899</v>
      </c>
      <c r="D88">
        <v>0.9375</v>
      </c>
      <c r="E88">
        <v>0.95340000000000003</v>
      </c>
      <c r="F88">
        <v>2429353</v>
      </c>
      <c r="G88">
        <v>0.95340000000000003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-0.39312977099236546</v>
      </c>
      <c r="Q88">
        <f t="shared" ref="Q88" si="416">F88*P88</f>
        <v>-955050.98854961595</v>
      </c>
      <c r="R88">
        <f t="shared" ref="R88" si="417">R89+Q88</f>
        <v>34533751.118676238</v>
      </c>
      <c r="S88">
        <f t="shared" ref="S88" si="418">R88/100000</f>
        <v>345.33751118676236</v>
      </c>
      <c r="T88">
        <f t="shared" ref="T88" si="419">S88/1000</f>
        <v>0.34533751118676237</v>
      </c>
    </row>
    <row r="89" spans="1:20" x14ac:dyDescent="0.25">
      <c r="A89" s="5">
        <v>44504</v>
      </c>
      <c r="B89">
        <v>1.0348999999999999</v>
      </c>
      <c r="C89">
        <v>1.0383</v>
      </c>
      <c r="D89">
        <v>0.95420000000000005</v>
      </c>
      <c r="E89">
        <v>0.97599999999999998</v>
      </c>
      <c r="F89">
        <v>2859453</v>
      </c>
      <c r="G89">
        <v>0.97599999999999998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-0.48156956004756379</v>
      </c>
      <c r="Q89">
        <f t="shared" ref="Q89" si="421">F89*P89</f>
        <v>-1377025.5231866864</v>
      </c>
      <c r="R89">
        <f t="shared" ref="R89" si="422">R90+Q89</f>
        <v>35488802.10722585</v>
      </c>
      <c r="S89">
        <f t="shared" ref="S89" si="423">R89/100000</f>
        <v>354.88802107225848</v>
      </c>
      <c r="T89">
        <f t="shared" ref="T89" si="424">S89/1000</f>
        <v>0.35488802107225847</v>
      </c>
    </row>
    <row r="90" spans="1:20" x14ac:dyDescent="0.25">
      <c r="A90" s="5">
        <v>44503</v>
      </c>
      <c r="B90">
        <v>0.98560000000000003</v>
      </c>
      <c r="C90">
        <v>1.08</v>
      </c>
      <c r="D90">
        <v>0.97919999999999996</v>
      </c>
      <c r="E90">
        <v>1.0346</v>
      </c>
      <c r="F90">
        <v>5106719</v>
      </c>
      <c r="G90">
        <v>1.0346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9.9206349206348077E-2</v>
      </c>
      <c r="Q90">
        <f t="shared" ref="Q90" si="426">F90*P90</f>
        <v>506618.94841269264</v>
      </c>
      <c r="R90">
        <f t="shared" ref="R90" si="427">R91+Q90</f>
        <v>36865827.630412534</v>
      </c>
      <c r="S90">
        <f t="shared" ref="S90" si="428">R90/100000</f>
        <v>368.65827630412537</v>
      </c>
      <c r="T90">
        <f t="shared" ref="T90" si="429">S90/1000</f>
        <v>0.36865827630412534</v>
      </c>
    </row>
    <row r="91" spans="1:20" x14ac:dyDescent="0.25">
      <c r="A91" s="5">
        <v>44502</v>
      </c>
      <c r="B91">
        <v>0.95720000000000005</v>
      </c>
      <c r="C91">
        <v>1.0285</v>
      </c>
      <c r="D91">
        <v>0.94210000000000005</v>
      </c>
      <c r="E91">
        <v>0.98580000000000001</v>
      </c>
      <c r="F91">
        <v>3912410</v>
      </c>
      <c r="G91">
        <v>0.98580000000000001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1.1574074074074094E-2</v>
      </c>
      <c r="Q91">
        <f t="shared" ref="Q91" si="431">F91*P91</f>
        <v>45282.523148148226</v>
      </c>
      <c r="R91">
        <f t="shared" ref="R91" si="432">R92+Q91</f>
        <v>36359208.68199984</v>
      </c>
      <c r="S91">
        <f t="shared" ref="S91" si="433">R91/100000</f>
        <v>363.59208681999837</v>
      </c>
      <c r="T91">
        <f t="shared" ref="T91" si="434">S91/1000</f>
        <v>0.36359208681999838</v>
      </c>
    </row>
    <row r="92" spans="1:20" x14ac:dyDescent="0.25">
      <c r="A92" s="5">
        <v>44501</v>
      </c>
      <c r="B92">
        <v>0.94059999999999999</v>
      </c>
      <c r="C92">
        <v>0.97</v>
      </c>
      <c r="D92">
        <v>0.90259999999999996</v>
      </c>
      <c r="E92">
        <v>0.95779999999999998</v>
      </c>
      <c r="F92">
        <v>2549039</v>
      </c>
      <c r="G92">
        <v>0.95779999999999998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0.63798219584569771</v>
      </c>
      <c r="Q92">
        <f t="shared" ref="Q92" si="436">F92*P92</f>
        <v>1626241.4985163214</v>
      </c>
      <c r="R92">
        <f t="shared" ref="R92" si="437">R93+Q92</f>
        <v>36313926.158851691</v>
      </c>
      <c r="S92">
        <f t="shared" ref="S92" si="438">R92/100000</f>
        <v>363.13926158851689</v>
      </c>
      <c r="T92">
        <f t="shared" ref="T92" si="439">S92/1000</f>
        <v>0.36313926158851689</v>
      </c>
    </row>
    <row r="93" spans="1:20" x14ac:dyDescent="0.25">
      <c r="A93" s="5">
        <v>44500</v>
      </c>
      <c r="B93">
        <v>0.93089999999999995</v>
      </c>
      <c r="C93">
        <v>0.96020000000000005</v>
      </c>
      <c r="D93">
        <v>0.91010000000000002</v>
      </c>
      <c r="E93">
        <v>0.93940000000000001</v>
      </c>
      <c r="F93">
        <v>2459750</v>
      </c>
      <c r="G93">
        <v>0.93940000000000001</v>
      </c>
      <c r="L93" t="s">
        <v>8</v>
      </c>
      <c r="M93" t="s">
        <v>7</v>
      </c>
      <c r="N93" t="s">
        <v>8</v>
      </c>
      <c r="P93">
        <f t="shared" ref="P93" si="440">IF(C93=D93,0,((E93-D93)-(C93-E93))/(C93-D93))</f>
        <v>0.1696606786427135</v>
      </c>
      <c r="Q93">
        <f t="shared" ref="Q93" si="441">F93*P93</f>
        <v>417322.85429141455</v>
      </c>
      <c r="R93">
        <f t="shared" ref="R93" si="442">R94+Q93</f>
        <v>34687684.660335369</v>
      </c>
      <c r="S93">
        <f t="shared" ref="S93" si="443">R93/100000</f>
        <v>346.87684660335367</v>
      </c>
      <c r="T93">
        <f t="shared" ref="T93" si="444">S93/1000</f>
        <v>0.34687684660335366</v>
      </c>
    </row>
    <row r="94" spans="1:20" x14ac:dyDescent="0.25">
      <c r="A94" s="5">
        <v>44499</v>
      </c>
      <c r="B94">
        <v>0.89690000000000003</v>
      </c>
      <c r="C94">
        <v>0.95499999999999996</v>
      </c>
      <c r="D94">
        <v>0.88149999999999995</v>
      </c>
      <c r="E94">
        <v>0.93</v>
      </c>
      <c r="F94">
        <v>2677176</v>
      </c>
      <c r="G94">
        <v>0.93</v>
      </c>
      <c r="L94" t="s">
        <v>8</v>
      </c>
      <c r="M94" t="s">
        <v>7</v>
      </c>
      <c r="N94" t="s">
        <v>8</v>
      </c>
      <c r="P94">
        <f t="shared" ref="P94" si="445">IF(C94=D94,0,((E94-D94)-(C94-E94))/(C94-D94))</f>
        <v>0.3197278911564651</v>
      </c>
      <c r="Q94">
        <f t="shared" ref="Q94" si="446">F94*P94</f>
        <v>855967.8367347006</v>
      </c>
      <c r="R94">
        <f t="shared" ref="R94" si="447">R95+Q94</f>
        <v>34270361.806043953</v>
      </c>
      <c r="S94">
        <f t="shared" ref="S94" si="448">R94/100000</f>
        <v>342.70361806043951</v>
      </c>
      <c r="T94">
        <f t="shared" ref="T94" si="449">S94/1000</f>
        <v>0.34270361806043953</v>
      </c>
    </row>
    <row r="95" spans="1:20" x14ac:dyDescent="0.25">
      <c r="A95" s="5">
        <v>44498</v>
      </c>
      <c r="B95">
        <v>0.88060000000000005</v>
      </c>
      <c r="C95">
        <v>0.90139999999999998</v>
      </c>
      <c r="D95">
        <v>0.86939999999999995</v>
      </c>
      <c r="E95">
        <v>0.89590000000000003</v>
      </c>
      <c r="F95">
        <v>1370338</v>
      </c>
      <c r="G95">
        <v>0.89590000000000003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0.65625000000000344</v>
      </c>
      <c r="Q95">
        <f t="shared" ref="Q95" si="451">F95*P95</f>
        <v>899284.31250000477</v>
      </c>
      <c r="R95">
        <f t="shared" ref="R95" si="452">R96+Q95</f>
        <v>33414393.969309255</v>
      </c>
      <c r="S95">
        <f t="shared" ref="S95" si="453">R95/100000</f>
        <v>334.14393969309253</v>
      </c>
      <c r="T95">
        <f t="shared" ref="T95" si="454">S95/1000</f>
        <v>0.33414393969309253</v>
      </c>
    </row>
    <row r="96" spans="1:20" x14ac:dyDescent="0.25">
      <c r="A96" s="5">
        <v>44497</v>
      </c>
      <c r="B96">
        <v>0.84460000000000002</v>
      </c>
      <c r="C96">
        <v>0.89229999999999998</v>
      </c>
      <c r="D96">
        <v>0.84109999999999996</v>
      </c>
      <c r="E96">
        <v>0.88070000000000004</v>
      </c>
      <c r="F96">
        <v>1416898</v>
      </c>
      <c r="G96">
        <v>0.88070000000000004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0.54687500000000244</v>
      </c>
      <c r="Q96">
        <f t="shared" ref="Q96" si="456">F96*P96</f>
        <v>774866.09375000349</v>
      </c>
      <c r="R96">
        <f t="shared" ref="R96" si="457">R97+Q96</f>
        <v>32515109.656809252</v>
      </c>
      <c r="S96">
        <f t="shared" ref="S96" si="458">R96/100000</f>
        <v>325.1510965680925</v>
      </c>
      <c r="T96">
        <f t="shared" ref="T96" si="459">S96/1000</f>
        <v>0.32515109656809249</v>
      </c>
    </row>
    <row r="97" spans="1:20" x14ac:dyDescent="0.25">
      <c r="A97" s="5">
        <v>44496</v>
      </c>
      <c r="B97">
        <v>0.91979999999999995</v>
      </c>
      <c r="C97">
        <v>0.92910000000000004</v>
      </c>
      <c r="D97">
        <v>0.84450000000000003</v>
      </c>
      <c r="E97">
        <v>0.84609999999999996</v>
      </c>
      <c r="F97">
        <v>2156744</v>
      </c>
      <c r="G97">
        <v>0.84609999999999996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-0.96217494089834665</v>
      </c>
      <c r="Q97">
        <f t="shared" ref="Q97" si="461">F97*P97</f>
        <v>-2075165.0307328638</v>
      </c>
      <c r="R97">
        <f t="shared" ref="R97" si="462">R98+Q97</f>
        <v>31740243.563059248</v>
      </c>
      <c r="S97">
        <f t="shared" ref="S97" si="463">R97/100000</f>
        <v>317.40243563059249</v>
      </c>
      <c r="T97">
        <f t="shared" ref="T97" si="464">S97/1000</f>
        <v>0.31740243563059251</v>
      </c>
    </row>
    <row r="98" spans="1:20" x14ac:dyDescent="0.25">
      <c r="A98" s="5">
        <v>44495</v>
      </c>
      <c r="B98">
        <v>0.93669999999999998</v>
      </c>
      <c r="C98">
        <v>0.94599999999999995</v>
      </c>
      <c r="D98">
        <v>0.91100000000000003</v>
      </c>
      <c r="E98">
        <v>0.91990000000000005</v>
      </c>
      <c r="F98">
        <v>1904137</v>
      </c>
      <c r="G98">
        <v>0.91990000000000005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-0.49142857142856916</v>
      </c>
      <c r="Q98">
        <f t="shared" ref="Q98" si="466">F98*P98</f>
        <v>-935747.32571428141</v>
      </c>
      <c r="R98">
        <f t="shared" ref="R98" si="467">R99+Q98</f>
        <v>33815408.593792111</v>
      </c>
      <c r="S98">
        <f t="shared" ref="S98" si="468">R98/100000</f>
        <v>338.15408593792108</v>
      </c>
      <c r="T98">
        <f t="shared" ref="T98" si="469">S98/1000</f>
        <v>0.33815408593792107</v>
      </c>
    </row>
    <row r="99" spans="1:20" x14ac:dyDescent="0.25">
      <c r="A99" s="5">
        <v>44494</v>
      </c>
      <c r="B99">
        <v>0.91669999999999996</v>
      </c>
      <c r="C99">
        <v>0.95609999999999995</v>
      </c>
      <c r="D99">
        <v>0.90939999999999999</v>
      </c>
      <c r="E99">
        <v>0.93659999999999999</v>
      </c>
      <c r="F99">
        <v>5709454</v>
      </c>
      <c r="G99">
        <v>0.93659999999999999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0.16488222698072905</v>
      </c>
      <c r="Q99">
        <f t="shared" ref="Q99" si="471">F99*P99</f>
        <v>941387.4903640314</v>
      </c>
      <c r="R99">
        <f t="shared" ref="R99" si="472">R100+Q99</f>
        <v>34751155.919506393</v>
      </c>
      <c r="S99">
        <f t="shared" ref="S99" si="473">R99/100000</f>
        <v>347.51155919506391</v>
      </c>
      <c r="T99">
        <f t="shared" ref="T99" si="474">S99/1000</f>
        <v>0.34751155919506393</v>
      </c>
    </row>
    <row r="100" spans="1:20" x14ac:dyDescent="0.25">
      <c r="A100" s="5">
        <v>44493</v>
      </c>
      <c r="B100">
        <v>0.94310000000000005</v>
      </c>
      <c r="C100">
        <v>0.95669999999999999</v>
      </c>
      <c r="D100">
        <v>0.9</v>
      </c>
      <c r="E100">
        <v>0.91659999999999997</v>
      </c>
      <c r="F100">
        <v>2441929</v>
      </c>
      <c r="G100">
        <v>0.91659999999999997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-0.41446208112874933</v>
      </c>
      <c r="Q100">
        <f t="shared" ref="Q100" si="476">F100*P100</f>
        <v>-1012086.9753086457</v>
      </c>
      <c r="R100">
        <f t="shared" ref="R100" si="477">R101+Q100</f>
        <v>33809768.429142363</v>
      </c>
      <c r="S100">
        <f t="shared" ref="S100" si="478">R100/100000</f>
        <v>338.09768429142366</v>
      </c>
      <c r="T100">
        <f t="shared" ref="T100" si="479">S100/1000</f>
        <v>0.33809768429142367</v>
      </c>
    </row>
    <row r="101" spans="1:20" x14ac:dyDescent="0.25">
      <c r="A101" s="5">
        <v>44492</v>
      </c>
      <c r="B101">
        <v>0.90269999999999995</v>
      </c>
      <c r="C101">
        <v>0.99980000000000002</v>
      </c>
      <c r="D101">
        <v>0.89749999999999996</v>
      </c>
      <c r="E101">
        <v>0.94359999999999999</v>
      </c>
      <c r="F101">
        <v>5635714</v>
      </c>
      <c r="G101">
        <v>0.94359999999999999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-9.8729227761485752E-2</v>
      </c>
      <c r="Q101">
        <f t="shared" ref="Q101" si="481">F101*P101</f>
        <v>-556409.69110459392</v>
      </c>
      <c r="R101">
        <f t="shared" ref="R101" si="482">R102+Q101</f>
        <v>34821855.404451013</v>
      </c>
      <c r="S101">
        <f t="shared" ref="S101" si="483">R101/100000</f>
        <v>348.21855404451014</v>
      </c>
      <c r="T101">
        <f t="shared" ref="T101" si="484">S101/1000</f>
        <v>0.34821855404451013</v>
      </c>
    </row>
    <row r="102" spans="1:20" x14ac:dyDescent="0.25">
      <c r="A102" s="5">
        <v>44491</v>
      </c>
      <c r="B102">
        <v>0.89780000000000004</v>
      </c>
      <c r="C102">
        <v>0.94399999999999995</v>
      </c>
      <c r="D102">
        <v>0.89300000000000002</v>
      </c>
      <c r="E102">
        <v>0.90269999999999995</v>
      </c>
      <c r="F102">
        <v>1543670</v>
      </c>
      <c r="G102">
        <v>0.90269999999999995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-0.61960784313725714</v>
      </c>
      <c r="Q102">
        <f t="shared" ref="Q102" si="486">F102*P102</f>
        <v>-956470.03921568976</v>
      </c>
      <c r="R102">
        <f t="shared" ref="R102" si="487">R103+Q102</f>
        <v>35378265.095555604</v>
      </c>
      <c r="S102">
        <f t="shared" ref="S102" si="488">R102/100000</f>
        <v>353.78265095555605</v>
      </c>
      <c r="T102">
        <f t="shared" ref="T102" si="489">S102/1000</f>
        <v>0.35378265095555606</v>
      </c>
    </row>
    <row r="103" spans="1:20" x14ac:dyDescent="0.25">
      <c r="A103" s="5">
        <v>44490</v>
      </c>
      <c r="B103">
        <v>0.93630000000000002</v>
      </c>
      <c r="C103">
        <v>0.94640000000000002</v>
      </c>
      <c r="D103">
        <v>0.88260000000000005</v>
      </c>
      <c r="E103">
        <v>0.89800000000000002</v>
      </c>
      <c r="F103">
        <v>1797156</v>
      </c>
      <c r="G103">
        <v>0.89800000000000002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-0.51724137931034553</v>
      </c>
      <c r="Q103">
        <f t="shared" ref="Q103" si="491">F103*P103</f>
        <v>-929563.44827586331</v>
      </c>
      <c r="R103">
        <f t="shared" ref="R103" si="492">R104+Q103</f>
        <v>36334735.134771295</v>
      </c>
      <c r="S103">
        <f t="shared" ref="S103" si="493">R103/100000</f>
        <v>363.34735134771296</v>
      </c>
      <c r="T103">
        <f t="shared" ref="T103" si="494">S103/1000</f>
        <v>0.36334735134771295</v>
      </c>
    </row>
    <row r="104" spans="1:20" x14ac:dyDescent="0.25">
      <c r="A104" s="5">
        <v>44489</v>
      </c>
      <c r="B104">
        <v>0.89270000000000005</v>
      </c>
      <c r="C104">
        <v>0.94189999999999996</v>
      </c>
      <c r="D104">
        <v>0.88560000000000005</v>
      </c>
      <c r="E104">
        <v>0.93640000000000001</v>
      </c>
      <c r="F104">
        <v>1790012</v>
      </c>
      <c r="G104">
        <v>0.93640000000000001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0.80461811722913112</v>
      </c>
      <c r="Q104">
        <f t="shared" ref="Q104" si="496">F104*P104</f>
        <v>1440276.0852575514</v>
      </c>
      <c r="R104">
        <f t="shared" ref="R104" si="497">R105+Q104</f>
        <v>37264298.583047159</v>
      </c>
      <c r="S104">
        <f t="shared" ref="S104" si="498">R104/100000</f>
        <v>372.64298583047162</v>
      </c>
      <c r="T104">
        <f t="shared" ref="T104" si="499">S104/1000</f>
        <v>0.37264298583047162</v>
      </c>
    </row>
    <row r="105" spans="1:20" x14ac:dyDescent="0.25">
      <c r="A105" s="5">
        <v>44488</v>
      </c>
      <c r="B105">
        <v>0.91379999999999995</v>
      </c>
      <c r="C105">
        <v>0.94169999999999998</v>
      </c>
      <c r="D105">
        <v>0.86209999999999998</v>
      </c>
      <c r="E105">
        <v>0.89300000000000002</v>
      </c>
      <c r="F105">
        <v>2551441</v>
      </c>
      <c r="G105">
        <v>0.89300000000000002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-0.22361809045226039</v>
      </c>
      <c r="Q105">
        <f t="shared" ref="Q105" si="501">F105*P105</f>
        <v>-570548.36432160565</v>
      </c>
      <c r="R105">
        <f t="shared" ref="R105" si="502">R106+Q105</f>
        <v>35824022.497789606</v>
      </c>
      <c r="S105">
        <f t="shared" ref="S105" si="503">R105/100000</f>
        <v>358.24022497789605</v>
      </c>
      <c r="T105">
        <f t="shared" ref="T105" si="504">S105/1000</f>
        <v>0.35824022497789604</v>
      </c>
    </row>
    <row r="106" spans="1:20" x14ac:dyDescent="0.25">
      <c r="A106" s="5">
        <v>44487</v>
      </c>
      <c r="B106">
        <v>0.93089999999999995</v>
      </c>
      <c r="C106">
        <v>0.97770000000000001</v>
      </c>
      <c r="D106">
        <v>0.89790000000000003</v>
      </c>
      <c r="E106">
        <v>0.91369999999999996</v>
      </c>
      <c r="F106">
        <v>3262587</v>
      </c>
      <c r="G106">
        <v>0.91369999999999996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-0.60401002506265844</v>
      </c>
      <c r="Q106">
        <f t="shared" ref="Q106" si="506">F106*P106</f>
        <v>-1970635.2556391037</v>
      </c>
      <c r="R106">
        <f t="shared" ref="R106" si="507">R107+Q106</f>
        <v>36394570.862111211</v>
      </c>
      <c r="S106">
        <f t="shared" ref="S106" si="508">R106/100000</f>
        <v>363.94570862111209</v>
      </c>
      <c r="T106">
        <f t="shared" ref="T106" si="509">S106/1000</f>
        <v>0.36394570862111209</v>
      </c>
    </row>
    <row r="107" spans="1:20" x14ac:dyDescent="0.25">
      <c r="A107" s="5">
        <v>44486</v>
      </c>
      <c r="B107">
        <v>0.95209999999999995</v>
      </c>
      <c r="C107">
        <v>1.0236000000000001</v>
      </c>
      <c r="D107">
        <v>0.90100000000000002</v>
      </c>
      <c r="E107">
        <v>0.9304</v>
      </c>
      <c r="F107">
        <v>5710471</v>
      </c>
      <c r="G107">
        <v>0.9304</v>
      </c>
      <c r="L107" t="s">
        <v>8</v>
      </c>
      <c r="M107" t="s">
        <v>8</v>
      </c>
      <c r="N107" t="s">
        <v>8</v>
      </c>
      <c r="P107">
        <f t="shared" ref="P107" si="510">IF(C107=D107,0,((E107-D107)-(C107-E107))/(C107-D107))</f>
        <v>-0.52039151712887488</v>
      </c>
      <c r="Q107">
        <f t="shared" ref="Q107" si="511">F107*P107</f>
        <v>-2971680.6672104434</v>
      </c>
      <c r="R107">
        <f t="shared" ref="R107" si="512">R108+Q107</f>
        <v>38365206.117750317</v>
      </c>
      <c r="S107">
        <f t="shared" ref="S107" si="513">R107/100000</f>
        <v>383.65206117750319</v>
      </c>
      <c r="T107">
        <f t="shared" ref="T107" si="514">S107/1000</f>
        <v>0.38365206117750317</v>
      </c>
    </row>
    <row r="108" spans="1:20" x14ac:dyDescent="0.25">
      <c r="A108" s="5">
        <v>44485</v>
      </c>
      <c r="B108">
        <v>0.90810000000000002</v>
      </c>
      <c r="C108">
        <v>0.97899999999999998</v>
      </c>
      <c r="D108">
        <v>0.90200000000000002</v>
      </c>
      <c r="E108">
        <v>0.95250000000000001</v>
      </c>
      <c r="F108">
        <v>2963845</v>
      </c>
      <c r="G108">
        <v>0.95250000000000001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0.31168831168831213</v>
      </c>
      <c r="Q108">
        <f t="shared" ref="Q108" si="516">F108*P108</f>
        <v>923795.84415584547</v>
      </c>
      <c r="R108">
        <f t="shared" ref="R108" si="517">R109+Q108</f>
        <v>41336886.784960762</v>
      </c>
      <c r="S108">
        <f t="shared" ref="S108" si="518">R108/100000</f>
        <v>413.36886784960762</v>
      </c>
      <c r="T108">
        <f t="shared" ref="T108" si="519">S108/1000</f>
        <v>0.41336886784960764</v>
      </c>
    </row>
    <row r="109" spans="1:20" x14ac:dyDescent="0.25">
      <c r="A109" s="5">
        <v>44484</v>
      </c>
      <c r="B109">
        <v>0.90629999999999999</v>
      </c>
      <c r="C109">
        <v>0.92410000000000003</v>
      </c>
      <c r="D109">
        <v>0.8901</v>
      </c>
      <c r="E109">
        <v>0.90810000000000002</v>
      </c>
      <c r="F109">
        <v>1825226</v>
      </c>
      <c r="G109">
        <v>0.90810000000000002</v>
      </c>
      <c r="L109" t="s">
        <v>8</v>
      </c>
      <c r="M109" t="s">
        <v>7</v>
      </c>
      <c r="N109" t="s">
        <v>8</v>
      </c>
      <c r="P109">
        <f t="shared" ref="P109" si="520">IF(C109=D109,0,((E109-D109)-(C109-E109))/(C109-D109))</f>
        <v>5.8823529411764705E-2</v>
      </c>
      <c r="Q109">
        <f t="shared" ref="Q109" si="521">F109*P109</f>
        <v>107366.23529411765</v>
      </c>
      <c r="R109">
        <f t="shared" ref="R109" si="522">R110+Q109</f>
        <v>40413090.940804914</v>
      </c>
      <c r="S109">
        <f t="shared" ref="S109" si="523">R109/100000</f>
        <v>404.13090940804915</v>
      </c>
      <c r="T109">
        <f t="shared" ref="T109" si="524">S109/1000</f>
        <v>0.40413090940804913</v>
      </c>
    </row>
    <row r="110" spans="1:20" x14ac:dyDescent="0.25">
      <c r="A110" s="5">
        <v>44483</v>
      </c>
      <c r="B110">
        <v>0.90710000000000002</v>
      </c>
      <c r="C110">
        <v>0.93969999999999998</v>
      </c>
      <c r="D110">
        <v>0.8982</v>
      </c>
      <c r="E110">
        <v>0.90620000000000001</v>
      </c>
      <c r="F110">
        <v>1564994</v>
      </c>
      <c r="G110">
        <v>0.90620000000000001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-0.61445783132530074</v>
      </c>
      <c r="Q110">
        <f t="shared" ref="Q110" si="526">F110*P110</f>
        <v>-961622.81927710772</v>
      </c>
      <c r="R110">
        <f t="shared" ref="R110" si="527">R111+Q110</f>
        <v>40305724.705510795</v>
      </c>
      <c r="S110">
        <f t="shared" ref="S110" si="528">R110/100000</f>
        <v>403.05724705510795</v>
      </c>
      <c r="T110">
        <f t="shared" ref="T110" si="529">S110/1000</f>
        <v>0.40305724705510793</v>
      </c>
    </row>
    <row r="111" spans="1:20" x14ac:dyDescent="0.25">
      <c r="A111" s="5">
        <v>44482</v>
      </c>
      <c r="B111">
        <v>0.90069999999999995</v>
      </c>
      <c r="C111">
        <v>0.92030000000000001</v>
      </c>
      <c r="D111">
        <v>0.87180000000000002</v>
      </c>
      <c r="E111">
        <v>0.90710000000000002</v>
      </c>
      <c r="F111">
        <v>2043571</v>
      </c>
      <c r="G111">
        <v>0.90710000000000002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0.45567010309278377</v>
      </c>
      <c r="Q111">
        <f t="shared" ref="Q111" si="531">F111*P111</f>
        <v>931194.20824742317</v>
      </c>
      <c r="R111">
        <f t="shared" ref="R111" si="532">R112+Q111</f>
        <v>41267347.524787903</v>
      </c>
      <c r="S111">
        <f t="shared" ref="S111" si="533">R111/100000</f>
        <v>412.67347524787903</v>
      </c>
      <c r="T111">
        <f t="shared" ref="T111" si="534">S111/1000</f>
        <v>0.41267347524787901</v>
      </c>
    </row>
    <row r="112" spans="1:20" x14ac:dyDescent="0.25">
      <c r="A112" s="5">
        <v>44481</v>
      </c>
      <c r="B112">
        <v>0.92030000000000001</v>
      </c>
      <c r="C112">
        <v>0.9899</v>
      </c>
      <c r="D112">
        <v>0.84370000000000001</v>
      </c>
      <c r="E112">
        <v>0.90039999999999998</v>
      </c>
      <c r="F112">
        <v>5375271</v>
      </c>
      <c r="G112">
        <v>0.90039999999999998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-0.22435020519835877</v>
      </c>
      <c r="Q112">
        <f t="shared" ref="Q112" si="536">F112*P112</f>
        <v>-1205943.1518467872</v>
      </c>
      <c r="R112">
        <f t="shared" ref="R112" si="537">R113+Q112</f>
        <v>40336153.31654048</v>
      </c>
      <c r="S112">
        <f t="shared" ref="S112" si="538">R112/100000</f>
        <v>403.36153316540481</v>
      </c>
      <c r="T112">
        <f t="shared" ref="T112" si="539">S112/1000</f>
        <v>0.4033615331654048</v>
      </c>
    </row>
    <row r="113" spans="1:20" x14ac:dyDescent="0.25">
      <c r="A113" s="5">
        <v>44480</v>
      </c>
      <c r="B113">
        <v>0.88270000000000004</v>
      </c>
      <c r="C113">
        <v>1.03</v>
      </c>
      <c r="D113">
        <v>0.87139999999999995</v>
      </c>
      <c r="E113">
        <v>0.92020000000000002</v>
      </c>
      <c r="F113">
        <v>3710826</v>
      </c>
      <c r="G113">
        <v>0.92020000000000002</v>
      </c>
      <c r="L113" t="s">
        <v>8</v>
      </c>
      <c r="M113" t="s">
        <v>8</v>
      </c>
      <c r="N113" t="s">
        <v>8</v>
      </c>
      <c r="P113">
        <f t="shared" ref="P113" si="540">IF(C113=D113,0,((E113-D113)-(C113-E113))/(C113-D113))</f>
        <v>-0.38461538461538408</v>
      </c>
      <c r="Q113">
        <f t="shared" ref="Q113" si="541">F113*P113</f>
        <v>-1427240.7692307672</v>
      </c>
      <c r="R113">
        <f t="shared" ref="R113" si="542">R114+Q113</f>
        <v>41542096.468387268</v>
      </c>
      <c r="S113">
        <f t="shared" ref="S113" si="543">R113/100000</f>
        <v>415.42096468387268</v>
      </c>
      <c r="T113">
        <f t="shared" ref="T113" si="544">S113/1000</f>
        <v>0.41542096468387268</v>
      </c>
    </row>
    <row r="114" spans="1:20" x14ac:dyDescent="0.25">
      <c r="A114" s="5">
        <v>44479</v>
      </c>
      <c r="B114">
        <v>0.96619999999999995</v>
      </c>
      <c r="C114">
        <v>0.98019999999999996</v>
      </c>
      <c r="D114">
        <v>0.87429999999999997</v>
      </c>
      <c r="E114">
        <v>0.88280000000000003</v>
      </c>
      <c r="F114">
        <v>2629728</v>
      </c>
      <c r="G114">
        <v>0.88280000000000003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-0.83947119924456914</v>
      </c>
      <c r="Q114">
        <f t="shared" ref="Q114" si="546">F114*P114</f>
        <v>-2207580.9178470224</v>
      </c>
      <c r="R114">
        <f t="shared" ref="R114" si="547">R115+Q114</f>
        <v>42969337.237618037</v>
      </c>
      <c r="S114">
        <f t="shared" ref="S114" si="548">R114/100000</f>
        <v>429.69337237618038</v>
      </c>
      <c r="T114">
        <f t="shared" ref="T114" si="549">S114/1000</f>
        <v>0.42969337237618038</v>
      </c>
    </row>
    <row r="115" spans="1:20" x14ac:dyDescent="0.25">
      <c r="A115" s="5">
        <v>44478</v>
      </c>
      <c r="B115">
        <v>0.9597</v>
      </c>
      <c r="C115">
        <v>0.9879</v>
      </c>
      <c r="D115">
        <v>0.95130000000000003</v>
      </c>
      <c r="E115">
        <v>0.96619999999999995</v>
      </c>
      <c r="F115">
        <v>1899464</v>
      </c>
      <c r="G115">
        <v>0.96619999999999995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-0.18579234972677994</v>
      </c>
      <c r="Q115">
        <f t="shared" ref="Q115" si="551">F115*P115</f>
        <v>-352905.87978142832</v>
      </c>
      <c r="R115">
        <f t="shared" ref="R115" si="552">R116+Q115</f>
        <v>45176918.155465059</v>
      </c>
      <c r="S115">
        <f t="shared" ref="S115" si="553">R115/100000</f>
        <v>451.76918155465057</v>
      </c>
      <c r="T115">
        <f t="shared" ref="T115" si="554">S115/1000</f>
        <v>0.45176918155465057</v>
      </c>
    </row>
    <row r="116" spans="1:20" x14ac:dyDescent="0.25">
      <c r="A116" s="5">
        <v>44477</v>
      </c>
      <c r="B116">
        <v>0.96519999999999995</v>
      </c>
      <c r="C116">
        <v>1.0361</v>
      </c>
      <c r="D116">
        <v>0.94930000000000003</v>
      </c>
      <c r="E116">
        <v>0.95909999999999995</v>
      </c>
      <c r="F116">
        <v>3285346</v>
      </c>
      <c r="G116">
        <v>0.95909999999999995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-0.77419354838709864</v>
      </c>
      <c r="Q116">
        <f t="shared" ref="Q116" si="556">F116*P116</f>
        <v>-2543493.6774193612</v>
      </c>
      <c r="R116">
        <f t="shared" ref="R116" si="557">R117+Q116</f>
        <v>45529824.035246484</v>
      </c>
      <c r="S116">
        <f t="shared" ref="S116" si="558">R116/100000</f>
        <v>455.29824035246486</v>
      </c>
      <c r="T116">
        <f t="shared" ref="T116" si="559">S116/1000</f>
        <v>0.45529824035246486</v>
      </c>
    </row>
    <row r="117" spans="1:20" x14ac:dyDescent="0.25">
      <c r="A117" s="5">
        <v>44476</v>
      </c>
      <c r="B117">
        <v>0.95</v>
      </c>
      <c r="C117">
        <v>0.99780000000000002</v>
      </c>
      <c r="D117">
        <v>0.93140000000000001</v>
      </c>
      <c r="E117">
        <v>0.96440000000000003</v>
      </c>
      <c r="F117">
        <v>2046960</v>
      </c>
      <c r="G117">
        <v>0.96440000000000003</v>
      </c>
      <c r="L117" t="s">
        <v>7</v>
      </c>
      <c r="M117" t="s">
        <v>8</v>
      </c>
      <c r="N117" t="s">
        <v>8</v>
      </c>
      <c r="P117">
        <f t="shared" ref="P117" si="560">IF(C117=D117,0,((E117-D117)-(C117-E117))/(C117-D117))</f>
        <v>-6.0240963855415037E-3</v>
      </c>
      <c r="Q117">
        <f t="shared" ref="Q117" si="561">F117*P117</f>
        <v>-12331.084337348037</v>
      </c>
      <c r="R117">
        <f t="shared" ref="R117" si="562">R118+Q117</f>
        <v>48073317.712665848</v>
      </c>
      <c r="S117">
        <f t="shared" ref="S117" si="563">R117/100000</f>
        <v>480.73317712665846</v>
      </c>
      <c r="T117">
        <f t="shared" ref="T117" si="564">S117/1000</f>
        <v>0.48073317712665847</v>
      </c>
    </row>
    <row r="118" spans="1:20" x14ac:dyDescent="0.25">
      <c r="A118" s="5">
        <v>44475</v>
      </c>
      <c r="B118">
        <v>0.98839999999999995</v>
      </c>
      <c r="C118">
        <v>1.0103</v>
      </c>
      <c r="D118">
        <v>0.89800000000000002</v>
      </c>
      <c r="E118">
        <v>0.94979999999999998</v>
      </c>
      <c r="F118">
        <v>3718478</v>
      </c>
      <c r="G118">
        <v>0.94979999999999998</v>
      </c>
      <c r="L118" t="s">
        <v>8</v>
      </c>
      <c r="M118" t="s">
        <v>8</v>
      </c>
      <c r="N118" t="s">
        <v>8</v>
      </c>
      <c r="P118">
        <f t="shared" ref="P118" si="565">IF(C118=D118,0,((E118-D118)-(C118-E118))/(C118-D118))</f>
        <v>-7.7471059661621058E-2</v>
      </c>
      <c r="Q118">
        <f t="shared" ref="Q118" si="566">F118*P118</f>
        <v>-288074.43098842533</v>
      </c>
      <c r="R118">
        <f t="shared" ref="R118" si="567">R119+Q118</f>
        <v>48085648.797003195</v>
      </c>
      <c r="S118">
        <f t="shared" ref="S118" si="568">R118/100000</f>
        <v>480.85648797003194</v>
      </c>
      <c r="T118">
        <f t="shared" ref="T118" si="569">S118/1000</f>
        <v>0.48085648797003194</v>
      </c>
    </row>
    <row r="119" spans="1:20" x14ac:dyDescent="0.25">
      <c r="A119" s="5">
        <v>44474</v>
      </c>
      <c r="B119">
        <v>0.91510000000000002</v>
      </c>
      <c r="C119">
        <v>0.9929</v>
      </c>
      <c r="D119">
        <v>0.90229999999999999</v>
      </c>
      <c r="E119">
        <v>0.98640000000000005</v>
      </c>
      <c r="F119">
        <v>3796932</v>
      </c>
      <c r="G119">
        <v>0.98640000000000005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0.85651214128035436</v>
      </c>
      <c r="Q119">
        <f t="shared" ref="Q119" si="571">F119*P119</f>
        <v>3252118.3576158984</v>
      </c>
      <c r="R119">
        <f t="shared" ref="R119" si="572">R120+Q119</f>
        <v>48373723.227991618</v>
      </c>
      <c r="S119">
        <f t="shared" ref="S119" si="573">R119/100000</f>
        <v>483.73723227991616</v>
      </c>
      <c r="T119">
        <f t="shared" ref="T119" si="574">S119/1000</f>
        <v>0.48373723227991616</v>
      </c>
    </row>
    <row r="120" spans="1:20" x14ac:dyDescent="0.25">
      <c r="A120" s="5">
        <v>44473</v>
      </c>
      <c r="B120">
        <v>0.92630000000000001</v>
      </c>
      <c r="C120">
        <v>0.92730000000000001</v>
      </c>
      <c r="D120">
        <v>0.86060000000000003</v>
      </c>
      <c r="E120">
        <v>0.91620000000000001</v>
      </c>
      <c r="F120">
        <v>2824166</v>
      </c>
      <c r="G120">
        <v>0.91620000000000001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0.66716641679160416</v>
      </c>
      <c r="Q120">
        <f t="shared" ref="Q120" si="576">F120*P120</f>
        <v>1884188.7106446775</v>
      </c>
      <c r="R120">
        <f t="shared" ref="R120" si="577">R121+Q120</f>
        <v>45121604.870375723</v>
      </c>
      <c r="S120">
        <f t="shared" ref="S120" si="578">R120/100000</f>
        <v>451.21604870375722</v>
      </c>
      <c r="T120">
        <f t="shared" ref="T120" si="579">S120/1000</f>
        <v>0.4512160487037572</v>
      </c>
    </row>
    <row r="121" spans="1:20" x14ac:dyDescent="0.25">
      <c r="A121" s="5">
        <v>44472</v>
      </c>
      <c r="B121">
        <v>0.8891</v>
      </c>
      <c r="C121">
        <v>0.95</v>
      </c>
      <c r="D121">
        <v>0.87280000000000002</v>
      </c>
      <c r="E121">
        <v>0.92430000000000001</v>
      </c>
      <c r="F121">
        <v>2925754</v>
      </c>
      <c r="G121">
        <v>0.92430000000000001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0.3341968911917107</v>
      </c>
      <c r="Q121">
        <f t="shared" ref="Q121" si="581">F121*P121</f>
        <v>977777.89119171235</v>
      </c>
      <c r="R121">
        <f t="shared" ref="R121" si="582">R122+Q121</f>
        <v>43237416.159731045</v>
      </c>
      <c r="S121">
        <f t="shared" ref="S121" si="583">R121/100000</f>
        <v>432.37416159731043</v>
      </c>
      <c r="T121">
        <f t="shared" ref="T121" si="584">S121/1000</f>
        <v>0.43237416159731046</v>
      </c>
    </row>
    <row r="122" spans="1:20" x14ac:dyDescent="0.25">
      <c r="A122" s="5">
        <v>44471</v>
      </c>
      <c r="B122">
        <v>0.87290000000000001</v>
      </c>
      <c r="C122">
        <v>0.92200000000000004</v>
      </c>
      <c r="D122">
        <v>0.83530000000000004</v>
      </c>
      <c r="E122">
        <v>0.88949999999999996</v>
      </c>
      <c r="F122">
        <v>2789922</v>
      </c>
      <c r="G122">
        <v>0.88949999999999996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0.25028835063436944</v>
      </c>
      <c r="Q122">
        <f t="shared" ref="Q122" si="586">F122*P122</f>
        <v>698284.97577854129</v>
      </c>
      <c r="R122">
        <f t="shared" ref="R122" si="587">R123+Q122</f>
        <v>42259638.268539332</v>
      </c>
      <c r="S122">
        <f t="shared" ref="S122" si="588">R122/100000</f>
        <v>422.59638268539334</v>
      </c>
      <c r="T122">
        <f t="shared" ref="T122" si="589">S122/1000</f>
        <v>0.42259638268539335</v>
      </c>
    </row>
    <row r="123" spans="1:20" x14ac:dyDescent="0.25">
      <c r="A123" s="5">
        <v>44470</v>
      </c>
      <c r="B123">
        <v>0.75749999999999995</v>
      </c>
      <c r="C123">
        <v>0.88849999999999996</v>
      </c>
      <c r="D123">
        <v>0.75119999999999998</v>
      </c>
      <c r="E123">
        <v>0.87250000000000005</v>
      </c>
      <c r="F123">
        <v>3475924</v>
      </c>
      <c r="G123">
        <v>0.87250000000000005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0.76693372177713171</v>
      </c>
      <c r="Q123">
        <f t="shared" ref="Q123" si="591">F123*P123</f>
        <v>2665803.3299344545</v>
      </c>
      <c r="R123">
        <f t="shared" ref="R123" si="592">R124+Q123</f>
        <v>41561353.292760789</v>
      </c>
      <c r="S123">
        <f t="shared" ref="S123" si="593">R123/100000</f>
        <v>415.61353292760788</v>
      </c>
      <c r="T123">
        <f t="shared" ref="T123" si="594">S123/1000</f>
        <v>0.41561353292760789</v>
      </c>
    </row>
    <row r="124" spans="1:20" x14ac:dyDescent="0.25">
      <c r="A124" s="5">
        <v>44469</v>
      </c>
      <c r="B124">
        <v>0.73299999999999998</v>
      </c>
      <c r="C124">
        <v>0.76380000000000003</v>
      </c>
      <c r="D124">
        <v>0.72629999999999995</v>
      </c>
      <c r="E124">
        <v>0.75739999999999996</v>
      </c>
      <c r="F124">
        <v>1200029</v>
      </c>
      <c r="G124">
        <v>0.75739999999999996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0.65866666666666362</v>
      </c>
      <c r="Q124">
        <f t="shared" ref="Q124" si="596">F124*P124</f>
        <v>790419.10133332969</v>
      </c>
      <c r="R124">
        <f t="shared" ref="R124" si="597">R125+Q124</f>
        <v>38895549.962826334</v>
      </c>
      <c r="S124">
        <f t="shared" ref="S124" si="598">R124/100000</f>
        <v>388.95549962826334</v>
      </c>
      <c r="T124">
        <f t="shared" ref="T124" si="599">S124/1000</f>
        <v>0.38895549962826331</v>
      </c>
    </row>
    <row r="125" spans="1:20" x14ac:dyDescent="0.25">
      <c r="A125" s="5">
        <v>44468</v>
      </c>
      <c r="B125">
        <v>0.71509999999999996</v>
      </c>
      <c r="C125">
        <v>0.74580000000000002</v>
      </c>
      <c r="D125">
        <v>0.71230000000000004</v>
      </c>
      <c r="E125">
        <v>0.73340000000000005</v>
      </c>
      <c r="F125">
        <v>1319572</v>
      </c>
      <c r="G125">
        <v>0.73340000000000005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0.25970149253731484</v>
      </c>
      <c r="Q125">
        <f t="shared" ref="Q125" si="601">F125*P125</f>
        <v>342694.81791044964</v>
      </c>
      <c r="R125">
        <f t="shared" ref="R125" si="602">R126+Q125</f>
        <v>38105130.861493006</v>
      </c>
      <c r="S125">
        <f t="shared" ref="S125" si="603">R125/100000</f>
        <v>381.05130861493006</v>
      </c>
      <c r="T125">
        <f t="shared" ref="T125" si="604">S125/1000</f>
        <v>0.38105130861493008</v>
      </c>
    </row>
    <row r="126" spans="1:20" x14ac:dyDescent="0.25">
      <c r="A126" s="5">
        <v>44467</v>
      </c>
      <c r="B126">
        <v>0.75170000000000003</v>
      </c>
      <c r="C126">
        <v>0.77129999999999999</v>
      </c>
      <c r="D126">
        <v>0.71020000000000005</v>
      </c>
      <c r="E126">
        <v>0.71530000000000005</v>
      </c>
      <c r="F126">
        <v>1798451</v>
      </c>
      <c r="G126">
        <v>0.71530000000000005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-0.83306055646481181</v>
      </c>
      <c r="Q126">
        <f t="shared" ref="Q126" si="606">F126*P126</f>
        <v>-1498218.5908346972</v>
      </c>
      <c r="R126">
        <f t="shared" ref="R126" si="607">R127+Q126</f>
        <v>37762436.043582559</v>
      </c>
      <c r="S126">
        <f t="shared" ref="S126" si="608">R126/100000</f>
        <v>377.62436043582557</v>
      </c>
      <c r="T126">
        <f t="shared" ref="T126" si="609">S126/1000</f>
        <v>0.37762436043582559</v>
      </c>
    </row>
    <row r="127" spans="1:20" x14ac:dyDescent="0.25">
      <c r="A127" s="5">
        <v>44466</v>
      </c>
      <c r="B127">
        <v>0.78259999999999996</v>
      </c>
      <c r="C127">
        <v>0.82</v>
      </c>
      <c r="D127">
        <v>0.75160000000000005</v>
      </c>
      <c r="E127">
        <v>0.75160000000000005</v>
      </c>
      <c r="F127">
        <v>1627002</v>
      </c>
      <c r="G127">
        <v>0.75160000000000005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-1</v>
      </c>
      <c r="Q127">
        <f t="shared" ref="Q127" si="611">F127*P127</f>
        <v>-1627002</v>
      </c>
      <c r="R127">
        <f t="shared" ref="R127" si="612">R128+Q127</f>
        <v>39260654.634417258</v>
      </c>
      <c r="S127">
        <f t="shared" ref="S127" si="613">R127/100000</f>
        <v>392.60654634417256</v>
      </c>
      <c r="T127">
        <f t="shared" ref="T127" si="614">S127/1000</f>
        <v>0.39260654634417258</v>
      </c>
    </row>
    <row r="128" spans="1:20" x14ac:dyDescent="0.25">
      <c r="A128" s="5">
        <v>44465</v>
      </c>
      <c r="B128">
        <v>0.79769999999999996</v>
      </c>
      <c r="C128">
        <v>0.80379999999999996</v>
      </c>
      <c r="D128">
        <v>0.73880000000000001</v>
      </c>
      <c r="E128">
        <v>0.78149999999999997</v>
      </c>
      <c r="F128">
        <v>2503319</v>
      </c>
      <c r="G128">
        <v>0.78149999999999997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0.31384615384615372</v>
      </c>
      <c r="Q128">
        <f t="shared" ref="Q128" si="616">F128*P128</f>
        <v>785657.03999999969</v>
      </c>
      <c r="R128">
        <f t="shared" ref="R128" si="617">R129+Q128</f>
        <v>40887656.634417258</v>
      </c>
      <c r="S128">
        <f t="shared" ref="S128" si="618">R128/100000</f>
        <v>408.8765663441726</v>
      </c>
      <c r="T128">
        <f t="shared" ref="T128" si="619">S128/1000</f>
        <v>0.40887656634417258</v>
      </c>
    </row>
    <row r="129" spans="1:20" x14ac:dyDescent="0.25">
      <c r="A129" s="5">
        <v>44464</v>
      </c>
      <c r="B129">
        <v>0.84850000000000003</v>
      </c>
      <c r="C129">
        <v>0.86439999999999995</v>
      </c>
      <c r="D129">
        <v>0.79169999999999996</v>
      </c>
      <c r="E129">
        <v>0.79769999999999996</v>
      </c>
      <c r="F129">
        <v>4571065</v>
      </c>
      <c r="G129">
        <v>0.79769999999999996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-0.83493810178817041</v>
      </c>
      <c r="Q129">
        <f t="shared" ref="Q129" si="621">F129*P129</f>
        <v>-3816556.334250343</v>
      </c>
      <c r="R129">
        <f t="shared" ref="R129" si="622">R130+Q129</f>
        <v>40101999.594417259</v>
      </c>
      <c r="S129">
        <f t="shared" ref="S129" si="623">R129/100000</f>
        <v>401.01999594417259</v>
      </c>
      <c r="T129">
        <f t="shared" ref="T129" si="624">S129/1000</f>
        <v>0.40101999594417259</v>
      </c>
    </row>
    <row r="130" spans="1:20" x14ac:dyDescent="0.25">
      <c r="A130" s="5">
        <v>44463</v>
      </c>
      <c r="B130">
        <v>0.8286</v>
      </c>
      <c r="C130">
        <v>0.89659999999999995</v>
      </c>
      <c r="D130">
        <v>0.72340000000000004</v>
      </c>
      <c r="E130">
        <v>0.84899999999999998</v>
      </c>
      <c r="F130">
        <v>9517038</v>
      </c>
      <c r="G130">
        <v>0.84899999999999998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0.45034642032332561</v>
      </c>
      <c r="Q130">
        <f t="shared" ref="Q130" si="626">F130*P130</f>
        <v>4285963.9953810619</v>
      </c>
      <c r="R130">
        <f t="shared" ref="R130" si="627">R131+Q130</f>
        <v>43918555.928667605</v>
      </c>
      <c r="S130">
        <f t="shared" ref="S130" si="628">R130/100000</f>
        <v>439.18555928667604</v>
      </c>
      <c r="T130">
        <f t="shared" ref="T130" si="629">S130/1000</f>
        <v>0.43918555928667602</v>
      </c>
    </row>
    <row r="131" spans="1:20" x14ac:dyDescent="0.25">
      <c r="A131" s="5">
        <v>44462</v>
      </c>
      <c r="B131">
        <v>0.81930000000000003</v>
      </c>
      <c r="C131">
        <v>0.8367</v>
      </c>
      <c r="D131">
        <v>0.79</v>
      </c>
      <c r="E131">
        <v>0.8286</v>
      </c>
      <c r="F131">
        <v>2041276</v>
      </c>
      <c r="G131">
        <v>0.8286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0.65310492505353313</v>
      </c>
      <c r="Q131">
        <f t="shared" ref="Q131" si="631">F131*P131</f>
        <v>1333167.408993576</v>
      </c>
      <c r="R131">
        <f t="shared" ref="R131" si="632">R132+Q131</f>
        <v>39632591.93328654</v>
      </c>
      <c r="S131">
        <f t="shared" ref="S131" si="633">R131/100000</f>
        <v>396.3259193328654</v>
      </c>
      <c r="T131">
        <f t="shared" ref="T131" si="634">S131/1000</f>
        <v>0.39632591933286537</v>
      </c>
    </row>
    <row r="132" spans="1:20" x14ac:dyDescent="0.25">
      <c r="A132" s="5">
        <v>44461</v>
      </c>
      <c r="B132">
        <v>0.71840000000000004</v>
      </c>
      <c r="C132">
        <v>0.83160000000000001</v>
      </c>
      <c r="D132">
        <v>0.7077</v>
      </c>
      <c r="E132">
        <v>0.8196</v>
      </c>
      <c r="F132">
        <v>2656350</v>
      </c>
      <c r="G132">
        <v>0.8196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0.80629539951573836</v>
      </c>
      <c r="Q132">
        <f t="shared" ref="Q132" si="636">F132*P132</f>
        <v>2141802.7845036318</v>
      </c>
      <c r="R132">
        <f t="shared" ref="R132" si="637">R133+Q132</f>
        <v>38299424.524292961</v>
      </c>
      <c r="S132">
        <f t="shared" ref="S132" si="638">R132/100000</f>
        <v>382.99424524292959</v>
      </c>
      <c r="T132">
        <f t="shared" ref="T132" si="639">S132/1000</f>
        <v>0.38299424524292958</v>
      </c>
    </row>
    <row r="133" spans="1:20" x14ac:dyDescent="0.25">
      <c r="A133" s="5">
        <v>44460</v>
      </c>
      <c r="B133">
        <v>0.77869999999999995</v>
      </c>
      <c r="C133">
        <v>0.79390000000000005</v>
      </c>
      <c r="D133">
        <v>0.69699999999999995</v>
      </c>
      <c r="E133">
        <v>0.71750000000000003</v>
      </c>
      <c r="F133">
        <v>4436060.26</v>
      </c>
      <c r="G133">
        <v>0.71750000000000003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-0.57688338493291946</v>
      </c>
      <c r="Q133">
        <f t="shared" ref="Q133" si="641">F133*P133</f>
        <v>-2559089.4585552067</v>
      </c>
      <c r="R133">
        <f t="shared" ref="R133" si="642">R134+Q133</f>
        <v>36157621.739789329</v>
      </c>
      <c r="S133">
        <f t="shared" ref="S133" si="643">R133/100000</f>
        <v>361.57621739789329</v>
      </c>
      <c r="T133">
        <f t="shared" ref="T133" si="644">S133/1000</f>
        <v>0.36157621739789331</v>
      </c>
    </row>
    <row r="134" spans="1:20" x14ac:dyDescent="0.25">
      <c r="A134" s="5">
        <v>44459</v>
      </c>
      <c r="B134">
        <v>0.89300000000000002</v>
      </c>
      <c r="C134">
        <v>0.89410000000000001</v>
      </c>
      <c r="D134">
        <v>0.79869999999999997</v>
      </c>
      <c r="E134">
        <v>0.82320000000000004</v>
      </c>
      <c r="F134">
        <v>2353999</v>
      </c>
      <c r="G134">
        <v>0.82320000000000004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-0.48637316561844723</v>
      </c>
      <c r="Q134">
        <f t="shared" ref="Q134" si="646">F134*P134</f>
        <v>-1144921.9454926592</v>
      </c>
      <c r="R134">
        <f t="shared" ref="R134" si="647">R135+Q134</f>
        <v>38716711.198344536</v>
      </c>
      <c r="S134">
        <f t="shared" ref="S134" si="648">R134/100000</f>
        <v>387.16711198344535</v>
      </c>
      <c r="T134">
        <f t="shared" ref="T134" si="649">S134/1000</f>
        <v>0.38716711198344533</v>
      </c>
    </row>
    <row r="135" spans="1:20" x14ac:dyDescent="0.25">
      <c r="A135" s="5">
        <v>44458</v>
      </c>
      <c r="B135">
        <v>0.94340000000000002</v>
      </c>
      <c r="C135">
        <v>0.94340000000000002</v>
      </c>
      <c r="D135">
        <v>0.88060000000000005</v>
      </c>
      <c r="E135">
        <v>0.8931</v>
      </c>
      <c r="F135">
        <v>1829724</v>
      </c>
      <c r="G135">
        <v>0.8931</v>
      </c>
      <c r="L135" t="s">
        <v>7</v>
      </c>
      <c r="M135" t="s">
        <v>7</v>
      </c>
      <c r="N135" t="s">
        <v>7</v>
      </c>
      <c r="P135">
        <f t="shared" ref="P135" si="650">IF(C135=D135,0,((E135-D135)-(C135-E135))/(C135-D135))</f>
        <v>-0.60191082802547891</v>
      </c>
      <c r="Q135">
        <f t="shared" ref="Q135" si="651">F135*P135</f>
        <v>-1101330.6878980913</v>
      </c>
      <c r="R135">
        <f t="shared" ref="R135" si="652">R136+Q135</f>
        <v>39861633.143837199</v>
      </c>
      <c r="S135">
        <f t="shared" ref="S135" si="653">R135/100000</f>
        <v>398.61633143837196</v>
      </c>
      <c r="T135">
        <f t="shared" ref="T135" si="654">S135/1000</f>
        <v>0.39861633143837194</v>
      </c>
    </row>
    <row r="136" spans="1:20" x14ac:dyDescent="0.25">
      <c r="A136" s="5">
        <v>44457</v>
      </c>
      <c r="B136">
        <v>0.91720000000000002</v>
      </c>
      <c r="C136">
        <v>0.99719999999999998</v>
      </c>
      <c r="D136">
        <v>0.90790000000000004</v>
      </c>
      <c r="E136">
        <v>0.94240000000000002</v>
      </c>
      <c r="F136">
        <v>3515365</v>
      </c>
      <c r="G136">
        <v>0.94240000000000002</v>
      </c>
      <c r="L136" t="s">
        <v>8</v>
      </c>
      <c r="M136" t="s">
        <v>7</v>
      </c>
      <c r="N136" t="s">
        <v>7</v>
      </c>
      <c r="P136">
        <f t="shared" ref="P136" si="655">IF(C136=D136,0,((E136-D136)-(C136-E136))/(C136-D136))</f>
        <v>-0.22732362821948487</v>
      </c>
      <c r="Q136">
        <f t="shared" ref="Q136" si="656">F136*P136</f>
        <v>-799125.52631578944</v>
      </c>
      <c r="R136">
        <f t="shared" ref="R136" si="657">R137+Q136</f>
        <v>40962963.831735291</v>
      </c>
      <c r="S136">
        <f t="shared" ref="S136" si="658">R136/100000</f>
        <v>409.62963831735289</v>
      </c>
      <c r="T136">
        <f t="shared" ref="T136" si="659">S136/1000</f>
        <v>0.40962963831735288</v>
      </c>
    </row>
    <row r="137" spans="1:20" x14ac:dyDescent="0.25">
      <c r="A137" s="5">
        <v>44456</v>
      </c>
      <c r="B137">
        <v>0.92279999999999995</v>
      </c>
      <c r="C137">
        <v>0.96799999999999997</v>
      </c>
      <c r="D137">
        <v>0.89300000000000002</v>
      </c>
      <c r="E137">
        <v>0.91700000000000004</v>
      </c>
      <c r="F137">
        <v>3849140</v>
      </c>
      <c r="G137">
        <v>0.91700000000000004</v>
      </c>
      <c r="L137" t="s">
        <v>8</v>
      </c>
      <c r="M137" t="s">
        <v>7</v>
      </c>
      <c r="N137" t="s">
        <v>7</v>
      </c>
      <c r="P137">
        <f t="shared" ref="P137" si="660">IF(C137=D137,0,((E137-D137)-(C137-E137))/(C137-D137))</f>
        <v>-0.35999999999999904</v>
      </c>
      <c r="Q137">
        <f t="shared" ref="Q137" si="661">F137*P137</f>
        <v>-1385690.3999999964</v>
      </c>
      <c r="R137">
        <f t="shared" ref="R137" si="662">R138+Q137</f>
        <v>41762089.358051077</v>
      </c>
      <c r="S137">
        <f t="shared" ref="S137" si="663">R137/100000</f>
        <v>417.62089358051077</v>
      </c>
      <c r="T137">
        <f t="shared" ref="T137" si="664">S137/1000</f>
        <v>0.41762089358051074</v>
      </c>
    </row>
    <row r="138" spans="1:20" x14ac:dyDescent="0.25">
      <c r="A138" s="5">
        <v>44455</v>
      </c>
      <c r="B138">
        <v>0.95179999999999998</v>
      </c>
      <c r="C138">
        <v>0.97609999999999997</v>
      </c>
      <c r="D138">
        <v>0.89410000000000001</v>
      </c>
      <c r="E138">
        <v>0.92210000000000003</v>
      </c>
      <c r="F138">
        <v>3260155</v>
      </c>
      <c r="G138">
        <v>0.92210000000000003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-0.31707317073170638</v>
      </c>
      <c r="Q138">
        <f t="shared" ref="Q138" si="666">F138*P138</f>
        <v>-1033707.6829268262</v>
      </c>
      <c r="R138">
        <f t="shared" ref="R138" si="667">R139+Q138</f>
        <v>43147779.758051075</v>
      </c>
      <c r="S138">
        <f t="shared" ref="S138" si="668">R138/100000</f>
        <v>431.47779758051075</v>
      </c>
      <c r="T138">
        <f t="shared" ref="T138" si="669">S138/1000</f>
        <v>0.43147779758051075</v>
      </c>
    </row>
    <row r="139" spans="1:20" x14ac:dyDescent="0.25">
      <c r="A139" s="5">
        <v>44454</v>
      </c>
      <c r="B139">
        <v>0.93589999999999995</v>
      </c>
      <c r="C139">
        <v>0.96899999999999997</v>
      </c>
      <c r="D139">
        <v>0.91949999999999998</v>
      </c>
      <c r="E139">
        <v>0.95020000000000004</v>
      </c>
      <c r="F139">
        <v>2958313</v>
      </c>
      <c r="G139">
        <v>0.95020000000000004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0.24040404040404315</v>
      </c>
      <c r="Q139">
        <f t="shared" ref="Q139" si="671">F139*P139</f>
        <v>711190.39797980606</v>
      </c>
      <c r="R139">
        <f t="shared" ref="R139" si="672">R140+Q139</f>
        <v>44181487.440977901</v>
      </c>
      <c r="S139">
        <f t="shared" ref="S139" si="673">R139/100000</f>
        <v>441.81487440977901</v>
      </c>
      <c r="T139">
        <f t="shared" ref="T139" si="674">S139/1000</f>
        <v>0.44181487440977901</v>
      </c>
    </row>
    <row r="140" spans="1:20" x14ac:dyDescent="0.25">
      <c r="A140" s="5">
        <v>44453</v>
      </c>
      <c r="B140">
        <v>0.91490000000000005</v>
      </c>
      <c r="C140">
        <v>0.94569999999999999</v>
      </c>
      <c r="D140">
        <v>0.8982</v>
      </c>
      <c r="E140">
        <v>0.93489999999999995</v>
      </c>
      <c r="F140">
        <v>1935631</v>
      </c>
      <c r="G140">
        <v>0.93489999999999995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0.54526315789473534</v>
      </c>
      <c r="Q140">
        <f t="shared" ref="Q140" si="676">F140*P140</f>
        <v>1055428.2715789445</v>
      </c>
      <c r="R140">
        <f t="shared" ref="R140" si="677">R141+Q140</f>
        <v>43470297.042998098</v>
      </c>
      <c r="S140">
        <f t="shared" ref="S140" si="678">R140/100000</f>
        <v>434.70297042998095</v>
      </c>
      <c r="T140">
        <f t="shared" ref="T140" si="679">S140/1000</f>
        <v>0.43470297042998096</v>
      </c>
    </row>
    <row r="141" spans="1:20" x14ac:dyDescent="0.25">
      <c r="A141" s="5">
        <v>44452</v>
      </c>
      <c r="B141">
        <v>0.95740000000000003</v>
      </c>
      <c r="C141">
        <v>0.96740000000000004</v>
      </c>
      <c r="D141">
        <v>0.8609</v>
      </c>
      <c r="E141">
        <v>0.91390000000000005</v>
      </c>
      <c r="F141">
        <v>3601950</v>
      </c>
      <c r="G141">
        <v>0.91390000000000005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-4.6948356807506551E-3</v>
      </c>
      <c r="Q141">
        <f t="shared" ref="Q141" si="681">F141*P141</f>
        <v>-16910.563380279822</v>
      </c>
      <c r="R141">
        <f t="shared" ref="R141" si="682">R142+Q141</f>
        <v>42414868.771419153</v>
      </c>
      <c r="S141">
        <f t="shared" ref="S141" si="683">R141/100000</f>
        <v>424.14868771419151</v>
      </c>
      <c r="T141">
        <f t="shared" ref="T141" si="684">S141/1000</f>
        <v>0.42414868771419151</v>
      </c>
    </row>
    <row r="142" spans="1:20" x14ac:dyDescent="0.25">
      <c r="A142" s="5">
        <v>44451</v>
      </c>
      <c r="B142">
        <v>0.93169999999999997</v>
      </c>
      <c r="C142">
        <v>0.99580000000000002</v>
      </c>
      <c r="D142">
        <v>0.90549999999999997</v>
      </c>
      <c r="E142">
        <v>0.95750000000000002</v>
      </c>
      <c r="F142">
        <v>2699409</v>
      </c>
      <c r="G142">
        <v>0.95750000000000002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0.15171650055371028</v>
      </c>
      <c r="Q142">
        <f t="shared" ref="Q142" si="686">F142*P142</f>
        <v>409544.88704319048</v>
      </c>
      <c r="R142">
        <f t="shared" ref="R142" si="687">R143+Q142</f>
        <v>42431779.334799431</v>
      </c>
      <c r="S142">
        <f t="shared" ref="S142" si="688">R142/100000</f>
        <v>424.31779334799432</v>
      </c>
      <c r="T142">
        <f t="shared" ref="T142" si="689">S142/1000</f>
        <v>0.4243177933479943</v>
      </c>
    </row>
    <row r="143" spans="1:20" x14ac:dyDescent="0.25">
      <c r="A143" s="5">
        <v>44450</v>
      </c>
      <c r="B143">
        <v>0.89659999999999995</v>
      </c>
      <c r="C143">
        <v>0.97399999999999998</v>
      </c>
      <c r="D143">
        <v>0.89029999999999998</v>
      </c>
      <c r="E143">
        <v>0.92879999999999996</v>
      </c>
      <c r="F143">
        <v>3038193</v>
      </c>
      <c r="G143">
        <v>0.92879999999999996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-8.0047789725209553E-2</v>
      </c>
      <c r="Q143">
        <f t="shared" ref="Q143" si="691">F143*P143</f>
        <v>-243200.6344086036</v>
      </c>
      <c r="R143">
        <f t="shared" ref="R143" si="692">R144+Q143</f>
        <v>42022234.447756238</v>
      </c>
      <c r="S143">
        <f t="shared" ref="S143" si="693">R143/100000</f>
        <v>420.22234447756239</v>
      </c>
      <c r="T143">
        <f t="shared" ref="T143" si="694">S143/1000</f>
        <v>0.4202223444775624</v>
      </c>
    </row>
    <row r="144" spans="1:20" x14ac:dyDescent="0.25">
      <c r="A144" s="5">
        <v>44449</v>
      </c>
      <c r="B144">
        <v>0.96240000000000003</v>
      </c>
      <c r="C144">
        <v>1.05</v>
      </c>
      <c r="D144">
        <v>0.86819999999999997</v>
      </c>
      <c r="E144">
        <v>0.89500000000000002</v>
      </c>
      <c r="F144">
        <v>4885012</v>
      </c>
      <c r="G144">
        <v>0.89500000000000002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-0.70517051705170475</v>
      </c>
      <c r="Q144">
        <f t="shared" ref="Q144" si="696">F144*P144</f>
        <v>-3444766.4378437824</v>
      </c>
      <c r="R144">
        <f t="shared" ref="R144" si="697">R145+Q144</f>
        <v>42265435.082164839</v>
      </c>
      <c r="S144">
        <f t="shared" ref="S144" si="698">R144/100000</f>
        <v>422.65435082164839</v>
      </c>
      <c r="T144">
        <f t="shared" ref="T144" si="699">S144/1000</f>
        <v>0.42265435082164837</v>
      </c>
    </row>
    <row r="145" spans="1:20" x14ac:dyDescent="0.25">
      <c r="A145" s="5">
        <v>44448</v>
      </c>
      <c r="B145">
        <v>0.95650000000000002</v>
      </c>
      <c r="C145">
        <v>1.0955999999999999</v>
      </c>
      <c r="D145">
        <v>0.94140000000000001</v>
      </c>
      <c r="E145">
        <v>0.96220000000000006</v>
      </c>
      <c r="F145">
        <v>5505411</v>
      </c>
      <c r="G145">
        <v>0.96220000000000006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-0.73022049286640656</v>
      </c>
      <c r="Q145">
        <f t="shared" ref="Q145" si="701">F145*P145</f>
        <v>-4020163.9338521361</v>
      </c>
      <c r="R145">
        <f t="shared" ref="R145" si="702">R146+Q145</f>
        <v>45710201.520008624</v>
      </c>
      <c r="S145">
        <f t="shared" ref="S145" si="703">R145/100000</f>
        <v>457.10201520008621</v>
      </c>
      <c r="T145">
        <f t="shared" ref="T145" si="704">S145/1000</f>
        <v>0.4571020152000862</v>
      </c>
    </row>
    <row r="146" spans="1:20" x14ac:dyDescent="0.25">
      <c r="A146" s="5">
        <v>44447</v>
      </c>
      <c r="B146">
        <v>0.99939999999999996</v>
      </c>
      <c r="C146">
        <v>1.0270999999999999</v>
      </c>
      <c r="D146">
        <v>0.8669</v>
      </c>
      <c r="E146">
        <v>0.95960000000000001</v>
      </c>
      <c r="F146">
        <v>5942008</v>
      </c>
      <c r="G146">
        <v>0.95960000000000001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0.15730337078651765</v>
      </c>
      <c r="Q146">
        <f t="shared" ref="Q146" si="706">F146*P146</f>
        <v>934697.88764045422</v>
      </c>
      <c r="R146">
        <f t="shared" ref="R146" si="707">R147+Q146</f>
        <v>49730365.45386076</v>
      </c>
      <c r="S146">
        <f t="shared" ref="S146" si="708">R146/100000</f>
        <v>497.30365453860759</v>
      </c>
      <c r="T146">
        <f t="shared" ref="T146" si="709">S146/1000</f>
        <v>0.49730365453860759</v>
      </c>
    </row>
    <row r="147" spans="1:20" x14ac:dyDescent="0.25">
      <c r="A147" s="5">
        <v>44446</v>
      </c>
      <c r="B147">
        <v>1.2402</v>
      </c>
      <c r="C147">
        <v>1.2702</v>
      </c>
      <c r="D147">
        <v>0.85070000000000001</v>
      </c>
      <c r="E147">
        <v>0.99860000000000004</v>
      </c>
      <c r="F147">
        <v>11818336</v>
      </c>
      <c r="G147">
        <v>0.99860000000000004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-0.29487485101311067</v>
      </c>
      <c r="Q147">
        <f t="shared" ref="Q147" si="711">F147*P147</f>
        <v>-3484930.0672228825</v>
      </c>
      <c r="R147">
        <f t="shared" ref="R147" si="712">R148+Q147</f>
        <v>48795667.566220306</v>
      </c>
      <c r="S147">
        <f t="shared" ref="S147" si="713">R147/100000</f>
        <v>487.95667566220305</v>
      </c>
      <c r="T147">
        <f t="shared" ref="T147" si="714">S147/1000</f>
        <v>0.48795667566220308</v>
      </c>
    </row>
    <row r="148" spans="1:20" x14ac:dyDescent="0.25">
      <c r="A148" s="5">
        <v>44445</v>
      </c>
      <c r="B148">
        <v>1.1437999999999999</v>
      </c>
      <c r="C148">
        <v>1.33</v>
      </c>
      <c r="D148">
        <v>1.1424000000000001</v>
      </c>
      <c r="E148">
        <v>1.2399</v>
      </c>
      <c r="F148">
        <v>12146265.58</v>
      </c>
      <c r="G148">
        <v>1.2399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3.9445628997867015E-2</v>
      </c>
      <c r="Q148">
        <f t="shared" ref="Q148" si="716">F148*P148</f>
        <v>479117.08577824204</v>
      </c>
      <c r="R148">
        <f t="shared" ref="R148" si="717">R149+Q148</f>
        <v>52280597.633443192</v>
      </c>
      <c r="S148">
        <f t="shared" ref="S148" si="718">R148/100000</f>
        <v>522.80597633443188</v>
      </c>
      <c r="T148">
        <f t="shared" ref="T148" si="719">S148/1000</f>
        <v>0.52280597633443182</v>
      </c>
    </row>
    <row r="149" spans="1:20" x14ac:dyDescent="0.25">
      <c r="A149" s="5">
        <v>44444</v>
      </c>
      <c r="B149">
        <v>1.1069</v>
      </c>
      <c r="C149">
        <v>1.1999</v>
      </c>
      <c r="D149">
        <v>1.1019000000000001</v>
      </c>
      <c r="E149">
        <v>1.1440999999999999</v>
      </c>
      <c r="F149">
        <v>6065877</v>
      </c>
      <c r="G149">
        <v>1.1440999999999999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-0.13877551020408466</v>
      </c>
      <c r="Q149">
        <f t="shared" ref="Q149" si="721">F149*P149</f>
        <v>-841795.17551022244</v>
      </c>
      <c r="R149">
        <f t="shared" ref="R149" si="722">R150+Q149</f>
        <v>51801480.547664948</v>
      </c>
      <c r="S149">
        <f t="shared" ref="S149" si="723">R149/100000</f>
        <v>518.01480547664949</v>
      </c>
      <c r="T149">
        <f t="shared" ref="T149" si="724">S149/1000</f>
        <v>0.51801480547664946</v>
      </c>
    </row>
    <row r="150" spans="1:20" x14ac:dyDescent="0.25">
      <c r="A150" s="5">
        <v>44443</v>
      </c>
      <c r="B150">
        <v>1.1580999999999999</v>
      </c>
      <c r="C150">
        <v>1.1986000000000001</v>
      </c>
      <c r="D150">
        <v>1.1019000000000001</v>
      </c>
      <c r="E150">
        <v>1.1069</v>
      </c>
      <c r="F150">
        <v>5214703</v>
      </c>
      <c r="G150">
        <v>1.1069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-0.89658738366080881</v>
      </c>
      <c r="Q150">
        <f t="shared" ref="Q150" si="726">F150*P150</f>
        <v>-4675436.9193381704</v>
      </c>
      <c r="R150">
        <f t="shared" ref="R150" si="727">R151+Q150</f>
        <v>52643275.723175168</v>
      </c>
      <c r="S150">
        <f t="shared" ref="S150" si="728">R150/100000</f>
        <v>526.43275723175168</v>
      </c>
      <c r="T150">
        <f t="shared" ref="T150" si="729">S150/1000</f>
        <v>0.52643275723175165</v>
      </c>
    </row>
    <row r="151" spans="1:20" x14ac:dyDescent="0.25">
      <c r="A151" s="5">
        <v>44442</v>
      </c>
      <c r="B151">
        <v>1.0415000000000001</v>
      </c>
      <c r="C151">
        <v>1.23</v>
      </c>
      <c r="D151">
        <v>1.0064</v>
      </c>
      <c r="E151">
        <v>1.1580999999999999</v>
      </c>
      <c r="F151">
        <v>12579148.27</v>
      </c>
      <c r="G151">
        <v>1.1580999999999999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0.35688729874776326</v>
      </c>
      <c r="Q151">
        <f t="shared" ref="Q151" si="731">F151*P151</f>
        <v>4489338.2466278989</v>
      </c>
      <c r="R151">
        <f t="shared" ref="R151" si="732">R152+Q151</f>
        <v>57318712.642513335</v>
      </c>
      <c r="S151">
        <f t="shared" ref="S151" si="733">R151/100000</f>
        <v>573.18712642513333</v>
      </c>
      <c r="T151">
        <f t="shared" ref="T151" si="734">S151/1000</f>
        <v>0.57318712642513336</v>
      </c>
    </row>
    <row r="152" spans="1:20" x14ac:dyDescent="0.25">
      <c r="A152" s="5">
        <v>44441</v>
      </c>
      <c r="B152">
        <v>1.0964</v>
      </c>
      <c r="C152">
        <v>1.1164000000000001</v>
      </c>
      <c r="D152">
        <v>1.0132000000000001</v>
      </c>
      <c r="E152">
        <v>1.0422</v>
      </c>
      <c r="F152">
        <v>9279044</v>
      </c>
      <c r="G152">
        <v>1.0422</v>
      </c>
      <c r="L152" t="s">
        <v>7</v>
      </c>
      <c r="M152" t="s">
        <v>8</v>
      </c>
      <c r="N152" t="s">
        <v>8</v>
      </c>
      <c r="P152">
        <f t="shared" ref="P152" si="735">IF(C152=D152,0,((E152-D152)-(C152-E152))/(C152-D152))</f>
        <v>-0.43798449612403245</v>
      </c>
      <c r="Q152">
        <f t="shared" ref="Q152" si="736">F152*P152</f>
        <v>-4064077.4108527265</v>
      </c>
      <c r="R152">
        <f t="shared" ref="R152" si="737">R153+Q152</f>
        <v>52829374.395885438</v>
      </c>
      <c r="S152">
        <f t="shared" ref="S152" si="738">R152/100000</f>
        <v>528.29374395885441</v>
      </c>
      <c r="T152">
        <f t="shared" ref="T152" si="739">S152/1000</f>
        <v>0.52829374395885442</v>
      </c>
    </row>
    <row r="153" spans="1:20" x14ac:dyDescent="0.25">
      <c r="A153" s="5">
        <v>44440</v>
      </c>
      <c r="B153">
        <v>0.98</v>
      </c>
      <c r="C153">
        <v>1.1375999999999999</v>
      </c>
      <c r="D153">
        <v>0.92920000000000003</v>
      </c>
      <c r="E153">
        <v>1.0964</v>
      </c>
      <c r="F153">
        <v>22051661.34</v>
      </c>
      <c r="G153">
        <v>1.0964</v>
      </c>
      <c r="L153" t="s">
        <v>8</v>
      </c>
      <c r="M153" t="s">
        <v>8</v>
      </c>
      <c r="N153" t="s">
        <v>8</v>
      </c>
      <c r="P153">
        <f t="shared" ref="P153" si="740">IF(C153=D153,0,((E153-D153)-(C153-E153))/(C153-D153))</f>
        <v>0.60460652591170905</v>
      </c>
      <c r="Q153">
        <f t="shared" ref="Q153" si="741">F153*P153</f>
        <v>13332578.353358943</v>
      </c>
      <c r="R153">
        <f t="shared" ref="R153" si="742">R154+Q153</f>
        <v>56893451.806738168</v>
      </c>
      <c r="S153">
        <f t="shared" ref="S153" si="743">R153/100000</f>
        <v>568.93451806738165</v>
      </c>
      <c r="T153">
        <f t="shared" ref="T153" si="744">S153/1000</f>
        <v>0.5689345180673816</v>
      </c>
    </row>
    <row r="154" spans="1:20" x14ac:dyDescent="0.25">
      <c r="A154" s="5">
        <v>44439</v>
      </c>
      <c r="B154">
        <v>0.80840000000000001</v>
      </c>
      <c r="C154">
        <v>1.0791999999999999</v>
      </c>
      <c r="D154">
        <v>0.79320000000000002</v>
      </c>
      <c r="E154">
        <v>0.97929999999999995</v>
      </c>
      <c r="F154">
        <v>23401959.059999999</v>
      </c>
      <c r="G154">
        <v>0.97929999999999995</v>
      </c>
      <c r="L154" t="s">
        <v>8</v>
      </c>
      <c r="M154" t="s">
        <v>8</v>
      </c>
      <c r="N154" t="s">
        <v>8</v>
      </c>
      <c r="P154">
        <f t="shared" ref="P154" si="745">IF(C154=D154,0,((E154-D154)-(C154-E154))/(C154-D154))</f>
        <v>0.30139860139860131</v>
      </c>
      <c r="Q154">
        <f t="shared" ref="Q154" si="746">F154*P154</f>
        <v>7053317.7306713257</v>
      </c>
      <c r="R154">
        <f t="shared" ref="R154" si="747">R155+Q154</f>
        <v>43560873.453379221</v>
      </c>
      <c r="S154">
        <f t="shared" ref="S154" si="748">R154/100000</f>
        <v>435.60873453379219</v>
      </c>
      <c r="T154">
        <f t="shared" ref="T154" si="749">S154/1000</f>
        <v>0.43560873453379217</v>
      </c>
    </row>
    <row r="155" spans="1:20" x14ac:dyDescent="0.25">
      <c r="A155" s="5">
        <v>44438</v>
      </c>
      <c r="B155">
        <v>0.82310000000000005</v>
      </c>
      <c r="C155">
        <v>0.84240000000000004</v>
      </c>
      <c r="D155">
        <v>0.78500000000000003</v>
      </c>
      <c r="E155">
        <v>0.80810000000000004</v>
      </c>
      <c r="F155">
        <v>1811214</v>
      </c>
      <c r="G155">
        <v>0.80810000000000004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-0.19512195121951195</v>
      </c>
      <c r="Q155">
        <f t="shared" ref="Q155" si="751">F155*P155</f>
        <v>-353407.60975609714</v>
      </c>
      <c r="R155">
        <f t="shared" ref="R155" si="752">R156+Q155</f>
        <v>36507555.722707897</v>
      </c>
      <c r="S155">
        <f t="shared" ref="S155" si="753">R155/100000</f>
        <v>365.075557227079</v>
      </c>
      <c r="T155">
        <f t="shared" ref="T155" si="754">S155/1000</f>
        <v>0.36507555722707902</v>
      </c>
    </row>
    <row r="156" spans="1:20" x14ac:dyDescent="0.25">
      <c r="A156" s="5">
        <v>44437</v>
      </c>
      <c r="B156">
        <v>0.83</v>
      </c>
      <c r="C156">
        <v>0.84319999999999995</v>
      </c>
      <c r="D156">
        <v>0.80069999999999997</v>
      </c>
      <c r="E156">
        <v>0.82289999999999996</v>
      </c>
      <c r="F156">
        <v>1619222</v>
      </c>
      <c r="G156">
        <v>0.82289999999999996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4.4705882352941498E-2</v>
      </c>
      <c r="Q156">
        <f t="shared" ref="Q156" si="756">F156*P156</f>
        <v>72388.748235294639</v>
      </c>
      <c r="R156">
        <f t="shared" ref="R156" si="757">R157+Q156</f>
        <v>36860963.332463995</v>
      </c>
      <c r="S156">
        <f t="shared" ref="S156" si="758">R156/100000</f>
        <v>368.60963332463996</v>
      </c>
      <c r="T156">
        <f t="shared" ref="T156" si="759">S156/1000</f>
        <v>0.36860963332463997</v>
      </c>
    </row>
    <row r="157" spans="1:20" x14ac:dyDescent="0.25">
      <c r="A157" s="5">
        <v>44436</v>
      </c>
      <c r="B157">
        <v>0.86150000000000004</v>
      </c>
      <c r="C157">
        <v>0.86860000000000004</v>
      </c>
      <c r="D157">
        <v>0.82179999999999997</v>
      </c>
      <c r="E157">
        <v>0.8296</v>
      </c>
      <c r="F157">
        <v>1380724</v>
      </c>
      <c r="G157">
        <v>0.8296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-0.66666666666666585</v>
      </c>
      <c r="Q157">
        <f t="shared" ref="Q157" si="761">F157*P157</f>
        <v>-920482.66666666558</v>
      </c>
      <c r="R157">
        <f t="shared" ref="R157" si="762">R158+Q157</f>
        <v>36788574.584228702</v>
      </c>
      <c r="S157">
        <f t="shared" ref="S157" si="763">R157/100000</f>
        <v>367.88574584228701</v>
      </c>
      <c r="T157">
        <f t="shared" ref="T157" si="764">S157/1000</f>
        <v>0.367885745842287</v>
      </c>
    </row>
    <row r="158" spans="1:20" x14ac:dyDescent="0.25">
      <c r="A158" s="5">
        <v>44435</v>
      </c>
      <c r="B158">
        <v>0.81020000000000003</v>
      </c>
      <c r="C158">
        <v>0.86280000000000001</v>
      </c>
      <c r="D158">
        <v>0.77810000000000001</v>
      </c>
      <c r="E158">
        <v>0.86109999999999998</v>
      </c>
      <c r="F158">
        <v>2338837.9900000002</v>
      </c>
      <c r="G158">
        <v>0.86109999999999998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0.95985832349468636</v>
      </c>
      <c r="Q158">
        <f t="shared" ref="Q158" si="766">F158*P158</f>
        <v>2244953.1120070824</v>
      </c>
      <c r="R158">
        <f t="shared" ref="R158" si="767">R159+Q158</f>
        <v>37709057.250895366</v>
      </c>
      <c r="S158">
        <f t="shared" ref="S158" si="768">R158/100000</f>
        <v>377.09057250895364</v>
      </c>
      <c r="T158">
        <f t="shared" ref="T158" si="769">S158/1000</f>
        <v>0.37709057250895361</v>
      </c>
    </row>
    <row r="159" spans="1:20" x14ac:dyDescent="0.25">
      <c r="A159" s="5">
        <v>44434</v>
      </c>
      <c r="B159">
        <v>0.90239999999999998</v>
      </c>
      <c r="C159">
        <v>0.91279999999999994</v>
      </c>
      <c r="D159">
        <v>0.80679999999999996</v>
      </c>
      <c r="E159">
        <v>0.80959999999999999</v>
      </c>
      <c r="F159">
        <v>2314165.42</v>
      </c>
      <c r="G159">
        <v>0.80959999999999999</v>
      </c>
      <c r="L159" t="s">
        <v>7</v>
      </c>
      <c r="M159" t="s">
        <v>8</v>
      </c>
      <c r="N159" t="s">
        <v>8</v>
      </c>
      <c r="P159">
        <f t="shared" ref="P159" si="770">IF(C159=D159,0,((E159-D159)-(C159-E159))/(C159-D159))</f>
        <v>-0.94716981132075428</v>
      </c>
      <c r="Q159">
        <f t="shared" ref="Q159" si="771">F159*P159</f>
        <v>-2191907.6242264141</v>
      </c>
      <c r="R159">
        <f t="shared" ref="R159" si="772">R160+Q159</f>
        <v>35464104.138888285</v>
      </c>
      <c r="S159">
        <f t="shared" ref="S159" si="773">R159/100000</f>
        <v>354.64104138888285</v>
      </c>
      <c r="T159">
        <f t="shared" ref="T159" si="774">S159/1000</f>
        <v>0.35464104138888286</v>
      </c>
    </row>
    <row r="160" spans="1:20" x14ac:dyDescent="0.25">
      <c r="A160" s="5">
        <v>44433</v>
      </c>
      <c r="B160">
        <v>0.85399999999999998</v>
      </c>
      <c r="C160">
        <v>0.93</v>
      </c>
      <c r="D160">
        <v>0.82379999999999998</v>
      </c>
      <c r="E160">
        <v>0.90149999999999997</v>
      </c>
      <c r="F160">
        <v>3329063.3</v>
      </c>
      <c r="G160">
        <v>0.90149999999999997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0.46327683615819093</v>
      </c>
      <c r="Q160">
        <f t="shared" ref="Q160" si="776">F160*P160</f>
        <v>1542277.9129943463</v>
      </c>
      <c r="R160">
        <f t="shared" ref="R160" si="777">R161+Q160</f>
        <v>37656011.763114698</v>
      </c>
      <c r="S160">
        <f t="shared" ref="S160" si="778">R160/100000</f>
        <v>376.56011763114697</v>
      </c>
      <c r="T160">
        <f t="shared" ref="T160" si="779">S160/1000</f>
        <v>0.37656011763114694</v>
      </c>
    </row>
    <row r="161" spans="1:20" x14ac:dyDescent="0.25">
      <c r="A161" s="5">
        <v>44432</v>
      </c>
      <c r="B161">
        <v>0.93389999999999995</v>
      </c>
      <c r="C161">
        <v>0.93700000000000006</v>
      </c>
      <c r="D161">
        <v>0.82010000000000005</v>
      </c>
      <c r="E161">
        <v>0.85370000000000001</v>
      </c>
      <c r="F161">
        <v>2993663.92</v>
      </c>
      <c r="G161">
        <v>0.85370000000000001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-0.42514970059880303</v>
      </c>
      <c r="Q161">
        <f t="shared" ref="Q161" si="781">F161*P161</f>
        <v>-1272755.3192814391</v>
      </c>
      <c r="R161">
        <f t="shared" ref="R161" si="782">R162+Q161</f>
        <v>36113733.850120351</v>
      </c>
      <c r="S161">
        <f t="shared" ref="S161" si="783">R161/100000</f>
        <v>361.13733850120349</v>
      </c>
      <c r="T161">
        <f t="shared" ref="T161" si="784">S161/1000</f>
        <v>0.3611373385012035</v>
      </c>
    </row>
    <row r="162" spans="1:20" x14ac:dyDescent="0.25">
      <c r="A162" s="5">
        <v>44431</v>
      </c>
      <c r="B162">
        <v>0.90539999999999998</v>
      </c>
      <c r="C162">
        <v>0.94799999999999995</v>
      </c>
      <c r="D162">
        <v>0.90059999999999996</v>
      </c>
      <c r="E162">
        <v>0.93400000000000005</v>
      </c>
      <c r="F162">
        <v>3825634.48</v>
      </c>
      <c r="G162">
        <v>0.93400000000000005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0.40928270042194503</v>
      </c>
      <c r="Q162">
        <f t="shared" ref="Q162" si="786">F162*P162</f>
        <v>1565766.0108017034</v>
      </c>
      <c r="R162">
        <f t="shared" ref="R162" si="787">R163+Q162</f>
        <v>37386489.169401787</v>
      </c>
      <c r="S162">
        <f t="shared" ref="S162" si="788">R162/100000</f>
        <v>373.8648916940179</v>
      </c>
      <c r="T162">
        <f t="shared" ref="T162" si="789">S162/1000</f>
        <v>0.37386489169401788</v>
      </c>
    </row>
    <row r="163" spans="1:20" x14ac:dyDescent="0.25">
      <c r="A163" s="5">
        <v>44430</v>
      </c>
      <c r="B163">
        <v>0.87019999999999997</v>
      </c>
      <c r="C163">
        <v>0.88649999999999995</v>
      </c>
      <c r="D163">
        <v>0.86770000000000003</v>
      </c>
      <c r="E163">
        <v>0.88160000000000005</v>
      </c>
      <c r="F163">
        <v>426304.24</v>
      </c>
      <c r="G163">
        <v>0.88160000000000005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0.47872340425532733</v>
      </c>
      <c r="Q163">
        <f t="shared" ref="Q163" si="791">F163*P163</f>
        <v>204081.81702128009</v>
      </c>
      <c r="R163">
        <f t="shared" ref="R163" si="792">R164+Q163</f>
        <v>35820723.158600084</v>
      </c>
      <c r="S163">
        <f t="shared" ref="S163" si="793">R163/100000</f>
        <v>358.20723158600083</v>
      </c>
      <c r="T163">
        <f t="shared" ref="T163" si="794">S163/1000</f>
        <v>0.35820723158600082</v>
      </c>
    </row>
    <row r="164" spans="1:20" x14ac:dyDescent="0.25">
      <c r="A164" s="5">
        <v>44429</v>
      </c>
      <c r="B164">
        <v>0.88880000000000003</v>
      </c>
      <c r="C164">
        <v>0.94</v>
      </c>
      <c r="D164">
        <v>0.85829999999999995</v>
      </c>
      <c r="E164">
        <v>0.86990000000000001</v>
      </c>
      <c r="F164">
        <v>3447768</v>
      </c>
      <c r="G164">
        <v>0.86990000000000001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-0.71603427172582479</v>
      </c>
      <c r="Q164">
        <f t="shared" ref="Q164" si="796">F164*P164</f>
        <v>-2468720.0489596035</v>
      </c>
      <c r="R164">
        <f t="shared" ref="R164" si="797">R165+Q164</f>
        <v>35616641.341578804</v>
      </c>
      <c r="S164">
        <f t="shared" ref="S164" si="798">R164/100000</f>
        <v>356.16641341578804</v>
      </c>
      <c r="T164">
        <f t="shared" ref="T164" si="799">S164/1000</f>
        <v>0.35616641341578803</v>
      </c>
    </row>
    <row r="165" spans="1:20" x14ac:dyDescent="0.25">
      <c r="A165" s="5">
        <v>44428</v>
      </c>
      <c r="B165">
        <v>0.85460000000000003</v>
      </c>
      <c r="C165">
        <v>0.89490000000000003</v>
      </c>
      <c r="D165">
        <v>0.85009999999999997</v>
      </c>
      <c r="E165">
        <v>0.89039999999999997</v>
      </c>
      <c r="F165">
        <v>3842513.88</v>
      </c>
      <c r="G165">
        <v>0.89039999999999997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0.79910714285714046</v>
      </c>
      <c r="Q165">
        <f t="shared" ref="Q165" si="801">F165*P165</f>
        <v>3070580.2880357052</v>
      </c>
      <c r="R165">
        <f t="shared" ref="R165" si="802">R166+Q165</f>
        <v>38085361.390538409</v>
      </c>
      <c r="S165">
        <f t="shared" ref="S165" si="803">R165/100000</f>
        <v>380.85361390538407</v>
      </c>
      <c r="T165">
        <f t="shared" ref="T165" si="804">S165/1000</f>
        <v>0.38085361390538408</v>
      </c>
    </row>
    <row r="166" spans="1:20" x14ac:dyDescent="0.25">
      <c r="A166" s="5">
        <v>44427</v>
      </c>
      <c r="B166">
        <v>0.80479999999999996</v>
      </c>
      <c r="C166">
        <v>0.86629999999999996</v>
      </c>
      <c r="D166">
        <v>0.7681</v>
      </c>
      <c r="E166">
        <v>0.85450000000000004</v>
      </c>
      <c r="F166">
        <v>2787187.76</v>
      </c>
      <c r="G166">
        <v>0.85450000000000004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0.75967413441955345</v>
      </c>
      <c r="Q166">
        <f t="shared" ref="Q166" si="806">F166*P166</f>
        <v>2117354.4490427738</v>
      </c>
      <c r="R166">
        <f t="shared" ref="R166" si="807">R167+Q166</f>
        <v>35014781.102502704</v>
      </c>
      <c r="S166">
        <f t="shared" ref="S166" si="808">R166/100000</f>
        <v>350.14781102502701</v>
      </c>
      <c r="T166">
        <f t="shared" ref="T166" si="809">S166/1000</f>
        <v>0.35014781102502701</v>
      </c>
    </row>
    <row r="167" spans="1:20" x14ac:dyDescent="0.25">
      <c r="A167" s="5">
        <v>44426</v>
      </c>
      <c r="B167">
        <v>0.80220000000000002</v>
      </c>
      <c r="C167">
        <v>0.8327</v>
      </c>
      <c r="D167">
        <v>0.77159999999999995</v>
      </c>
      <c r="E167">
        <v>0.80420000000000003</v>
      </c>
      <c r="F167">
        <v>2744452.72</v>
      </c>
      <c r="G167">
        <v>0.80420000000000003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6.7103109656302798E-2</v>
      </c>
      <c r="Q167">
        <f t="shared" ref="Q167" si="811">F167*P167</f>
        <v>184161.31181669849</v>
      </c>
      <c r="R167">
        <f t="shared" ref="R167" si="812">R168+Q167</f>
        <v>32897426.653459929</v>
      </c>
      <c r="S167">
        <f t="shared" ref="S167" si="813">R167/100000</f>
        <v>328.97426653459928</v>
      </c>
      <c r="T167">
        <f t="shared" ref="T167" si="814">S167/1000</f>
        <v>0.32897426653459927</v>
      </c>
    </row>
    <row r="168" spans="1:20" x14ac:dyDescent="0.25">
      <c r="A168" s="5">
        <v>44425</v>
      </c>
      <c r="B168">
        <v>0.84819999999999995</v>
      </c>
      <c r="C168">
        <v>0.88300000000000001</v>
      </c>
      <c r="D168">
        <v>0.7802</v>
      </c>
      <c r="E168">
        <v>0.80279999999999996</v>
      </c>
      <c r="F168">
        <v>3385989.81</v>
      </c>
      <c r="G168">
        <v>0.80279999999999996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-0.5603112840466935</v>
      </c>
      <c r="Q168">
        <f t="shared" ref="Q168" si="816">F168*P168</f>
        <v>-1897208.2982101198</v>
      </c>
      <c r="R168">
        <f t="shared" ref="R168" si="817">R169+Q168</f>
        <v>32713265.341643229</v>
      </c>
      <c r="S168">
        <f t="shared" ref="S168" si="818">R168/100000</f>
        <v>327.13265341643228</v>
      </c>
      <c r="T168">
        <f t="shared" ref="T168" si="819">S168/1000</f>
        <v>0.32713265341643227</v>
      </c>
    </row>
    <row r="169" spans="1:20" x14ac:dyDescent="0.25">
      <c r="A169" s="5">
        <v>44424</v>
      </c>
      <c r="B169">
        <v>0.89480000000000004</v>
      </c>
      <c r="C169">
        <v>0.92390000000000005</v>
      </c>
      <c r="D169">
        <v>0.84419999999999995</v>
      </c>
      <c r="E169">
        <v>0.84750000000000003</v>
      </c>
      <c r="F169">
        <v>3942749.97</v>
      </c>
      <c r="G169">
        <v>0.84750000000000003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-0.91718946047678607</v>
      </c>
      <c r="Q169">
        <f t="shared" ref="Q169" si="821">F169*P169</f>
        <v>-3616248.7177791647</v>
      </c>
      <c r="R169">
        <f t="shared" ref="R169" si="822">R170+Q169</f>
        <v>34610473.639853351</v>
      </c>
      <c r="S169">
        <f t="shared" ref="S169" si="823">R169/100000</f>
        <v>346.10473639853353</v>
      </c>
      <c r="T169">
        <f t="shared" ref="T169" si="824">S169/1000</f>
        <v>0.34610473639853351</v>
      </c>
    </row>
    <row r="170" spans="1:20" x14ac:dyDescent="0.25">
      <c r="A170" s="5">
        <v>44423</v>
      </c>
      <c r="B170">
        <v>0.91610000000000003</v>
      </c>
      <c r="C170">
        <v>0.92730000000000001</v>
      </c>
      <c r="D170">
        <v>0.85150000000000003</v>
      </c>
      <c r="E170">
        <v>0.89510000000000001</v>
      </c>
      <c r="F170">
        <v>4118576.76</v>
      </c>
      <c r="G170">
        <v>0.89510000000000001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0.15039577836411569</v>
      </c>
      <c r="Q170">
        <f t="shared" ref="Q170" si="826">F170*P170</f>
        <v>619416.55757255771</v>
      </c>
      <c r="R170">
        <f t="shared" ref="R170" si="827">R171+Q170</f>
        <v>38226722.357632518</v>
      </c>
      <c r="S170">
        <f t="shared" ref="S170" si="828">R170/100000</f>
        <v>382.26722357632519</v>
      </c>
      <c r="T170">
        <f t="shared" ref="T170" si="829">S170/1000</f>
        <v>0.3822672235763252</v>
      </c>
    </row>
    <row r="171" spans="1:20" x14ac:dyDescent="0.25">
      <c r="A171" s="5">
        <v>44422</v>
      </c>
      <c r="B171">
        <v>0.90810000000000002</v>
      </c>
      <c r="C171">
        <v>0.94499999999999995</v>
      </c>
      <c r="D171">
        <v>0.86460000000000004</v>
      </c>
      <c r="E171">
        <v>0.9163</v>
      </c>
      <c r="F171">
        <v>4076355.8</v>
      </c>
      <c r="G171">
        <v>0.9163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0.28606965174129406</v>
      </c>
      <c r="Q171">
        <f t="shared" ref="Q171" si="831">F171*P171</f>
        <v>1166121.684079604</v>
      </c>
      <c r="R171">
        <f t="shared" ref="R171" si="832">R172+Q171</f>
        <v>37607305.800059959</v>
      </c>
      <c r="S171">
        <f t="shared" ref="S171" si="833">R171/100000</f>
        <v>376.07305800059959</v>
      </c>
      <c r="T171">
        <f t="shared" ref="T171" si="834">S171/1000</f>
        <v>0.37607305800059959</v>
      </c>
    </row>
    <row r="172" spans="1:20" x14ac:dyDescent="0.25">
      <c r="A172" s="5">
        <v>44421</v>
      </c>
      <c r="B172">
        <v>0.77080000000000004</v>
      </c>
      <c r="C172">
        <v>0.91</v>
      </c>
      <c r="D172">
        <v>0.76219999999999999</v>
      </c>
      <c r="E172">
        <v>0.90810000000000002</v>
      </c>
      <c r="F172">
        <v>4899006.49</v>
      </c>
      <c r="G172">
        <v>0.90810000000000002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0.97428958051420822</v>
      </c>
      <c r="Q172">
        <f t="shared" ref="Q172" si="836">F172*P172</f>
        <v>4773050.9780784836</v>
      </c>
      <c r="R172">
        <f t="shared" ref="R172" si="837">R173+Q172</f>
        <v>36441184.115980357</v>
      </c>
      <c r="S172">
        <f t="shared" ref="S172" si="838">R172/100000</f>
        <v>364.41184115980354</v>
      </c>
      <c r="T172">
        <f t="shared" ref="T172" si="839">S172/1000</f>
        <v>0.36441184115980352</v>
      </c>
    </row>
    <row r="173" spans="1:20" x14ac:dyDescent="0.25">
      <c r="A173" s="5">
        <v>44420</v>
      </c>
      <c r="B173">
        <v>0.78810000000000002</v>
      </c>
      <c r="C173">
        <v>0.82030000000000003</v>
      </c>
      <c r="D173">
        <v>0.72560000000000002</v>
      </c>
      <c r="E173">
        <v>0.77059999999999995</v>
      </c>
      <c r="F173">
        <v>3556009.93</v>
      </c>
      <c r="G173">
        <v>0.77059999999999995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-4.9630411826823109E-2</v>
      </c>
      <c r="Q173">
        <f t="shared" ref="Q173" si="841">F173*P173</f>
        <v>-176486.23728617243</v>
      </c>
      <c r="R173">
        <f t="shared" ref="R173" si="842">R174+Q173</f>
        <v>31668133.137901872</v>
      </c>
      <c r="S173">
        <f t="shared" ref="S173" si="843">R173/100000</f>
        <v>316.68133137901873</v>
      </c>
      <c r="T173">
        <f t="shared" ref="T173" si="844">S173/1000</f>
        <v>0.31668133137901872</v>
      </c>
    </row>
    <row r="174" spans="1:20" x14ac:dyDescent="0.25">
      <c r="A174" s="5">
        <v>44419</v>
      </c>
      <c r="B174">
        <v>0.74480000000000002</v>
      </c>
      <c r="C174">
        <v>0.82930000000000004</v>
      </c>
      <c r="D174">
        <v>0.74460000000000004</v>
      </c>
      <c r="E174">
        <v>0.78800000000000003</v>
      </c>
      <c r="F174">
        <v>4612444.84</v>
      </c>
      <c r="G174">
        <v>0.78800000000000003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2.4793388429751959E-2</v>
      </c>
      <c r="Q174">
        <f t="shared" ref="Q174" si="846">F174*P174</f>
        <v>114358.13652892513</v>
      </c>
      <c r="R174">
        <f t="shared" ref="R174" si="847">R175+Q174</f>
        <v>31844619.375188045</v>
      </c>
      <c r="S174">
        <f t="shared" ref="S174" si="848">R174/100000</f>
        <v>318.44619375188046</v>
      </c>
      <c r="T174">
        <f t="shared" ref="T174" si="849">S174/1000</f>
        <v>0.31844619375188044</v>
      </c>
    </row>
    <row r="175" spans="1:20" x14ac:dyDescent="0.25">
      <c r="A175" s="5">
        <v>44418</v>
      </c>
      <c r="B175">
        <v>0.72130000000000005</v>
      </c>
      <c r="C175">
        <v>0.76849999999999996</v>
      </c>
      <c r="D175">
        <v>0.70889999999999997</v>
      </c>
      <c r="E175">
        <v>0.74629999999999996</v>
      </c>
      <c r="F175">
        <v>4472348.79</v>
      </c>
      <c r="G175">
        <v>0.74629999999999996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0.25503355704697978</v>
      </c>
      <c r="Q175">
        <f t="shared" ref="Q175" si="851">F175*P175</f>
        <v>1140599.0202684561</v>
      </c>
      <c r="R175">
        <f t="shared" ref="R175" si="852">R176+Q175</f>
        <v>31730261.238659121</v>
      </c>
      <c r="S175">
        <f t="shared" ref="S175" si="853">R175/100000</f>
        <v>317.30261238659119</v>
      </c>
      <c r="T175">
        <f t="shared" ref="T175" si="854">S175/1000</f>
        <v>0.31730261238659119</v>
      </c>
    </row>
    <row r="176" spans="1:20" x14ac:dyDescent="0.25">
      <c r="A176" s="5">
        <v>44417</v>
      </c>
      <c r="B176">
        <v>0.68730000000000002</v>
      </c>
      <c r="C176">
        <v>0.72589999999999999</v>
      </c>
      <c r="D176">
        <v>0.66420000000000001</v>
      </c>
      <c r="E176">
        <v>0.72119999999999995</v>
      </c>
      <c r="F176">
        <v>2328163.92</v>
      </c>
      <c r="G176">
        <v>0.72119999999999995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0.84764991896272157</v>
      </c>
      <c r="Q176">
        <f t="shared" ref="Q176" si="856">F176*P176</f>
        <v>1973467.9581199321</v>
      </c>
      <c r="R176">
        <f t="shared" ref="R176" si="857">R177+Q176</f>
        <v>30589662.218390666</v>
      </c>
      <c r="S176">
        <f t="shared" ref="S176" si="858">R176/100000</f>
        <v>305.89662218390669</v>
      </c>
      <c r="T176">
        <f t="shared" ref="T176" si="859">S176/1000</f>
        <v>0.30589662218390667</v>
      </c>
    </row>
    <row r="177" spans="1:20" x14ac:dyDescent="0.25">
      <c r="A177" s="5">
        <v>44416</v>
      </c>
      <c r="B177">
        <v>0.7288</v>
      </c>
      <c r="C177">
        <v>0.73450000000000004</v>
      </c>
      <c r="D177">
        <v>0.67100000000000004</v>
      </c>
      <c r="E177">
        <v>0.6875</v>
      </c>
      <c r="F177">
        <v>1752301.79</v>
      </c>
      <c r="G177">
        <v>0.6875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-0.48031496062992257</v>
      </c>
      <c r="Q177">
        <f t="shared" ref="Q177" si="861">F177*P177</f>
        <v>-841656.76527559292</v>
      </c>
      <c r="R177">
        <f t="shared" ref="R177" si="862">R178+Q177</f>
        <v>28616194.260270733</v>
      </c>
      <c r="S177">
        <f t="shared" ref="S177" si="863">R177/100000</f>
        <v>286.16194260270731</v>
      </c>
      <c r="T177">
        <f t="shared" ref="T177" si="864">S177/1000</f>
        <v>0.28616194260270733</v>
      </c>
    </row>
    <row r="178" spans="1:20" x14ac:dyDescent="0.25">
      <c r="A178" s="5">
        <v>44415</v>
      </c>
      <c r="B178">
        <v>0.71050000000000002</v>
      </c>
      <c r="C178">
        <v>0.74680000000000002</v>
      </c>
      <c r="D178">
        <v>0.69540000000000002</v>
      </c>
      <c r="E178">
        <v>0.72889999999999999</v>
      </c>
      <c r="F178">
        <v>5668651.4199999999</v>
      </c>
      <c r="G178">
        <v>0.72889999999999999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0.30350194552529081</v>
      </c>
      <c r="Q178">
        <f t="shared" ref="Q178" si="866">F178*P178</f>
        <v>1720446.7344747023</v>
      </c>
      <c r="R178">
        <f t="shared" ref="R178" si="867">R179+Q178</f>
        <v>29457851.025546327</v>
      </c>
      <c r="S178">
        <f t="shared" ref="S178" si="868">R178/100000</f>
        <v>294.5785102554633</v>
      </c>
      <c r="T178">
        <f t="shared" ref="T178" si="869">S178/1000</f>
        <v>0.29457851025546328</v>
      </c>
    </row>
    <row r="179" spans="1:20" x14ac:dyDescent="0.25">
      <c r="A179" s="5">
        <v>44414</v>
      </c>
      <c r="B179">
        <v>0.69220000000000004</v>
      </c>
      <c r="C179">
        <v>0.71830000000000005</v>
      </c>
      <c r="D179">
        <v>0.66410000000000002</v>
      </c>
      <c r="E179">
        <v>0.71030000000000004</v>
      </c>
      <c r="F179">
        <v>22251452.5</v>
      </c>
      <c r="G179">
        <v>0.71030000000000004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0.7047970479704796</v>
      </c>
      <c r="Q179">
        <f t="shared" ref="Q179" si="871">F179*P179</f>
        <v>15682758.035055349</v>
      </c>
      <c r="R179">
        <f t="shared" ref="R179" si="872">R180+Q179</f>
        <v>27737404.291071624</v>
      </c>
      <c r="S179">
        <f t="shared" ref="S179" si="873">R179/100000</f>
        <v>277.37404291071624</v>
      </c>
      <c r="T179">
        <f t="shared" ref="T179" si="874">S179/1000</f>
        <v>0.27737404291071627</v>
      </c>
    </row>
    <row r="180" spans="1:20" x14ac:dyDescent="0.25">
      <c r="A180" s="5">
        <v>44413</v>
      </c>
      <c r="B180">
        <v>0.64880000000000004</v>
      </c>
      <c r="C180">
        <v>0.71</v>
      </c>
      <c r="D180">
        <v>0.61939999999999995</v>
      </c>
      <c r="E180">
        <v>0.69279999999999997</v>
      </c>
      <c r="F180">
        <v>7474309.3899999997</v>
      </c>
      <c r="G180">
        <v>0.69279999999999997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0.6203090507726271</v>
      </c>
      <c r="Q180">
        <f t="shared" ref="Q180" si="876">F180*P180</f>
        <v>4636381.7628918337</v>
      </c>
      <c r="R180">
        <f t="shared" ref="R180" si="877">R181+Q180</f>
        <v>12054646.256016273</v>
      </c>
      <c r="S180">
        <f t="shared" ref="S180" si="878">R180/100000</f>
        <v>120.54646256016274</v>
      </c>
      <c r="T180">
        <f t="shared" ref="T180" si="879">S180/1000</f>
        <v>0.12054646256016274</v>
      </c>
    </row>
    <row r="181" spans="1:20" x14ac:dyDescent="0.25">
      <c r="A181" s="5">
        <v>44412</v>
      </c>
      <c r="B181">
        <v>0.62319999999999998</v>
      </c>
      <c r="C181">
        <v>0.65880000000000005</v>
      </c>
      <c r="D181">
        <v>0.61029999999999995</v>
      </c>
      <c r="E181">
        <v>0.6482</v>
      </c>
      <c r="F181">
        <v>1652277.38</v>
      </c>
      <c r="G181">
        <v>0.6482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0.562886597938143</v>
      </c>
      <c r="Q181">
        <f t="shared" ref="Q181" si="881">F181*P181</f>
        <v>930044.79327834828</v>
      </c>
      <c r="R181">
        <f t="shared" ref="R181" si="882">R182+Q181</f>
        <v>7418264.4931244384</v>
      </c>
      <c r="S181">
        <f t="shared" ref="S181" si="883">R181/100000</f>
        <v>74.182644931244383</v>
      </c>
      <c r="T181">
        <f t="shared" ref="T181" si="884">S181/1000</f>
        <v>7.4182644931244379E-2</v>
      </c>
    </row>
    <row r="182" spans="1:20" x14ac:dyDescent="0.25">
      <c r="A182" s="5">
        <v>44411</v>
      </c>
      <c r="B182">
        <v>0.66069999999999995</v>
      </c>
      <c r="C182">
        <v>0.66900000000000004</v>
      </c>
      <c r="D182">
        <v>0.61199999999999999</v>
      </c>
      <c r="E182">
        <v>0.623</v>
      </c>
      <c r="F182">
        <v>2063601.3</v>
      </c>
      <c r="G182">
        <v>0.623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-0.61403508771929827</v>
      </c>
      <c r="Q182">
        <f t="shared" ref="Q182" si="886">F182*P182</f>
        <v>-1267123.605263158</v>
      </c>
      <c r="R182">
        <f t="shared" ref="R182" si="887">R183+Q182</f>
        <v>6488219.6998460898</v>
      </c>
      <c r="S182">
        <f t="shared" ref="S182" si="888">R182/100000</f>
        <v>64.882196998460898</v>
      </c>
      <c r="T182">
        <f t="shared" ref="T182" si="889">S182/1000</f>
        <v>6.48821969984609E-2</v>
      </c>
    </row>
    <row r="183" spans="1:20" x14ac:dyDescent="0.25">
      <c r="A183" s="5">
        <v>44410</v>
      </c>
      <c r="B183">
        <v>0.61260000000000003</v>
      </c>
      <c r="C183">
        <v>0.6754</v>
      </c>
      <c r="D183">
        <v>0.60129999999999995</v>
      </c>
      <c r="E183">
        <v>0.65920000000000001</v>
      </c>
      <c r="F183">
        <v>3415383.01</v>
      </c>
      <c r="G183">
        <v>0.65920000000000001</v>
      </c>
      <c r="L183" t="s">
        <v>8</v>
      </c>
      <c r="M183" t="s">
        <v>8</v>
      </c>
      <c r="N183" t="s">
        <v>8</v>
      </c>
      <c r="P183">
        <f t="shared" ref="P183" si="890">IF(C183=D183,0,((E183-D183)-(C183-E183))/(C183-D183))</f>
        <v>0.5627530364372475</v>
      </c>
      <c r="Q183">
        <f t="shared" ref="Q183" si="891">F183*P183</f>
        <v>1922017.159473686</v>
      </c>
      <c r="R183">
        <f t="shared" ref="R183" si="892">R184+Q183</f>
        <v>7755343.3051092476</v>
      </c>
      <c r="S183">
        <f t="shared" ref="S183" si="893">R183/100000</f>
        <v>77.553433051092469</v>
      </c>
      <c r="T183">
        <f t="shared" ref="T183" si="894">S183/1000</f>
        <v>7.7553433051092469E-2</v>
      </c>
    </row>
    <row r="184" spans="1:20" x14ac:dyDescent="0.25">
      <c r="A184" s="5">
        <v>44409</v>
      </c>
      <c r="B184">
        <v>0.61099999999999999</v>
      </c>
      <c r="C184">
        <v>0.64200000000000002</v>
      </c>
      <c r="D184">
        <v>0.60109999999999997</v>
      </c>
      <c r="E184">
        <v>0.6129</v>
      </c>
      <c r="F184">
        <v>2947239.77</v>
      </c>
      <c r="G184">
        <v>0.6129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-0.42298288508557363</v>
      </c>
      <c r="Q184">
        <f t="shared" ref="Q184" si="896">F184*P184</f>
        <v>-1246631.9809535425</v>
      </c>
      <c r="R184">
        <f t="shared" ref="R184" si="897">R185+Q184</f>
        <v>5833326.145635562</v>
      </c>
      <c r="S184">
        <f t="shared" ref="S184" si="898">R184/100000</f>
        <v>58.333261456355622</v>
      </c>
      <c r="T184">
        <f t="shared" ref="T184" si="899">S184/1000</f>
        <v>5.8333261456355624E-2</v>
      </c>
    </row>
    <row r="185" spans="1:20" x14ac:dyDescent="0.25">
      <c r="A185" s="5">
        <v>44408</v>
      </c>
      <c r="B185">
        <v>0.61860000000000004</v>
      </c>
      <c r="C185">
        <v>0.63580000000000003</v>
      </c>
      <c r="D185">
        <v>0.59950000000000003</v>
      </c>
      <c r="E185">
        <v>0.61119999999999997</v>
      </c>
      <c r="F185">
        <v>2043390.17</v>
      </c>
      <c r="G185">
        <v>0.61119999999999997</v>
      </c>
      <c r="L185" t="s">
        <v>8</v>
      </c>
      <c r="M185" t="s">
        <v>8</v>
      </c>
      <c r="N185" t="s">
        <v>8</v>
      </c>
      <c r="P185">
        <f t="shared" ref="P185" si="900">IF(C185=D185,0,((E185-D185)-(C185-E185))/(C185-D185))</f>
        <v>-0.35537190082644998</v>
      </c>
      <c r="Q185">
        <f t="shared" ref="Q185" si="901">F185*P185</f>
        <v>-726163.44884298276</v>
      </c>
      <c r="R185">
        <f t="shared" ref="R185" si="902">R186+Q185</f>
        <v>7079958.1265891045</v>
      </c>
      <c r="S185">
        <f t="shared" ref="S185" si="903">R185/100000</f>
        <v>70.799581265891049</v>
      </c>
      <c r="T185">
        <f t="shared" ref="T185" si="904">S185/1000</f>
        <v>7.0799581265891046E-2</v>
      </c>
    </row>
    <row r="186" spans="1:20" x14ac:dyDescent="0.25">
      <c r="A186" s="5">
        <v>44407</v>
      </c>
      <c r="B186">
        <v>0.61180000000000001</v>
      </c>
      <c r="C186">
        <v>0.62460000000000004</v>
      </c>
      <c r="D186">
        <v>0.57879999999999998</v>
      </c>
      <c r="E186">
        <v>0.62070000000000003</v>
      </c>
      <c r="F186">
        <v>1941551.39</v>
      </c>
      <c r="G186">
        <v>0.62070000000000003</v>
      </c>
      <c r="L186" t="s">
        <v>7</v>
      </c>
      <c r="M186" t="s">
        <v>8</v>
      </c>
      <c r="N186" t="s">
        <v>8</v>
      </c>
      <c r="P186">
        <f t="shared" ref="P186" si="905">IF(C186=D186,0,((E186-D186)-(C186-E186))/(C186-D186))</f>
        <v>0.82969432314410441</v>
      </c>
      <c r="Q186">
        <f t="shared" ref="Q186" si="906">F186*P186</f>
        <v>1610894.1663755451</v>
      </c>
      <c r="R186">
        <f t="shared" ref="R186" si="907">R187+Q186</f>
        <v>7806121.5754320873</v>
      </c>
      <c r="S186">
        <f t="shared" ref="S186" si="908">R186/100000</f>
        <v>78.06121575432087</v>
      </c>
      <c r="T186">
        <f t="shared" ref="T186" si="909">S186/1000</f>
        <v>7.8061215754320873E-2</v>
      </c>
    </row>
    <row r="187" spans="1:20" x14ac:dyDescent="0.25">
      <c r="A187" s="5">
        <v>44406</v>
      </c>
      <c r="B187">
        <v>0.57130000000000003</v>
      </c>
      <c r="C187">
        <v>0.64490000000000003</v>
      </c>
      <c r="D187">
        <v>0.5534</v>
      </c>
      <c r="E187">
        <v>0.61450000000000005</v>
      </c>
      <c r="F187">
        <v>3827528.07</v>
      </c>
      <c r="G187">
        <v>0.61450000000000005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0.33551912568306069</v>
      </c>
      <c r="Q187">
        <f t="shared" ref="Q187" si="911">F187*P187</f>
        <v>1284208.8715737727</v>
      </c>
      <c r="R187">
        <f t="shared" ref="R187" si="912">R188+Q187</f>
        <v>6195227.4090565424</v>
      </c>
      <c r="S187">
        <f t="shared" ref="S187" si="913">R187/100000</f>
        <v>61.952274090565425</v>
      </c>
      <c r="T187">
        <f t="shared" ref="T187" si="914">S187/1000</f>
        <v>6.1952274090565425E-2</v>
      </c>
    </row>
    <row r="188" spans="1:20" x14ac:dyDescent="0.25">
      <c r="A188" s="5">
        <v>44405</v>
      </c>
      <c r="B188">
        <v>0.56210000000000004</v>
      </c>
      <c r="C188">
        <v>0.58599999999999997</v>
      </c>
      <c r="D188">
        <v>0.54520000000000002</v>
      </c>
      <c r="E188">
        <v>0.57279999999999998</v>
      </c>
      <c r="F188">
        <v>2092153.16</v>
      </c>
      <c r="G188">
        <v>0.57279999999999998</v>
      </c>
      <c r="L188" t="s">
        <v>7</v>
      </c>
      <c r="M188" t="s">
        <v>8</v>
      </c>
      <c r="N188" t="s">
        <v>7</v>
      </c>
      <c r="P188">
        <f t="shared" ref="P188" si="915">IF(C188=D188,0,((E188-D188)-(C188-E188))/(C188-D188))</f>
        <v>0.35294117647058793</v>
      </c>
      <c r="Q188">
        <f t="shared" ref="Q188" si="916">F188*P188</f>
        <v>738406.9976470581</v>
      </c>
      <c r="R188">
        <f t="shared" ref="R188" si="917">R189+Q188</f>
        <v>4911018.5374827692</v>
      </c>
      <c r="S188">
        <f t="shared" ref="S188" si="918">R188/100000</f>
        <v>49.110185374827694</v>
      </c>
      <c r="T188">
        <f t="shared" ref="T188" si="919">S188/1000</f>
        <v>4.911018537482769E-2</v>
      </c>
    </row>
    <row r="189" spans="1:20" x14ac:dyDescent="0.25">
      <c r="A189" s="5">
        <v>44404</v>
      </c>
      <c r="B189">
        <v>0.51500000000000001</v>
      </c>
      <c r="C189">
        <v>0.60409999999999997</v>
      </c>
      <c r="D189">
        <v>0.50570000000000004</v>
      </c>
      <c r="E189">
        <v>0.55989999999999995</v>
      </c>
      <c r="F189">
        <v>2648406.39</v>
      </c>
      <c r="G189">
        <v>0.55989999999999995</v>
      </c>
      <c r="L189" t="s">
        <v>8</v>
      </c>
      <c r="M189" t="s">
        <v>8</v>
      </c>
      <c r="N189" t="s">
        <v>7</v>
      </c>
      <c r="P189">
        <f t="shared" ref="P189" si="920">IF(C189=D189,0,((E189-D189)-(C189-E189))/(C189-D189))</f>
        <v>0.10162601626016163</v>
      </c>
      <c r="Q189">
        <f t="shared" ref="Q189" si="921">F189*P189</f>
        <v>269146.99085365597</v>
      </c>
      <c r="R189">
        <f t="shared" ref="R189" si="922">R190+Q189</f>
        <v>4172611.539835711</v>
      </c>
      <c r="S189">
        <f t="shared" ref="S189" si="923">R189/100000</f>
        <v>41.726115398357109</v>
      </c>
      <c r="T189">
        <f t="shared" ref="T189" si="924">S189/1000</f>
        <v>4.1726115398357112E-2</v>
      </c>
    </row>
    <row r="190" spans="1:20" x14ac:dyDescent="0.25">
      <c r="A190" s="5">
        <v>44403</v>
      </c>
      <c r="B190">
        <v>0.51549999999999996</v>
      </c>
      <c r="C190">
        <v>0.56179999999999997</v>
      </c>
      <c r="D190">
        <v>0.50860000000000005</v>
      </c>
      <c r="E190">
        <v>0.51629999999999998</v>
      </c>
      <c r="F190">
        <v>2704340.83</v>
      </c>
      <c r="G190">
        <v>0.51629999999999998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-0.71052631578947589</v>
      </c>
      <c r="Q190">
        <f t="shared" ref="Q190" si="926">F190*P190</f>
        <v>-1921505.3265789533</v>
      </c>
      <c r="R190">
        <f t="shared" ref="R190" si="927">R191+Q190</f>
        <v>3903464.5489820549</v>
      </c>
      <c r="S190">
        <f t="shared" ref="S190" si="928">R190/100000</f>
        <v>39.034645489820548</v>
      </c>
      <c r="T190">
        <f t="shared" ref="T190" si="929">S190/1000</f>
        <v>3.9034645489820545E-2</v>
      </c>
    </row>
    <row r="191" spans="1:20" x14ac:dyDescent="0.25">
      <c r="A191" s="5">
        <v>44402</v>
      </c>
      <c r="B191">
        <v>0.51139999999999997</v>
      </c>
      <c r="C191">
        <v>0.51970000000000005</v>
      </c>
      <c r="D191">
        <v>0.48759999999999998</v>
      </c>
      <c r="E191">
        <v>0.51519999999999999</v>
      </c>
      <c r="F191">
        <v>1555454.76</v>
      </c>
      <c r="G191">
        <v>0.51519999999999999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0.71962616822429604</v>
      </c>
      <c r="Q191">
        <f t="shared" ref="Q191" si="931">F191*P191</f>
        <v>1119345.9487850419</v>
      </c>
      <c r="R191">
        <f t="shared" ref="R191" si="932">R192+Q191</f>
        <v>5824969.8755610082</v>
      </c>
      <c r="S191">
        <f t="shared" ref="S191" si="933">R191/100000</f>
        <v>58.249698755610083</v>
      </c>
      <c r="T191">
        <f t="shared" ref="T191:T197" si="934">S191/1000</f>
        <v>5.8249698755610084E-2</v>
      </c>
    </row>
    <row r="192" spans="1:20" x14ac:dyDescent="0.25">
      <c r="A192" s="5">
        <v>44401</v>
      </c>
      <c r="B192">
        <v>0.50070000000000003</v>
      </c>
      <c r="C192">
        <v>0.51849999999999996</v>
      </c>
      <c r="D192">
        <v>0.4965</v>
      </c>
      <c r="E192">
        <v>0.51139999999999997</v>
      </c>
      <c r="F192">
        <v>1269093.02</v>
      </c>
      <c r="G192">
        <v>0.51139999999999997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0.35454545454545394</v>
      </c>
      <c r="Q192">
        <f t="shared" ref="Q192" si="936">F192*P192</f>
        <v>449951.1616363629</v>
      </c>
      <c r="R192">
        <f t="shared" ref="R192" si="937">R193+Q192</f>
        <v>4705623.9267759668</v>
      </c>
      <c r="S192">
        <f t="shared" ref="S192" si="938">R192/100000</f>
        <v>47.056239267759665</v>
      </c>
      <c r="T192">
        <f t="shared" si="934"/>
        <v>4.7056239267759661E-2</v>
      </c>
    </row>
    <row r="193" spans="1:20" x14ac:dyDescent="0.25">
      <c r="A193" s="5">
        <v>44400</v>
      </c>
      <c r="B193">
        <v>0.49409999999999998</v>
      </c>
      <c r="C193">
        <v>0.51419999999999999</v>
      </c>
      <c r="D193">
        <v>0.47820000000000001</v>
      </c>
      <c r="E193">
        <v>0.49980000000000002</v>
      </c>
      <c r="F193">
        <v>1318249.48</v>
      </c>
      <c r="G193">
        <v>0.49980000000000002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0.20000000000000123</v>
      </c>
      <c r="Q193">
        <f t="shared" ref="Q193" si="940">F193*P193</f>
        <v>263649.89600000164</v>
      </c>
      <c r="R193">
        <f t="shared" ref="R193" si="941">R194+Q193</f>
        <v>4255672.765139604</v>
      </c>
      <c r="S193">
        <f t="shared" ref="S193" si="942">R193/100000</f>
        <v>42.556727651396038</v>
      </c>
      <c r="T193">
        <f t="shared" si="934"/>
        <v>4.2556727651396037E-2</v>
      </c>
    </row>
    <row r="194" spans="1:20" x14ac:dyDescent="0.25">
      <c r="A194" s="5">
        <v>44399</v>
      </c>
      <c r="B194">
        <v>0.49399999999999999</v>
      </c>
      <c r="C194">
        <v>0.49969999999999998</v>
      </c>
      <c r="D194">
        <v>0.47839999999999999</v>
      </c>
      <c r="E194">
        <v>0.49390000000000001</v>
      </c>
      <c r="F194">
        <v>1275228.2</v>
      </c>
      <c r="G194">
        <v>0.49390000000000001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0.45539906103286615</v>
      </c>
      <c r="Q194">
        <f t="shared" ref="Q194" si="944">F194*P194</f>
        <v>580737.72488263203</v>
      </c>
      <c r="R194">
        <f t="shared" ref="R194" si="945">R195+Q194</f>
        <v>3992022.8691396019</v>
      </c>
      <c r="S194">
        <f t="shared" ref="S194" si="946">R194/100000</f>
        <v>39.920228691396019</v>
      </c>
      <c r="T194">
        <f t="shared" si="934"/>
        <v>3.9920228691396019E-2</v>
      </c>
    </row>
    <row r="195" spans="1:20" x14ac:dyDescent="0.25">
      <c r="A195" s="5">
        <v>44398</v>
      </c>
      <c r="B195">
        <v>0.46279999999999999</v>
      </c>
      <c r="C195">
        <v>0.52180000000000004</v>
      </c>
      <c r="D195">
        <v>0.45100000000000001</v>
      </c>
      <c r="E195">
        <v>0.4929</v>
      </c>
      <c r="F195">
        <v>2896413.58</v>
      </c>
      <c r="G195">
        <v>0.4929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0.18361581920903886</v>
      </c>
      <c r="Q195">
        <f t="shared" ref="Q195" si="948">F195*P195</f>
        <v>531827.35225988505</v>
      </c>
      <c r="R195">
        <f t="shared" ref="R195" si="949">R196+Q195</f>
        <v>3411285.1442569699</v>
      </c>
      <c r="S195">
        <f t="shared" ref="S195" si="950">R195/100000</f>
        <v>34.112851442569699</v>
      </c>
      <c r="T195">
        <f t="shared" si="934"/>
        <v>3.4112851442569696E-2</v>
      </c>
    </row>
    <row r="196" spans="1:20" x14ac:dyDescent="0.25">
      <c r="A196" s="5">
        <v>44397</v>
      </c>
      <c r="B196">
        <v>0.46960000000000002</v>
      </c>
      <c r="C196">
        <v>0.51100000000000001</v>
      </c>
      <c r="D196">
        <v>0.43</v>
      </c>
      <c r="E196">
        <v>0.46329999999999999</v>
      </c>
      <c r="F196">
        <v>8668964.3100000005</v>
      </c>
      <c r="G196">
        <v>0.46329999999999999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-0.17777777777777803</v>
      </c>
      <c r="Q196">
        <f t="shared" ref="Q196" si="952">F196*P196</f>
        <v>-1541149.2106666691</v>
      </c>
      <c r="R196">
        <f t="shared" ref="R196" si="953">R197+Q196</f>
        <v>2879457.7919970849</v>
      </c>
      <c r="S196">
        <f t="shared" ref="S196" si="954">R196/100000</f>
        <v>28.794577919970848</v>
      </c>
      <c r="T196">
        <f t="shared" si="934"/>
        <v>2.8794577919970848E-2</v>
      </c>
    </row>
    <row r="197" spans="1:20" x14ac:dyDescent="0.25">
      <c r="A197" s="5">
        <v>44396</v>
      </c>
      <c r="B197">
        <v>0.50039999999999996</v>
      </c>
      <c r="C197">
        <v>0.50190000000000001</v>
      </c>
      <c r="D197">
        <v>0.4617</v>
      </c>
      <c r="E197">
        <v>0.46850000000000003</v>
      </c>
      <c r="F197">
        <v>1093860.77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-0.66169154228855587</v>
      </c>
      <c r="Q197">
        <f t="shared" ref="Q197" si="956">F197*P197</f>
        <v>-723798.41995024728</v>
      </c>
      <c r="R197">
        <f t="shared" ref="R197" si="957">R198+Q197</f>
        <v>4420607.0026637539</v>
      </c>
      <c r="S197">
        <f t="shared" ref="S197" si="958">R197/100000</f>
        <v>44.206070026637541</v>
      </c>
      <c r="T197">
        <f t="shared" si="934"/>
        <v>4.4206070026637539E-2</v>
      </c>
    </row>
    <row r="198" spans="1:20" x14ac:dyDescent="0.25">
      <c r="A198" s="5">
        <v>44395</v>
      </c>
      <c r="B198">
        <v>0.49790000000000001</v>
      </c>
      <c r="C198">
        <v>0.51680000000000004</v>
      </c>
      <c r="D198">
        <v>0.4909</v>
      </c>
      <c r="E198">
        <v>0.50029999999999997</v>
      </c>
      <c r="F198">
        <v>633376.06000000006</v>
      </c>
      <c r="G198">
        <v>0</v>
      </c>
      <c r="L198" t="s">
        <v>7</v>
      </c>
      <c r="M198" t="s">
        <v>7</v>
      </c>
      <c r="N198" t="s">
        <v>8</v>
      </c>
      <c r="P198">
        <f t="shared" ref="P198:P261" si="959">IF(C198=D198,0,((E198-D198)-(C198-E198))/(C198-D198))</f>
        <v>-0.27413127413127786</v>
      </c>
      <c r="Q198">
        <f t="shared" ref="Q198:Q261" si="960">F198*P198</f>
        <v>-173628.1863320487</v>
      </c>
      <c r="R198">
        <f t="shared" ref="R198:R261" si="961">R199+Q198</f>
        <v>5144405.4226140017</v>
      </c>
      <c r="S198">
        <f t="shared" ref="S198:S261" si="962">R198/100000</f>
        <v>51.444054226140018</v>
      </c>
      <c r="T198">
        <f t="shared" ref="T198:T261" si="963">S198/1000</f>
        <v>5.1444054226140019E-2</v>
      </c>
    </row>
    <row r="199" spans="1:20" x14ac:dyDescent="0.25">
      <c r="A199" s="5">
        <v>44394</v>
      </c>
      <c r="B199">
        <v>0.50639999999999996</v>
      </c>
      <c r="C199">
        <v>0.5121</v>
      </c>
      <c r="D199">
        <v>0.4854</v>
      </c>
      <c r="E199">
        <v>0.49790000000000001</v>
      </c>
      <c r="F199">
        <v>1015637.85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-6.3670411985017952E-2</v>
      </c>
      <c r="Q199">
        <f t="shared" si="960"/>
        <v>-64666.080337077867</v>
      </c>
      <c r="R199">
        <f t="shared" si="961"/>
        <v>5318033.6089460505</v>
      </c>
      <c r="S199">
        <f t="shared" si="962"/>
        <v>53.180336089460504</v>
      </c>
      <c r="T199">
        <f t="shared" si="963"/>
        <v>5.3180336089460503E-2</v>
      </c>
    </row>
    <row r="200" spans="1:20" x14ac:dyDescent="0.25">
      <c r="A200" s="5">
        <v>44393</v>
      </c>
      <c r="B200">
        <v>0.5151</v>
      </c>
      <c r="C200">
        <v>0.54310000000000003</v>
      </c>
      <c r="D200">
        <v>0.50249999999999995</v>
      </c>
      <c r="E200">
        <v>0.50649999999999995</v>
      </c>
      <c r="F200">
        <v>1074875.49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-0.80295566502463078</v>
      </c>
      <c r="Q200">
        <f t="shared" si="960"/>
        <v>-863077.36389162589</v>
      </c>
      <c r="R200">
        <f t="shared" si="961"/>
        <v>5382699.6892831288</v>
      </c>
      <c r="S200">
        <f t="shared" si="962"/>
        <v>53.826996892831289</v>
      </c>
      <c r="T200">
        <f t="shared" si="963"/>
        <v>5.382699689283129E-2</v>
      </c>
    </row>
    <row r="201" spans="1:20" x14ac:dyDescent="0.25">
      <c r="A201" s="5">
        <v>44392</v>
      </c>
      <c r="B201">
        <v>0.53920000000000001</v>
      </c>
      <c r="C201">
        <v>0.5464</v>
      </c>
      <c r="D201">
        <v>0.50880000000000003</v>
      </c>
      <c r="E201">
        <v>0.51459999999999995</v>
      </c>
      <c r="F201">
        <v>1053528.18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-0.69148936170213182</v>
      </c>
      <c r="Q201">
        <f t="shared" si="960"/>
        <v>-728503.52872340858</v>
      </c>
      <c r="R201">
        <f t="shared" si="961"/>
        <v>6245777.0531747546</v>
      </c>
      <c r="S201">
        <f t="shared" si="962"/>
        <v>62.457770531747549</v>
      </c>
      <c r="T201">
        <f t="shared" si="963"/>
        <v>6.2457770531747552E-2</v>
      </c>
    </row>
    <row r="202" spans="1:20" x14ac:dyDescent="0.25">
      <c r="A202" s="5">
        <v>44391</v>
      </c>
      <c r="B202">
        <v>0.54100000000000004</v>
      </c>
      <c r="C202">
        <v>0.54210000000000003</v>
      </c>
      <c r="D202">
        <v>0.50819999999999999</v>
      </c>
      <c r="E202">
        <v>0.53939999999999999</v>
      </c>
      <c r="F202">
        <v>1085673.3799999999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0.840707964601768</v>
      </c>
      <c r="Q202">
        <f t="shared" si="960"/>
        <v>912734.25752212177</v>
      </c>
      <c r="R202">
        <f t="shared" si="961"/>
        <v>6974280.5818981631</v>
      </c>
      <c r="S202">
        <f t="shared" si="962"/>
        <v>69.742805818981637</v>
      </c>
      <c r="T202">
        <f t="shared" si="963"/>
        <v>6.9742805818981637E-2</v>
      </c>
    </row>
    <row r="203" spans="1:20" x14ac:dyDescent="0.25">
      <c r="A203" s="5">
        <v>44390</v>
      </c>
      <c r="B203">
        <v>0.57609999999999995</v>
      </c>
      <c r="C203">
        <v>0.57630000000000003</v>
      </c>
      <c r="D203">
        <v>0.5343</v>
      </c>
      <c r="E203">
        <v>0.53990000000000005</v>
      </c>
      <c r="F203">
        <v>1631208.12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-0.73333333333333117</v>
      </c>
      <c r="Q203">
        <f t="shared" si="960"/>
        <v>-1196219.2879999964</v>
      </c>
      <c r="R203">
        <f t="shared" si="961"/>
        <v>6061546.3243760411</v>
      </c>
      <c r="S203">
        <f t="shared" si="962"/>
        <v>60.615463243760409</v>
      </c>
      <c r="T203">
        <f t="shared" si="963"/>
        <v>6.0615463243760409E-2</v>
      </c>
    </row>
    <row r="204" spans="1:20" x14ac:dyDescent="0.25">
      <c r="A204" s="5">
        <v>44389</v>
      </c>
      <c r="B204">
        <v>0.5877</v>
      </c>
      <c r="C204">
        <v>0.60719999999999996</v>
      </c>
      <c r="D204">
        <v>0.56130000000000002</v>
      </c>
      <c r="E204">
        <v>0.57599999999999996</v>
      </c>
      <c r="F204">
        <v>1322496.6100000001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-0.35947712418300853</v>
      </c>
      <c r="Q204">
        <f t="shared" si="960"/>
        <v>-475407.27810457785</v>
      </c>
      <c r="R204">
        <f t="shared" si="961"/>
        <v>7257765.6123760371</v>
      </c>
      <c r="S204">
        <f t="shared" si="962"/>
        <v>72.577656123760377</v>
      </c>
      <c r="T204">
        <f t="shared" si="963"/>
        <v>7.2577656123760381E-2</v>
      </c>
    </row>
    <row r="205" spans="1:20" x14ac:dyDescent="0.25">
      <c r="A205" s="5">
        <v>44388</v>
      </c>
      <c r="B205">
        <v>0.57269999999999999</v>
      </c>
      <c r="C205">
        <v>0.59989999999999999</v>
      </c>
      <c r="D205">
        <v>0.5615</v>
      </c>
      <c r="E205">
        <v>0.5877</v>
      </c>
      <c r="F205">
        <v>1025633.55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0.36458333333333376</v>
      </c>
      <c r="Q205">
        <f t="shared" si="960"/>
        <v>373928.89843750047</v>
      </c>
      <c r="R205">
        <f t="shared" si="961"/>
        <v>7733172.8904806152</v>
      </c>
      <c r="S205">
        <f t="shared" si="962"/>
        <v>77.331728904806155</v>
      </c>
      <c r="T205">
        <f t="shared" si="963"/>
        <v>7.7331728904806149E-2</v>
      </c>
    </row>
    <row r="206" spans="1:20" x14ac:dyDescent="0.25">
      <c r="A206" s="5">
        <v>44387</v>
      </c>
      <c r="B206">
        <v>0.58509999999999995</v>
      </c>
      <c r="C206">
        <v>0.59330000000000005</v>
      </c>
      <c r="D206">
        <v>0.56340000000000001</v>
      </c>
      <c r="E206">
        <v>0.5726</v>
      </c>
      <c r="F206">
        <v>765025.52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-0.3846153846153863</v>
      </c>
      <c r="Q206">
        <f t="shared" si="960"/>
        <v>-294240.58461538592</v>
      </c>
      <c r="R206">
        <f t="shared" si="961"/>
        <v>7359243.9920431143</v>
      </c>
      <c r="S206">
        <f t="shared" si="962"/>
        <v>73.592439920431147</v>
      </c>
      <c r="T206">
        <f t="shared" si="963"/>
        <v>7.3592439920431144E-2</v>
      </c>
    </row>
    <row r="207" spans="1:20" x14ac:dyDescent="0.25">
      <c r="A207" s="5">
        <v>44386</v>
      </c>
      <c r="B207">
        <v>0.57969999999999999</v>
      </c>
      <c r="C207">
        <v>0.59230000000000005</v>
      </c>
      <c r="D207">
        <v>0.55549999999999999</v>
      </c>
      <c r="E207">
        <v>0.58520000000000005</v>
      </c>
      <c r="F207">
        <v>1083956.99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0.61413043478260954</v>
      </c>
      <c r="Q207">
        <f t="shared" si="960"/>
        <v>665690.97755434876</v>
      </c>
      <c r="R207">
        <f t="shared" si="961"/>
        <v>7653484.5766585004</v>
      </c>
      <c r="S207">
        <f t="shared" si="962"/>
        <v>76.534845766585008</v>
      </c>
      <c r="T207">
        <f t="shared" si="963"/>
        <v>7.6534845766585008E-2</v>
      </c>
    </row>
    <row r="208" spans="1:20" x14ac:dyDescent="0.25">
      <c r="A208" s="5">
        <v>44385</v>
      </c>
      <c r="B208">
        <v>0.61909999999999998</v>
      </c>
      <c r="C208">
        <v>0.62090000000000001</v>
      </c>
      <c r="D208">
        <v>0.56410000000000005</v>
      </c>
      <c r="E208">
        <v>0.57969999999999999</v>
      </c>
      <c r="F208">
        <v>1307363.95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-0.45070422535211419</v>
      </c>
      <c r="Q208">
        <f t="shared" si="960"/>
        <v>-589234.45633803017</v>
      </c>
      <c r="R208">
        <f t="shared" si="961"/>
        <v>6987793.5991041511</v>
      </c>
      <c r="S208">
        <f t="shared" si="962"/>
        <v>69.877935991041511</v>
      </c>
      <c r="T208">
        <f t="shared" si="963"/>
        <v>6.9877935991041515E-2</v>
      </c>
    </row>
    <row r="209" spans="1:20" x14ac:dyDescent="0.25">
      <c r="A209" s="5">
        <v>44384</v>
      </c>
      <c r="B209">
        <v>0.61619999999999997</v>
      </c>
      <c r="C209">
        <v>0.64759999999999995</v>
      </c>
      <c r="D209">
        <v>0.60719999999999996</v>
      </c>
      <c r="E209">
        <v>0.61909999999999998</v>
      </c>
      <c r="F209">
        <v>1877574.1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-0.4108910891089097</v>
      </c>
      <c r="Q209">
        <f t="shared" si="960"/>
        <v>-771478.46683168097</v>
      </c>
      <c r="R209">
        <f t="shared" si="961"/>
        <v>7577028.0554421814</v>
      </c>
      <c r="S209">
        <f t="shared" si="962"/>
        <v>75.770280554421817</v>
      </c>
      <c r="T209">
        <f t="shared" si="963"/>
        <v>7.5770280554421823E-2</v>
      </c>
    </row>
    <row r="210" spans="1:20" x14ac:dyDescent="0.25">
      <c r="A210" s="5">
        <v>44383</v>
      </c>
      <c r="B210">
        <v>0.59640000000000004</v>
      </c>
      <c r="C210">
        <v>0.625</v>
      </c>
      <c r="D210">
        <v>0.59199999999999997</v>
      </c>
      <c r="E210">
        <v>0.61809999999999998</v>
      </c>
      <c r="F210">
        <v>2212159.14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0.58181818181818112</v>
      </c>
      <c r="Q210">
        <f t="shared" si="960"/>
        <v>1287074.4087272712</v>
      </c>
      <c r="R210">
        <f t="shared" si="961"/>
        <v>8348506.5222738627</v>
      </c>
      <c r="S210">
        <f t="shared" si="962"/>
        <v>83.485065222738626</v>
      </c>
      <c r="T210">
        <f t="shared" si="963"/>
        <v>8.348506522273863E-2</v>
      </c>
    </row>
    <row r="211" spans="1:20" x14ac:dyDescent="0.25">
      <c r="A211" s="5">
        <v>44382</v>
      </c>
      <c r="B211">
        <v>0.6139</v>
      </c>
      <c r="C211">
        <v>0.61819999999999997</v>
      </c>
      <c r="D211">
        <v>0.57099999999999995</v>
      </c>
      <c r="E211">
        <v>0.59650000000000003</v>
      </c>
      <c r="F211">
        <v>1500015.01</v>
      </c>
      <c r="G211">
        <v>0</v>
      </c>
      <c r="L211" t="s">
        <v>7</v>
      </c>
      <c r="M211" t="s">
        <v>7</v>
      </c>
      <c r="N211" t="s">
        <v>8</v>
      </c>
      <c r="P211">
        <f t="shared" si="959"/>
        <v>8.0508474576274053E-2</v>
      </c>
      <c r="Q211">
        <f t="shared" si="960"/>
        <v>120763.92029661447</v>
      </c>
      <c r="R211">
        <f t="shared" si="961"/>
        <v>7061432.1135465913</v>
      </c>
      <c r="S211">
        <f t="shared" si="962"/>
        <v>70.614321135465914</v>
      </c>
      <c r="T211">
        <f t="shared" si="963"/>
        <v>7.061432113546591E-2</v>
      </c>
    </row>
    <row r="212" spans="1:20" x14ac:dyDescent="0.25">
      <c r="A212" s="5">
        <v>44381</v>
      </c>
      <c r="B212">
        <v>0.60260000000000002</v>
      </c>
      <c r="C212">
        <v>0.62609999999999999</v>
      </c>
      <c r="D212">
        <v>0.58620000000000005</v>
      </c>
      <c r="E212">
        <v>0.61429999999999996</v>
      </c>
      <c r="F212">
        <v>1543940.41</v>
      </c>
      <c r="G212">
        <v>0</v>
      </c>
      <c r="L212" t="s">
        <v>8</v>
      </c>
      <c r="M212" t="s">
        <v>7</v>
      </c>
      <c r="N212" t="s">
        <v>8</v>
      </c>
      <c r="P212">
        <f t="shared" si="959"/>
        <v>0.40852130325814279</v>
      </c>
      <c r="Q212">
        <f t="shared" si="960"/>
        <v>630732.54844611126</v>
      </c>
      <c r="R212">
        <f t="shared" si="961"/>
        <v>6940668.1932499772</v>
      </c>
      <c r="S212">
        <f t="shared" si="962"/>
        <v>69.406681932499765</v>
      </c>
      <c r="T212">
        <f t="shared" si="963"/>
        <v>6.940668193249977E-2</v>
      </c>
    </row>
    <row r="213" spans="1:20" x14ac:dyDescent="0.25">
      <c r="A213" s="5">
        <v>44380</v>
      </c>
      <c r="B213">
        <v>0.57809999999999995</v>
      </c>
      <c r="C213">
        <v>0.61860000000000004</v>
      </c>
      <c r="D213">
        <v>0.56399999999999995</v>
      </c>
      <c r="E213">
        <v>0.60260000000000002</v>
      </c>
      <c r="F213">
        <v>1925057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0.41391941391941439</v>
      </c>
      <c r="Q213">
        <f t="shared" si="960"/>
        <v>796818.46520146611</v>
      </c>
      <c r="R213">
        <f t="shared" si="961"/>
        <v>6309935.6448038658</v>
      </c>
      <c r="S213">
        <f t="shared" si="962"/>
        <v>63.099356448038655</v>
      </c>
      <c r="T213">
        <f t="shared" si="963"/>
        <v>6.3099356448038657E-2</v>
      </c>
    </row>
    <row r="214" spans="1:20" x14ac:dyDescent="0.25">
      <c r="A214" s="5">
        <v>44379</v>
      </c>
      <c r="B214">
        <v>0.56730000000000003</v>
      </c>
      <c r="C214">
        <v>0.57950000000000002</v>
      </c>
      <c r="D214">
        <v>0.53680000000000005</v>
      </c>
      <c r="E214">
        <v>0.57799999999999996</v>
      </c>
      <c r="F214">
        <v>1768008.17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0.92974238875877946</v>
      </c>
      <c r="Q214">
        <f t="shared" si="960"/>
        <v>1643792.1393208383</v>
      </c>
      <c r="R214">
        <f t="shared" si="961"/>
        <v>5513117.1796023995</v>
      </c>
      <c r="S214">
        <f t="shared" si="962"/>
        <v>55.131171796023992</v>
      </c>
      <c r="T214">
        <f t="shared" si="963"/>
        <v>5.5131171796023989E-2</v>
      </c>
    </row>
    <row r="215" spans="1:20" x14ac:dyDescent="0.25">
      <c r="A215" s="5">
        <v>44378</v>
      </c>
      <c r="B215">
        <v>0.61129999999999995</v>
      </c>
      <c r="C215">
        <v>0.61319999999999997</v>
      </c>
      <c r="D215">
        <v>0.55810000000000004</v>
      </c>
      <c r="E215">
        <v>0.56789999999999996</v>
      </c>
      <c r="F215">
        <v>1345298.66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-0.64428312159709866</v>
      </c>
      <c r="Q215">
        <f t="shared" si="960"/>
        <v>-866753.22014519386</v>
      </c>
      <c r="R215">
        <f t="shared" si="961"/>
        <v>3869325.0402815612</v>
      </c>
      <c r="S215">
        <f t="shared" si="962"/>
        <v>38.693250402815615</v>
      </c>
      <c r="T215">
        <f t="shared" si="963"/>
        <v>3.8693250402815613E-2</v>
      </c>
    </row>
    <row r="216" spans="1:20" x14ac:dyDescent="0.25">
      <c r="A216" s="5">
        <v>44377</v>
      </c>
      <c r="B216">
        <v>0.63749999999999996</v>
      </c>
      <c r="C216">
        <v>0.64249999999999996</v>
      </c>
      <c r="D216">
        <v>0.57379999999999998</v>
      </c>
      <c r="E216">
        <v>0.61329999999999996</v>
      </c>
      <c r="F216">
        <v>2473372.08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0.14992721979621512</v>
      </c>
      <c r="Q216">
        <f t="shared" si="960"/>
        <v>370825.7994759818</v>
      </c>
      <c r="R216">
        <f t="shared" si="961"/>
        <v>4736078.2604267551</v>
      </c>
      <c r="S216">
        <f t="shared" si="962"/>
        <v>47.360782604267548</v>
      </c>
      <c r="T216">
        <f t="shared" si="963"/>
        <v>4.736078260426755E-2</v>
      </c>
    </row>
    <row r="217" spans="1:20" x14ac:dyDescent="0.25">
      <c r="A217" s="5">
        <v>44376</v>
      </c>
      <c r="B217">
        <v>0.54769999999999996</v>
      </c>
      <c r="C217">
        <v>0.65200000000000002</v>
      </c>
      <c r="D217">
        <v>0.54349999999999998</v>
      </c>
      <c r="E217">
        <v>0.63390000000000002</v>
      </c>
      <c r="F217">
        <v>4874463.0999999996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0.66635944700460836</v>
      </c>
      <c r="Q217">
        <f t="shared" si="960"/>
        <v>3248144.5357603687</v>
      </c>
      <c r="R217">
        <f t="shared" si="961"/>
        <v>4365252.4609507732</v>
      </c>
      <c r="S217">
        <f t="shared" si="962"/>
        <v>43.652524609507729</v>
      </c>
      <c r="T217">
        <f t="shared" si="963"/>
        <v>4.3652524609507727E-2</v>
      </c>
    </row>
    <row r="218" spans="1:20" x14ac:dyDescent="0.25">
      <c r="A218" s="5">
        <v>44375</v>
      </c>
      <c r="B218">
        <v>0.53249999999999997</v>
      </c>
      <c r="C218">
        <v>0.55859999999999999</v>
      </c>
      <c r="D218">
        <v>0.52110000000000001</v>
      </c>
      <c r="E218">
        <v>0.54759999999999998</v>
      </c>
      <c r="F218">
        <v>1881620.12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0.41333333333333244</v>
      </c>
      <c r="Q218">
        <f t="shared" si="960"/>
        <v>777736.316266665</v>
      </c>
      <c r="R218">
        <f t="shared" si="961"/>
        <v>1117107.9251904045</v>
      </c>
      <c r="S218">
        <f t="shared" si="962"/>
        <v>11.171079251904045</v>
      </c>
      <c r="T218">
        <f t="shared" si="963"/>
        <v>1.1171079251904045E-2</v>
      </c>
    </row>
    <row r="219" spans="1:20" x14ac:dyDescent="0.25">
      <c r="A219" s="5">
        <v>44374</v>
      </c>
      <c r="B219">
        <v>0.51639999999999997</v>
      </c>
      <c r="C219">
        <v>0.53259999999999996</v>
      </c>
      <c r="D219">
        <v>0.4945</v>
      </c>
      <c r="E219">
        <v>0.53259999999999996</v>
      </c>
      <c r="F219">
        <v>1281481.6599999999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1</v>
      </c>
      <c r="Q219">
        <f t="shared" si="960"/>
        <v>1281481.6599999999</v>
      </c>
      <c r="R219">
        <f t="shared" si="961"/>
        <v>339371.60892373952</v>
      </c>
      <c r="S219">
        <f t="shared" si="962"/>
        <v>3.3937160892373952</v>
      </c>
      <c r="T219">
        <f t="shared" si="963"/>
        <v>3.393716089237395E-3</v>
      </c>
    </row>
    <row r="220" spans="1:20" x14ac:dyDescent="0.25">
      <c r="A220" s="5">
        <v>44373</v>
      </c>
      <c r="B220">
        <v>0.50339999999999996</v>
      </c>
      <c r="C220">
        <v>0.51949999999999996</v>
      </c>
      <c r="D220">
        <v>0.47839999999999999</v>
      </c>
      <c r="E220">
        <v>0.51619999999999999</v>
      </c>
      <c r="F220">
        <v>1120370.07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0.83941605839416189</v>
      </c>
      <c r="Q220">
        <f t="shared" si="960"/>
        <v>940456.62810219126</v>
      </c>
      <c r="R220">
        <f t="shared" si="961"/>
        <v>-942110.0510762604</v>
      </c>
      <c r="S220">
        <f t="shared" si="962"/>
        <v>-9.4211005107626047</v>
      </c>
      <c r="T220">
        <f t="shared" si="963"/>
        <v>-9.421100510762604E-3</v>
      </c>
    </row>
    <row r="221" spans="1:20" x14ac:dyDescent="0.25">
      <c r="A221" s="5">
        <v>44372</v>
      </c>
      <c r="B221">
        <v>0.54720000000000002</v>
      </c>
      <c r="C221">
        <v>0.56510000000000005</v>
      </c>
      <c r="D221">
        <v>0.49490000000000001</v>
      </c>
      <c r="E221">
        <v>0.50339999999999996</v>
      </c>
      <c r="F221">
        <v>1559053.38</v>
      </c>
      <c r="G221">
        <v>0</v>
      </c>
      <c r="L221" t="s">
        <v>7</v>
      </c>
      <c r="M221" t="s">
        <v>8</v>
      </c>
      <c r="N221" t="s">
        <v>7</v>
      </c>
      <c r="P221">
        <f t="shared" si="959"/>
        <v>-0.75783475783475929</v>
      </c>
      <c r="Q221">
        <f t="shared" si="960"/>
        <v>-1181504.8406837629</v>
      </c>
      <c r="R221">
        <f t="shared" si="961"/>
        <v>-1882566.6791784517</v>
      </c>
      <c r="S221">
        <f t="shared" si="962"/>
        <v>-18.825666791784517</v>
      </c>
      <c r="T221">
        <f t="shared" si="963"/>
        <v>-1.8825666791784518E-2</v>
      </c>
    </row>
    <row r="222" spans="1:20" x14ac:dyDescent="0.25">
      <c r="A222" s="5">
        <v>44371</v>
      </c>
      <c r="B222">
        <v>0.54410000000000003</v>
      </c>
      <c r="C222">
        <v>0.56869999999999998</v>
      </c>
      <c r="D222">
        <v>0.5222</v>
      </c>
      <c r="E222">
        <v>0.54669999999999996</v>
      </c>
      <c r="F222">
        <v>1439404.68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5.3763440860213924E-2</v>
      </c>
      <c r="Q222">
        <f t="shared" si="960"/>
        <v>77387.348387095146</v>
      </c>
      <c r="R222">
        <f t="shared" si="961"/>
        <v>-701061.83849468874</v>
      </c>
      <c r="S222">
        <f t="shared" si="962"/>
        <v>-7.0106183849468877</v>
      </c>
      <c r="T222">
        <f t="shared" si="963"/>
        <v>-7.0106183849468874E-3</v>
      </c>
    </row>
    <row r="223" spans="1:20" x14ac:dyDescent="0.25">
      <c r="A223" s="5">
        <v>44370</v>
      </c>
      <c r="B223">
        <v>0.49980000000000002</v>
      </c>
      <c r="C223">
        <v>0.5696</v>
      </c>
      <c r="D223">
        <v>0.48110000000000003</v>
      </c>
      <c r="E223">
        <v>0.54400000000000004</v>
      </c>
      <c r="F223">
        <v>1499078.97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0.42146892655367307</v>
      </c>
      <c r="Q223">
        <f t="shared" si="960"/>
        <v>631815.20430508582</v>
      </c>
      <c r="R223">
        <f t="shared" si="961"/>
        <v>-778449.18688178388</v>
      </c>
      <c r="S223">
        <f t="shared" si="962"/>
        <v>-7.7844918688178391</v>
      </c>
      <c r="T223">
        <f t="shared" si="963"/>
        <v>-7.784491868817839E-3</v>
      </c>
    </row>
    <row r="224" spans="1:20" x14ac:dyDescent="0.25">
      <c r="A224" s="5">
        <v>44369</v>
      </c>
      <c r="B224">
        <v>0.53580000000000005</v>
      </c>
      <c r="C224">
        <v>0.56340000000000001</v>
      </c>
      <c r="D224">
        <v>0.44519999999999998</v>
      </c>
      <c r="E224">
        <v>0.49940000000000001</v>
      </c>
      <c r="F224">
        <v>3555793.46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-8.2910321489001459E-2</v>
      </c>
      <c r="Q224">
        <f t="shared" si="960"/>
        <v>-294811.97891708883</v>
      </c>
      <c r="R224">
        <f t="shared" si="961"/>
        <v>-1410264.3911868697</v>
      </c>
      <c r="S224">
        <f t="shared" si="962"/>
        <v>-14.102643911868697</v>
      </c>
      <c r="T224">
        <f t="shared" si="963"/>
        <v>-1.4102643911868697E-2</v>
      </c>
    </row>
    <row r="225" spans="1:20" x14ac:dyDescent="0.25">
      <c r="A225" s="5">
        <v>44368</v>
      </c>
      <c r="B225">
        <v>0.65990000000000004</v>
      </c>
      <c r="C225">
        <v>0.66400000000000003</v>
      </c>
      <c r="D225">
        <v>0.52980000000000005</v>
      </c>
      <c r="E225">
        <v>0.53620000000000001</v>
      </c>
      <c r="F225">
        <v>1918545.48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-0.9046199701937413</v>
      </c>
      <c r="Q225">
        <f t="shared" si="960"/>
        <v>-1735554.554932937</v>
      </c>
      <c r="R225">
        <f t="shared" si="961"/>
        <v>-1115452.4122697809</v>
      </c>
      <c r="S225">
        <f t="shared" si="962"/>
        <v>-11.15452412269781</v>
      </c>
      <c r="T225">
        <f t="shared" si="963"/>
        <v>-1.1154524122697809E-2</v>
      </c>
    </row>
    <row r="226" spans="1:20" x14ac:dyDescent="0.25">
      <c r="A226" s="5">
        <v>44367</v>
      </c>
      <c r="B226">
        <v>0.6603</v>
      </c>
      <c r="C226">
        <v>0.66920000000000002</v>
      </c>
      <c r="D226">
        <v>0.61240000000000006</v>
      </c>
      <c r="E226">
        <v>0.65820000000000001</v>
      </c>
      <c r="F226">
        <v>1269514.54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0.61267605633802757</v>
      </c>
      <c r="Q226">
        <f t="shared" si="960"/>
        <v>777801.16183098522</v>
      </c>
      <c r="R226">
        <f t="shared" si="961"/>
        <v>620102.14266315615</v>
      </c>
      <c r="S226">
        <f t="shared" si="962"/>
        <v>6.2010214266315611</v>
      </c>
      <c r="T226">
        <f t="shared" si="963"/>
        <v>6.2010214266315609E-3</v>
      </c>
    </row>
    <row r="227" spans="1:20" x14ac:dyDescent="0.25">
      <c r="A227" s="5">
        <v>44366</v>
      </c>
      <c r="B227">
        <v>0.68320000000000003</v>
      </c>
      <c r="C227">
        <v>0.6966</v>
      </c>
      <c r="D227">
        <v>0.65690000000000004</v>
      </c>
      <c r="E227">
        <v>0.66059999999999997</v>
      </c>
      <c r="F227">
        <v>987907.7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-0.81360201511335373</v>
      </c>
      <c r="Q227">
        <f t="shared" si="960"/>
        <v>-803763.69546599849</v>
      </c>
      <c r="R227">
        <f t="shared" si="961"/>
        <v>-157699.01916782907</v>
      </c>
      <c r="S227">
        <f t="shared" si="962"/>
        <v>-1.5769901916782907</v>
      </c>
      <c r="T227">
        <f t="shared" si="963"/>
        <v>-1.5769901916782908E-3</v>
      </c>
    </row>
    <row r="228" spans="1:20" x14ac:dyDescent="0.25">
      <c r="A228" s="5">
        <v>44365</v>
      </c>
      <c r="B228">
        <v>0.72619999999999996</v>
      </c>
      <c r="C228">
        <v>0.73180000000000001</v>
      </c>
      <c r="D228">
        <v>0.65939999999999999</v>
      </c>
      <c r="E228">
        <v>0.68510000000000004</v>
      </c>
      <c r="F228">
        <v>1151270.3500000001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-0.29005524861878318</v>
      </c>
      <c r="Q228">
        <f t="shared" si="960"/>
        <v>-333932.00759668357</v>
      </c>
      <c r="R228">
        <f t="shared" si="961"/>
        <v>646064.67629816942</v>
      </c>
      <c r="S228">
        <f t="shared" si="962"/>
        <v>6.4606467629816944</v>
      </c>
      <c r="T228">
        <f t="shared" si="963"/>
        <v>6.4606467629816948E-3</v>
      </c>
    </row>
    <row r="229" spans="1:20" x14ac:dyDescent="0.25">
      <c r="A229" s="5">
        <v>44364</v>
      </c>
      <c r="B229">
        <v>0.73550000000000004</v>
      </c>
      <c r="C229">
        <v>0.76259999999999994</v>
      </c>
      <c r="D229">
        <v>0.70689999999999997</v>
      </c>
      <c r="E229">
        <v>0.72670000000000001</v>
      </c>
      <c r="F229">
        <v>1094710.25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-0.28904847396768224</v>
      </c>
      <c r="Q229">
        <f t="shared" si="960"/>
        <v>-316424.32719927991</v>
      </c>
      <c r="R229">
        <f t="shared" si="961"/>
        <v>979996.68389485299</v>
      </c>
      <c r="S229">
        <f t="shared" si="962"/>
        <v>9.7999668389485297</v>
      </c>
      <c r="T229">
        <f t="shared" si="963"/>
        <v>9.7999668389485289E-3</v>
      </c>
    </row>
    <row r="230" spans="1:20" x14ac:dyDescent="0.25">
      <c r="A230" s="5">
        <v>44363</v>
      </c>
      <c r="B230">
        <v>0.7752</v>
      </c>
      <c r="C230">
        <v>0.77929999999999999</v>
      </c>
      <c r="D230">
        <v>0.72370000000000001</v>
      </c>
      <c r="E230">
        <v>0.73240000000000005</v>
      </c>
      <c r="F230">
        <v>1101536.02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-0.68705035971222861</v>
      </c>
      <c r="Q230">
        <f t="shared" si="960"/>
        <v>-756810.71877697669</v>
      </c>
      <c r="R230">
        <f t="shared" si="961"/>
        <v>1296421.0110941329</v>
      </c>
      <c r="S230">
        <f t="shared" si="962"/>
        <v>12.964210110941329</v>
      </c>
      <c r="T230">
        <f t="shared" si="963"/>
        <v>1.2964210110941329E-2</v>
      </c>
    </row>
    <row r="231" spans="1:20" x14ac:dyDescent="0.25">
      <c r="A231" s="5">
        <v>44362</v>
      </c>
      <c r="B231">
        <v>0.77869999999999995</v>
      </c>
      <c r="C231">
        <v>0.79120000000000001</v>
      </c>
      <c r="D231">
        <v>0.75270000000000004</v>
      </c>
      <c r="E231">
        <v>0.77649999999999997</v>
      </c>
      <c r="F231">
        <v>940738.86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0.23636363636363353</v>
      </c>
      <c r="Q231">
        <f t="shared" si="960"/>
        <v>222356.45781817916</v>
      </c>
      <c r="R231">
        <f t="shared" si="961"/>
        <v>2053231.7298711096</v>
      </c>
      <c r="S231">
        <f t="shared" si="962"/>
        <v>20.532317298711096</v>
      </c>
      <c r="T231">
        <f t="shared" si="963"/>
        <v>2.0532317298711095E-2</v>
      </c>
    </row>
    <row r="232" spans="1:20" x14ac:dyDescent="0.25">
      <c r="A232" s="5">
        <v>44361</v>
      </c>
      <c r="B232">
        <v>0.75239999999999996</v>
      </c>
      <c r="C232">
        <v>0.78069999999999995</v>
      </c>
      <c r="D232">
        <v>0.74</v>
      </c>
      <c r="E232">
        <v>0.77759999999999996</v>
      </c>
      <c r="F232">
        <v>1555272.03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0.84766584766584796</v>
      </c>
      <c r="Q232">
        <f t="shared" si="960"/>
        <v>1318350.983660934</v>
      </c>
      <c r="R232">
        <f t="shared" si="961"/>
        <v>1830875.2720529304</v>
      </c>
      <c r="S232">
        <f t="shared" si="962"/>
        <v>18.308752720529306</v>
      </c>
      <c r="T232">
        <f t="shared" si="963"/>
        <v>1.8308752720529307E-2</v>
      </c>
    </row>
    <row r="233" spans="1:20" x14ac:dyDescent="0.25">
      <c r="A233" s="5">
        <v>44360</v>
      </c>
      <c r="B233">
        <v>0.70409999999999995</v>
      </c>
      <c r="C233">
        <v>0.75780000000000003</v>
      </c>
      <c r="D233">
        <v>0.69289999999999996</v>
      </c>
      <c r="E233">
        <v>0.75190000000000001</v>
      </c>
      <c r="F233">
        <v>1248172.54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0.8181818181818179</v>
      </c>
      <c r="Q233">
        <f t="shared" si="960"/>
        <v>1021232.0781818179</v>
      </c>
      <c r="R233">
        <f t="shared" si="961"/>
        <v>512524.28839199641</v>
      </c>
      <c r="S233">
        <f t="shared" si="962"/>
        <v>5.125242883919964</v>
      </c>
      <c r="T233">
        <f t="shared" si="963"/>
        <v>5.1252428839199636E-3</v>
      </c>
    </row>
    <row r="234" spans="1:20" x14ac:dyDescent="0.25">
      <c r="A234" s="5">
        <v>44359</v>
      </c>
      <c r="B234">
        <v>0.72370000000000001</v>
      </c>
      <c r="C234">
        <v>0.72970000000000002</v>
      </c>
      <c r="D234">
        <v>0.68010000000000004</v>
      </c>
      <c r="E234">
        <v>0.70040000000000002</v>
      </c>
      <c r="F234">
        <v>1256629.3799999999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-0.18145161290322606</v>
      </c>
      <c r="Q234">
        <f t="shared" si="960"/>
        <v>-228017.42782258094</v>
      </c>
      <c r="R234">
        <f t="shared" si="961"/>
        <v>-508707.78978982149</v>
      </c>
      <c r="S234">
        <f t="shared" si="962"/>
        <v>-5.0870778978982152</v>
      </c>
      <c r="T234">
        <f t="shared" si="963"/>
        <v>-5.0870778978982156E-3</v>
      </c>
    </row>
    <row r="235" spans="1:20" x14ac:dyDescent="0.25">
      <c r="A235" s="5">
        <v>44358</v>
      </c>
      <c r="B235">
        <v>0.76170000000000004</v>
      </c>
      <c r="C235">
        <v>0.78339999999999999</v>
      </c>
      <c r="D235">
        <v>0.71650000000000003</v>
      </c>
      <c r="E235">
        <v>0.72389999999999999</v>
      </c>
      <c r="F235">
        <v>1068487.92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-0.77877428998505327</v>
      </c>
      <c r="Q235">
        <f t="shared" si="960"/>
        <v>-832110.92125560634</v>
      </c>
      <c r="R235">
        <f t="shared" si="961"/>
        <v>-280690.36196724058</v>
      </c>
      <c r="S235">
        <f t="shared" si="962"/>
        <v>-2.806903619672406</v>
      </c>
      <c r="T235">
        <f t="shared" si="963"/>
        <v>-2.8069036196724062E-3</v>
      </c>
    </row>
    <row r="236" spans="1:20" x14ac:dyDescent="0.25">
      <c r="A236" s="5">
        <v>44357</v>
      </c>
      <c r="B236">
        <v>0.79630000000000001</v>
      </c>
      <c r="C236">
        <v>0.81200000000000006</v>
      </c>
      <c r="D236">
        <v>0.74380000000000002</v>
      </c>
      <c r="E236">
        <v>0.76190000000000002</v>
      </c>
      <c r="F236">
        <v>1522502.61</v>
      </c>
      <c r="G236">
        <v>0</v>
      </c>
      <c r="L236" t="s">
        <v>8</v>
      </c>
      <c r="M236" t="s">
        <v>7</v>
      </c>
      <c r="N236" t="s">
        <v>7</v>
      </c>
      <c r="P236">
        <f t="shared" si="959"/>
        <v>-0.46920821114369515</v>
      </c>
      <c r="Q236">
        <f t="shared" si="960"/>
        <v>-714370.72609970695</v>
      </c>
      <c r="R236">
        <f t="shared" si="961"/>
        <v>551420.55928836577</v>
      </c>
      <c r="S236">
        <f t="shared" si="962"/>
        <v>5.5142055928836573</v>
      </c>
      <c r="T236">
        <f t="shared" si="963"/>
        <v>5.5142055928836574E-3</v>
      </c>
    </row>
    <row r="237" spans="1:20" x14ac:dyDescent="0.25">
      <c r="A237" s="5">
        <v>44356</v>
      </c>
      <c r="B237">
        <v>0.75449999999999995</v>
      </c>
      <c r="C237">
        <v>0.80330000000000001</v>
      </c>
      <c r="D237">
        <v>0.72070000000000001</v>
      </c>
      <c r="E237">
        <v>0.79310000000000003</v>
      </c>
      <c r="F237">
        <v>2035628.3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0.7530266343825669</v>
      </c>
      <c r="Q237">
        <f t="shared" si="960"/>
        <v>1532882.3276029062</v>
      </c>
      <c r="R237">
        <f t="shared" si="961"/>
        <v>1265791.2853880727</v>
      </c>
      <c r="S237">
        <f t="shared" si="962"/>
        <v>12.657912853880728</v>
      </c>
      <c r="T237">
        <f t="shared" si="963"/>
        <v>1.2657912853880727E-2</v>
      </c>
    </row>
    <row r="238" spans="1:20" x14ac:dyDescent="0.25">
      <c r="A238" s="5">
        <v>44355</v>
      </c>
      <c r="B238">
        <v>0.76200000000000001</v>
      </c>
      <c r="C238">
        <v>0.77669999999999995</v>
      </c>
      <c r="D238">
        <v>0.6865</v>
      </c>
      <c r="E238">
        <v>0.75460000000000005</v>
      </c>
      <c r="F238">
        <v>2463581.46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0.50997782705099981</v>
      </c>
      <c r="Q238">
        <f t="shared" si="960"/>
        <v>1256371.9197339297</v>
      </c>
      <c r="R238">
        <f t="shared" si="961"/>
        <v>-267091.04221483343</v>
      </c>
      <c r="S238">
        <f t="shared" si="962"/>
        <v>-2.6709104221483342</v>
      </c>
      <c r="T238">
        <f t="shared" si="963"/>
        <v>-2.6709104221483344E-3</v>
      </c>
    </row>
    <row r="239" spans="1:20" x14ac:dyDescent="0.25">
      <c r="A239" s="5">
        <v>44354</v>
      </c>
      <c r="B239">
        <v>0.85260000000000002</v>
      </c>
      <c r="C239">
        <v>0.88739999999999997</v>
      </c>
      <c r="D239">
        <v>0.75360000000000005</v>
      </c>
      <c r="E239">
        <v>0.76149999999999995</v>
      </c>
      <c r="F239">
        <v>1491051.21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-0.88191330343796848</v>
      </c>
      <c r="Q239">
        <f t="shared" si="960"/>
        <v>-1314977.8982062801</v>
      </c>
      <c r="R239">
        <f t="shared" si="961"/>
        <v>-1523462.9619487631</v>
      </c>
      <c r="S239">
        <f t="shared" si="962"/>
        <v>-15.234629619487631</v>
      </c>
      <c r="T239">
        <f t="shared" si="963"/>
        <v>-1.5234629619487631E-2</v>
      </c>
    </row>
    <row r="240" spans="1:20" x14ac:dyDescent="0.25">
      <c r="A240" s="5">
        <v>44353</v>
      </c>
      <c r="B240">
        <v>0.84430000000000005</v>
      </c>
      <c r="C240">
        <v>0.87780000000000002</v>
      </c>
      <c r="D240">
        <v>0.83399999999999996</v>
      </c>
      <c r="E240">
        <v>0.85009999999999997</v>
      </c>
      <c r="F240">
        <v>894156.62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-0.2648401826484027</v>
      </c>
      <c r="Q240">
        <f t="shared" si="960"/>
        <v>-236808.60255707841</v>
      </c>
      <c r="R240">
        <f t="shared" si="961"/>
        <v>-208485.06374248298</v>
      </c>
      <c r="S240">
        <f t="shared" si="962"/>
        <v>-2.0848506374248297</v>
      </c>
      <c r="T240">
        <f t="shared" si="963"/>
        <v>-2.0848506374248296E-3</v>
      </c>
    </row>
    <row r="241" spans="1:20" x14ac:dyDescent="0.25">
      <c r="A241" s="5">
        <v>44352</v>
      </c>
      <c r="B241">
        <v>0.8629</v>
      </c>
      <c r="C241">
        <v>0.90190000000000003</v>
      </c>
      <c r="D241">
        <v>0.81699999999999995</v>
      </c>
      <c r="E241">
        <v>0.84499999999999997</v>
      </c>
      <c r="F241">
        <v>1601353.31</v>
      </c>
      <c r="G241">
        <v>0</v>
      </c>
      <c r="L241" t="s">
        <v>8</v>
      </c>
      <c r="M241" t="s">
        <v>7</v>
      </c>
      <c r="N241" t="s">
        <v>8</v>
      </c>
      <c r="P241">
        <f t="shared" si="959"/>
        <v>-0.3404004711425207</v>
      </c>
      <c r="Q241">
        <f t="shared" si="960"/>
        <v>-545101.42118963506</v>
      </c>
      <c r="R241">
        <f t="shared" si="961"/>
        <v>28323.538814595435</v>
      </c>
      <c r="S241">
        <f t="shared" si="962"/>
        <v>0.28323538814595434</v>
      </c>
      <c r="T241">
        <f t="shared" si="963"/>
        <v>2.8323538814595435E-4</v>
      </c>
    </row>
    <row r="242" spans="1:20" x14ac:dyDescent="0.25">
      <c r="A242" s="5">
        <v>44351</v>
      </c>
      <c r="B242">
        <v>0.96330000000000005</v>
      </c>
      <c r="C242">
        <v>0.96340000000000003</v>
      </c>
      <c r="D242">
        <v>0.81569999999999998</v>
      </c>
      <c r="E242">
        <v>0.86240000000000006</v>
      </c>
      <c r="F242">
        <v>1977324.07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-0.36763710223425783</v>
      </c>
      <c r="Q242">
        <f t="shared" si="960"/>
        <v>-726937.69127284875</v>
      </c>
      <c r="R242">
        <f t="shared" si="961"/>
        <v>573424.9600042305</v>
      </c>
      <c r="S242">
        <f t="shared" si="962"/>
        <v>5.7342496000423049</v>
      </c>
      <c r="T242">
        <f t="shared" si="963"/>
        <v>5.7342496000423052E-3</v>
      </c>
    </row>
    <row r="243" spans="1:20" x14ac:dyDescent="0.25">
      <c r="A243" s="5">
        <v>44350</v>
      </c>
      <c r="B243">
        <v>0.9325</v>
      </c>
      <c r="C243">
        <v>0.98570000000000002</v>
      </c>
      <c r="D243">
        <v>0.92120000000000002</v>
      </c>
      <c r="E243">
        <v>0.96130000000000004</v>
      </c>
      <c r="F243">
        <v>2105912.2999999998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0.24341085271317903</v>
      </c>
      <c r="Q243">
        <f t="shared" si="960"/>
        <v>512601.90868217201</v>
      </c>
      <c r="R243">
        <f t="shared" si="961"/>
        <v>1300362.6512770792</v>
      </c>
      <c r="S243">
        <f t="shared" si="962"/>
        <v>13.003626512770792</v>
      </c>
      <c r="T243">
        <f t="shared" si="963"/>
        <v>1.3003626512770792E-2</v>
      </c>
    </row>
    <row r="244" spans="1:20" x14ac:dyDescent="0.25">
      <c r="A244" s="5">
        <v>44349</v>
      </c>
      <c r="B244">
        <v>0.88019999999999998</v>
      </c>
      <c r="C244">
        <v>0.96730000000000005</v>
      </c>
      <c r="D244">
        <v>0.86229999999999996</v>
      </c>
      <c r="E244">
        <v>0.93100000000000005</v>
      </c>
      <c r="F244">
        <v>2595494.4500000002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0.30857142857142922</v>
      </c>
      <c r="Q244">
        <f t="shared" si="960"/>
        <v>800895.43028571596</v>
      </c>
      <c r="R244">
        <f t="shared" si="961"/>
        <v>787760.74259490729</v>
      </c>
      <c r="S244">
        <f t="shared" si="962"/>
        <v>7.8776074259490727</v>
      </c>
      <c r="T244">
        <f t="shared" si="963"/>
        <v>7.8776074259490729E-3</v>
      </c>
    </row>
    <row r="245" spans="1:20" x14ac:dyDescent="0.25">
      <c r="A245" s="5">
        <v>44348</v>
      </c>
      <c r="B245">
        <v>0.92559999999999998</v>
      </c>
      <c r="C245">
        <v>0.94330000000000003</v>
      </c>
      <c r="D245">
        <v>0.86280000000000001</v>
      </c>
      <c r="E245">
        <v>0.88260000000000005</v>
      </c>
      <c r="F245">
        <v>1453669.63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-0.50807453416148984</v>
      </c>
      <c r="Q245">
        <f t="shared" si="960"/>
        <v>-738572.52008695528</v>
      </c>
      <c r="R245">
        <f t="shared" si="961"/>
        <v>-13134.687690808671</v>
      </c>
      <c r="S245">
        <f t="shared" si="962"/>
        <v>-0.13134687690808672</v>
      </c>
      <c r="T245">
        <f t="shared" si="963"/>
        <v>-1.3134687690808671E-4</v>
      </c>
    </row>
    <row r="246" spans="1:20" x14ac:dyDescent="0.25">
      <c r="A246" s="5">
        <v>44347</v>
      </c>
      <c r="B246">
        <v>0.85119999999999996</v>
      </c>
      <c r="C246">
        <v>0.9375</v>
      </c>
      <c r="D246">
        <v>0.81020000000000003</v>
      </c>
      <c r="E246">
        <v>0.92720000000000002</v>
      </c>
      <c r="F246">
        <v>1864316.1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0.83817753338570344</v>
      </c>
      <c r="Q246">
        <f t="shared" si="960"/>
        <v>1562627.8701492546</v>
      </c>
      <c r="R246">
        <f t="shared" si="961"/>
        <v>725437.83239614661</v>
      </c>
      <c r="S246">
        <f t="shared" si="962"/>
        <v>7.2543783239614656</v>
      </c>
      <c r="T246">
        <f t="shared" si="963"/>
        <v>7.2543783239614659E-3</v>
      </c>
    </row>
    <row r="247" spans="1:20" x14ac:dyDescent="0.25">
      <c r="A247" s="5">
        <v>44346</v>
      </c>
      <c r="B247">
        <v>0.81100000000000005</v>
      </c>
      <c r="C247">
        <v>0.88619999999999999</v>
      </c>
      <c r="D247">
        <v>0.76790000000000003</v>
      </c>
      <c r="E247">
        <v>0.85170000000000001</v>
      </c>
      <c r="F247">
        <v>1503924.29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0.4167371090448016</v>
      </c>
      <c r="Q247">
        <f t="shared" si="960"/>
        <v>626741.06083685579</v>
      </c>
      <c r="R247">
        <f t="shared" si="961"/>
        <v>-837190.03775310796</v>
      </c>
      <c r="S247">
        <f t="shared" si="962"/>
        <v>-8.3719003775310803</v>
      </c>
      <c r="T247">
        <f t="shared" si="963"/>
        <v>-8.3719003775310809E-3</v>
      </c>
    </row>
    <row r="248" spans="1:20" x14ac:dyDescent="0.25">
      <c r="A248" s="5">
        <v>44345</v>
      </c>
      <c r="B248">
        <v>0.86050000000000004</v>
      </c>
      <c r="C248">
        <v>0.89939999999999998</v>
      </c>
      <c r="D248">
        <v>0.77080000000000004</v>
      </c>
      <c r="E248">
        <v>0.81120000000000003</v>
      </c>
      <c r="F248">
        <v>2175011.73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-0.37169517884914444</v>
      </c>
      <c r="Q248">
        <f t="shared" si="960"/>
        <v>-808441.37398133706</v>
      </c>
      <c r="R248">
        <f t="shared" si="961"/>
        <v>-1463931.0985899637</v>
      </c>
      <c r="S248">
        <f t="shared" si="962"/>
        <v>-14.639310985899638</v>
      </c>
      <c r="T248">
        <f t="shared" si="963"/>
        <v>-1.4639310985899637E-2</v>
      </c>
    </row>
    <row r="249" spans="1:20" x14ac:dyDescent="0.25">
      <c r="A249" s="5">
        <v>44344</v>
      </c>
      <c r="B249">
        <v>0.99939999999999996</v>
      </c>
      <c r="C249">
        <v>1.0243</v>
      </c>
      <c r="D249">
        <v>0.8266</v>
      </c>
      <c r="E249">
        <v>0.86240000000000006</v>
      </c>
      <c r="F249">
        <v>3783741.74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-0.63783510369246277</v>
      </c>
      <c r="Q249">
        <f t="shared" si="960"/>
        <v>-2413403.3050783998</v>
      </c>
      <c r="R249">
        <f t="shared" si="961"/>
        <v>-655489.72460862668</v>
      </c>
      <c r="S249">
        <f t="shared" si="962"/>
        <v>-6.5548972460862664</v>
      </c>
      <c r="T249">
        <f t="shared" si="963"/>
        <v>-6.5548972460862664E-3</v>
      </c>
    </row>
    <row r="250" spans="1:20" x14ac:dyDescent="0.25">
      <c r="A250" s="5">
        <v>44343</v>
      </c>
      <c r="B250">
        <v>0.99460000000000004</v>
      </c>
      <c r="C250">
        <v>1.0664</v>
      </c>
      <c r="D250">
        <v>0.89690000000000003</v>
      </c>
      <c r="E250">
        <v>0.99939999999999996</v>
      </c>
      <c r="F250">
        <v>4515594.05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0.20943952802359805</v>
      </c>
      <c r="Q250">
        <f t="shared" si="960"/>
        <v>945743.88657816756</v>
      </c>
      <c r="R250">
        <f t="shared" si="961"/>
        <v>1757913.5804697732</v>
      </c>
      <c r="S250">
        <f t="shared" si="962"/>
        <v>17.579135804697732</v>
      </c>
      <c r="T250">
        <f t="shared" si="963"/>
        <v>1.7579135804697731E-2</v>
      </c>
    </row>
    <row r="251" spans="1:20" x14ac:dyDescent="0.25">
      <c r="A251" s="5">
        <v>44342</v>
      </c>
      <c r="B251">
        <v>0.91969999999999996</v>
      </c>
      <c r="C251">
        <v>1.0355000000000001</v>
      </c>
      <c r="D251">
        <v>0.89880000000000004</v>
      </c>
      <c r="E251">
        <v>0.99590000000000001</v>
      </c>
      <c r="F251">
        <v>3230651.3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0.42062911485003562</v>
      </c>
      <c r="Q251">
        <f t="shared" si="960"/>
        <v>1358905.9967081167</v>
      </c>
      <c r="R251">
        <f t="shared" si="961"/>
        <v>812169.6938916056</v>
      </c>
      <c r="S251">
        <f t="shared" si="962"/>
        <v>8.121696938916056</v>
      </c>
      <c r="T251">
        <f t="shared" si="963"/>
        <v>8.1216969389160554E-3</v>
      </c>
    </row>
    <row r="252" spans="1:20" x14ac:dyDescent="0.25">
      <c r="A252" s="5">
        <v>44341</v>
      </c>
      <c r="B252">
        <v>0.89980000000000004</v>
      </c>
      <c r="C252">
        <v>0.96230000000000004</v>
      </c>
      <c r="D252">
        <v>0.82340000000000002</v>
      </c>
      <c r="E252">
        <v>0.91920000000000002</v>
      </c>
      <c r="F252">
        <v>3243449.5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0.37940964722822146</v>
      </c>
      <c r="Q252">
        <f t="shared" si="960"/>
        <v>1230596.0305975513</v>
      </c>
      <c r="R252">
        <f t="shared" si="961"/>
        <v>-546736.30281651113</v>
      </c>
      <c r="S252">
        <f t="shared" si="962"/>
        <v>-5.4673630281651109</v>
      </c>
      <c r="T252">
        <f t="shared" si="963"/>
        <v>-5.4673630281651111E-3</v>
      </c>
    </row>
    <row r="253" spans="1:20" x14ac:dyDescent="0.25">
      <c r="A253" s="5">
        <v>44340</v>
      </c>
      <c r="B253">
        <v>0.71609999999999996</v>
      </c>
      <c r="C253">
        <v>1</v>
      </c>
      <c r="D253">
        <v>0.69069999999999998</v>
      </c>
      <c r="E253">
        <v>0.89980000000000004</v>
      </c>
      <c r="F253">
        <v>4119307.92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0.35208535402521857</v>
      </c>
      <c r="Q253">
        <f t="shared" si="960"/>
        <v>1450347.9873520867</v>
      </c>
      <c r="R253">
        <f t="shared" si="961"/>
        <v>-1777332.3334140624</v>
      </c>
      <c r="S253">
        <f t="shared" si="962"/>
        <v>-17.773323334140624</v>
      </c>
      <c r="T253">
        <f t="shared" si="963"/>
        <v>-1.7773323334140625E-2</v>
      </c>
    </row>
    <row r="254" spans="1:20" x14ac:dyDescent="0.25">
      <c r="A254" s="5">
        <v>44339</v>
      </c>
      <c r="B254">
        <v>0.8619</v>
      </c>
      <c r="C254">
        <v>0.89759999999999995</v>
      </c>
      <c r="D254">
        <v>0.60099999999999998</v>
      </c>
      <c r="E254">
        <v>0.71460000000000001</v>
      </c>
      <c r="F254">
        <v>6347127.6100000003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-0.2339851652056639</v>
      </c>
      <c r="Q254">
        <f t="shared" si="960"/>
        <v>-1485133.7024072807</v>
      </c>
      <c r="R254">
        <f t="shared" si="961"/>
        <v>-3227680.3207661491</v>
      </c>
      <c r="S254">
        <f t="shared" si="962"/>
        <v>-32.276803207661494</v>
      </c>
      <c r="T254">
        <f t="shared" si="963"/>
        <v>-3.2276803207661492E-2</v>
      </c>
    </row>
    <row r="255" spans="1:20" x14ac:dyDescent="0.25">
      <c r="A255" s="5">
        <v>44338</v>
      </c>
      <c r="B255">
        <v>0.95850000000000002</v>
      </c>
      <c r="C255">
        <v>0.97089999999999999</v>
      </c>
      <c r="D255">
        <v>0.83220000000000005</v>
      </c>
      <c r="E255">
        <v>0.86539999999999995</v>
      </c>
      <c r="F255">
        <v>3931302.04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-0.52126892573900629</v>
      </c>
      <c r="Q255">
        <f t="shared" si="960"/>
        <v>-2049265.5911463639</v>
      </c>
      <c r="R255">
        <f t="shared" si="961"/>
        <v>-1742546.6183588686</v>
      </c>
      <c r="S255">
        <f t="shared" si="962"/>
        <v>-17.425466183588686</v>
      </c>
      <c r="T255">
        <f t="shared" si="963"/>
        <v>-1.7425466183588686E-2</v>
      </c>
    </row>
    <row r="256" spans="1:20" x14ac:dyDescent="0.25">
      <c r="A256" s="5">
        <v>44337</v>
      </c>
      <c r="B256">
        <v>1.0878000000000001</v>
      </c>
      <c r="C256">
        <v>1.1416999999999999</v>
      </c>
      <c r="D256">
        <v>0.81489999999999996</v>
      </c>
      <c r="E256">
        <v>0.95740000000000003</v>
      </c>
      <c r="F256">
        <v>6123549.4900000002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-0.12790697674418555</v>
      </c>
      <c r="Q256">
        <f t="shared" si="960"/>
        <v>-783244.70220929931</v>
      </c>
      <c r="R256">
        <f t="shared" si="961"/>
        <v>306718.97278749535</v>
      </c>
      <c r="S256">
        <f t="shared" si="962"/>
        <v>3.0671897278749536</v>
      </c>
      <c r="T256">
        <f t="shared" si="963"/>
        <v>3.0671897278749536E-3</v>
      </c>
    </row>
    <row r="257" spans="1:20" x14ac:dyDescent="0.25">
      <c r="A257" s="5">
        <v>44336</v>
      </c>
      <c r="B257">
        <v>0.96430000000000005</v>
      </c>
      <c r="C257">
        <v>1.1652</v>
      </c>
      <c r="D257">
        <v>0.86</v>
      </c>
      <c r="E257">
        <v>1.0845</v>
      </c>
      <c r="F257">
        <v>7417552.4000000004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0.4711664482306685</v>
      </c>
      <c r="Q257">
        <f t="shared" si="960"/>
        <v>3494901.8188728709</v>
      </c>
      <c r="R257">
        <f t="shared" si="961"/>
        <v>1089963.6749967947</v>
      </c>
      <c r="S257">
        <f t="shared" si="962"/>
        <v>10.899636749967947</v>
      </c>
      <c r="T257">
        <f t="shared" si="963"/>
        <v>1.0899636749967946E-2</v>
      </c>
    </row>
    <row r="258" spans="1:20" x14ac:dyDescent="0.25">
      <c r="A258" s="5">
        <v>44335</v>
      </c>
      <c r="B258">
        <v>1.4648000000000001</v>
      </c>
      <c r="C258">
        <v>1.4916</v>
      </c>
      <c r="D258">
        <v>0.73429999999999995</v>
      </c>
      <c r="E258">
        <v>0.96279999999999999</v>
      </c>
      <c r="F258">
        <v>9926084.4600000009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-0.39654034068400895</v>
      </c>
      <c r="Q258">
        <f t="shared" si="960"/>
        <v>-3936092.9134266474</v>
      </c>
      <c r="R258">
        <f t="shared" si="961"/>
        <v>-2404938.1438760762</v>
      </c>
      <c r="S258">
        <f t="shared" si="962"/>
        <v>-24.049381438760761</v>
      </c>
      <c r="T258">
        <f t="shared" si="963"/>
        <v>-2.4049381438760762E-2</v>
      </c>
    </row>
    <row r="259" spans="1:20" x14ac:dyDescent="0.25">
      <c r="A259" s="5">
        <v>44334</v>
      </c>
      <c r="B259">
        <v>1.454</v>
      </c>
      <c r="C259">
        <v>1.6</v>
      </c>
      <c r="D259">
        <v>1.4258999999999999</v>
      </c>
      <c r="E259">
        <v>1.4648000000000001</v>
      </c>
      <c r="F259">
        <v>5072232.3499999996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-0.5531303848362995</v>
      </c>
      <c r="Q259">
        <f t="shared" si="960"/>
        <v>-2805605.8317346275</v>
      </c>
      <c r="R259">
        <f t="shared" si="961"/>
        <v>1531154.7695505712</v>
      </c>
      <c r="S259">
        <f t="shared" si="962"/>
        <v>15.311547695505713</v>
      </c>
      <c r="T259">
        <f t="shared" si="963"/>
        <v>1.5311547695505712E-2</v>
      </c>
    </row>
    <row r="260" spans="1:20" x14ac:dyDescent="0.25">
      <c r="A260" s="5">
        <v>44333</v>
      </c>
      <c r="B260">
        <v>1.6015999999999999</v>
      </c>
      <c r="C260">
        <v>1.6577999999999999</v>
      </c>
      <c r="D260">
        <v>1.4081999999999999</v>
      </c>
      <c r="E260">
        <v>1.4536</v>
      </c>
      <c r="F260">
        <v>5136269.46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-0.6362179487179479</v>
      </c>
      <c r="Q260">
        <f t="shared" si="960"/>
        <v>-3267786.8199038417</v>
      </c>
      <c r="R260">
        <f t="shared" si="961"/>
        <v>4336760.6012851987</v>
      </c>
      <c r="S260">
        <f t="shared" si="962"/>
        <v>43.367606012851986</v>
      </c>
      <c r="T260">
        <f t="shared" si="963"/>
        <v>4.3367606012851986E-2</v>
      </c>
    </row>
    <row r="261" spans="1:20" x14ac:dyDescent="0.25">
      <c r="A261" s="5">
        <v>44332</v>
      </c>
      <c r="B261">
        <v>1.6460999999999999</v>
      </c>
      <c r="C261">
        <v>1.7976000000000001</v>
      </c>
      <c r="D261">
        <v>1.45</v>
      </c>
      <c r="E261">
        <v>1.6022000000000001</v>
      </c>
      <c r="F261">
        <v>4650210.84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-0.1242807825086303</v>
      </c>
      <c r="Q261">
        <f t="shared" si="960"/>
        <v>-577931.84202531504</v>
      </c>
      <c r="R261">
        <f t="shared" si="961"/>
        <v>7604547.4211890399</v>
      </c>
      <c r="S261">
        <f t="shared" si="962"/>
        <v>76.045474211890394</v>
      </c>
      <c r="T261">
        <f t="shared" si="963"/>
        <v>7.6045474211890396E-2</v>
      </c>
    </row>
    <row r="262" spans="1:20" x14ac:dyDescent="0.25">
      <c r="A262" s="5">
        <v>44331</v>
      </c>
      <c r="B262">
        <v>1.8977999999999999</v>
      </c>
      <c r="C262">
        <v>1.9356</v>
      </c>
      <c r="D262">
        <v>1.6177999999999999</v>
      </c>
      <c r="E262">
        <v>1.6419999999999999</v>
      </c>
      <c r="F262">
        <v>3582159.76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-0.84770295783511651</v>
      </c>
      <c r="Q262">
        <f t="shared" ref="Q262:Q325" si="965">F262*P262</f>
        <v>-3036607.4239899311</v>
      </c>
      <c r="R262">
        <f t="shared" ref="R262:R325" si="966">R263+Q262</f>
        <v>8182479.2632143553</v>
      </c>
      <c r="S262">
        <f t="shared" ref="S262:S325" si="967">R262/100000</f>
        <v>81.824792632143556</v>
      </c>
      <c r="T262">
        <f t="shared" ref="T262:T325" si="968">S262/1000</f>
        <v>8.1824792632143553E-2</v>
      </c>
    </row>
    <row r="263" spans="1:20" x14ac:dyDescent="0.25">
      <c r="A263" s="5">
        <v>44330</v>
      </c>
      <c r="B263">
        <v>1.7914000000000001</v>
      </c>
      <c r="C263">
        <v>1.9804999999999999</v>
      </c>
      <c r="D263">
        <v>1.7855000000000001</v>
      </c>
      <c r="E263">
        <v>1.8977999999999999</v>
      </c>
      <c r="F263">
        <v>3344963.6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0.15179487179487114</v>
      </c>
      <c r="Q263">
        <f t="shared" si="965"/>
        <v>507748.32082051062</v>
      </c>
      <c r="R263">
        <f t="shared" si="966"/>
        <v>11219086.687204286</v>
      </c>
      <c r="S263">
        <f t="shared" si="967"/>
        <v>112.19086687204286</v>
      </c>
      <c r="T263">
        <f t="shared" si="968"/>
        <v>0.11219086687204285</v>
      </c>
    </row>
    <row r="264" spans="1:20" x14ac:dyDescent="0.25">
      <c r="A264" s="5">
        <v>44329</v>
      </c>
      <c r="B264">
        <v>1.8067</v>
      </c>
      <c r="C264">
        <v>1.9854000000000001</v>
      </c>
      <c r="D264">
        <v>1.6371</v>
      </c>
      <c r="E264">
        <v>1.8047</v>
      </c>
      <c r="F264">
        <v>5883627.4400000004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-3.7611254665518547E-2</v>
      </c>
      <c r="Q264">
        <f t="shared" si="965"/>
        <v>-221290.61000287297</v>
      </c>
      <c r="R264">
        <f t="shared" si="966"/>
        <v>10711338.366383776</v>
      </c>
      <c r="S264">
        <f t="shared" si="967"/>
        <v>107.11338366383777</v>
      </c>
      <c r="T264">
        <f t="shared" si="968"/>
        <v>0.10711338366383777</v>
      </c>
    </row>
    <row r="265" spans="1:20" x14ac:dyDescent="0.25">
      <c r="A265" s="5">
        <v>44328</v>
      </c>
      <c r="B265">
        <v>2.2837999999999998</v>
      </c>
      <c r="C265">
        <v>2.3043999999999998</v>
      </c>
      <c r="D265">
        <v>1.8</v>
      </c>
      <c r="E265">
        <v>1.8092999999999999</v>
      </c>
      <c r="F265">
        <v>6025138.2999999998</v>
      </c>
      <c r="G265">
        <v>0</v>
      </c>
      <c r="L265" t="s">
        <v>7</v>
      </c>
      <c r="M265" t="s">
        <v>7</v>
      </c>
      <c r="N265" t="s">
        <v>8</v>
      </c>
      <c r="P265">
        <f t="shared" si="964"/>
        <v>-0.96312450436161834</v>
      </c>
      <c r="Q265">
        <f t="shared" si="965"/>
        <v>-5802958.3388977032</v>
      </c>
      <c r="R265">
        <f t="shared" si="966"/>
        <v>10932628.97638665</v>
      </c>
      <c r="S265">
        <f t="shared" si="967"/>
        <v>109.3262897638665</v>
      </c>
      <c r="T265">
        <f t="shared" si="968"/>
        <v>0.1093262897638665</v>
      </c>
    </row>
    <row r="266" spans="1:20" x14ac:dyDescent="0.25">
      <c r="A266" s="5">
        <v>44327</v>
      </c>
      <c r="B266">
        <v>2.1324999999999998</v>
      </c>
      <c r="C266">
        <v>2.4651000000000001</v>
      </c>
      <c r="D266">
        <v>2.0293000000000001</v>
      </c>
      <c r="E266">
        <v>2.2898000000000001</v>
      </c>
      <c r="F266">
        <v>11056744.75</v>
      </c>
      <c r="G266">
        <v>0</v>
      </c>
      <c r="L266" t="s">
        <v>7</v>
      </c>
      <c r="M266" t="s">
        <v>7</v>
      </c>
      <c r="N266" t="s">
        <v>8</v>
      </c>
      <c r="P266">
        <f t="shared" si="964"/>
        <v>0.19550252409362082</v>
      </c>
      <c r="Q266">
        <f t="shared" si="965"/>
        <v>2161621.5068838904</v>
      </c>
      <c r="R266">
        <f t="shared" si="966"/>
        <v>16735587.315284353</v>
      </c>
      <c r="S266">
        <f t="shared" si="967"/>
        <v>167.35587315284351</v>
      </c>
      <c r="T266">
        <f t="shared" si="968"/>
        <v>0.1673558731528435</v>
      </c>
    </row>
    <row r="267" spans="1:20" x14ac:dyDescent="0.25">
      <c r="A267" s="5">
        <v>44326</v>
      </c>
      <c r="B267">
        <v>1.9988999999999999</v>
      </c>
      <c r="C267">
        <v>2.5783</v>
      </c>
      <c r="D267">
        <v>1.9495</v>
      </c>
      <c r="E267">
        <v>2.1364000000000001</v>
      </c>
      <c r="F267">
        <v>28506658.25</v>
      </c>
      <c r="G267">
        <v>0</v>
      </c>
      <c r="L267" t="s">
        <v>8</v>
      </c>
      <c r="M267" t="s">
        <v>8</v>
      </c>
      <c r="N267" t="s">
        <v>8</v>
      </c>
      <c r="P267">
        <f t="shared" si="964"/>
        <v>-0.405534351145038</v>
      </c>
      <c r="Q267">
        <f t="shared" si="965"/>
        <v>-11560429.156727094</v>
      </c>
      <c r="R267">
        <f t="shared" si="966"/>
        <v>14573965.808400463</v>
      </c>
      <c r="S267">
        <f t="shared" si="967"/>
        <v>145.73965808400465</v>
      </c>
      <c r="T267">
        <f t="shared" si="968"/>
        <v>0.14573965808400466</v>
      </c>
    </row>
    <row r="268" spans="1:20" x14ac:dyDescent="0.25">
      <c r="A268" s="5">
        <v>44325</v>
      </c>
      <c r="B268">
        <v>1.9346000000000001</v>
      </c>
      <c r="C268">
        <v>2.0099999999999998</v>
      </c>
      <c r="D268">
        <v>1.774</v>
      </c>
      <c r="E268">
        <v>2.0011999999999999</v>
      </c>
      <c r="F268">
        <v>5369132.3799999999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0.92542372881355994</v>
      </c>
      <c r="Q268">
        <f t="shared" si="965"/>
        <v>4968722.5075932238</v>
      </c>
      <c r="R268">
        <f t="shared" si="966"/>
        <v>26134394.965127558</v>
      </c>
      <c r="S268">
        <f t="shared" si="967"/>
        <v>261.34394965127558</v>
      </c>
      <c r="T268">
        <f t="shared" si="968"/>
        <v>0.26134394965127555</v>
      </c>
    </row>
    <row r="269" spans="1:20" x14ac:dyDescent="0.25">
      <c r="A269" s="5">
        <v>44324</v>
      </c>
      <c r="B269">
        <v>1.8613</v>
      </c>
      <c r="C269">
        <v>2.0499999999999998</v>
      </c>
      <c r="D269">
        <v>1.8210999999999999</v>
      </c>
      <c r="E269">
        <v>1.9347000000000001</v>
      </c>
      <c r="F269">
        <v>5487052.0099999998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-7.4268239405836239E-3</v>
      </c>
      <c r="Q269">
        <f t="shared" si="965"/>
        <v>-40751.369231095494</v>
      </c>
      <c r="R269">
        <f t="shared" si="966"/>
        <v>21165672.457534336</v>
      </c>
      <c r="S269">
        <f t="shared" si="967"/>
        <v>211.65672457534336</v>
      </c>
      <c r="T269">
        <f t="shared" si="968"/>
        <v>0.21165672457534337</v>
      </c>
    </row>
    <row r="270" spans="1:20" x14ac:dyDescent="0.25">
      <c r="A270" s="5">
        <v>44323</v>
      </c>
      <c r="B270">
        <v>1.8272999999999999</v>
      </c>
      <c r="C270">
        <v>2.0853999999999999</v>
      </c>
      <c r="D270">
        <v>1.7171000000000001</v>
      </c>
      <c r="E270">
        <v>1.8617999999999999</v>
      </c>
      <c r="F270">
        <v>8837629.5199999996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-0.21422753190334029</v>
      </c>
      <c r="Q270">
        <f t="shared" si="965"/>
        <v>-1893263.5599457019</v>
      </c>
      <c r="R270">
        <f t="shared" si="966"/>
        <v>21206423.826765429</v>
      </c>
      <c r="S270">
        <f t="shared" si="967"/>
        <v>212.0642382676543</v>
      </c>
      <c r="T270">
        <f t="shared" si="968"/>
        <v>0.2120642382676543</v>
      </c>
    </row>
    <row r="271" spans="1:20" x14ac:dyDescent="0.25">
      <c r="A271" s="5">
        <v>44322</v>
      </c>
      <c r="B271">
        <v>1.7482</v>
      </c>
      <c r="C271">
        <v>1.8705000000000001</v>
      </c>
      <c r="D271">
        <v>1.7278</v>
      </c>
      <c r="E271">
        <v>1.825</v>
      </c>
      <c r="F271">
        <v>4309077.97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0.36229852838121823</v>
      </c>
      <c r="Q271">
        <f t="shared" si="965"/>
        <v>1561172.6072109272</v>
      </c>
      <c r="R271">
        <f t="shared" si="966"/>
        <v>23099687.386711132</v>
      </c>
      <c r="S271">
        <f t="shared" si="967"/>
        <v>230.9968738671113</v>
      </c>
      <c r="T271">
        <f t="shared" si="968"/>
        <v>0.23099687386711129</v>
      </c>
    </row>
    <row r="272" spans="1:20" x14ac:dyDescent="0.25">
      <c r="A272" s="5">
        <v>44321</v>
      </c>
      <c r="B272">
        <v>1.5629</v>
      </c>
      <c r="C272">
        <v>1.7683</v>
      </c>
      <c r="D272">
        <v>1.55</v>
      </c>
      <c r="E272">
        <v>1.7493000000000001</v>
      </c>
      <c r="F272">
        <v>3232229.15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0.82592762253779284</v>
      </c>
      <c r="Q272">
        <f t="shared" si="965"/>
        <v>2669587.337356851</v>
      </c>
      <c r="R272">
        <f t="shared" si="966"/>
        <v>21538514.779500205</v>
      </c>
      <c r="S272">
        <f t="shared" si="967"/>
        <v>215.38514779500204</v>
      </c>
      <c r="T272">
        <f t="shared" si="968"/>
        <v>0.21538514779500204</v>
      </c>
    </row>
    <row r="273" spans="1:20" x14ac:dyDescent="0.25">
      <c r="A273" s="5">
        <v>44320</v>
      </c>
      <c r="B273">
        <v>1.8073999999999999</v>
      </c>
      <c r="C273">
        <v>1.81</v>
      </c>
      <c r="D273">
        <v>1.5241</v>
      </c>
      <c r="E273">
        <v>1.5627</v>
      </c>
      <c r="F273">
        <v>3667773.88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-0.7299755159146557</v>
      </c>
      <c r="Q273">
        <f t="shared" si="965"/>
        <v>-2677385.1303112986</v>
      </c>
      <c r="R273">
        <f t="shared" si="966"/>
        <v>18868927.442143355</v>
      </c>
      <c r="S273">
        <f t="shared" si="967"/>
        <v>188.68927442143354</v>
      </c>
      <c r="T273">
        <f t="shared" si="968"/>
        <v>0.18868927442143354</v>
      </c>
    </row>
    <row r="274" spans="1:20" x14ac:dyDescent="0.25">
      <c r="A274" s="5">
        <v>44319</v>
      </c>
      <c r="B274">
        <v>1.7789999999999999</v>
      </c>
      <c r="C274">
        <v>1.85</v>
      </c>
      <c r="D274">
        <v>1.7729999999999999</v>
      </c>
      <c r="E274">
        <v>1.8056000000000001</v>
      </c>
      <c r="F274">
        <v>2204663.69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-0.15324675324675044</v>
      </c>
      <c r="Q274">
        <f t="shared" si="965"/>
        <v>-337857.55249350029</v>
      </c>
      <c r="R274">
        <f t="shared" si="966"/>
        <v>21546312.572454654</v>
      </c>
      <c r="S274">
        <f t="shared" si="967"/>
        <v>215.46312572454653</v>
      </c>
      <c r="T274">
        <f t="shared" si="968"/>
        <v>0.21546312572454654</v>
      </c>
    </row>
    <row r="275" spans="1:20" x14ac:dyDescent="0.25">
      <c r="A275" s="5">
        <v>44318</v>
      </c>
      <c r="B275">
        <v>1.8425</v>
      </c>
      <c r="C275">
        <v>1.8607</v>
      </c>
      <c r="D275">
        <v>1.7326999999999999</v>
      </c>
      <c r="E275">
        <v>1.78</v>
      </c>
      <c r="F275">
        <v>2689589.39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-0.26093749999999877</v>
      </c>
      <c r="Q275">
        <f t="shared" si="965"/>
        <v>-701814.73145312176</v>
      </c>
      <c r="R275">
        <f t="shared" si="966"/>
        <v>21884170.124948155</v>
      </c>
      <c r="S275">
        <f t="shared" si="967"/>
        <v>218.84170124948156</v>
      </c>
      <c r="T275">
        <f t="shared" si="968"/>
        <v>0.21884170124948155</v>
      </c>
    </row>
    <row r="276" spans="1:20" x14ac:dyDescent="0.25">
      <c r="A276" s="5">
        <v>44317</v>
      </c>
      <c r="B276">
        <v>1.8693</v>
      </c>
      <c r="C276">
        <v>1.95</v>
      </c>
      <c r="D276">
        <v>1.7883</v>
      </c>
      <c r="E276">
        <v>1.8438000000000001</v>
      </c>
      <c r="F276">
        <v>3362453.48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-0.3135435992578835</v>
      </c>
      <c r="Q276">
        <f t="shared" si="965"/>
        <v>-1054275.7664563959</v>
      </c>
      <c r="R276">
        <f t="shared" si="966"/>
        <v>22585984.856401276</v>
      </c>
      <c r="S276">
        <f t="shared" si="967"/>
        <v>225.85984856401276</v>
      </c>
      <c r="T276">
        <f t="shared" si="968"/>
        <v>0.22585984856401276</v>
      </c>
    </row>
    <row r="277" spans="1:20" x14ac:dyDescent="0.25">
      <c r="A277" s="5">
        <v>44316</v>
      </c>
      <c r="B277">
        <v>1.7579</v>
      </c>
      <c r="C277">
        <v>1.88</v>
      </c>
      <c r="D277">
        <v>1.7001999999999999</v>
      </c>
      <c r="E277">
        <v>1.8635999999999999</v>
      </c>
      <c r="F277">
        <v>3190178.8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0.81757508342602925</v>
      </c>
      <c r="Q277">
        <f t="shared" si="965"/>
        <v>2608210.6985539496</v>
      </c>
      <c r="R277">
        <f t="shared" si="966"/>
        <v>23640260.622857671</v>
      </c>
      <c r="S277">
        <f t="shared" si="967"/>
        <v>236.4026062285767</v>
      </c>
      <c r="T277">
        <f t="shared" si="968"/>
        <v>0.2364026062285767</v>
      </c>
    </row>
    <row r="278" spans="1:20" x14ac:dyDescent="0.25">
      <c r="A278" s="5">
        <v>44315</v>
      </c>
      <c r="B278">
        <v>1.6424000000000001</v>
      </c>
      <c r="C278">
        <v>1.8149999999999999</v>
      </c>
      <c r="D278">
        <v>1.5624</v>
      </c>
      <c r="E278">
        <v>1.7605999999999999</v>
      </c>
      <c r="F278">
        <v>4469363.13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0.56927949326999194</v>
      </c>
      <c r="Q278">
        <f t="shared" si="965"/>
        <v>2544316.7778859851</v>
      </c>
      <c r="R278">
        <f t="shared" si="966"/>
        <v>21032049.924303722</v>
      </c>
      <c r="S278">
        <f t="shared" si="967"/>
        <v>210.3204992430372</v>
      </c>
      <c r="T278">
        <f t="shared" si="968"/>
        <v>0.2103204992430372</v>
      </c>
    </row>
    <row r="279" spans="1:20" x14ac:dyDescent="0.25">
      <c r="A279" s="5">
        <v>44314</v>
      </c>
      <c r="B279">
        <v>1.7244999999999999</v>
      </c>
      <c r="C279">
        <v>1.7811999999999999</v>
      </c>
      <c r="D279">
        <v>1.5935999999999999</v>
      </c>
      <c r="E279">
        <v>1.6432</v>
      </c>
      <c r="F279">
        <v>3518062.43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-0.47121535181236579</v>
      </c>
      <c r="Q279">
        <f t="shared" si="965"/>
        <v>-1657765.0256503166</v>
      </c>
      <c r="R279">
        <f t="shared" si="966"/>
        <v>18487733.146417737</v>
      </c>
      <c r="S279">
        <f t="shared" si="967"/>
        <v>184.87733146417736</v>
      </c>
      <c r="T279">
        <f t="shared" si="968"/>
        <v>0.18487733146417737</v>
      </c>
    </row>
    <row r="280" spans="1:20" x14ac:dyDescent="0.25">
      <c r="A280" s="5">
        <v>44313</v>
      </c>
      <c r="B280">
        <v>1.5607</v>
      </c>
      <c r="C280">
        <v>1.7390000000000001</v>
      </c>
      <c r="D280">
        <v>1.5213000000000001</v>
      </c>
      <c r="E280">
        <v>1.7164999999999999</v>
      </c>
      <c r="F280">
        <v>5092946.49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0.79329352319705848</v>
      </c>
      <c r="Q280">
        <f t="shared" si="965"/>
        <v>4040201.4645061926</v>
      </c>
      <c r="R280">
        <f t="shared" si="966"/>
        <v>20145498.172068052</v>
      </c>
      <c r="S280">
        <f t="shared" si="967"/>
        <v>201.45498172068051</v>
      </c>
      <c r="T280">
        <f t="shared" si="968"/>
        <v>0.20145498172068052</v>
      </c>
    </row>
    <row r="281" spans="1:20" x14ac:dyDescent="0.25">
      <c r="A281" s="5">
        <v>44312</v>
      </c>
      <c r="B281">
        <v>1.2065999999999999</v>
      </c>
      <c r="C281">
        <v>1.5699000000000001</v>
      </c>
      <c r="D281">
        <v>1.2048000000000001</v>
      </c>
      <c r="E281">
        <v>1.5640000000000001</v>
      </c>
      <c r="F281">
        <v>5889056.8499999996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0.9676800876472198</v>
      </c>
      <c r="Q281">
        <f t="shared" si="965"/>
        <v>5698723.0487674596</v>
      </c>
      <c r="R281">
        <f t="shared" si="966"/>
        <v>16105296.707561858</v>
      </c>
      <c r="S281">
        <f t="shared" si="967"/>
        <v>161.05296707561857</v>
      </c>
      <c r="T281">
        <f t="shared" si="968"/>
        <v>0.16105296707561856</v>
      </c>
    </row>
    <row r="282" spans="1:20" x14ac:dyDescent="0.25">
      <c r="A282" s="5">
        <v>44311</v>
      </c>
      <c r="B282">
        <v>1.2310000000000001</v>
      </c>
      <c r="C282">
        <v>1.3489</v>
      </c>
      <c r="D282">
        <v>1.1120000000000001</v>
      </c>
      <c r="E282">
        <v>1.206</v>
      </c>
      <c r="F282">
        <v>3184310.43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-0.20641620937104344</v>
      </c>
      <c r="Q282">
        <f t="shared" si="965"/>
        <v>-657293.28842127742</v>
      </c>
      <c r="R282">
        <f t="shared" si="966"/>
        <v>10406573.658794399</v>
      </c>
      <c r="S282">
        <f t="shared" si="967"/>
        <v>104.06573658794399</v>
      </c>
      <c r="T282">
        <f t="shared" si="968"/>
        <v>0.10406573658794399</v>
      </c>
    </row>
    <row r="283" spans="1:20" x14ac:dyDescent="0.25">
      <c r="A283" s="5">
        <v>44310</v>
      </c>
      <c r="B283">
        <v>1.3786</v>
      </c>
      <c r="C283">
        <v>1.3842000000000001</v>
      </c>
      <c r="D283">
        <v>1.2194</v>
      </c>
      <c r="E283">
        <v>1.2303999999999999</v>
      </c>
      <c r="F283">
        <v>3167864.41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-0.86650485436893332</v>
      </c>
      <c r="Q283">
        <f t="shared" si="965"/>
        <v>-2744969.8892475772</v>
      </c>
      <c r="R283">
        <f t="shared" si="966"/>
        <v>11063866.947215676</v>
      </c>
      <c r="S283">
        <f t="shared" si="967"/>
        <v>110.63866947215676</v>
      </c>
      <c r="T283">
        <f t="shared" si="968"/>
        <v>0.11063866947215677</v>
      </c>
    </row>
    <row r="284" spans="1:20" x14ac:dyDescent="0.25">
      <c r="A284" s="5">
        <v>44309</v>
      </c>
      <c r="B284">
        <v>1.4812000000000001</v>
      </c>
      <c r="C284">
        <v>1.5067999999999999</v>
      </c>
      <c r="D284">
        <v>1.1628000000000001</v>
      </c>
      <c r="E284">
        <v>1.3743000000000001</v>
      </c>
      <c r="F284">
        <v>5765793.5199999996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0.2296511627906983</v>
      </c>
      <c r="Q284">
        <f t="shared" si="965"/>
        <v>1324121.1862790734</v>
      </c>
      <c r="R284">
        <f t="shared" si="966"/>
        <v>13808836.836463254</v>
      </c>
      <c r="S284">
        <f t="shared" si="967"/>
        <v>138.08836836463254</v>
      </c>
      <c r="T284">
        <f t="shared" si="968"/>
        <v>0.13808836836463254</v>
      </c>
    </row>
    <row r="285" spans="1:20" x14ac:dyDescent="0.25">
      <c r="A285" s="5">
        <v>44308</v>
      </c>
      <c r="B285">
        <v>1.6163000000000001</v>
      </c>
      <c r="C285">
        <v>1.7299</v>
      </c>
      <c r="D285">
        <v>1.45</v>
      </c>
      <c r="E285">
        <v>1.4850000000000001</v>
      </c>
      <c r="F285">
        <v>3401927.81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-0.74991068238656566</v>
      </c>
      <c r="Q285">
        <f t="shared" si="965"/>
        <v>-2551142.0054269349</v>
      </c>
      <c r="R285">
        <f t="shared" si="966"/>
        <v>12484715.650184181</v>
      </c>
      <c r="S285">
        <f t="shared" si="967"/>
        <v>124.84715650184181</v>
      </c>
      <c r="T285">
        <f t="shared" si="968"/>
        <v>0.12484715650184181</v>
      </c>
    </row>
    <row r="286" spans="1:20" x14ac:dyDescent="0.25">
      <c r="A286" s="5">
        <v>44307</v>
      </c>
      <c r="B286">
        <v>1.7423</v>
      </c>
      <c r="C286">
        <v>1.7887999999999999</v>
      </c>
      <c r="D286">
        <v>1.605</v>
      </c>
      <c r="E286">
        <v>1.6163000000000001</v>
      </c>
      <c r="F286">
        <v>3425501.04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-0.8770402611534267</v>
      </c>
      <c r="Q286">
        <f t="shared" si="965"/>
        <v>-3004302.3267029347</v>
      </c>
      <c r="R286">
        <f t="shared" si="966"/>
        <v>15035857.655611116</v>
      </c>
      <c r="S286">
        <f t="shared" si="967"/>
        <v>150.35857655611116</v>
      </c>
      <c r="T286">
        <f t="shared" si="968"/>
        <v>0.15035857655611115</v>
      </c>
    </row>
    <row r="287" spans="1:20" x14ac:dyDescent="0.25">
      <c r="A287" s="5">
        <v>44306</v>
      </c>
      <c r="B287">
        <v>1.7624</v>
      </c>
      <c r="C287">
        <v>1.8042</v>
      </c>
      <c r="D287">
        <v>1.5629999999999999</v>
      </c>
      <c r="E287">
        <v>1.7413000000000001</v>
      </c>
      <c r="F287">
        <v>3585442.18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0.47844112769485958</v>
      </c>
      <c r="Q287">
        <f t="shared" si="965"/>
        <v>1715422.9998839158</v>
      </c>
      <c r="R287">
        <f t="shared" si="966"/>
        <v>18040159.98231405</v>
      </c>
      <c r="S287">
        <f t="shared" si="967"/>
        <v>180.40159982314051</v>
      </c>
      <c r="T287">
        <f t="shared" si="968"/>
        <v>0.18040159982314052</v>
      </c>
    </row>
    <row r="288" spans="1:20" x14ac:dyDescent="0.25">
      <c r="A288" s="5">
        <v>44305</v>
      </c>
      <c r="B288">
        <v>1.9208000000000001</v>
      </c>
      <c r="C288">
        <v>2.04</v>
      </c>
      <c r="D288">
        <v>1.6765000000000001</v>
      </c>
      <c r="E288">
        <v>1.758</v>
      </c>
      <c r="F288">
        <v>4461219.22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-0.55158184319119719</v>
      </c>
      <c r="Q288">
        <f t="shared" si="965"/>
        <v>-2460727.5202475949</v>
      </c>
      <c r="R288">
        <f t="shared" si="966"/>
        <v>16324736.982430136</v>
      </c>
      <c r="S288">
        <f t="shared" si="967"/>
        <v>163.24736982430136</v>
      </c>
      <c r="T288">
        <f t="shared" si="968"/>
        <v>0.16324736982430135</v>
      </c>
    </row>
    <row r="289" spans="1:20" x14ac:dyDescent="0.25">
      <c r="A289" s="5">
        <v>44304</v>
      </c>
      <c r="B289">
        <v>2.1356000000000002</v>
      </c>
      <c r="C289">
        <v>2.1497999999999999</v>
      </c>
      <c r="D289">
        <v>1.6767000000000001</v>
      </c>
      <c r="E289">
        <v>1.9207000000000001</v>
      </c>
      <c r="F289">
        <v>5581010.0999999996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3.1494398647220756E-2</v>
      </c>
      <c r="Q289">
        <f t="shared" si="965"/>
        <v>175770.55694356537</v>
      </c>
      <c r="R289">
        <f t="shared" si="966"/>
        <v>18785464.502677731</v>
      </c>
      <c r="S289">
        <f t="shared" si="967"/>
        <v>187.85464502677732</v>
      </c>
      <c r="T289">
        <f t="shared" si="968"/>
        <v>0.18785464502677732</v>
      </c>
    </row>
    <row r="290" spans="1:20" x14ac:dyDescent="0.25">
      <c r="A290" s="5">
        <v>44303</v>
      </c>
      <c r="B290">
        <v>2.1303999999999998</v>
      </c>
      <c r="C290">
        <v>2.35</v>
      </c>
      <c r="D290">
        <v>2.0678999999999998</v>
      </c>
      <c r="E290">
        <v>2.1356000000000002</v>
      </c>
      <c r="F290">
        <v>5509861.1699999999</v>
      </c>
      <c r="G290">
        <v>0</v>
      </c>
      <c r="L290" t="s">
        <v>8</v>
      </c>
      <c r="M290" t="s">
        <v>7</v>
      </c>
      <c r="N290" t="s">
        <v>8</v>
      </c>
      <c r="P290">
        <f t="shared" si="964"/>
        <v>-0.52002835873803432</v>
      </c>
      <c r="Q290">
        <f t="shared" si="965"/>
        <v>-2865284.0611095256</v>
      </c>
      <c r="R290">
        <f t="shared" si="966"/>
        <v>18609693.945734166</v>
      </c>
      <c r="S290">
        <f t="shared" si="967"/>
        <v>186.09693945734165</v>
      </c>
      <c r="T290">
        <f t="shared" si="968"/>
        <v>0.18609693945734165</v>
      </c>
    </row>
    <row r="291" spans="1:20" x14ac:dyDescent="0.25">
      <c r="A291" s="5">
        <v>44302</v>
      </c>
      <c r="B291">
        <v>2.2646999999999999</v>
      </c>
      <c r="C291">
        <v>2.2749000000000001</v>
      </c>
      <c r="D291">
        <v>1.9815</v>
      </c>
      <c r="E291">
        <v>2.1272000000000002</v>
      </c>
      <c r="F291">
        <v>5358679.6100000003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-6.8166325835029963E-3</v>
      </c>
      <c r="Q291">
        <f t="shared" si="965"/>
        <v>-36528.150034079132</v>
      </c>
      <c r="R291">
        <f t="shared" si="966"/>
        <v>21474978.00684369</v>
      </c>
      <c r="S291">
        <f t="shared" si="967"/>
        <v>214.74978006843691</v>
      </c>
      <c r="T291">
        <f t="shared" si="968"/>
        <v>0.2147497800684369</v>
      </c>
    </row>
    <row r="292" spans="1:20" x14ac:dyDescent="0.25">
      <c r="A292" s="5">
        <v>44301</v>
      </c>
      <c r="B292">
        <v>2.2250999999999999</v>
      </c>
      <c r="C292">
        <v>2.3565</v>
      </c>
      <c r="D292">
        <v>2.1903000000000001</v>
      </c>
      <c r="E292">
        <v>2.2698</v>
      </c>
      <c r="F292">
        <v>3925226.63</v>
      </c>
      <c r="G292">
        <v>0</v>
      </c>
      <c r="L292" t="s">
        <v>7</v>
      </c>
      <c r="M292" t="s">
        <v>7</v>
      </c>
      <c r="N292" t="s">
        <v>8</v>
      </c>
      <c r="P292">
        <f t="shared" si="964"/>
        <v>-4.3321299638989764E-2</v>
      </c>
      <c r="Q292">
        <f t="shared" si="965"/>
        <v>-170045.918989172</v>
      </c>
      <c r="R292">
        <f t="shared" si="966"/>
        <v>21511506.156877767</v>
      </c>
      <c r="S292">
        <f t="shared" si="967"/>
        <v>215.11506156877766</v>
      </c>
      <c r="T292">
        <f t="shared" si="968"/>
        <v>0.21511506156877766</v>
      </c>
    </row>
    <row r="293" spans="1:20" x14ac:dyDescent="0.25">
      <c r="A293" s="5">
        <v>44300</v>
      </c>
      <c r="B293">
        <v>2.4</v>
      </c>
      <c r="C293">
        <v>2.4037999999999999</v>
      </c>
      <c r="D293">
        <v>2.1065</v>
      </c>
      <c r="E293">
        <v>2.23</v>
      </c>
      <c r="F293">
        <v>4760701.74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-0.16918937100571824</v>
      </c>
      <c r="Q293">
        <f t="shared" si="965"/>
        <v>-805460.13293642842</v>
      </c>
      <c r="R293">
        <f t="shared" si="966"/>
        <v>21681552.075866938</v>
      </c>
      <c r="S293">
        <f t="shared" si="967"/>
        <v>216.81552075866938</v>
      </c>
      <c r="T293">
        <f t="shared" si="968"/>
        <v>0.21681552075866939</v>
      </c>
    </row>
    <row r="294" spans="1:20" x14ac:dyDescent="0.25">
      <c r="A294" s="5">
        <v>44299</v>
      </c>
      <c r="B294">
        <v>2.2265999999999999</v>
      </c>
      <c r="C294">
        <v>2.46</v>
      </c>
      <c r="D294">
        <v>2.09</v>
      </c>
      <c r="E294">
        <v>2.3927</v>
      </c>
      <c r="F294">
        <v>7988333.6200000001</v>
      </c>
      <c r="G294">
        <v>0</v>
      </c>
      <c r="L294" t="s">
        <v>7</v>
      </c>
      <c r="M294" t="s">
        <v>7</v>
      </c>
      <c r="N294" t="s">
        <v>8</v>
      </c>
      <c r="P294">
        <f t="shared" si="964"/>
        <v>0.63621621621621682</v>
      </c>
      <c r="Q294">
        <f t="shared" si="965"/>
        <v>5082307.3895891942</v>
      </c>
      <c r="R294">
        <f t="shared" si="966"/>
        <v>22487012.208803367</v>
      </c>
      <c r="S294">
        <f t="shared" si="967"/>
        <v>224.87012208803367</v>
      </c>
      <c r="T294">
        <f t="shared" si="968"/>
        <v>0.22487012208803367</v>
      </c>
    </row>
    <row r="295" spans="1:20" x14ac:dyDescent="0.25">
      <c r="A295" s="5">
        <v>44298</v>
      </c>
      <c r="B295">
        <v>2.4559000000000002</v>
      </c>
      <c r="C295">
        <v>2.4798</v>
      </c>
      <c r="D295">
        <v>2.1983000000000001</v>
      </c>
      <c r="E295">
        <v>2.2269999999999999</v>
      </c>
      <c r="F295">
        <v>7369025.6799999997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-0.79609236234458447</v>
      </c>
      <c r="Q295">
        <f t="shared" si="965"/>
        <v>-5866425.0617691074</v>
      </c>
      <c r="R295">
        <f t="shared" si="966"/>
        <v>17404704.819214173</v>
      </c>
      <c r="S295">
        <f t="shared" si="967"/>
        <v>174.04704819214172</v>
      </c>
      <c r="T295">
        <f t="shared" si="968"/>
        <v>0.17404704819214173</v>
      </c>
    </row>
    <row r="296" spans="1:20" x14ac:dyDescent="0.25">
      <c r="A296" s="5">
        <v>44297</v>
      </c>
      <c r="B296">
        <v>2.1433</v>
      </c>
      <c r="C296">
        <v>2.6349999999999998</v>
      </c>
      <c r="D296">
        <v>2.1</v>
      </c>
      <c r="E296">
        <v>2.456</v>
      </c>
      <c r="F296">
        <v>28151346.09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0.33084112149532735</v>
      </c>
      <c r="Q296">
        <f t="shared" si="965"/>
        <v>9313622.9120186977</v>
      </c>
      <c r="R296">
        <f t="shared" si="966"/>
        <v>23271129.880983282</v>
      </c>
      <c r="S296">
        <f t="shared" si="967"/>
        <v>232.71129880983281</v>
      </c>
      <c r="T296">
        <f t="shared" si="968"/>
        <v>0.23271129880983282</v>
      </c>
    </row>
    <row r="297" spans="1:20" x14ac:dyDescent="0.25">
      <c r="A297" s="5">
        <v>44296</v>
      </c>
      <c r="B297">
        <v>1.9743999999999999</v>
      </c>
      <c r="C297">
        <v>2.1999</v>
      </c>
      <c r="D297">
        <v>1.915</v>
      </c>
      <c r="E297">
        <v>2.1434000000000002</v>
      </c>
      <c r="F297">
        <v>9366239.3100000005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0.60336960336960488</v>
      </c>
      <c r="Q297">
        <f t="shared" si="965"/>
        <v>5651304.0975395022</v>
      </c>
      <c r="R297">
        <f t="shared" si="966"/>
        <v>13957506.968964584</v>
      </c>
      <c r="S297">
        <f t="shared" si="967"/>
        <v>139.57506968964583</v>
      </c>
      <c r="T297">
        <f t="shared" si="968"/>
        <v>0.13957506968964584</v>
      </c>
    </row>
    <row r="298" spans="1:20" x14ac:dyDescent="0.25">
      <c r="A298" s="5">
        <v>44295</v>
      </c>
      <c r="B298">
        <v>1.8651</v>
      </c>
      <c r="C298">
        <v>2.0299999999999998</v>
      </c>
      <c r="D298">
        <v>1.7954000000000001</v>
      </c>
      <c r="E298">
        <v>1.9743999999999999</v>
      </c>
      <c r="F298">
        <v>5987321.1900000004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0.52600170502983845</v>
      </c>
      <c r="Q298">
        <f t="shared" si="965"/>
        <v>3149341.1545012817</v>
      </c>
      <c r="R298">
        <f t="shared" si="966"/>
        <v>8306202.8714250829</v>
      </c>
      <c r="S298">
        <f t="shared" si="967"/>
        <v>83.062028714250829</v>
      </c>
      <c r="T298">
        <f t="shared" si="968"/>
        <v>8.3062028714250835E-2</v>
      </c>
    </row>
    <row r="299" spans="1:20" x14ac:dyDescent="0.25">
      <c r="A299" s="5">
        <v>44294</v>
      </c>
      <c r="B299">
        <v>1.7161</v>
      </c>
      <c r="C299">
        <v>1.8869</v>
      </c>
      <c r="D299">
        <v>1.6879</v>
      </c>
      <c r="E299">
        <v>1.8651</v>
      </c>
      <c r="F299">
        <v>3873346.87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0.78090452261306498</v>
      </c>
      <c r="Q299">
        <f t="shared" si="965"/>
        <v>3024714.0884321597</v>
      </c>
      <c r="R299">
        <f t="shared" si="966"/>
        <v>5156861.7169238012</v>
      </c>
      <c r="S299">
        <f t="shared" si="967"/>
        <v>51.56861716923801</v>
      </c>
      <c r="T299">
        <f t="shared" si="968"/>
        <v>5.156861716923801E-2</v>
      </c>
    </row>
    <row r="300" spans="1:20" x14ac:dyDescent="0.25">
      <c r="A300" s="5">
        <v>44293</v>
      </c>
      <c r="B300">
        <v>1.8977999999999999</v>
      </c>
      <c r="C300">
        <v>1.9217</v>
      </c>
      <c r="D300">
        <v>1.6160000000000001</v>
      </c>
      <c r="E300">
        <v>1.7159</v>
      </c>
      <c r="F300">
        <v>5869439.9900000002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-0.3464180569185481</v>
      </c>
      <c r="Q300">
        <f t="shared" si="965"/>
        <v>-2033279.9965358225</v>
      </c>
      <c r="R300">
        <f t="shared" si="966"/>
        <v>2132147.628491642</v>
      </c>
      <c r="S300">
        <f t="shared" si="967"/>
        <v>21.321476284916418</v>
      </c>
      <c r="T300">
        <f t="shared" si="968"/>
        <v>2.1321476284916419E-2</v>
      </c>
    </row>
    <row r="301" spans="1:20" x14ac:dyDescent="0.25">
      <c r="A301" s="5">
        <v>44292</v>
      </c>
      <c r="B301">
        <v>2.0148000000000001</v>
      </c>
      <c r="C301">
        <v>2.1800000000000002</v>
      </c>
      <c r="D301">
        <v>1.8536999999999999</v>
      </c>
      <c r="E301">
        <v>1.8976999999999999</v>
      </c>
      <c r="F301">
        <v>5207635.28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-0.73030953110634378</v>
      </c>
      <c r="Q301">
        <f t="shared" si="965"/>
        <v>-3803185.6795096537</v>
      </c>
      <c r="R301">
        <f t="shared" si="966"/>
        <v>4165427.6250274647</v>
      </c>
      <c r="S301">
        <f t="shared" si="967"/>
        <v>41.654276250274648</v>
      </c>
      <c r="T301">
        <f t="shared" si="968"/>
        <v>4.1654276250274645E-2</v>
      </c>
    </row>
    <row r="302" spans="1:20" x14ac:dyDescent="0.25">
      <c r="A302" s="5">
        <v>44291</v>
      </c>
      <c r="B302">
        <v>1.8426</v>
      </c>
      <c r="C302">
        <v>2.2000000000000002</v>
      </c>
      <c r="D302">
        <v>1.7845</v>
      </c>
      <c r="E302">
        <v>2.0146999999999999</v>
      </c>
      <c r="F302">
        <v>7826715.4199999999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0.10806257521058892</v>
      </c>
      <c r="Q302">
        <f t="shared" si="965"/>
        <v>845775.02372562606</v>
      </c>
      <c r="R302">
        <f t="shared" si="966"/>
        <v>7968613.3045371184</v>
      </c>
      <c r="S302">
        <f t="shared" si="967"/>
        <v>79.686133045371179</v>
      </c>
      <c r="T302">
        <f t="shared" si="968"/>
        <v>7.9686133045371185E-2</v>
      </c>
    </row>
    <row r="303" spans="1:20" x14ac:dyDescent="0.25">
      <c r="A303" s="5">
        <v>44290</v>
      </c>
      <c r="B303">
        <v>1.617</v>
      </c>
      <c r="C303">
        <v>2.15</v>
      </c>
      <c r="D303">
        <v>1.5904</v>
      </c>
      <c r="E303">
        <v>1.8432999999999999</v>
      </c>
      <c r="F303">
        <v>10932211.41</v>
      </c>
      <c r="G303">
        <v>0</v>
      </c>
      <c r="L303" t="s">
        <v>8</v>
      </c>
      <c r="M303" t="s">
        <v>8</v>
      </c>
      <c r="N303" t="s">
        <v>8</v>
      </c>
      <c r="P303">
        <f t="shared" si="964"/>
        <v>-9.6140100071479773E-2</v>
      </c>
      <c r="Q303">
        <f t="shared" si="965"/>
        <v>-1051023.8989599729</v>
      </c>
      <c r="R303">
        <f t="shared" si="966"/>
        <v>7122838.2808114924</v>
      </c>
      <c r="S303">
        <f t="shared" si="967"/>
        <v>71.22838280811493</v>
      </c>
      <c r="T303">
        <f t="shared" si="968"/>
        <v>7.1228382808114929E-2</v>
      </c>
    </row>
    <row r="304" spans="1:20" x14ac:dyDescent="0.25">
      <c r="A304" s="5">
        <v>44289</v>
      </c>
      <c r="B304">
        <v>1.7434000000000001</v>
      </c>
      <c r="C304">
        <v>1.7999000000000001</v>
      </c>
      <c r="D304">
        <v>1.58</v>
      </c>
      <c r="E304">
        <v>1.6153999999999999</v>
      </c>
      <c r="F304">
        <v>3947315.39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-0.67803547066848679</v>
      </c>
      <c r="Q304">
        <f t="shared" si="965"/>
        <v>-2676419.8483356116</v>
      </c>
      <c r="R304">
        <f t="shared" si="966"/>
        <v>8173862.1797714652</v>
      </c>
      <c r="S304">
        <f t="shared" si="967"/>
        <v>81.738621797714657</v>
      </c>
      <c r="T304">
        <f t="shared" si="968"/>
        <v>8.1738621797714656E-2</v>
      </c>
    </row>
    <row r="305" spans="1:20" x14ac:dyDescent="0.25">
      <c r="A305" s="5">
        <v>44288</v>
      </c>
      <c r="B305">
        <v>1.7629999999999999</v>
      </c>
      <c r="C305">
        <v>1.8059000000000001</v>
      </c>
      <c r="D305">
        <v>1.6677</v>
      </c>
      <c r="E305">
        <v>1.7428999999999999</v>
      </c>
      <c r="F305">
        <v>4670428.0199999996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8.8277858176553967E-2</v>
      </c>
      <c r="Q305">
        <f t="shared" si="965"/>
        <v>412295.38237336371</v>
      </c>
      <c r="R305">
        <f t="shared" si="966"/>
        <v>10850282.028107077</v>
      </c>
      <c r="S305">
        <f t="shared" si="967"/>
        <v>108.50282028107077</v>
      </c>
      <c r="T305">
        <f t="shared" si="968"/>
        <v>0.10850282028107076</v>
      </c>
    </row>
    <row r="306" spans="1:20" x14ac:dyDescent="0.25">
      <c r="A306" s="5">
        <v>44287</v>
      </c>
      <c r="B306">
        <v>1.9131</v>
      </c>
      <c r="C306">
        <v>1.9510000000000001</v>
      </c>
      <c r="D306">
        <v>1.7128000000000001</v>
      </c>
      <c r="E306">
        <v>1.7592000000000001</v>
      </c>
      <c r="F306">
        <v>4774361.13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-0.61041141897565065</v>
      </c>
      <c r="Q306">
        <f t="shared" si="965"/>
        <v>-2914324.5520654907</v>
      </c>
      <c r="R306">
        <f t="shared" si="966"/>
        <v>10437986.645733714</v>
      </c>
      <c r="S306">
        <f t="shared" si="967"/>
        <v>104.37986645733714</v>
      </c>
      <c r="T306">
        <f t="shared" si="968"/>
        <v>0.10437986645733714</v>
      </c>
    </row>
    <row r="307" spans="1:20" x14ac:dyDescent="0.25">
      <c r="A307" s="5">
        <v>44286</v>
      </c>
      <c r="B307">
        <v>1.9045000000000001</v>
      </c>
      <c r="C307">
        <v>1.9652000000000001</v>
      </c>
      <c r="D307">
        <v>1.6946000000000001</v>
      </c>
      <c r="E307">
        <v>1.9123000000000001</v>
      </c>
      <c r="F307">
        <v>10442279.09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0.60901699926090203</v>
      </c>
      <c r="Q307">
        <f t="shared" si="965"/>
        <v>6359525.4768366627</v>
      </c>
      <c r="R307">
        <f t="shared" si="966"/>
        <v>13352311.197799206</v>
      </c>
      <c r="S307">
        <f t="shared" si="967"/>
        <v>133.52311197799204</v>
      </c>
      <c r="T307">
        <f t="shared" si="968"/>
        <v>0.13352311197799205</v>
      </c>
    </row>
    <row r="308" spans="1:20" x14ac:dyDescent="0.25">
      <c r="A308" s="5">
        <v>44285</v>
      </c>
      <c r="B308">
        <v>1.87</v>
      </c>
      <c r="C308">
        <v>2.2999999999999998</v>
      </c>
      <c r="D308">
        <v>1.74</v>
      </c>
      <c r="E308">
        <v>1.9037999999999999</v>
      </c>
      <c r="F308">
        <v>42648709.509999998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-0.41500000000000004</v>
      </c>
      <c r="Q308">
        <f t="shared" si="965"/>
        <v>-17699214.446650002</v>
      </c>
      <c r="R308">
        <f t="shared" si="966"/>
        <v>6992785.720962543</v>
      </c>
      <c r="S308">
        <f t="shared" si="967"/>
        <v>69.927857209625429</v>
      </c>
      <c r="T308">
        <f t="shared" si="968"/>
        <v>6.9927857209625424E-2</v>
      </c>
    </row>
    <row r="309" spans="1:20" x14ac:dyDescent="0.25">
      <c r="A309" s="5">
        <v>44284</v>
      </c>
      <c r="B309">
        <v>1.3313999999999999</v>
      </c>
      <c r="C309">
        <v>1.9149</v>
      </c>
      <c r="D309">
        <v>1.3082</v>
      </c>
      <c r="E309">
        <v>1.8701000000000001</v>
      </c>
      <c r="F309">
        <v>23075712.690000001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0.85231580682380104</v>
      </c>
      <c r="Q309">
        <f t="shared" si="965"/>
        <v>19667794.679411575</v>
      </c>
      <c r="R309">
        <f t="shared" si="966"/>
        <v>24692000.167612545</v>
      </c>
      <c r="S309">
        <f t="shared" si="967"/>
        <v>246.92000167612545</v>
      </c>
      <c r="T309">
        <f t="shared" si="968"/>
        <v>0.24692000167612546</v>
      </c>
    </row>
    <row r="310" spans="1:20" x14ac:dyDescent="0.25">
      <c r="A310" s="5">
        <v>44283</v>
      </c>
      <c r="B310">
        <v>1.2673000000000001</v>
      </c>
      <c r="C310">
        <v>1.4288000000000001</v>
      </c>
      <c r="D310">
        <v>1.2578</v>
      </c>
      <c r="E310">
        <v>1.3313999999999999</v>
      </c>
      <c r="F310">
        <v>7928030.8300000001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-0.13918128654970913</v>
      </c>
      <c r="Q310">
        <f t="shared" si="965"/>
        <v>-1103433.5307251583</v>
      </c>
      <c r="R310">
        <f t="shared" si="966"/>
        <v>5024205.4882009681</v>
      </c>
      <c r="S310">
        <f t="shared" si="967"/>
        <v>50.242054882009683</v>
      </c>
      <c r="T310">
        <f t="shared" si="968"/>
        <v>5.0242054882009682E-2</v>
      </c>
    </row>
    <row r="311" spans="1:20" x14ac:dyDescent="0.25">
      <c r="A311" s="5">
        <v>44282</v>
      </c>
      <c r="B311">
        <v>1.2464</v>
      </c>
      <c r="C311">
        <v>1.3</v>
      </c>
      <c r="D311">
        <v>1.1919999999999999</v>
      </c>
      <c r="E311">
        <v>1.2641</v>
      </c>
      <c r="F311">
        <v>3700132.82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0.33518518518518498</v>
      </c>
      <c r="Q311">
        <f t="shared" si="965"/>
        <v>1240229.7044814806</v>
      </c>
      <c r="R311">
        <f t="shared" si="966"/>
        <v>6127639.018926126</v>
      </c>
      <c r="S311">
        <f t="shared" si="967"/>
        <v>61.276390189261257</v>
      </c>
      <c r="T311">
        <f t="shared" si="968"/>
        <v>6.1276390189261259E-2</v>
      </c>
    </row>
    <row r="312" spans="1:20" x14ac:dyDescent="0.25">
      <c r="A312" s="5">
        <v>44281</v>
      </c>
      <c r="B312">
        <v>1.0962000000000001</v>
      </c>
      <c r="C312">
        <v>1.31</v>
      </c>
      <c r="D312">
        <v>1.0962000000000001</v>
      </c>
      <c r="E312">
        <v>1.2464</v>
      </c>
      <c r="F312">
        <v>4911171.21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0.40505144995322634</v>
      </c>
      <c r="Q312">
        <f t="shared" si="965"/>
        <v>1989277.0195790411</v>
      </c>
      <c r="R312">
        <f t="shared" si="966"/>
        <v>4887409.3144446453</v>
      </c>
      <c r="S312">
        <f t="shared" si="967"/>
        <v>48.874093144446455</v>
      </c>
      <c r="T312">
        <f t="shared" si="968"/>
        <v>4.8874093144446455E-2</v>
      </c>
    </row>
    <row r="313" spans="1:20" x14ac:dyDescent="0.25">
      <c r="A313" s="5">
        <v>44280</v>
      </c>
      <c r="B313">
        <v>1.159</v>
      </c>
      <c r="C313">
        <v>1.2056</v>
      </c>
      <c r="D313">
        <v>1.0529999999999999</v>
      </c>
      <c r="E313">
        <v>1.097</v>
      </c>
      <c r="F313">
        <v>4766056.32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-0.42332896461336805</v>
      </c>
      <c r="Q313">
        <f t="shared" si="965"/>
        <v>-2017609.6872345994</v>
      </c>
      <c r="R313">
        <f t="shared" si="966"/>
        <v>2898132.2948656045</v>
      </c>
      <c r="S313">
        <f t="shared" si="967"/>
        <v>28.981322948656047</v>
      </c>
      <c r="T313">
        <f t="shared" si="968"/>
        <v>2.8981322948656046E-2</v>
      </c>
    </row>
    <row r="314" spans="1:20" x14ac:dyDescent="0.25">
      <c r="A314" s="5">
        <v>44279</v>
      </c>
      <c r="B314">
        <v>1.1656</v>
      </c>
      <c r="C314">
        <v>1.3260000000000001</v>
      </c>
      <c r="D314">
        <v>1.0732999999999999</v>
      </c>
      <c r="E314">
        <v>1.1589</v>
      </c>
      <c r="F314">
        <v>7070119.79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-0.32251681836169316</v>
      </c>
      <c r="Q314">
        <f t="shared" si="965"/>
        <v>-2280232.5401068423</v>
      </c>
      <c r="R314">
        <f t="shared" si="966"/>
        <v>4915741.9821002036</v>
      </c>
      <c r="S314">
        <f t="shared" si="967"/>
        <v>49.157419821002037</v>
      </c>
      <c r="T314">
        <f t="shared" si="968"/>
        <v>4.9157419821002038E-2</v>
      </c>
    </row>
    <row r="315" spans="1:20" x14ac:dyDescent="0.25">
      <c r="A315" s="5">
        <v>44278</v>
      </c>
      <c r="B315">
        <v>1.1740999999999999</v>
      </c>
      <c r="C315">
        <v>1.2072000000000001</v>
      </c>
      <c r="D315">
        <v>1.1101000000000001</v>
      </c>
      <c r="E315">
        <v>1.1657</v>
      </c>
      <c r="F315">
        <v>3471031.44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0.14521112255406576</v>
      </c>
      <c r="Q315">
        <f t="shared" si="965"/>
        <v>504032.37182285538</v>
      </c>
      <c r="R315">
        <f t="shared" si="966"/>
        <v>7195974.5222070459</v>
      </c>
      <c r="S315">
        <f t="shared" si="967"/>
        <v>71.959745222070453</v>
      </c>
      <c r="T315">
        <f t="shared" si="968"/>
        <v>7.1959745222070451E-2</v>
      </c>
    </row>
    <row r="316" spans="1:20" x14ac:dyDescent="0.25">
      <c r="A316" s="5">
        <v>44277</v>
      </c>
      <c r="B316">
        <v>1.2698</v>
      </c>
      <c r="C316">
        <v>1.32</v>
      </c>
      <c r="D316">
        <v>1.1599999999999999</v>
      </c>
      <c r="E316">
        <v>1.1794</v>
      </c>
      <c r="F316">
        <v>4219035.51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-0.75749999999999917</v>
      </c>
      <c r="Q316">
        <f t="shared" si="965"/>
        <v>-3195919.3988249963</v>
      </c>
      <c r="R316">
        <f t="shared" si="966"/>
        <v>6691942.1503841905</v>
      </c>
      <c r="S316">
        <f t="shared" si="967"/>
        <v>66.919421503841903</v>
      </c>
      <c r="T316">
        <f t="shared" si="968"/>
        <v>6.6919421503841905E-2</v>
      </c>
    </row>
    <row r="317" spans="1:20" x14ac:dyDescent="0.25">
      <c r="A317" s="5">
        <v>44276</v>
      </c>
      <c r="B317">
        <v>1.2257</v>
      </c>
      <c r="C317">
        <v>1.2938000000000001</v>
      </c>
      <c r="D317">
        <v>1.1850000000000001</v>
      </c>
      <c r="E317">
        <v>1.2732000000000001</v>
      </c>
      <c r="F317">
        <v>3250413.51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0.62132352941176561</v>
      </c>
      <c r="Q317">
        <f t="shared" si="965"/>
        <v>2019558.3940808852</v>
      </c>
      <c r="R317">
        <f t="shared" si="966"/>
        <v>9887861.5492091868</v>
      </c>
      <c r="S317">
        <f t="shared" si="967"/>
        <v>98.878615492091868</v>
      </c>
      <c r="T317">
        <f t="shared" si="968"/>
        <v>9.887861549209187E-2</v>
      </c>
    </row>
    <row r="318" spans="1:20" x14ac:dyDescent="0.25">
      <c r="A318" s="5">
        <v>44275</v>
      </c>
      <c r="B318">
        <v>1.3030999999999999</v>
      </c>
      <c r="C318">
        <v>1.3223</v>
      </c>
      <c r="D318">
        <v>1.2182999999999999</v>
      </c>
      <c r="E318">
        <v>1.2262</v>
      </c>
      <c r="F318">
        <v>4737004.1100000003</v>
      </c>
      <c r="G318">
        <v>0</v>
      </c>
      <c r="L318" t="s">
        <v>7</v>
      </c>
      <c r="M318" t="s">
        <v>7</v>
      </c>
      <c r="N318" t="s">
        <v>8</v>
      </c>
      <c r="P318">
        <f t="shared" si="964"/>
        <v>-0.84807692307692284</v>
      </c>
      <c r="Q318">
        <f t="shared" si="965"/>
        <v>-4017343.8702115375</v>
      </c>
      <c r="R318">
        <f t="shared" si="966"/>
        <v>7868303.1551283021</v>
      </c>
      <c r="S318">
        <f t="shared" si="967"/>
        <v>78.683031551283023</v>
      </c>
      <c r="T318">
        <f t="shared" si="968"/>
        <v>7.868303155128302E-2</v>
      </c>
    </row>
    <row r="319" spans="1:20" x14ac:dyDescent="0.25">
      <c r="A319" s="5">
        <v>44274</v>
      </c>
      <c r="B319">
        <v>1.2856000000000001</v>
      </c>
      <c r="C319">
        <v>1.3549</v>
      </c>
      <c r="D319">
        <v>1.2517</v>
      </c>
      <c r="E319">
        <v>1.2983</v>
      </c>
      <c r="F319">
        <v>5242362.9400000004</v>
      </c>
      <c r="G319">
        <v>0</v>
      </c>
      <c r="L319" t="s">
        <v>7</v>
      </c>
      <c r="M319" t="s">
        <v>7</v>
      </c>
      <c r="N319" t="s">
        <v>8</v>
      </c>
      <c r="P319">
        <f t="shared" si="964"/>
        <v>-9.6899224806201681E-2</v>
      </c>
      <c r="Q319">
        <f t="shared" si="965"/>
        <v>-507980.90503876039</v>
      </c>
      <c r="R319">
        <f t="shared" si="966"/>
        <v>11885647.02533984</v>
      </c>
      <c r="S319">
        <f t="shared" si="967"/>
        <v>118.8564702533984</v>
      </c>
      <c r="T319">
        <f t="shared" si="968"/>
        <v>0.11885647025339841</v>
      </c>
    </row>
    <row r="320" spans="1:20" x14ac:dyDescent="0.25">
      <c r="A320" s="5">
        <v>44273</v>
      </c>
      <c r="B320">
        <v>1.3920999999999999</v>
      </c>
      <c r="C320">
        <v>1.4552</v>
      </c>
      <c r="D320">
        <v>1.2733000000000001</v>
      </c>
      <c r="E320">
        <v>1.2857000000000001</v>
      </c>
      <c r="F320">
        <v>5802634.5999999996</v>
      </c>
      <c r="G320">
        <v>0</v>
      </c>
      <c r="L320" t="s">
        <v>7</v>
      </c>
      <c r="M320" t="s">
        <v>7</v>
      </c>
      <c r="N320" t="s">
        <v>8</v>
      </c>
      <c r="P320">
        <f t="shared" si="964"/>
        <v>-0.86366135239142416</v>
      </c>
      <c r="Q320">
        <f t="shared" si="965"/>
        <v>-5011511.2460692702</v>
      </c>
      <c r="R320">
        <f t="shared" si="966"/>
        <v>12393627.930378601</v>
      </c>
      <c r="S320">
        <f t="shared" si="967"/>
        <v>123.93627930378601</v>
      </c>
      <c r="T320">
        <f t="shared" si="968"/>
        <v>0.12393627930378601</v>
      </c>
    </row>
    <row r="321" spans="1:20" x14ac:dyDescent="0.25">
      <c r="A321" s="5">
        <v>44272</v>
      </c>
      <c r="B321">
        <v>1.3606</v>
      </c>
      <c r="C321">
        <v>1.5714999999999999</v>
      </c>
      <c r="D321">
        <v>1.3052999999999999</v>
      </c>
      <c r="E321">
        <v>1.3920999999999999</v>
      </c>
      <c r="F321">
        <v>11087901.07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-0.34785875281743056</v>
      </c>
      <c r="Q321">
        <f t="shared" si="965"/>
        <v>-3857023.4375732541</v>
      </c>
      <c r="R321">
        <f t="shared" si="966"/>
        <v>17405139.176447872</v>
      </c>
      <c r="S321">
        <f t="shared" si="967"/>
        <v>174.05139176447872</v>
      </c>
      <c r="T321">
        <f t="shared" si="968"/>
        <v>0.17405139176447873</v>
      </c>
    </row>
    <row r="322" spans="1:20" x14ac:dyDescent="0.25">
      <c r="A322" s="5">
        <v>44271</v>
      </c>
      <c r="B322">
        <v>1.2741</v>
      </c>
      <c r="C322">
        <v>1.6752</v>
      </c>
      <c r="D322">
        <v>1.1579999999999999</v>
      </c>
      <c r="E322">
        <v>1.3651</v>
      </c>
      <c r="F322">
        <v>22756599.440000001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-0.19914926527455523</v>
      </c>
      <c r="Q322">
        <f t="shared" si="965"/>
        <v>-4531960.0586233549</v>
      </c>
      <c r="R322">
        <f t="shared" si="966"/>
        <v>21262162.614021126</v>
      </c>
      <c r="S322">
        <f t="shared" si="967"/>
        <v>212.62162614021125</v>
      </c>
      <c r="T322">
        <f t="shared" si="968"/>
        <v>0.21262162614021124</v>
      </c>
    </row>
    <row r="323" spans="1:20" x14ac:dyDescent="0.25">
      <c r="A323" s="5">
        <v>44270</v>
      </c>
      <c r="B323">
        <v>1.0447</v>
      </c>
      <c r="C323">
        <v>1.37</v>
      </c>
      <c r="D323">
        <v>0.97260000000000002</v>
      </c>
      <c r="E323">
        <v>1.2741</v>
      </c>
      <c r="F323">
        <v>13707873.279999999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0.51736285858077469</v>
      </c>
      <c r="Q323">
        <f t="shared" si="965"/>
        <v>7091944.5052038198</v>
      </c>
      <c r="R323">
        <f t="shared" si="966"/>
        <v>25794122.672644481</v>
      </c>
      <c r="S323">
        <f t="shared" si="967"/>
        <v>257.94122672644482</v>
      </c>
      <c r="T323">
        <f t="shared" si="968"/>
        <v>0.25794122672644482</v>
      </c>
    </row>
    <row r="324" spans="1:20" x14ac:dyDescent="0.25">
      <c r="A324" s="5">
        <v>44269</v>
      </c>
      <c r="B324">
        <v>1.1574</v>
      </c>
      <c r="C324">
        <v>1.1878</v>
      </c>
      <c r="D324">
        <v>1.0363</v>
      </c>
      <c r="E324">
        <v>1.0448999999999999</v>
      </c>
      <c r="F324">
        <v>5303896.1900000004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-0.88646864686468718</v>
      </c>
      <c r="Q324">
        <f t="shared" si="965"/>
        <v>-4701737.6786600705</v>
      </c>
      <c r="R324">
        <f t="shared" si="966"/>
        <v>18702178.16744066</v>
      </c>
      <c r="S324">
        <f t="shared" si="967"/>
        <v>187.02178167440661</v>
      </c>
      <c r="T324">
        <f t="shared" si="968"/>
        <v>0.18702178167440661</v>
      </c>
    </row>
    <row r="325" spans="1:20" x14ac:dyDescent="0.25">
      <c r="A325" s="5">
        <v>44268</v>
      </c>
      <c r="B325">
        <v>0.99550000000000005</v>
      </c>
      <c r="C325">
        <v>1.198</v>
      </c>
      <c r="D325">
        <v>0.97009999999999996</v>
      </c>
      <c r="E325">
        <v>1.1501999999999999</v>
      </c>
      <c r="F325">
        <v>10280077.109999999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0.58051777095217139</v>
      </c>
      <c r="Q325">
        <f t="shared" si="965"/>
        <v>5967767.44911364</v>
      </c>
      <c r="R325">
        <f t="shared" si="966"/>
        <v>23403915.846100729</v>
      </c>
      <c r="S325">
        <f t="shared" si="967"/>
        <v>234.03915846100728</v>
      </c>
      <c r="T325">
        <f t="shared" si="968"/>
        <v>0.23403915846100729</v>
      </c>
    </row>
    <row r="326" spans="1:20" x14ac:dyDescent="0.25">
      <c r="A326" s="5">
        <v>44267</v>
      </c>
      <c r="B326">
        <v>0.90949999999999998</v>
      </c>
      <c r="C326">
        <v>1.0478000000000001</v>
      </c>
      <c r="D326">
        <v>0.88070000000000004</v>
      </c>
      <c r="E326">
        <v>0.99239999999999995</v>
      </c>
      <c r="F326">
        <v>6911243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0.33692399760622255</v>
      </c>
      <c r="Q326">
        <f t="shared" ref="Q326:Q389" si="970">F326*P326</f>
        <v>2328563.6199880224</v>
      </c>
      <c r="R326">
        <f t="shared" ref="R326:R389" si="971">R327+Q326</f>
        <v>17436148.396987088</v>
      </c>
      <c r="S326">
        <f t="shared" ref="S326:S389" si="972">R326/100000</f>
        <v>174.36148396987087</v>
      </c>
      <c r="T326">
        <f t="shared" ref="T326:T389" si="973">S326/1000</f>
        <v>0.17436148396987086</v>
      </c>
    </row>
    <row r="327" spans="1:20" x14ac:dyDescent="0.25">
      <c r="A327" s="5">
        <v>44266</v>
      </c>
      <c r="B327">
        <v>0.91400000000000003</v>
      </c>
      <c r="C327">
        <v>0.92600000000000005</v>
      </c>
      <c r="D327">
        <v>0.84909999999999997</v>
      </c>
      <c r="E327">
        <v>0.9093</v>
      </c>
      <c r="F327">
        <v>3413967.97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0.56566970091027224</v>
      </c>
      <c r="Q327">
        <f t="shared" si="970"/>
        <v>1931178.2405071494</v>
      </c>
      <c r="R327">
        <f t="shared" si="971"/>
        <v>15107584.776999066</v>
      </c>
      <c r="S327">
        <f t="shared" si="972"/>
        <v>151.07584776999065</v>
      </c>
      <c r="T327">
        <f t="shared" si="973"/>
        <v>0.15107584776999064</v>
      </c>
    </row>
    <row r="328" spans="1:20" x14ac:dyDescent="0.25">
      <c r="A328" s="5">
        <v>44265</v>
      </c>
      <c r="B328">
        <v>0.92969999999999997</v>
      </c>
      <c r="C328">
        <v>0.9677</v>
      </c>
      <c r="D328">
        <v>0.8669</v>
      </c>
      <c r="E328">
        <v>0.90959999999999996</v>
      </c>
      <c r="F328">
        <v>4546910.66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-0.15277777777777857</v>
      </c>
      <c r="Q328">
        <f t="shared" si="970"/>
        <v>-694666.90638889256</v>
      </c>
      <c r="R328">
        <f t="shared" si="971"/>
        <v>13176406.536491916</v>
      </c>
      <c r="S328">
        <f t="shared" si="972"/>
        <v>131.76406536491916</v>
      </c>
      <c r="T328">
        <f t="shared" si="973"/>
        <v>0.13176406536491916</v>
      </c>
    </row>
    <row r="329" spans="1:20" x14ac:dyDescent="0.25">
      <c r="A329" s="5">
        <v>44264</v>
      </c>
      <c r="B329">
        <v>0.85780000000000001</v>
      </c>
      <c r="C329">
        <v>0.93389999999999995</v>
      </c>
      <c r="D329">
        <v>0.84109999999999996</v>
      </c>
      <c r="E329">
        <v>0.92759999999999998</v>
      </c>
      <c r="F329">
        <v>5087138.92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0.86422413793103503</v>
      </c>
      <c r="Q329">
        <f t="shared" si="970"/>
        <v>4396428.2476724163</v>
      </c>
      <c r="R329">
        <f t="shared" si="971"/>
        <v>13871073.442880807</v>
      </c>
      <c r="S329">
        <f t="shared" si="972"/>
        <v>138.71073442880808</v>
      </c>
      <c r="T329">
        <f t="shared" si="973"/>
        <v>0.13871073442880807</v>
      </c>
    </row>
    <row r="330" spans="1:20" x14ac:dyDescent="0.25">
      <c r="A330" s="5">
        <v>44263</v>
      </c>
      <c r="B330">
        <v>0.86140000000000005</v>
      </c>
      <c r="C330">
        <v>0.87649999999999995</v>
      </c>
      <c r="D330">
        <v>0.82599999999999996</v>
      </c>
      <c r="E330">
        <v>0.85370000000000001</v>
      </c>
      <c r="F330">
        <v>2758123.54</v>
      </c>
      <c r="G330">
        <v>0</v>
      </c>
      <c r="L330" t="s">
        <v>7</v>
      </c>
      <c r="M330" t="s">
        <v>8</v>
      </c>
      <c r="N330" t="s">
        <v>8</v>
      </c>
      <c r="P330">
        <f t="shared" si="969"/>
        <v>9.7029702970299558E-2</v>
      </c>
      <c r="Q330">
        <f t="shared" si="970"/>
        <v>267619.90784159116</v>
      </c>
      <c r="R330">
        <f t="shared" si="971"/>
        <v>9474645.1952083912</v>
      </c>
      <c r="S330">
        <f t="shared" si="972"/>
        <v>94.746451952083916</v>
      </c>
      <c r="T330">
        <f t="shared" si="973"/>
        <v>9.4746451952083921E-2</v>
      </c>
    </row>
    <row r="331" spans="1:20" x14ac:dyDescent="0.25">
      <c r="A331" s="5">
        <v>44262</v>
      </c>
      <c r="B331">
        <v>0.85</v>
      </c>
      <c r="C331">
        <v>0.94879999999999998</v>
      </c>
      <c r="D331">
        <v>0.83460000000000001</v>
      </c>
      <c r="E331">
        <v>0.86209999999999998</v>
      </c>
      <c r="F331">
        <v>5255257.91</v>
      </c>
      <c r="G331">
        <v>0</v>
      </c>
      <c r="L331" t="s">
        <v>8</v>
      </c>
      <c r="M331" t="s">
        <v>8</v>
      </c>
      <c r="N331" t="s">
        <v>8</v>
      </c>
      <c r="P331">
        <f t="shared" si="969"/>
        <v>-0.51838879159369566</v>
      </c>
      <c r="Q331">
        <f t="shared" si="970"/>
        <v>-2724266.7974781105</v>
      </c>
      <c r="R331">
        <f t="shared" si="971"/>
        <v>9207025.2873668</v>
      </c>
      <c r="S331">
        <f t="shared" si="972"/>
        <v>92.070252873667997</v>
      </c>
      <c r="T331">
        <f t="shared" si="973"/>
        <v>9.207025287366799E-2</v>
      </c>
    </row>
    <row r="332" spans="1:20" x14ac:dyDescent="0.25">
      <c r="A332" s="5">
        <v>44261</v>
      </c>
      <c r="B332">
        <v>0.84340000000000004</v>
      </c>
      <c r="C332">
        <v>0.86</v>
      </c>
      <c r="D332">
        <v>0.78500000000000003</v>
      </c>
      <c r="E332">
        <v>0.84899999999999998</v>
      </c>
      <c r="F332">
        <v>2857057.49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0.70666666666666622</v>
      </c>
      <c r="Q332">
        <f t="shared" si="970"/>
        <v>2018987.2929333323</v>
      </c>
      <c r="R332">
        <f t="shared" si="971"/>
        <v>11931292.084844911</v>
      </c>
      <c r="S332">
        <f t="shared" si="972"/>
        <v>119.31292084844911</v>
      </c>
      <c r="T332">
        <f t="shared" si="973"/>
        <v>0.11931292084844911</v>
      </c>
    </row>
    <row r="333" spans="1:20" x14ac:dyDescent="0.25">
      <c r="A333" s="5">
        <v>44260</v>
      </c>
      <c r="B333">
        <v>0.79610000000000003</v>
      </c>
      <c r="C333">
        <v>0.86680000000000001</v>
      </c>
      <c r="D333">
        <v>0.72499999999999998</v>
      </c>
      <c r="E333">
        <v>0.84299999999999997</v>
      </c>
      <c r="F333">
        <v>3504546.88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0.66431593794076116</v>
      </c>
      <c r="Q333">
        <f t="shared" si="970"/>
        <v>2328126.347644568</v>
      </c>
      <c r="R333">
        <f t="shared" si="971"/>
        <v>9912304.7919115797</v>
      </c>
      <c r="S333">
        <f t="shared" si="972"/>
        <v>99.123047919115791</v>
      </c>
      <c r="T333">
        <f t="shared" si="973"/>
        <v>9.9123047919115789E-2</v>
      </c>
    </row>
    <row r="334" spans="1:20" x14ac:dyDescent="0.25">
      <c r="A334" s="5">
        <v>44259</v>
      </c>
      <c r="B334">
        <v>0.83499999999999996</v>
      </c>
      <c r="C334">
        <v>0.85929999999999995</v>
      </c>
      <c r="D334">
        <v>0.76500000000000001</v>
      </c>
      <c r="E334">
        <v>0.79600000000000004</v>
      </c>
      <c r="F334">
        <v>2633876.9700000002</v>
      </c>
      <c r="G334">
        <v>0</v>
      </c>
      <c r="L334" t="s">
        <v>7</v>
      </c>
      <c r="M334" t="s">
        <v>8</v>
      </c>
      <c r="N334" t="s">
        <v>7</v>
      </c>
      <c r="P334">
        <f t="shared" si="969"/>
        <v>-0.34252386002120788</v>
      </c>
      <c r="Q334">
        <f t="shared" si="970"/>
        <v>-902165.70658536325</v>
      </c>
      <c r="R334">
        <f t="shared" si="971"/>
        <v>7584178.4442670112</v>
      </c>
      <c r="S334">
        <f t="shared" si="972"/>
        <v>75.841784442670118</v>
      </c>
      <c r="T334">
        <f t="shared" si="973"/>
        <v>7.5841784442670118E-2</v>
      </c>
    </row>
    <row r="335" spans="1:20" x14ac:dyDescent="0.25">
      <c r="A335" s="5">
        <v>44258</v>
      </c>
      <c r="B335">
        <v>0.80469999999999997</v>
      </c>
      <c r="C335">
        <v>0.89729999999999999</v>
      </c>
      <c r="D335">
        <v>0.79500000000000004</v>
      </c>
      <c r="E335">
        <v>0.83499999999999996</v>
      </c>
      <c r="F335">
        <v>3741039.44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-0.21798631476050936</v>
      </c>
      <c r="Q335">
        <f t="shared" si="970"/>
        <v>-815495.40089931968</v>
      </c>
      <c r="R335">
        <f t="shared" si="971"/>
        <v>8486344.1508523747</v>
      </c>
      <c r="S335">
        <f t="shared" si="972"/>
        <v>84.863441508523749</v>
      </c>
      <c r="T335">
        <f t="shared" si="973"/>
        <v>8.4863441508523749E-2</v>
      </c>
    </row>
    <row r="336" spans="1:20" x14ac:dyDescent="0.25">
      <c r="A336" s="5">
        <v>44257</v>
      </c>
      <c r="B336">
        <v>0.8296</v>
      </c>
      <c r="C336">
        <v>0.84009999999999996</v>
      </c>
      <c r="D336">
        <v>0.76500000000000001</v>
      </c>
      <c r="E336">
        <v>0.80369999999999997</v>
      </c>
      <c r="F336">
        <v>2950468.29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3.0625832223701337E-2</v>
      </c>
      <c r="Q336">
        <f t="shared" si="970"/>
        <v>90360.546830890977</v>
      </c>
      <c r="R336">
        <f t="shared" si="971"/>
        <v>9301839.5517516937</v>
      </c>
      <c r="S336">
        <f t="shared" si="972"/>
        <v>93.018395517516936</v>
      </c>
      <c r="T336">
        <f t="shared" si="973"/>
        <v>9.3018395517516936E-2</v>
      </c>
    </row>
    <row r="337" spans="1:20" x14ac:dyDescent="0.25">
      <c r="A337" s="5">
        <v>44256</v>
      </c>
      <c r="B337">
        <v>0.74280000000000002</v>
      </c>
      <c r="C337">
        <v>0.83499999999999996</v>
      </c>
      <c r="D337">
        <v>0.7339</v>
      </c>
      <c r="E337">
        <v>0.82950000000000002</v>
      </c>
      <c r="F337">
        <v>3493603.55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0.89119683481701384</v>
      </c>
      <c r="Q337">
        <f t="shared" si="970"/>
        <v>3113488.425865483</v>
      </c>
      <c r="R337">
        <f t="shared" si="971"/>
        <v>9211479.004920803</v>
      </c>
      <c r="S337">
        <f t="shared" si="972"/>
        <v>92.114790049208025</v>
      </c>
      <c r="T337">
        <f t="shared" si="973"/>
        <v>9.2114790049208028E-2</v>
      </c>
    </row>
    <row r="338" spans="1:20" x14ac:dyDescent="0.25">
      <c r="A338" s="5">
        <v>44255</v>
      </c>
      <c r="B338">
        <v>0.78280000000000005</v>
      </c>
      <c r="C338">
        <v>0.78959999999999997</v>
      </c>
      <c r="D338">
        <v>0.67190000000000005</v>
      </c>
      <c r="E338">
        <v>0.74280000000000002</v>
      </c>
      <c r="F338">
        <v>3367580.79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0.20475785896346668</v>
      </c>
      <c r="Q338">
        <f t="shared" si="970"/>
        <v>689538.63244689966</v>
      </c>
      <c r="R338">
        <f t="shared" si="971"/>
        <v>6097990.5790553195</v>
      </c>
      <c r="S338">
        <f t="shared" si="972"/>
        <v>60.979905790553197</v>
      </c>
      <c r="T338">
        <f t="shared" si="973"/>
        <v>6.0979905790553193E-2</v>
      </c>
    </row>
    <row r="339" spans="1:20" x14ac:dyDescent="0.25">
      <c r="A339" s="5">
        <v>44254</v>
      </c>
      <c r="B339">
        <v>0.77100000000000002</v>
      </c>
      <c r="C339">
        <v>0.83589999999999998</v>
      </c>
      <c r="D339">
        <v>0.75549999999999995</v>
      </c>
      <c r="E339">
        <v>0.78610000000000002</v>
      </c>
      <c r="F339">
        <v>2980968.41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-0.2388059701492522</v>
      </c>
      <c r="Q339">
        <f t="shared" si="970"/>
        <v>-711873.0531343238</v>
      </c>
      <c r="R339">
        <f t="shared" si="971"/>
        <v>5408451.9466084195</v>
      </c>
      <c r="S339">
        <f t="shared" si="972"/>
        <v>54.084519466084195</v>
      </c>
      <c r="T339">
        <f t="shared" si="973"/>
        <v>5.4084519466084197E-2</v>
      </c>
    </row>
    <row r="340" spans="1:20" x14ac:dyDescent="0.25">
      <c r="A340" s="5">
        <v>44253</v>
      </c>
      <c r="B340">
        <v>0.79710000000000003</v>
      </c>
      <c r="C340">
        <v>0.83189999999999997</v>
      </c>
      <c r="D340">
        <v>0.7</v>
      </c>
      <c r="E340">
        <v>0.77139999999999997</v>
      </c>
      <c r="F340">
        <v>3467135.08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8.2638362395754505E-2</v>
      </c>
      <c r="Q340">
        <f t="shared" si="970"/>
        <v>286518.36521607329</v>
      </c>
      <c r="R340">
        <f t="shared" si="971"/>
        <v>6120324.9997427436</v>
      </c>
      <c r="S340">
        <f t="shared" si="972"/>
        <v>61.203249997427434</v>
      </c>
      <c r="T340">
        <f t="shared" si="973"/>
        <v>6.1203249997427434E-2</v>
      </c>
    </row>
    <row r="341" spans="1:20" x14ac:dyDescent="0.25">
      <c r="A341" s="5">
        <v>44252</v>
      </c>
      <c r="B341">
        <v>0.83089999999999997</v>
      </c>
      <c r="C341">
        <v>0.92700000000000005</v>
      </c>
      <c r="D341">
        <v>0.78110000000000002</v>
      </c>
      <c r="E341">
        <v>0.78800000000000003</v>
      </c>
      <c r="F341">
        <v>4982287.17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-0.90541466758053435</v>
      </c>
      <c r="Q341">
        <f t="shared" si="970"/>
        <v>-4511035.8818163108</v>
      </c>
      <c r="R341">
        <f t="shared" si="971"/>
        <v>5833806.63452667</v>
      </c>
      <c r="S341">
        <f t="shared" si="972"/>
        <v>58.338066345266697</v>
      </c>
      <c r="T341">
        <f t="shared" si="973"/>
        <v>5.8338066345266698E-2</v>
      </c>
    </row>
    <row r="342" spans="1:20" x14ac:dyDescent="0.25">
      <c r="A342" s="5">
        <v>44251</v>
      </c>
      <c r="B342">
        <v>0.77329999999999999</v>
      </c>
      <c r="C342">
        <v>0.89</v>
      </c>
      <c r="D342">
        <v>0.71209999999999996</v>
      </c>
      <c r="E342">
        <v>0.83379999999999999</v>
      </c>
      <c r="F342">
        <v>5465044.2199999997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0.36818437324339504</v>
      </c>
      <c r="Q342">
        <f t="shared" si="970"/>
        <v>2012143.8808881387</v>
      </c>
      <c r="R342">
        <f t="shared" si="971"/>
        <v>10344842.516342981</v>
      </c>
      <c r="S342">
        <f t="shared" si="972"/>
        <v>103.4484251634298</v>
      </c>
      <c r="T342">
        <f t="shared" si="973"/>
        <v>0.10344842516342981</v>
      </c>
    </row>
    <row r="343" spans="1:20" x14ac:dyDescent="0.25">
      <c r="A343" s="5">
        <v>44250</v>
      </c>
      <c r="B343">
        <v>0.98</v>
      </c>
      <c r="C343">
        <v>0.98080000000000001</v>
      </c>
      <c r="D343">
        <v>0.62</v>
      </c>
      <c r="E343">
        <v>0.77</v>
      </c>
      <c r="F343">
        <v>6790468.5700000003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-0.16851441241685133</v>
      </c>
      <c r="Q343">
        <f t="shared" si="970"/>
        <v>-1144291.8211086467</v>
      </c>
      <c r="R343">
        <f t="shared" si="971"/>
        <v>8332698.6354548428</v>
      </c>
      <c r="S343">
        <f t="shared" si="972"/>
        <v>83.326986354548424</v>
      </c>
      <c r="T343">
        <f t="shared" si="973"/>
        <v>8.3326986354548424E-2</v>
      </c>
    </row>
    <row r="344" spans="1:20" x14ac:dyDescent="0.25">
      <c r="A344" s="5">
        <v>44249</v>
      </c>
      <c r="B344">
        <v>1.0221</v>
      </c>
      <c r="C344">
        <v>1.0693999999999999</v>
      </c>
      <c r="D344">
        <v>0.8</v>
      </c>
      <c r="E344">
        <v>0.98</v>
      </c>
      <c r="F344">
        <v>7282019.0899999999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0.33630289532294011</v>
      </c>
      <c r="Q344">
        <f t="shared" si="970"/>
        <v>2448964.1037639217</v>
      </c>
      <c r="R344">
        <f t="shared" si="971"/>
        <v>9476990.4565634895</v>
      </c>
      <c r="S344">
        <f t="shared" si="972"/>
        <v>94.769904565634889</v>
      </c>
      <c r="T344">
        <f t="shared" si="973"/>
        <v>9.4769904565634888E-2</v>
      </c>
    </row>
    <row r="345" spans="1:20" x14ac:dyDescent="0.25">
      <c r="A345" s="5">
        <v>44248</v>
      </c>
      <c r="B345">
        <v>1.056</v>
      </c>
      <c r="C345">
        <v>1.1000000000000001</v>
      </c>
      <c r="D345">
        <v>1.0018</v>
      </c>
      <c r="E345">
        <v>1.0202</v>
      </c>
      <c r="F345">
        <v>4051973.97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-0.62525458248472587</v>
      </c>
      <c r="Q345">
        <f t="shared" si="970"/>
        <v>-2533515.2928513275</v>
      </c>
      <c r="R345">
        <f t="shared" si="971"/>
        <v>7028026.3527995683</v>
      </c>
      <c r="S345">
        <f t="shared" si="972"/>
        <v>70.280263527995686</v>
      </c>
      <c r="T345">
        <f t="shared" si="973"/>
        <v>7.0280263527995684E-2</v>
      </c>
    </row>
    <row r="346" spans="1:20" x14ac:dyDescent="0.25">
      <c r="A346" s="5">
        <v>44247</v>
      </c>
      <c r="B346">
        <v>1.1513</v>
      </c>
      <c r="C346">
        <v>1.1529</v>
      </c>
      <c r="D346">
        <v>0.93520000000000003</v>
      </c>
      <c r="E346">
        <v>1.056</v>
      </c>
      <c r="F346">
        <v>8333752.9299999997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0.10978410656867263</v>
      </c>
      <c r="Q346">
        <f t="shared" si="970"/>
        <v>914913.61978410778</v>
      </c>
      <c r="R346">
        <f t="shared" si="971"/>
        <v>9561541.6456508953</v>
      </c>
      <c r="S346">
        <f t="shared" si="972"/>
        <v>95.615416456508953</v>
      </c>
      <c r="T346">
        <f t="shared" si="973"/>
        <v>9.561541645650895E-2</v>
      </c>
    </row>
    <row r="347" spans="1:20" x14ac:dyDescent="0.25">
      <c r="A347" s="5">
        <v>44246</v>
      </c>
      <c r="B347">
        <v>0.94279999999999997</v>
      </c>
      <c r="C347">
        <v>1.25</v>
      </c>
      <c r="D347">
        <v>0.87350000000000005</v>
      </c>
      <c r="E347">
        <v>1.1500999999999999</v>
      </c>
      <c r="F347">
        <v>10414872.140000001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0.46932270916334601</v>
      </c>
      <c r="Q347">
        <f t="shared" si="970"/>
        <v>4887936.0083346553</v>
      </c>
      <c r="R347">
        <f t="shared" si="971"/>
        <v>8646628.0258667879</v>
      </c>
      <c r="S347">
        <f t="shared" si="972"/>
        <v>86.466280258667879</v>
      </c>
      <c r="T347">
        <f t="shared" si="973"/>
        <v>8.6466280258667885E-2</v>
      </c>
    </row>
    <row r="348" spans="1:20" x14ac:dyDescent="0.25">
      <c r="A348" s="5">
        <v>44245</v>
      </c>
      <c r="B348">
        <v>0.89859999999999995</v>
      </c>
      <c r="C348">
        <v>0.94399999999999995</v>
      </c>
      <c r="D348">
        <v>0.85319999999999996</v>
      </c>
      <c r="E348">
        <v>0.93789999999999996</v>
      </c>
      <c r="F348">
        <v>4597755.41</v>
      </c>
      <c r="G348">
        <v>0</v>
      </c>
      <c r="L348" t="s">
        <v>7</v>
      </c>
      <c r="M348" t="s">
        <v>8</v>
      </c>
      <c r="N348" t="s">
        <v>8</v>
      </c>
      <c r="P348">
        <f t="shared" si="969"/>
        <v>0.86563876651982385</v>
      </c>
      <c r="Q348">
        <f t="shared" si="970"/>
        <v>3979995.3218722469</v>
      </c>
      <c r="R348">
        <f t="shared" si="971"/>
        <v>3758692.0175321321</v>
      </c>
      <c r="S348">
        <f t="shared" si="972"/>
        <v>37.586920175321318</v>
      </c>
      <c r="T348">
        <f t="shared" si="973"/>
        <v>3.7586920175321316E-2</v>
      </c>
    </row>
    <row r="349" spans="1:20" x14ac:dyDescent="0.25">
      <c r="A349" s="5">
        <v>44244</v>
      </c>
      <c r="B349">
        <v>0.78500000000000003</v>
      </c>
      <c r="C349">
        <v>0.94550000000000001</v>
      </c>
      <c r="D349">
        <v>0.73040000000000005</v>
      </c>
      <c r="E349">
        <v>0.89859999999999995</v>
      </c>
      <c r="F349">
        <v>7096270.2599999998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0.56392375639237502</v>
      </c>
      <c r="Q349">
        <f t="shared" si="970"/>
        <v>4001755.3813946955</v>
      </c>
      <c r="R349">
        <f t="shared" si="971"/>
        <v>-221303.30434011482</v>
      </c>
      <c r="S349">
        <f t="shared" si="972"/>
        <v>-2.2130330434011483</v>
      </c>
      <c r="T349">
        <f t="shared" si="973"/>
        <v>-2.2130330434011482E-3</v>
      </c>
    </row>
    <row r="350" spans="1:20" x14ac:dyDescent="0.25">
      <c r="A350" s="5">
        <v>44243</v>
      </c>
      <c r="B350">
        <v>0.82989999999999997</v>
      </c>
      <c r="C350">
        <v>0.86180000000000001</v>
      </c>
      <c r="D350">
        <v>0.73939999999999995</v>
      </c>
      <c r="E350">
        <v>0.78380000000000005</v>
      </c>
      <c r="F350">
        <v>5799464.3499999996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-0.27450980392156726</v>
      </c>
      <c r="Q350">
        <f t="shared" si="970"/>
        <v>-1592009.8215686195</v>
      </c>
      <c r="R350">
        <f t="shared" si="971"/>
        <v>-4223058.6857348103</v>
      </c>
      <c r="S350">
        <f t="shared" si="972"/>
        <v>-42.230586857348101</v>
      </c>
      <c r="T350">
        <f t="shared" si="973"/>
        <v>-4.2230586857348103E-2</v>
      </c>
    </row>
    <row r="351" spans="1:20" x14ac:dyDescent="0.25">
      <c r="A351" s="5">
        <v>44242</v>
      </c>
      <c r="B351">
        <v>0.87</v>
      </c>
      <c r="C351">
        <v>0.90990000000000004</v>
      </c>
      <c r="D351">
        <v>0.72299999999999998</v>
      </c>
      <c r="E351">
        <v>0.82989999999999997</v>
      </c>
      <c r="F351">
        <v>5108597.29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0.1439272338148738</v>
      </c>
      <c r="Q351">
        <f t="shared" si="970"/>
        <v>735266.27662386058</v>
      </c>
      <c r="R351">
        <f t="shared" si="971"/>
        <v>-2631048.8641661908</v>
      </c>
      <c r="S351">
        <f t="shared" si="972"/>
        <v>-26.310488641661909</v>
      </c>
      <c r="T351">
        <f t="shared" si="973"/>
        <v>-2.6310488641661908E-2</v>
      </c>
    </row>
    <row r="352" spans="1:20" x14ac:dyDescent="0.25">
      <c r="A352" s="5">
        <v>44241</v>
      </c>
      <c r="B352">
        <v>0.93989999999999996</v>
      </c>
      <c r="C352">
        <v>1</v>
      </c>
      <c r="D352">
        <v>0.78</v>
      </c>
      <c r="E352">
        <v>0.87009999999999998</v>
      </c>
      <c r="F352">
        <v>8251432.2400000002</v>
      </c>
      <c r="G352">
        <v>0</v>
      </c>
      <c r="L352" t="s">
        <v>8</v>
      </c>
      <c r="M352" t="s">
        <v>7</v>
      </c>
      <c r="N352" t="s">
        <v>8</v>
      </c>
      <c r="P352">
        <f t="shared" si="969"/>
        <v>-0.18090909090909119</v>
      </c>
      <c r="Q352">
        <f t="shared" si="970"/>
        <v>-1492759.1052363659</v>
      </c>
      <c r="R352">
        <f t="shared" si="971"/>
        <v>-3366315.1407900513</v>
      </c>
      <c r="S352">
        <f t="shared" si="972"/>
        <v>-33.663151407900514</v>
      </c>
      <c r="T352">
        <f t="shared" si="973"/>
        <v>-3.3663151407900514E-2</v>
      </c>
    </row>
    <row r="353" spans="1:20" x14ac:dyDescent="0.25">
      <c r="A353" s="5">
        <v>44240</v>
      </c>
      <c r="B353">
        <v>0.81389999999999996</v>
      </c>
      <c r="C353">
        <v>0.97499999999999998</v>
      </c>
      <c r="D353">
        <v>0.77</v>
      </c>
      <c r="E353">
        <v>0.93500000000000005</v>
      </c>
      <c r="F353">
        <v>9399075.3599999994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0.60975609756097626</v>
      </c>
      <c r="Q353">
        <f t="shared" si="970"/>
        <v>5731143.512195128</v>
      </c>
      <c r="R353">
        <f t="shared" si="971"/>
        <v>-1873556.0355536854</v>
      </c>
      <c r="S353">
        <f t="shared" si="972"/>
        <v>-18.735560355536855</v>
      </c>
      <c r="T353">
        <f t="shared" si="973"/>
        <v>-1.8735560355536855E-2</v>
      </c>
    </row>
    <row r="354" spans="1:20" x14ac:dyDescent="0.25">
      <c r="A354" s="5">
        <v>44239</v>
      </c>
      <c r="B354">
        <v>0.78620000000000001</v>
      </c>
      <c r="C354">
        <v>0.83720000000000006</v>
      </c>
      <c r="D354">
        <v>0.74209999999999998</v>
      </c>
      <c r="E354">
        <v>0.81499999999999995</v>
      </c>
      <c r="F354">
        <v>5381441.4100000001</v>
      </c>
      <c r="G354">
        <v>0</v>
      </c>
      <c r="L354" t="s">
        <v>7</v>
      </c>
      <c r="M354" t="s">
        <v>7</v>
      </c>
      <c r="N354" t="s">
        <v>8</v>
      </c>
      <c r="P354">
        <f t="shared" si="969"/>
        <v>0.53312302839116532</v>
      </c>
      <c r="Q354">
        <f t="shared" si="970"/>
        <v>2868970.3416088228</v>
      </c>
      <c r="R354">
        <f t="shared" si="971"/>
        <v>-7604699.5477488134</v>
      </c>
      <c r="S354">
        <f t="shared" si="972"/>
        <v>-76.046995477488139</v>
      </c>
      <c r="T354">
        <f t="shared" si="973"/>
        <v>-7.6046995477488138E-2</v>
      </c>
    </row>
    <row r="355" spans="1:20" x14ac:dyDescent="0.25">
      <c r="A355" s="5">
        <v>44238</v>
      </c>
      <c r="B355">
        <v>0.70179999999999998</v>
      </c>
      <c r="C355">
        <v>0.9</v>
      </c>
      <c r="D355">
        <v>0.68899999999999995</v>
      </c>
      <c r="E355">
        <v>0.78539999999999999</v>
      </c>
      <c r="F355">
        <v>10724148.25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-8.6255924170616061E-2</v>
      </c>
      <c r="Q355">
        <f t="shared" si="970"/>
        <v>-925021.31824644492</v>
      </c>
      <c r="R355">
        <f t="shared" si="971"/>
        <v>-10473669.889357636</v>
      </c>
      <c r="S355">
        <f t="shared" si="972"/>
        <v>-104.73669889357636</v>
      </c>
      <c r="T355">
        <f t="shared" si="973"/>
        <v>-0.10473669889357635</v>
      </c>
    </row>
    <row r="356" spans="1:20" x14ac:dyDescent="0.25">
      <c r="A356" s="5">
        <v>44237</v>
      </c>
      <c r="B356">
        <v>0.63109999999999999</v>
      </c>
      <c r="C356">
        <v>0.74629999999999996</v>
      </c>
      <c r="D356">
        <v>0.55400000000000005</v>
      </c>
      <c r="E356">
        <v>0.70050000000000001</v>
      </c>
      <c r="F356">
        <v>9498428.9499999993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0.52366094643785777</v>
      </c>
      <c r="Q356">
        <f t="shared" si="970"/>
        <v>4973956.2936297469</v>
      </c>
      <c r="R356">
        <f t="shared" si="971"/>
        <v>-9548648.5711111911</v>
      </c>
      <c r="S356">
        <f t="shared" si="972"/>
        <v>-95.486485711111911</v>
      </c>
      <c r="T356">
        <f t="shared" si="973"/>
        <v>-9.5486485711111915E-2</v>
      </c>
    </row>
    <row r="357" spans="1:20" x14ac:dyDescent="0.25">
      <c r="A357" s="5">
        <v>44236</v>
      </c>
      <c r="B357">
        <v>0.49780000000000002</v>
      </c>
      <c r="C357">
        <v>0.67600000000000005</v>
      </c>
      <c r="D357">
        <v>0.48870000000000002</v>
      </c>
      <c r="E357">
        <v>0.63109999999999999</v>
      </c>
      <c r="F357">
        <v>10546605.890000001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0.52055525894287191</v>
      </c>
      <c r="Q357">
        <f t="shared" si="970"/>
        <v>5490091.1600373685</v>
      </c>
      <c r="R357">
        <f t="shared" si="971"/>
        <v>-14522604.864740938</v>
      </c>
      <c r="S357">
        <f t="shared" si="972"/>
        <v>-145.22604864740939</v>
      </c>
      <c r="T357">
        <f t="shared" si="973"/>
        <v>-0.14522604864740937</v>
      </c>
    </row>
    <row r="358" spans="1:20" x14ac:dyDescent="0.25">
      <c r="A358" s="5">
        <v>44235</v>
      </c>
      <c r="B358">
        <v>0.45910000000000001</v>
      </c>
      <c r="C358">
        <v>0.52459999999999996</v>
      </c>
      <c r="D358">
        <v>0.45040000000000002</v>
      </c>
      <c r="E358">
        <v>0.49640000000000001</v>
      </c>
      <c r="F358">
        <v>5111482.28</v>
      </c>
      <c r="G358">
        <v>0</v>
      </c>
      <c r="L358" t="s">
        <v>8</v>
      </c>
      <c r="M358" t="s">
        <v>7</v>
      </c>
      <c r="N358" t="s">
        <v>8</v>
      </c>
      <c r="P358">
        <f t="shared" si="969"/>
        <v>0.23989218328841044</v>
      </c>
      <c r="Q358">
        <f t="shared" si="970"/>
        <v>1226204.6439892221</v>
      </c>
      <c r="R358">
        <f t="shared" si="971"/>
        <v>-20012696.024778306</v>
      </c>
      <c r="S358">
        <f t="shared" si="972"/>
        <v>-200.12696024778307</v>
      </c>
      <c r="T358">
        <f t="shared" si="973"/>
        <v>-0.20012696024778306</v>
      </c>
    </row>
    <row r="359" spans="1:20" x14ac:dyDescent="0.25">
      <c r="A359" s="5">
        <v>44234</v>
      </c>
      <c r="B359">
        <v>0.49080000000000001</v>
      </c>
      <c r="C359">
        <v>0.49980000000000002</v>
      </c>
      <c r="D359">
        <v>0.43730000000000002</v>
      </c>
      <c r="E359">
        <v>0.45839999999999997</v>
      </c>
      <c r="F359">
        <v>3342265.69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-0.32480000000000153</v>
      </c>
      <c r="Q359">
        <f t="shared" si="970"/>
        <v>-1085567.896112005</v>
      </c>
      <c r="R359">
        <f t="shared" si="971"/>
        <v>-21238900.668767527</v>
      </c>
      <c r="S359">
        <f t="shared" si="972"/>
        <v>-212.38900668767528</v>
      </c>
      <c r="T359">
        <f t="shared" si="973"/>
        <v>-0.21238900668767527</v>
      </c>
    </row>
    <row r="360" spans="1:20" x14ac:dyDescent="0.25">
      <c r="A360" s="5">
        <v>44233</v>
      </c>
      <c r="B360">
        <v>0.52159999999999995</v>
      </c>
      <c r="C360">
        <v>0.53</v>
      </c>
      <c r="D360">
        <v>0.47</v>
      </c>
      <c r="E360">
        <v>0.49080000000000001</v>
      </c>
      <c r="F360">
        <v>3685593.24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-0.30666666666666592</v>
      </c>
      <c r="Q360">
        <f t="shared" si="970"/>
        <v>-1130248.5935999972</v>
      </c>
      <c r="R360">
        <f t="shared" si="971"/>
        <v>-20153332.772655521</v>
      </c>
      <c r="S360">
        <f t="shared" si="972"/>
        <v>-201.5333277265552</v>
      </c>
      <c r="T360">
        <f t="shared" si="973"/>
        <v>-0.20153332772655519</v>
      </c>
    </row>
    <row r="361" spans="1:20" x14ac:dyDescent="0.25">
      <c r="A361" s="5">
        <v>44232</v>
      </c>
      <c r="B361">
        <v>0.48209999999999997</v>
      </c>
      <c r="C361">
        <v>0.55789999999999995</v>
      </c>
      <c r="D361">
        <v>0.48099999999999998</v>
      </c>
      <c r="E361">
        <v>0.52300000000000002</v>
      </c>
      <c r="F361">
        <v>6069701.6399999997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9.2327698309494263E-2</v>
      </c>
      <c r="Q361">
        <f t="shared" si="970"/>
        <v>560401.58184656256</v>
      </c>
      <c r="R361">
        <f t="shared" si="971"/>
        <v>-19023084.179055523</v>
      </c>
      <c r="S361">
        <f t="shared" si="972"/>
        <v>-190.23084179055522</v>
      </c>
      <c r="T361">
        <f t="shared" si="973"/>
        <v>-0.19023084179055522</v>
      </c>
    </row>
    <row r="362" spans="1:20" x14ac:dyDescent="0.25">
      <c r="A362" s="5">
        <v>44231</v>
      </c>
      <c r="B362">
        <v>0.47720000000000001</v>
      </c>
      <c r="C362">
        <v>0.49309999999999998</v>
      </c>
      <c r="D362">
        <v>0.44629999999999997</v>
      </c>
      <c r="E362">
        <v>0.48220000000000002</v>
      </c>
      <c r="F362">
        <v>4388659.42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0.53418803418803573</v>
      </c>
      <c r="Q362">
        <f t="shared" si="970"/>
        <v>2344369.348290605</v>
      </c>
      <c r="R362">
        <f t="shared" si="971"/>
        <v>-19583485.760902084</v>
      </c>
      <c r="S362">
        <f t="shared" si="972"/>
        <v>-195.83485760902084</v>
      </c>
      <c r="T362">
        <f t="shared" si="973"/>
        <v>-0.19583485760902083</v>
      </c>
    </row>
    <row r="363" spans="1:20" x14ac:dyDescent="0.25">
      <c r="A363" s="5">
        <v>44230</v>
      </c>
      <c r="B363">
        <v>0.43109999999999998</v>
      </c>
      <c r="C363">
        <v>0.47770000000000001</v>
      </c>
      <c r="D363">
        <v>0.42730000000000001</v>
      </c>
      <c r="E363">
        <v>0.47589999999999999</v>
      </c>
      <c r="F363">
        <v>3063632.1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0.9285714285714276</v>
      </c>
      <c r="Q363">
        <f t="shared" si="970"/>
        <v>2844801.2357142828</v>
      </c>
      <c r="R363">
        <f t="shared" si="971"/>
        <v>-21927855.109192688</v>
      </c>
      <c r="S363">
        <f t="shared" si="972"/>
        <v>-219.27855109192689</v>
      </c>
      <c r="T363">
        <f t="shared" si="973"/>
        <v>-0.2192785510919269</v>
      </c>
    </row>
    <row r="364" spans="1:20" x14ac:dyDescent="0.25">
      <c r="A364" s="5">
        <v>44229</v>
      </c>
      <c r="B364">
        <v>0.4345</v>
      </c>
      <c r="C364">
        <v>0.4395</v>
      </c>
      <c r="D364">
        <v>0.41370000000000001</v>
      </c>
      <c r="E364">
        <v>0.43120000000000003</v>
      </c>
      <c r="F364">
        <v>2197818.59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0.35658914728682345</v>
      </c>
      <c r="Q364">
        <f t="shared" si="970"/>
        <v>783718.25689922855</v>
      </c>
      <c r="R364">
        <f t="shared" si="971"/>
        <v>-24772656.344906971</v>
      </c>
      <c r="S364">
        <f t="shared" si="972"/>
        <v>-247.72656344906972</v>
      </c>
      <c r="T364">
        <f t="shared" si="973"/>
        <v>-0.24772656344906971</v>
      </c>
    </row>
    <row r="365" spans="1:20" x14ac:dyDescent="0.25">
      <c r="A365" s="5">
        <v>44228</v>
      </c>
      <c r="B365">
        <v>0.4133</v>
      </c>
      <c r="C365">
        <v>0.44</v>
      </c>
      <c r="D365">
        <v>0.3972</v>
      </c>
      <c r="E365">
        <v>0.43530000000000002</v>
      </c>
      <c r="F365">
        <v>4552063.45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0.78037383177570185</v>
      </c>
      <c r="Q365">
        <f t="shared" si="970"/>
        <v>3552311.1969626211</v>
      </c>
      <c r="R365">
        <f t="shared" si="971"/>
        <v>-25556374.601806201</v>
      </c>
      <c r="S365">
        <f t="shared" si="972"/>
        <v>-255.56374601806201</v>
      </c>
      <c r="T365">
        <f t="shared" si="973"/>
        <v>-0.25556374601806203</v>
      </c>
    </row>
    <row r="366" spans="1:20" x14ac:dyDescent="0.25">
      <c r="A366" s="5">
        <v>44227</v>
      </c>
      <c r="B366">
        <v>0.40289999999999998</v>
      </c>
      <c r="C366">
        <v>0.41839999999999999</v>
      </c>
      <c r="D366">
        <v>0.38400000000000001</v>
      </c>
      <c r="E366">
        <v>0.41560000000000002</v>
      </c>
      <c r="F366">
        <v>2540496.63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0.8372093023255831</v>
      </c>
      <c r="Q366">
        <f t="shared" si="970"/>
        <v>2126927.411162795</v>
      </c>
      <c r="R366">
        <f t="shared" si="971"/>
        <v>-29108685.798768822</v>
      </c>
      <c r="S366">
        <f t="shared" si="972"/>
        <v>-291.08685798768823</v>
      </c>
      <c r="T366">
        <f t="shared" si="973"/>
        <v>-0.29108685798768824</v>
      </c>
    </row>
    <row r="367" spans="1:20" x14ac:dyDescent="0.25">
      <c r="A367" s="5">
        <v>44226</v>
      </c>
      <c r="B367">
        <v>0.38030000000000003</v>
      </c>
      <c r="C367">
        <v>0.45</v>
      </c>
      <c r="D367">
        <v>0.374</v>
      </c>
      <c r="E367">
        <v>0.40289999999999998</v>
      </c>
      <c r="F367">
        <v>4431199.0599999996</v>
      </c>
      <c r="G367">
        <v>0</v>
      </c>
      <c r="L367" t="s">
        <v>8</v>
      </c>
      <c r="M367" t="s">
        <v>8</v>
      </c>
      <c r="N367" t="s">
        <v>7</v>
      </c>
      <c r="P367">
        <f t="shared" si="969"/>
        <v>-0.23947368421052692</v>
      </c>
      <c r="Q367">
        <f t="shared" si="970"/>
        <v>-1061155.5643684235</v>
      </c>
      <c r="R367">
        <f t="shared" si="971"/>
        <v>-31235613.209931616</v>
      </c>
      <c r="S367">
        <f t="shared" si="972"/>
        <v>-312.35613209931614</v>
      </c>
      <c r="T367">
        <f t="shared" si="973"/>
        <v>-0.31235613209931612</v>
      </c>
    </row>
    <row r="368" spans="1:20" x14ac:dyDescent="0.25">
      <c r="A368" s="5">
        <v>44225</v>
      </c>
      <c r="B368">
        <v>0.3795</v>
      </c>
      <c r="C368">
        <v>0.39879999999999999</v>
      </c>
      <c r="D368">
        <v>0.36659999999999998</v>
      </c>
      <c r="E368">
        <v>0.38</v>
      </c>
      <c r="F368">
        <v>3111898.47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-0.167701863354036</v>
      </c>
      <c r="Q368">
        <f t="shared" si="970"/>
        <v>-521871.17198757373</v>
      </c>
      <c r="R368">
        <f t="shared" si="971"/>
        <v>-30174457.645563193</v>
      </c>
      <c r="S368">
        <f t="shared" si="972"/>
        <v>-301.74457645563194</v>
      </c>
      <c r="T368">
        <f t="shared" si="973"/>
        <v>-0.30174457645563196</v>
      </c>
    </row>
    <row r="369" spans="1:20" x14ac:dyDescent="0.25">
      <c r="A369" s="5">
        <v>44224</v>
      </c>
      <c r="B369">
        <v>0.38450000000000001</v>
      </c>
      <c r="C369">
        <v>0.39679999999999999</v>
      </c>
      <c r="D369">
        <v>0.37030000000000002</v>
      </c>
      <c r="E369">
        <v>0.38100000000000001</v>
      </c>
      <c r="F369">
        <v>2227374.42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-0.19245283018867923</v>
      </c>
      <c r="Q369">
        <f t="shared" si="970"/>
        <v>-428664.5110188679</v>
      </c>
      <c r="R369">
        <f t="shared" si="971"/>
        <v>-29652586.473575618</v>
      </c>
      <c r="S369">
        <f t="shared" si="972"/>
        <v>-296.52586473575616</v>
      </c>
      <c r="T369">
        <f t="shared" si="973"/>
        <v>-0.29652586473575615</v>
      </c>
    </row>
    <row r="370" spans="1:20" x14ac:dyDescent="0.25">
      <c r="A370" s="5">
        <v>44223</v>
      </c>
      <c r="B370">
        <v>0.40610000000000002</v>
      </c>
      <c r="C370">
        <v>0.40760000000000002</v>
      </c>
      <c r="D370">
        <v>0.36580000000000001</v>
      </c>
      <c r="E370">
        <v>0.3851</v>
      </c>
      <c r="F370">
        <v>2511280.54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-7.6555023923445834E-2</v>
      </c>
      <c r="Q370">
        <f t="shared" si="970"/>
        <v>-192251.14181818397</v>
      </c>
      <c r="R370">
        <f t="shared" si="971"/>
        <v>-29223921.96255675</v>
      </c>
      <c r="S370">
        <f t="shared" si="972"/>
        <v>-292.2392196255675</v>
      </c>
      <c r="T370">
        <f t="shared" si="973"/>
        <v>-0.29223921962556748</v>
      </c>
    </row>
    <row r="371" spans="1:20" x14ac:dyDescent="0.25">
      <c r="A371" s="5">
        <v>44222</v>
      </c>
      <c r="B371">
        <v>0.42830000000000001</v>
      </c>
      <c r="C371">
        <v>0.43869999999999998</v>
      </c>
      <c r="D371">
        <v>0.376</v>
      </c>
      <c r="E371">
        <v>0.40579999999999999</v>
      </c>
      <c r="F371">
        <v>2910371.36</v>
      </c>
      <c r="G371">
        <v>0</v>
      </c>
      <c r="L371" t="s">
        <v>7</v>
      </c>
      <c r="M371" t="s">
        <v>7</v>
      </c>
      <c r="N371" t="s">
        <v>7</v>
      </c>
      <c r="P371">
        <f t="shared" si="969"/>
        <v>-4.9441786283891433E-2</v>
      </c>
      <c r="Q371">
        <f t="shared" si="970"/>
        <v>-143893.95878787845</v>
      </c>
      <c r="R371">
        <f t="shared" si="971"/>
        <v>-29031670.820738565</v>
      </c>
      <c r="S371">
        <f t="shared" si="972"/>
        <v>-290.31670820738566</v>
      </c>
      <c r="T371">
        <f t="shared" si="973"/>
        <v>-0.29031670820738564</v>
      </c>
    </row>
    <row r="372" spans="1:20" x14ac:dyDescent="0.25">
      <c r="A372" s="5">
        <v>44221</v>
      </c>
      <c r="B372">
        <v>0.39989999999999998</v>
      </c>
      <c r="C372">
        <v>0.43790000000000001</v>
      </c>
      <c r="D372">
        <v>0.39829999999999999</v>
      </c>
      <c r="E372">
        <v>0.42749999999999999</v>
      </c>
      <c r="F372">
        <v>3609971.97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0.47474747474747403</v>
      </c>
      <c r="Q372">
        <f t="shared" si="970"/>
        <v>1713825.0766666641</v>
      </c>
      <c r="R372">
        <f t="shared" si="971"/>
        <v>-28887776.861950688</v>
      </c>
      <c r="S372">
        <f t="shared" si="972"/>
        <v>-288.87776861950687</v>
      </c>
      <c r="T372">
        <f t="shared" si="973"/>
        <v>-0.28887776861950687</v>
      </c>
    </row>
    <row r="373" spans="1:20" x14ac:dyDescent="0.25">
      <c r="A373" s="5">
        <v>44220</v>
      </c>
      <c r="B373">
        <v>0.38519999999999999</v>
      </c>
      <c r="C373">
        <v>0.4113</v>
      </c>
      <c r="D373">
        <v>0.38</v>
      </c>
      <c r="E373">
        <v>0.39960000000000001</v>
      </c>
      <c r="F373">
        <v>2243130.84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0.25239616613418592</v>
      </c>
      <c r="Q373">
        <f t="shared" si="970"/>
        <v>566157.62415335595</v>
      </c>
      <c r="R373">
        <f t="shared" si="971"/>
        <v>-30601601.938617352</v>
      </c>
      <c r="S373">
        <f t="shared" si="972"/>
        <v>-306.01601938617353</v>
      </c>
      <c r="T373">
        <f t="shared" si="973"/>
        <v>-0.30601601938617351</v>
      </c>
    </row>
    <row r="374" spans="1:20" x14ac:dyDescent="0.25">
      <c r="A374" s="5">
        <v>44219</v>
      </c>
      <c r="B374">
        <v>0.3906</v>
      </c>
      <c r="C374">
        <v>0.39989999999999998</v>
      </c>
      <c r="D374">
        <v>0.37440000000000001</v>
      </c>
      <c r="E374">
        <v>0.3851</v>
      </c>
      <c r="F374">
        <v>2245624.08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-0.16078431372549012</v>
      </c>
      <c r="Q374">
        <f t="shared" si="970"/>
        <v>-361061.12658823514</v>
      </c>
      <c r="R374">
        <f t="shared" si="971"/>
        <v>-31167759.562770709</v>
      </c>
      <c r="S374">
        <f t="shared" si="972"/>
        <v>-311.67759562770709</v>
      </c>
      <c r="T374">
        <f t="shared" si="973"/>
        <v>-0.31167759562770708</v>
      </c>
    </row>
    <row r="375" spans="1:20" x14ac:dyDescent="0.25">
      <c r="A375" s="5">
        <v>44218</v>
      </c>
      <c r="B375">
        <v>0.38950000000000001</v>
      </c>
      <c r="C375">
        <v>0.40400000000000003</v>
      </c>
      <c r="D375">
        <v>0.34300000000000003</v>
      </c>
      <c r="E375">
        <v>0.39040000000000002</v>
      </c>
      <c r="F375">
        <v>2749030.26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0.5540983606557377</v>
      </c>
      <c r="Q375">
        <f t="shared" si="970"/>
        <v>1523233.1604590162</v>
      </c>
      <c r="R375">
        <f t="shared" si="971"/>
        <v>-30806698.436182473</v>
      </c>
      <c r="S375">
        <f t="shared" si="972"/>
        <v>-308.06698436182472</v>
      </c>
      <c r="T375">
        <f t="shared" si="973"/>
        <v>-0.30806698436182473</v>
      </c>
    </row>
    <row r="376" spans="1:20" x14ac:dyDescent="0.25">
      <c r="A376" s="5">
        <v>44217</v>
      </c>
      <c r="B376">
        <v>0.42649999999999999</v>
      </c>
      <c r="C376">
        <v>0.43140000000000001</v>
      </c>
      <c r="D376">
        <v>0.36830000000000002</v>
      </c>
      <c r="E376">
        <v>0.38950000000000001</v>
      </c>
      <c r="F376">
        <v>28396973.899999999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-0.32805071315372425</v>
      </c>
      <c r="Q376">
        <f t="shared" si="970"/>
        <v>-9315647.5393026937</v>
      </c>
      <c r="R376">
        <f t="shared" si="971"/>
        <v>-32329931.596641488</v>
      </c>
      <c r="S376">
        <f t="shared" si="972"/>
        <v>-323.29931596641489</v>
      </c>
      <c r="T376">
        <f t="shared" si="973"/>
        <v>-0.32329931596641487</v>
      </c>
    </row>
    <row r="377" spans="1:20" x14ac:dyDescent="0.25">
      <c r="A377" s="5">
        <v>44216</v>
      </c>
      <c r="B377">
        <v>0.41499999999999998</v>
      </c>
      <c r="C377">
        <v>0.48199999999999998</v>
      </c>
      <c r="D377">
        <v>0.38650000000000001</v>
      </c>
      <c r="E377">
        <v>0.42620000000000002</v>
      </c>
      <c r="F377">
        <v>14367338.42</v>
      </c>
      <c r="G377">
        <v>0</v>
      </c>
      <c r="L377" t="s">
        <v>8</v>
      </c>
      <c r="M377" t="s">
        <v>8</v>
      </c>
      <c r="N377" t="s">
        <v>8</v>
      </c>
      <c r="P377">
        <f t="shared" si="969"/>
        <v>-0.16858638743455448</v>
      </c>
      <c r="Q377">
        <f t="shared" si="970"/>
        <v>-2422137.68127748</v>
      </c>
      <c r="R377">
        <f t="shared" si="971"/>
        <v>-23014284.057338797</v>
      </c>
      <c r="S377">
        <f t="shared" si="972"/>
        <v>-230.14284057338796</v>
      </c>
      <c r="T377">
        <f t="shared" si="973"/>
        <v>-0.23014284057338796</v>
      </c>
    </row>
    <row r="378" spans="1:20" x14ac:dyDescent="0.25">
      <c r="A378" s="5">
        <v>44215</v>
      </c>
      <c r="B378">
        <v>0.40139999999999998</v>
      </c>
      <c r="C378">
        <v>0.45390000000000003</v>
      </c>
      <c r="D378">
        <v>0.38059999999999999</v>
      </c>
      <c r="E378">
        <v>0.41499999999999998</v>
      </c>
      <c r="F378">
        <v>5964580.8600000003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-6.1391541609823429E-2</v>
      </c>
      <c r="Q378">
        <f t="shared" si="970"/>
        <v>-366174.81405184645</v>
      </c>
      <c r="R378">
        <f t="shared" si="971"/>
        <v>-20592146.376061317</v>
      </c>
      <c r="S378">
        <f t="shared" si="972"/>
        <v>-205.92146376061316</v>
      </c>
      <c r="T378">
        <f t="shared" si="973"/>
        <v>-0.20592146376061315</v>
      </c>
    </row>
    <row r="379" spans="1:20" x14ac:dyDescent="0.25">
      <c r="A379" s="5">
        <v>44214</v>
      </c>
      <c r="B379">
        <v>0.38929999999999998</v>
      </c>
      <c r="C379">
        <v>0.40500000000000003</v>
      </c>
      <c r="D379">
        <v>0.36249999999999999</v>
      </c>
      <c r="E379">
        <v>0.40060000000000001</v>
      </c>
      <c r="F379">
        <v>3084376.61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0.79294117647058771</v>
      </c>
      <c r="Q379">
        <f t="shared" si="970"/>
        <v>2445729.2178117628</v>
      </c>
      <c r="R379">
        <f t="shared" si="971"/>
        <v>-20225971.562009469</v>
      </c>
      <c r="S379">
        <f t="shared" si="972"/>
        <v>-202.25971562009468</v>
      </c>
      <c r="T379">
        <f t="shared" si="973"/>
        <v>-0.20225971562009468</v>
      </c>
    </row>
    <row r="380" spans="1:20" x14ac:dyDescent="0.25">
      <c r="A380" s="5">
        <v>44213</v>
      </c>
      <c r="B380">
        <v>0.35220000000000001</v>
      </c>
      <c r="C380">
        <v>0.40649999999999997</v>
      </c>
      <c r="D380">
        <v>0.33500000000000002</v>
      </c>
      <c r="E380">
        <v>0.3891</v>
      </c>
      <c r="F380">
        <v>4443529.34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0.51328671328671382</v>
      </c>
      <c r="Q380">
        <f t="shared" si="970"/>
        <v>2280804.5703216805</v>
      </c>
      <c r="R380">
        <f t="shared" si="971"/>
        <v>-22671700.779821232</v>
      </c>
      <c r="S380">
        <f t="shared" si="972"/>
        <v>-226.71700779821231</v>
      </c>
      <c r="T380">
        <f t="shared" si="973"/>
        <v>-0.2267170077982123</v>
      </c>
    </row>
    <row r="381" spans="1:20" x14ac:dyDescent="0.25">
      <c r="A381" s="5">
        <v>44212</v>
      </c>
      <c r="B381">
        <v>0.34460000000000002</v>
      </c>
      <c r="C381">
        <v>0.38469999999999999</v>
      </c>
      <c r="D381">
        <v>0.34279999999999999</v>
      </c>
      <c r="E381">
        <v>0.35210000000000002</v>
      </c>
      <c r="F381">
        <v>3811042.64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-0.55608591885441372</v>
      </c>
      <c r="Q381">
        <f t="shared" si="970"/>
        <v>-2119267.1482577506</v>
      </c>
      <c r="R381">
        <f t="shared" si="971"/>
        <v>-24952505.350142911</v>
      </c>
      <c r="S381">
        <f t="shared" si="972"/>
        <v>-249.52505350142911</v>
      </c>
      <c r="T381">
        <f t="shared" si="973"/>
        <v>-0.24952505350142912</v>
      </c>
    </row>
    <row r="382" spans="1:20" x14ac:dyDescent="0.25">
      <c r="A382" s="5">
        <v>44211</v>
      </c>
      <c r="B382">
        <v>0.34110000000000001</v>
      </c>
      <c r="C382">
        <v>0.35470000000000002</v>
      </c>
      <c r="D382">
        <v>0.32540000000000002</v>
      </c>
      <c r="E382">
        <v>0.34460000000000002</v>
      </c>
      <c r="F382">
        <v>2778719.69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0.31058020477815695</v>
      </c>
      <c r="Q382">
        <f t="shared" si="970"/>
        <v>863015.33034129674</v>
      </c>
      <c r="R382">
        <f t="shared" si="971"/>
        <v>-22833238.20188516</v>
      </c>
      <c r="S382">
        <f t="shared" si="972"/>
        <v>-228.3323820188516</v>
      </c>
      <c r="T382">
        <f t="shared" si="973"/>
        <v>-0.22833238201885162</v>
      </c>
    </row>
    <row r="383" spans="1:20" x14ac:dyDescent="0.25">
      <c r="A383" s="5">
        <v>44210</v>
      </c>
      <c r="B383">
        <v>0.33400000000000002</v>
      </c>
      <c r="C383">
        <v>0.35310000000000002</v>
      </c>
      <c r="D383">
        <v>0.32779999999999998</v>
      </c>
      <c r="E383">
        <v>0.3412</v>
      </c>
      <c r="F383">
        <v>1707321.07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5.9288537549407064E-2</v>
      </c>
      <c r="Q383">
        <f t="shared" si="970"/>
        <v>101224.56936758885</v>
      </c>
      <c r="R383">
        <f t="shared" si="971"/>
        <v>-23696253.532226458</v>
      </c>
      <c r="S383">
        <f t="shared" si="972"/>
        <v>-236.96253532226459</v>
      </c>
      <c r="T383">
        <f t="shared" si="973"/>
        <v>-0.23696253532226458</v>
      </c>
    </row>
    <row r="384" spans="1:20" x14ac:dyDescent="0.25">
      <c r="A384" s="5">
        <v>44209</v>
      </c>
      <c r="B384">
        <v>0.31869999999999998</v>
      </c>
      <c r="C384">
        <v>0.3483</v>
      </c>
      <c r="D384">
        <v>0.31</v>
      </c>
      <c r="E384">
        <v>0.33400000000000002</v>
      </c>
      <c r="F384">
        <v>1857382.17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0.25326370757180267</v>
      </c>
      <c r="Q384">
        <f t="shared" si="970"/>
        <v>470407.49475196027</v>
      </c>
      <c r="R384">
        <f t="shared" si="971"/>
        <v>-23797478.101594046</v>
      </c>
      <c r="S384">
        <f t="shared" si="972"/>
        <v>-237.97478101594047</v>
      </c>
      <c r="T384">
        <f t="shared" si="973"/>
        <v>-0.23797478101594047</v>
      </c>
    </row>
    <row r="385" spans="1:20" x14ac:dyDescent="0.25">
      <c r="A385" s="5">
        <v>44208</v>
      </c>
      <c r="B385">
        <v>0.3412</v>
      </c>
      <c r="C385">
        <v>0.35399999999999998</v>
      </c>
      <c r="D385">
        <v>0.312</v>
      </c>
      <c r="E385">
        <v>0.32</v>
      </c>
      <c r="F385">
        <v>3029004.86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-0.61904761904761851</v>
      </c>
      <c r="Q385">
        <f t="shared" si="970"/>
        <v>-1875098.246666665</v>
      </c>
      <c r="R385">
        <f t="shared" si="971"/>
        <v>-24267885.596346006</v>
      </c>
      <c r="S385">
        <f t="shared" si="972"/>
        <v>-242.67885596346005</v>
      </c>
      <c r="T385">
        <f t="shared" si="973"/>
        <v>-0.24267885596346006</v>
      </c>
    </row>
    <row r="386" spans="1:20" x14ac:dyDescent="0.25">
      <c r="A386" s="5">
        <v>44207</v>
      </c>
      <c r="B386">
        <v>0.39090000000000003</v>
      </c>
      <c r="C386">
        <v>0.39100000000000001</v>
      </c>
      <c r="D386">
        <v>0.3</v>
      </c>
      <c r="E386">
        <v>0.34229999999999999</v>
      </c>
      <c r="F386">
        <v>3448233.51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-7.0329670329670496E-2</v>
      </c>
      <c r="Q386">
        <f t="shared" si="970"/>
        <v>-242513.12597802252</v>
      </c>
      <c r="R386">
        <f t="shared" si="971"/>
        <v>-22392787.34967934</v>
      </c>
      <c r="S386">
        <f t="shared" si="972"/>
        <v>-223.92787349679341</v>
      </c>
      <c r="T386">
        <f t="shared" si="973"/>
        <v>-0.22392787349679341</v>
      </c>
    </row>
    <row r="387" spans="1:20" x14ac:dyDescent="0.25">
      <c r="A387" s="5">
        <v>44206</v>
      </c>
      <c r="B387">
        <v>0.3876</v>
      </c>
      <c r="C387">
        <v>0.42730000000000001</v>
      </c>
      <c r="D387">
        <v>0.3377</v>
      </c>
      <c r="E387">
        <v>0.38900000000000001</v>
      </c>
      <c r="F387">
        <v>5779061.7199999997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0.14508928571428581</v>
      </c>
      <c r="Q387">
        <f t="shared" si="970"/>
        <v>838479.93705357192</v>
      </c>
      <c r="R387">
        <f t="shared" si="971"/>
        <v>-22150274.223701317</v>
      </c>
      <c r="S387">
        <f t="shared" si="972"/>
        <v>-221.50274223701317</v>
      </c>
      <c r="T387">
        <f t="shared" si="973"/>
        <v>-0.22150274223701316</v>
      </c>
    </row>
    <row r="388" spans="1:20" x14ac:dyDescent="0.25">
      <c r="A388" s="5">
        <v>44205</v>
      </c>
      <c r="B388">
        <v>0.34360000000000002</v>
      </c>
      <c r="C388">
        <v>0.435</v>
      </c>
      <c r="D388">
        <v>0.33400000000000002</v>
      </c>
      <c r="E388">
        <v>0.38650000000000001</v>
      </c>
      <c r="F388">
        <v>7583103.8600000003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3.9603960396039646E-2</v>
      </c>
      <c r="Q388">
        <f t="shared" si="970"/>
        <v>300320.94495049538</v>
      </c>
      <c r="R388">
        <f t="shared" si="971"/>
        <v>-22988754.160754889</v>
      </c>
      <c r="S388">
        <f t="shared" si="972"/>
        <v>-229.88754160754888</v>
      </c>
      <c r="T388">
        <f t="shared" si="973"/>
        <v>-0.22988754160754887</v>
      </c>
    </row>
    <row r="389" spans="1:20" x14ac:dyDescent="0.25">
      <c r="A389" s="5">
        <v>44204</v>
      </c>
      <c r="B389">
        <v>0.36320000000000002</v>
      </c>
      <c r="C389">
        <v>0.3735</v>
      </c>
      <c r="D389">
        <v>0.32529999999999998</v>
      </c>
      <c r="E389">
        <v>0.34360000000000002</v>
      </c>
      <c r="F389">
        <v>3261418.73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-0.24066390041493649</v>
      </c>
      <c r="Q389">
        <f t="shared" si="970"/>
        <v>-784905.75244812865</v>
      </c>
      <c r="R389">
        <f t="shared" si="971"/>
        <v>-23289075.105705384</v>
      </c>
      <c r="S389">
        <f t="shared" si="972"/>
        <v>-232.89075105705385</v>
      </c>
      <c r="T389">
        <f t="shared" si="973"/>
        <v>-0.23289075105705384</v>
      </c>
    </row>
    <row r="390" spans="1:20" x14ac:dyDescent="0.25">
      <c r="A390" s="5">
        <v>44203</v>
      </c>
      <c r="B390">
        <v>0.33379999999999999</v>
      </c>
      <c r="C390">
        <v>0.39300000000000002</v>
      </c>
      <c r="D390">
        <v>0.32679999999999998</v>
      </c>
      <c r="E390">
        <v>0.36370000000000002</v>
      </c>
      <c r="F390">
        <v>6250857.4000000004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0.11480362537764421</v>
      </c>
      <c r="Q390">
        <f t="shared" ref="Q390:Q453" si="975">F390*P390</f>
        <v>717621.09123867517</v>
      </c>
      <c r="R390">
        <f t="shared" ref="R390:R453" si="976">R391+Q390</f>
        <v>-22504169.353257254</v>
      </c>
      <c r="S390">
        <f t="shared" ref="S390:S453" si="977">R390/100000</f>
        <v>-225.04169353257254</v>
      </c>
      <c r="T390">
        <f t="shared" ref="T390:T453" si="978">S390/1000</f>
        <v>-0.22504169353257253</v>
      </c>
    </row>
    <row r="391" spans="1:20" x14ac:dyDescent="0.25">
      <c r="A391" s="5">
        <v>44202</v>
      </c>
      <c r="B391">
        <v>0.31709999999999999</v>
      </c>
      <c r="C391">
        <v>0.3513</v>
      </c>
      <c r="D391">
        <v>0.30669999999999997</v>
      </c>
      <c r="E391">
        <v>0.33329999999999999</v>
      </c>
      <c r="F391">
        <v>4532848.45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0.19282511210762313</v>
      </c>
      <c r="Q391">
        <f t="shared" si="975"/>
        <v>874047.01053811575</v>
      </c>
      <c r="R391">
        <f t="shared" si="976"/>
        <v>-23221790.444495928</v>
      </c>
      <c r="S391">
        <f t="shared" si="977"/>
        <v>-232.21790444495929</v>
      </c>
      <c r="T391">
        <f t="shared" si="978"/>
        <v>-0.23221790444495929</v>
      </c>
    </row>
    <row r="392" spans="1:20" x14ac:dyDescent="0.25">
      <c r="A392" s="5">
        <v>44201</v>
      </c>
      <c r="B392">
        <v>0.30859999999999999</v>
      </c>
      <c r="C392">
        <v>0.33300000000000002</v>
      </c>
      <c r="D392">
        <v>0.29470000000000002</v>
      </c>
      <c r="E392">
        <v>0.31730000000000003</v>
      </c>
      <c r="F392">
        <v>3467977.06</v>
      </c>
      <c r="G392">
        <v>0</v>
      </c>
      <c r="L392" t="s">
        <v>8</v>
      </c>
      <c r="M392" t="s">
        <v>7</v>
      </c>
      <c r="N392" t="s">
        <v>8</v>
      </c>
      <c r="P392">
        <f t="shared" si="974"/>
        <v>0.18015665796344693</v>
      </c>
      <c r="Q392">
        <f t="shared" si="975"/>
        <v>624779.1570235003</v>
      </c>
      <c r="R392">
        <f t="shared" si="976"/>
        <v>-24095837.455034044</v>
      </c>
      <c r="S392">
        <f t="shared" si="977"/>
        <v>-240.95837455034044</v>
      </c>
      <c r="T392">
        <f t="shared" si="978"/>
        <v>-0.24095837455034044</v>
      </c>
    </row>
    <row r="393" spans="1:20" x14ac:dyDescent="0.25">
      <c r="A393" s="5">
        <v>44200</v>
      </c>
      <c r="B393">
        <v>0.30830000000000002</v>
      </c>
      <c r="C393">
        <v>0.33989999999999998</v>
      </c>
      <c r="D393">
        <v>0.2908</v>
      </c>
      <c r="E393">
        <v>0.30769999999999997</v>
      </c>
      <c r="F393">
        <v>3369863.8</v>
      </c>
      <c r="G393">
        <v>0</v>
      </c>
      <c r="L393" t="s">
        <v>7</v>
      </c>
      <c r="M393" t="s">
        <v>7</v>
      </c>
      <c r="N393" t="s">
        <v>8</v>
      </c>
      <c r="P393">
        <f t="shared" si="974"/>
        <v>-0.31160896130346322</v>
      </c>
      <c r="Q393">
        <f t="shared" si="975"/>
        <v>-1050079.7584521414</v>
      </c>
      <c r="R393">
        <f t="shared" si="976"/>
        <v>-24720616.612057544</v>
      </c>
      <c r="S393">
        <f t="shared" si="977"/>
        <v>-247.20616612057543</v>
      </c>
      <c r="T393">
        <f t="shared" si="978"/>
        <v>-0.24720616612057544</v>
      </c>
    </row>
    <row r="394" spans="1:20" x14ac:dyDescent="0.25">
      <c r="A394" s="5">
        <v>44199</v>
      </c>
      <c r="B394">
        <v>0.30270000000000002</v>
      </c>
      <c r="C394">
        <v>0.31440000000000001</v>
      </c>
      <c r="D394">
        <v>0.29499999999999998</v>
      </c>
      <c r="E394">
        <v>0.308</v>
      </c>
      <c r="F394">
        <v>2444561.36</v>
      </c>
      <c r="G394">
        <v>0</v>
      </c>
      <c r="L394" t="s">
        <v>7</v>
      </c>
      <c r="M394" t="s">
        <v>7</v>
      </c>
      <c r="N394" t="s">
        <v>8</v>
      </c>
      <c r="P394">
        <f t="shared" si="974"/>
        <v>0.34020618556700954</v>
      </c>
      <c r="Q394">
        <f t="shared" si="975"/>
        <v>831654.89567010116</v>
      </c>
      <c r="R394">
        <f t="shared" si="976"/>
        <v>-23670536.853605404</v>
      </c>
      <c r="S394">
        <f t="shared" si="977"/>
        <v>-236.70536853605404</v>
      </c>
      <c r="T394">
        <f t="shared" si="978"/>
        <v>-0.23670536853605403</v>
      </c>
    </row>
    <row r="395" spans="1:20" x14ac:dyDescent="0.25">
      <c r="A395" s="5">
        <v>44198</v>
      </c>
      <c r="B395">
        <v>0.31530000000000002</v>
      </c>
      <c r="C395">
        <v>0.3291</v>
      </c>
      <c r="D395">
        <v>0.29749999999999999</v>
      </c>
      <c r="E395">
        <v>0.30270000000000002</v>
      </c>
      <c r="F395">
        <v>2668611.35</v>
      </c>
      <c r="G395">
        <v>0</v>
      </c>
      <c r="L395" t="s">
        <v>7</v>
      </c>
      <c r="M395" t="s">
        <v>7</v>
      </c>
      <c r="N395" t="s">
        <v>8</v>
      </c>
      <c r="P395">
        <f t="shared" si="974"/>
        <v>-0.67088607594936489</v>
      </c>
      <c r="Q395">
        <f t="shared" si="975"/>
        <v>-1790334.1968354373</v>
      </c>
      <c r="R395">
        <f t="shared" si="976"/>
        <v>-24502191.749275506</v>
      </c>
      <c r="S395">
        <f t="shared" si="977"/>
        <v>-245.02191749275505</v>
      </c>
      <c r="T395">
        <f t="shared" si="978"/>
        <v>-0.24502191749275506</v>
      </c>
    </row>
    <row r="396" spans="1:20" x14ac:dyDescent="0.25">
      <c r="A396" s="5">
        <v>44197</v>
      </c>
      <c r="B396">
        <v>0.31130000000000002</v>
      </c>
      <c r="C396">
        <v>0.33979999999999999</v>
      </c>
      <c r="D396">
        <v>0.307</v>
      </c>
      <c r="E396">
        <v>0.31580000000000003</v>
      </c>
      <c r="F396">
        <v>1947871.77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-0.46341463414633954</v>
      </c>
      <c r="Q396">
        <f t="shared" si="975"/>
        <v>-902672.28365853289</v>
      </c>
      <c r="R396">
        <f t="shared" si="976"/>
        <v>-22711857.55244007</v>
      </c>
      <c r="S396">
        <f t="shared" si="977"/>
        <v>-227.11857552440068</v>
      </c>
      <c r="T396">
        <f t="shared" si="978"/>
        <v>-0.22711857552440068</v>
      </c>
    </row>
    <row r="397" spans="1:20" x14ac:dyDescent="0.25">
      <c r="A397" s="5">
        <v>44196</v>
      </c>
      <c r="B397">
        <v>0.3211</v>
      </c>
      <c r="C397">
        <v>0.3226</v>
      </c>
      <c r="D397">
        <v>0.30549999999999999</v>
      </c>
      <c r="E397">
        <v>0.31130000000000002</v>
      </c>
      <c r="F397">
        <v>1327012.52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-0.32163742690058178</v>
      </c>
      <c r="Q397">
        <f t="shared" si="975"/>
        <v>-426816.8923976568</v>
      </c>
      <c r="R397">
        <f t="shared" si="976"/>
        <v>-21809185.268781535</v>
      </c>
      <c r="S397">
        <f t="shared" si="977"/>
        <v>-218.09185268781536</v>
      </c>
      <c r="T397">
        <f t="shared" si="978"/>
        <v>-0.21809185268781536</v>
      </c>
    </row>
    <row r="398" spans="1:20" x14ac:dyDescent="0.25">
      <c r="A398" s="5">
        <v>44195</v>
      </c>
      <c r="B398">
        <v>0.33450000000000002</v>
      </c>
      <c r="C398">
        <v>0.33860000000000001</v>
      </c>
      <c r="D398">
        <v>0.316</v>
      </c>
      <c r="E398">
        <v>0.32119999999999999</v>
      </c>
      <c r="F398">
        <v>1522599.97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-0.53982300884955925</v>
      </c>
      <c r="Q398">
        <f t="shared" si="975"/>
        <v>-821934.49707964866</v>
      </c>
      <c r="R398">
        <f t="shared" si="976"/>
        <v>-21382368.376383878</v>
      </c>
      <c r="S398">
        <f t="shared" si="977"/>
        <v>-213.82368376383877</v>
      </c>
      <c r="T398">
        <f t="shared" si="978"/>
        <v>-0.21382368376383878</v>
      </c>
    </row>
    <row r="399" spans="1:20" x14ac:dyDescent="0.25">
      <c r="A399" s="5">
        <v>44194</v>
      </c>
      <c r="B399">
        <v>0.35930000000000001</v>
      </c>
      <c r="C399">
        <v>0.36770000000000003</v>
      </c>
      <c r="D399">
        <v>0.32150000000000001</v>
      </c>
      <c r="E399">
        <v>0.33379999999999999</v>
      </c>
      <c r="F399">
        <v>3494824.55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-0.46753246753246874</v>
      </c>
      <c r="Q399">
        <f t="shared" si="975"/>
        <v>-1633943.9454545495</v>
      </c>
      <c r="R399">
        <f t="shared" si="976"/>
        <v>-20560433.87930423</v>
      </c>
      <c r="S399">
        <f t="shared" si="977"/>
        <v>-205.6043387930423</v>
      </c>
      <c r="T399">
        <f t="shared" si="978"/>
        <v>-0.2056043387930423</v>
      </c>
    </row>
    <row r="400" spans="1:20" x14ac:dyDescent="0.25">
      <c r="A400" s="5">
        <v>44193</v>
      </c>
      <c r="B400">
        <v>0.35959999999999998</v>
      </c>
      <c r="C400">
        <v>0.39900000000000002</v>
      </c>
      <c r="D400">
        <v>0.35499999999999998</v>
      </c>
      <c r="E400">
        <v>0.36020000000000002</v>
      </c>
      <c r="F400">
        <v>2967835.15</v>
      </c>
      <c r="G400">
        <v>0</v>
      </c>
      <c r="L400" t="s">
        <v>7</v>
      </c>
      <c r="M400" t="s">
        <v>8</v>
      </c>
      <c r="N400" t="s">
        <v>8</v>
      </c>
      <c r="P400">
        <f t="shared" si="974"/>
        <v>-0.76363636363636211</v>
      </c>
      <c r="Q400">
        <f t="shared" si="975"/>
        <v>-2266346.8418181771</v>
      </c>
      <c r="R400">
        <f t="shared" si="976"/>
        <v>-18926489.933849681</v>
      </c>
      <c r="S400">
        <f t="shared" si="977"/>
        <v>-189.2648993384968</v>
      </c>
      <c r="T400">
        <f t="shared" si="978"/>
        <v>-0.1892648993384968</v>
      </c>
    </row>
    <row r="401" spans="1:20" x14ac:dyDescent="0.25">
      <c r="A401" s="5">
        <v>44192</v>
      </c>
      <c r="B401">
        <v>0.32329999999999998</v>
      </c>
      <c r="C401">
        <v>0.4</v>
      </c>
      <c r="D401">
        <v>0.32050000000000001</v>
      </c>
      <c r="E401">
        <v>0.35749999999999998</v>
      </c>
      <c r="F401">
        <v>4466160.67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-6.9182389937107666E-2</v>
      </c>
      <c r="Q401">
        <f t="shared" si="975"/>
        <v>-308979.66899371403</v>
      </c>
      <c r="R401">
        <f t="shared" si="976"/>
        <v>-16660143.092031505</v>
      </c>
      <c r="S401">
        <f t="shared" si="977"/>
        <v>-166.60143092031504</v>
      </c>
      <c r="T401">
        <f t="shared" si="978"/>
        <v>-0.16660143092031504</v>
      </c>
    </row>
    <row r="402" spans="1:20" x14ac:dyDescent="0.25">
      <c r="A402" s="5">
        <v>44191</v>
      </c>
      <c r="B402">
        <v>0.3458</v>
      </c>
      <c r="C402">
        <v>0.34839999999999999</v>
      </c>
      <c r="D402">
        <v>0.3165</v>
      </c>
      <c r="E402">
        <v>0.32340000000000002</v>
      </c>
      <c r="F402">
        <v>1453073.59</v>
      </c>
      <c r="G402">
        <v>0</v>
      </c>
      <c r="L402" t="s">
        <v>7</v>
      </c>
      <c r="M402" t="s">
        <v>8</v>
      </c>
      <c r="N402" t="s">
        <v>7</v>
      </c>
      <c r="P402">
        <f t="shared" si="974"/>
        <v>-0.5673981191222558</v>
      </c>
      <c r="Q402">
        <f t="shared" si="975"/>
        <v>-824471.22191222396</v>
      </c>
      <c r="R402">
        <f t="shared" si="976"/>
        <v>-16351163.423037792</v>
      </c>
      <c r="S402">
        <f t="shared" si="977"/>
        <v>-163.51163423037792</v>
      </c>
      <c r="T402">
        <f t="shared" si="978"/>
        <v>-0.16351163423037793</v>
      </c>
    </row>
    <row r="403" spans="1:20" x14ac:dyDescent="0.25">
      <c r="A403" s="5">
        <v>44190</v>
      </c>
      <c r="B403">
        <v>0.32840000000000003</v>
      </c>
      <c r="C403">
        <v>0.35499999999999998</v>
      </c>
      <c r="D403">
        <v>0.32069999999999999</v>
      </c>
      <c r="E403">
        <v>0.34589999999999999</v>
      </c>
      <c r="F403">
        <v>1323089.6100000001</v>
      </c>
      <c r="G403">
        <v>0</v>
      </c>
      <c r="L403" t="s">
        <v>8</v>
      </c>
      <c r="M403" t="s">
        <v>8</v>
      </c>
      <c r="N403" t="s">
        <v>7</v>
      </c>
      <c r="P403">
        <f t="shared" si="974"/>
        <v>0.46938775510204095</v>
      </c>
      <c r="Q403">
        <f t="shared" si="975"/>
        <v>621042.06183673488</v>
      </c>
      <c r="R403">
        <f t="shared" si="976"/>
        <v>-15526692.201125568</v>
      </c>
      <c r="S403">
        <f t="shared" si="977"/>
        <v>-155.26692201125567</v>
      </c>
      <c r="T403">
        <f t="shared" si="978"/>
        <v>-0.15526692201125566</v>
      </c>
    </row>
    <row r="404" spans="1:20" x14ac:dyDescent="0.25">
      <c r="A404" s="5">
        <v>44189</v>
      </c>
      <c r="B404">
        <v>0.31509999999999999</v>
      </c>
      <c r="C404">
        <v>0.32969999999999999</v>
      </c>
      <c r="D404">
        <v>0.28870000000000001</v>
      </c>
      <c r="E404">
        <v>0.32750000000000001</v>
      </c>
      <c r="F404">
        <v>1909112.58</v>
      </c>
      <c r="G404">
        <v>0</v>
      </c>
      <c r="L404" t="s">
        <v>8</v>
      </c>
      <c r="M404" t="s">
        <v>7</v>
      </c>
      <c r="N404" t="s">
        <v>7</v>
      </c>
      <c r="P404">
        <f t="shared" si="974"/>
        <v>0.8926829268292692</v>
      </c>
      <c r="Q404">
        <f t="shared" si="975"/>
        <v>1704232.2055609773</v>
      </c>
      <c r="R404">
        <f t="shared" si="976"/>
        <v>-16147734.262962302</v>
      </c>
      <c r="S404">
        <f t="shared" si="977"/>
        <v>-161.47734262962302</v>
      </c>
      <c r="T404">
        <f t="shared" si="978"/>
        <v>-0.16147734262962302</v>
      </c>
    </row>
    <row r="405" spans="1:20" x14ac:dyDescent="0.25">
      <c r="A405" s="5">
        <v>44188</v>
      </c>
      <c r="B405">
        <v>0.37890000000000001</v>
      </c>
      <c r="C405">
        <v>0.39340000000000003</v>
      </c>
      <c r="D405">
        <v>0.29160000000000003</v>
      </c>
      <c r="E405">
        <v>0.315</v>
      </c>
      <c r="F405">
        <v>3086202.55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-0.54027504911591406</v>
      </c>
      <c r="Q405">
        <f t="shared" si="975"/>
        <v>-1667398.2342829092</v>
      </c>
      <c r="R405">
        <f t="shared" si="976"/>
        <v>-17851966.468523279</v>
      </c>
      <c r="S405">
        <f t="shared" si="977"/>
        <v>-178.51966468523278</v>
      </c>
      <c r="T405">
        <f t="shared" si="978"/>
        <v>-0.17851966468523278</v>
      </c>
    </row>
    <row r="406" spans="1:20" x14ac:dyDescent="0.25">
      <c r="A406" s="5">
        <v>44187</v>
      </c>
      <c r="B406">
        <v>0.37730000000000002</v>
      </c>
      <c r="C406">
        <v>0.4</v>
      </c>
      <c r="D406">
        <v>0.35010000000000002</v>
      </c>
      <c r="E406">
        <v>0.379</v>
      </c>
      <c r="F406">
        <v>2033803.86</v>
      </c>
      <c r="G406">
        <v>0</v>
      </c>
      <c r="L406" t="s">
        <v>8</v>
      </c>
      <c r="M406" t="s">
        <v>7</v>
      </c>
      <c r="N406" t="s">
        <v>8</v>
      </c>
      <c r="P406">
        <f t="shared" si="974"/>
        <v>0.15831663326653231</v>
      </c>
      <c r="Q406">
        <f t="shared" si="975"/>
        <v>321984.97983967781</v>
      </c>
      <c r="R406">
        <f t="shared" si="976"/>
        <v>-16184568.23424037</v>
      </c>
      <c r="S406">
        <f t="shared" si="977"/>
        <v>-161.84568234240371</v>
      </c>
      <c r="T406">
        <f t="shared" si="978"/>
        <v>-0.16184568234240371</v>
      </c>
    </row>
    <row r="407" spans="1:20" x14ac:dyDescent="0.25">
      <c r="A407" s="5">
        <v>44186</v>
      </c>
      <c r="B407">
        <v>0.3886</v>
      </c>
      <c r="C407">
        <v>0.39829999999999999</v>
      </c>
      <c r="D407">
        <v>0.35020000000000001</v>
      </c>
      <c r="E407">
        <v>0.37719999999999998</v>
      </c>
      <c r="F407">
        <v>2382153.14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0.1226611226611219</v>
      </c>
      <c r="Q407">
        <f t="shared" si="975"/>
        <v>292197.57850311673</v>
      </c>
      <c r="R407">
        <f t="shared" si="976"/>
        <v>-16506553.214080047</v>
      </c>
      <c r="S407">
        <f t="shared" si="977"/>
        <v>-165.06553214080046</v>
      </c>
      <c r="T407">
        <f t="shared" si="978"/>
        <v>-0.16506553214080047</v>
      </c>
    </row>
    <row r="408" spans="1:20" x14ac:dyDescent="0.25">
      <c r="A408" s="5">
        <v>44185</v>
      </c>
      <c r="B408">
        <v>0.41049999999999998</v>
      </c>
      <c r="C408">
        <v>0.43680000000000002</v>
      </c>
      <c r="D408">
        <v>0.37340000000000001</v>
      </c>
      <c r="E408">
        <v>0.38829999999999998</v>
      </c>
      <c r="F408">
        <v>2615239.41</v>
      </c>
      <c r="G408">
        <v>0</v>
      </c>
      <c r="L408" t="s">
        <v>7</v>
      </c>
      <c r="M408" t="s">
        <v>7</v>
      </c>
      <c r="N408" t="s">
        <v>8</v>
      </c>
      <c r="P408">
        <f t="shared" si="974"/>
        <v>-0.52996845425867611</v>
      </c>
      <c r="Q408">
        <f t="shared" si="975"/>
        <v>-1385994.3876340722</v>
      </c>
      <c r="R408">
        <f t="shared" si="976"/>
        <v>-16798750.792583164</v>
      </c>
      <c r="S408">
        <f t="shared" si="977"/>
        <v>-167.98750792583164</v>
      </c>
      <c r="T408">
        <f t="shared" si="978"/>
        <v>-0.16798750792583164</v>
      </c>
    </row>
    <row r="409" spans="1:20" x14ac:dyDescent="0.25">
      <c r="A409" s="5">
        <v>44184</v>
      </c>
      <c r="B409">
        <v>0.39489999999999997</v>
      </c>
      <c r="C409">
        <v>0.46510000000000001</v>
      </c>
      <c r="D409">
        <v>0.39460000000000001</v>
      </c>
      <c r="E409">
        <v>0.4103</v>
      </c>
      <c r="F409">
        <v>8117231.21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-0.55460992907801443</v>
      </c>
      <c r="Q409">
        <f t="shared" si="975"/>
        <v>-4501897.0256879451</v>
      </c>
      <c r="R409">
        <f t="shared" si="976"/>
        <v>-15412756.404949091</v>
      </c>
      <c r="S409">
        <f t="shared" si="977"/>
        <v>-154.1275640494909</v>
      </c>
      <c r="T409">
        <f t="shared" si="978"/>
        <v>-0.15412756404949091</v>
      </c>
    </row>
    <row r="410" spans="1:20" x14ac:dyDescent="0.25">
      <c r="A410" s="5">
        <v>44183</v>
      </c>
      <c r="B410">
        <v>0.36430000000000001</v>
      </c>
      <c r="C410">
        <v>0.40789999999999998</v>
      </c>
      <c r="D410">
        <v>0.35499999999999998</v>
      </c>
      <c r="E410">
        <v>0.39500000000000002</v>
      </c>
      <c r="F410">
        <v>3434276.95</v>
      </c>
      <c r="G410">
        <v>0</v>
      </c>
      <c r="L410" t="s">
        <v>7</v>
      </c>
      <c r="M410" t="s">
        <v>8</v>
      </c>
      <c r="N410" t="s">
        <v>7</v>
      </c>
      <c r="P410">
        <f t="shared" si="974"/>
        <v>0.51228733459357401</v>
      </c>
      <c r="Q410">
        <f t="shared" si="975"/>
        <v>1759336.5849716489</v>
      </c>
      <c r="R410">
        <f t="shared" si="976"/>
        <v>-10910859.379261145</v>
      </c>
      <c r="S410">
        <f t="shared" si="977"/>
        <v>-109.10859379261146</v>
      </c>
      <c r="T410">
        <f t="shared" si="978"/>
        <v>-0.10910859379261145</v>
      </c>
    </row>
    <row r="411" spans="1:20" x14ac:dyDescent="0.25">
      <c r="A411" s="5">
        <v>44182</v>
      </c>
      <c r="B411">
        <v>0.39510000000000001</v>
      </c>
      <c r="C411">
        <v>0.39910000000000001</v>
      </c>
      <c r="D411">
        <v>0.36199999999999999</v>
      </c>
      <c r="E411">
        <v>0.36420000000000002</v>
      </c>
      <c r="F411">
        <v>3396321.06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-0.88140161725067201</v>
      </c>
      <c r="Q411">
        <f t="shared" si="975"/>
        <v>-2993522.8749865168</v>
      </c>
      <c r="R411">
        <f t="shared" si="976"/>
        <v>-12670195.964232795</v>
      </c>
      <c r="S411">
        <f t="shared" si="977"/>
        <v>-126.70195964232795</v>
      </c>
      <c r="T411">
        <f t="shared" si="978"/>
        <v>-0.12670195964232794</v>
      </c>
    </row>
    <row r="412" spans="1:20" x14ac:dyDescent="0.25">
      <c r="A412" s="5">
        <v>44181</v>
      </c>
      <c r="B412">
        <v>0.37019999999999997</v>
      </c>
      <c r="C412">
        <v>0.4</v>
      </c>
      <c r="D412">
        <v>0.3508</v>
      </c>
      <c r="E412">
        <v>0.3952</v>
      </c>
      <c r="F412">
        <v>3366174.44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0.80487804878048685</v>
      </c>
      <c r="Q412">
        <f t="shared" si="975"/>
        <v>2709359.9151219479</v>
      </c>
      <c r="R412">
        <f t="shared" si="976"/>
        <v>-9676673.0892462786</v>
      </c>
      <c r="S412">
        <f t="shared" si="977"/>
        <v>-96.766730892462789</v>
      </c>
      <c r="T412">
        <f t="shared" si="978"/>
        <v>-9.6766730892462793E-2</v>
      </c>
    </row>
    <row r="413" spans="1:20" x14ac:dyDescent="0.25">
      <c r="A413" s="5">
        <v>44180</v>
      </c>
      <c r="B413">
        <v>0.38329999999999997</v>
      </c>
      <c r="C413">
        <v>0.3856</v>
      </c>
      <c r="D413">
        <v>0.35870000000000002</v>
      </c>
      <c r="E413">
        <v>0.36880000000000002</v>
      </c>
      <c r="F413">
        <v>2370731.6800000002</v>
      </c>
      <c r="G413">
        <v>0</v>
      </c>
      <c r="L413" t="s">
        <v>8</v>
      </c>
      <c r="M413" t="s">
        <v>8</v>
      </c>
      <c r="N413" t="s">
        <v>7</v>
      </c>
      <c r="P413">
        <f t="shared" si="974"/>
        <v>-0.2490706319702598</v>
      </c>
      <c r="Q413">
        <f t="shared" si="975"/>
        <v>-590479.63776951574</v>
      </c>
      <c r="R413">
        <f t="shared" si="976"/>
        <v>-12386033.004368227</v>
      </c>
      <c r="S413">
        <f t="shared" si="977"/>
        <v>-123.86033004368227</v>
      </c>
      <c r="T413">
        <f t="shared" si="978"/>
        <v>-0.12386033004368227</v>
      </c>
    </row>
    <row r="414" spans="1:20" x14ac:dyDescent="0.25">
      <c r="A414" s="5">
        <v>44179</v>
      </c>
      <c r="B414">
        <v>0.35199999999999998</v>
      </c>
      <c r="C414">
        <v>0.38519999999999999</v>
      </c>
      <c r="D414">
        <v>0.34799999999999998</v>
      </c>
      <c r="E414">
        <v>0.38340000000000002</v>
      </c>
      <c r="F414">
        <v>3156275.29</v>
      </c>
      <c r="G414">
        <v>0</v>
      </c>
      <c r="L414" t="s">
        <v>8</v>
      </c>
      <c r="M414" t="s">
        <v>8</v>
      </c>
      <c r="N414" t="s">
        <v>7</v>
      </c>
      <c r="P414">
        <f t="shared" si="974"/>
        <v>0.90322580645161465</v>
      </c>
      <c r="Q414">
        <f t="shared" si="975"/>
        <v>2850829.2941935537</v>
      </c>
      <c r="R414">
        <f t="shared" si="976"/>
        <v>-11795553.36659871</v>
      </c>
      <c r="S414">
        <f t="shared" si="977"/>
        <v>-117.9555336659871</v>
      </c>
      <c r="T414">
        <f t="shared" si="978"/>
        <v>-0.1179555336659871</v>
      </c>
    </row>
    <row r="415" spans="1:20" x14ac:dyDescent="0.25">
      <c r="A415" s="5">
        <v>44178</v>
      </c>
      <c r="B415">
        <v>0.34239999999999998</v>
      </c>
      <c r="C415">
        <v>0.36359999999999998</v>
      </c>
      <c r="D415">
        <v>0.33489999999999998</v>
      </c>
      <c r="E415">
        <v>0.35189999999999999</v>
      </c>
      <c r="F415">
        <v>1370820.27</v>
      </c>
      <c r="G415">
        <v>0</v>
      </c>
      <c r="L415" t="s">
        <v>8</v>
      </c>
      <c r="M415" t="s">
        <v>8</v>
      </c>
      <c r="N415" t="s">
        <v>7</v>
      </c>
      <c r="P415">
        <f t="shared" si="974"/>
        <v>0.18466898954703925</v>
      </c>
      <c r="Q415">
        <f t="shared" si="975"/>
        <v>253147.99411149952</v>
      </c>
      <c r="R415">
        <f t="shared" si="976"/>
        <v>-14646382.660792265</v>
      </c>
      <c r="S415">
        <f t="shared" si="977"/>
        <v>-146.46382660792264</v>
      </c>
      <c r="T415">
        <f t="shared" si="978"/>
        <v>-0.14646382660792265</v>
      </c>
    </row>
    <row r="416" spans="1:20" x14ac:dyDescent="0.25">
      <c r="A416" s="5">
        <v>44177</v>
      </c>
      <c r="B416">
        <v>0.32750000000000001</v>
      </c>
      <c r="C416">
        <v>0.34599999999999997</v>
      </c>
      <c r="D416">
        <v>0.32619999999999999</v>
      </c>
      <c r="E416">
        <v>0.34279999999999999</v>
      </c>
      <c r="F416">
        <v>968300.16</v>
      </c>
      <c r="G416">
        <v>0</v>
      </c>
      <c r="L416" t="s">
        <v>8</v>
      </c>
      <c r="M416" t="s">
        <v>8</v>
      </c>
      <c r="N416" t="s">
        <v>7</v>
      </c>
      <c r="P416">
        <f t="shared" si="974"/>
        <v>0.67676767676767846</v>
      </c>
      <c r="Q416">
        <f t="shared" si="975"/>
        <v>655314.24969697138</v>
      </c>
      <c r="R416">
        <f t="shared" si="976"/>
        <v>-14899530.654903764</v>
      </c>
      <c r="S416">
        <f t="shared" si="977"/>
        <v>-148.99530654903765</v>
      </c>
      <c r="T416">
        <f t="shared" si="978"/>
        <v>-0.14899530654903764</v>
      </c>
    </row>
    <row r="417" spans="1:20" x14ac:dyDescent="0.25">
      <c r="A417" s="5">
        <v>44176</v>
      </c>
      <c r="B417">
        <v>0.3528</v>
      </c>
      <c r="C417">
        <v>0.35289999999999999</v>
      </c>
      <c r="D417">
        <v>0.31840000000000002</v>
      </c>
      <c r="E417">
        <v>0.32640000000000002</v>
      </c>
      <c r="F417">
        <v>1050888.73</v>
      </c>
      <c r="G417">
        <v>0</v>
      </c>
      <c r="L417" t="s">
        <v>7</v>
      </c>
      <c r="M417" t="s">
        <v>8</v>
      </c>
      <c r="N417" t="s">
        <v>7</v>
      </c>
      <c r="P417">
        <f t="shared" si="974"/>
        <v>-0.53623188405797029</v>
      </c>
      <c r="Q417">
        <f t="shared" si="975"/>
        <v>-563520.04362318758</v>
      </c>
      <c r="R417">
        <f t="shared" si="976"/>
        <v>-15554844.904600736</v>
      </c>
      <c r="S417">
        <f t="shared" si="977"/>
        <v>-155.54844904600736</v>
      </c>
      <c r="T417">
        <f t="shared" si="978"/>
        <v>-0.15554844904600737</v>
      </c>
    </row>
    <row r="418" spans="1:20" x14ac:dyDescent="0.25">
      <c r="A418" s="5">
        <v>44175</v>
      </c>
      <c r="B418">
        <v>0.35</v>
      </c>
      <c r="C418">
        <v>0.37</v>
      </c>
      <c r="D418">
        <v>0.32950000000000002</v>
      </c>
      <c r="E418">
        <v>0.3528</v>
      </c>
      <c r="F418">
        <v>1662979.53</v>
      </c>
      <c r="G418">
        <v>0</v>
      </c>
      <c r="L418" t="s">
        <v>8</v>
      </c>
      <c r="M418" t="s">
        <v>8</v>
      </c>
      <c r="N418" t="s">
        <v>7</v>
      </c>
      <c r="P418">
        <f t="shared" si="974"/>
        <v>0.15061728395061721</v>
      </c>
      <c r="Q418">
        <f t="shared" si="975"/>
        <v>250473.46007407396</v>
      </c>
      <c r="R418">
        <f t="shared" si="976"/>
        <v>-14991324.860977549</v>
      </c>
      <c r="S418">
        <f t="shared" si="977"/>
        <v>-149.91324860977548</v>
      </c>
      <c r="T418">
        <f t="shared" si="978"/>
        <v>-0.14991324860977548</v>
      </c>
    </row>
    <row r="419" spans="1:20" x14ac:dyDescent="0.25">
      <c r="A419" s="5">
        <v>44174</v>
      </c>
      <c r="B419">
        <v>0.32350000000000001</v>
      </c>
      <c r="C419">
        <v>0.36</v>
      </c>
      <c r="D419">
        <v>0.30299999999999999</v>
      </c>
      <c r="E419">
        <v>0.35</v>
      </c>
      <c r="F419">
        <v>2183122.5099999998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0.64912280701754355</v>
      </c>
      <c r="Q419">
        <f t="shared" si="975"/>
        <v>1417114.6117543851</v>
      </c>
      <c r="R419">
        <f t="shared" si="976"/>
        <v>-15241798.321051624</v>
      </c>
      <c r="S419">
        <f t="shared" si="977"/>
        <v>-152.41798321051624</v>
      </c>
      <c r="T419">
        <f t="shared" si="978"/>
        <v>-0.15241798321051625</v>
      </c>
    </row>
    <row r="420" spans="1:20" x14ac:dyDescent="0.25">
      <c r="A420" s="5">
        <v>44173</v>
      </c>
      <c r="B420">
        <v>0.34799999999999998</v>
      </c>
      <c r="C420">
        <v>0.35959999999999998</v>
      </c>
      <c r="D420">
        <v>0.31630000000000003</v>
      </c>
      <c r="E420">
        <v>0.3236</v>
      </c>
      <c r="F420">
        <v>1572371.63</v>
      </c>
      <c r="G420">
        <v>0</v>
      </c>
      <c r="L420" t="s">
        <v>8</v>
      </c>
      <c r="M420" t="s">
        <v>7</v>
      </c>
      <c r="N420" t="s">
        <v>7</v>
      </c>
      <c r="P420">
        <f t="shared" si="974"/>
        <v>-0.66281755196304937</v>
      </c>
      <c r="Q420">
        <f t="shared" si="975"/>
        <v>-1042195.5145727496</v>
      </c>
      <c r="R420">
        <f t="shared" si="976"/>
        <v>-16658912.932806009</v>
      </c>
      <c r="S420">
        <f t="shared" si="977"/>
        <v>-166.5891293280601</v>
      </c>
      <c r="T420">
        <f t="shared" si="978"/>
        <v>-0.16658912932806011</v>
      </c>
    </row>
    <row r="421" spans="1:20" x14ac:dyDescent="0.25">
      <c r="A421" s="5">
        <v>44172</v>
      </c>
      <c r="B421">
        <v>0.33750000000000002</v>
      </c>
      <c r="C421">
        <v>0.35410000000000003</v>
      </c>
      <c r="D421">
        <v>0.33040000000000003</v>
      </c>
      <c r="E421">
        <v>0.3478</v>
      </c>
      <c r="F421">
        <v>1016582.45</v>
      </c>
      <c r="G421">
        <v>0</v>
      </c>
      <c r="L421" t="s">
        <v>8</v>
      </c>
      <c r="M421" t="s">
        <v>7</v>
      </c>
      <c r="N421" t="s">
        <v>7</v>
      </c>
      <c r="P421">
        <f t="shared" si="974"/>
        <v>0.46835443037974445</v>
      </c>
      <c r="Q421">
        <f t="shared" si="975"/>
        <v>476120.89430379501</v>
      </c>
      <c r="R421">
        <f t="shared" si="976"/>
        <v>-15616717.418233261</v>
      </c>
      <c r="S421">
        <f t="shared" si="977"/>
        <v>-156.16717418233262</v>
      </c>
      <c r="T421">
        <f t="shared" si="978"/>
        <v>-0.15616717418233261</v>
      </c>
    </row>
    <row r="422" spans="1:20" x14ac:dyDescent="0.25">
      <c r="A422" s="5">
        <v>44171</v>
      </c>
      <c r="B422">
        <v>0.35060000000000002</v>
      </c>
      <c r="C422">
        <v>0.35630000000000001</v>
      </c>
      <c r="D422">
        <v>0.32969999999999999</v>
      </c>
      <c r="E422">
        <v>0.3392</v>
      </c>
      <c r="F422">
        <v>1206936.01</v>
      </c>
      <c r="G422">
        <v>0</v>
      </c>
      <c r="L422" t="s">
        <v>7</v>
      </c>
      <c r="M422" t="s">
        <v>7</v>
      </c>
      <c r="N422" t="s">
        <v>7</v>
      </c>
      <c r="P422">
        <f t="shared" si="974"/>
        <v>-0.28571428571428542</v>
      </c>
      <c r="Q422">
        <f t="shared" si="975"/>
        <v>-344838.85999999964</v>
      </c>
      <c r="R422">
        <f t="shared" si="976"/>
        <v>-16092838.312537055</v>
      </c>
      <c r="S422">
        <f t="shared" si="977"/>
        <v>-160.92838312537054</v>
      </c>
      <c r="T422">
        <f t="shared" si="978"/>
        <v>-0.16092838312537056</v>
      </c>
    </row>
    <row r="423" spans="1:20" x14ac:dyDescent="0.25">
      <c r="A423" s="5">
        <v>44170</v>
      </c>
      <c r="B423">
        <v>0.31619999999999998</v>
      </c>
      <c r="C423">
        <v>0.36459999999999998</v>
      </c>
      <c r="D423">
        <v>0.31509999999999999</v>
      </c>
      <c r="E423">
        <v>0.34949999999999998</v>
      </c>
      <c r="F423">
        <v>1554671.38</v>
      </c>
      <c r="G423">
        <v>0</v>
      </c>
      <c r="L423" t="s">
        <v>8</v>
      </c>
      <c r="M423" t="s">
        <v>7</v>
      </c>
      <c r="N423" t="s">
        <v>7</v>
      </c>
      <c r="P423">
        <f t="shared" si="974"/>
        <v>0.38989898989898969</v>
      </c>
      <c r="Q423">
        <f t="shared" si="975"/>
        <v>606164.80068686837</v>
      </c>
      <c r="R423">
        <f t="shared" si="976"/>
        <v>-15747999.452537056</v>
      </c>
      <c r="S423">
        <f t="shared" si="977"/>
        <v>-157.47999452537056</v>
      </c>
      <c r="T423">
        <f t="shared" si="978"/>
        <v>-0.15747999452537056</v>
      </c>
    </row>
    <row r="424" spans="1:20" x14ac:dyDescent="0.25">
      <c r="A424" s="5">
        <v>44169</v>
      </c>
      <c r="B424">
        <v>0.35720000000000002</v>
      </c>
      <c r="C424">
        <v>0.36380000000000001</v>
      </c>
      <c r="D424">
        <v>0.315</v>
      </c>
      <c r="E424">
        <v>0.31640000000000001</v>
      </c>
      <c r="F424">
        <v>1684410.82</v>
      </c>
      <c r="G424">
        <v>0</v>
      </c>
      <c r="L424" t="s">
        <v>7</v>
      </c>
      <c r="M424" t="s">
        <v>7</v>
      </c>
      <c r="N424" t="s">
        <v>7</v>
      </c>
      <c r="P424">
        <f t="shared" si="974"/>
        <v>-0.94262295081967162</v>
      </c>
      <c r="Q424">
        <f t="shared" si="975"/>
        <v>-1587764.2975409827</v>
      </c>
      <c r="R424">
        <f t="shared" si="976"/>
        <v>-16354164.253223924</v>
      </c>
      <c r="S424">
        <f t="shared" si="977"/>
        <v>-163.54164253223925</v>
      </c>
      <c r="T424">
        <f t="shared" si="978"/>
        <v>-0.16354164253223924</v>
      </c>
    </row>
    <row r="425" spans="1:20" x14ac:dyDescent="0.25">
      <c r="A425" s="5">
        <v>44168</v>
      </c>
      <c r="B425">
        <v>0.35649999999999998</v>
      </c>
      <c r="C425">
        <v>0.37190000000000001</v>
      </c>
      <c r="D425">
        <v>0.34649999999999997</v>
      </c>
      <c r="E425">
        <v>0.35720000000000002</v>
      </c>
      <c r="F425">
        <v>1116842.81</v>
      </c>
      <c r="G425">
        <v>0</v>
      </c>
      <c r="L425" t="s">
        <v>8</v>
      </c>
      <c r="M425" t="s">
        <v>7</v>
      </c>
      <c r="N425" t="s">
        <v>7</v>
      </c>
      <c r="P425">
        <f t="shared" si="974"/>
        <v>-0.15748031496062767</v>
      </c>
      <c r="Q425">
        <f t="shared" si="975"/>
        <v>-175880.75748031246</v>
      </c>
      <c r="R425">
        <f t="shared" si="976"/>
        <v>-14766399.955682941</v>
      </c>
      <c r="S425">
        <f t="shared" si="977"/>
        <v>-147.6639995568294</v>
      </c>
      <c r="T425">
        <f t="shared" si="978"/>
        <v>-0.14766399955682941</v>
      </c>
    </row>
    <row r="426" spans="1:20" x14ac:dyDescent="0.25">
      <c r="A426" s="5">
        <v>44167</v>
      </c>
      <c r="B426">
        <v>0.35299999999999998</v>
      </c>
      <c r="C426">
        <v>0.36</v>
      </c>
      <c r="D426">
        <v>0.33779999999999999</v>
      </c>
      <c r="E426">
        <v>0.35649999999999998</v>
      </c>
      <c r="F426">
        <v>1441668.12</v>
      </c>
      <c r="G426">
        <v>0</v>
      </c>
      <c r="L426" t="s">
        <v>8</v>
      </c>
      <c r="M426" t="s">
        <v>7</v>
      </c>
      <c r="N426" t="s">
        <v>7</v>
      </c>
      <c r="P426">
        <f t="shared" si="974"/>
        <v>0.68468468468468435</v>
      </c>
      <c r="Q426">
        <f t="shared" si="975"/>
        <v>987088.08216216171</v>
      </c>
      <c r="R426">
        <f t="shared" si="976"/>
        <v>-14590519.198202629</v>
      </c>
      <c r="S426">
        <f t="shared" si="977"/>
        <v>-145.90519198202628</v>
      </c>
      <c r="T426">
        <f t="shared" si="978"/>
        <v>-0.14590519198202628</v>
      </c>
    </row>
    <row r="427" spans="1:20" x14ac:dyDescent="0.25">
      <c r="A427" s="5">
        <v>44166</v>
      </c>
      <c r="B427">
        <v>0.35270000000000001</v>
      </c>
      <c r="C427">
        <v>0.38300000000000001</v>
      </c>
      <c r="D427">
        <v>0.32219999999999999</v>
      </c>
      <c r="E427">
        <v>0.35110000000000002</v>
      </c>
      <c r="F427">
        <v>2397990.75</v>
      </c>
      <c r="G427">
        <v>0</v>
      </c>
      <c r="L427" t="s">
        <v>7</v>
      </c>
      <c r="M427" t="s">
        <v>7</v>
      </c>
      <c r="N427" t="s">
        <v>7</v>
      </c>
      <c r="P427">
        <f t="shared" si="974"/>
        <v>-4.9342105263157007E-2</v>
      </c>
      <c r="Q427">
        <f t="shared" si="975"/>
        <v>-118321.91200657682</v>
      </c>
      <c r="R427">
        <f t="shared" si="976"/>
        <v>-15577607.280364791</v>
      </c>
      <c r="S427">
        <f t="shared" si="977"/>
        <v>-155.77607280364791</v>
      </c>
      <c r="T427">
        <f t="shared" si="978"/>
        <v>-0.15577607280364791</v>
      </c>
    </row>
    <row r="428" spans="1:20" x14ac:dyDescent="0.25">
      <c r="A428" s="5">
        <v>44165</v>
      </c>
      <c r="B428">
        <v>0.36130000000000001</v>
      </c>
      <c r="C428">
        <v>0.37</v>
      </c>
      <c r="D428">
        <v>0.34229999999999999</v>
      </c>
      <c r="E428">
        <v>0.35289999999999999</v>
      </c>
      <c r="F428">
        <v>2304802.48</v>
      </c>
      <c r="G428">
        <v>0</v>
      </c>
      <c r="L428" t="s">
        <v>7</v>
      </c>
      <c r="M428" t="s">
        <v>8</v>
      </c>
      <c r="N428" t="s">
        <v>7</v>
      </c>
      <c r="P428">
        <f t="shared" si="974"/>
        <v>-0.23465703971119153</v>
      </c>
      <c r="Q428">
        <f t="shared" si="975"/>
        <v>-540838.12707581278</v>
      </c>
      <c r="R428">
        <f t="shared" si="976"/>
        <v>-15459285.368358213</v>
      </c>
      <c r="S428">
        <f t="shared" si="977"/>
        <v>-154.59285368358212</v>
      </c>
      <c r="T428">
        <f t="shared" si="978"/>
        <v>-0.15459285368358211</v>
      </c>
    </row>
    <row r="429" spans="1:20" x14ac:dyDescent="0.25">
      <c r="A429" s="5">
        <v>44164</v>
      </c>
      <c r="B429">
        <v>0.377</v>
      </c>
      <c r="C429">
        <v>0.3881</v>
      </c>
      <c r="D429">
        <v>0.35360000000000003</v>
      </c>
      <c r="E429">
        <v>0.36149999999999999</v>
      </c>
      <c r="F429">
        <v>1194174.74</v>
      </c>
      <c r="G429">
        <v>0</v>
      </c>
      <c r="L429" t="s">
        <v>7</v>
      </c>
      <c r="M429" t="s">
        <v>8</v>
      </c>
      <c r="N429" t="s">
        <v>7</v>
      </c>
      <c r="P429">
        <f t="shared" si="974"/>
        <v>-0.54202898550724821</v>
      </c>
      <c r="Q429">
        <f t="shared" si="975"/>
        <v>-647277.32284058188</v>
      </c>
      <c r="R429">
        <f t="shared" si="976"/>
        <v>-14918447.2412824</v>
      </c>
      <c r="S429">
        <f t="shared" si="977"/>
        <v>-149.18447241282399</v>
      </c>
      <c r="T429">
        <f t="shared" si="978"/>
        <v>-0.14918447241282398</v>
      </c>
    </row>
    <row r="430" spans="1:20" x14ac:dyDescent="0.25">
      <c r="A430" s="5">
        <v>44163</v>
      </c>
      <c r="B430">
        <v>0.373</v>
      </c>
      <c r="C430">
        <v>0.39</v>
      </c>
      <c r="D430">
        <v>0.36230000000000001</v>
      </c>
      <c r="E430">
        <v>0.37609999999999999</v>
      </c>
      <c r="F430">
        <v>1372627.21</v>
      </c>
      <c r="G430">
        <v>0</v>
      </c>
      <c r="L430" t="s">
        <v>7</v>
      </c>
      <c r="M430" t="s">
        <v>8</v>
      </c>
      <c r="N430" t="s">
        <v>7</v>
      </c>
      <c r="P430">
        <f t="shared" si="974"/>
        <v>-3.6101083032507035E-3</v>
      </c>
      <c r="Q430">
        <f t="shared" si="975"/>
        <v>-4955.3328880888466</v>
      </c>
      <c r="R430">
        <f t="shared" si="976"/>
        <v>-14271169.918441817</v>
      </c>
      <c r="S430">
        <f t="shared" si="977"/>
        <v>-142.71169918441817</v>
      </c>
      <c r="T430">
        <f t="shared" si="978"/>
        <v>-0.14271169918441817</v>
      </c>
    </row>
    <row r="431" spans="1:20" x14ac:dyDescent="0.25">
      <c r="A431" s="5">
        <v>44162</v>
      </c>
      <c r="B431">
        <v>0.35959999999999998</v>
      </c>
      <c r="C431">
        <v>0.39290000000000003</v>
      </c>
      <c r="D431">
        <v>0.34720000000000001</v>
      </c>
      <c r="E431">
        <v>0.373</v>
      </c>
      <c r="F431">
        <v>3509428.65</v>
      </c>
      <c r="G431">
        <v>0</v>
      </c>
      <c r="L431" t="s">
        <v>8</v>
      </c>
      <c r="M431" t="s">
        <v>8</v>
      </c>
      <c r="N431" t="s">
        <v>7</v>
      </c>
      <c r="P431">
        <f t="shared" si="974"/>
        <v>0.12910284463894875</v>
      </c>
      <c r="Q431">
        <f t="shared" si="975"/>
        <v>453077.22177242563</v>
      </c>
      <c r="R431">
        <f t="shared" si="976"/>
        <v>-14266214.585553728</v>
      </c>
      <c r="S431">
        <f t="shared" si="977"/>
        <v>-142.66214585553729</v>
      </c>
      <c r="T431">
        <f t="shared" si="978"/>
        <v>-0.1426621458555373</v>
      </c>
    </row>
    <row r="432" spans="1:20" x14ac:dyDescent="0.25">
      <c r="A432" s="5">
        <v>44161</v>
      </c>
      <c r="B432">
        <v>0.3851</v>
      </c>
      <c r="C432">
        <v>0.39319999999999999</v>
      </c>
      <c r="D432">
        <v>0.29809999999999998</v>
      </c>
      <c r="E432">
        <v>0.35770000000000002</v>
      </c>
      <c r="F432">
        <v>5052225.71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0.25341745531020043</v>
      </c>
      <c r="Q432">
        <f t="shared" si="975"/>
        <v>1280322.1830809705</v>
      </c>
      <c r="R432">
        <f t="shared" si="976"/>
        <v>-14719291.807326153</v>
      </c>
      <c r="S432">
        <f t="shared" si="977"/>
        <v>-147.19291807326152</v>
      </c>
      <c r="T432">
        <f t="shared" si="978"/>
        <v>-0.14719291807326151</v>
      </c>
    </row>
    <row r="433" spans="1:20" x14ac:dyDescent="0.25">
      <c r="A433" s="5">
        <v>44160</v>
      </c>
      <c r="B433">
        <v>0.36359999999999998</v>
      </c>
      <c r="C433">
        <v>0.48699999999999999</v>
      </c>
      <c r="D433">
        <v>0.33700000000000002</v>
      </c>
      <c r="E433">
        <v>0.3851</v>
      </c>
      <c r="F433">
        <v>6263149.3899999997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-0.35866666666666686</v>
      </c>
      <c r="Q433">
        <f t="shared" si="975"/>
        <v>-2246382.9145466676</v>
      </c>
      <c r="R433">
        <f t="shared" si="976"/>
        <v>-15999613.990407124</v>
      </c>
      <c r="S433">
        <f t="shared" si="977"/>
        <v>-159.99613990407124</v>
      </c>
      <c r="T433">
        <f t="shared" si="978"/>
        <v>-0.15999613990407124</v>
      </c>
    </row>
    <row r="434" spans="1:20" x14ac:dyDescent="0.25">
      <c r="A434" s="5">
        <v>44159</v>
      </c>
      <c r="B434">
        <v>0.36149999999999999</v>
      </c>
      <c r="C434">
        <v>0.39040000000000002</v>
      </c>
      <c r="D434">
        <v>0.32590000000000002</v>
      </c>
      <c r="E434">
        <v>0.36570000000000003</v>
      </c>
      <c r="F434">
        <v>4537690.68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0.23410852713178298</v>
      </c>
      <c r="Q434">
        <f t="shared" si="975"/>
        <v>1062312.0816744186</v>
      </c>
      <c r="R434">
        <f t="shared" si="976"/>
        <v>-13753231.075860457</v>
      </c>
      <c r="S434">
        <f t="shared" si="977"/>
        <v>-137.53231075860458</v>
      </c>
      <c r="T434">
        <f t="shared" si="978"/>
        <v>-0.13753231075860459</v>
      </c>
    </row>
    <row r="435" spans="1:20" x14ac:dyDescent="0.25">
      <c r="A435" s="5">
        <v>44158</v>
      </c>
      <c r="B435">
        <v>0.3049</v>
      </c>
      <c r="C435">
        <v>0.36799999999999999</v>
      </c>
      <c r="D435">
        <v>0.29849999999999999</v>
      </c>
      <c r="E435">
        <v>0.36209999999999998</v>
      </c>
      <c r="F435">
        <v>2496534.7599999998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0.83021582733812904</v>
      </c>
      <c r="Q435">
        <f t="shared" si="975"/>
        <v>2072662.6712517974</v>
      </c>
      <c r="R435">
        <f t="shared" si="976"/>
        <v>-14815543.157534877</v>
      </c>
      <c r="S435">
        <f t="shared" si="977"/>
        <v>-148.15543157534876</v>
      </c>
      <c r="T435">
        <f t="shared" si="978"/>
        <v>-0.14815543157534874</v>
      </c>
    </row>
    <row r="436" spans="1:20" x14ac:dyDescent="0.25">
      <c r="A436" s="5">
        <v>44157</v>
      </c>
      <c r="B436">
        <v>0.31640000000000001</v>
      </c>
      <c r="C436">
        <v>0.32100000000000001</v>
      </c>
      <c r="D436">
        <v>0.28649999999999998</v>
      </c>
      <c r="E436">
        <v>0.30430000000000001</v>
      </c>
      <c r="F436">
        <v>1391462</v>
      </c>
      <c r="G436">
        <v>0</v>
      </c>
      <c r="L436" t="s">
        <v>7</v>
      </c>
      <c r="M436" t="s">
        <v>8</v>
      </c>
      <c r="N436" t="s">
        <v>8</v>
      </c>
      <c r="P436">
        <f t="shared" si="974"/>
        <v>3.1884057971015782E-2</v>
      </c>
      <c r="Q436">
        <f t="shared" si="975"/>
        <v>44365.455072465564</v>
      </c>
      <c r="R436">
        <f t="shared" si="976"/>
        <v>-16888205.828786675</v>
      </c>
      <c r="S436">
        <f t="shared" si="977"/>
        <v>-168.88205828786676</v>
      </c>
      <c r="T436">
        <f t="shared" si="978"/>
        <v>-0.16888205828786676</v>
      </c>
    </row>
    <row r="437" spans="1:20" x14ac:dyDescent="0.25">
      <c r="A437" s="5">
        <v>44156</v>
      </c>
      <c r="B437">
        <v>0.29070000000000001</v>
      </c>
      <c r="C437">
        <v>0.32500000000000001</v>
      </c>
      <c r="D437">
        <v>0.28939999999999999</v>
      </c>
      <c r="E437">
        <v>0.3165</v>
      </c>
      <c r="F437">
        <v>2153448.38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0.52247191011235938</v>
      </c>
      <c r="Q437">
        <f t="shared" si="975"/>
        <v>1125116.2884269659</v>
      </c>
      <c r="R437">
        <f t="shared" si="976"/>
        <v>-16932571.283859141</v>
      </c>
      <c r="S437">
        <f t="shared" si="977"/>
        <v>-169.32571283859141</v>
      </c>
      <c r="T437">
        <f t="shared" si="978"/>
        <v>-0.16932571283859141</v>
      </c>
    </row>
    <row r="438" spans="1:20" x14ac:dyDescent="0.25">
      <c r="A438" s="5">
        <v>44155</v>
      </c>
      <c r="B438">
        <v>0.28620000000000001</v>
      </c>
      <c r="C438">
        <v>0.30430000000000001</v>
      </c>
      <c r="D438">
        <v>0.28599999999999998</v>
      </c>
      <c r="E438">
        <v>0.29070000000000001</v>
      </c>
      <c r="F438">
        <v>983420.2</v>
      </c>
      <c r="G438">
        <v>0</v>
      </c>
      <c r="L438" t="s">
        <v>8</v>
      </c>
      <c r="M438" t="s">
        <v>7</v>
      </c>
      <c r="N438" t="s">
        <v>8</v>
      </c>
      <c r="P438">
        <f t="shared" si="974"/>
        <v>-0.48633879781420464</v>
      </c>
      <c r="Q438">
        <f t="shared" si="975"/>
        <v>-478275.39781420468</v>
      </c>
      <c r="R438">
        <f t="shared" si="976"/>
        <v>-18057687.572286107</v>
      </c>
      <c r="S438">
        <f t="shared" si="977"/>
        <v>-180.57687572286108</v>
      </c>
      <c r="T438">
        <f t="shared" si="978"/>
        <v>-0.18057687572286107</v>
      </c>
    </row>
    <row r="439" spans="1:20" x14ac:dyDescent="0.25">
      <c r="A439" s="5">
        <v>44154</v>
      </c>
      <c r="B439">
        <v>0.29330000000000001</v>
      </c>
      <c r="C439">
        <v>0.29659999999999997</v>
      </c>
      <c r="D439">
        <v>0.28110000000000002</v>
      </c>
      <c r="E439">
        <v>0.28610000000000002</v>
      </c>
      <c r="F439">
        <v>526853.07999999996</v>
      </c>
      <c r="G439">
        <v>0</v>
      </c>
      <c r="L439" t="s">
        <v>8</v>
      </c>
      <c r="M439" t="s">
        <v>7</v>
      </c>
      <c r="N439" t="s">
        <v>8</v>
      </c>
      <c r="P439">
        <f t="shared" si="974"/>
        <v>-0.35483870967741704</v>
      </c>
      <c r="Q439">
        <f t="shared" si="975"/>
        <v>-186947.86709677297</v>
      </c>
      <c r="R439">
        <f t="shared" si="976"/>
        <v>-17579412.174471904</v>
      </c>
      <c r="S439">
        <f t="shared" si="977"/>
        <v>-175.79412174471904</v>
      </c>
      <c r="T439">
        <f t="shared" si="978"/>
        <v>-0.17579412174471903</v>
      </c>
    </row>
    <row r="440" spans="1:20" x14ac:dyDescent="0.25">
      <c r="A440" s="5">
        <v>44153</v>
      </c>
      <c r="B440">
        <v>0.30980000000000002</v>
      </c>
      <c r="C440">
        <v>0.31190000000000001</v>
      </c>
      <c r="D440">
        <v>0.26500000000000001</v>
      </c>
      <c r="E440">
        <v>0.29339999999999999</v>
      </c>
      <c r="F440">
        <v>1717339.79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0.21108742004264316</v>
      </c>
      <c r="Q440">
        <f t="shared" si="975"/>
        <v>362508.8256076746</v>
      </c>
      <c r="R440">
        <f t="shared" si="976"/>
        <v>-17392464.307375129</v>
      </c>
      <c r="S440">
        <f t="shared" si="977"/>
        <v>-173.9246430737513</v>
      </c>
      <c r="T440">
        <f t="shared" si="978"/>
        <v>-0.1739246430737513</v>
      </c>
    </row>
    <row r="441" spans="1:20" x14ac:dyDescent="0.25">
      <c r="A441" s="5">
        <v>44152</v>
      </c>
      <c r="B441">
        <v>0.30609999999999998</v>
      </c>
      <c r="C441">
        <v>0.32879999999999998</v>
      </c>
      <c r="D441">
        <v>0.29809999999999998</v>
      </c>
      <c r="E441">
        <v>0.30969999999999998</v>
      </c>
      <c r="F441">
        <v>1386334.98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-0.24429967426710114</v>
      </c>
      <c r="Q441">
        <f t="shared" si="975"/>
        <v>-338681.1840390882</v>
      </c>
      <c r="R441">
        <f t="shared" si="976"/>
        <v>-17754973.132982805</v>
      </c>
      <c r="S441">
        <f t="shared" si="977"/>
        <v>-177.54973132982806</v>
      </c>
      <c r="T441">
        <f t="shared" si="978"/>
        <v>-0.17754973132982807</v>
      </c>
    </row>
    <row r="442" spans="1:20" x14ac:dyDescent="0.25">
      <c r="A442" s="5">
        <v>44151</v>
      </c>
      <c r="B442">
        <v>0.28560000000000002</v>
      </c>
      <c r="C442">
        <v>0.31979999999999997</v>
      </c>
      <c r="D442">
        <v>0.27800000000000002</v>
      </c>
      <c r="E442">
        <v>0.30620000000000003</v>
      </c>
      <c r="F442">
        <v>1569477.05</v>
      </c>
      <c r="G442">
        <v>0</v>
      </c>
      <c r="L442" t="s">
        <v>7</v>
      </c>
      <c r="M442" t="s">
        <v>7</v>
      </c>
      <c r="N442" t="s">
        <v>8</v>
      </c>
      <c r="P442">
        <f t="shared" si="974"/>
        <v>0.34928229665071953</v>
      </c>
      <c r="Q442">
        <f t="shared" si="975"/>
        <v>548190.54856459622</v>
      </c>
      <c r="R442">
        <f t="shared" si="976"/>
        <v>-17416291.948943716</v>
      </c>
      <c r="S442">
        <f t="shared" si="977"/>
        <v>-174.16291948943714</v>
      </c>
      <c r="T442">
        <f t="shared" si="978"/>
        <v>-0.17416291948943716</v>
      </c>
    </row>
    <row r="443" spans="1:20" x14ac:dyDescent="0.25">
      <c r="A443" s="5">
        <v>44150</v>
      </c>
      <c r="B443">
        <v>0.29870000000000002</v>
      </c>
      <c r="C443">
        <v>0.31</v>
      </c>
      <c r="D443">
        <v>0.28170000000000001</v>
      </c>
      <c r="E443">
        <v>0.28660000000000002</v>
      </c>
      <c r="F443">
        <v>913192.35</v>
      </c>
      <c r="G443">
        <v>0</v>
      </c>
      <c r="L443" t="s">
        <v>7</v>
      </c>
      <c r="M443" t="s">
        <v>8</v>
      </c>
      <c r="N443" t="s">
        <v>8</v>
      </c>
      <c r="P443">
        <f t="shared" si="974"/>
        <v>-0.65371024734982208</v>
      </c>
      <c r="Q443">
        <f t="shared" si="975"/>
        <v>-596963.19699646533</v>
      </c>
      <c r="R443">
        <f t="shared" si="976"/>
        <v>-17964482.497508314</v>
      </c>
      <c r="S443">
        <f t="shared" si="977"/>
        <v>-179.64482497508314</v>
      </c>
      <c r="T443">
        <f t="shared" si="978"/>
        <v>-0.17964482497508313</v>
      </c>
    </row>
    <row r="444" spans="1:20" x14ac:dyDescent="0.25">
      <c r="A444" s="5">
        <v>44149</v>
      </c>
      <c r="B444">
        <v>0.31259999999999999</v>
      </c>
      <c r="C444">
        <v>0.31290000000000001</v>
      </c>
      <c r="D444">
        <v>0.28339999999999999</v>
      </c>
      <c r="E444">
        <v>0.2974</v>
      </c>
      <c r="F444">
        <v>1492553.04</v>
      </c>
      <c r="G444">
        <v>0</v>
      </c>
      <c r="L444" t="s">
        <v>8</v>
      </c>
      <c r="M444" t="s">
        <v>8</v>
      </c>
      <c r="N444" t="s">
        <v>8</v>
      </c>
      <c r="P444">
        <f t="shared" si="974"/>
        <v>-5.0847457627118647E-2</v>
      </c>
      <c r="Q444">
        <f t="shared" si="975"/>
        <v>-75892.527457627119</v>
      </c>
      <c r="R444">
        <f t="shared" si="976"/>
        <v>-17367519.300511848</v>
      </c>
      <c r="S444">
        <f t="shared" si="977"/>
        <v>-173.67519300511847</v>
      </c>
      <c r="T444">
        <f t="shared" si="978"/>
        <v>-0.17367519300511847</v>
      </c>
    </row>
    <row r="445" spans="1:20" x14ac:dyDescent="0.25">
      <c r="A445" s="5">
        <v>44148</v>
      </c>
      <c r="B445">
        <v>0.27639999999999998</v>
      </c>
      <c r="C445">
        <v>0.33279999999999998</v>
      </c>
      <c r="D445">
        <v>0.27</v>
      </c>
      <c r="E445">
        <v>0.31240000000000001</v>
      </c>
      <c r="F445">
        <v>2305110.3199999998</v>
      </c>
      <c r="G445">
        <v>0</v>
      </c>
      <c r="L445" t="s">
        <v>7</v>
      </c>
      <c r="M445" t="s">
        <v>8</v>
      </c>
      <c r="N445" t="s">
        <v>8</v>
      </c>
      <c r="P445">
        <f t="shared" si="974"/>
        <v>0.3503184713375801</v>
      </c>
      <c r="Q445">
        <f t="shared" si="975"/>
        <v>807522.72356687998</v>
      </c>
      <c r="R445">
        <f t="shared" si="976"/>
        <v>-17291626.77305422</v>
      </c>
      <c r="S445">
        <f t="shared" si="977"/>
        <v>-172.91626773054219</v>
      </c>
      <c r="T445">
        <f t="shared" si="978"/>
        <v>-0.17291626773054219</v>
      </c>
    </row>
    <row r="446" spans="1:20" x14ac:dyDescent="0.25">
      <c r="A446" s="5">
        <v>44147</v>
      </c>
      <c r="B446">
        <v>0.31469999999999998</v>
      </c>
      <c r="C446">
        <v>0.32719999999999999</v>
      </c>
      <c r="D446">
        <v>0.27110000000000001</v>
      </c>
      <c r="E446">
        <v>0.27529999999999999</v>
      </c>
      <c r="F446">
        <v>1737578.61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-0.85026737967914501</v>
      </c>
      <c r="Q446">
        <f t="shared" si="975"/>
        <v>-1477406.4117112311</v>
      </c>
      <c r="R446">
        <f t="shared" si="976"/>
        <v>-18099149.496621098</v>
      </c>
      <c r="S446">
        <f t="shared" si="977"/>
        <v>-180.99149496621098</v>
      </c>
      <c r="T446">
        <f t="shared" si="978"/>
        <v>-0.18099149496621098</v>
      </c>
    </row>
    <row r="447" spans="1:20" x14ac:dyDescent="0.25">
      <c r="A447" s="5">
        <v>44146</v>
      </c>
      <c r="B447">
        <v>0.27760000000000001</v>
      </c>
      <c r="C447">
        <v>0.33</v>
      </c>
      <c r="D447">
        <v>0.27400000000000002</v>
      </c>
      <c r="E447">
        <v>0.315</v>
      </c>
      <c r="F447">
        <v>1461100.24</v>
      </c>
      <c r="G447">
        <v>0</v>
      </c>
      <c r="L447" t="s">
        <v>8</v>
      </c>
      <c r="M447" t="s">
        <v>8</v>
      </c>
      <c r="N447" t="s">
        <v>8</v>
      </c>
      <c r="P447">
        <f t="shared" si="974"/>
        <v>0.46428571428571375</v>
      </c>
      <c r="Q447">
        <f t="shared" si="975"/>
        <v>678367.96857142774</v>
      </c>
      <c r="R447">
        <f t="shared" si="976"/>
        <v>-16621743.084909867</v>
      </c>
      <c r="S447">
        <f t="shared" si="977"/>
        <v>-166.21743084909866</v>
      </c>
      <c r="T447">
        <f t="shared" si="978"/>
        <v>-0.16621743084909865</v>
      </c>
    </row>
    <row r="448" spans="1:20" x14ac:dyDescent="0.25">
      <c r="A448" s="5">
        <v>44145</v>
      </c>
      <c r="B448">
        <v>0.26440000000000002</v>
      </c>
      <c r="C448">
        <v>0.2999</v>
      </c>
      <c r="D448">
        <v>0.26340000000000002</v>
      </c>
      <c r="E448">
        <v>0.27750000000000002</v>
      </c>
      <c r="F448">
        <v>1878317.45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-0.22739726027397203</v>
      </c>
      <c r="Q448">
        <f t="shared" si="975"/>
        <v>-427124.24205479346</v>
      </c>
      <c r="R448">
        <f t="shared" si="976"/>
        <v>-17300111.053481296</v>
      </c>
      <c r="S448">
        <f t="shared" si="977"/>
        <v>-173.00111053481297</v>
      </c>
      <c r="T448">
        <f t="shared" si="978"/>
        <v>-0.17300111053481296</v>
      </c>
    </row>
    <row r="449" spans="1:20" x14ac:dyDescent="0.25">
      <c r="A449" s="5">
        <v>44144</v>
      </c>
      <c r="B449">
        <v>0.25590000000000002</v>
      </c>
      <c r="C449">
        <v>0.2651</v>
      </c>
      <c r="D449">
        <v>0.2452</v>
      </c>
      <c r="E449">
        <v>0.26350000000000001</v>
      </c>
      <c r="F449">
        <v>621913.44999999995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0.83919597989949846</v>
      </c>
      <c r="Q449">
        <f t="shared" si="975"/>
        <v>521907.26708542771</v>
      </c>
      <c r="R449">
        <f t="shared" si="976"/>
        <v>-16872986.811426502</v>
      </c>
      <c r="S449">
        <f t="shared" si="977"/>
        <v>-168.72986811426503</v>
      </c>
      <c r="T449">
        <f t="shared" si="978"/>
        <v>-0.16872986811426502</v>
      </c>
    </row>
    <row r="450" spans="1:20" x14ac:dyDescent="0.25">
      <c r="A450" s="5">
        <v>44143</v>
      </c>
      <c r="B450">
        <v>0.24049999999999999</v>
      </c>
      <c r="C450">
        <v>0.26669999999999999</v>
      </c>
      <c r="D450">
        <v>0.2392</v>
      </c>
      <c r="E450">
        <v>0.25590000000000002</v>
      </c>
      <c r="F450">
        <v>692963.8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0.21454545454545618</v>
      </c>
      <c r="Q450">
        <f t="shared" si="975"/>
        <v>148672.2334545466</v>
      </c>
      <c r="R450">
        <f t="shared" si="976"/>
        <v>-17394894.078511931</v>
      </c>
      <c r="S450">
        <f t="shared" si="977"/>
        <v>-173.94894078511931</v>
      </c>
      <c r="T450">
        <f t="shared" si="978"/>
        <v>-0.1739489407851193</v>
      </c>
    </row>
    <row r="451" spans="1:20" x14ac:dyDescent="0.25">
      <c r="A451" s="5">
        <v>44142</v>
      </c>
      <c r="B451">
        <v>0.25019999999999998</v>
      </c>
      <c r="C451">
        <v>0.27939999999999998</v>
      </c>
      <c r="D451">
        <v>0.23250000000000001</v>
      </c>
      <c r="E451">
        <v>0.24049999999999999</v>
      </c>
      <c r="F451">
        <v>2626268.84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-0.65884861407249529</v>
      </c>
      <c r="Q451">
        <f t="shared" si="975"/>
        <v>-1730313.5854157798</v>
      </c>
      <c r="R451">
        <f t="shared" si="976"/>
        <v>-17543566.311966479</v>
      </c>
      <c r="S451">
        <f t="shared" si="977"/>
        <v>-175.43566311966478</v>
      </c>
      <c r="T451">
        <f t="shared" si="978"/>
        <v>-0.17543566311966477</v>
      </c>
    </row>
    <row r="452" spans="1:20" x14ac:dyDescent="0.25">
      <c r="A452" s="5">
        <v>44141</v>
      </c>
      <c r="B452">
        <v>0.23080000000000001</v>
      </c>
      <c r="C452">
        <v>0.25469999999999998</v>
      </c>
      <c r="D452">
        <v>0.22919999999999999</v>
      </c>
      <c r="E452">
        <v>0.25119999999999998</v>
      </c>
      <c r="F452">
        <v>700028.47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0.72549019607843113</v>
      </c>
      <c r="Q452">
        <f t="shared" si="975"/>
        <v>507863.79196078412</v>
      </c>
      <c r="R452">
        <f t="shared" si="976"/>
        <v>-15813252.726550698</v>
      </c>
      <c r="S452">
        <f t="shared" si="977"/>
        <v>-158.13252726550698</v>
      </c>
      <c r="T452">
        <f t="shared" si="978"/>
        <v>-0.15813252726550697</v>
      </c>
    </row>
    <row r="453" spans="1:20" x14ac:dyDescent="0.25">
      <c r="A453" s="5">
        <v>44140</v>
      </c>
      <c r="B453">
        <v>0.21890000000000001</v>
      </c>
      <c r="C453">
        <v>0.23089999999999999</v>
      </c>
      <c r="D453">
        <v>0.216</v>
      </c>
      <c r="E453">
        <v>0.23069999999999999</v>
      </c>
      <c r="F453">
        <v>587255.07999999996</v>
      </c>
      <c r="G453">
        <v>0</v>
      </c>
      <c r="L453" t="s">
        <v>7</v>
      </c>
      <c r="M453" t="s">
        <v>7</v>
      </c>
      <c r="N453" t="s">
        <v>7</v>
      </c>
      <c r="P453">
        <f t="shared" si="974"/>
        <v>0.97315436241610664</v>
      </c>
      <c r="Q453">
        <f t="shared" si="975"/>
        <v>571489.84295301966</v>
      </c>
      <c r="R453">
        <f t="shared" si="976"/>
        <v>-16321116.518511482</v>
      </c>
      <c r="S453">
        <f t="shared" si="977"/>
        <v>-163.21116518511482</v>
      </c>
      <c r="T453">
        <f t="shared" si="978"/>
        <v>-0.16321116518511483</v>
      </c>
    </row>
    <row r="454" spans="1:20" x14ac:dyDescent="0.25">
      <c r="A454" s="5">
        <v>44139</v>
      </c>
      <c r="B454">
        <v>0.22209999999999999</v>
      </c>
      <c r="C454">
        <v>0.2258</v>
      </c>
      <c r="D454">
        <v>0.214</v>
      </c>
      <c r="E454">
        <v>0.21779999999999999</v>
      </c>
      <c r="F454">
        <v>430247.49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-0.35593220338983117</v>
      </c>
      <c r="Q454">
        <f t="shared" ref="Q454:Q517" si="980">F454*P454</f>
        <v>-153138.93711864436</v>
      </c>
      <c r="R454">
        <f t="shared" ref="R454:R517" si="981">R455+Q454</f>
        <v>-16892606.3614645</v>
      </c>
      <c r="S454">
        <f t="shared" ref="S454:S517" si="982">R454/100000</f>
        <v>-168.92606361464502</v>
      </c>
      <c r="T454">
        <f t="shared" ref="T454:T517" si="983">S454/1000</f>
        <v>-0.16892606361464502</v>
      </c>
    </row>
    <row r="455" spans="1:20" x14ac:dyDescent="0.25">
      <c r="A455" s="5">
        <v>44138</v>
      </c>
      <c r="B455">
        <v>0.22739999999999999</v>
      </c>
      <c r="C455">
        <v>0.22739999999999999</v>
      </c>
      <c r="D455">
        <v>0.2155</v>
      </c>
      <c r="E455">
        <v>0.22170000000000001</v>
      </c>
      <c r="F455">
        <v>419273.54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4.2016806722691466E-2</v>
      </c>
      <c r="Q455">
        <f t="shared" si="980"/>
        <v>17616.53529411865</v>
      </c>
      <c r="R455">
        <f t="shared" si="981"/>
        <v>-16739467.424345855</v>
      </c>
      <c r="S455">
        <f t="shared" si="982"/>
        <v>-167.39467424345855</v>
      </c>
      <c r="T455">
        <f t="shared" si="983"/>
        <v>-0.16739467424345855</v>
      </c>
    </row>
    <row r="456" spans="1:20" x14ac:dyDescent="0.25">
      <c r="A456" s="5">
        <v>44137</v>
      </c>
      <c r="B456">
        <v>0.24479999999999999</v>
      </c>
      <c r="C456">
        <v>0.25080000000000002</v>
      </c>
      <c r="D456">
        <v>0.22689999999999999</v>
      </c>
      <c r="E456">
        <v>0.22750000000000001</v>
      </c>
      <c r="F456">
        <v>927804.58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-0.94979079497907815</v>
      </c>
      <c r="Q456">
        <f t="shared" si="980"/>
        <v>-881220.24962342961</v>
      </c>
      <c r="R456">
        <f t="shared" si="981"/>
        <v>-16757083.959639974</v>
      </c>
      <c r="S456">
        <f t="shared" si="982"/>
        <v>-167.57083959639974</v>
      </c>
      <c r="T456">
        <f t="shared" si="983"/>
        <v>-0.16757083959639973</v>
      </c>
    </row>
    <row r="457" spans="1:20" x14ac:dyDescent="0.25">
      <c r="A457" s="5">
        <v>44136</v>
      </c>
      <c r="B457">
        <v>0.24479999999999999</v>
      </c>
      <c r="C457">
        <v>0.24790000000000001</v>
      </c>
      <c r="D457">
        <v>0.24099999999999999</v>
      </c>
      <c r="E457">
        <v>0.24429999999999999</v>
      </c>
      <c r="F457">
        <v>313805.32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-4.3478260869568366E-2</v>
      </c>
      <c r="Q457">
        <f t="shared" si="980"/>
        <v>-13643.70956521838</v>
      </c>
      <c r="R457">
        <f t="shared" si="981"/>
        <v>-15875863.710016545</v>
      </c>
      <c r="S457">
        <f t="shared" si="982"/>
        <v>-158.75863710016546</v>
      </c>
      <c r="T457">
        <f t="shared" si="983"/>
        <v>-0.15875863710016547</v>
      </c>
    </row>
    <row r="458" spans="1:20" x14ac:dyDescent="0.25">
      <c r="A458" s="5">
        <v>44135</v>
      </c>
      <c r="B458">
        <v>0.24440000000000001</v>
      </c>
      <c r="C458">
        <v>0.25359999999999999</v>
      </c>
      <c r="D458">
        <v>0.24410000000000001</v>
      </c>
      <c r="E458">
        <v>0.24529999999999999</v>
      </c>
      <c r="F458">
        <v>323821.96000000002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-0.74736842105263557</v>
      </c>
      <c r="Q458">
        <f t="shared" si="980"/>
        <v>-242014.30694736974</v>
      </c>
      <c r="R458">
        <f t="shared" si="981"/>
        <v>-15862220.000451326</v>
      </c>
      <c r="S458">
        <f t="shared" si="982"/>
        <v>-158.62220000451327</v>
      </c>
      <c r="T458">
        <f t="shared" si="983"/>
        <v>-0.15862220000451327</v>
      </c>
    </row>
    <row r="459" spans="1:20" x14ac:dyDescent="0.25">
      <c r="A459" s="5">
        <v>44134</v>
      </c>
      <c r="B459">
        <v>0.25409999999999999</v>
      </c>
      <c r="C459">
        <v>0.25580000000000003</v>
      </c>
      <c r="D459">
        <v>0.23899999999999999</v>
      </c>
      <c r="E459">
        <v>0.2447</v>
      </c>
      <c r="F459">
        <v>870959.5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-0.32142857142857167</v>
      </c>
      <c r="Q459">
        <f t="shared" si="980"/>
        <v>-279951.26785714307</v>
      </c>
      <c r="R459">
        <f t="shared" si="981"/>
        <v>-15620205.693503957</v>
      </c>
      <c r="S459">
        <f t="shared" si="982"/>
        <v>-156.20205693503956</v>
      </c>
      <c r="T459">
        <f t="shared" si="983"/>
        <v>-0.15620205693503955</v>
      </c>
    </row>
    <row r="460" spans="1:20" x14ac:dyDescent="0.25">
      <c r="A460" s="5">
        <v>44133</v>
      </c>
      <c r="B460">
        <v>0.24640000000000001</v>
      </c>
      <c r="C460">
        <v>0.27910000000000001</v>
      </c>
      <c r="D460">
        <v>0.24349999999999999</v>
      </c>
      <c r="E460">
        <v>0.25359999999999999</v>
      </c>
      <c r="F460">
        <v>1431164.1</v>
      </c>
      <c r="G460">
        <v>0</v>
      </c>
      <c r="L460" t="s">
        <v>8</v>
      </c>
      <c r="M460" t="s">
        <v>7</v>
      </c>
      <c r="N460" t="s">
        <v>7</v>
      </c>
      <c r="P460">
        <f t="shared" si="979"/>
        <v>-0.43258426966292179</v>
      </c>
      <c r="Q460">
        <f t="shared" si="980"/>
        <v>-619099.07696629281</v>
      </c>
      <c r="R460">
        <f t="shared" si="981"/>
        <v>-15340254.425646814</v>
      </c>
      <c r="S460">
        <f t="shared" si="982"/>
        <v>-153.40254425646813</v>
      </c>
      <c r="T460">
        <f t="shared" si="983"/>
        <v>-0.15340254425646813</v>
      </c>
    </row>
    <row r="461" spans="1:20" x14ac:dyDescent="0.25">
      <c r="A461" s="5">
        <v>44132</v>
      </c>
      <c r="B461">
        <v>0.26819999999999999</v>
      </c>
      <c r="C461">
        <v>0.27010000000000001</v>
      </c>
      <c r="D461">
        <v>0.2409</v>
      </c>
      <c r="E461">
        <v>0.24579999999999999</v>
      </c>
      <c r="F461">
        <v>985426.92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-0.6643835616438365</v>
      </c>
      <c r="Q461">
        <f t="shared" si="980"/>
        <v>-654701.44684931601</v>
      </c>
      <c r="R461">
        <f t="shared" si="981"/>
        <v>-14721155.34868052</v>
      </c>
      <c r="S461">
        <f t="shared" si="982"/>
        <v>-147.2115534868052</v>
      </c>
      <c r="T461">
        <f t="shared" si="983"/>
        <v>-0.1472115534868052</v>
      </c>
    </row>
    <row r="462" spans="1:20" x14ac:dyDescent="0.25">
      <c r="A462" s="5">
        <v>44131</v>
      </c>
      <c r="B462">
        <v>0.25240000000000001</v>
      </c>
      <c r="C462">
        <v>0.26869999999999999</v>
      </c>
      <c r="D462">
        <v>0.247</v>
      </c>
      <c r="E462">
        <v>0.2661</v>
      </c>
      <c r="F462">
        <v>844232.74</v>
      </c>
      <c r="G462">
        <v>0</v>
      </c>
      <c r="L462" t="s">
        <v>8</v>
      </c>
      <c r="M462" t="s">
        <v>7</v>
      </c>
      <c r="N462" t="s">
        <v>7</v>
      </c>
      <c r="P462">
        <f t="shared" si="979"/>
        <v>0.76036866359447086</v>
      </c>
      <c r="Q462">
        <f t="shared" si="980"/>
        <v>641928.12027649838</v>
      </c>
      <c r="R462">
        <f t="shared" si="981"/>
        <v>-14066453.901831204</v>
      </c>
      <c r="S462">
        <f t="shared" si="982"/>
        <v>-140.66453901831204</v>
      </c>
      <c r="T462">
        <f t="shared" si="983"/>
        <v>-0.14066453901831205</v>
      </c>
    </row>
    <row r="463" spans="1:20" x14ac:dyDescent="0.25">
      <c r="A463" s="5">
        <v>44130</v>
      </c>
      <c r="B463">
        <v>0.25390000000000001</v>
      </c>
      <c r="C463">
        <v>0.26369999999999999</v>
      </c>
      <c r="D463">
        <v>0.2382</v>
      </c>
      <c r="E463">
        <v>0.2525</v>
      </c>
      <c r="F463">
        <v>820345.5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0.12156862745098118</v>
      </c>
      <c r="Q463">
        <f t="shared" si="980"/>
        <v>99728.276470588884</v>
      </c>
      <c r="R463">
        <f t="shared" si="981"/>
        <v>-14708382.022107702</v>
      </c>
      <c r="S463">
        <f t="shared" si="982"/>
        <v>-147.08382022107702</v>
      </c>
      <c r="T463">
        <f t="shared" si="983"/>
        <v>-0.14708382022107702</v>
      </c>
    </row>
    <row r="464" spans="1:20" x14ac:dyDescent="0.25">
      <c r="A464" s="5">
        <v>44129</v>
      </c>
      <c r="B464">
        <v>0.26300000000000001</v>
      </c>
      <c r="C464">
        <v>0.26319999999999999</v>
      </c>
      <c r="D464">
        <v>0.25180000000000002</v>
      </c>
      <c r="E464">
        <v>0.25490000000000002</v>
      </c>
      <c r="F464">
        <v>361213.49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-0.45614035087719279</v>
      </c>
      <c r="Q464">
        <f t="shared" si="980"/>
        <v>-164764.04807017537</v>
      </c>
      <c r="R464">
        <f t="shared" si="981"/>
        <v>-14808110.29857829</v>
      </c>
      <c r="S464">
        <f t="shared" si="982"/>
        <v>-148.08110298578291</v>
      </c>
      <c r="T464">
        <f t="shared" si="983"/>
        <v>-0.14808110298578289</v>
      </c>
    </row>
    <row r="465" spans="1:20" x14ac:dyDescent="0.25">
      <c r="A465" s="5">
        <v>44128</v>
      </c>
      <c r="B465">
        <v>0.26050000000000001</v>
      </c>
      <c r="C465">
        <v>0.26500000000000001</v>
      </c>
      <c r="D465">
        <v>0.25850000000000001</v>
      </c>
      <c r="E465">
        <v>0.26290000000000002</v>
      </c>
      <c r="F465">
        <v>377684.18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0.35384615384615725</v>
      </c>
      <c r="Q465">
        <f t="shared" si="980"/>
        <v>133642.09446153973</v>
      </c>
      <c r="R465">
        <f t="shared" si="981"/>
        <v>-14643346.250508115</v>
      </c>
      <c r="S465">
        <f t="shared" si="982"/>
        <v>-146.43346250508114</v>
      </c>
      <c r="T465">
        <f t="shared" si="983"/>
        <v>-0.14643346250508113</v>
      </c>
    </row>
    <row r="466" spans="1:20" x14ac:dyDescent="0.25">
      <c r="A466" s="5">
        <v>44127</v>
      </c>
      <c r="B466">
        <v>0.26719999999999999</v>
      </c>
      <c r="C466">
        <v>0.27450000000000002</v>
      </c>
      <c r="D466">
        <v>0.25800000000000001</v>
      </c>
      <c r="E466">
        <v>0.26040000000000002</v>
      </c>
      <c r="F466">
        <v>386790.40000000002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-0.70909090909090777</v>
      </c>
      <c r="Q466">
        <f t="shared" si="980"/>
        <v>-274269.55636363587</v>
      </c>
      <c r="R466">
        <f t="shared" si="981"/>
        <v>-14776988.344969654</v>
      </c>
      <c r="S466">
        <f t="shared" si="982"/>
        <v>-147.76988344969655</v>
      </c>
      <c r="T466">
        <f t="shared" si="983"/>
        <v>-0.14776988344969655</v>
      </c>
    </row>
    <row r="467" spans="1:20" x14ac:dyDescent="0.25">
      <c r="A467" s="5">
        <v>44126</v>
      </c>
      <c r="B467">
        <v>0.26129999999999998</v>
      </c>
      <c r="C467">
        <v>0.2828</v>
      </c>
      <c r="D467">
        <v>0.25950000000000001</v>
      </c>
      <c r="E467">
        <v>0.26719999999999999</v>
      </c>
      <c r="F467">
        <v>836971.5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-0.33905579399141728</v>
      </c>
      <c r="Q467">
        <f t="shared" si="980"/>
        <v>-283780.0364806875</v>
      </c>
      <c r="R467">
        <f t="shared" si="981"/>
        <v>-14502718.788606018</v>
      </c>
      <c r="S467">
        <f t="shared" si="982"/>
        <v>-145.02718788606018</v>
      </c>
      <c r="T467">
        <f t="shared" si="983"/>
        <v>-0.14502718788606017</v>
      </c>
    </row>
    <row r="468" spans="1:20" x14ac:dyDescent="0.25">
      <c r="A468" s="5">
        <v>44125</v>
      </c>
      <c r="B468">
        <v>0.25</v>
      </c>
      <c r="C468">
        <v>0.2712</v>
      </c>
      <c r="D468">
        <v>0.2492</v>
      </c>
      <c r="E468">
        <v>0.26240000000000002</v>
      </c>
      <c r="F468">
        <v>989460.53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0.20000000000000201</v>
      </c>
      <c r="Q468">
        <f t="shared" si="980"/>
        <v>197892.10600000201</v>
      </c>
      <c r="R468">
        <f t="shared" si="981"/>
        <v>-14218938.75212533</v>
      </c>
      <c r="S468">
        <f t="shared" si="982"/>
        <v>-142.18938752125331</v>
      </c>
      <c r="T468">
        <f t="shared" si="983"/>
        <v>-0.14218938752125332</v>
      </c>
    </row>
    <row r="469" spans="1:20" x14ac:dyDescent="0.25">
      <c r="A469" s="5">
        <v>44124</v>
      </c>
      <c r="B469">
        <v>0.25850000000000001</v>
      </c>
      <c r="C469">
        <v>0.26279999999999998</v>
      </c>
      <c r="D469">
        <v>0.2447</v>
      </c>
      <c r="E469">
        <v>0.24990000000000001</v>
      </c>
      <c r="F469">
        <v>570285.54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-0.42541436464088211</v>
      </c>
      <c r="Q469">
        <f t="shared" si="980"/>
        <v>-242607.66066298238</v>
      </c>
      <c r="R469">
        <f t="shared" si="981"/>
        <v>-14416830.858125333</v>
      </c>
      <c r="S469">
        <f t="shared" si="982"/>
        <v>-144.16830858125331</v>
      </c>
      <c r="T469">
        <f t="shared" si="983"/>
        <v>-0.14416830858125332</v>
      </c>
    </row>
    <row r="470" spans="1:20" x14ac:dyDescent="0.25">
      <c r="A470" s="5">
        <v>44123</v>
      </c>
      <c r="B470">
        <v>0.2671</v>
      </c>
      <c r="C470">
        <v>0.26819999999999999</v>
      </c>
      <c r="D470">
        <v>0.2555</v>
      </c>
      <c r="E470">
        <v>0.2581</v>
      </c>
      <c r="F470">
        <v>497809.03</v>
      </c>
      <c r="G470">
        <v>0</v>
      </c>
      <c r="L470" t="s">
        <v>8</v>
      </c>
      <c r="M470" t="s">
        <v>7</v>
      </c>
      <c r="N470" t="s">
        <v>7</v>
      </c>
      <c r="P470">
        <f t="shared" si="979"/>
        <v>-0.59055118110236327</v>
      </c>
      <c r="Q470">
        <f t="shared" si="980"/>
        <v>-293981.71062992181</v>
      </c>
      <c r="R470">
        <f t="shared" si="981"/>
        <v>-14174223.19746235</v>
      </c>
      <c r="S470">
        <f t="shared" si="982"/>
        <v>-141.74223197462351</v>
      </c>
      <c r="T470">
        <f t="shared" si="983"/>
        <v>-0.14174223197462352</v>
      </c>
    </row>
    <row r="471" spans="1:20" x14ac:dyDescent="0.25">
      <c r="A471" s="5">
        <v>44122</v>
      </c>
      <c r="B471">
        <v>0.26400000000000001</v>
      </c>
      <c r="C471">
        <v>0.27189999999999998</v>
      </c>
      <c r="D471">
        <v>0.26069999999999999</v>
      </c>
      <c r="E471">
        <v>0.26690000000000003</v>
      </c>
      <c r="F471">
        <v>391514.75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0.10714285714286528</v>
      </c>
      <c r="Q471">
        <f t="shared" si="980"/>
        <v>41948.008928574614</v>
      </c>
      <c r="R471">
        <f t="shared" si="981"/>
        <v>-13880241.486832429</v>
      </c>
      <c r="S471">
        <f t="shared" si="982"/>
        <v>-138.80241486832429</v>
      </c>
      <c r="T471">
        <f t="shared" si="983"/>
        <v>-0.13880241486832429</v>
      </c>
    </row>
    <row r="472" spans="1:20" x14ac:dyDescent="0.25">
      <c r="A472" s="5">
        <v>44121</v>
      </c>
      <c r="B472">
        <v>0.24829999999999999</v>
      </c>
      <c r="C472">
        <v>0.27589999999999998</v>
      </c>
      <c r="D472">
        <v>0.248</v>
      </c>
      <c r="E472">
        <v>0.26400000000000001</v>
      </c>
      <c r="F472">
        <v>1091068.06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0.14695340501792298</v>
      </c>
      <c r="Q472">
        <f t="shared" si="980"/>
        <v>160336.1665232995</v>
      </c>
      <c r="R472">
        <f t="shared" si="981"/>
        <v>-13922189.495761003</v>
      </c>
      <c r="S472">
        <f t="shared" si="982"/>
        <v>-139.22189495761003</v>
      </c>
      <c r="T472">
        <f t="shared" si="983"/>
        <v>-0.13922189495761003</v>
      </c>
    </row>
    <row r="473" spans="1:20" x14ac:dyDescent="0.25">
      <c r="A473" s="5">
        <v>44120</v>
      </c>
      <c r="B473">
        <v>0.25580000000000003</v>
      </c>
      <c r="C473">
        <v>0.2606</v>
      </c>
      <c r="D473">
        <v>0.2374</v>
      </c>
      <c r="E473">
        <v>0.24840000000000001</v>
      </c>
      <c r="F473">
        <v>706471.91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-5.1724137931033573E-2</v>
      </c>
      <c r="Q473">
        <f t="shared" si="980"/>
        <v>-36541.650517240741</v>
      </c>
      <c r="R473">
        <f t="shared" si="981"/>
        <v>-14082525.662284303</v>
      </c>
      <c r="S473">
        <f t="shared" si="982"/>
        <v>-140.82525662284303</v>
      </c>
      <c r="T473">
        <f t="shared" si="983"/>
        <v>-0.14082525662284304</v>
      </c>
    </row>
    <row r="474" spans="1:20" x14ac:dyDescent="0.25">
      <c r="A474" s="5">
        <v>44119</v>
      </c>
      <c r="B474">
        <v>0.2616</v>
      </c>
      <c r="C474">
        <v>0.2626</v>
      </c>
      <c r="D474">
        <v>0.25190000000000001</v>
      </c>
      <c r="E474">
        <v>0.25590000000000002</v>
      </c>
      <c r="F474">
        <v>333476.59000000003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-0.25233644859812931</v>
      </c>
      <c r="Q474">
        <f t="shared" si="980"/>
        <v>-84148.298411214448</v>
      </c>
      <c r="R474">
        <f t="shared" si="981"/>
        <v>-14045984.011767063</v>
      </c>
      <c r="S474">
        <f t="shared" si="982"/>
        <v>-140.45984011767064</v>
      </c>
      <c r="T474">
        <f t="shared" si="983"/>
        <v>-0.14045984011767063</v>
      </c>
    </row>
    <row r="475" spans="1:20" x14ac:dyDescent="0.25">
      <c r="A475" s="5">
        <v>44118</v>
      </c>
      <c r="B475">
        <v>0.2727</v>
      </c>
      <c r="C475">
        <v>0.27360000000000001</v>
      </c>
      <c r="D475">
        <v>0.25650000000000001</v>
      </c>
      <c r="E475">
        <v>0.26219999999999999</v>
      </c>
      <c r="F475">
        <v>539204.35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-0.33333333333333548</v>
      </c>
      <c r="Q475">
        <f t="shared" si="980"/>
        <v>-179734.78333333449</v>
      </c>
      <c r="R475">
        <f t="shared" si="981"/>
        <v>-13961835.713355849</v>
      </c>
      <c r="S475">
        <f t="shared" si="982"/>
        <v>-139.61835713355848</v>
      </c>
      <c r="T475">
        <f t="shared" si="983"/>
        <v>-0.13961835713355847</v>
      </c>
    </row>
    <row r="476" spans="1:20" x14ac:dyDescent="0.25">
      <c r="A476" s="5">
        <v>44117</v>
      </c>
      <c r="B476">
        <v>0.25969999999999999</v>
      </c>
      <c r="C476">
        <v>0.28539999999999999</v>
      </c>
      <c r="D476">
        <v>0.25530000000000003</v>
      </c>
      <c r="E476">
        <v>0.27279999999999999</v>
      </c>
      <c r="F476">
        <v>830082.6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0.16279069767441748</v>
      </c>
      <c r="Q476">
        <f t="shared" si="980"/>
        <v>135129.72558139442</v>
      </c>
      <c r="R476">
        <f t="shared" si="981"/>
        <v>-13782100.930022513</v>
      </c>
      <c r="S476">
        <f t="shared" si="982"/>
        <v>-137.82100930022514</v>
      </c>
      <c r="T476">
        <f t="shared" si="983"/>
        <v>-0.13782100930022514</v>
      </c>
    </row>
    <row r="477" spans="1:20" x14ac:dyDescent="0.25">
      <c r="A477" s="5">
        <v>44116</v>
      </c>
      <c r="B477">
        <v>0.26</v>
      </c>
      <c r="C477">
        <v>0.2681</v>
      </c>
      <c r="D477">
        <v>0.252</v>
      </c>
      <c r="E477">
        <v>0.25800000000000001</v>
      </c>
      <c r="F477">
        <v>1007983.93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-0.25465838509316718</v>
      </c>
      <c r="Q477">
        <f t="shared" si="980"/>
        <v>-256691.55981366409</v>
      </c>
      <c r="R477">
        <f t="shared" si="981"/>
        <v>-13917230.655603908</v>
      </c>
      <c r="S477">
        <f t="shared" si="982"/>
        <v>-139.17230655603908</v>
      </c>
      <c r="T477">
        <f t="shared" si="983"/>
        <v>-0.13917230655603907</v>
      </c>
    </row>
    <row r="478" spans="1:20" x14ac:dyDescent="0.25">
      <c r="A478" s="5">
        <v>44115</v>
      </c>
      <c r="B478">
        <v>0.2631</v>
      </c>
      <c r="C478">
        <v>0.26779999999999998</v>
      </c>
      <c r="D478">
        <v>0.25600000000000001</v>
      </c>
      <c r="E478">
        <v>0.2601</v>
      </c>
      <c r="F478">
        <v>451838.04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-0.30508474576271177</v>
      </c>
      <c r="Q478">
        <f t="shared" si="980"/>
        <v>-137848.89355932199</v>
      </c>
      <c r="R478">
        <f t="shared" si="981"/>
        <v>-13660539.095790245</v>
      </c>
      <c r="S478">
        <f t="shared" si="982"/>
        <v>-136.60539095790244</v>
      </c>
      <c r="T478">
        <f t="shared" si="983"/>
        <v>-0.13660539095790245</v>
      </c>
    </row>
    <row r="479" spans="1:20" x14ac:dyDescent="0.25">
      <c r="A479" s="5">
        <v>44114</v>
      </c>
      <c r="B479">
        <v>0.27150000000000002</v>
      </c>
      <c r="C479">
        <v>0.27789999999999998</v>
      </c>
      <c r="D479">
        <v>0.26100000000000001</v>
      </c>
      <c r="E479">
        <v>0.2621</v>
      </c>
      <c r="F479">
        <v>560140.01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-0.86982248520710159</v>
      </c>
      <c r="Q479">
        <f t="shared" si="980"/>
        <v>-487222.37556213076</v>
      </c>
      <c r="R479">
        <f t="shared" si="981"/>
        <v>-13522690.202230923</v>
      </c>
      <c r="S479">
        <f t="shared" si="982"/>
        <v>-135.22690202230922</v>
      </c>
      <c r="T479">
        <f t="shared" si="983"/>
        <v>-0.13522690202230922</v>
      </c>
    </row>
    <row r="480" spans="1:20" x14ac:dyDescent="0.25">
      <c r="A480" s="5">
        <v>44113</v>
      </c>
      <c r="B480">
        <v>0.26069999999999999</v>
      </c>
      <c r="C480">
        <v>0.2747</v>
      </c>
      <c r="D480">
        <v>0.25459999999999999</v>
      </c>
      <c r="E480">
        <v>0.27150000000000002</v>
      </c>
      <c r="F480">
        <v>689299.01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0.68159203980099703</v>
      </c>
      <c r="Q480">
        <f t="shared" si="980"/>
        <v>469820.71825870784</v>
      </c>
      <c r="R480">
        <f t="shared" si="981"/>
        <v>-13035467.826668791</v>
      </c>
      <c r="S480">
        <f t="shared" si="982"/>
        <v>-130.35467826668793</v>
      </c>
      <c r="T480">
        <f t="shared" si="983"/>
        <v>-0.13035467826668792</v>
      </c>
    </row>
    <row r="481" spans="1:20" x14ac:dyDescent="0.25">
      <c r="A481" s="5">
        <v>44112</v>
      </c>
      <c r="B481">
        <v>0.2414</v>
      </c>
      <c r="C481">
        <v>0.26129999999999998</v>
      </c>
      <c r="D481">
        <v>0.23069999999999999</v>
      </c>
      <c r="E481">
        <v>0.2601</v>
      </c>
      <c r="F481">
        <v>844052.32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0.92156862745098178</v>
      </c>
      <c r="Q481">
        <f t="shared" si="980"/>
        <v>777852.13803921686</v>
      </c>
      <c r="R481">
        <f t="shared" si="981"/>
        <v>-13505288.5449275</v>
      </c>
      <c r="S481">
        <f t="shared" si="982"/>
        <v>-135.05288544927501</v>
      </c>
      <c r="T481">
        <f t="shared" si="983"/>
        <v>-0.13505288544927502</v>
      </c>
    </row>
    <row r="482" spans="1:20" x14ac:dyDescent="0.25">
      <c r="A482" s="5">
        <v>44111</v>
      </c>
      <c r="B482">
        <v>0.2374</v>
      </c>
      <c r="C482">
        <v>0.24249999999999999</v>
      </c>
      <c r="D482">
        <v>0.2301</v>
      </c>
      <c r="E482">
        <v>0.2409</v>
      </c>
      <c r="F482">
        <v>533322.43999999994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0.74193548387096919</v>
      </c>
      <c r="Q482">
        <f t="shared" si="980"/>
        <v>395690.84258064587</v>
      </c>
      <c r="R482">
        <f t="shared" si="981"/>
        <v>-14283140.682966717</v>
      </c>
      <c r="S482">
        <f t="shared" si="982"/>
        <v>-142.83140682966717</v>
      </c>
      <c r="T482">
        <f t="shared" si="983"/>
        <v>-0.14283140682966716</v>
      </c>
    </row>
    <row r="483" spans="1:20" x14ac:dyDescent="0.25">
      <c r="A483" s="5">
        <v>44110</v>
      </c>
      <c r="B483">
        <v>0.25590000000000002</v>
      </c>
      <c r="C483">
        <v>0.25769999999999998</v>
      </c>
      <c r="D483">
        <v>0.23150000000000001</v>
      </c>
      <c r="E483">
        <v>0.23799999999999999</v>
      </c>
      <c r="F483">
        <v>995285.7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-0.50381679389313094</v>
      </c>
      <c r="Q483">
        <f t="shared" si="980"/>
        <v>-501441.65038168052</v>
      </c>
      <c r="R483">
        <f t="shared" si="981"/>
        <v>-14678831.525547363</v>
      </c>
      <c r="S483">
        <f t="shared" si="982"/>
        <v>-146.78831525547363</v>
      </c>
      <c r="T483">
        <f t="shared" si="983"/>
        <v>-0.14678831525547364</v>
      </c>
    </row>
    <row r="484" spans="1:20" x14ac:dyDescent="0.25">
      <c r="A484" s="5">
        <v>44109</v>
      </c>
      <c r="B484">
        <v>0.26040000000000002</v>
      </c>
      <c r="C484">
        <v>0.2636</v>
      </c>
      <c r="D484">
        <v>0.25119999999999998</v>
      </c>
      <c r="E484">
        <v>0.25580000000000003</v>
      </c>
      <c r="F484">
        <v>375941.94</v>
      </c>
      <c r="G484">
        <v>0</v>
      </c>
      <c r="L484" t="s">
        <v>8</v>
      </c>
      <c r="M484" t="s">
        <v>7</v>
      </c>
      <c r="N484" t="s">
        <v>8</v>
      </c>
      <c r="P484">
        <f t="shared" si="979"/>
        <v>-0.25806451612902576</v>
      </c>
      <c r="Q484">
        <f t="shared" si="980"/>
        <v>-97017.274838707235</v>
      </c>
      <c r="R484">
        <f t="shared" si="981"/>
        <v>-14177389.875165682</v>
      </c>
      <c r="S484">
        <f t="shared" si="982"/>
        <v>-141.77389875165682</v>
      </c>
      <c r="T484">
        <f t="shared" si="983"/>
        <v>-0.14177389875165683</v>
      </c>
    </row>
    <row r="485" spans="1:20" x14ac:dyDescent="0.25">
      <c r="A485" s="5">
        <v>44108</v>
      </c>
      <c r="B485">
        <v>0.24690000000000001</v>
      </c>
      <c r="C485">
        <v>0.2626</v>
      </c>
      <c r="D485">
        <v>0.2455</v>
      </c>
      <c r="E485">
        <v>0.26040000000000002</v>
      </c>
      <c r="F485">
        <v>463442.38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0.74269005847953462</v>
      </c>
      <c r="Q485">
        <f t="shared" si="980"/>
        <v>344194.0483040947</v>
      </c>
      <c r="R485">
        <f t="shared" si="981"/>
        <v>-14080372.600326976</v>
      </c>
      <c r="S485">
        <f t="shared" si="982"/>
        <v>-140.80372600326976</v>
      </c>
      <c r="T485">
        <f t="shared" si="983"/>
        <v>-0.14080372600326976</v>
      </c>
    </row>
    <row r="486" spans="1:20" x14ac:dyDescent="0.25">
      <c r="A486" s="5">
        <v>44107</v>
      </c>
      <c r="B486">
        <v>0.25600000000000001</v>
      </c>
      <c r="C486">
        <v>0.26390000000000002</v>
      </c>
      <c r="D486">
        <v>0.246</v>
      </c>
      <c r="E486">
        <v>0.24790000000000001</v>
      </c>
      <c r="F486">
        <v>473491.02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-0.7877094972067028</v>
      </c>
      <c r="Q486">
        <f t="shared" si="980"/>
        <v>-372973.37329608889</v>
      </c>
      <c r="R486">
        <f t="shared" si="981"/>
        <v>-14424566.64863107</v>
      </c>
      <c r="S486">
        <f t="shared" si="982"/>
        <v>-144.24566648631071</v>
      </c>
      <c r="T486">
        <f t="shared" si="983"/>
        <v>-0.14424566648631071</v>
      </c>
    </row>
    <row r="487" spans="1:20" x14ac:dyDescent="0.25">
      <c r="A487" s="5">
        <v>44106</v>
      </c>
      <c r="B487">
        <v>0.2762</v>
      </c>
      <c r="C487">
        <v>0.27860000000000001</v>
      </c>
      <c r="D487">
        <v>0.2442</v>
      </c>
      <c r="E487">
        <v>0.25590000000000002</v>
      </c>
      <c r="F487">
        <v>1506013.5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-0.31976744186046446</v>
      </c>
      <c r="Q487">
        <f t="shared" si="980"/>
        <v>-481574.08430232457</v>
      </c>
      <c r="R487">
        <f t="shared" si="981"/>
        <v>-14051593.27533498</v>
      </c>
      <c r="S487">
        <f t="shared" si="982"/>
        <v>-140.5159327533498</v>
      </c>
      <c r="T487">
        <f t="shared" si="983"/>
        <v>-0.14051593275334981</v>
      </c>
    </row>
    <row r="488" spans="1:20" x14ac:dyDescent="0.25">
      <c r="A488" s="5">
        <v>44105</v>
      </c>
      <c r="B488">
        <v>0.29870000000000002</v>
      </c>
      <c r="C488">
        <v>0.30380000000000001</v>
      </c>
      <c r="D488">
        <v>0.26529999999999998</v>
      </c>
      <c r="E488">
        <v>0.27600000000000002</v>
      </c>
      <c r="F488">
        <v>1095995.72</v>
      </c>
      <c r="G488">
        <v>0</v>
      </c>
      <c r="L488" t="s">
        <v>7</v>
      </c>
      <c r="M488" t="s">
        <v>7</v>
      </c>
      <c r="N488" t="s">
        <v>8</v>
      </c>
      <c r="P488">
        <f t="shared" si="979"/>
        <v>-0.44415584415584242</v>
      </c>
      <c r="Q488">
        <f t="shared" si="980"/>
        <v>-486792.90420779027</v>
      </c>
      <c r="R488">
        <f t="shared" si="981"/>
        <v>-13570019.191032656</v>
      </c>
      <c r="S488">
        <f t="shared" si="982"/>
        <v>-135.70019191032657</v>
      </c>
      <c r="T488">
        <f t="shared" si="983"/>
        <v>-0.13570019191032656</v>
      </c>
    </row>
    <row r="489" spans="1:20" x14ac:dyDescent="0.25">
      <c r="A489" s="5">
        <v>44104</v>
      </c>
      <c r="B489">
        <v>0.2908</v>
      </c>
      <c r="C489">
        <v>0.30399999999999999</v>
      </c>
      <c r="D489">
        <v>0.28100000000000003</v>
      </c>
      <c r="E489">
        <v>0.29849999999999999</v>
      </c>
      <c r="F489">
        <v>534616.80000000005</v>
      </c>
      <c r="G489">
        <v>0</v>
      </c>
      <c r="L489" t="s">
        <v>8</v>
      </c>
      <c r="M489" t="s">
        <v>8</v>
      </c>
      <c r="N489" t="s">
        <v>8</v>
      </c>
      <c r="P489">
        <f t="shared" si="979"/>
        <v>0.52173913043478148</v>
      </c>
      <c r="Q489">
        <f t="shared" si="980"/>
        <v>278930.50434782548</v>
      </c>
      <c r="R489">
        <f t="shared" si="981"/>
        <v>-13083226.286824865</v>
      </c>
      <c r="S489">
        <f t="shared" si="982"/>
        <v>-130.83226286824865</v>
      </c>
      <c r="T489">
        <f t="shared" si="983"/>
        <v>-0.13083226286824864</v>
      </c>
    </row>
    <row r="490" spans="1:20" x14ac:dyDescent="0.25">
      <c r="A490" s="5">
        <v>44103</v>
      </c>
      <c r="B490">
        <v>0.28989999999999999</v>
      </c>
      <c r="C490">
        <v>0.29780000000000001</v>
      </c>
      <c r="D490">
        <v>0.28000000000000003</v>
      </c>
      <c r="E490">
        <v>0.2918</v>
      </c>
      <c r="F490">
        <v>539063.46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0.32584269662921223</v>
      </c>
      <c r="Q490">
        <f t="shared" si="980"/>
        <v>175649.89146067348</v>
      </c>
      <c r="R490">
        <f t="shared" si="981"/>
        <v>-13362156.791172691</v>
      </c>
      <c r="S490">
        <f t="shared" si="982"/>
        <v>-133.62156791172691</v>
      </c>
      <c r="T490">
        <f t="shared" si="983"/>
        <v>-0.13362156791172691</v>
      </c>
    </row>
    <row r="491" spans="1:20" x14ac:dyDescent="0.25">
      <c r="A491" s="5">
        <v>44102</v>
      </c>
      <c r="B491">
        <v>0.28920000000000001</v>
      </c>
      <c r="C491">
        <v>0.30859999999999999</v>
      </c>
      <c r="D491">
        <v>0.28389999999999999</v>
      </c>
      <c r="E491">
        <v>0.2898</v>
      </c>
      <c r="F491">
        <v>1013438.45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-0.5222672064777315</v>
      </c>
      <c r="Q491">
        <f t="shared" si="980"/>
        <v>-529285.6682186221</v>
      </c>
      <c r="R491">
        <f t="shared" si="981"/>
        <v>-13537806.682633365</v>
      </c>
      <c r="S491">
        <f t="shared" si="982"/>
        <v>-135.37806682633365</v>
      </c>
      <c r="T491">
        <f t="shared" si="983"/>
        <v>-0.13537806682633366</v>
      </c>
    </row>
    <row r="492" spans="1:20" x14ac:dyDescent="0.25">
      <c r="A492" s="5">
        <v>44101</v>
      </c>
      <c r="B492">
        <v>0.30349999999999999</v>
      </c>
      <c r="C492">
        <v>0.31369999999999998</v>
      </c>
      <c r="D492">
        <v>0.27750000000000002</v>
      </c>
      <c r="E492">
        <v>0.28910000000000002</v>
      </c>
      <c r="F492">
        <v>957670.6</v>
      </c>
      <c r="G492">
        <v>0</v>
      </c>
      <c r="L492" t="s">
        <v>7</v>
      </c>
      <c r="M492" t="s">
        <v>8</v>
      </c>
      <c r="N492" t="s">
        <v>8</v>
      </c>
      <c r="P492">
        <f t="shared" si="979"/>
        <v>-0.35911602209944676</v>
      </c>
      <c r="Q492">
        <f t="shared" si="980"/>
        <v>-343914.85635359044</v>
      </c>
      <c r="R492">
        <f t="shared" si="981"/>
        <v>-13008521.014414743</v>
      </c>
      <c r="S492">
        <f t="shared" si="982"/>
        <v>-130.08521014414742</v>
      </c>
      <c r="T492">
        <f t="shared" si="983"/>
        <v>-0.13008521014414742</v>
      </c>
    </row>
    <row r="493" spans="1:20" x14ac:dyDescent="0.25">
      <c r="A493" s="5">
        <v>44100</v>
      </c>
      <c r="B493">
        <v>0.28770000000000001</v>
      </c>
      <c r="C493">
        <v>0.31869999999999998</v>
      </c>
      <c r="D493">
        <v>0.2853</v>
      </c>
      <c r="E493">
        <v>0.30349999999999999</v>
      </c>
      <c r="F493">
        <v>1377117.38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8.9820359281437251E-2</v>
      </c>
      <c r="Q493">
        <f t="shared" si="980"/>
        <v>123693.17784431153</v>
      </c>
      <c r="R493">
        <f t="shared" si="981"/>
        <v>-12664606.158061152</v>
      </c>
      <c r="S493">
        <f t="shared" si="982"/>
        <v>-126.64606158061153</v>
      </c>
      <c r="T493">
        <f t="shared" si="983"/>
        <v>-0.12664606158061154</v>
      </c>
    </row>
    <row r="494" spans="1:20" x14ac:dyDescent="0.25">
      <c r="A494" s="5">
        <v>44099</v>
      </c>
      <c r="B494">
        <v>0.26419999999999999</v>
      </c>
      <c r="C494">
        <v>0.30209999999999998</v>
      </c>
      <c r="D494">
        <v>0.2495</v>
      </c>
      <c r="E494">
        <v>0.2878</v>
      </c>
      <c r="F494">
        <v>1766374.04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0.4562737642585557</v>
      </c>
      <c r="Q494">
        <f t="shared" si="980"/>
        <v>805950.13231939264</v>
      </c>
      <c r="R494">
        <f t="shared" si="981"/>
        <v>-12788299.335905464</v>
      </c>
      <c r="S494">
        <f t="shared" si="982"/>
        <v>-127.88299335905464</v>
      </c>
      <c r="T494">
        <f t="shared" si="983"/>
        <v>-0.12788299335905465</v>
      </c>
    </row>
    <row r="495" spans="1:20" x14ac:dyDescent="0.25">
      <c r="A495" s="5">
        <v>44098</v>
      </c>
      <c r="B495">
        <v>0.23400000000000001</v>
      </c>
      <c r="C495">
        <v>0.2722</v>
      </c>
      <c r="D495">
        <v>0.23169999999999999</v>
      </c>
      <c r="E495">
        <v>0.2641</v>
      </c>
      <c r="F495">
        <v>1059620.56</v>
      </c>
      <c r="G495">
        <v>0</v>
      </c>
      <c r="L495" t="s">
        <v>8</v>
      </c>
      <c r="M495" t="s">
        <v>8</v>
      </c>
      <c r="N495" t="s">
        <v>7</v>
      </c>
      <c r="P495">
        <f t="shared" si="979"/>
        <v>0.60000000000000031</v>
      </c>
      <c r="Q495">
        <f t="shared" si="980"/>
        <v>635772.33600000036</v>
      </c>
      <c r="R495">
        <f t="shared" si="981"/>
        <v>-13594249.468224857</v>
      </c>
      <c r="S495">
        <f t="shared" si="982"/>
        <v>-135.94249468224857</v>
      </c>
      <c r="T495">
        <f t="shared" si="983"/>
        <v>-0.13594249468224856</v>
      </c>
    </row>
    <row r="496" spans="1:20" x14ac:dyDescent="0.25">
      <c r="A496" s="5">
        <v>44097</v>
      </c>
      <c r="B496">
        <v>0.26419999999999999</v>
      </c>
      <c r="C496">
        <v>0.26650000000000001</v>
      </c>
      <c r="D496">
        <v>0.22850000000000001</v>
      </c>
      <c r="E496">
        <v>0.2339</v>
      </c>
      <c r="F496">
        <v>1282118.72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-0.7157894736842112</v>
      </c>
      <c r="Q496">
        <f t="shared" si="980"/>
        <v>-917727.08378947456</v>
      </c>
      <c r="R496">
        <f t="shared" si="981"/>
        <v>-14230021.804224858</v>
      </c>
      <c r="S496">
        <f t="shared" si="982"/>
        <v>-142.30021804224859</v>
      </c>
      <c r="T496">
        <f t="shared" si="983"/>
        <v>-0.1423002180422486</v>
      </c>
    </row>
    <row r="497" spans="1:20" x14ac:dyDescent="0.25">
      <c r="A497" s="5">
        <v>44096</v>
      </c>
      <c r="B497">
        <v>0.26129999999999998</v>
      </c>
      <c r="C497">
        <v>0.26869999999999999</v>
      </c>
      <c r="D497">
        <v>0.248</v>
      </c>
      <c r="E497">
        <v>0.2641</v>
      </c>
      <c r="F497">
        <v>738330.86</v>
      </c>
      <c r="G497">
        <v>0</v>
      </c>
      <c r="L497" t="s">
        <v>8</v>
      </c>
      <c r="M497" t="s">
        <v>7</v>
      </c>
      <c r="N497" t="s">
        <v>7</v>
      </c>
      <c r="P497">
        <f t="shared" si="979"/>
        <v>0.55555555555555614</v>
      </c>
      <c r="Q497">
        <f t="shared" si="980"/>
        <v>410183.81111111154</v>
      </c>
      <c r="R497">
        <f t="shared" si="981"/>
        <v>-13312294.720435383</v>
      </c>
      <c r="S497">
        <f t="shared" si="982"/>
        <v>-133.12294720435384</v>
      </c>
      <c r="T497">
        <f t="shared" si="983"/>
        <v>-0.13312294720435383</v>
      </c>
    </row>
    <row r="498" spans="1:20" x14ac:dyDescent="0.25">
      <c r="A498" s="5">
        <v>44095</v>
      </c>
      <c r="B498">
        <v>0.29959999999999998</v>
      </c>
      <c r="C498">
        <v>0.30709999999999998</v>
      </c>
      <c r="D498">
        <v>0.24010000000000001</v>
      </c>
      <c r="E498">
        <v>0.26119999999999999</v>
      </c>
      <c r="F498">
        <v>1956661.46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-0.37014925373134366</v>
      </c>
      <c r="Q498">
        <f t="shared" si="980"/>
        <v>-724256.77922388131</v>
      </c>
      <c r="R498">
        <f t="shared" si="981"/>
        <v>-13722478.531546494</v>
      </c>
      <c r="S498">
        <f t="shared" si="982"/>
        <v>-137.22478531546494</v>
      </c>
      <c r="T498">
        <f t="shared" si="983"/>
        <v>-0.13722478531546495</v>
      </c>
    </row>
    <row r="499" spans="1:20" x14ac:dyDescent="0.25">
      <c r="A499" s="5">
        <v>44094</v>
      </c>
      <c r="B499">
        <v>0.31169999999999998</v>
      </c>
      <c r="C499">
        <v>0.31840000000000002</v>
      </c>
      <c r="D499">
        <v>0.29049999999999998</v>
      </c>
      <c r="E499">
        <v>0.29949999999999999</v>
      </c>
      <c r="F499">
        <v>714724.55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-0.35483870967741959</v>
      </c>
      <c r="Q499">
        <f t="shared" si="980"/>
        <v>-253611.93709677437</v>
      </c>
      <c r="R499">
        <f t="shared" si="981"/>
        <v>-12998221.752322612</v>
      </c>
      <c r="S499">
        <f t="shared" si="982"/>
        <v>-129.98221752322613</v>
      </c>
      <c r="T499">
        <f t="shared" si="983"/>
        <v>-0.12998221752322611</v>
      </c>
    </row>
    <row r="500" spans="1:20" x14ac:dyDescent="0.25">
      <c r="A500" s="5">
        <v>44093</v>
      </c>
      <c r="B500">
        <v>0.30980000000000002</v>
      </c>
      <c r="C500">
        <v>0.32200000000000001</v>
      </c>
      <c r="D500">
        <v>0.30630000000000002</v>
      </c>
      <c r="E500">
        <v>0.31159999999999999</v>
      </c>
      <c r="F500">
        <v>738215.76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-0.32484076433121351</v>
      </c>
      <c r="Q500">
        <f t="shared" si="980"/>
        <v>-239802.57171974768</v>
      </c>
      <c r="R500">
        <f t="shared" si="981"/>
        <v>-12744609.815225838</v>
      </c>
      <c r="S500">
        <f t="shared" si="982"/>
        <v>-127.44609815225837</v>
      </c>
      <c r="T500">
        <f t="shared" si="983"/>
        <v>-0.12744609815225838</v>
      </c>
    </row>
    <row r="501" spans="1:20" x14ac:dyDescent="0.25">
      <c r="A501" s="5">
        <v>44092</v>
      </c>
      <c r="B501">
        <v>0.32740000000000002</v>
      </c>
      <c r="C501">
        <v>0.3372</v>
      </c>
      <c r="D501">
        <v>0.30609999999999998</v>
      </c>
      <c r="E501">
        <v>0.30980000000000002</v>
      </c>
      <c r="F501">
        <v>1454642.89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-0.76205787781350265</v>
      </c>
      <c r="Q501">
        <f t="shared" si="980"/>
        <v>-1108522.0737299004</v>
      </c>
      <c r="R501">
        <f t="shared" si="981"/>
        <v>-12504807.243506091</v>
      </c>
      <c r="S501">
        <f t="shared" si="982"/>
        <v>-125.0480724350609</v>
      </c>
      <c r="T501">
        <f t="shared" si="983"/>
        <v>-0.12504807243506091</v>
      </c>
    </row>
    <row r="502" spans="1:20" x14ac:dyDescent="0.25">
      <c r="A502" s="5">
        <v>44091</v>
      </c>
      <c r="B502">
        <v>0.33839999999999998</v>
      </c>
      <c r="C502">
        <v>0.35</v>
      </c>
      <c r="D502">
        <v>0.31709999999999999</v>
      </c>
      <c r="E502">
        <v>0.3276</v>
      </c>
      <c r="F502">
        <v>857159.32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-0.3617021276595736</v>
      </c>
      <c r="Q502">
        <f t="shared" si="980"/>
        <v>-310036.34978723328</v>
      </c>
      <c r="R502">
        <f t="shared" si="981"/>
        <v>-11396285.16977619</v>
      </c>
      <c r="S502">
        <f t="shared" si="982"/>
        <v>-113.96285169776191</v>
      </c>
      <c r="T502">
        <f t="shared" si="983"/>
        <v>-0.11396285169776191</v>
      </c>
    </row>
    <row r="503" spans="1:20" x14ac:dyDescent="0.25">
      <c r="A503" s="5">
        <v>44090</v>
      </c>
      <c r="B503">
        <v>0.36109999999999998</v>
      </c>
      <c r="C503">
        <v>0.36120000000000002</v>
      </c>
      <c r="D503">
        <v>0.3337</v>
      </c>
      <c r="E503">
        <v>0.33810000000000001</v>
      </c>
      <c r="F503">
        <v>714524.58</v>
      </c>
      <c r="G503">
        <v>0</v>
      </c>
      <c r="L503" t="s">
        <v>7</v>
      </c>
      <c r="M503" t="s">
        <v>7</v>
      </c>
      <c r="N503" t="s">
        <v>8</v>
      </c>
      <c r="P503">
        <f t="shared" si="979"/>
        <v>-0.67999999999999916</v>
      </c>
      <c r="Q503">
        <f t="shared" si="980"/>
        <v>-485876.71439999936</v>
      </c>
      <c r="R503">
        <f t="shared" si="981"/>
        <v>-11086248.819988957</v>
      </c>
      <c r="S503">
        <f t="shared" si="982"/>
        <v>-110.86248819988957</v>
      </c>
      <c r="T503">
        <f t="shared" si="983"/>
        <v>-0.11086248819988957</v>
      </c>
    </row>
    <row r="504" spans="1:20" x14ac:dyDescent="0.25">
      <c r="A504" s="5">
        <v>44089</v>
      </c>
      <c r="B504">
        <v>0.37930000000000003</v>
      </c>
      <c r="C504">
        <v>0.38679999999999998</v>
      </c>
      <c r="D504">
        <v>0.35010000000000002</v>
      </c>
      <c r="E504">
        <v>0.35959999999999998</v>
      </c>
      <c r="F504">
        <v>758407.01</v>
      </c>
      <c r="G504">
        <v>0</v>
      </c>
      <c r="L504" t="s">
        <v>7</v>
      </c>
      <c r="M504" t="s">
        <v>7</v>
      </c>
      <c r="N504" t="s">
        <v>8</v>
      </c>
      <c r="P504">
        <f t="shared" si="979"/>
        <v>-0.48228882833787656</v>
      </c>
      <c r="Q504">
        <f t="shared" si="980"/>
        <v>-365771.22825613222</v>
      </c>
      <c r="R504">
        <f t="shared" si="981"/>
        <v>-10600372.105588958</v>
      </c>
      <c r="S504">
        <f t="shared" si="982"/>
        <v>-106.00372105588957</v>
      </c>
      <c r="T504">
        <f t="shared" si="983"/>
        <v>-0.10600372105588957</v>
      </c>
    </row>
    <row r="505" spans="1:20" x14ac:dyDescent="0.25">
      <c r="A505" s="5">
        <v>44088</v>
      </c>
      <c r="B505">
        <v>0.37830000000000003</v>
      </c>
      <c r="C505">
        <v>0.39500000000000002</v>
      </c>
      <c r="D505">
        <v>0.37140000000000001</v>
      </c>
      <c r="E505">
        <v>0.37940000000000002</v>
      </c>
      <c r="F505">
        <v>952318.83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-0.32203389830508444</v>
      </c>
      <c r="Q505">
        <f t="shared" si="980"/>
        <v>-306678.94525423698</v>
      </c>
      <c r="R505">
        <f t="shared" si="981"/>
        <v>-10234600.877332825</v>
      </c>
      <c r="S505">
        <f t="shared" si="982"/>
        <v>-102.34600877332825</v>
      </c>
      <c r="T505">
        <f t="shared" si="983"/>
        <v>-0.10234600877332825</v>
      </c>
    </row>
    <row r="506" spans="1:20" x14ac:dyDescent="0.25">
      <c r="A506" s="5">
        <v>44087</v>
      </c>
      <c r="B506">
        <v>0.41959999999999997</v>
      </c>
      <c r="C506">
        <v>0.42799999999999999</v>
      </c>
      <c r="D506">
        <v>0.35510000000000003</v>
      </c>
      <c r="E506">
        <v>0.37809999999999999</v>
      </c>
      <c r="F506">
        <v>1521680.71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-0.36899862825788815</v>
      </c>
      <c r="Q506">
        <f t="shared" si="980"/>
        <v>-561498.09463648929</v>
      </c>
      <c r="R506">
        <f t="shared" si="981"/>
        <v>-9927921.9320785888</v>
      </c>
      <c r="S506">
        <f t="shared" si="982"/>
        <v>-99.279219320785884</v>
      </c>
      <c r="T506">
        <f t="shared" si="983"/>
        <v>-9.9279219320785886E-2</v>
      </c>
    </row>
    <row r="507" spans="1:20" x14ac:dyDescent="0.25">
      <c r="A507" s="5">
        <v>44086</v>
      </c>
      <c r="B507">
        <v>0.3866</v>
      </c>
      <c r="C507">
        <v>0.43809999999999999</v>
      </c>
      <c r="D507">
        <v>0.37569999999999998</v>
      </c>
      <c r="E507">
        <v>0.41689999999999999</v>
      </c>
      <c r="F507">
        <v>2381993.9300000002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0.32051282051282076</v>
      </c>
      <c r="Q507">
        <f t="shared" si="980"/>
        <v>763459.59294871858</v>
      </c>
      <c r="R507">
        <f t="shared" si="981"/>
        <v>-9366423.8374421</v>
      </c>
      <c r="S507">
        <f t="shared" si="982"/>
        <v>-93.664238374421004</v>
      </c>
      <c r="T507">
        <f t="shared" si="983"/>
        <v>-9.3664238374421005E-2</v>
      </c>
    </row>
    <row r="508" spans="1:20" x14ac:dyDescent="0.25">
      <c r="A508" s="5">
        <v>44085</v>
      </c>
      <c r="B508">
        <v>0.35799999999999998</v>
      </c>
      <c r="C508">
        <v>0.39839999999999998</v>
      </c>
      <c r="D508">
        <v>0.33339999999999997</v>
      </c>
      <c r="E508">
        <v>0.38679999999999998</v>
      </c>
      <c r="F508">
        <v>2213143.6800000002</v>
      </c>
      <c r="G508">
        <v>0</v>
      </c>
      <c r="L508" t="s">
        <v>8</v>
      </c>
      <c r="M508" t="s">
        <v>8</v>
      </c>
      <c r="N508" t="s">
        <v>7</v>
      </c>
      <c r="P508">
        <f t="shared" si="979"/>
        <v>0.6430769230769231</v>
      </c>
      <c r="Q508">
        <f t="shared" si="980"/>
        <v>1423221.6280615386</v>
      </c>
      <c r="R508">
        <f t="shared" si="981"/>
        <v>-10129883.430390818</v>
      </c>
      <c r="S508">
        <f t="shared" si="982"/>
        <v>-101.29883430390818</v>
      </c>
      <c r="T508">
        <f t="shared" si="983"/>
        <v>-0.10129883430390818</v>
      </c>
    </row>
    <row r="509" spans="1:20" x14ac:dyDescent="0.25">
      <c r="A509" s="5">
        <v>44084</v>
      </c>
      <c r="B509">
        <v>0.33710000000000001</v>
      </c>
      <c r="C509">
        <v>0.37</v>
      </c>
      <c r="D509">
        <v>0.33310000000000001</v>
      </c>
      <c r="E509">
        <v>0.3579</v>
      </c>
      <c r="F509">
        <v>1503347.05</v>
      </c>
      <c r="G509">
        <v>0</v>
      </c>
      <c r="L509" t="s">
        <v>8</v>
      </c>
      <c r="M509" t="s">
        <v>8</v>
      </c>
      <c r="N509" t="s">
        <v>7</v>
      </c>
      <c r="P509">
        <f t="shared" si="979"/>
        <v>0.34417344173441716</v>
      </c>
      <c r="Q509">
        <f t="shared" si="980"/>
        <v>517412.12831978296</v>
      </c>
      <c r="R509">
        <f t="shared" si="981"/>
        <v>-11553105.058452357</v>
      </c>
      <c r="S509">
        <f t="shared" si="982"/>
        <v>-115.53105058452357</v>
      </c>
      <c r="T509">
        <f t="shared" si="983"/>
        <v>-0.11553105058452356</v>
      </c>
    </row>
    <row r="510" spans="1:20" x14ac:dyDescent="0.25">
      <c r="A510" s="5">
        <v>44083</v>
      </c>
      <c r="B510">
        <v>0.3231</v>
      </c>
      <c r="C510">
        <v>0.34889999999999999</v>
      </c>
      <c r="D510">
        <v>0.3075</v>
      </c>
      <c r="E510">
        <v>0.33689999999999998</v>
      </c>
      <c r="F510">
        <v>1114649.58</v>
      </c>
      <c r="G510">
        <v>0</v>
      </c>
      <c r="L510" t="s">
        <v>7</v>
      </c>
      <c r="M510" t="s">
        <v>7</v>
      </c>
      <c r="N510" t="s">
        <v>7</v>
      </c>
      <c r="P510">
        <f t="shared" si="979"/>
        <v>0.42028985507246314</v>
      </c>
      <c r="Q510">
        <f t="shared" si="980"/>
        <v>468475.91043478192</v>
      </c>
      <c r="R510">
        <f t="shared" si="981"/>
        <v>-12070517.18677214</v>
      </c>
      <c r="S510">
        <f t="shared" si="982"/>
        <v>-120.7051718677214</v>
      </c>
      <c r="T510">
        <f t="shared" si="983"/>
        <v>-0.12070517186772141</v>
      </c>
    </row>
    <row r="511" spans="1:20" x14ac:dyDescent="0.25">
      <c r="A511" s="5">
        <v>44082</v>
      </c>
      <c r="B511">
        <v>0.3367</v>
      </c>
      <c r="C511">
        <v>0.36730000000000002</v>
      </c>
      <c r="D511">
        <v>0.30719999999999997</v>
      </c>
      <c r="E511">
        <v>0.32290000000000002</v>
      </c>
      <c r="F511">
        <v>1688656.42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-0.47753743760399214</v>
      </c>
      <c r="Q511">
        <f t="shared" si="980"/>
        <v>-806396.65980033076</v>
      </c>
      <c r="R511">
        <f t="shared" si="981"/>
        <v>-12538993.097206922</v>
      </c>
      <c r="S511">
        <f t="shared" si="982"/>
        <v>-125.38993097206922</v>
      </c>
      <c r="T511">
        <f t="shared" si="983"/>
        <v>-0.12538993097206921</v>
      </c>
    </row>
    <row r="512" spans="1:20" x14ac:dyDescent="0.25">
      <c r="A512" s="5">
        <v>44081</v>
      </c>
      <c r="B512">
        <v>0.35110000000000002</v>
      </c>
      <c r="C512">
        <v>0.35899999999999999</v>
      </c>
      <c r="D512">
        <v>0.29399999999999998</v>
      </c>
      <c r="E512">
        <v>0.3367</v>
      </c>
      <c r="F512">
        <v>1866887.01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0.31384615384615427</v>
      </c>
      <c r="Q512">
        <f t="shared" si="980"/>
        <v>585915.30775384698</v>
      </c>
      <c r="R512">
        <f t="shared" si="981"/>
        <v>-11732596.437406592</v>
      </c>
      <c r="S512">
        <f t="shared" si="982"/>
        <v>-117.32596437406592</v>
      </c>
      <c r="T512">
        <f t="shared" si="983"/>
        <v>-0.11732596437406592</v>
      </c>
    </row>
    <row r="513" spans="1:20" x14ac:dyDescent="0.25">
      <c r="A513" s="5">
        <v>44080</v>
      </c>
      <c r="B513">
        <v>0.32690000000000002</v>
      </c>
      <c r="C513">
        <v>0.36659999999999998</v>
      </c>
      <c r="D513">
        <v>0.3049</v>
      </c>
      <c r="E513">
        <v>0.35099999999999998</v>
      </c>
      <c r="F513">
        <v>2336109.11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0.49432739059967556</v>
      </c>
      <c r="Q513">
        <f t="shared" si="980"/>
        <v>1154802.7205024303</v>
      </c>
      <c r="R513">
        <f t="shared" si="981"/>
        <v>-12318511.745160438</v>
      </c>
      <c r="S513">
        <f t="shared" si="982"/>
        <v>-123.18511745160438</v>
      </c>
      <c r="T513">
        <f t="shared" si="983"/>
        <v>-0.12318511745160439</v>
      </c>
    </row>
    <row r="514" spans="1:20" x14ac:dyDescent="0.25">
      <c r="A514" s="5">
        <v>44079</v>
      </c>
      <c r="B514">
        <v>0.41139999999999999</v>
      </c>
      <c r="C514">
        <v>0.43</v>
      </c>
      <c r="D514">
        <v>0.29880000000000001</v>
      </c>
      <c r="E514">
        <v>0.32700000000000001</v>
      </c>
      <c r="F514">
        <v>3180511.52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-0.57012195121951215</v>
      </c>
      <c r="Q514">
        <f t="shared" si="980"/>
        <v>-1813279.4336585365</v>
      </c>
      <c r="R514">
        <f t="shared" si="981"/>
        <v>-13473314.465662869</v>
      </c>
      <c r="S514">
        <f t="shared" si="982"/>
        <v>-134.7331446566287</v>
      </c>
      <c r="T514">
        <f t="shared" si="983"/>
        <v>-0.13473314465662869</v>
      </c>
    </row>
    <row r="515" spans="1:20" x14ac:dyDescent="0.25">
      <c r="A515" s="5">
        <v>44078</v>
      </c>
      <c r="B515">
        <v>0.39379999999999998</v>
      </c>
      <c r="C515">
        <v>0.4496</v>
      </c>
      <c r="D515">
        <v>0.37080000000000002</v>
      </c>
      <c r="E515">
        <v>0.41170000000000001</v>
      </c>
      <c r="F515">
        <v>2706097.49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3.807106598984776E-2</v>
      </c>
      <c r="Q515">
        <f t="shared" si="980"/>
        <v>103024.0161167514</v>
      </c>
      <c r="R515">
        <f t="shared" si="981"/>
        <v>-11660035.032004332</v>
      </c>
      <c r="S515">
        <f t="shared" si="982"/>
        <v>-116.60035032004332</v>
      </c>
      <c r="T515">
        <f t="shared" si="983"/>
        <v>-0.11660035032004332</v>
      </c>
    </row>
    <row r="516" spans="1:20" x14ac:dyDescent="0.25">
      <c r="A516" s="5">
        <v>44077</v>
      </c>
      <c r="B516">
        <v>0.54790000000000005</v>
      </c>
      <c r="C516">
        <v>0.56999999999999995</v>
      </c>
      <c r="D516">
        <v>0.32940000000000003</v>
      </c>
      <c r="E516">
        <v>0.39379999999999998</v>
      </c>
      <c r="F516">
        <v>4611513.57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-0.4646716541978389</v>
      </c>
      <c r="Q516">
        <f t="shared" si="980"/>
        <v>-2142839.6389276818</v>
      </c>
      <c r="R516">
        <f t="shared" si="981"/>
        <v>-11763059.048121084</v>
      </c>
      <c r="S516">
        <f t="shared" si="982"/>
        <v>-117.63059048121083</v>
      </c>
      <c r="T516">
        <f t="shared" si="983"/>
        <v>-0.11763059048121083</v>
      </c>
    </row>
    <row r="517" spans="1:20" x14ac:dyDescent="0.25">
      <c r="A517" s="5">
        <v>44076</v>
      </c>
      <c r="B517">
        <v>0.49</v>
      </c>
      <c r="C517">
        <v>0.5494</v>
      </c>
      <c r="D517">
        <v>0.44</v>
      </c>
      <c r="E517">
        <v>0.54790000000000005</v>
      </c>
      <c r="F517">
        <v>5753221.9000000004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0.97257769652650916</v>
      </c>
      <c r="Q517">
        <f t="shared" si="980"/>
        <v>5595455.303107867</v>
      </c>
      <c r="R517">
        <f t="shared" si="981"/>
        <v>-9620219.4091934022</v>
      </c>
      <c r="S517">
        <f t="shared" si="982"/>
        <v>-96.202194091934018</v>
      </c>
      <c r="T517">
        <f t="shared" si="983"/>
        <v>-9.6202194091934021E-2</v>
      </c>
    </row>
    <row r="518" spans="1:20" x14ac:dyDescent="0.25">
      <c r="A518" s="5">
        <v>44075</v>
      </c>
      <c r="B518">
        <v>0.38319999999999999</v>
      </c>
      <c r="C518">
        <v>0.58989999999999998</v>
      </c>
      <c r="D518">
        <v>0.37690000000000001</v>
      </c>
      <c r="E518">
        <v>0.49120000000000003</v>
      </c>
      <c r="F518">
        <v>12859692.43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7.3239436619718601E-2</v>
      </c>
      <c r="Q518">
        <f t="shared" ref="Q518:Q581" si="985">F518*P518</f>
        <v>941836.62867606001</v>
      </c>
      <c r="R518">
        <f t="shared" ref="R518:R581" si="986">R519+Q518</f>
        <v>-15215674.712301269</v>
      </c>
      <c r="S518">
        <f t="shared" ref="S518:S581" si="987">R518/100000</f>
        <v>-152.15674712301268</v>
      </c>
      <c r="T518">
        <f t="shared" ref="T518:T581" si="988">S518/1000</f>
        <v>-0.15215674712301269</v>
      </c>
    </row>
    <row r="519" spans="1:20" x14ac:dyDescent="0.25">
      <c r="A519" s="5">
        <v>44074</v>
      </c>
      <c r="B519">
        <v>0.3982</v>
      </c>
      <c r="C519">
        <v>0.3982</v>
      </c>
      <c r="D519">
        <v>0.3765</v>
      </c>
      <c r="E519">
        <v>0.3831</v>
      </c>
      <c r="F519">
        <v>814974.01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-0.39170506912442438</v>
      </c>
      <c r="Q519">
        <f t="shared" si="985"/>
        <v>-319229.4509216593</v>
      </c>
      <c r="R519">
        <f t="shared" si="986"/>
        <v>-16157511.34097733</v>
      </c>
      <c r="S519">
        <f t="shared" si="987"/>
        <v>-161.57511340977331</v>
      </c>
      <c r="T519">
        <f t="shared" si="988"/>
        <v>-0.16157511340977332</v>
      </c>
    </row>
    <row r="520" spans="1:20" x14ac:dyDescent="0.25">
      <c r="A520" s="5">
        <v>44073</v>
      </c>
      <c r="B520">
        <v>0.39329999999999998</v>
      </c>
      <c r="C520">
        <v>0.39929999999999999</v>
      </c>
      <c r="D520">
        <v>0.36980000000000002</v>
      </c>
      <c r="E520">
        <v>0.3967</v>
      </c>
      <c r="F520">
        <v>1350935.63</v>
      </c>
      <c r="G520">
        <v>0</v>
      </c>
      <c r="L520" t="s">
        <v>7</v>
      </c>
      <c r="M520" t="s">
        <v>8</v>
      </c>
      <c r="N520" t="s">
        <v>7</v>
      </c>
      <c r="P520">
        <f t="shared" si="984"/>
        <v>0.82372881355932248</v>
      </c>
      <c r="Q520">
        <f t="shared" si="985"/>
        <v>1112804.6036949158</v>
      </c>
      <c r="R520">
        <f t="shared" si="986"/>
        <v>-15838281.890055671</v>
      </c>
      <c r="S520">
        <f t="shared" si="987"/>
        <v>-158.38281890055671</v>
      </c>
      <c r="T520">
        <f t="shared" si="988"/>
        <v>-0.15838281890055672</v>
      </c>
    </row>
    <row r="521" spans="1:20" x14ac:dyDescent="0.25">
      <c r="A521" s="5">
        <v>44072</v>
      </c>
      <c r="B521">
        <v>0.37090000000000001</v>
      </c>
      <c r="C521">
        <v>0.41399999999999998</v>
      </c>
      <c r="D521">
        <v>0.37</v>
      </c>
      <c r="E521">
        <v>0.3931</v>
      </c>
      <c r="F521">
        <v>1000946.79</v>
      </c>
      <c r="G521">
        <v>0</v>
      </c>
      <c r="L521" t="s">
        <v>8</v>
      </c>
      <c r="M521" t="s">
        <v>8</v>
      </c>
      <c r="N521" t="s">
        <v>7</v>
      </c>
      <c r="P521">
        <f t="shared" si="984"/>
        <v>5.0000000000000822E-2</v>
      </c>
      <c r="Q521">
        <f t="shared" si="985"/>
        <v>50047.339500000824</v>
      </c>
      <c r="R521">
        <f t="shared" si="986"/>
        <v>-16951086.493750587</v>
      </c>
      <c r="S521">
        <f t="shared" si="987"/>
        <v>-169.51086493750586</v>
      </c>
      <c r="T521">
        <f t="shared" si="988"/>
        <v>-0.16951086493750586</v>
      </c>
    </row>
    <row r="522" spans="1:20" x14ac:dyDescent="0.25">
      <c r="A522" s="5">
        <v>44071</v>
      </c>
      <c r="B522">
        <v>0.35499999999999998</v>
      </c>
      <c r="C522">
        <v>0.38869999999999999</v>
      </c>
      <c r="D522">
        <v>0.34899999999999998</v>
      </c>
      <c r="E522">
        <v>0.371</v>
      </c>
      <c r="F522">
        <v>1334499.19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0.10831234256927014</v>
      </c>
      <c r="Q522">
        <f t="shared" si="985"/>
        <v>144542.7334256935</v>
      </c>
      <c r="R522">
        <f t="shared" si="986"/>
        <v>-17001133.83325059</v>
      </c>
      <c r="S522">
        <f t="shared" si="987"/>
        <v>-170.01133833250589</v>
      </c>
      <c r="T522">
        <f t="shared" si="988"/>
        <v>-0.1700113383325059</v>
      </c>
    </row>
    <row r="523" spans="1:20" x14ac:dyDescent="0.25">
      <c r="A523" s="5">
        <v>44070</v>
      </c>
      <c r="B523">
        <v>0.38690000000000002</v>
      </c>
      <c r="C523">
        <v>0.39350000000000002</v>
      </c>
      <c r="D523">
        <v>0.33500000000000002</v>
      </c>
      <c r="E523">
        <v>0.35489999999999999</v>
      </c>
      <c r="F523">
        <v>2763344.95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-0.31965811965812052</v>
      </c>
      <c r="Q523">
        <f t="shared" si="985"/>
        <v>-883325.65068376309</v>
      </c>
      <c r="R523">
        <f t="shared" si="986"/>
        <v>-17145676.566676281</v>
      </c>
      <c r="S523">
        <f t="shared" si="987"/>
        <v>-171.45676566676281</v>
      </c>
      <c r="T523">
        <f t="shared" si="988"/>
        <v>-0.17145676566676279</v>
      </c>
    </row>
    <row r="524" spans="1:20" x14ac:dyDescent="0.25">
      <c r="A524" s="5">
        <v>44069</v>
      </c>
      <c r="B524">
        <v>0.39760000000000001</v>
      </c>
      <c r="C524">
        <v>0.41689999999999999</v>
      </c>
      <c r="D524">
        <v>0.38579999999999998</v>
      </c>
      <c r="E524">
        <v>0.38829999999999998</v>
      </c>
      <c r="F524">
        <v>1260904.01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-0.83922829581993563</v>
      </c>
      <c r="Q524">
        <f t="shared" si="985"/>
        <v>-1058186.323504823</v>
      </c>
      <c r="R524">
        <f t="shared" si="986"/>
        <v>-16262350.915992519</v>
      </c>
      <c r="S524">
        <f t="shared" si="987"/>
        <v>-162.62350915992519</v>
      </c>
      <c r="T524">
        <f t="shared" si="988"/>
        <v>-0.16262350915992518</v>
      </c>
    </row>
    <row r="525" spans="1:20" x14ac:dyDescent="0.25">
      <c r="A525" s="5">
        <v>44068</v>
      </c>
      <c r="B525">
        <v>0.442</v>
      </c>
      <c r="C525">
        <v>0.44669999999999999</v>
      </c>
      <c r="D525">
        <v>0.37740000000000001</v>
      </c>
      <c r="E525">
        <v>0.3977</v>
      </c>
      <c r="F525">
        <v>1600674.58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-0.41414141414141437</v>
      </c>
      <c r="Q525">
        <f t="shared" si="985"/>
        <v>-662905.63414141454</v>
      </c>
      <c r="R525">
        <f t="shared" si="986"/>
        <v>-15204164.592487697</v>
      </c>
      <c r="S525">
        <f t="shared" si="987"/>
        <v>-152.04164592487697</v>
      </c>
      <c r="T525">
        <f t="shared" si="988"/>
        <v>-0.15204164592487698</v>
      </c>
    </row>
    <row r="526" spans="1:20" x14ac:dyDescent="0.25">
      <c r="A526" s="5">
        <v>44067</v>
      </c>
      <c r="B526">
        <v>0.44219999999999998</v>
      </c>
      <c r="C526">
        <v>0.45569999999999999</v>
      </c>
      <c r="D526">
        <v>0.43099999999999999</v>
      </c>
      <c r="E526">
        <v>0.44190000000000002</v>
      </c>
      <c r="F526">
        <v>1175415.3899999999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-0.1174089068825894</v>
      </c>
      <c r="Q526">
        <f t="shared" si="985"/>
        <v>-138004.2360728725</v>
      </c>
      <c r="R526">
        <f t="shared" si="986"/>
        <v>-14541258.958346281</v>
      </c>
      <c r="S526">
        <f t="shared" si="987"/>
        <v>-145.41258958346282</v>
      </c>
      <c r="T526">
        <f t="shared" si="988"/>
        <v>-0.14541258958346281</v>
      </c>
    </row>
    <row r="527" spans="1:20" x14ac:dyDescent="0.25">
      <c r="A527" s="5">
        <v>44066</v>
      </c>
      <c r="B527">
        <v>0.46400000000000002</v>
      </c>
      <c r="C527">
        <v>0.46639999999999998</v>
      </c>
      <c r="D527">
        <v>0.43030000000000002</v>
      </c>
      <c r="E527">
        <v>0.44209999999999999</v>
      </c>
      <c r="F527">
        <v>1640667.05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-0.34626038781163498</v>
      </c>
      <c r="Q527">
        <f t="shared" si="985"/>
        <v>-568098.00900277111</v>
      </c>
      <c r="R527">
        <f t="shared" si="986"/>
        <v>-14403254.722273409</v>
      </c>
      <c r="S527">
        <f t="shared" si="987"/>
        <v>-144.03254722273408</v>
      </c>
      <c r="T527">
        <f t="shared" si="988"/>
        <v>-0.14403254722273409</v>
      </c>
    </row>
    <row r="528" spans="1:20" x14ac:dyDescent="0.25">
      <c r="A528" s="5">
        <v>44065</v>
      </c>
      <c r="B528">
        <v>0.42949999999999999</v>
      </c>
      <c r="C528">
        <v>0.495</v>
      </c>
      <c r="D528">
        <v>0.39800000000000002</v>
      </c>
      <c r="E528">
        <v>0.46550000000000002</v>
      </c>
      <c r="F528">
        <v>2345434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0.39175257731958807</v>
      </c>
      <c r="Q528">
        <f t="shared" si="985"/>
        <v>918829.81443299074</v>
      </c>
      <c r="R528">
        <f t="shared" si="986"/>
        <v>-13835156.713270638</v>
      </c>
      <c r="S528">
        <f t="shared" si="987"/>
        <v>-138.35156713270638</v>
      </c>
      <c r="T528">
        <f t="shared" si="988"/>
        <v>-0.13835156713270638</v>
      </c>
    </row>
    <row r="529" spans="1:20" x14ac:dyDescent="0.25">
      <c r="A529" s="5">
        <v>44064</v>
      </c>
      <c r="B529">
        <v>0.43509999999999999</v>
      </c>
      <c r="C529">
        <v>0.49399999999999999</v>
      </c>
      <c r="D529">
        <v>0.42230000000000001</v>
      </c>
      <c r="E529">
        <v>0.42920000000000003</v>
      </c>
      <c r="F529">
        <v>3624049.89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-0.80753138075313757</v>
      </c>
      <c r="Q529">
        <f t="shared" si="985"/>
        <v>-2926534.0115899565</v>
      </c>
      <c r="R529">
        <f t="shared" si="986"/>
        <v>-14753986.527703628</v>
      </c>
      <c r="S529">
        <f t="shared" si="987"/>
        <v>-147.53986527703628</v>
      </c>
      <c r="T529">
        <f t="shared" si="988"/>
        <v>-0.14753986527703628</v>
      </c>
    </row>
    <row r="530" spans="1:20" x14ac:dyDescent="0.25">
      <c r="A530" s="5">
        <v>44063</v>
      </c>
      <c r="B530">
        <v>0.37819999999999998</v>
      </c>
      <c r="C530">
        <v>0.44090000000000001</v>
      </c>
      <c r="D530">
        <v>0.37619999999999998</v>
      </c>
      <c r="E530">
        <v>0.43659999999999999</v>
      </c>
      <c r="F530">
        <v>1493168.28</v>
      </c>
      <c r="G530">
        <v>0</v>
      </c>
      <c r="L530" t="s">
        <v>8</v>
      </c>
      <c r="M530" t="s">
        <v>8</v>
      </c>
      <c r="N530" t="s">
        <v>8</v>
      </c>
      <c r="P530">
        <f t="shared" si="984"/>
        <v>0.86707882534775815</v>
      </c>
      <c r="Q530">
        <f t="shared" si="985"/>
        <v>1294694.5982689324</v>
      </c>
      <c r="R530">
        <f t="shared" si="986"/>
        <v>-11827452.516113671</v>
      </c>
      <c r="S530">
        <f t="shared" si="987"/>
        <v>-118.27452516113671</v>
      </c>
      <c r="T530">
        <f t="shared" si="988"/>
        <v>-0.11827452516113671</v>
      </c>
    </row>
    <row r="531" spans="1:20" x14ac:dyDescent="0.25">
      <c r="A531" s="5">
        <v>44062</v>
      </c>
      <c r="B531">
        <v>0.40410000000000001</v>
      </c>
      <c r="C531">
        <v>0.40810000000000002</v>
      </c>
      <c r="D531">
        <v>0.36</v>
      </c>
      <c r="E531">
        <v>0.37819999999999998</v>
      </c>
      <c r="F531">
        <v>1510785.42</v>
      </c>
      <c r="G531">
        <v>0</v>
      </c>
      <c r="L531" t="s">
        <v>8</v>
      </c>
      <c r="M531" t="s">
        <v>8</v>
      </c>
      <c r="N531" t="s">
        <v>7</v>
      </c>
      <c r="P531">
        <f t="shared" si="984"/>
        <v>-0.24324324324324398</v>
      </c>
      <c r="Q531">
        <f t="shared" si="985"/>
        <v>-367488.34540540649</v>
      </c>
      <c r="R531">
        <f t="shared" si="986"/>
        <v>-13122147.114382602</v>
      </c>
      <c r="S531">
        <f t="shared" si="987"/>
        <v>-131.22147114382602</v>
      </c>
      <c r="T531">
        <f t="shared" si="988"/>
        <v>-0.13122147114382601</v>
      </c>
    </row>
    <row r="532" spans="1:20" x14ac:dyDescent="0.25">
      <c r="A532" s="5">
        <v>44061</v>
      </c>
      <c r="B532">
        <v>0.42370000000000002</v>
      </c>
      <c r="C532">
        <v>0.4491</v>
      </c>
      <c r="D532">
        <v>0.30120000000000002</v>
      </c>
      <c r="E532">
        <v>0.40410000000000001</v>
      </c>
      <c r="F532">
        <v>2317265.96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0.39148073022312385</v>
      </c>
      <c r="Q532">
        <f t="shared" si="985"/>
        <v>907164.97014198813</v>
      </c>
      <c r="R532">
        <f t="shared" si="986"/>
        <v>-12754658.768977195</v>
      </c>
      <c r="S532">
        <f t="shared" si="987"/>
        <v>-127.54658768977195</v>
      </c>
      <c r="T532">
        <f t="shared" si="988"/>
        <v>-0.12754658768977195</v>
      </c>
    </row>
    <row r="533" spans="1:20" x14ac:dyDescent="0.25">
      <c r="A533" s="5">
        <v>44060</v>
      </c>
      <c r="B533">
        <v>0.4335</v>
      </c>
      <c r="C533">
        <v>0.46800000000000003</v>
      </c>
      <c r="D533">
        <v>0.40600000000000003</v>
      </c>
      <c r="E533">
        <v>0.42109999999999997</v>
      </c>
      <c r="F533">
        <v>2328420.6800000002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-0.51290322580645331</v>
      </c>
      <c r="Q533">
        <f t="shared" si="985"/>
        <v>-1194254.4778064557</v>
      </c>
      <c r="R533">
        <f t="shared" si="986"/>
        <v>-13661823.739119183</v>
      </c>
      <c r="S533">
        <f t="shared" si="987"/>
        <v>-136.61823739119183</v>
      </c>
      <c r="T533">
        <f t="shared" si="988"/>
        <v>-0.13661823739119183</v>
      </c>
    </row>
    <row r="534" spans="1:20" x14ac:dyDescent="0.25">
      <c r="A534" s="5">
        <v>44059</v>
      </c>
      <c r="B534">
        <v>0.41089999999999999</v>
      </c>
      <c r="C534">
        <v>0.49</v>
      </c>
      <c r="D534">
        <v>0.39090000000000003</v>
      </c>
      <c r="E534">
        <v>0.432</v>
      </c>
      <c r="F534">
        <v>1891271.41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-0.17053481331987924</v>
      </c>
      <c r="Q534">
        <f t="shared" si="985"/>
        <v>-322527.61684157478</v>
      </c>
      <c r="R534">
        <f t="shared" si="986"/>
        <v>-12467569.261312727</v>
      </c>
      <c r="S534">
        <f t="shared" si="987"/>
        <v>-124.67569261312727</v>
      </c>
      <c r="T534">
        <f t="shared" si="988"/>
        <v>-0.12467569261312726</v>
      </c>
    </row>
    <row r="535" spans="1:20" x14ac:dyDescent="0.25">
      <c r="A535" s="5">
        <v>44058</v>
      </c>
      <c r="B535">
        <v>0.4214</v>
      </c>
      <c r="C535">
        <v>0.44679999999999997</v>
      </c>
      <c r="D535">
        <v>0.38840000000000002</v>
      </c>
      <c r="E535">
        <v>0.40970000000000001</v>
      </c>
      <c r="F535">
        <v>1916684.23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-0.27054794520547937</v>
      </c>
      <c r="Q535">
        <f t="shared" si="985"/>
        <v>-518554.9800342464</v>
      </c>
      <c r="R535">
        <f t="shared" si="986"/>
        <v>-12145041.644471152</v>
      </c>
      <c r="S535">
        <f t="shared" si="987"/>
        <v>-121.45041644471152</v>
      </c>
      <c r="T535">
        <f t="shared" si="988"/>
        <v>-0.12145041644471152</v>
      </c>
    </row>
    <row r="536" spans="1:20" x14ac:dyDescent="0.25">
      <c r="A536" s="5">
        <v>44057</v>
      </c>
      <c r="B536">
        <v>0.374</v>
      </c>
      <c r="C536">
        <v>0.4395</v>
      </c>
      <c r="D536">
        <v>0.37</v>
      </c>
      <c r="E536">
        <v>0.42059999999999997</v>
      </c>
      <c r="F536">
        <v>2830406.24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0.45611510791366833</v>
      </c>
      <c r="Q536">
        <f t="shared" si="985"/>
        <v>1290991.0475971203</v>
      </c>
      <c r="R536">
        <f t="shared" si="986"/>
        <v>-11626486.664436905</v>
      </c>
      <c r="S536">
        <f t="shared" si="987"/>
        <v>-116.26486664436905</v>
      </c>
      <c r="T536">
        <f t="shared" si="988"/>
        <v>-0.11626486664436905</v>
      </c>
    </row>
    <row r="537" spans="1:20" x14ac:dyDescent="0.25">
      <c r="A537" s="5">
        <v>44056</v>
      </c>
      <c r="B537">
        <v>0.40820000000000001</v>
      </c>
      <c r="C537">
        <v>0.41210000000000002</v>
      </c>
      <c r="D537">
        <v>0.36209999999999998</v>
      </c>
      <c r="E537">
        <v>0.37280000000000002</v>
      </c>
      <c r="F537">
        <v>3457536.5</v>
      </c>
      <c r="G537">
        <v>0</v>
      </c>
      <c r="L537" t="s">
        <v>7</v>
      </c>
      <c r="M537" t="s">
        <v>8</v>
      </c>
      <c r="N537" t="s">
        <v>8</v>
      </c>
      <c r="P537">
        <f t="shared" si="984"/>
        <v>-0.57199999999999862</v>
      </c>
      <c r="Q537">
        <f t="shared" si="985"/>
        <v>-1977710.8779999951</v>
      </c>
      <c r="R537">
        <f t="shared" si="986"/>
        <v>-12917477.712034024</v>
      </c>
      <c r="S537">
        <f t="shared" si="987"/>
        <v>-129.17477712034025</v>
      </c>
      <c r="T537">
        <f t="shared" si="988"/>
        <v>-0.12917477712034026</v>
      </c>
    </row>
    <row r="538" spans="1:20" x14ac:dyDescent="0.25">
      <c r="A538" s="5">
        <v>44055</v>
      </c>
      <c r="B538">
        <v>0.36940000000000001</v>
      </c>
      <c r="C538">
        <v>0.4325</v>
      </c>
      <c r="D538">
        <v>0.36309999999999998</v>
      </c>
      <c r="E538">
        <v>0.40839999999999999</v>
      </c>
      <c r="F538">
        <v>3946956.64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0.30547550432276643</v>
      </c>
      <c r="Q538">
        <f t="shared" si="985"/>
        <v>1205698.5701440917</v>
      </c>
      <c r="R538">
        <f t="shared" si="986"/>
        <v>-10939766.834034029</v>
      </c>
      <c r="S538">
        <f t="shared" si="987"/>
        <v>-109.39766834034029</v>
      </c>
      <c r="T538">
        <f t="shared" si="988"/>
        <v>-0.10939766834034029</v>
      </c>
    </row>
    <row r="539" spans="1:20" x14ac:dyDescent="0.25">
      <c r="A539" s="5">
        <v>44054</v>
      </c>
      <c r="B539">
        <v>0.3805</v>
      </c>
      <c r="C539">
        <v>0.38519999999999999</v>
      </c>
      <c r="D539">
        <v>0.33169999999999999</v>
      </c>
      <c r="E539">
        <v>0.3695</v>
      </c>
      <c r="F539">
        <v>3691742.62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0.41308411214953294</v>
      </c>
      <c r="Q539">
        <f t="shared" si="985"/>
        <v>1525000.2224672907</v>
      </c>
      <c r="R539">
        <f t="shared" si="986"/>
        <v>-12145465.404178122</v>
      </c>
      <c r="S539">
        <f t="shared" si="987"/>
        <v>-121.45465404178123</v>
      </c>
      <c r="T539">
        <f t="shared" si="988"/>
        <v>-0.12145465404178123</v>
      </c>
    </row>
    <row r="540" spans="1:20" x14ac:dyDescent="0.25">
      <c r="A540" s="5">
        <v>44053</v>
      </c>
      <c r="B540">
        <v>0.32319999999999999</v>
      </c>
      <c r="C540">
        <v>0.41</v>
      </c>
      <c r="D540">
        <v>0.31119999999999998</v>
      </c>
      <c r="E540">
        <v>0.37869999999999998</v>
      </c>
      <c r="F540">
        <v>7535224.5599999996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0.36639676113360337</v>
      </c>
      <c r="Q540">
        <f t="shared" si="985"/>
        <v>2760881.8731983812</v>
      </c>
      <c r="R540">
        <f t="shared" si="986"/>
        <v>-13670465.626645412</v>
      </c>
      <c r="S540">
        <f t="shared" si="987"/>
        <v>-136.70465626645412</v>
      </c>
      <c r="T540">
        <f t="shared" si="988"/>
        <v>-0.13670465626645412</v>
      </c>
    </row>
    <row r="541" spans="1:20" x14ac:dyDescent="0.25">
      <c r="A541" s="5">
        <v>44052</v>
      </c>
      <c r="B541">
        <v>0.3024</v>
      </c>
      <c r="C541">
        <v>0.32600000000000001</v>
      </c>
      <c r="D541">
        <v>0.28810000000000002</v>
      </c>
      <c r="E541">
        <v>0.32319999999999999</v>
      </c>
      <c r="F541">
        <v>1759553.92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0.85224274406332323</v>
      </c>
      <c r="Q541">
        <f t="shared" si="985"/>
        <v>1499567.0611081771</v>
      </c>
      <c r="R541">
        <f t="shared" si="986"/>
        <v>-16431347.499843793</v>
      </c>
      <c r="S541">
        <f t="shared" si="987"/>
        <v>-164.31347499843793</v>
      </c>
      <c r="T541">
        <f t="shared" si="988"/>
        <v>-0.16431347499843793</v>
      </c>
    </row>
    <row r="542" spans="1:20" x14ac:dyDescent="0.25">
      <c r="A542" s="5">
        <v>44051</v>
      </c>
      <c r="B542">
        <v>0.28739999999999999</v>
      </c>
      <c r="C542">
        <v>0.30499999999999999</v>
      </c>
      <c r="D542">
        <v>0.2853</v>
      </c>
      <c r="E542">
        <v>0.30230000000000001</v>
      </c>
      <c r="F542">
        <v>1012377.96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0.7258883248730984</v>
      </c>
      <c r="Q542">
        <f t="shared" si="985"/>
        <v>734873.34152284462</v>
      </c>
      <c r="R542">
        <f t="shared" si="986"/>
        <v>-17930914.560951971</v>
      </c>
      <c r="S542">
        <f t="shared" si="987"/>
        <v>-179.3091456095197</v>
      </c>
      <c r="T542">
        <f t="shared" si="988"/>
        <v>-0.17930914560951972</v>
      </c>
    </row>
    <row r="543" spans="1:20" x14ac:dyDescent="0.25">
      <c r="A543" s="5">
        <v>44050</v>
      </c>
      <c r="B543">
        <v>0.29559999999999997</v>
      </c>
      <c r="C543">
        <v>0.30109999999999998</v>
      </c>
      <c r="D543">
        <v>0.27379999999999999</v>
      </c>
      <c r="E543">
        <v>0.2888</v>
      </c>
      <c r="F543">
        <v>1375816.89</v>
      </c>
      <c r="G543">
        <v>0</v>
      </c>
      <c r="L543" t="s">
        <v>7</v>
      </c>
      <c r="M543" t="s">
        <v>8</v>
      </c>
      <c r="N543" t="s">
        <v>7</v>
      </c>
      <c r="P543">
        <f t="shared" si="984"/>
        <v>9.8901098901100243E-2</v>
      </c>
      <c r="Q543">
        <f t="shared" si="985"/>
        <v>136069.80230769413</v>
      </c>
      <c r="R543">
        <f t="shared" si="986"/>
        <v>-18665787.902474817</v>
      </c>
      <c r="S543">
        <f t="shared" si="987"/>
        <v>-186.65787902474815</v>
      </c>
      <c r="T543">
        <f t="shared" si="988"/>
        <v>-0.18665787902474815</v>
      </c>
    </row>
    <row r="544" spans="1:20" x14ac:dyDescent="0.25">
      <c r="A544" s="5">
        <v>44049</v>
      </c>
      <c r="B544">
        <v>0.26119999999999999</v>
      </c>
      <c r="C544">
        <v>0.30590000000000001</v>
      </c>
      <c r="D544">
        <v>0.2601</v>
      </c>
      <c r="E544">
        <v>0.2944</v>
      </c>
      <c r="F544">
        <v>2410796.5299999998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0.49781659388646254</v>
      </c>
      <c r="Q544">
        <f t="shared" si="985"/>
        <v>1200134.5171179031</v>
      </c>
      <c r="R544">
        <f t="shared" si="986"/>
        <v>-18801857.704782512</v>
      </c>
      <c r="S544">
        <f t="shared" si="987"/>
        <v>-188.01857704782512</v>
      </c>
      <c r="T544">
        <f t="shared" si="988"/>
        <v>-0.18801857704782513</v>
      </c>
    </row>
    <row r="545" spans="1:20" x14ac:dyDescent="0.25">
      <c r="A545" s="5">
        <v>44048</v>
      </c>
      <c r="B545">
        <v>0.27200000000000002</v>
      </c>
      <c r="C545">
        <v>0.27329999999999999</v>
      </c>
      <c r="D545">
        <v>0.253</v>
      </c>
      <c r="E545">
        <v>0.26069999999999999</v>
      </c>
      <c r="F545">
        <v>1575976.26</v>
      </c>
      <c r="G545">
        <v>0</v>
      </c>
      <c r="L545" t="s">
        <v>7</v>
      </c>
      <c r="M545" t="s">
        <v>7</v>
      </c>
      <c r="N545" t="s">
        <v>7</v>
      </c>
      <c r="P545">
        <f t="shared" si="984"/>
        <v>-0.24137931034482854</v>
      </c>
      <c r="Q545">
        <f t="shared" si="985"/>
        <v>-380408.06275862217</v>
      </c>
      <c r="R545">
        <f t="shared" si="986"/>
        <v>-20001992.221900415</v>
      </c>
      <c r="S545">
        <f t="shared" si="987"/>
        <v>-200.01992221900414</v>
      </c>
      <c r="T545">
        <f t="shared" si="988"/>
        <v>-0.20001992221900414</v>
      </c>
    </row>
    <row r="546" spans="1:20" x14ac:dyDescent="0.25">
      <c r="A546" s="5">
        <v>44047</v>
      </c>
      <c r="B546">
        <v>0.26650000000000001</v>
      </c>
      <c r="C546">
        <v>0.27450000000000002</v>
      </c>
      <c r="D546">
        <v>0.26169999999999999</v>
      </c>
      <c r="E546">
        <v>0.27189999999999998</v>
      </c>
      <c r="F546">
        <v>888218.28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0.59374999999999378</v>
      </c>
      <c r="Q546">
        <f t="shared" si="985"/>
        <v>527379.60374999454</v>
      </c>
      <c r="R546">
        <f t="shared" si="986"/>
        <v>-19621584.159141794</v>
      </c>
      <c r="S546">
        <f t="shared" si="987"/>
        <v>-196.21584159141793</v>
      </c>
      <c r="T546">
        <f t="shared" si="988"/>
        <v>-0.19621584159141792</v>
      </c>
    </row>
    <row r="547" spans="1:20" x14ac:dyDescent="0.25">
      <c r="A547" s="5">
        <v>44046</v>
      </c>
      <c r="B547">
        <v>0.26819999999999999</v>
      </c>
      <c r="C547">
        <v>0.27660000000000001</v>
      </c>
      <c r="D547">
        <v>0.26179999999999998</v>
      </c>
      <c r="E547">
        <v>0.2656</v>
      </c>
      <c r="F547">
        <v>654735.77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-0.48648648648648424</v>
      </c>
      <c r="Q547">
        <f t="shared" si="985"/>
        <v>-318520.10432432283</v>
      </c>
      <c r="R547">
        <f t="shared" si="986"/>
        <v>-20148963.762891788</v>
      </c>
      <c r="S547">
        <f t="shared" si="987"/>
        <v>-201.48963762891788</v>
      </c>
      <c r="T547">
        <f t="shared" si="988"/>
        <v>-0.20148963762891789</v>
      </c>
    </row>
    <row r="548" spans="1:20" x14ac:dyDescent="0.25">
      <c r="A548" s="5">
        <v>44045</v>
      </c>
      <c r="B548">
        <v>0.26450000000000001</v>
      </c>
      <c r="C548">
        <v>0.28000000000000003</v>
      </c>
      <c r="D548">
        <v>0.24</v>
      </c>
      <c r="E548">
        <v>0.26740000000000003</v>
      </c>
      <c r="F548">
        <v>1537139.82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0.37000000000000055</v>
      </c>
      <c r="Q548">
        <f t="shared" si="985"/>
        <v>568741.73340000084</v>
      </c>
      <c r="R548">
        <f t="shared" si="986"/>
        <v>-19830443.658567466</v>
      </c>
      <c r="S548">
        <f t="shared" si="987"/>
        <v>-198.30443658567467</v>
      </c>
      <c r="T548">
        <f t="shared" si="988"/>
        <v>-0.19830443658567468</v>
      </c>
    </row>
    <row r="549" spans="1:20" x14ac:dyDescent="0.25">
      <c r="A549" s="5">
        <v>44044</v>
      </c>
      <c r="B549">
        <v>0.26319999999999999</v>
      </c>
      <c r="C549">
        <v>0.27039999999999997</v>
      </c>
      <c r="D549">
        <v>0.26019999999999999</v>
      </c>
      <c r="E549">
        <v>0.2646</v>
      </c>
      <c r="F549">
        <v>957855.87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-0.13725490196078025</v>
      </c>
      <c r="Q549">
        <f t="shared" si="985"/>
        <v>-131470.41352940787</v>
      </c>
      <c r="R549">
        <f t="shared" si="986"/>
        <v>-20399185.391967468</v>
      </c>
      <c r="S549">
        <f t="shared" si="987"/>
        <v>-203.99185391967467</v>
      </c>
      <c r="T549">
        <f t="shared" si="988"/>
        <v>-0.20399185391967467</v>
      </c>
    </row>
    <row r="550" spans="1:20" x14ac:dyDescent="0.25">
      <c r="A550" s="5">
        <v>44043</v>
      </c>
      <c r="B550">
        <v>0.26889999999999997</v>
      </c>
      <c r="C550">
        <v>0.26910000000000001</v>
      </c>
      <c r="D550">
        <v>0.25540000000000002</v>
      </c>
      <c r="E550">
        <v>0.2621</v>
      </c>
      <c r="F550">
        <v>1012835.64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-2.1897810218979758E-2</v>
      </c>
      <c r="Q550">
        <f t="shared" si="985"/>
        <v>-22178.882627738905</v>
      </c>
      <c r="R550">
        <f t="shared" si="986"/>
        <v>-20267714.978438061</v>
      </c>
      <c r="S550">
        <f t="shared" si="987"/>
        <v>-202.67714978438062</v>
      </c>
      <c r="T550">
        <f t="shared" si="988"/>
        <v>-0.20267714978438062</v>
      </c>
    </row>
    <row r="551" spans="1:20" x14ac:dyDescent="0.25">
      <c r="A551" s="5">
        <v>44042</v>
      </c>
      <c r="B551">
        <v>0.26050000000000001</v>
      </c>
      <c r="C551">
        <v>0.27900000000000003</v>
      </c>
      <c r="D551">
        <v>0.2576</v>
      </c>
      <c r="E551">
        <v>0.26889999999999997</v>
      </c>
      <c r="F551">
        <v>1211556.71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5.6074766355136529E-2</v>
      </c>
      <c r="Q551">
        <f t="shared" si="985"/>
        <v>67937.759439247908</v>
      </c>
      <c r="R551">
        <f t="shared" si="986"/>
        <v>-20245536.09581032</v>
      </c>
      <c r="S551">
        <f t="shared" si="987"/>
        <v>-202.4553609581032</v>
      </c>
      <c r="T551">
        <f t="shared" si="988"/>
        <v>-0.20245536095810321</v>
      </c>
    </row>
    <row r="552" spans="1:20" x14ac:dyDescent="0.25">
      <c r="A552" s="5">
        <v>44041</v>
      </c>
      <c r="B552">
        <v>0.26619999999999999</v>
      </c>
      <c r="C552">
        <v>0.28799999999999998</v>
      </c>
      <c r="D552">
        <v>0.25559999999999999</v>
      </c>
      <c r="E552">
        <v>0.2606</v>
      </c>
      <c r="F552">
        <v>1851015.7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-0.69135802469135765</v>
      </c>
      <c r="Q552">
        <f t="shared" si="985"/>
        <v>-1279714.5580246907</v>
      </c>
      <c r="R552">
        <f t="shared" si="986"/>
        <v>-20313473.855249569</v>
      </c>
      <c r="S552">
        <f t="shared" si="987"/>
        <v>-203.13473855249569</v>
      </c>
      <c r="T552">
        <f t="shared" si="988"/>
        <v>-0.2031347385524957</v>
      </c>
    </row>
    <row r="553" spans="1:20" x14ac:dyDescent="0.25">
      <c r="A553" s="5">
        <v>44040</v>
      </c>
      <c r="B553">
        <v>0.25609999999999999</v>
      </c>
      <c r="C553">
        <v>0.27810000000000001</v>
      </c>
      <c r="D553">
        <v>0.25280000000000002</v>
      </c>
      <c r="E553">
        <v>0.2656</v>
      </c>
      <c r="F553">
        <v>1694517.97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1.1857707509880123E-2</v>
      </c>
      <c r="Q553">
        <f t="shared" si="985"/>
        <v>20093.098458495821</v>
      </c>
      <c r="R553">
        <f t="shared" si="986"/>
        <v>-19033759.297224879</v>
      </c>
      <c r="S553">
        <f t="shared" si="987"/>
        <v>-190.33759297224879</v>
      </c>
      <c r="T553">
        <f t="shared" si="988"/>
        <v>-0.19033759297224878</v>
      </c>
    </row>
    <row r="554" spans="1:20" x14ac:dyDescent="0.25">
      <c r="A554" s="5">
        <v>44039</v>
      </c>
      <c r="B554">
        <v>0.28520000000000001</v>
      </c>
      <c r="C554">
        <v>0.2873</v>
      </c>
      <c r="D554">
        <v>0.23</v>
      </c>
      <c r="E554">
        <v>0.25850000000000001</v>
      </c>
      <c r="F554">
        <v>3744199.85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-5.2356020942407461E-3</v>
      </c>
      <c r="Q554">
        <f t="shared" si="985"/>
        <v>-19603.140575915888</v>
      </c>
      <c r="R554">
        <f t="shared" si="986"/>
        <v>-19053852.395683374</v>
      </c>
      <c r="S554">
        <f t="shared" si="987"/>
        <v>-190.53852395683376</v>
      </c>
      <c r="T554">
        <f t="shared" si="988"/>
        <v>-0.19053852395683377</v>
      </c>
    </row>
    <row r="555" spans="1:20" x14ac:dyDescent="0.25">
      <c r="A555" s="5">
        <v>44038</v>
      </c>
      <c r="B555">
        <v>0.29520000000000002</v>
      </c>
      <c r="C555">
        <v>0.308</v>
      </c>
      <c r="D555">
        <v>0.27350000000000002</v>
      </c>
      <c r="E555">
        <v>0.28520000000000001</v>
      </c>
      <c r="F555">
        <v>2419598.94</v>
      </c>
      <c r="G555">
        <v>0</v>
      </c>
      <c r="L555" t="s">
        <v>7</v>
      </c>
      <c r="M555" t="s">
        <v>7</v>
      </c>
      <c r="N555" t="s">
        <v>8</v>
      </c>
      <c r="P555">
        <f t="shared" si="984"/>
        <v>-0.32173913043478281</v>
      </c>
      <c r="Q555">
        <f t="shared" si="985"/>
        <v>-778479.65895652224</v>
      </c>
      <c r="R555">
        <f t="shared" si="986"/>
        <v>-19034249.255107459</v>
      </c>
      <c r="S555">
        <f t="shared" si="987"/>
        <v>-190.3424925510746</v>
      </c>
      <c r="T555">
        <f t="shared" si="988"/>
        <v>-0.1903424925510746</v>
      </c>
    </row>
    <row r="556" spans="1:20" x14ac:dyDescent="0.25">
      <c r="A556" s="5">
        <v>44037</v>
      </c>
      <c r="B556">
        <v>0.3155</v>
      </c>
      <c r="C556">
        <v>0.33100000000000002</v>
      </c>
      <c r="D556">
        <v>0.2868</v>
      </c>
      <c r="E556">
        <v>0.29520000000000002</v>
      </c>
      <c r="F556">
        <v>3787668.86</v>
      </c>
      <c r="G556">
        <v>0</v>
      </c>
      <c r="L556" t="s">
        <v>8</v>
      </c>
      <c r="M556" t="s">
        <v>8</v>
      </c>
      <c r="N556" t="s">
        <v>8</v>
      </c>
      <c r="P556">
        <f t="shared" si="984"/>
        <v>-0.61990950226244279</v>
      </c>
      <c r="Q556">
        <f t="shared" si="985"/>
        <v>-2348011.9177375538</v>
      </c>
      <c r="R556">
        <f t="shared" si="986"/>
        <v>-18255769.596150935</v>
      </c>
      <c r="S556">
        <f t="shared" si="987"/>
        <v>-182.55769596150935</v>
      </c>
      <c r="T556">
        <f t="shared" si="988"/>
        <v>-0.18255769596150936</v>
      </c>
    </row>
    <row r="557" spans="1:20" x14ac:dyDescent="0.25">
      <c r="A557" s="5">
        <v>44036</v>
      </c>
      <c r="B557">
        <v>0.2843</v>
      </c>
      <c r="C557">
        <v>0.32500000000000001</v>
      </c>
      <c r="D557">
        <v>0.2702</v>
      </c>
      <c r="E557">
        <v>0.3155</v>
      </c>
      <c r="F557">
        <v>3642435.93</v>
      </c>
      <c r="G557">
        <v>0</v>
      </c>
      <c r="L557" t="s">
        <v>8</v>
      </c>
      <c r="M557" t="s">
        <v>8</v>
      </c>
      <c r="N557" t="s">
        <v>8</v>
      </c>
      <c r="P557">
        <f t="shared" si="984"/>
        <v>0.65328467153284653</v>
      </c>
      <c r="Q557">
        <f t="shared" si="985"/>
        <v>2379547.5601094887</v>
      </c>
      <c r="R557">
        <f t="shared" si="986"/>
        <v>-15907757.67841338</v>
      </c>
      <c r="S557">
        <f t="shared" si="987"/>
        <v>-159.07757678413381</v>
      </c>
      <c r="T557">
        <f t="shared" si="988"/>
        <v>-0.15907757678413381</v>
      </c>
    </row>
    <row r="558" spans="1:20" x14ac:dyDescent="0.25">
      <c r="A558" s="5">
        <v>44035</v>
      </c>
      <c r="B558">
        <v>0.26900000000000002</v>
      </c>
      <c r="C558">
        <v>0.28999999999999998</v>
      </c>
      <c r="D558">
        <v>0.26779999999999998</v>
      </c>
      <c r="E558">
        <v>0.2843</v>
      </c>
      <c r="F558">
        <v>1683997.88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0.48648648648648796</v>
      </c>
      <c r="Q558">
        <f t="shared" si="985"/>
        <v>819242.21189189435</v>
      </c>
      <c r="R558">
        <f t="shared" si="986"/>
        <v>-18287305.238522869</v>
      </c>
      <c r="S558">
        <f t="shared" si="987"/>
        <v>-182.87305238522868</v>
      </c>
      <c r="T558">
        <f t="shared" si="988"/>
        <v>-0.18287305238522866</v>
      </c>
    </row>
    <row r="559" spans="1:20" x14ac:dyDescent="0.25">
      <c r="A559" s="5">
        <v>44034</v>
      </c>
      <c r="B559">
        <v>0.26240000000000002</v>
      </c>
      <c r="C559">
        <v>0.28649999999999998</v>
      </c>
      <c r="D559">
        <v>0.26040000000000002</v>
      </c>
      <c r="E559">
        <v>0.26779999999999998</v>
      </c>
      <c r="F559">
        <v>1662200.99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-0.43295019157088316</v>
      </c>
      <c r="Q559">
        <f t="shared" si="985"/>
        <v>-719650.23704981164</v>
      </c>
      <c r="R559">
        <f t="shared" si="986"/>
        <v>-19106547.450414762</v>
      </c>
      <c r="S559">
        <f t="shared" si="987"/>
        <v>-191.06547450414763</v>
      </c>
      <c r="T559">
        <f t="shared" si="988"/>
        <v>-0.19106547450414763</v>
      </c>
    </row>
    <row r="560" spans="1:20" x14ac:dyDescent="0.25">
      <c r="A560" s="5">
        <v>44033</v>
      </c>
      <c r="B560">
        <v>0.27500000000000002</v>
      </c>
      <c r="C560">
        <v>0.28639999999999999</v>
      </c>
      <c r="D560">
        <v>0.25309999999999999</v>
      </c>
      <c r="E560">
        <v>0.26240000000000002</v>
      </c>
      <c r="F560">
        <v>1670414.35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-0.44144144144143954</v>
      </c>
      <c r="Q560">
        <f t="shared" si="985"/>
        <v>-737390.11846846528</v>
      </c>
      <c r="R560">
        <f t="shared" si="986"/>
        <v>-18386897.213364951</v>
      </c>
      <c r="S560">
        <f t="shared" si="987"/>
        <v>-183.86897213364952</v>
      </c>
      <c r="T560">
        <f t="shared" si="988"/>
        <v>-0.18386897213364953</v>
      </c>
    </row>
    <row r="561" spans="1:104" x14ac:dyDescent="0.25">
      <c r="A561" s="5">
        <v>44032</v>
      </c>
      <c r="B561">
        <v>0.24429999999999999</v>
      </c>
      <c r="C561">
        <v>0.28749999999999998</v>
      </c>
      <c r="D561">
        <v>0.2402</v>
      </c>
      <c r="E561">
        <v>0.27479999999999999</v>
      </c>
      <c r="F561">
        <v>3387145.54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0.46300211416490511</v>
      </c>
      <c r="Q561">
        <f t="shared" si="985"/>
        <v>1568255.5460042292</v>
      </c>
      <c r="R561">
        <f t="shared" si="986"/>
        <v>-17649507.094896484</v>
      </c>
      <c r="S561">
        <f t="shared" si="987"/>
        <v>-176.49507094896484</v>
      </c>
      <c r="T561">
        <f t="shared" si="988"/>
        <v>-0.17649507094896483</v>
      </c>
      <c r="CZ561" t="s">
        <v>7</v>
      </c>
    </row>
    <row r="562" spans="1:104" x14ac:dyDescent="0.25">
      <c r="A562" s="5">
        <v>44031</v>
      </c>
      <c r="B562">
        <v>0.24660000000000001</v>
      </c>
      <c r="C562">
        <v>0.24759999999999999</v>
      </c>
      <c r="D562">
        <v>0.23219999999999999</v>
      </c>
      <c r="E562">
        <v>0.24410000000000001</v>
      </c>
      <c r="F562">
        <v>1623551.9</v>
      </c>
      <c r="G562">
        <v>0</v>
      </c>
      <c r="L562" t="s">
        <v>7</v>
      </c>
      <c r="M562" t="s">
        <v>8</v>
      </c>
      <c r="N562" t="s">
        <v>8</v>
      </c>
      <c r="P562">
        <f t="shared" si="984"/>
        <v>0.54545454545454852</v>
      </c>
      <c r="Q562">
        <f t="shared" si="985"/>
        <v>885573.76363636856</v>
      </c>
      <c r="R562">
        <f t="shared" si="986"/>
        <v>-19217762.640900712</v>
      </c>
      <c r="S562">
        <f t="shared" si="987"/>
        <v>-192.17762640900713</v>
      </c>
      <c r="T562">
        <f t="shared" si="988"/>
        <v>-0.19217762640900712</v>
      </c>
      <c r="CZ562" t="s">
        <v>7</v>
      </c>
    </row>
    <row r="563" spans="1:104" x14ac:dyDescent="0.25">
      <c r="A563" s="5">
        <v>44030</v>
      </c>
      <c r="B563">
        <v>0.2472</v>
      </c>
      <c r="C563">
        <v>0.25569999999999998</v>
      </c>
      <c r="D563">
        <v>0.2407</v>
      </c>
      <c r="E563">
        <v>0.2477</v>
      </c>
      <c r="F563">
        <v>2777097.81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-6.6666666666664945E-2</v>
      </c>
      <c r="Q563">
        <f t="shared" si="985"/>
        <v>-185139.85399999522</v>
      </c>
      <c r="R563">
        <f t="shared" si="986"/>
        <v>-20103336.404537082</v>
      </c>
      <c r="S563">
        <f t="shared" si="987"/>
        <v>-201.03336404537083</v>
      </c>
      <c r="T563">
        <f t="shared" si="988"/>
        <v>-0.20103336404537084</v>
      </c>
      <c r="CZ563" t="s">
        <v>7</v>
      </c>
    </row>
    <row r="564" spans="1:104" x14ac:dyDescent="0.25">
      <c r="A564" s="5">
        <v>44029</v>
      </c>
      <c r="B564">
        <v>0.21879999999999999</v>
      </c>
      <c r="C564">
        <v>0.25030000000000002</v>
      </c>
      <c r="D564">
        <v>0.21390000000000001</v>
      </c>
      <c r="E564">
        <v>0.24709999999999999</v>
      </c>
      <c r="F564">
        <v>3666705.36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0.82417582417582225</v>
      </c>
      <c r="Q564">
        <f t="shared" si="985"/>
        <v>3022009.9120879048</v>
      </c>
      <c r="R564">
        <f t="shared" si="986"/>
        <v>-19918196.550537087</v>
      </c>
      <c r="S564">
        <f t="shared" si="987"/>
        <v>-199.18196550537087</v>
      </c>
      <c r="T564">
        <f t="shared" si="988"/>
        <v>-0.19918196550537087</v>
      </c>
    </row>
    <row r="565" spans="1:104" x14ac:dyDescent="0.25">
      <c r="A565" s="5">
        <v>44028</v>
      </c>
      <c r="B565">
        <v>0.2248</v>
      </c>
      <c r="C565">
        <v>0.2266</v>
      </c>
      <c r="D565">
        <v>0.2077</v>
      </c>
      <c r="E565">
        <v>0.21859999999999999</v>
      </c>
      <c r="F565">
        <v>1370477.84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0.15343915343915268</v>
      </c>
      <c r="Q565">
        <f t="shared" si="985"/>
        <v>210284.95957671854</v>
      </c>
      <c r="R565">
        <f t="shared" si="986"/>
        <v>-22940206.462624993</v>
      </c>
      <c r="S565">
        <f t="shared" si="987"/>
        <v>-229.40206462624994</v>
      </c>
      <c r="T565">
        <f t="shared" si="988"/>
        <v>-0.22940206462624993</v>
      </c>
    </row>
    <row r="566" spans="1:104" x14ac:dyDescent="0.25">
      <c r="A566" s="5">
        <v>44027</v>
      </c>
      <c r="B566">
        <v>0.2334</v>
      </c>
      <c r="C566">
        <v>0.2374</v>
      </c>
      <c r="D566">
        <v>0.22339999999999999</v>
      </c>
      <c r="E566">
        <v>0.2258</v>
      </c>
      <c r="F566">
        <v>943927.15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-0.65714285714285559</v>
      </c>
      <c r="Q566">
        <f t="shared" si="985"/>
        <v>-620294.98428571282</v>
      </c>
      <c r="R566">
        <f t="shared" si="986"/>
        <v>-23150491.422201712</v>
      </c>
      <c r="S566">
        <f t="shared" si="987"/>
        <v>-231.50491422201711</v>
      </c>
      <c r="T566">
        <f t="shared" si="988"/>
        <v>-0.23150491422201711</v>
      </c>
    </row>
    <row r="567" spans="1:104" x14ac:dyDescent="0.25">
      <c r="A567" s="5">
        <v>44026</v>
      </c>
      <c r="B567">
        <v>0.23139999999999999</v>
      </c>
      <c r="C567">
        <v>0.24310000000000001</v>
      </c>
      <c r="D567">
        <v>0.22620000000000001</v>
      </c>
      <c r="E567">
        <v>0.23269999999999999</v>
      </c>
      <c r="F567">
        <v>1797700.57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-0.23076923076923331</v>
      </c>
      <c r="Q567">
        <f t="shared" si="985"/>
        <v>-414853.97769231227</v>
      </c>
      <c r="R567">
        <f t="shared" si="986"/>
        <v>-22530196.437915999</v>
      </c>
      <c r="S567">
        <f t="shared" si="987"/>
        <v>-225.30196437915998</v>
      </c>
      <c r="T567">
        <f t="shared" si="988"/>
        <v>-0.22530196437915997</v>
      </c>
    </row>
    <row r="568" spans="1:104" x14ac:dyDescent="0.25">
      <c r="A568" s="5">
        <v>44025</v>
      </c>
      <c r="B568">
        <v>0.21970000000000001</v>
      </c>
      <c r="C568">
        <v>0.23899999999999999</v>
      </c>
      <c r="D568">
        <v>0.21859999999999999</v>
      </c>
      <c r="E568">
        <v>0.23150000000000001</v>
      </c>
      <c r="F568">
        <v>1646541.17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0.26470588235294329</v>
      </c>
      <c r="Q568">
        <f t="shared" si="985"/>
        <v>435849.13323529757</v>
      </c>
      <c r="R568">
        <f t="shared" si="986"/>
        <v>-22115342.460223686</v>
      </c>
      <c r="S568">
        <f t="shared" si="987"/>
        <v>-221.15342460223687</v>
      </c>
      <c r="T568">
        <f t="shared" si="988"/>
        <v>-0.22115342460223686</v>
      </c>
    </row>
    <row r="569" spans="1:104" x14ac:dyDescent="0.25">
      <c r="A569" s="5">
        <v>44024</v>
      </c>
      <c r="B569">
        <v>0.22090000000000001</v>
      </c>
      <c r="C569">
        <v>0.23330000000000001</v>
      </c>
      <c r="D569">
        <v>0.2175</v>
      </c>
      <c r="E569">
        <v>0.21990000000000001</v>
      </c>
      <c r="F569">
        <v>1184335.2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-0.69620253164556811</v>
      </c>
      <c r="Q569">
        <f t="shared" si="985"/>
        <v>-824537.16455696023</v>
      </c>
      <c r="R569">
        <f t="shared" si="986"/>
        <v>-22551191.593458984</v>
      </c>
      <c r="S569">
        <f t="shared" si="987"/>
        <v>-225.51191593458984</v>
      </c>
      <c r="T569">
        <f t="shared" si="988"/>
        <v>-0.22551191593458983</v>
      </c>
    </row>
    <row r="570" spans="1:104" x14ac:dyDescent="0.25">
      <c r="A570" s="5">
        <v>44023</v>
      </c>
      <c r="B570">
        <v>0.2261</v>
      </c>
      <c r="C570">
        <v>0.22989999999999999</v>
      </c>
      <c r="D570">
        <v>0.219</v>
      </c>
      <c r="E570">
        <v>0.22090000000000001</v>
      </c>
      <c r="F570">
        <v>794841.19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-0.65137614678898825</v>
      </c>
      <c r="Q570">
        <f t="shared" si="985"/>
        <v>-517740.59165137407</v>
      </c>
      <c r="R570">
        <f t="shared" si="986"/>
        <v>-21726654.428902023</v>
      </c>
      <c r="S570">
        <f t="shared" si="987"/>
        <v>-217.26654428902023</v>
      </c>
      <c r="T570">
        <f t="shared" si="988"/>
        <v>-0.21726654428902023</v>
      </c>
    </row>
    <row r="571" spans="1:104" x14ac:dyDescent="0.25">
      <c r="A571" s="5">
        <v>44022</v>
      </c>
      <c r="B571">
        <v>0.22320000000000001</v>
      </c>
      <c r="C571">
        <v>0.2288</v>
      </c>
      <c r="D571">
        <v>0.21199999999999999</v>
      </c>
      <c r="E571">
        <v>0.22520000000000001</v>
      </c>
      <c r="F571">
        <v>817198.07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0.57142857142857262</v>
      </c>
      <c r="Q571">
        <f t="shared" si="985"/>
        <v>466970.32571428665</v>
      </c>
      <c r="R571">
        <f t="shared" si="986"/>
        <v>-21208913.83725065</v>
      </c>
      <c r="S571">
        <f t="shared" si="987"/>
        <v>-212.08913837250651</v>
      </c>
      <c r="T571">
        <f t="shared" si="988"/>
        <v>-0.21208913837250651</v>
      </c>
    </row>
    <row r="572" spans="1:104" x14ac:dyDescent="0.25">
      <c r="A572" s="5">
        <v>44021</v>
      </c>
      <c r="B572">
        <v>0.2208</v>
      </c>
      <c r="C572">
        <v>0.24</v>
      </c>
      <c r="D572">
        <v>0.2175</v>
      </c>
      <c r="E572">
        <v>0.22320000000000001</v>
      </c>
      <c r="F572">
        <v>1888067.36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-0.49333333333333224</v>
      </c>
      <c r="Q572">
        <f t="shared" si="985"/>
        <v>-931446.56426666467</v>
      </c>
      <c r="R572">
        <f t="shared" si="986"/>
        <v>-21675884.162964936</v>
      </c>
      <c r="S572">
        <f t="shared" si="987"/>
        <v>-216.75884162964937</v>
      </c>
      <c r="T572">
        <f t="shared" si="988"/>
        <v>-0.21675884162964937</v>
      </c>
    </row>
    <row r="573" spans="1:104" x14ac:dyDescent="0.25">
      <c r="A573" s="5">
        <v>44020</v>
      </c>
      <c r="B573">
        <v>0.21659999999999999</v>
      </c>
      <c r="C573">
        <v>0.2278</v>
      </c>
      <c r="D573">
        <v>0.215</v>
      </c>
      <c r="E573">
        <v>0.2208</v>
      </c>
      <c r="F573">
        <v>1372861.16</v>
      </c>
      <c r="G573">
        <v>0</v>
      </c>
      <c r="L573" t="s">
        <v>8</v>
      </c>
      <c r="M573" t="s">
        <v>7</v>
      </c>
      <c r="N573" t="s">
        <v>8</v>
      </c>
      <c r="P573">
        <f t="shared" si="984"/>
        <v>-9.3750000000000472E-2</v>
      </c>
      <c r="Q573">
        <f t="shared" si="985"/>
        <v>-128705.73375000064</v>
      </c>
      <c r="R573">
        <f t="shared" si="986"/>
        <v>-20744437.598698273</v>
      </c>
      <c r="S573">
        <f t="shared" si="987"/>
        <v>-207.44437598698272</v>
      </c>
      <c r="T573">
        <f t="shared" si="988"/>
        <v>-0.20744437598698273</v>
      </c>
    </row>
    <row r="574" spans="1:104" x14ac:dyDescent="0.25">
      <c r="A574" s="5">
        <v>44019</v>
      </c>
      <c r="B574">
        <v>0.2097</v>
      </c>
      <c r="C574">
        <v>0.22009999999999999</v>
      </c>
      <c r="D574">
        <v>0.20669999999999999</v>
      </c>
      <c r="E574">
        <v>0.2175</v>
      </c>
      <c r="F574">
        <v>948512.93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0.6119402985074639</v>
      </c>
      <c r="Q574">
        <f t="shared" si="985"/>
        <v>580433.28552238923</v>
      </c>
      <c r="R574">
        <f t="shared" si="986"/>
        <v>-20615731.864948273</v>
      </c>
      <c r="S574">
        <f t="shared" si="987"/>
        <v>-206.15731864948273</v>
      </c>
      <c r="T574">
        <f t="shared" si="988"/>
        <v>-0.20615731864948272</v>
      </c>
    </row>
    <row r="575" spans="1:104" x14ac:dyDescent="0.25">
      <c r="A575" s="5">
        <v>44018</v>
      </c>
      <c r="B575">
        <v>0.20069999999999999</v>
      </c>
      <c r="C575">
        <v>0.214</v>
      </c>
      <c r="D575">
        <v>0.2</v>
      </c>
      <c r="E575">
        <v>0.20979999999999999</v>
      </c>
      <c r="F575">
        <v>1056648.6100000001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0.39999999999999802</v>
      </c>
      <c r="Q575">
        <f t="shared" si="985"/>
        <v>422659.44399999798</v>
      </c>
      <c r="R575">
        <f t="shared" si="986"/>
        <v>-21196165.150470663</v>
      </c>
      <c r="S575">
        <f t="shared" si="987"/>
        <v>-211.96165150470662</v>
      </c>
      <c r="T575">
        <f t="shared" si="988"/>
        <v>-0.21196165150470661</v>
      </c>
    </row>
    <row r="576" spans="1:104" x14ac:dyDescent="0.25">
      <c r="A576" s="5">
        <v>44017</v>
      </c>
      <c r="B576">
        <v>0.2097</v>
      </c>
      <c r="C576">
        <v>0.2099</v>
      </c>
      <c r="D576">
        <v>0.19600000000000001</v>
      </c>
      <c r="E576">
        <v>0.2014</v>
      </c>
      <c r="F576">
        <v>566674.93000000005</v>
      </c>
      <c r="G576">
        <v>0</v>
      </c>
      <c r="L576" t="s">
        <v>7</v>
      </c>
      <c r="M576" t="s">
        <v>7</v>
      </c>
      <c r="N576" t="s">
        <v>8</v>
      </c>
      <c r="P576">
        <f t="shared" si="984"/>
        <v>-0.22302158273381442</v>
      </c>
      <c r="Q576">
        <f t="shared" si="985"/>
        <v>-126380.73978417351</v>
      </c>
      <c r="R576">
        <f t="shared" si="986"/>
        <v>-21618824.594470661</v>
      </c>
      <c r="S576">
        <f t="shared" si="987"/>
        <v>-216.18824594470661</v>
      </c>
      <c r="T576">
        <f t="shared" si="988"/>
        <v>-0.21618824594470662</v>
      </c>
    </row>
    <row r="577" spans="1:20" x14ac:dyDescent="0.25">
      <c r="A577" s="5">
        <v>44016</v>
      </c>
      <c r="B577">
        <v>0.20780000000000001</v>
      </c>
      <c r="C577">
        <v>0.2114</v>
      </c>
      <c r="D577">
        <v>0.2039</v>
      </c>
      <c r="E577">
        <v>0.2097</v>
      </c>
      <c r="F577">
        <v>633554.93000000005</v>
      </c>
      <c r="G577">
        <v>0</v>
      </c>
      <c r="L577" t="s">
        <v>7</v>
      </c>
      <c r="M577" t="s">
        <v>8</v>
      </c>
      <c r="N577" t="s">
        <v>8</v>
      </c>
      <c r="P577">
        <f t="shared" si="984"/>
        <v>0.54666666666666519</v>
      </c>
      <c r="Q577">
        <f t="shared" si="985"/>
        <v>346343.36173333245</v>
      </c>
      <c r="R577">
        <f t="shared" si="986"/>
        <v>-21492443.854686487</v>
      </c>
      <c r="S577">
        <f t="shared" si="987"/>
        <v>-214.92443854686488</v>
      </c>
      <c r="T577">
        <f t="shared" si="988"/>
        <v>-0.21492443854686488</v>
      </c>
    </row>
    <row r="578" spans="1:20" x14ac:dyDescent="0.25">
      <c r="A578" s="5">
        <v>44015</v>
      </c>
      <c r="B578">
        <v>0.20619999999999999</v>
      </c>
      <c r="C578">
        <v>0.22</v>
      </c>
      <c r="D578">
        <v>0.2051</v>
      </c>
      <c r="E578">
        <v>0.20780000000000001</v>
      </c>
      <c r="F578">
        <v>1548259.47</v>
      </c>
      <c r="G578">
        <v>0</v>
      </c>
      <c r="L578" t="s">
        <v>7</v>
      </c>
      <c r="M578" t="s">
        <v>8</v>
      </c>
      <c r="N578" t="s">
        <v>8</v>
      </c>
      <c r="P578">
        <f t="shared" si="984"/>
        <v>-0.63758389261744852</v>
      </c>
      <c r="Q578">
        <f t="shared" si="985"/>
        <v>-987145.29966442776</v>
      </c>
      <c r="R578">
        <f t="shared" si="986"/>
        <v>-21838787.21641982</v>
      </c>
      <c r="S578">
        <f t="shared" si="987"/>
        <v>-218.3878721641982</v>
      </c>
      <c r="T578">
        <f t="shared" si="988"/>
        <v>-0.21838787216419819</v>
      </c>
    </row>
    <row r="579" spans="1:20" x14ac:dyDescent="0.25">
      <c r="A579" s="5">
        <v>44014</v>
      </c>
      <c r="B579">
        <v>0.1996</v>
      </c>
      <c r="C579">
        <v>0.24260000000000001</v>
      </c>
      <c r="D579">
        <v>0.19339999999999999</v>
      </c>
      <c r="E579">
        <v>0.20610000000000001</v>
      </c>
      <c r="F579">
        <v>1966592.51</v>
      </c>
      <c r="G579">
        <v>0</v>
      </c>
      <c r="L579" t="s">
        <v>8</v>
      </c>
      <c r="M579" t="s">
        <v>8</v>
      </c>
      <c r="N579" t="s">
        <v>8</v>
      </c>
      <c r="P579">
        <f t="shared" si="984"/>
        <v>-0.48373983739837351</v>
      </c>
      <c r="Q579">
        <f t="shared" si="985"/>
        <v>-951319.14101625921</v>
      </c>
      <c r="R579">
        <f t="shared" si="986"/>
        <v>-20851641.916755393</v>
      </c>
      <c r="S579">
        <f t="shared" si="987"/>
        <v>-208.51641916755392</v>
      </c>
      <c r="T579">
        <f t="shared" si="988"/>
        <v>-0.20851641916755392</v>
      </c>
    </row>
    <row r="580" spans="1:20" x14ac:dyDescent="0.25">
      <c r="A580" s="5">
        <v>44013</v>
      </c>
      <c r="B580">
        <v>0.19570000000000001</v>
      </c>
      <c r="C580">
        <v>0.20200000000000001</v>
      </c>
      <c r="D580">
        <v>0.19350000000000001</v>
      </c>
      <c r="E580">
        <v>0.1996</v>
      </c>
      <c r="F580">
        <v>280451.56</v>
      </c>
      <c r="G580">
        <v>0</v>
      </c>
      <c r="L580" t="s">
        <v>8</v>
      </c>
      <c r="M580" t="s">
        <v>8</v>
      </c>
      <c r="N580" t="s">
        <v>7</v>
      </c>
      <c r="P580">
        <f t="shared" si="984"/>
        <v>0.43529411764705622</v>
      </c>
      <c r="Q580">
        <f t="shared" si="985"/>
        <v>122078.91435294044</v>
      </c>
      <c r="R580">
        <f t="shared" si="986"/>
        <v>-19900322.775739133</v>
      </c>
      <c r="S580">
        <f t="shared" si="987"/>
        <v>-199.00322775739133</v>
      </c>
      <c r="T580">
        <f t="shared" si="988"/>
        <v>-0.19900322775739132</v>
      </c>
    </row>
    <row r="581" spans="1:20" x14ac:dyDescent="0.25">
      <c r="A581" s="5">
        <v>44012</v>
      </c>
      <c r="B581">
        <v>0.1976</v>
      </c>
      <c r="C581">
        <v>0.19919999999999999</v>
      </c>
      <c r="D581">
        <v>0.1938</v>
      </c>
      <c r="E581">
        <v>0.1963</v>
      </c>
      <c r="F581">
        <v>354370.76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-7.4074074074071225E-2</v>
      </c>
      <c r="Q581">
        <f t="shared" si="985"/>
        <v>-26249.685925924918</v>
      </c>
      <c r="R581">
        <f t="shared" si="986"/>
        <v>-20022401.690092076</v>
      </c>
      <c r="S581">
        <f t="shared" si="987"/>
        <v>-200.22401690092076</v>
      </c>
      <c r="T581">
        <f t="shared" si="988"/>
        <v>-0.20022401690092076</v>
      </c>
    </row>
    <row r="582" spans="1:20" x14ac:dyDescent="0.25">
      <c r="A582" s="5">
        <v>44011</v>
      </c>
      <c r="B582">
        <v>0.2034</v>
      </c>
      <c r="C582">
        <v>0.20899999999999999</v>
      </c>
      <c r="D582">
        <v>0.16750000000000001</v>
      </c>
      <c r="E582">
        <v>0.1976</v>
      </c>
      <c r="F582">
        <v>720667.6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0.4506024096385543</v>
      </c>
      <c r="Q582">
        <f t="shared" ref="Q582:Q645" si="990">F582*P582</f>
        <v>324734.5571084338</v>
      </c>
      <c r="R582">
        <f t="shared" ref="R582:R645" si="991">R583+Q582</f>
        <v>-19996152.004166152</v>
      </c>
      <c r="S582">
        <f t="shared" ref="S582:S645" si="992">R582/100000</f>
        <v>-199.96152004166152</v>
      </c>
      <c r="T582">
        <f t="shared" ref="T582:T645" si="993">S582/1000</f>
        <v>-0.19996152004166151</v>
      </c>
    </row>
    <row r="583" spans="1:20" x14ac:dyDescent="0.25">
      <c r="A583" s="5">
        <v>44010</v>
      </c>
      <c r="B583">
        <v>0.1915</v>
      </c>
      <c r="C583">
        <v>0.2087</v>
      </c>
      <c r="D583">
        <v>0.18709999999999999</v>
      </c>
      <c r="E583">
        <v>0.20330000000000001</v>
      </c>
      <c r="F583">
        <v>759538</v>
      </c>
      <c r="G583">
        <v>0</v>
      </c>
      <c r="L583" t="s">
        <v>8</v>
      </c>
      <c r="M583" t="s">
        <v>7</v>
      </c>
      <c r="N583" t="s">
        <v>7</v>
      </c>
      <c r="P583">
        <f t="shared" si="989"/>
        <v>0.50000000000000133</v>
      </c>
      <c r="Q583">
        <f t="shared" si="990"/>
        <v>379769.00000000099</v>
      </c>
      <c r="R583">
        <f t="shared" si="991"/>
        <v>-20320886.561274584</v>
      </c>
      <c r="S583">
        <f t="shared" si="992"/>
        <v>-203.20886561274585</v>
      </c>
      <c r="T583">
        <f t="shared" si="993"/>
        <v>-0.20320886561274584</v>
      </c>
    </row>
    <row r="584" spans="1:20" x14ac:dyDescent="0.25">
      <c r="A584" s="5">
        <v>44009</v>
      </c>
      <c r="B584">
        <v>0.20930000000000001</v>
      </c>
      <c r="C584">
        <v>0.21110000000000001</v>
      </c>
      <c r="D584">
        <v>0.182</v>
      </c>
      <c r="E584">
        <v>0.1915</v>
      </c>
      <c r="F584">
        <v>1409563.31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-0.34707903780068705</v>
      </c>
      <c r="Q584">
        <f t="shared" si="990"/>
        <v>-489229.87735395157</v>
      </c>
      <c r="R584">
        <f t="shared" si="991"/>
        <v>-20700655.561274584</v>
      </c>
      <c r="S584">
        <f t="shared" si="992"/>
        <v>-207.00655561274584</v>
      </c>
      <c r="T584">
        <f t="shared" si="993"/>
        <v>-0.20700655561274584</v>
      </c>
    </row>
    <row r="585" spans="1:20" x14ac:dyDescent="0.25">
      <c r="A585" s="5">
        <v>44008</v>
      </c>
      <c r="B585">
        <v>0.22239999999999999</v>
      </c>
      <c r="C585">
        <v>0.2266</v>
      </c>
      <c r="D585">
        <v>0.20930000000000001</v>
      </c>
      <c r="E585">
        <v>0.20979999999999999</v>
      </c>
      <c r="F585">
        <v>1067514.74</v>
      </c>
      <c r="G585">
        <v>0</v>
      </c>
      <c r="L585" t="s">
        <v>7</v>
      </c>
      <c r="M585" t="s">
        <v>7</v>
      </c>
      <c r="N585" t="s">
        <v>8</v>
      </c>
      <c r="P585">
        <f t="shared" si="989"/>
        <v>-0.94219653179191065</v>
      </c>
      <c r="Q585">
        <f t="shared" si="990"/>
        <v>-1005808.6856647432</v>
      </c>
      <c r="R585">
        <f t="shared" si="991"/>
        <v>-20211425.683920633</v>
      </c>
      <c r="S585">
        <f t="shared" si="992"/>
        <v>-202.11425683920632</v>
      </c>
      <c r="T585">
        <f t="shared" si="993"/>
        <v>-0.20211425683920631</v>
      </c>
    </row>
    <row r="586" spans="1:20" x14ac:dyDescent="0.25">
      <c r="A586" s="5">
        <v>44007</v>
      </c>
      <c r="B586">
        <v>0.23280000000000001</v>
      </c>
      <c r="C586">
        <v>0.23280000000000001</v>
      </c>
      <c r="D586">
        <v>0.21959999999999999</v>
      </c>
      <c r="E586">
        <v>0.22189999999999999</v>
      </c>
      <c r="F586">
        <v>1055225.72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-0.65151515151515249</v>
      </c>
      <c r="Q586">
        <f t="shared" si="990"/>
        <v>-687495.54484848585</v>
      </c>
      <c r="R586">
        <f t="shared" si="991"/>
        <v>-19205616.99825589</v>
      </c>
      <c r="S586">
        <f t="shared" si="992"/>
        <v>-192.05616998255888</v>
      </c>
      <c r="T586">
        <f t="shared" si="993"/>
        <v>-0.19205616998255889</v>
      </c>
    </row>
    <row r="587" spans="1:20" x14ac:dyDescent="0.25">
      <c r="A587" s="5">
        <v>44006</v>
      </c>
      <c r="B587">
        <v>0.24629999999999999</v>
      </c>
      <c r="C587">
        <v>0.25109999999999999</v>
      </c>
      <c r="D587">
        <v>0.22500000000000001</v>
      </c>
      <c r="E587">
        <v>0.2329</v>
      </c>
      <c r="F587">
        <v>1320554.06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-0.39463601532567089</v>
      </c>
      <c r="Q587">
        <f t="shared" si="990"/>
        <v>-521138.19226053695</v>
      </c>
      <c r="R587">
        <f t="shared" si="991"/>
        <v>-18518121.453407403</v>
      </c>
      <c r="S587">
        <f t="shared" si="992"/>
        <v>-185.18121453407403</v>
      </c>
      <c r="T587">
        <f t="shared" si="993"/>
        <v>-0.18518121453407402</v>
      </c>
    </row>
    <row r="588" spans="1:20" x14ac:dyDescent="0.25">
      <c r="A588" s="5">
        <v>44005</v>
      </c>
      <c r="B588">
        <v>0.25690000000000002</v>
      </c>
      <c r="C588">
        <v>0.26229999999999998</v>
      </c>
      <c r="D588">
        <v>0.24</v>
      </c>
      <c r="E588">
        <v>0.24640000000000001</v>
      </c>
      <c r="F588">
        <v>971651.68</v>
      </c>
      <c r="G588">
        <v>0</v>
      </c>
      <c r="L588" t="s">
        <v>7</v>
      </c>
      <c r="M588" t="s">
        <v>8</v>
      </c>
      <c r="N588" t="s">
        <v>8</v>
      </c>
      <c r="P588">
        <f t="shared" si="989"/>
        <v>-0.42600896860986359</v>
      </c>
      <c r="Q588">
        <f t="shared" si="990"/>
        <v>-413932.33004484122</v>
      </c>
      <c r="R588">
        <f t="shared" si="991"/>
        <v>-17996983.261146866</v>
      </c>
      <c r="S588">
        <f t="shared" si="992"/>
        <v>-179.96983261146866</v>
      </c>
      <c r="T588">
        <f t="shared" si="993"/>
        <v>-0.17996983261146865</v>
      </c>
    </row>
    <row r="589" spans="1:20" x14ac:dyDescent="0.25">
      <c r="A589" s="5">
        <v>44004</v>
      </c>
      <c r="B589">
        <v>0.24310000000000001</v>
      </c>
      <c r="C589">
        <v>0.26700000000000002</v>
      </c>
      <c r="D589">
        <v>0.2409</v>
      </c>
      <c r="E589">
        <v>0.25690000000000002</v>
      </c>
      <c r="F589">
        <v>2154546.81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0.22605363984674381</v>
      </c>
      <c r="Q589">
        <f t="shared" si="990"/>
        <v>487043.1486206908</v>
      </c>
      <c r="R589">
        <f t="shared" si="991"/>
        <v>-17583050.931102026</v>
      </c>
      <c r="S589">
        <f t="shared" si="992"/>
        <v>-175.83050931102025</v>
      </c>
      <c r="T589">
        <f t="shared" si="993"/>
        <v>-0.17583050931102026</v>
      </c>
    </row>
    <row r="590" spans="1:20" x14ac:dyDescent="0.25">
      <c r="A590" s="5">
        <v>44003</v>
      </c>
      <c r="B590">
        <v>0.23150000000000001</v>
      </c>
      <c r="C590">
        <v>0.24979999999999999</v>
      </c>
      <c r="D590">
        <v>0.23039999999999999</v>
      </c>
      <c r="E590">
        <v>0.24310000000000001</v>
      </c>
      <c r="F590">
        <v>1194044.95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0.30927835051546559</v>
      </c>
      <c r="Q590">
        <f t="shared" si="990"/>
        <v>369292.2525773216</v>
      </c>
      <c r="R590">
        <f t="shared" si="991"/>
        <v>-18070094.079722717</v>
      </c>
      <c r="S590">
        <f t="shared" si="992"/>
        <v>-180.70094079722716</v>
      </c>
      <c r="T590">
        <f t="shared" si="993"/>
        <v>-0.18070094079722715</v>
      </c>
    </row>
    <row r="591" spans="1:20" x14ac:dyDescent="0.25">
      <c r="A591" s="5">
        <v>44002</v>
      </c>
      <c r="B591">
        <v>0.22589999999999999</v>
      </c>
      <c r="C591">
        <v>0.23499999999999999</v>
      </c>
      <c r="D591">
        <v>0.221</v>
      </c>
      <c r="E591">
        <v>0.23150000000000001</v>
      </c>
      <c r="F591">
        <v>783804.03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0.500000000000003</v>
      </c>
      <c r="Q591">
        <f t="shared" si="990"/>
        <v>391902.01500000234</v>
      </c>
      <c r="R591">
        <f t="shared" si="991"/>
        <v>-18439386.332300037</v>
      </c>
      <c r="S591">
        <f t="shared" si="992"/>
        <v>-184.39386332300037</v>
      </c>
      <c r="T591">
        <f t="shared" si="993"/>
        <v>-0.18439386332300037</v>
      </c>
    </row>
    <row r="592" spans="1:20" x14ac:dyDescent="0.25">
      <c r="A592" s="5">
        <v>44001</v>
      </c>
      <c r="B592">
        <v>0.246</v>
      </c>
      <c r="C592">
        <v>0.24890000000000001</v>
      </c>
      <c r="D592">
        <v>0.2235</v>
      </c>
      <c r="E592">
        <v>0.22589999999999999</v>
      </c>
      <c r="F592">
        <v>1431132.38</v>
      </c>
      <c r="G592">
        <v>0</v>
      </c>
      <c r="L592" t="s">
        <v>7</v>
      </c>
      <c r="M592" t="s">
        <v>8</v>
      </c>
      <c r="N592" t="s">
        <v>8</v>
      </c>
      <c r="P592">
        <f t="shared" si="989"/>
        <v>-0.81102362204724532</v>
      </c>
      <c r="Q592">
        <f t="shared" si="990"/>
        <v>-1160682.1664566945</v>
      </c>
      <c r="R592">
        <f t="shared" si="991"/>
        <v>-18831288.347300038</v>
      </c>
      <c r="S592">
        <f t="shared" si="992"/>
        <v>-188.31288347300037</v>
      </c>
      <c r="T592">
        <f t="shared" si="993"/>
        <v>-0.18831288347300038</v>
      </c>
    </row>
    <row r="593" spans="1:20" x14ac:dyDescent="0.25">
      <c r="A593" s="5">
        <v>44000</v>
      </c>
      <c r="B593">
        <v>0.2286</v>
      </c>
      <c r="C593">
        <v>0.25119999999999998</v>
      </c>
      <c r="D593">
        <v>0.22720000000000001</v>
      </c>
      <c r="E593">
        <v>0.24610000000000001</v>
      </c>
      <c r="F593">
        <v>1969963.13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0.57500000000000229</v>
      </c>
      <c r="Q593">
        <f t="shared" si="990"/>
        <v>1132728.7997500044</v>
      </c>
      <c r="R593">
        <f t="shared" si="991"/>
        <v>-17670606.180843342</v>
      </c>
      <c r="S593">
        <f t="shared" si="992"/>
        <v>-176.70606180843342</v>
      </c>
      <c r="T593">
        <f t="shared" si="993"/>
        <v>-0.17670606180843343</v>
      </c>
    </row>
    <row r="594" spans="1:20" x14ac:dyDescent="0.25">
      <c r="A594" s="5">
        <v>43999</v>
      </c>
      <c r="B594">
        <v>0.22869999999999999</v>
      </c>
      <c r="C594">
        <v>0.23449999999999999</v>
      </c>
      <c r="D594">
        <v>0.22090000000000001</v>
      </c>
      <c r="E594">
        <v>0.2293</v>
      </c>
      <c r="F594">
        <v>582829.41</v>
      </c>
      <c r="G594">
        <v>0</v>
      </c>
      <c r="L594" t="s">
        <v>7</v>
      </c>
      <c r="M594" t="s">
        <v>7</v>
      </c>
      <c r="N594" t="s">
        <v>8</v>
      </c>
      <c r="P594">
        <f t="shared" si="989"/>
        <v>0.2352941176470599</v>
      </c>
      <c r="Q594">
        <f t="shared" si="990"/>
        <v>137136.33176470653</v>
      </c>
      <c r="R594">
        <f t="shared" si="991"/>
        <v>-18803334.980593346</v>
      </c>
      <c r="S594">
        <f t="shared" si="992"/>
        <v>-188.03334980593345</v>
      </c>
      <c r="T594">
        <f t="shared" si="993"/>
        <v>-0.18803334980593345</v>
      </c>
    </row>
    <row r="595" spans="1:20" x14ac:dyDescent="0.25">
      <c r="A595" s="5">
        <v>43998</v>
      </c>
      <c r="B595">
        <v>0.23369999999999999</v>
      </c>
      <c r="C595">
        <v>0.2422</v>
      </c>
      <c r="D595">
        <v>0.22770000000000001</v>
      </c>
      <c r="E595">
        <v>0.2288</v>
      </c>
      <c r="F595">
        <v>1081649.19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-0.84827586206896677</v>
      </c>
      <c r="Q595">
        <f t="shared" si="990"/>
        <v>-917536.89910344954</v>
      </c>
      <c r="R595">
        <f t="shared" si="991"/>
        <v>-18940471.312358052</v>
      </c>
      <c r="S595">
        <f t="shared" si="992"/>
        <v>-189.40471312358051</v>
      </c>
      <c r="T595">
        <f t="shared" si="993"/>
        <v>-0.18940471312358051</v>
      </c>
    </row>
    <row r="596" spans="1:20" x14ac:dyDescent="0.25">
      <c r="A596" s="5">
        <v>43997</v>
      </c>
      <c r="B596">
        <v>0.23930000000000001</v>
      </c>
      <c r="C596">
        <v>0.2397</v>
      </c>
      <c r="D596">
        <v>0.20530000000000001</v>
      </c>
      <c r="E596">
        <v>0.23350000000000001</v>
      </c>
      <c r="F596">
        <v>2378932.73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0.63953488372093104</v>
      </c>
      <c r="Q596">
        <f t="shared" si="990"/>
        <v>1521410.4668604671</v>
      </c>
      <c r="R596">
        <f t="shared" si="991"/>
        <v>-18022934.413254604</v>
      </c>
      <c r="S596">
        <f t="shared" si="992"/>
        <v>-180.22934413254603</v>
      </c>
      <c r="T596">
        <f t="shared" si="993"/>
        <v>-0.18022934413254604</v>
      </c>
    </row>
    <row r="597" spans="1:20" x14ac:dyDescent="0.25">
      <c r="A597" s="5">
        <v>43996</v>
      </c>
      <c r="B597">
        <v>0.23910000000000001</v>
      </c>
      <c r="C597">
        <v>0.26700000000000002</v>
      </c>
      <c r="D597">
        <v>0.2334</v>
      </c>
      <c r="E597">
        <v>0.23930000000000001</v>
      </c>
      <c r="F597">
        <v>2493440.5299999998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-0.64880952380952306</v>
      </c>
      <c r="Q597">
        <f t="shared" si="990"/>
        <v>-1617767.9629166645</v>
      </c>
      <c r="R597">
        <f t="shared" si="991"/>
        <v>-19544344.880115069</v>
      </c>
      <c r="S597">
        <f t="shared" si="992"/>
        <v>-195.44344880115071</v>
      </c>
      <c r="T597">
        <f t="shared" si="993"/>
        <v>-0.19544344880115072</v>
      </c>
    </row>
    <row r="598" spans="1:20" x14ac:dyDescent="0.25">
      <c r="A598" s="5">
        <v>43995</v>
      </c>
      <c r="B598">
        <v>0.23169999999999999</v>
      </c>
      <c r="C598">
        <v>0.25009999999999999</v>
      </c>
      <c r="D598">
        <v>0.22789999999999999</v>
      </c>
      <c r="E598">
        <v>0.23910000000000001</v>
      </c>
      <c r="F598">
        <v>2629042.12</v>
      </c>
      <c r="G598">
        <v>0</v>
      </c>
      <c r="L598" t="s">
        <v>8</v>
      </c>
      <c r="M598" t="s">
        <v>8</v>
      </c>
      <c r="N598" t="s">
        <v>8</v>
      </c>
      <c r="P598">
        <f t="shared" si="989"/>
        <v>9.0090090090105181E-3</v>
      </c>
      <c r="Q598">
        <f t="shared" si="990"/>
        <v>23685.064144148113</v>
      </c>
      <c r="R598">
        <f t="shared" si="991"/>
        <v>-17926576.917198405</v>
      </c>
      <c r="S598">
        <f t="shared" si="992"/>
        <v>-179.26576917198403</v>
      </c>
      <c r="T598">
        <f t="shared" si="993"/>
        <v>-0.17926576917198403</v>
      </c>
    </row>
    <row r="599" spans="1:20" x14ac:dyDescent="0.25">
      <c r="A599" s="5">
        <v>43994</v>
      </c>
      <c r="B599">
        <v>0.19520000000000001</v>
      </c>
      <c r="C599">
        <v>0.245</v>
      </c>
      <c r="D599">
        <v>0.19120000000000001</v>
      </c>
      <c r="E599">
        <v>0.23180000000000001</v>
      </c>
      <c r="F599">
        <v>4467455</v>
      </c>
      <c r="G599">
        <v>0</v>
      </c>
      <c r="L599" t="s">
        <v>8</v>
      </c>
      <c r="M599" t="s">
        <v>8</v>
      </c>
      <c r="N599" t="s">
        <v>8</v>
      </c>
      <c r="P599">
        <f t="shared" si="989"/>
        <v>0.50929368029739808</v>
      </c>
      <c r="Q599">
        <f t="shared" si="990"/>
        <v>2275246.5985130128</v>
      </c>
      <c r="R599">
        <f t="shared" si="991"/>
        <v>-17950261.981342554</v>
      </c>
      <c r="S599">
        <f t="shared" si="992"/>
        <v>-179.50261981342555</v>
      </c>
      <c r="T599">
        <f t="shared" si="993"/>
        <v>-0.17950261981342555</v>
      </c>
    </row>
    <row r="600" spans="1:20" x14ac:dyDescent="0.25">
      <c r="A600" s="5">
        <v>43993</v>
      </c>
      <c r="B600">
        <v>0.2213</v>
      </c>
      <c r="C600">
        <v>0.22259999999999999</v>
      </c>
      <c r="D600">
        <v>0.18859999999999999</v>
      </c>
      <c r="E600">
        <v>0.1963</v>
      </c>
      <c r="F600">
        <v>1221220.83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-0.54705882352941104</v>
      </c>
      <c r="Q600">
        <f t="shared" si="990"/>
        <v>-668079.6305294109</v>
      </c>
      <c r="R600">
        <f t="shared" si="991"/>
        <v>-20225508.579855569</v>
      </c>
      <c r="S600">
        <f t="shared" si="992"/>
        <v>-202.25508579855568</v>
      </c>
      <c r="T600">
        <f t="shared" si="993"/>
        <v>-0.20225508579855569</v>
      </c>
    </row>
    <row r="601" spans="1:20" x14ac:dyDescent="0.25">
      <c r="A601" s="5">
        <v>43992</v>
      </c>
      <c r="B601">
        <v>0.21510000000000001</v>
      </c>
      <c r="C601">
        <v>0.2233</v>
      </c>
      <c r="D601">
        <v>0.21149999999999999</v>
      </c>
      <c r="E601">
        <v>0.22159999999999999</v>
      </c>
      <c r="F601">
        <v>963132.72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0.7118644067796599</v>
      </c>
      <c r="Q601">
        <f t="shared" si="990"/>
        <v>685619.90237288026</v>
      </c>
      <c r="R601">
        <f t="shared" si="991"/>
        <v>-19557428.949326158</v>
      </c>
      <c r="S601">
        <f t="shared" si="992"/>
        <v>-195.57428949326157</v>
      </c>
      <c r="T601">
        <f t="shared" si="993"/>
        <v>-0.19557428949326158</v>
      </c>
    </row>
    <row r="602" spans="1:20" x14ac:dyDescent="0.25">
      <c r="A602" s="5">
        <v>43991</v>
      </c>
      <c r="B602">
        <v>0.2167</v>
      </c>
      <c r="C602">
        <v>0.2243</v>
      </c>
      <c r="D602">
        <v>0.20430000000000001</v>
      </c>
      <c r="E602">
        <v>0.21540000000000001</v>
      </c>
      <c r="F602">
        <v>918270.19</v>
      </c>
      <c r="G602">
        <v>0</v>
      </c>
      <c r="L602" t="s">
        <v>7</v>
      </c>
      <c r="M602" t="s">
        <v>8</v>
      </c>
      <c r="N602" t="s">
        <v>8</v>
      </c>
      <c r="P602">
        <f t="shared" si="989"/>
        <v>0.11000000000000043</v>
      </c>
      <c r="Q602">
        <f t="shared" si="990"/>
        <v>101009.72090000039</v>
      </c>
      <c r="R602">
        <f t="shared" si="991"/>
        <v>-20243048.851699039</v>
      </c>
      <c r="S602">
        <f t="shared" si="992"/>
        <v>-202.43048851699038</v>
      </c>
      <c r="T602">
        <f t="shared" si="993"/>
        <v>-0.20243048851699039</v>
      </c>
    </row>
    <row r="603" spans="1:20" x14ac:dyDescent="0.25">
      <c r="A603" s="5">
        <v>43990</v>
      </c>
      <c r="B603">
        <v>0.2077</v>
      </c>
      <c r="C603">
        <v>0.23</v>
      </c>
      <c r="D603">
        <v>0.2051</v>
      </c>
      <c r="E603">
        <v>0.21579999999999999</v>
      </c>
      <c r="F603">
        <v>1786315.22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-0.14056224899598516</v>
      </c>
      <c r="Q603">
        <f t="shared" si="990"/>
        <v>-251088.48473895801</v>
      </c>
      <c r="R603">
        <f t="shared" si="991"/>
        <v>-20344058.572599038</v>
      </c>
      <c r="S603">
        <f t="shared" si="992"/>
        <v>-203.44058572599039</v>
      </c>
      <c r="T603">
        <f t="shared" si="993"/>
        <v>-0.20344058572599039</v>
      </c>
    </row>
    <row r="604" spans="1:20" x14ac:dyDescent="0.25">
      <c r="A604" s="5">
        <v>43989</v>
      </c>
      <c r="B604">
        <v>0.2079</v>
      </c>
      <c r="C604">
        <v>0.21060000000000001</v>
      </c>
      <c r="D604">
        <v>0.19850000000000001</v>
      </c>
      <c r="E604">
        <v>0.20760000000000001</v>
      </c>
      <c r="F604">
        <v>646366.97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0.50413223140495822</v>
      </c>
      <c r="Q604">
        <f t="shared" si="990"/>
        <v>325854.42289256165</v>
      </c>
      <c r="R604">
        <f t="shared" si="991"/>
        <v>-20092970.087860081</v>
      </c>
      <c r="S604">
        <f t="shared" si="992"/>
        <v>-200.92970087860081</v>
      </c>
      <c r="T604">
        <f t="shared" si="993"/>
        <v>-0.20092970087860082</v>
      </c>
    </row>
    <row r="605" spans="1:20" x14ac:dyDescent="0.25">
      <c r="A605" s="5">
        <v>43988</v>
      </c>
      <c r="B605">
        <v>0.2</v>
      </c>
      <c r="C605">
        <v>0.20860000000000001</v>
      </c>
      <c r="D605">
        <v>0.1991</v>
      </c>
      <c r="E605">
        <v>0.2074</v>
      </c>
      <c r="F605">
        <v>512328.17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0.74736842105263046</v>
      </c>
      <c r="Q605">
        <f t="shared" si="990"/>
        <v>382897.8954736836</v>
      </c>
      <c r="R605">
        <f t="shared" si="991"/>
        <v>-20418824.510752644</v>
      </c>
      <c r="S605">
        <f t="shared" si="992"/>
        <v>-204.18824510752646</v>
      </c>
      <c r="T605">
        <f t="shared" si="993"/>
        <v>-0.20418824510752645</v>
      </c>
    </row>
    <row r="606" spans="1:20" x14ac:dyDescent="0.25">
      <c r="A606" s="5">
        <v>43987</v>
      </c>
      <c r="B606">
        <v>0.20430000000000001</v>
      </c>
      <c r="C606">
        <v>0.21149999999999999</v>
      </c>
      <c r="D606">
        <v>0.19989999999999999</v>
      </c>
      <c r="E606">
        <v>0.20130000000000001</v>
      </c>
      <c r="F606">
        <v>928837.51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-0.75862068965517027</v>
      </c>
      <c r="Q606">
        <f t="shared" si="990"/>
        <v>-704635.35241379112</v>
      </c>
      <c r="R606">
        <f t="shared" si="991"/>
        <v>-20801722.40622633</v>
      </c>
      <c r="S606">
        <f t="shared" si="992"/>
        <v>-208.0172240622633</v>
      </c>
      <c r="T606">
        <f t="shared" si="993"/>
        <v>-0.20801722406226331</v>
      </c>
    </row>
    <row r="607" spans="1:20" x14ac:dyDescent="0.25">
      <c r="A607" s="5">
        <v>43986</v>
      </c>
      <c r="B607">
        <v>0.20979999999999999</v>
      </c>
      <c r="C607">
        <v>0.2109</v>
      </c>
      <c r="D607">
        <v>0.19750000000000001</v>
      </c>
      <c r="E607">
        <v>0.20430000000000001</v>
      </c>
      <c r="F607">
        <v>1115972.95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1.4925373134328792E-2</v>
      </c>
      <c r="Q607">
        <f t="shared" si="990"/>
        <v>16656.312686567646</v>
      </c>
      <c r="R607">
        <f t="shared" si="991"/>
        <v>-20097087.053812537</v>
      </c>
      <c r="S607">
        <f t="shared" si="992"/>
        <v>-200.97087053812538</v>
      </c>
      <c r="T607">
        <f t="shared" si="993"/>
        <v>-0.20097087053812537</v>
      </c>
    </row>
    <row r="608" spans="1:20" x14ac:dyDescent="0.25">
      <c r="A608" s="5">
        <v>43985</v>
      </c>
      <c r="B608">
        <v>0.21060000000000001</v>
      </c>
      <c r="C608">
        <v>0.2215</v>
      </c>
      <c r="D608">
        <v>0.20499999999999999</v>
      </c>
      <c r="E608">
        <v>0.2092</v>
      </c>
      <c r="F608">
        <v>1900751.37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-0.49090909090909024</v>
      </c>
      <c r="Q608">
        <f t="shared" si="990"/>
        <v>-933096.12709090789</v>
      </c>
      <c r="R608">
        <f t="shared" si="991"/>
        <v>-20113743.366499104</v>
      </c>
      <c r="S608">
        <f t="shared" si="992"/>
        <v>-201.13743366499102</v>
      </c>
      <c r="T608">
        <f t="shared" si="993"/>
        <v>-0.20113743366499101</v>
      </c>
    </row>
    <row r="609" spans="1:20" x14ac:dyDescent="0.25">
      <c r="A609" s="5">
        <v>43984</v>
      </c>
      <c r="B609">
        <v>0.1928</v>
      </c>
      <c r="C609">
        <v>0.22140000000000001</v>
      </c>
      <c r="D609">
        <v>0.18920000000000001</v>
      </c>
      <c r="E609">
        <v>0.21060000000000001</v>
      </c>
      <c r="F609">
        <v>3536036.81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0.32919254658385083</v>
      </c>
      <c r="Q609">
        <f t="shared" si="990"/>
        <v>1164036.9622981362</v>
      </c>
      <c r="R609">
        <f t="shared" si="991"/>
        <v>-19180647.239408195</v>
      </c>
      <c r="S609">
        <f t="shared" si="992"/>
        <v>-191.80647239408194</v>
      </c>
      <c r="T609">
        <f t="shared" si="993"/>
        <v>-0.19180647239408194</v>
      </c>
    </row>
    <row r="610" spans="1:20" x14ac:dyDescent="0.25">
      <c r="A610" s="5">
        <v>43983</v>
      </c>
      <c r="B610">
        <v>0.1827</v>
      </c>
      <c r="C610">
        <v>0.1983</v>
      </c>
      <c r="D610">
        <v>0.18049999999999999</v>
      </c>
      <c r="E610">
        <v>0.19220000000000001</v>
      </c>
      <c r="F610">
        <v>1416101.37</v>
      </c>
      <c r="G610">
        <v>0</v>
      </c>
      <c r="L610" t="s">
        <v>7</v>
      </c>
      <c r="M610" t="s">
        <v>8</v>
      </c>
      <c r="N610" t="s">
        <v>8</v>
      </c>
      <c r="P610">
        <f t="shared" si="989"/>
        <v>0.31460674157303475</v>
      </c>
      <c r="Q610">
        <f t="shared" si="990"/>
        <v>445515.03775281052</v>
      </c>
      <c r="R610">
        <f t="shared" si="991"/>
        <v>-20344684.201706331</v>
      </c>
      <c r="S610">
        <f t="shared" si="992"/>
        <v>-203.44684201706332</v>
      </c>
      <c r="T610">
        <f t="shared" si="993"/>
        <v>-0.20344684201706331</v>
      </c>
    </row>
    <row r="611" spans="1:20" x14ac:dyDescent="0.25">
      <c r="A611" s="5">
        <v>43982</v>
      </c>
      <c r="B611">
        <v>0.19500000000000001</v>
      </c>
      <c r="C611">
        <v>0.20180000000000001</v>
      </c>
      <c r="D611">
        <v>0.1799</v>
      </c>
      <c r="E611">
        <v>0.18279999999999999</v>
      </c>
      <c r="F611">
        <v>1614381.99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-0.73515981735159952</v>
      </c>
      <c r="Q611">
        <f t="shared" si="990"/>
        <v>-1186828.7689041118</v>
      </c>
      <c r="R611">
        <f t="shared" si="991"/>
        <v>-20790199.239459142</v>
      </c>
      <c r="S611">
        <f t="shared" si="992"/>
        <v>-207.90199239459142</v>
      </c>
      <c r="T611">
        <f t="shared" si="993"/>
        <v>-0.20790199239459142</v>
      </c>
    </row>
    <row r="612" spans="1:20" x14ac:dyDescent="0.25">
      <c r="A612" s="5">
        <v>43981</v>
      </c>
      <c r="B612">
        <v>0.19489999999999999</v>
      </c>
      <c r="C612">
        <v>0.19700000000000001</v>
      </c>
      <c r="D612">
        <v>0.191</v>
      </c>
      <c r="E612">
        <v>0.19489999999999999</v>
      </c>
      <c r="F612">
        <v>962203.17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0.29999999999999444</v>
      </c>
      <c r="Q612">
        <f t="shared" si="990"/>
        <v>288660.95099999465</v>
      </c>
      <c r="R612">
        <f t="shared" si="991"/>
        <v>-19603370.47055503</v>
      </c>
      <c r="S612">
        <f t="shared" si="992"/>
        <v>-196.03370470555029</v>
      </c>
      <c r="T612">
        <f t="shared" si="993"/>
        <v>-0.19603370470555029</v>
      </c>
    </row>
    <row r="613" spans="1:20" x14ac:dyDescent="0.25">
      <c r="A613" s="5">
        <v>43980</v>
      </c>
      <c r="B613">
        <v>0.18079999999999999</v>
      </c>
      <c r="C613">
        <v>0.19989999999999999</v>
      </c>
      <c r="D613">
        <v>0.18060000000000001</v>
      </c>
      <c r="E613">
        <v>0.19489999999999999</v>
      </c>
      <c r="F613">
        <v>1476850.76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0.48186528497409237</v>
      </c>
      <c r="Q613">
        <f t="shared" si="990"/>
        <v>711643.11233160493</v>
      </c>
      <c r="R613">
        <f t="shared" si="991"/>
        <v>-19892031.421555024</v>
      </c>
      <c r="S613">
        <f t="shared" si="992"/>
        <v>-198.92031421555023</v>
      </c>
      <c r="T613">
        <f t="shared" si="993"/>
        <v>-0.19892031421555023</v>
      </c>
    </row>
    <row r="614" spans="1:20" x14ac:dyDescent="0.25">
      <c r="A614" s="5">
        <v>43979</v>
      </c>
      <c r="B614">
        <v>0.18379999999999999</v>
      </c>
      <c r="C614">
        <v>0.18390000000000001</v>
      </c>
      <c r="D614">
        <v>0.17649999999999999</v>
      </c>
      <c r="E614">
        <v>0.18110000000000001</v>
      </c>
      <c r="F614">
        <v>1060545.46</v>
      </c>
      <c r="G614">
        <v>0</v>
      </c>
      <c r="L614" t="s">
        <v>7</v>
      </c>
      <c r="M614" t="s">
        <v>8</v>
      </c>
      <c r="N614" t="s">
        <v>8</v>
      </c>
      <c r="P614">
        <f t="shared" si="989"/>
        <v>0.24324324324324587</v>
      </c>
      <c r="Q614">
        <f t="shared" si="990"/>
        <v>257970.51729730007</v>
      </c>
      <c r="R614">
        <f t="shared" si="991"/>
        <v>-20603674.53388663</v>
      </c>
      <c r="S614">
        <f t="shared" si="992"/>
        <v>-206.0367453388663</v>
      </c>
      <c r="T614">
        <f t="shared" si="993"/>
        <v>-0.20603674533886629</v>
      </c>
    </row>
    <row r="615" spans="1:20" x14ac:dyDescent="0.25">
      <c r="A615" s="5">
        <v>43978</v>
      </c>
      <c r="B615">
        <v>0.18129999999999999</v>
      </c>
      <c r="C615">
        <v>0.186</v>
      </c>
      <c r="D615">
        <v>0.17299999999999999</v>
      </c>
      <c r="E615">
        <v>0.18410000000000001</v>
      </c>
      <c r="F615">
        <v>1291894.3400000001</v>
      </c>
      <c r="G615">
        <v>0</v>
      </c>
      <c r="L615" t="s">
        <v>7</v>
      </c>
      <c r="M615" t="s">
        <v>8</v>
      </c>
      <c r="N615" t="s">
        <v>8</v>
      </c>
      <c r="P615">
        <f t="shared" si="989"/>
        <v>0.70769230769231029</v>
      </c>
      <c r="Q615">
        <f t="shared" si="990"/>
        <v>914263.68676923413</v>
      </c>
      <c r="R615">
        <f t="shared" si="991"/>
        <v>-20861645.051183932</v>
      </c>
      <c r="S615">
        <f t="shared" si="992"/>
        <v>-208.6164505118393</v>
      </c>
      <c r="T615">
        <f t="shared" si="993"/>
        <v>-0.2086164505118393</v>
      </c>
    </row>
    <row r="616" spans="1:20" x14ac:dyDescent="0.25">
      <c r="A616" s="5">
        <v>43977</v>
      </c>
      <c r="B616">
        <v>0.1852</v>
      </c>
      <c r="C616">
        <v>0.2</v>
      </c>
      <c r="D616">
        <v>0.1774</v>
      </c>
      <c r="E616">
        <v>0.18140000000000001</v>
      </c>
      <c r="F616">
        <v>2183626.88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-0.64601769911504403</v>
      </c>
      <c r="Q616">
        <f t="shared" si="990"/>
        <v>-1410661.6127433623</v>
      </c>
      <c r="R616">
        <f t="shared" si="991"/>
        <v>-21775908.737953167</v>
      </c>
      <c r="S616">
        <f t="shared" si="992"/>
        <v>-217.75908737953168</v>
      </c>
      <c r="T616">
        <f t="shared" si="993"/>
        <v>-0.21775908737953167</v>
      </c>
    </row>
    <row r="617" spans="1:20" x14ac:dyDescent="0.25">
      <c r="A617" s="5">
        <v>43976</v>
      </c>
      <c r="B617">
        <v>0.1734</v>
      </c>
      <c r="C617">
        <v>0.1875</v>
      </c>
      <c r="D617">
        <v>0.17100000000000001</v>
      </c>
      <c r="E617">
        <v>0.1845</v>
      </c>
      <c r="F617">
        <v>2091231.82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0.6363636363636358</v>
      </c>
      <c r="Q617">
        <f t="shared" si="990"/>
        <v>1330783.8854545443</v>
      </c>
      <c r="R617">
        <f t="shared" si="991"/>
        <v>-20365247.125209805</v>
      </c>
      <c r="S617">
        <f t="shared" si="992"/>
        <v>-203.65247125209805</v>
      </c>
      <c r="T617">
        <f t="shared" si="993"/>
        <v>-0.20365247125209807</v>
      </c>
    </row>
    <row r="618" spans="1:20" x14ac:dyDescent="0.25">
      <c r="A618" s="5">
        <v>43975</v>
      </c>
      <c r="B618">
        <v>0.1744</v>
      </c>
      <c r="C618">
        <v>0.185</v>
      </c>
      <c r="D618">
        <v>0.1691</v>
      </c>
      <c r="E618">
        <v>0.1739</v>
      </c>
      <c r="F618">
        <v>2313457.8199999998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-0.3962264150943397</v>
      </c>
      <c r="Q618">
        <f t="shared" si="990"/>
        <v>-916653.09849056613</v>
      </c>
      <c r="R618">
        <f t="shared" si="991"/>
        <v>-21696031.010664348</v>
      </c>
      <c r="S618">
        <f t="shared" si="992"/>
        <v>-216.96031010664348</v>
      </c>
      <c r="T618">
        <f t="shared" si="993"/>
        <v>-0.21696031010664349</v>
      </c>
    </row>
    <row r="619" spans="1:20" x14ac:dyDescent="0.25">
      <c r="A619" s="5">
        <v>43974</v>
      </c>
      <c r="B619">
        <v>0.17749999999999999</v>
      </c>
      <c r="C619">
        <v>0.17849999999999999</v>
      </c>
      <c r="D619">
        <v>0.17150000000000001</v>
      </c>
      <c r="E619">
        <v>0.17430000000000001</v>
      </c>
      <c r="F619">
        <v>813243.48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-0.1999999999999984</v>
      </c>
      <c r="Q619">
        <f t="shared" si="990"/>
        <v>-162648.69599999869</v>
      </c>
      <c r="R619">
        <f t="shared" si="991"/>
        <v>-20779377.912173782</v>
      </c>
      <c r="S619">
        <f t="shared" si="992"/>
        <v>-207.79377912173783</v>
      </c>
      <c r="T619">
        <f t="shared" si="993"/>
        <v>-0.20779377912173783</v>
      </c>
    </row>
    <row r="620" spans="1:20" x14ac:dyDescent="0.25">
      <c r="A620" s="5">
        <v>43973</v>
      </c>
      <c r="B620">
        <v>0.17230000000000001</v>
      </c>
      <c r="C620">
        <v>0.18360000000000001</v>
      </c>
      <c r="D620">
        <v>0.16550000000000001</v>
      </c>
      <c r="E620">
        <v>0.17760000000000001</v>
      </c>
      <c r="F620">
        <v>1854112.43</v>
      </c>
      <c r="G620">
        <v>0</v>
      </c>
      <c r="L620" t="s">
        <v>7</v>
      </c>
      <c r="M620" t="s">
        <v>8</v>
      </c>
      <c r="N620" t="s">
        <v>8</v>
      </c>
      <c r="P620">
        <f t="shared" si="989"/>
        <v>0.33701657458563494</v>
      </c>
      <c r="Q620">
        <f t="shared" si="990"/>
        <v>624866.6200552478</v>
      </c>
      <c r="R620">
        <f t="shared" si="991"/>
        <v>-20616729.216173783</v>
      </c>
      <c r="S620">
        <f t="shared" si="992"/>
        <v>-206.16729216173783</v>
      </c>
      <c r="T620">
        <f t="shared" si="993"/>
        <v>-0.20616729216173785</v>
      </c>
    </row>
    <row r="621" spans="1:20" x14ac:dyDescent="0.25">
      <c r="A621" s="5">
        <v>43972</v>
      </c>
      <c r="B621">
        <v>0.16650000000000001</v>
      </c>
      <c r="C621">
        <v>0.189</v>
      </c>
      <c r="D621">
        <v>0.1615</v>
      </c>
      <c r="E621">
        <v>0.17230000000000001</v>
      </c>
      <c r="F621">
        <v>3065723.33</v>
      </c>
      <c r="G621">
        <v>0</v>
      </c>
      <c r="L621" t="s">
        <v>8</v>
      </c>
      <c r="M621" t="s">
        <v>8</v>
      </c>
      <c r="N621" t="s">
        <v>8</v>
      </c>
      <c r="P621">
        <f t="shared" si="989"/>
        <v>-0.21454545454545415</v>
      </c>
      <c r="Q621">
        <f t="shared" si="990"/>
        <v>-657737.00534545339</v>
      </c>
      <c r="R621">
        <f t="shared" si="991"/>
        <v>-21241595.83622903</v>
      </c>
      <c r="S621">
        <f t="shared" si="992"/>
        <v>-212.4159583622903</v>
      </c>
      <c r="T621">
        <f t="shared" si="993"/>
        <v>-0.2124159583622903</v>
      </c>
    </row>
    <row r="622" spans="1:20" x14ac:dyDescent="0.25">
      <c r="A622" s="5">
        <v>43971</v>
      </c>
      <c r="B622">
        <v>0.16450000000000001</v>
      </c>
      <c r="C622">
        <v>0.17499999999999999</v>
      </c>
      <c r="D622">
        <v>0.1605</v>
      </c>
      <c r="E622">
        <v>0.1663</v>
      </c>
      <c r="F622">
        <v>1395038.29</v>
      </c>
      <c r="G622">
        <v>0</v>
      </c>
      <c r="L622" t="s">
        <v>7</v>
      </c>
      <c r="M622" t="s">
        <v>8</v>
      </c>
      <c r="N622" t="s">
        <v>8</v>
      </c>
      <c r="P622">
        <f t="shared" si="989"/>
        <v>-0.19999999999999923</v>
      </c>
      <c r="Q622">
        <f t="shared" si="990"/>
        <v>-279007.65799999895</v>
      </c>
      <c r="R622">
        <f t="shared" si="991"/>
        <v>-20583858.830883577</v>
      </c>
      <c r="S622">
        <f t="shared" si="992"/>
        <v>-205.83858830883577</v>
      </c>
      <c r="T622">
        <f t="shared" si="993"/>
        <v>-0.20583858830883578</v>
      </c>
    </row>
    <row r="623" spans="1:20" x14ac:dyDescent="0.25">
      <c r="A623" s="5">
        <v>43970</v>
      </c>
      <c r="B623">
        <v>0.16819999999999999</v>
      </c>
      <c r="C623">
        <v>0.16819999999999999</v>
      </c>
      <c r="D623">
        <v>0.16209999999999999</v>
      </c>
      <c r="E623">
        <v>0.16450000000000001</v>
      </c>
      <c r="F623">
        <v>540482.04</v>
      </c>
      <c r="G623">
        <v>0</v>
      </c>
      <c r="L623" t="s">
        <v>7</v>
      </c>
      <c r="M623" t="s">
        <v>8</v>
      </c>
      <c r="N623" t="s">
        <v>8</v>
      </c>
      <c r="P623">
        <f t="shared" si="989"/>
        <v>-0.21311475409835559</v>
      </c>
      <c r="Q623">
        <f t="shared" si="990"/>
        <v>-115184.6970491776</v>
      </c>
      <c r="R623">
        <f t="shared" si="991"/>
        <v>-20304851.172883578</v>
      </c>
      <c r="S623">
        <f t="shared" si="992"/>
        <v>-203.04851172883576</v>
      </c>
      <c r="T623">
        <f t="shared" si="993"/>
        <v>-0.20304851172883576</v>
      </c>
    </row>
    <row r="624" spans="1:20" x14ac:dyDescent="0.25">
      <c r="A624" s="5">
        <v>43969</v>
      </c>
      <c r="B624">
        <v>0.1701</v>
      </c>
      <c r="C624">
        <v>0.17380000000000001</v>
      </c>
      <c r="D624">
        <v>0.16470000000000001</v>
      </c>
      <c r="E624">
        <v>0.16830000000000001</v>
      </c>
      <c r="F624">
        <v>983017.05</v>
      </c>
      <c r="G624">
        <v>0</v>
      </c>
      <c r="L624" t="s">
        <v>7</v>
      </c>
      <c r="M624" t="s">
        <v>8</v>
      </c>
      <c r="N624" t="s">
        <v>8</v>
      </c>
      <c r="P624">
        <f t="shared" si="989"/>
        <v>-0.20879120879121027</v>
      </c>
      <c r="Q624">
        <f t="shared" si="990"/>
        <v>-205245.3181318696</v>
      </c>
      <c r="R624">
        <f t="shared" si="991"/>
        <v>-20189666.475834399</v>
      </c>
      <c r="S624">
        <f t="shared" si="992"/>
        <v>-201.896664758344</v>
      </c>
      <c r="T624">
        <f t="shared" si="993"/>
        <v>-0.201896664758344</v>
      </c>
    </row>
    <row r="625" spans="1:20" x14ac:dyDescent="0.25">
      <c r="A625" s="5">
        <v>43968</v>
      </c>
      <c r="B625">
        <v>0.15670000000000001</v>
      </c>
      <c r="C625">
        <v>0.18190000000000001</v>
      </c>
      <c r="D625">
        <v>0.156</v>
      </c>
      <c r="E625">
        <v>0.1701</v>
      </c>
      <c r="F625">
        <v>2832572.75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8.880308880308864E-2</v>
      </c>
      <c r="Q625">
        <f t="shared" si="990"/>
        <v>251541.209459459</v>
      </c>
      <c r="R625">
        <f t="shared" si="991"/>
        <v>-19984421.157702532</v>
      </c>
      <c r="S625">
        <f t="shared" si="992"/>
        <v>-199.84421157702531</v>
      </c>
      <c r="T625">
        <f t="shared" si="993"/>
        <v>-0.19984421157702531</v>
      </c>
    </row>
    <row r="626" spans="1:20" x14ac:dyDescent="0.25">
      <c r="A626" s="5">
        <v>43967</v>
      </c>
      <c r="B626">
        <v>0.15110000000000001</v>
      </c>
      <c r="C626">
        <v>0.1623</v>
      </c>
      <c r="D626">
        <v>0.15</v>
      </c>
      <c r="E626">
        <v>0.15679999999999999</v>
      </c>
      <c r="F626">
        <v>588464.06999999995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0.1056910569105687</v>
      </c>
      <c r="Q626">
        <f t="shared" si="990"/>
        <v>62195.389512194874</v>
      </c>
      <c r="R626">
        <f t="shared" si="991"/>
        <v>-20235962.367161989</v>
      </c>
      <c r="S626">
        <f t="shared" si="992"/>
        <v>-202.35962367161989</v>
      </c>
      <c r="T626">
        <f t="shared" si="993"/>
        <v>-0.20235962367161989</v>
      </c>
    </row>
    <row r="627" spans="1:20" x14ac:dyDescent="0.25">
      <c r="A627" s="5">
        <v>43966</v>
      </c>
      <c r="B627">
        <v>0.15459999999999999</v>
      </c>
      <c r="C627">
        <v>0.16109999999999999</v>
      </c>
      <c r="D627">
        <v>0.14940000000000001</v>
      </c>
      <c r="E627">
        <v>0.15160000000000001</v>
      </c>
      <c r="F627">
        <v>965894.58</v>
      </c>
      <c r="G627">
        <v>0</v>
      </c>
      <c r="L627" t="s">
        <v>7</v>
      </c>
      <c r="M627" t="s">
        <v>8</v>
      </c>
      <c r="N627" t="s">
        <v>8</v>
      </c>
      <c r="P627">
        <f t="shared" si="989"/>
        <v>-0.62393162393162227</v>
      </c>
      <c r="Q627">
        <f t="shared" si="990"/>
        <v>-602652.17384615226</v>
      </c>
      <c r="R627">
        <f t="shared" si="991"/>
        <v>-20298157.756674185</v>
      </c>
      <c r="S627">
        <f t="shared" si="992"/>
        <v>-202.98157756674186</v>
      </c>
      <c r="T627">
        <f t="shared" si="993"/>
        <v>-0.20298157756674187</v>
      </c>
    </row>
    <row r="628" spans="1:20" x14ac:dyDescent="0.25">
      <c r="A628" s="5">
        <v>43965</v>
      </c>
      <c r="B628">
        <v>0.15790000000000001</v>
      </c>
      <c r="C628">
        <v>0.16520000000000001</v>
      </c>
      <c r="D628">
        <v>0.15429999999999999</v>
      </c>
      <c r="E628">
        <v>0.155</v>
      </c>
      <c r="F628">
        <v>1256125.6200000001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-0.87155963302752204</v>
      </c>
      <c r="Q628">
        <f t="shared" si="990"/>
        <v>-1094788.3844036688</v>
      </c>
      <c r="R628">
        <f t="shared" si="991"/>
        <v>-19695505.582828034</v>
      </c>
      <c r="S628">
        <f t="shared" si="992"/>
        <v>-196.95505582828034</v>
      </c>
      <c r="T628">
        <f t="shared" si="993"/>
        <v>-0.19695505582828032</v>
      </c>
    </row>
    <row r="629" spans="1:20" x14ac:dyDescent="0.25">
      <c r="A629" s="5">
        <v>43964</v>
      </c>
      <c r="B629">
        <v>0.14510000000000001</v>
      </c>
      <c r="C629">
        <v>0.16</v>
      </c>
      <c r="D629">
        <v>0.14449999999999999</v>
      </c>
      <c r="E629">
        <v>0.15759999999999999</v>
      </c>
      <c r="F629">
        <v>1675334.99</v>
      </c>
      <c r="G629">
        <v>0</v>
      </c>
      <c r="L629" t="s">
        <v>8</v>
      </c>
      <c r="M629" t="s">
        <v>8</v>
      </c>
      <c r="N629" t="s">
        <v>8</v>
      </c>
      <c r="P629">
        <f t="shared" si="989"/>
        <v>0.69032258064515983</v>
      </c>
      <c r="Q629">
        <f t="shared" si="990"/>
        <v>1156521.5737419331</v>
      </c>
      <c r="R629">
        <f t="shared" si="991"/>
        <v>-18600717.198424365</v>
      </c>
      <c r="S629">
        <f t="shared" si="992"/>
        <v>-186.00717198424366</v>
      </c>
      <c r="T629">
        <f t="shared" si="993"/>
        <v>-0.18600717198424366</v>
      </c>
    </row>
    <row r="630" spans="1:20" x14ac:dyDescent="0.25">
      <c r="A630" s="5">
        <v>43963</v>
      </c>
      <c r="B630">
        <v>0.13919999999999999</v>
      </c>
      <c r="C630">
        <v>0.14729999999999999</v>
      </c>
      <c r="D630">
        <v>0.13819999999999999</v>
      </c>
      <c r="E630">
        <v>0.14499999999999999</v>
      </c>
      <c r="F630">
        <v>352456.04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0.49450549450549514</v>
      </c>
      <c r="Q630">
        <f t="shared" si="990"/>
        <v>174291.44835164855</v>
      </c>
      <c r="R630">
        <f t="shared" si="991"/>
        <v>-19757238.772166297</v>
      </c>
      <c r="S630">
        <f t="shared" si="992"/>
        <v>-197.57238772166298</v>
      </c>
      <c r="T630">
        <f t="shared" si="993"/>
        <v>-0.19757238772166297</v>
      </c>
    </row>
    <row r="631" spans="1:20" x14ac:dyDescent="0.25">
      <c r="A631" s="5">
        <v>43962</v>
      </c>
      <c r="B631">
        <v>0.14349999999999999</v>
      </c>
      <c r="C631">
        <v>0.14879999999999999</v>
      </c>
      <c r="D631">
        <v>0.13159999999999999</v>
      </c>
      <c r="E631">
        <v>0.1394</v>
      </c>
      <c r="F631">
        <v>1035961.17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-9.302325581395296E-2</v>
      </c>
      <c r="Q631">
        <f t="shared" si="990"/>
        <v>-96368.480930232021</v>
      </c>
      <c r="R631">
        <f t="shared" si="991"/>
        <v>-19931530.220517945</v>
      </c>
      <c r="S631">
        <f t="shared" si="992"/>
        <v>-199.31530220517945</v>
      </c>
      <c r="T631">
        <f t="shared" si="993"/>
        <v>-0.19931530220517946</v>
      </c>
    </row>
    <row r="632" spans="1:20" x14ac:dyDescent="0.25">
      <c r="A632" s="5">
        <v>43961</v>
      </c>
      <c r="B632">
        <v>0.161</v>
      </c>
      <c r="C632">
        <v>0.16139999999999999</v>
      </c>
      <c r="D632">
        <v>0.13</v>
      </c>
      <c r="E632">
        <v>0.1434</v>
      </c>
      <c r="F632">
        <v>1116200.3400000001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-0.14649681528662406</v>
      </c>
      <c r="Q632">
        <f t="shared" si="990"/>
        <v>-163519.795031847</v>
      </c>
      <c r="R632">
        <f t="shared" si="991"/>
        <v>-19835161.739587713</v>
      </c>
      <c r="S632">
        <f t="shared" si="992"/>
        <v>-198.35161739587713</v>
      </c>
      <c r="T632">
        <f t="shared" si="993"/>
        <v>-0.19835161739587712</v>
      </c>
    </row>
    <row r="633" spans="1:20" x14ac:dyDescent="0.25">
      <c r="A633" s="5">
        <v>43960</v>
      </c>
      <c r="B633">
        <v>0.16259999999999999</v>
      </c>
      <c r="C633">
        <v>0.17</v>
      </c>
      <c r="D633">
        <v>0.161</v>
      </c>
      <c r="E633">
        <v>0.161</v>
      </c>
      <c r="F633">
        <v>834499.74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-1</v>
      </c>
      <c r="Q633">
        <f t="shared" si="990"/>
        <v>-834499.74</v>
      </c>
      <c r="R633">
        <f t="shared" si="991"/>
        <v>-19671641.944555867</v>
      </c>
      <c r="S633">
        <f t="shared" si="992"/>
        <v>-196.71641944555867</v>
      </c>
      <c r="T633">
        <f t="shared" si="993"/>
        <v>-0.19671641944555868</v>
      </c>
    </row>
    <row r="634" spans="1:20" x14ac:dyDescent="0.25">
      <c r="A634" s="5">
        <v>43959</v>
      </c>
      <c r="B634">
        <v>0.153</v>
      </c>
      <c r="C634">
        <v>0.1678</v>
      </c>
      <c r="D634">
        <v>0.15090000000000001</v>
      </c>
      <c r="E634">
        <v>0.16259999999999999</v>
      </c>
      <c r="F634">
        <v>1433922.03</v>
      </c>
      <c r="G634">
        <v>0</v>
      </c>
      <c r="L634" t="s">
        <v>8</v>
      </c>
      <c r="M634" t="s">
        <v>8</v>
      </c>
      <c r="N634" t="s">
        <v>8</v>
      </c>
      <c r="P634">
        <f t="shared" si="989"/>
        <v>0.38461538461538336</v>
      </c>
      <c r="Q634">
        <f t="shared" si="990"/>
        <v>551508.47307692131</v>
      </c>
      <c r="R634">
        <f t="shared" si="991"/>
        <v>-18837142.204555869</v>
      </c>
      <c r="S634">
        <f t="shared" si="992"/>
        <v>-188.37142204555869</v>
      </c>
      <c r="T634">
        <f t="shared" si="993"/>
        <v>-0.18837142204555868</v>
      </c>
    </row>
    <row r="635" spans="1:20" x14ac:dyDescent="0.25">
      <c r="A635" s="5">
        <v>43958</v>
      </c>
      <c r="B635">
        <v>0.15129999999999999</v>
      </c>
      <c r="C635">
        <v>0.16</v>
      </c>
      <c r="D635">
        <v>0.1484</v>
      </c>
      <c r="E635">
        <v>0.153</v>
      </c>
      <c r="F635">
        <v>611763.4</v>
      </c>
      <c r="G635">
        <v>0</v>
      </c>
      <c r="L635" t="s">
        <v>7</v>
      </c>
      <c r="M635" t="s">
        <v>8</v>
      </c>
      <c r="N635" t="s">
        <v>8</v>
      </c>
      <c r="P635">
        <f t="shared" si="989"/>
        <v>-0.20689655172413909</v>
      </c>
      <c r="Q635">
        <f t="shared" si="990"/>
        <v>-126571.7379310352</v>
      </c>
      <c r="R635">
        <f t="shared" si="991"/>
        <v>-19388650.67763279</v>
      </c>
      <c r="S635">
        <f t="shared" si="992"/>
        <v>-193.88650677632791</v>
      </c>
      <c r="T635">
        <f t="shared" si="993"/>
        <v>-0.1938865067763279</v>
      </c>
    </row>
    <row r="636" spans="1:20" x14ac:dyDescent="0.25">
      <c r="A636" s="5">
        <v>43957</v>
      </c>
      <c r="B636">
        <v>0.15679999999999999</v>
      </c>
      <c r="C636">
        <v>0.16039999999999999</v>
      </c>
      <c r="D636">
        <v>0.1507</v>
      </c>
      <c r="E636">
        <v>0.152</v>
      </c>
      <c r="F636">
        <v>364243.09</v>
      </c>
      <c r="G636">
        <v>0</v>
      </c>
      <c r="L636" t="s">
        <v>7</v>
      </c>
      <c r="M636" t="s">
        <v>8</v>
      </c>
      <c r="N636" t="s">
        <v>8</v>
      </c>
      <c r="P636">
        <f t="shared" si="989"/>
        <v>-0.73195876288659845</v>
      </c>
      <c r="Q636">
        <f t="shared" si="990"/>
        <v>-266610.92154639197</v>
      </c>
      <c r="R636">
        <f t="shared" si="991"/>
        <v>-19262078.939701755</v>
      </c>
      <c r="S636">
        <f t="shared" si="992"/>
        <v>-192.62078939701755</v>
      </c>
      <c r="T636">
        <f t="shared" si="993"/>
        <v>-0.19262078939701754</v>
      </c>
    </row>
    <row r="637" spans="1:20" x14ac:dyDescent="0.25">
      <c r="A637" s="5">
        <v>43956</v>
      </c>
      <c r="B637">
        <v>0.156</v>
      </c>
      <c r="C637">
        <v>0.16300000000000001</v>
      </c>
      <c r="D637">
        <v>0.15229999999999999</v>
      </c>
      <c r="E637">
        <v>0.15679999999999999</v>
      </c>
      <c r="F637">
        <v>571097.78</v>
      </c>
      <c r="G637">
        <v>0</v>
      </c>
      <c r="L637" t="s">
        <v>8</v>
      </c>
      <c r="M637" t="s">
        <v>8</v>
      </c>
      <c r="N637" t="s">
        <v>8</v>
      </c>
      <c r="P637">
        <f t="shared" si="989"/>
        <v>-0.15887850467289763</v>
      </c>
      <c r="Q637">
        <f t="shared" si="990"/>
        <v>-90735.161308411465</v>
      </c>
      <c r="R637">
        <f t="shared" si="991"/>
        <v>-18995468.018155362</v>
      </c>
      <c r="S637">
        <f t="shared" si="992"/>
        <v>-189.95468018155361</v>
      </c>
      <c r="T637">
        <f t="shared" si="993"/>
        <v>-0.18995468018155362</v>
      </c>
    </row>
    <row r="638" spans="1:20" x14ac:dyDescent="0.25">
      <c r="A638" s="5">
        <v>43955</v>
      </c>
      <c r="B638">
        <v>0.16159999999999999</v>
      </c>
      <c r="C638">
        <v>0.16289999999999999</v>
      </c>
      <c r="D638">
        <v>0.1489</v>
      </c>
      <c r="E638">
        <v>0.156</v>
      </c>
      <c r="F638">
        <v>807076.19</v>
      </c>
      <c r="G638">
        <v>0</v>
      </c>
      <c r="L638" t="s">
        <v>7</v>
      </c>
      <c r="M638" t="s">
        <v>8</v>
      </c>
      <c r="N638" t="s">
        <v>8</v>
      </c>
      <c r="P638">
        <f t="shared" si="989"/>
        <v>1.428571428571471E-2</v>
      </c>
      <c r="Q638">
        <f t="shared" si="990"/>
        <v>11529.659857143199</v>
      </c>
      <c r="R638">
        <f t="shared" si="991"/>
        <v>-18904732.856846951</v>
      </c>
      <c r="S638">
        <f t="shared" si="992"/>
        <v>-189.04732856846951</v>
      </c>
      <c r="T638">
        <f t="shared" si="993"/>
        <v>-0.18904732856846951</v>
      </c>
    </row>
    <row r="639" spans="1:20" x14ac:dyDescent="0.25">
      <c r="A639" s="5">
        <v>43954</v>
      </c>
      <c r="B639">
        <v>0.1666</v>
      </c>
      <c r="C639">
        <v>0.16880000000000001</v>
      </c>
      <c r="D639">
        <v>0.15959999999999999</v>
      </c>
      <c r="E639">
        <v>0.16159999999999999</v>
      </c>
      <c r="F639">
        <v>447481.06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-0.56521739130434812</v>
      </c>
      <c r="Q639">
        <f t="shared" si="990"/>
        <v>-252924.07739130448</v>
      </c>
      <c r="R639">
        <f t="shared" si="991"/>
        <v>-18916262.516704094</v>
      </c>
      <c r="S639">
        <f t="shared" si="992"/>
        <v>-189.16262516704094</v>
      </c>
      <c r="T639">
        <f t="shared" si="993"/>
        <v>-0.18916262516704094</v>
      </c>
    </row>
    <row r="640" spans="1:20" x14ac:dyDescent="0.25">
      <c r="A640" s="5">
        <v>43953</v>
      </c>
      <c r="B640">
        <v>0.16389999999999999</v>
      </c>
      <c r="C640">
        <v>0.16650000000000001</v>
      </c>
      <c r="D640">
        <v>0.161</v>
      </c>
      <c r="E640">
        <v>0.16650000000000001</v>
      </c>
      <c r="F640">
        <v>508933.23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1</v>
      </c>
      <c r="Q640">
        <f t="shared" si="990"/>
        <v>508933.23</v>
      </c>
      <c r="R640">
        <f t="shared" si="991"/>
        <v>-18663338.43931279</v>
      </c>
      <c r="S640">
        <f t="shared" si="992"/>
        <v>-186.6333843931279</v>
      </c>
      <c r="T640">
        <f t="shared" si="993"/>
        <v>-0.1866333843931279</v>
      </c>
    </row>
    <row r="641" spans="1:20" x14ac:dyDescent="0.25">
      <c r="A641" s="5">
        <v>43952</v>
      </c>
      <c r="B641">
        <v>0.16159999999999999</v>
      </c>
      <c r="C641">
        <v>0.16889999999999999</v>
      </c>
      <c r="D641">
        <v>0.16</v>
      </c>
      <c r="E641">
        <v>0.1643</v>
      </c>
      <c r="F641">
        <v>682277.34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-3.3707865168538763E-2</v>
      </c>
      <c r="Q641">
        <f t="shared" si="990"/>
        <v>-22998.112584269278</v>
      </c>
      <c r="R641">
        <f t="shared" si="991"/>
        <v>-19172271.66931279</v>
      </c>
      <c r="S641">
        <f t="shared" si="992"/>
        <v>-191.72271669312789</v>
      </c>
      <c r="T641">
        <f t="shared" si="993"/>
        <v>-0.1917227166931279</v>
      </c>
    </row>
    <row r="642" spans="1:20" x14ac:dyDescent="0.25">
      <c r="A642" s="5">
        <v>43951</v>
      </c>
      <c r="B642">
        <v>0.16619999999999999</v>
      </c>
      <c r="C642">
        <v>0.17249999999999999</v>
      </c>
      <c r="D642">
        <v>0.1573</v>
      </c>
      <c r="E642">
        <v>0.1615</v>
      </c>
      <c r="F642">
        <v>1186171.1100000001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-0.44736842105263003</v>
      </c>
      <c r="Q642">
        <f t="shared" si="990"/>
        <v>-530655.49657894555</v>
      </c>
      <c r="R642">
        <f t="shared" si="991"/>
        <v>-19149273.556728519</v>
      </c>
      <c r="S642">
        <f t="shared" si="992"/>
        <v>-191.49273556728519</v>
      </c>
      <c r="T642">
        <f t="shared" si="993"/>
        <v>-0.19149273556728519</v>
      </c>
    </row>
    <row r="643" spans="1:20" x14ac:dyDescent="0.25">
      <c r="A643" s="5">
        <v>43950</v>
      </c>
      <c r="B643">
        <v>0.16239999999999999</v>
      </c>
      <c r="C643">
        <v>0.17130000000000001</v>
      </c>
      <c r="D643">
        <v>0.16159999999999999</v>
      </c>
      <c r="E643">
        <v>0.1653</v>
      </c>
      <c r="F643">
        <v>1948922.94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-0.23711340206185497</v>
      </c>
      <c r="Q643">
        <f t="shared" si="990"/>
        <v>-462115.74865979241</v>
      </c>
      <c r="R643">
        <f t="shared" si="991"/>
        <v>-18618618.060149573</v>
      </c>
      <c r="S643">
        <f t="shared" si="992"/>
        <v>-186.18618060149572</v>
      </c>
      <c r="T643">
        <f t="shared" si="993"/>
        <v>-0.18618618060149572</v>
      </c>
    </row>
    <row r="644" spans="1:20" x14ac:dyDescent="0.25">
      <c r="A644" s="5">
        <v>43949</v>
      </c>
      <c r="B644">
        <v>0.15579999999999999</v>
      </c>
      <c r="C644">
        <v>0.16669999999999999</v>
      </c>
      <c r="D644">
        <v>0.15</v>
      </c>
      <c r="E644">
        <v>0.16239999999999999</v>
      </c>
      <c r="F644">
        <v>1004334.87</v>
      </c>
      <c r="G644">
        <v>0</v>
      </c>
      <c r="L644" t="s">
        <v>7</v>
      </c>
      <c r="M644" t="s">
        <v>8</v>
      </c>
      <c r="N644" t="s">
        <v>8</v>
      </c>
      <c r="P644">
        <f t="shared" si="989"/>
        <v>0.48502994011976047</v>
      </c>
      <c r="Q644">
        <f t="shared" si="990"/>
        <v>487132.4818562874</v>
      </c>
      <c r="R644">
        <f t="shared" si="991"/>
        <v>-18156502.31148978</v>
      </c>
      <c r="S644">
        <f t="shared" si="992"/>
        <v>-181.5650231148978</v>
      </c>
      <c r="T644">
        <f t="shared" si="993"/>
        <v>-0.18156502311489781</v>
      </c>
    </row>
    <row r="645" spans="1:20" x14ac:dyDescent="0.25">
      <c r="A645" s="5">
        <v>43948</v>
      </c>
      <c r="B645">
        <v>0.16020000000000001</v>
      </c>
      <c r="C645">
        <v>0.1613</v>
      </c>
      <c r="D645">
        <v>0.1527</v>
      </c>
      <c r="E645">
        <v>0.15579999999999999</v>
      </c>
      <c r="F645">
        <v>1021851.26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-0.27906976744186213</v>
      </c>
      <c r="Q645">
        <f t="shared" si="990"/>
        <v>-285167.79348837381</v>
      </c>
      <c r="R645">
        <f t="shared" si="991"/>
        <v>-18643634.793346066</v>
      </c>
      <c r="S645">
        <f t="shared" si="992"/>
        <v>-186.43634793346067</v>
      </c>
      <c r="T645">
        <f t="shared" si="993"/>
        <v>-0.18643634793346067</v>
      </c>
    </row>
    <row r="646" spans="1:20" x14ac:dyDescent="0.25">
      <c r="A646" s="5">
        <v>43947</v>
      </c>
      <c r="B646">
        <v>0.1598</v>
      </c>
      <c r="C646">
        <v>0.16800000000000001</v>
      </c>
      <c r="D646">
        <v>0.1542</v>
      </c>
      <c r="E646">
        <v>0.1593</v>
      </c>
      <c r="F646">
        <v>1283960.27</v>
      </c>
      <c r="G646">
        <v>0</v>
      </c>
      <c r="L646" t="s">
        <v>7</v>
      </c>
      <c r="M646" t="s">
        <v>8</v>
      </c>
      <c r="N646" t="s">
        <v>8</v>
      </c>
      <c r="P646">
        <f t="shared" ref="P646:P709" si="994">IF(C646=D646,0,((E646-D646)-(C646-E646))/(C646-D646))</f>
        <v>-0.26086956521739263</v>
      </c>
      <c r="Q646">
        <f t="shared" ref="Q646:Q709" si="995">F646*P646</f>
        <v>-334946.15739130607</v>
      </c>
      <c r="R646">
        <f t="shared" ref="R646:R709" si="996">R647+Q646</f>
        <v>-18358466.999857694</v>
      </c>
      <c r="S646">
        <f t="shared" ref="S646:S709" si="997">R646/100000</f>
        <v>-183.58466999857694</v>
      </c>
      <c r="T646">
        <f t="shared" ref="T646:T709" si="998">S646/1000</f>
        <v>-0.18358466999857695</v>
      </c>
    </row>
    <row r="647" spans="1:20" x14ac:dyDescent="0.25">
      <c r="A647" s="5">
        <v>43946</v>
      </c>
      <c r="B647">
        <v>0.1525</v>
      </c>
      <c r="C647">
        <v>0.16669999999999999</v>
      </c>
      <c r="D647">
        <v>0.14860000000000001</v>
      </c>
      <c r="E647">
        <v>0.15989999999999999</v>
      </c>
      <c r="F647">
        <v>1937383.05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0.24861878453038574</v>
      </c>
      <c r="Q647">
        <f t="shared" si="995"/>
        <v>481669.81906077155</v>
      </c>
      <c r="R647">
        <f t="shared" si="996"/>
        <v>-18023520.842466388</v>
      </c>
      <c r="S647">
        <f t="shared" si="997"/>
        <v>-180.23520842466388</v>
      </c>
      <c r="T647">
        <f t="shared" si="998"/>
        <v>-0.18023520842466387</v>
      </c>
    </row>
    <row r="648" spans="1:20" x14ac:dyDescent="0.25">
      <c r="A648" s="5">
        <v>43945</v>
      </c>
      <c r="B648">
        <v>0.13850000000000001</v>
      </c>
      <c r="C648">
        <v>0.16200000000000001</v>
      </c>
      <c r="D648">
        <v>0.13850000000000001</v>
      </c>
      <c r="E648">
        <v>0.1525</v>
      </c>
      <c r="F648">
        <v>2432464.23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0.19148936170212671</v>
      </c>
      <c r="Q648">
        <f t="shared" si="995"/>
        <v>465791.02276595513</v>
      </c>
      <c r="R648">
        <f t="shared" si="996"/>
        <v>-18505190.661527161</v>
      </c>
      <c r="S648">
        <f t="shared" si="997"/>
        <v>-185.05190661527161</v>
      </c>
      <c r="T648">
        <f t="shared" si="998"/>
        <v>-0.1850519066152716</v>
      </c>
    </row>
    <row r="649" spans="1:20" x14ac:dyDescent="0.25">
      <c r="A649" s="5">
        <v>43944</v>
      </c>
      <c r="B649">
        <v>0.13320000000000001</v>
      </c>
      <c r="C649">
        <v>0.1424</v>
      </c>
      <c r="D649">
        <v>0.12970000000000001</v>
      </c>
      <c r="E649">
        <v>0.13850000000000001</v>
      </c>
      <c r="F649">
        <v>979901.11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0.38582677165354484</v>
      </c>
      <c r="Q649">
        <f t="shared" si="995"/>
        <v>378072.0818110251</v>
      </c>
      <c r="R649">
        <f t="shared" si="996"/>
        <v>-18970981.684293117</v>
      </c>
      <c r="S649">
        <f t="shared" si="997"/>
        <v>-189.70981684293116</v>
      </c>
      <c r="T649">
        <f t="shared" si="998"/>
        <v>-0.18970981684293117</v>
      </c>
    </row>
    <row r="650" spans="1:20" x14ac:dyDescent="0.25">
      <c r="A650" s="5">
        <v>43943</v>
      </c>
      <c r="B650">
        <v>0.12839999999999999</v>
      </c>
      <c r="C650">
        <v>0.13439999999999999</v>
      </c>
      <c r="D650">
        <v>0.12790000000000001</v>
      </c>
      <c r="E650">
        <v>0.1333</v>
      </c>
      <c r="F650">
        <v>468884.9</v>
      </c>
      <c r="G650">
        <v>0</v>
      </c>
      <c r="L650" t="s">
        <v>8</v>
      </c>
      <c r="M650" t="s">
        <v>8</v>
      </c>
      <c r="N650" t="s">
        <v>8</v>
      </c>
      <c r="P650">
        <f t="shared" si="994"/>
        <v>0.66153846153846352</v>
      </c>
      <c r="Q650">
        <f t="shared" si="995"/>
        <v>310185.39538461633</v>
      </c>
      <c r="R650">
        <f t="shared" si="996"/>
        <v>-19349053.766104143</v>
      </c>
      <c r="S650">
        <f t="shared" si="997"/>
        <v>-193.49053766104143</v>
      </c>
      <c r="T650">
        <f t="shared" si="998"/>
        <v>-0.19349053766104143</v>
      </c>
    </row>
    <row r="651" spans="1:20" x14ac:dyDescent="0.25">
      <c r="A651" s="5">
        <v>43942</v>
      </c>
      <c r="B651">
        <v>0.12709999999999999</v>
      </c>
      <c r="C651">
        <v>0.13200000000000001</v>
      </c>
      <c r="D651">
        <v>0.12520000000000001</v>
      </c>
      <c r="E651">
        <v>0.1283</v>
      </c>
      <c r="F651">
        <v>450344.85</v>
      </c>
      <c r="G651">
        <v>0</v>
      </c>
      <c r="L651" t="s">
        <v>7</v>
      </c>
      <c r="M651" t="s">
        <v>8</v>
      </c>
      <c r="N651" t="s">
        <v>8</v>
      </c>
      <c r="P651">
        <f t="shared" si="994"/>
        <v>-8.8235294117649576E-2</v>
      </c>
      <c r="Q651">
        <f t="shared" si="995"/>
        <v>-39736.310294118775</v>
      </c>
      <c r="R651">
        <f t="shared" si="996"/>
        <v>-19659239.16148876</v>
      </c>
      <c r="S651">
        <f t="shared" si="997"/>
        <v>-196.59239161488759</v>
      </c>
      <c r="T651">
        <f t="shared" si="998"/>
        <v>-0.19659239161488759</v>
      </c>
    </row>
    <row r="652" spans="1:20" x14ac:dyDescent="0.25">
      <c r="A652" s="5">
        <v>43941</v>
      </c>
      <c r="B652">
        <v>0.13930000000000001</v>
      </c>
      <c r="C652">
        <v>0.14119999999999999</v>
      </c>
      <c r="D652">
        <v>0.1242</v>
      </c>
      <c r="E652">
        <v>0.12720000000000001</v>
      </c>
      <c r="F652">
        <v>1587292.04</v>
      </c>
      <c r="G652">
        <v>0</v>
      </c>
      <c r="L652" t="s">
        <v>7</v>
      </c>
      <c r="M652" t="s">
        <v>8</v>
      </c>
      <c r="N652" t="s">
        <v>8</v>
      </c>
      <c r="P652">
        <f t="shared" si="994"/>
        <v>-0.64705882352941124</v>
      </c>
      <c r="Q652">
        <f t="shared" si="995"/>
        <v>-1027071.3199999993</v>
      </c>
      <c r="R652">
        <f t="shared" si="996"/>
        <v>-19619502.851194642</v>
      </c>
      <c r="S652">
        <f t="shared" si="997"/>
        <v>-196.19502851194642</v>
      </c>
      <c r="T652">
        <f t="shared" si="998"/>
        <v>-0.19619502851194642</v>
      </c>
    </row>
    <row r="653" spans="1:20" x14ac:dyDescent="0.25">
      <c r="A653" s="5">
        <v>43940</v>
      </c>
      <c r="B653">
        <v>0.1434</v>
      </c>
      <c r="C653">
        <v>0.14499999999999999</v>
      </c>
      <c r="D653">
        <v>0.1351</v>
      </c>
      <c r="E653">
        <v>0.1394</v>
      </c>
      <c r="F653">
        <v>527716.74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-0.13131313131313097</v>
      </c>
      <c r="Q653">
        <f t="shared" si="995"/>
        <v>-69296.137575757384</v>
      </c>
      <c r="R653">
        <f t="shared" si="996"/>
        <v>-18592431.531194642</v>
      </c>
      <c r="S653">
        <f t="shared" si="997"/>
        <v>-185.92431531194643</v>
      </c>
      <c r="T653">
        <f t="shared" si="998"/>
        <v>-0.18592431531194642</v>
      </c>
    </row>
    <row r="654" spans="1:20" x14ac:dyDescent="0.25">
      <c r="A654" s="5">
        <v>43939</v>
      </c>
      <c r="B654">
        <v>0.13750000000000001</v>
      </c>
      <c r="C654">
        <v>0.1449</v>
      </c>
      <c r="D654">
        <v>0.1371</v>
      </c>
      <c r="E654">
        <v>0.14330000000000001</v>
      </c>
      <c r="F654">
        <v>650756.77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0.58974358974359231</v>
      </c>
      <c r="Q654">
        <f t="shared" si="995"/>
        <v>383779.63358974527</v>
      </c>
      <c r="R654">
        <f t="shared" si="996"/>
        <v>-18523135.393618885</v>
      </c>
      <c r="S654">
        <f t="shared" si="997"/>
        <v>-185.23135393618887</v>
      </c>
      <c r="T654">
        <f t="shared" si="998"/>
        <v>-0.18523135393618886</v>
      </c>
    </row>
    <row r="655" spans="1:20" x14ac:dyDescent="0.25">
      <c r="A655" s="5">
        <v>43938</v>
      </c>
      <c r="B655">
        <v>0.13780000000000001</v>
      </c>
      <c r="C655">
        <v>0.1459</v>
      </c>
      <c r="D655">
        <v>0.13500000000000001</v>
      </c>
      <c r="E655">
        <v>0.13750000000000001</v>
      </c>
      <c r="F655">
        <v>934100.39</v>
      </c>
      <c r="G655">
        <v>0</v>
      </c>
      <c r="L655" t="s">
        <v>8</v>
      </c>
      <c r="M655" t="s">
        <v>8</v>
      </c>
      <c r="N655" t="s">
        <v>8</v>
      </c>
      <c r="P655">
        <f t="shared" si="994"/>
        <v>-0.54128440366972408</v>
      </c>
      <c r="Q655">
        <f t="shared" si="995"/>
        <v>-505613.97256880673</v>
      </c>
      <c r="R655">
        <f t="shared" si="996"/>
        <v>-18906915.02720863</v>
      </c>
      <c r="S655">
        <f t="shared" si="997"/>
        <v>-189.06915027208629</v>
      </c>
      <c r="T655">
        <f t="shared" si="998"/>
        <v>-0.18906915027208629</v>
      </c>
    </row>
    <row r="656" spans="1:20" x14ac:dyDescent="0.25">
      <c r="A656" s="5">
        <v>43937</v>
      </c>
      <c r="B656">
        <v>0.12139999999999999</v>
      </c>
      <c r="C656">
        <v>0.14599999999999999</v>
      </c>
      <c r="D656">
        <v>0.11840000000000001</v>
      </c>
      <c r="E656">
        <v>0.13789999999999999</v>
      </c>
      <c r="F656">
        <v>1362867.31</v>
      </c>
      <c r="G656">
        <v>0</v>
      </c>
      <c r="L656" t="s">
        <v>7</v>
      </c>
      <c r="M656" t="s">
        <v>8</v>
      </c>
      <c r="N656" t="s">
        <v>8</v>
      </c>
      <c r="P656">
        <f t="shared" si="994"/>
        <v>0.41304347826086957</v>
      </c>
      <c r="Q656">
        <f t="shared" si="995"/>
        <v>562923.45413043478</v>
      </c>
      <c r="R656">
        <f t="shared" si="996"/>
        <v>-18401301.054639824</v>
      </c>
      <c r="S656">
        <f t="shared" si="997"/>
        <v>-184.01301054639825</v>
      </c>
      <c r="T656">
        <f t="shared" si="998"/>
        <v>-0.18401301054639824</v>
      </c>
    </row>
    <row r="657" spans="1:20" x14ac:dyDescent="0.25">
      <c r="A657" s="5">
        <v>43936</v>
      </c>
      <c r="B657">
        <v>0.12859999999999999</v>
      </c>
      <c r="C657">
        <v>0.12939999999999999</v>
      </c>
      <c r="D657">
        <v>0.1215</v>
      </c>
      <c r="E657">
        <v>0.1221</v>
      </c>
      <c r="F657">
        <v>322072.65000000002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-0.84810126582278378</v>
      </c>
      <c r="Q657">
        <f t="shared" si="995"/>
        <v>-273150.22215189843</v>
      </c>
      <c r="R657">
        <f t="shared" si="996"/>
        <v>-18964224.508770257</v>
      </c>
      <c r="S657">
        <f t="shared" si="997"/>
        <v>-189.64224508770258</v>
      </c>
      <c r="T657">
        <f t="shared" si="998"/>
        <v>-0.18964224508770258</v>
      </c>
    </row>
    <row r="658" spans="1:20" x14ac:dyDescent="0.25">
      <c r="A658" s="5">
        <v>43935</v>
      </c>
      <c r="B658">
        <v>0.12820000000000001</v>
      </c>
      <c r="C658">
        <v>0.13150000000000001</v>
      </c>
      <c r="D658">
        <v>0.126</v>
      </c>
      <c r="E658">
        <v>0.12859999999999999</v>
      </c>
      <c r="F658">
        <v>319792.63</v>
      </c>
      <c r="G658">
        <v>0</v>
      </c>
      <c r="L658" t="s">
        <v>8</v>
      </c>
      <c r="M658" t="s">
        <v>7</v>
      </c>
      <c r="N658" t="s">
        <v>8</v>
      </c>
      <c r="P658">
        <f t="shared" si="994"/>
        <v>-5.4545454545458581E-2</v>
      </c>
      <c r="Q658">
        <f t="shared" si="995"/>
        <v>-17443.234363637654</v>
      </c>
      <c r="R658">
        <f t="shared" si="996"/>
        <v>-18691074.286618359</v>
      </c>
      <c r="S658">
        <f t="shared" si="997"/>
        <v>-186.9107428661836</v>
      </c>
      <c r="T658">
        <f t="shared" si="998"/>
        <v>-0.18691074286618359</v>
      </c>
    </row>
    <row r="659" spans="1:20" x14ac:dyDescent="0.25">
      <c r="A659" s="5">
        <v>43934</v>
      </c>
      <c r="B659">
        <v>0.12870000000000001</v>
      </c>
      <c r="C659">
        <v>0.12909999999999999</v>
      </c>
      <c r="D659">
        <v>0.12089999999999999</v>
      </c>
      <c r="E659">
        <v>0.12839999999999999</v>
      </c>
      <c r="F659">
        <v>555373.41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0.82926829268292535</v>
      </c>
      <c r="Q659">
        <f t="shared" si="995"/>
        <v>460553.5595121943</v>
      </c>
      <c r="R659">
        <f t="shared" si="996"/>
        <v>-18673631.052254722</v>
      </c>
      <c r="S659">
        <f t="shared" si="997"/>
        <v>-186.73631052254723</v>
      </c>
      <c r="T659">
        <f t="shared" si="998"/>
        <v>-0.18673631052254722</v>
      </c>
    </row>
    <row r="660" spans="1:20" x14ac:dyDescent="0.25">
      <c r="A660" s="5">
        <v>43933</v>
      </c>
      <c r="B660">
        <v>0.1278</v>
      </c>
      <c r="C660">
        <v>0.13539999999999999</v>
      </c>
      <c r="D660">
        <v>0.12559999999999999</v>
      </c>
      <c r="E660">
        <v>0.128</v>
      </c>
      <c r="F660">
        <v>584629.17000000004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-0.51020408163265052</v>
      </c>
      <c r="Q660">
        <f t="shared" si="995"/>
        <v>-298280.18877550872</v>
      </c>
      <c r="R660">
        <f t="shared" si="996"/>
        <v>-19134184.611766916</v>
      </c>
      <c r="S660">
        <f t="shared" si="997"/>
        <v>-191.34184611766915</v>
      </c>
      <c r="T660">
        <f t="shared" si="998"/>
        <v>-0.19134184611766916</v>
      </c>
    </row>
    <row r="661" spans="1:20" x14ac:dyDescent="0.25">
      <c r="A661" s="5">
        <v>43932</v>
      </c>
      <c r="B661">
        <v>0.1278</v>
      </c>
      <c r="C661">
        <v>0.1305</v>
      </c>
      <c r="D661">
        <v>0.1246</v>
      </c>
      <c r="E661">
        <v>0.12709999999999999</v>
      </c>
      <c r="F661">
        <v>490399.56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-0.15254237288136024</v>
      </c>
      <c r="Q661">
        <f t="shared" si="995"/>
        <v>-74806.712542374997</v>
      </c>
      <c r="R661">
        <f t="shared" si="996"/>
        <v>-18835904.422991406</v>
      </c>
      <c r="S661">
        <f t="shared" si="997"/>
        <v>-188.35904422991405</v>
      </c>
      <c r="T661">
        <f t="shared" si="998"/>
        <v>-0.18835904422991404</v>
      </c>
    </row>
    <row r="662" spans="1:20" x14ac:dyDescent="0.25">
      <c r="A662" s="5">
        <v>43931</v>
      </c>
      <c r="B662">
        <v>0.14430000000000001</v>
      </c>
      <c r="C662">
        <v>0.1447</v>
      </c>
      <c r="D662">
        <v>0.1241</v>
      </c>
      <c r="E662">
        <v>0.12770000000000001</v>
      </c>
      <c r="F662">
        <v>1125824.8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-0.65048543689320315</v>
      </c>
      <c r="Q662">
        <f t="shared" si="995"/>
        <v>-732332.63689320313</v>
      </c>
      <c r="R662">
        <f t="shared" si="996"/>
        <v>-18761097.710449032</v>
      </c>
      <c r="S662">
        <f t="shared" si="997"/>
        <v>-187.61097710449033</v>
      </c>
      <c r="T662">
        <f t="shared" si="998"/>
        <v>-0.18761097710449032</v>
      </c>
    </row>
    <row r="663" spans="1:20" x14ac:dyDescent="0.25">
      <c r="A663" s="5">
        <v>43930</v>
      </c>
      <c r="B663">
        <v>0.1464</v>
      </c>
      <c r="C663">
        <v>0.14729999999999999</v>
      </c>
      <c r="D663">
        <v>0.1389</v>
      </c>
      <c r="E663">
        <v>0.1444</v>
      </c>
      <c r="F663">
        <v>722566.59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0.30952380952381214</v>
      </c>
      <c r="Q663">
        <f t="shared" si="995"/>
        <v>223651.56357143045</v>
      </c>
      <c r="R663">
        <f t="shared" si="996"/>
        <v>-18028765.073555831</v>
      </c>
      <c r="S663">
        <f t="shared" si="997"/>
        <v>-180.28765073555832</v>
      </c>
      <c r="T663">
        <f t="shared" si="998"/>
        <v>-0.1802876507355583</v>
      </c>
    </row>
    <row r="664" spans="1:20" x14ac:dyDescent="0.25">
      <c r="A664" s="5">
        <v>43929</v>
      </c>
      <c r="B664">
        <v>0.14199999999999999</v>
      </c>
      <c r="C664">
        <v>0.14779999999999999</v>
      </c>
      <c r="D664">
        <v>0.1399</v>
      </c>
      <c r="E664">
        <v>0.1464</v>
      </c>
      <c r="F664">
        <v>621813.02</v>
      </c>
      <c r="G664">
        <v>0</v>
      </c>
      <c r="L664" t="s">
        <v>7</v>
      </c>
      <c r="M664" t="s">
        <v>8</v>
      </c>
      <c r="N664" t="s">
        <v>8</v>
      </c>
      <c r="P664">
        <f t="shared" si="994"/>
        <v>0.645569620253168</v>
      </c>
      <c r="Q664">
        <f t="shared" si="995"/>
        <v>401423.59518987557</v>
      </c>
      <c r="R664">
        <f t="shared" si="996"/>
        <v>-18252416.637127262</v>
      </c>
      <c r="S664">
        <f t="shared" si="997"/>
        <v>-182.52416637127263</v>
      </c>
      <c r="T664">
        <f t="shared" si="998"/>
        <v>-0.18252416637127264</v>
      </c>
    </row>
    <row r="665" spans="1:20" x14ac:dyDescent="0.25">
      <c r="A665" s="5">
        <v>43928</v>
      </c>
      <c r="B665">
        <v>0.14099999999999999</v>
      </c>
      <c r="C665">
        <v>0.1512</v>
      </c>
      <c r="D665">
        <v>0.13880000000000001</v>
      </c>
      <c r="E665">
        <v>0.14199999999999999</v>
      </c>
      <c r="F665">
        <v>1205352.24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-0.48387096774193838</v>
      </c>
      <c r="Q665">
        <f t="shared" si="995"/>
        <v>-583234.95483871317</v>
      </c>
      <c r="R665">
        <f t="shared" si="996"/>
        <v>-18653840.232317138</v>
      </c>
      <c r="S665">
        <f t="shared" si="997"/>
        <v>-186.5384023231714</v>
      </c>
      <c r="T665">
        <f t="shared" si="998"/>
        <v>-0.1865384023231714</v>
      </c>
    </row>
    <row r="666" spans="1:20" x14ac:dyDescent="0.25">
      <c r="A666" s="5">
        <v>43927</v>
      </c>
      <c r="B666">
        <v>0.12989999999999999</v>
      </c>
      <c r="C666">
        <v>0.14169999999999999</v>
      </c>
      <c r="D666">
        <v>0.1295</v>
      </c>
      <c r="E666">
        <v>0.14099999999999999</v>
      </c>
      <c r="F666">
        <v>724470.11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0.88524590163934314</v>
      </c>
      <c r="Q666">
        <f t="shared" si="995"/>
        <v>641334.19573770405</v>
      </c>
      <c r="R666">
        <f t="shared" si="996"/>
        <v>-18070605.277478427</v>
      </c>
      <c r="S666">
        <f t="shared" si="997"/>
        <v>-180.70605277478427</v>
      </c>
      <c r="T666">
        <f t="shared" si="998"/>
        <v>-0.18070605277478427</v>
      </c>
    </row>
    <row r="667" spans="1:20" x14ac:dyDescent="0.25">
      <c r="A667" s="5">
        <v>43926</v>
      </c>
      <c r="B667">
        <v>0.1326</v>
      </c>
      <c r="C667">
        <v>0.13370000000000001</v>
      </c>
      <c r="D667">
        <v>0.12839999999999999</v>
      </c>
      <c r="E667">
        <v>0.12989999999999999</v>
      </c>
      <c r="F667">
        <v>422702.6</v>
      </c>
      <c r="G667">
        <v>0</v>
      </c>
      <c r="L667" t="s">
        <v>7</v>
      </c>
      <c r="M667" t="s">
        <v>8</v>
      </c>
      <c r="N667" t="s">
        <v>8</v>
      </c>
      <c r="P667">
        <f t="shared" si="994"/>
        <v>-0.43396226415094574</v>
      </c>
      <c r="Q667">
        <f t="shared" si="995"/>
        <v>-183436.97735849154</v>
      </c>
      <c r="R667">
        <f t="shared" si="996"/>
        <v>-18711939.473216131</v>
      </c>
      <c r="S667">
        <f t="shared" si="997"/>
        <v>-187.11939473216131</v>
      </c>
      <c r="T667">
        <f t="shared" si="998"/>
        <v>-0.1871193947321613</v>
      </c>
    </row>
    <row r="668" spans="1:20" x14ac:dyDescent="0.25">
      <c r="A668" s="5">
        <v>43925</v>
      </c>
      <c r="B668">
        <v>0.13289999999999999</v>
      </c>
      <c r="C668">
        <v>0.13619999999999999</v>
      </c>
      <c r="D668">
        <v>0.13009999999999999</v>
      </c>
      <c r="E668">
        <v>0.1326</v>
      </c>
      <c r="F668">
        <v>386195.67</v>
      </c>
      <c r="G668">
        <v>0</v>
      </c>
      <c r="L668" t="s">
        <v>7</v>
      </c>
      <c r="M668" t="s">
        <v>8</v>
      </c>
      <c r="N668" t="s">
        <v>8</v>
      </c>
      <c r="P668">
        <f t="shared" si="994"/>
        <v>-0.18032786885245752</v>
      </c>
      <c r="Q668">
        <f t="shared" si="995"/>
        <v>-69641.842131146957</v>
      </c>
      <c r="R668">
        <f t="shared" si="996"/>
        <v>-18528502.495857641</v>
      </c>
      <c r="S668">
        <f t="shared" si="997"/>
        <v>-185.2850249585764</v>
      </c>
      <c r="T668">
        <f t="shared" si="998"/>
        <v>-0.18528502495857641</v>
      </c>
    </row>
    <row r="669" spans="1:20" x14ac:dyDescent="0.25">
      <c r="A669" s="5">
        <v>43924</v>
      </c>
      <c r="B669">
        <v>0.13239999999999999</v>
      </c>
      <c r="C669">
        <v>0.13739999999999999</v>
      </c>
      <c r="D669">
        <v>0.12809999999999999</v>
      </c>
      <c r="E669">
        <v>0.13289999999999999</v>
      </c>
      <c r="F669">
        <v>416109.04</v>
      </c>
      <c r="G669">
        <v>0</v>
      </c>
      <c r="L669" t="s">
        <v>7</v>
      </c>
      <c r="M669" t="s">
        <v>8</v>
      </c>
      <c r="N669" t="s">
        <v>8</v>
      </c>
      <c r="P669">
        <f t="shared" si="994"/>
        <v>3.2258064516128455E-2</v>
      </c>
      <c r="Q669">
        <f t="shared" si="995"/>
        <v>13422.872258064275</v>
      </c>
      <c r="R669">
        <f t="shared" si="996"/>
        <v>-18458860.653726496</v>
      </c>
      <c r="S669">
        <f t="shared" si="997"/>
        <v>-184.58860653726495</v>
      </c>
      <c r="T669">
        <f t="shared" si="998"/>
        <v>-0.18458860653726494</v>
      </c>
    </row>
    <row r="670" spans="1:20" x14ac:dyDescent="0.25">
      <c r="A670" s="5">
        <v>43923</v>
      </c>
      <c r="B670">
        <v>0.13400000000000001</v>
      </c>
      <c r="C670">
        <v>0.1421</v>
      </c>
      <c r="D670">
        <v>0.1295</v>
      </c>
      <c r="E670">
        <v>0.13320000000000001</v>
      </c>
      <c r="F670">
        <v>1169564.8600000001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-0.41269841269841129</v>
      </c>
      <c r="Q670">
        <f t="shared" si="995"/>
        <v>-482677.56126983964</v>
      </c>
      <c r="R670">
        <f t="shared" si="996"/>
        <v>-18472283.525984559</v>
      </c>
      <c r="S670">
        <f t="shared" si="997"/>
        <v>-184.7228352598456</v>
      </c>
      <c r="T670">
        <f t="shared" si="998"/>
        <v>-0.18472283525984559</v>
      </c>
    </row>
    <row r="671" spans="1:20" x14ac:dyDescent="0.25">
      <c r="A671" s="5">
        <v>43922</v>
      </c>
      <c r="B671">
        <v>0.1244</v>
      </c>
      <c r="C671">
        <v>0.13830000000000001</v>
      </c>
      <c r="D671">
        <v>0.1202</v>
      </c>
      <c r="E671">
        <v>0.1336</v>
      </c>
      <c r="F671">
        <v>2371525.23</v>
      </c>
      <c r="G671">
        <v>0</v>
      </c>
      <c r="L671" t="s">
        <v>7</v>
      </c>
      <c r="M671" t="s">
        <v>8</v>
      </c>
      <c r="N671" t="s">
        <v>8</v>
      </c>
      <c r="P671">
        <f t="shared" si="994"/>
        <v>0.48066298342541341</v>
      </c>
      <c r="Q671">
        <f t="shared" si="995"/>
        <v>1139904.3923204397</v>
      </c>
      <c r="R671">
        <f t="shared" si="996"/>
        <v>-17989605.964714721</v>
      </c>
      <c r="S671">
        <f t="shared" si="997"/>
        <v>-179.89605964714721</v>
      </c>
      <c r="T671">
        <f t="shared" si="998"/>
        <v>-0.17989605964714722</v>
      </c>
    </row>
    <row r="672" spans="1:20" x14ac:dyDescent="0.25">
      <c r="A672" s="5">
        <v>43921</v>
      </c>
      <c r="B672">
        <v>0.12479999999999999</v>
      </c>
      <c r="C672">
        <v>0.13569999999999999</v>
      </c>
      <c r="D672">
        <v>0.12280000000000001</v>
      </c>
      <c r="E672">
        <v>0.1244</v>
      </c>
      <c r="F672">
        <v>1273357.3799999999</v>
      </c>
      <c r="G672">
        <v>0</v>
      </c>
      <c r="L672" t="s">
        <v>7</v>
      </c>
      <c r="M672" t="s">
        <v>8</v>
      </c>
      <c r="N672" t="s">
        <v>8</v>
      </c>
      <c r="P672">
        <f t="shared" si="994"/>
        <v>-0.75193798449612514</v>
      </c>
      <c r="Q672">
        <f t="shared" si="995"/>
        <v>-957485.78186046646</v>
      </c>
      <c r="R672">
        <f t="shared" si="996"/>
        <v>-19129510.35703516</v>
      </c>
      <c r="S672">
        <f t="shared" si="997"/>
        <v>-191.29510357035161</v>
      </c>
      <c r="T672">
        <f t="shared" si="998"/>
        <v>-0.19129510357035162</v>
      </c>
    </row>
    <row r="673" spans="1:20" x14ac:dyDescent="0.25">
      <c r="A673" s="5">
        <v>43920</v>
      </c>
      <c r="B673">
        <v>0.11020000000000001</v>
      </c>
      <c r="C673">
        <v>0.13730000000000001</v>
      </c>
      <c r="D673">
        <v>0.1099</v>
      </c>
      <c r="E673">
        <v>0.125</v>
      </c>
      <c r="F673">
        <v>2415106.4</v>
      </c>
      <c r="G673">
        <v>0</v>
      </c>
      <c r="L673" t="s">
        <v>8</v>
      </c>
      <c r="M673" t="s">
        <v>8</v>
      </c>
      <c r="N673" t="s">
        <v>8</v>
      </c>
      <c r="P673">
        <f t="shared" si="994"/>
        <v>0.10218978102189767</v>
      </c>
      <c r="Q673">
        <f t="shared" si="995"/>
        <v>246799.1941605836</v>
      </c>
      <c r="R673">
        <f t="shared" si="996"/>
        <v>-18172024.575174693</v>
      </c>
      <c r="S673">
        <f t="shared" si="997"/>
        <v>-181.72024575174694</v>
      </c>
      <c r="T673">
        <f t="shared" si="998"/>
        <v>-0.18172024575174694</v>
      </c>
    </row>
    <row r="674" spans="1:20" x14ac:dyDescent="0.25">
      <c r="A674" s="5">
        <v>43919</v>
      </c>
      <c r="B674">
        <v>0.11559999999999999</v>
      </c>
      <c r="C674">
        <v>0.11700000000000001</v>
      </c>
      <c r="D674">
        <v>0.10970000000000001</v>
      </c>
      <c r="E674">
        <v>0.1111</v>
      </c>
      <c r="F674">
        <v>412070.27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-0.61643835616438403</v>
      </c>
      <c r="Q674">
        <f t="shared" si="995"/>
        <v>-254015.9198630139</v>
      </c>
      <c r="R674">
        <f t="shared" si="996"/>
        <v>-18418823.769335277</v>
      </c>
      <c r="S674">
        <f t="shared" si="997"/>
        <v>-184.18823769335276</v>
      </c>
      <c r="T674">
        <f t="shared" si="998"/>
        <v>-0.18418823769335277</v>
      </c>
    </row>
    <row r="675" spans="1:20" x14ac:dyDescent="0.25">
      <c r="A675" s="5">
        <v>43918</v>
      </c>
      <c r="B675">
        <v>0.11609999999999999</v>
      </c>
      <c r="C675">
        <v>0.1173</v>
      </c>
      <c r="D675">
        <v>0.111</v>
      </c>
      <c r="E675">
        <v>0.11559999999999999</v>
      </c>
      <c r="F675">
        <v>745319.09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0.46031746031745807</v>
      </c>
      <c r="Q675">
        <f t="shared" si="995"/>
        <v>343083.39063491893</v>
      </c>
      <c r="R675">
        <f t="shared" si="996"/>
        <v>-18164807.849472262</v>
      </c>
      <c r="S675">
        <f t="shared" si="997"/>
        <v>-181.64807849472263</v>
      </c>
      <c r="T675">
        <f t="shared" si="998"/>
        <v>-0.18164807849472261</v>
      </c>
    </row>
    <row r="676" spans="1:20" x14ac:dyDescent="0.25">
      <c r="A676" s="5">
        <v>43917</v>
      </c>
      <c r="B676">
        <v>0.12959999999999999</v>
      </c>
      <c r="C676">
        <v>0.13200000000000001</v>
      </c>
      <c r="D676">
        <v>0.11609999999999999</v>
      </c>
      <c r="E676">
        <v>0.1172</v>
      </c>
      <c r="F676">
        <v>709635.11</v>
      </c>
      <c r="G676">
        <v>0</v>
      </c>
      <c r="L676" t="s">
        <v>8</v>
      </c>
      <c r="M676" t="s">
        <v>8</v>
      </c>
      <c r="N676" t="s">
        <v>8</v>
      </c>
      <c r="P676">
        <f t="shared" si="994"/>
        <v>-0.86163522012578575</v>
      </c>
      <c r="Q676">
        <f t="shared" si="995"/>
        <v>-611446.60421383614</v>
      </c>
      <c r="R676">
        <f t="shared" si="996"/>
        <v>-18507891.240107182</v>
      </c>
      <c r="S676">
        <f t="shared" si="997"/>
        <v>-185.07891240107182</v>
      </c>
      <c r="T676">
        <f t="shared" si="998"/>
        <v>-0.18507891240107183</v>
      </c>
    </row>
    <row r="677" spans="1:20" x14ac:dyDescent="0.25">
      <c r="A677" s="5">
        <v>43916</v>
      </c>
      <c r="B677">
        <v>0.12239999999999999</v>
      </c>
      <c r="C677">
        <v>0.13</v>
      </c>
      <c r="D677">
        <v>0.11990000000000001</v>
      </c>
      <c r="E677">
        <v>0.12959999999999999</v>
      </c>
      <c r="F677">
        <v>645692.59</v>
      </c>
      <c r="G677">
        <v>0</v>
      </c>
      <c r="L677" t="s">
        <v>8</v>
      </c>
      <c r="M677" t="s">
        <v>8</v>
      </c>
      <c r="N677" t="s">
        <v>8</v>
      </c>
      <c r="P677">
        <f t="shared" si="994"/>
        <v>0.9207920792079185</v>
      </c>
      <c r="Q677">
        <f t="shared" si="995"/>
        <v>594548.62247524597</v>
      </c>
      <c r="R677">
        <f t="shared" si="996"/>
        <v>-17896444.635893345</v>
      </c>
      <c r="S677">
        <f t="shared" si="997"/>
        <v>-178.96444635893346</v>
      </c>
      <c r="T677">
        <f t="shared" si="998"/>
        <v>-0.17896444635893347</v>
      </c>
    </row>
    <row r="678" spans="1:20" x14ac:dyDescent="0.25">
      <c r="A678" s="5">
        <v>43915</v>
      </c>
      <c r="B678">
        <v>0.1186</v>
      </c>
      <c r="C678">
        <v>0.12520000000000001</v>
      </c>
      <c r="D678">
        <v>0.1164</v>
      </c>
      <c r="E678">
        <v>0.12230000000000001</v>
      </c>
      <c r="F678">
        <v>176092.97</v>
      </c>
      <c r="G678">
        <v>0</v>
      </c>
      <c r="L678" t="s">
        <v>8</v>
      </c>
      <c r="M678" t="s">
        <v>8</v>
      </c>
      <c r="N678" t="s">
        <v>8</v>
      </c>
      <c r="P678">
        <f t="shared" si="994"/>
        <v>0.34090909090909111</v>
      </c>
      <c r="Q678">
        <f t="shared" si="995"/>
        <v>60031.69431818185</v>
      </c>
      <c r="R678">
        <f t="shared" si="996"/>
        <v>-18490993.258368589</v>
      </c>
      <c r="S678">
        <f t="shared" si="997"/>
        <v>-184.9099325836859</v>
      </c>
      <c r="T678">
        <f t="shared" si="998"/>
        <v>-0.1849099325836859</v>
      </c>
    </row>
    <row r="679" spans="1:20" x14ac:dyDescent="0.25">
      <c r="A679" s="5">
        <v>43914</v>
      </c>
      <c r="B679">
        <v>0.1198</v>
      </c>
      <c r="C679">
        <v>0.1234</v>
      </c>
      <c r="D679">
        <v>0.1169</v>
      </c>
      <c r="E679">
        <v>0.12130000000000001</v>
      </c>
      <c r="F679">
        <v>359455.08</v>
      </c>
      <c r="G679">
        <v>0</v>
      </c>
      <c r="L679" t="s">
        <v>8</v>
      </c>
      <c r="M679" t="s">
        <v>8</v>
      </c>
      <c r="N679" t="s">
        <v>8</v>
      </c>
      <c r="P679">
        <f t="shared" si="994"/>
        <v>0.35384615384615586</v>
      </c>
      <c r="Q679">
        <f t="shared" si="995"/>
        <v>127191.79753846227</v>
      </c>
      <c r="R679">
        <f t="shared" si="996"/>
        <v>-18551024.952686772</v>
      </c>
      <c r="S679">
        <f t="shared" si="997"/>
        <v>-185.51024952686771</v>
      </c>
      <c r="T679">
        <f t="shared" si="998"/>
        <v>-0.1855102495268677</v>
      </c>
    </row>
    <row r="680" spans="1:20" x14ac:dyDescent="0.25">
      <c r="A680" s="5">
        <v>43913</v>
      </c>
      <c r="B680">
        <v>0.1101</v>
      </c>
      <c r="C680">
        <v>0.1198</v>
      </c>
      <c r="D680">
        <v>0.1055</v>
      </c>
      <c r="E680">
        <v>0.1195</v>
      </c>
      <c r="F680">
        <v>447667.33</v>
      </c>
      <c r="G680">
        <v>0</v>
      </c>
      <c r="L680" t="s">
        <v>7</v>
      </c>
      <c r="M680" t="s">
        <v>7</v>
      </c>
      <c r="N680" t="s">
        <v>8</v>
      </c>
      <c r="P680">
        <f t="shared" si="994"/>
        <v>0.95804195804195691</v>
      </c>
      <c r="Q680">
        <f t="shared" si="995"/>
        <v>428884.08538461488</v>
      </c>
      <c r="R680">
        <f t="shared" si="996"/>
        <v>-18678216.750225235</v>
      </c>
      <c r="S680">
        <f t="shared" si="997"/>
        <v>-186.78216750225235</v>
      </c>
      <c r="T680">
        <f t="shared" si="998"/>
        <v>-0.18678216750225235</v>
      </c>
    </row>
    <row r="681" spans="1:20" x14ac:dyDescent="0.25">
      <c r="A681" s="5">
        <v>43912</v>
      </c>
      <c r="B681">
        <v>0.12189999999999999</v>
      </c>
      <c r="C681">
        <v>0.1283</v>
      </c>
      <c r="D681">
        <v>0.11020000000000001</v>
      </c>
      <c r="E681">
        <v>0.111</v>
      </c>
      <c r="F681">
        <v>577597.17000000004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-0.91160220994475183</v>
      </c>
      <c r="Q681">
        <f t="shared" si="995"/>
        <v>-526538.85662983451</v>
      </c>
      <c r="R681">
        <f t="shared" si="996"/>
        <v>-19107100.83560985</v>
      </c>
      <c r="S681">
        <f t="shared" si="997"/>
        <v>-191.0710083560985</v>
      </c>
      <c r="T681">
        <f t="shared" si="998"/>
        <v>-0.1910710083560985</v>
      </c>
    </row>
    <row r="682" spans="1:20" x14ac:dyDescent="0.25">
      <c r="A682" s="5">
        <v>43911</v>
      </c>
      <c r="B682">
        <v>0.1188</v>
      </c>
      <c r="C682">
        <v>0.129</v>
      </c>
      <c r="D682">
        <v>0.11210000000000001</v>
      </c>
      <c r="E682">
        <v>0.1222</v>
      </c>
      <c r="F682">
        <v>397678.29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0.19526627218934897</v>
      </c>
      <c r="Q682">
        <f t="shared" si="995"/>
        <v>77653.157218934852</v>
      </c>
      <c r="R682">
        <f t="shared" si="996"/>
        <v>-18580561.978980016</v>
      </c>
      <c r="S682">
        <f t="shared" si="997"/>
        <v>-185.80561978980015</v>
      </c>
      <c r="T682">
        <f t="shared" si="998"/>
        <v>-0.18580561978980015</v>
      </c>
    </row>
    <row r="683" spans="1:20" x14ac:dyDescent="0.25">
      <c r="A683" s="5">
        <v>43910</v>
      </c>
      <c r="B683">
        <v>0.124</v>
      </c>
      <c r="C683">
        <v>0.14349999999999999</v>
      </c>
      <c r="D683">
        <v>0.11119999999999999</v>
      </c>
      <c r="E683">
        <v>0.1206</v>
      </c>
      <c r="F683">
        <v>1287449.57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-0.41795665634674878</v>
      </c>
      <c r="Q683">
        <f t="shared" si="995"/>
        <v>-538098.11749225948</v>
      </c>
      <c r="R683">
        <f t="shared" si="996"/>
        <v>-18658215.136198949</v>
      </c>
      <c r="S683">
        <f t="shared" si="997"/>
        <v>-186.5821513619895</v>
      </c>
      <c r="T683">
        <f t="shared" si="998"/>
        <v>-0.1865821513619895</v>
      </c>
    </row>
    <row r="684" spans="1:20" x14ac:dyDescent="0.25">
      <c r="A684" s="5">
        <v>43909</v>
      </c>
      <c r="B684">
        <v>0.1082</v>
      </c>
      <c r="C684">
        <v>0.128</v>
      </c>
      <c r="D684">
        <v>0.1061</v>
      </c>
      <c r="E684">
        <v>0.1225</v>
      </c>
      <c r="F684">
        <v>1251351.1299999999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0.49771689497716859</v>
      </c>
      <c r="Q684">
        <f t="shared" si="995"/>
        <v>622818.59894977114</v>
      </c>
      <c r="R684">
        <f t="shared" si="996"/>
        <v>-18120117.018706691</v>
      </c>
      <c r="S684">
        <f t="shared" si="997"/>
        <v>-181.20117018706691</v>
      </c>
      <c r="T684">
        <f t="shared" si="998"/>
        <v>-0.18120117018706691</v>
      </c>
    </row>
    <row r="685" spans="1:20" x14ac:dyDescent="0.25">
      <c r="A685" s="5">
        <v>43908</v>
      </c>
      <c r="B685">
        <v>0.1051</v>
      </c>
      <c r="C685">
        <v>0.1082</v>
      </c>
      <c r="D685">
        <v>9.7199999999999995E-2</v>
      </c>
      <c r="E685">
        <v>0.1082</v>
      </c>
      <c r="F685">
        <v>397954.22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1</v>
      </c>
      <c r="Q685">
        <f t="shared" si="995"/>
        <v>397954.22</v>
      </c>
      <c r="R685">
        <f t="shared" si="996"/>
        <v>-18742935.617656462</v>
      </c>
      <c r="S685">
        <f t="shared" si="997"/>
        <v>-187.42935617656462</v>
      </c>
      <c r="T685">
        <f t="shared" si="998"/>
        <v>-0.18742935617656462</v>
      </c>
    </row>
    <row r="686" spans="1:20" x14ac:dyDescent="0.25">
      <c r="A686" s="5">
        <v>43907</v>
      </c>
      <c r="B686">
        <v>9.6100000000000005E-2</v>
      </c>
      <c r="C686">
        <v>0.10780000000000001</v>
      </c>
      <c r="D686">
        <v>9.6100000000000005E-2</v>
      </c>
      <c r="E686">
        <v>0.1051</v>
      </c>
      <c r="F686">
        <v>1199158.8899999999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0.53846153846153721</v>
      </c>
      <c r="Q686">
        <f t="shared" si="995"/>
        <v>645700.9407692292</v>
      </c>
      <c r="R686">
        <f t="shared" si="996"/>
        <v>-19140889.837656461</v>
      </c>
      <c r="S686">
        <f t="shared" si="997"/>
        <v>-191.40889837656459</v>
      </c>
      <c r="T686">
        <f t="shared" si="998"/>
        <v>-0.19140889837656461</v>
      </c>
    </row>
    <row r="687" spans="1:20" x14ac:dyDescent="0.25">
      <c r="A687" s="5">
        <v>43906</v>
      </c>
      <c r="B687">
        <v>0.1134</v>
      </c>
      <c r="C687">
        <v>0.11360000000000001</v>
      </c>
      <c r="D687">
        <v>8.7999999999999995E-2</v>
      </c>
      <c r="E687">
        <v>9.5299999999999996E-2</v>
      </c>
      <c r="F687">
        <v>1502731.65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-0.42968750000000017</v>
      </c>
      <c r="Q687">
        <f t="shared" si="995"/>
        <v>-645705.00585937523</v>
      </c>
      <c r="R687">
        <f t="shared" si="996"/>
        <v>-19786590.77842569</v>
      </c>
      <c r="S687">
        <f t="shared" si="997"/>
        <v>-197.8659077842569</v>
      </c>
      <c r="T687">
        <f t="shared" si="998"/>
        <v>-0.19786590778425692</v>
      </c>
    </row>
    <row r="688" spans="1:20" x14ac:dyDescent="0.25">
      <c r="A688" s="5">
        <v>43905</v>
      </c>
      <c r="B688">
        <v>0.109</v>
      </c>
      <c r="C688">
        <v>0.1278</v>
      </c>
      <c r="D688">
        <v>0.10829999999999999</v>
      </c>
      <c r="E688">
        <v>0.1149</v>
      </c>
      <c r="F688">
        <v>1114245.3600000001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-0.32307692307692232</v>
      </c>
      <c r="Q688">
        <f t="shared" si="995"/>
        <v>-359986.96246153762</v>
      </c>
      <c r="R688">
        <f t="shared" si="996"/>
        <v>-19140885.772566315</v>
      </c>
      <c r="S688">
        <f t="shared" si="997"/>
        <v>-191.40885772566315</v>
      </c>
      <c r="T688">
        <f t="shared" si="998"/>
        <v>-0.19140885772566316</v>
      </c>
    </row>
    <row r="689" spans="1:20" x14ac:dyDescent="0.25">
      <c r="A689" s="5">
        <v>43904</v>
      </c>
      <c r="B689">
        <v>0.1139</v>
      </c>
      <c r="C689">
        <v>0.12189999999999999</v>
      </c>
      <c r="D689">
        <v>0.1067</v>
      </c>
      <c r="E689">
        <v>0.1095</v>
      </c>
      <c r="F689">
        <v>451555.7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-0.63157894736842124</v>
      </c>
      <c r="Q689">
        <f t="shared" si="995"/>
        <v>-285193.0736842106</v>
      </c>
      <c r="R689">
        <f t="shared" si="996"/>
        <v>-18780898.810104776</v>
      </c>
      <c r="S689">
        <f t="shared" si="997"/>
        <v>-187.80898810104776</v>
      </c>
      <c r="T689">
        <f t="shared" si="998"/>
        <v>-0.18780898810104776</v>
      </c>
    </row>
    <row r="690" spans="1:20" x14ac:dyDescent="0.25">
      <c r="A690" s="5">
        <v>43903</v>
      </c>
      <c r="B690">
        <v>0.1021</v>
      </c>
      <c r="C690">
        <v>0.12609999999999999</v>
      </c>
      <c r="D690">
        <v>6.9800000000000001E-2</v>
      </c>
      <c r="E690">
        <v>0.11459999999999999</v>
      </c>
      <c r="F690">
        <v>1399049.18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0.59147424511545299</v>
      </c>
      <c r="Q690">
        <f t="shared" si="995"/>
        <v>827501.55761989346</v>
      </c>
      <c r="R690">
        <f t="shared" si="996"/>
        <v>-18495705.736420564</v>
      </c>
      <c r="S690">
        <f t="shared" si="997"/>
        <v>-184.95705736420564</v>
      </c>
      <c r="T690">
        <f t="shared" si="998"/>
        <v>-0.18495705736420565</v>
      </c>
    </row>
    <row r="691" spans="1:20" x14ac:dyDescent="0.25">
      <c r="A691" s="5">
        <v>43902</v>
      </c>
      <c r="B691">
        <v>0.19289999999999999</v>
      </c>
      <c r="C691">
        <v>0.19309999999999999</v>
      </c>
      <c r="D691">
        <v>8.6599999999999996E-2</v>
      </c>
      <c r="E691">
        <v>9.9599999999999994E-2</v>
      </c>
      <c r="F691">
        <v>1992584.26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-0.755868544600939</v>
      </c>
      <c r="Q691">
        <f t="shared" si="995"/>
        <v>-1506131.7646009391</v>
      </c>
      <c r="R691">
        <f t="shared" si="996"/>
        <v>-19323207.294040456</v>
      </c>
      <c r="S691">
        <f t="shared" si="997"/>
        <v>-193.23207294040458</v>
      </c>
      <c r="T691">
        <f t="shared" si="998"/>
        <v>-0.19323207294040456</v>
      </c>
    </row>
    <row r="692" spans="1:20" x14ac:dyDescent="0.25">
      <c r="A692" s="5">
        <v>43901</v>
      </c>
      <c r="B692">
        <v>0.2</v>
      </c>
      <c r="C692">
        <v>0.2026</v>
      </c>
      <c r="D692">
        <v>0.1807</v>
      </c>
      <c r="E692">
        <v>0.192</v>
      </c>
      <c r="F692">
        <v>639706.89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3.1963470319634979E-2</v>
      </c>
      <c r="Q692">
        <f t="shared" si="995"/>
        <v>20447.252191780997</v>
      </c>
      <c r="R692">
        <f t="shared" si="996"/>
        <v>-17817075.529439516</v>
      </c>
      <c r="S692">
        <f t="shared" si="997"/>
        <v>-178.17075529439515</v>
      </c>
      <c r="T692">
        <f t="shared" si="998"/>
        <v>-0.17817075529439516</v>
      </c>
    </row>
    <row r="693" spans="1:20" x14ac:dyDescent="0.25">
      <c r="A693" s="5">
        <v>43900</v>
      </c>
      <c r="B693">
        <v>0.20200000000000001</v>
      </c>
      <c r="C693">
        <v>0.2082</v>
      </c>
      <c r="D693">
        <v>0.19109999999999999</v>
      </c>
      <c r="E693">
        <v>0.19889999999999999</v>
      </c>
      <c r="F693">
        <v>521575.98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-8.7719298245614086E-2</v>
      </c>
      <c r="Q693">
        <f t="shared" si="995"/>
        <v>-45752.278947368446</v>
      </c>
      <c r="R693">
        <f t="shared" si="996"/>
        <v>-17837522.781631298</v>
      </c>
      <c r="S693">
        <f t="shared" si="997"/>
        <v>-178.37522781631299</v>
      </c>
      <c r="T693">
        <f t="shared" si="998"/>
        <v>-0.17837522781631299</v>
      </c>
    </row>
    <row r="694" spans="1:20" x14ac:dyDescent="0.25">
      <c r="A694" s="5">
        <v>43899</v>
      </c>
      <c r="B694">
        <v>0.2001</v>
      </c>
      <c r="C694">
        <v>0.20599999999999999</v>
      </c>
      <c r="D694">
        <v>0.18640000000000001</v>
      </c>
      <c r="E694">
        <v>0.20200000000000001</v>
      </c>
      <c r="F694">
        <v>774913.86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0.59183673469387954</v>
      </c>
      <c r="Q694">
        <f t="shared" si="995"/>
        <v>458622.48857143009</v>
      </c>
      <c r="R694">
        <f t="shared" si="996"/>
        <v>-17791770.50268393</v>
      </c>
      <c r="S694">
        <f t="shared" si="997"/>
        <v>-177.91770502683931</v>
      </c>
      <c r="T694">
        <f t="shared" si="998"/>
        <v>-0.17791770502683932</v>
      </c>
    </row>
    <row r="695" spans="1:20" x14ac:dyDescent="0.25">
      <c r="A695" s="5">
        <v>43898</v>
      </c>
      <c r="B695">
        <v>0.2329</v>
      </c>
      <c r="C695">
        <v>0.2336</v>
      </c>
      <c r="D695">
        <v>0.1971</v>
      </c>
      <c r="E695">
        <v>0.19900000000000001</v>
      </c>
      <c r="F695">
        <v>1167845.22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-0.89589041095890343</v>
      </c>
      <c r="Q695">
        <f t="shared" si="995"/>
        <v>-1046261.334082191</v>
      </c>
      <c r="R695">
        <f t="shared" si="996"/>
        <v>-18250392.991255362</v>
      </c>
      <c r="S695">
        <f t="shared" si="997"/>
        <v>-182.50392991255362</v>
      </c>
      <c r="T695">
        <f t="shared" si="998"/>
        <v>-0.18250392991255363</v>
      </c>
    </row>
    <row r="696" spans="1:20" x14ac:dyDescent="0.25">
      <c r="A696" s="5">
        <v>43897</v>
      </c>
      <c r="B696">
        <v>0.2492</v>
      </c>
      <c r="C696">
        <v>0.25600000000000001</v>
      </c>
      <c r="D696">
        <v>0.2321</v>
      </c>
      <c r="E696">
        <v>0.2346</v>
      </c>
      <c r="F696">
        <v>851237.01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-0.79079497907949781</v>
      </c>
      <c r="Q696">
        <f t="shared" si="995"/>
        <v>-673153.95351464429</v>
      </c>
      <c r="R696">
        <f t="shared" si="996"/>
        <v>-17204131.657173172</v>
      </c>
      <c r="S696">
        <f t="shared" si="997"/>
        <v>-172.04131657173173</v>
      </c>
      <c r="T696">
        <f t="shared" si="998"/>
        <v>-0.17204131657173172</v>
      </c>
    </row>
    <row r="697" spans="1:20" x14ac:dyDescent="0.25">
      <c r="A697" s="5">
        <v>43896</v>
      </c>
      <c r="B697">
        <v>0.24629999999999999</v>
      </c>
      <c r="C697">
        <v>0.25700000000000001</v>
      </c>
      <c r="D697">
        <v>0.24310000000000001</v>
      </c>
      <c r="E697">
        <v>0.24940000000000001</v>
      </c>
      <c r="F697">
        <v>644475.76</v>
      </c>
      <c r="G697">
        <v>0</v>
      </c>
      <c r="L697" t="s">
        <v>7</v>
      </c>
      <c r="M697" t="s">
        <v>8</v>
      </c>
      <c r="N697" t="s">
        <v>7</v>
      </c>
      <c r="P697">
        <f t="shared" si="994"/>
        <v>-9.3525179856114818E-2</v>
      </c>
      <c r="Q697">
        <f t="shared" si="995"/>
        <v>-60274.711366906289</v>
      </c>
      <c r="R697">
        <f t="shared" si="996"/>
        <v>-16530977.703658529</v>
      </c>
      <c r="S697">
        <f t="shared" si="997"/>
        <v>-165.30977703658527</v>
      </c>
      <c r="T697">
        <f t="shared" si="998"/>
        <v>-0.16530977703658528</v>
      </c>
    </row>
    <row r="698" spans="1:20" x14ac:dyDescent="0.25">
      <c r="A698" s="5">
        <v>43895</v>
      </c>
      <c r="B698">
        <v>0.2361</v>
      </c>
      <c r="C698">
        <v>0.26740000000000003</v>
      </c>
      <c r="D698">
        <v>0.2361</v>
      </c>
      <c r="E698">
        <v>0.24640000000000001</v>
      </c>
      <c r="F698">
        <v>1641470.51</v>
      </c>
      <c r="G698">
        <v>0</v>
      </c>
      <c r="L698" t="s">
        <v>8</v>
      </c>
      <c r="M698" t="s">
        <v>8</v>
      </c>
      <c r="N698" t="s">
        <v>7</v>
      </c>
      <c r="P698">
        <f t="shared" si="994"/>
        <v>-0.34185303514377019</v>
      </c>
      <c r="Q698">
        <f t="shared" si="995"/>
        <v>-561141.67594249232</v>
      </c>
      <c r="R698">
        <f t="shared" si="996"/>
        <v>-16470702.992291622</v>
      </c>
      <c r="S698">
        <f t="shared" si="997"/>
        <v>-164.70702992291621</v>
      </c>
      <c r="T698">
        <f t="shared" si="998"/>
        <v>-0.16470702992291619</v>
      </c>
    </row>
    <row r="699" spans="1:20" x14ac:dyDescent="0.25">
      <c r="A699" s="5">
        <v>43894</v>
      </c>
      <c r="B699">
        <v>0.22639999999999999</v>
      </c>
      <c r="C699">
        <v>0.23760000000000001</v>
      </c>
      <c r="D699">
        <v>0.22109999999999999</v>
      </c>
      <c r="E699">
        <v>0.23599999999999999</v>
      </c>
      <c r="F699">
        <v>841144.79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0.80606060606060403</v>
      </c>
      <c r="Q699">
        <f t="shared" si="995"/>
        <v>678013.67921211955</v>
      </c>
      <c r="R699">
        <f t="shared" si="996"/>
        <v>-15909561.31634913</v>
      </c>
      <c r="S699">
        <f t="shared" si="997"/>
        <v>-159.09561316349129</v>
      </c>
      <c r="T699">
        <f t="shared" si="998"/>
        <v>-0.1590956131634913</v>
      </c>
    </row>
    <row r="700" spans="1:20" x14ac:dyDescent="0.25">
      <c r="A700" s="5">
        <v>43893</v>
      </c>
      <c r="B700">
        <v>0.23069999999999999</v>
      </c>
      <c r="C700">
        <v>0.2346</v>
      </c>
      <c r="D700">
        <v>0.2225</v>
      </c>
      <c r="E700">
        <v>0.22650000000000001</v>
      </c>
      <c r="F700">
        <v>620779.53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-0.33884297520661094</v>
      </c>
      <c r="Q700">
        <f t="shared" si="995"/>
        <v>-210346.7828925616</v>
      </c>
      <c r="R700">
        <f t="shared" si="996"/>
        <v>-16587574.99556125</v>
      </c>
      <c r="S700">
        <f t="shared" si="997"/>
        <v>-165.87574995561249</v>
      </c>
      <c r="T700">
        <f t="shared" si="998"/>
        <v>-0.16587574995561249</v>
      </c>
    </row>
    <row r="701" spans="1:20" x14ac:dyDescent="0.25">
      <c r="A701" s="5">
        <v>43892</v>
      </c>
      <c r="B701">
        <v>0.21260000000000001</v>
      </c>
      <c r="C701">
        <v>0.23400000000000001</v>
      </c>
      <c r="D701">
        <v>0.21179999999999999</v>
      </c>
      <c r="E701">
        <v>0.22969999999999999</v>
      </c>
      <c r="F701">
        <v>481099.14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0.61261261261261069</v>
      </c>
      <c r="Q701">
        <f t="shared" si="995"/>
        <v>294727.40108108014</v>
      </c>
      <c r="R701">
        <f t="shared" si="996"/>
        <v>-16377228.212668687</v>
      </c>
      <c r="S701">
        <f t="shared" si="997"/>
        <v>-163.77228212668686</v>
      </c>
      <c r="T701">
        <f t="shared" si="998"/>
        <v>-0.16377228212668687</v>
      </c>
    </row>
    <row r="702" spans="1:20" x14ac:dyDescent="0.25">
      <c r="A702" s="5">
        <v>43891</v>
      </c>
      <c r="B702">
        <v>0.2142</v>
      </c>
      <c r="C702">
        <v>0.22509999999999999</v>
      </c>
      <c r="D702">
        <v>0.2102</v>
      </c>
      <c r="E702">
        <v>0.21379999999999999</v>
      </c>
      <c r="F702">
        <v>318390.24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-0.51677852348993381</v>
      </c>
      <c r="Q702">
        <f t="shared" si="995"/>
        <v>-164537.23812080565</v>
      </c>
      <c r="R702">
        <f t="shared" si="996"/>
        <v>-16671955.613749767</v>
      </c>
      <c r="S702">
        <f t="shared" si="997"/>
        <v>-166.71955613749768</v>
      </c>
      <c r="T702">
        <f t="shared" si="998"/>
        <v>-0.16671955613749767</v>
      </c>
    </row>
    <row r="703" spans="1:20" x14ac:dyDescent="0.25">
      <c r="A703" s="5">
        <v>43890</v>
      </c>
      <c r="B703">
        <v>0.2266</v>
      </c>
      <c r="C703">
        <v>0.2316</v>
      </c>
      <c r="D703">
        <v>0.21379999999999999</v>
      </c>
      <c r="E703">
        <v>0.21379999999999999</v>
      </c>
      <c r="F703">
        <v>428823.4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-1</v>
      </c>
      <c r="Q703">
        <f t="shared" si="995"/>
        <v>-428823.4</v>
      </c>
      <c r="R703">
        <f t="shared" si="996"/>
        <v>-16507418.375628961</v>
      </c>
      <c r="S703">
        <f t="shared" si="997"/>
        <v>-165.07418375628961</v>
      </c>
      <c r="T703">
        <f t="shared" si="998"/>
        <v>-0.16507418375628963</v>
      </c>
    </row>
    <row r="704" spans="1:20" x14ac:dyDescent="0.25">
      <c r="A704" s="5">
        <v>43889</v>
      </c>
      <c r="B704">
        <v>0.2326</v>
      </c>
      <c r="C704">
        <v>0.24</v>
      </c>
      <c r="D704">
        <v>0.21310000000000001</v>
      </c>
      <c r="E704">
        <v>0.22600000000000001</v>
      </c>
      <c r="F704">
        <v>612740.55000000005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-4.0892193308549839E-2</v>
      </c>
      <c r="Q704">
        <f t="shared" si="995"/>
        <v>-25056.305018587151</v>
      </c>
      <c r="R704">
        <f t="shared" si="996"/>
        <v>-16078594.975628961</v>
      </c>
      <c r="S704">
        <f t="shared" si="997"/>
        <v>-160.7859497562896</v>
      </c>
      <c r="T704">
        <f t="shared" si="998"/>
        <v>-0.1607859497562896</v>
      </c>
    </row>
    <row r="705" spans="1:20" x14ac:dyDescent="0.25">
      <c r="A705" s="5">
        <v>43888</v>
      </c>
      <c r="B705">
        <v>0.23200000000000001</v>
      </c>
      <c r="C705">
        <v>0.25440000000000002</v>
      </c>
      <c r="D705">
        <v>0.21970000000000001</v>
      </c>
      <c r="E705">
        <v>0.23200000000000001</v>
      </c>
      <c r="F705">
        <v>803908.89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-0.29106628242074917</v>
      </c>
      <c r="Q705">
        <f t="shared" si="995"/>
        <v>-233990.77201729099</v>
      </c>
      <c r="R705">
        <f t="shared" si="996"/>
        <v>-16053538.670610374</v>
      </c>
      <c r="S705">
        <f t="shared" si="997"/>
        <v>-160.53538670610374</v>
      </c>
      <c r="T705">
        <f t="shared" si="998"/>
        <v>-0.16053538670610373</v>
      </c>
    </row>
    <row r="706" spans="1:20" x14ac:dyDescent="0.25">
      <c r="A706" s="5">
        <v>43887</v>
      </c>
      <c r="B706">
        <v>0.23760000000000001</v>
      </c>
      <c r="C706">
        <v>0.25409999999999999</v>
      </c>
      <c r="D706">
        <v>0.21310000000000001</v>
      </c>
      <c r="E706">
        <v>0.2339</v>
      </c>
      <c r="F706">
        <v>1142925.68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1.4634146341463164E-2</v>
      </c>
      <c r="Q706">
        <f t="shared" si="995"/>
        <v>16725.741658536299</v>
      </c>
      <c r="R706">
        <f t="shared" si="996"/>
        <v>-15819547.898593083</v>
      </c>
      <c r="S706">
        <f t="shared" si="997"/>
        <v>-158.19547898593083</v>
      </c>
      <c r="T706">
        <f t="shared" si="998"/>
        <v>-0.15819547898593084</v>
      </c>
    </row>
    <row r="707" spans="1:20" x14ac:dyDescent="0.25">
      <c r="A707" s="5">
        <v>43886</v>
      </c>
      <c r="B707">
        <v>0.26369999999999999</v>
      </c>
      <c r="C707">
        <v>0.26519999999999999</v>
      </c>
      <c r="D707">
        <v>0.2329</v>
      </c>
      <c r="E707">
        <v>0.2382</v>
      </c>
      <c r="F707">
        <v>1092732.74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-0.67182662538699689</v>
      </c>
      <c r="Q707">
        <f t="shared" si="995"/>
        <v>-734126.94916408672</v>
      </c>
      <c r="R707">
        <f t="shared" si="996"/>
        <v>-15836273.64025162</v>
      </c>
      <c r="S707">
        <f t="shared" si="997"/>
        <v>-158.36273640251619</v>
      </c>
      <c r="T707">
        <f t="shared" si="998"/>
        <v>-0.15836273640251619</v>
      </c>
    </row>
    <row r="708" spans="1:20" x14ac:dyDescent="0.25">
      <c r="A708" s="5">
        <v>43885</v>
      </c>
      <c r="B708">
        <v>0.2999</v>
      </c>
      <c r="C708">
        <v>0.30509999999999998</v>
      </c>
      <c r="D708">
        <v>0.251</v>
      </c>
      <c r="E708">
        <v>0.26490000000000002</v>
      </c>
      <c r="F708">
        <v>1522041.39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-0.48613678373382518</v>
      </c>
      <c r="Q708">
        <f t="shared" si="995"/>
        <v>-739920.30604436062</v>
      </c>
      <c r="R708">
        <f t="shared" si="996"/>
        <v>-15102146.691087533</v>
      </c>
      <c r="S708">
        <f t="shared" si="997"/>
        <v>-151.02146691087532</v>
      </c>
      <c r="T708">
        <f t="shared" si="998"/>
        <v>-0.15102146691087531</v>
      </c>
    </row>
    <row r="709" spans="1:20" x14ac:dyDescent="0.25">
      <c r="A709" s="5">
        <v>43884</v>
      </c>
      <c r="B709">
        <v>0.27029999999999998</v>
      </c>
      <c r="C709">
        <v>0.30869999999999997</v>
      </c>
      <c r="D709">
        <v>0.26960000000000001</v>
      </c>
      <c r="E709">
        <v>0.30020000000000002</v>
      </c>
      <c r="F709">
        <v>1556115.64</v>
      </c>
      <c r="G709">
        <v>0</v>
      </c>
      <c r="L709" t="s">
        <v>8</v>
      </c>
      <c r="M709" t="s">
        <v>8</v>
      </c>
      <c r="N709" t="s">
        <v>7</v>
      </c>
      <c r="P709">
        <f t="shared" si="994"/>
        <v>0.56521739130434989</v>
      </c>
      <c r="Q709">
        <f t="shared" si="995"/>
        <v>879543.62260869879</v>
      </c>
      <c r="R709">
        <f t="shared" si="996"/>
        <v>-14362226.385043172</v>
      </c>
      <c r="S709">
        <f t="shared" si="997"/>
        <v>-143.62226385043172</v>
      </c>
      <c r="T709">
        <f t="shared" si="998"/>
        <v>-0.14362226385043173</v>
      </c>
    </row>
    <row r="710" spans="1:20" x14ac:dyDescent="0.25">
      <c r="A710" s="5">
        <v>43883</v>
      </c>
      <c r="B710">
        <v>0.28270000000000001</v>
      </c>
      <c r="C710">
        <v>0.28560000000000002</v>
      </c>
      <c r="D710">
        <v>0.26390000000000002</v>
      </c>
      <c r="E710">
        <v>0.2702</v>
      </c>
      <c r="F710">
        <v>607363.85</v>
      </c>
      <c r="G710">
        <v>0</v>
      </c>
      <c r="L710" t="s">
        <v>7</v>
      </c>
      <c r="M710" t="s">
        <v>8</v>
      </c>
      <c r="N710" t="s">
        <v>7</v>
      </c>
      <c r="P710">
        <f t="shared" ref="P710:P766" si="999">IF(C710=D710,0,((E710-D710)-(C710-E710))/(C710-D710))</f>
        <v>-0.41935483870967988</v>
      </c>
      <c r="Q710">
        <f t="shared" ref="Q710:Q766" si="1000">F710*P710</f>
        <v>-254700.9693548402</v>
      </c>
      <c r="R710">
        <f t="shared" ref="R710:R766" si="1001">R711+Q710</f>
        <v>-15241770.007651871</v>
      </c>
      <c r="S710">
        <f t="shared" ref="S710:S766" si="1002">R710/100000</f>
        <v>-152.41770007651871</v>
      </c>
      <c r="T710">
        <f t="shared" ref="T710:T766" si="1003">S710/1000</f>
        <v>-0.15241770007651873</v>
      </c>
    </row>
    <row r="711" spans="1:20" x14ac:dyDescent="0.25">
      <c r="A711" s="5">
        <v>43882</v>
      </c>
      <c r="B711">
        <v>0.25850000000000001</v>
      </c>
      <c r="C711">
        <v>0.29049999999999998</v>
      </c>
      <c r="D711">
        <v>0.25519999999999998</v>
      </c>
      <c r="E711">
        <v>0.28289999999999998</v>
      </c>
      <c r="F711">
        <v>1502645.49</v>
      </c>
      <c r="G711">
        <v>0</v>
      </c>
      <c r="L711" t="s">
        <v>8</v>
      </c>
      <c r="M711" t="s">
        <v>8</v>
      </c>
      <c r="N711" t="s">
        <v>7</v>
      </c>
      <c r="P711">
        <f t="shared" si="999"/>
        <v>0.56940509915014181</v>
      </c>
      <c r="Q711">
        <f t="shared" si="1000"/>
        <v>855614.00422096346</v>
      </c>
      <c r="R711">
        <f t="shared" si="1001"/>
        <v>-14987069.038297031</v>
      </c>
      <c r="S711">
        <f t="shared" si="1002"/>
        <v>-149.87069038297031</v>
      </c>
      <c r="T711">
        <f t="shared" si="1003"/>
        <v>-0.14987069038297032</v>
      </c>
    </row>
    <row r="712" spans="1:20" x14ac:dyDescent="0.25">
      <c r="A712" s="5">
        <v>43881</v>
      </c>
      <c r="B712">
        <v>0.247</v>
      </c>
      <c r="C712">
        <v>0.25919999999999999</v>
      </c>
      <c r="D712">
        <v>0.2414</v>
      </c>
      <c r="E712">
        <v>0.25829999999999997</v>
      </c>
      <c r="F712">
        <v>598515.52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0.89887640449438055</v>
      </c>
      <c r="Q712">
        <f t="shared" si="1000"/>
        <v>537991.47865168448</v>
      </c>
      <c r="R712">
        <f t="shared" si="1001"/>
        <v>-15842683.042517995</v>
      </c>
      <c r="S712">
        <f t="shared" si="1002"/>
        <v>-158.42683042517996</v>
      </c>
      <c r="T712">
        <f t="shared" si="1003"/>
        <v>-0.15842683042517997</v>
      </c>
    </row>
    <row r="713" spans="1:20" x14ac:dyDescent="0.25">
      <c r="A713" s="5">
        <v>43880</v>
      </c>
      <c r="B713">
        <v>0.28289999999999998</v>
      </c>
      <c r="C713">
        <v>0.29980000000000001</v>
      </c>
      <c r="D713">
        <v>0.21779999999999999</v>
      </c>
      <c r="E713">
        <v>0.2492</v>
      </c>
      <c r="F713">
        <v>1877884.97</v>
      </c>
      <c r="G713">
        <v>0</v>
      </c>
      <c r="L713" t="s">
        <v>8</v>
      </c>
      <c r="M713" t="s">
        <v>8</v>
      </c>
      <c r="N713" t="s">
        <v>7</v>
      </c>
      <c r="P713">
        <f t="shared" si="999"/>
        <v>-0.23414634146341451</v>
      </c>
      <c r="Q713">
        <f t="shared" si="1000"/>
        <v>-439699.89541463391</v>
      </c>
      <c r="R713">
        <f t="shared" si="1001"/>
        <v>-16380674.521169679</v>
      </c>
      <c r="S713">
        <f t="shared" si="1002"/>
        <v>-163.80674521169678</v>
      </c>
      <c r="T713">
        <f t="shared" si="1003"/>
        <v>-0.16380674521169677</v>
      </c>
    </row>
    <row r="714" spans="1:20" x14ac:dyDescent="0.25">
      <c r="A714" s="5">
        <v>43879</v>
      </c>
      <c r="B714">
        <v>0.2631</v>
      </c>
      <c r="C714">
        <v>0.28520000000000001</v>
      </c>
      <c r="D714">
        <v>0.25159999999999999</v>
      </c>
      <c r="E714">
        <v>0.28289999999999998</v>
      </c>
      <c r="F714">
        <v>986607.49</v>
      </c>
      <c r="G714">
        <v>0</v>
      </c>
      <c r="L714" t="s">
        <v>8</v>
      </c>
      <c r="M714" t="s">
        <v>8</v>
      </c>
      <c r="N714" t="s">
        <v>7</v>
      </c>
      <c r="P714">
        <f t="shared" si="999"/>
        <v>0.86309523809523669</v>
      </c>
      <c r="Q714">
        <f t="shared" si="1000"/>
        <v>851536.22648809385</v>
      </c>
      <c r="R714">
        <f t="shared" si="1001"/>
        <v>-15940974.625755046</v>
      </c>
      <c r="S714">
        <f t="shared" si="1002"/>
        <v>-159.40974625755047</v>
      </c>
      <c r="T714">
        <f t="shared" si="1003"/>
        <v>-0.15940974625755047</v>
      </c>
    </row>
    <row r="715" spans="1:20" x14ac:dyDescent="0.25">
      <c r="A715" s="5">
        <v>43878</v>
      </c>
      <c r="B715">
        <v>0.27039999999999997</v>
      </c>
      <c r="C715">
        <v>0.27360000000000001</v>
      </c>
      <c r="D715">
        <v>0.24049999999999999</v>
      </c>
      <c r="E715">
        <v>0.26300000000000001</v>
      </c>
      <c r="F715">
        <v>784593.71</v>
      </c>
      <c r="G715">
        <v>0</v>
      </c>
      <c r="L715" t="s">
        <v>8</v>
      </c>
      <c r="M715" t="s">
        <v>7</v>
      </c>
      <c r="N715" t="s">
        <v>7</v>
      </c>
      <c r="P715">
        <f t="shared" si="999"/>
        <v>0.35951661631419984</v>
      </c>
      <c r="Q715">
        <f t="shared" si="1000"/>
        <v>282074.47580060456</v>
      </c>
      <c r="R715">
        <f t="shared" si="1001"/>
        <v>-16792510.85224314</v>
      </c>
      <c r="S715">
        <f t="shared" si="1002"/>
        <v>-167.9251085224314</v>
      </c>
      <c r="T715">
        <f t="shared" si="1003"/>
        <v>-0.16792510852243139</v>
      </c>
    </row>
    <row r="716" spans="1:20" x14ac:dyDescent="0.25">
      <c r="A716" s="5">
        <v>43877</v>
      </c>
      <c r="B716">
        <v>0.28370000000000001</v>
      </c>
      <c r="C716">
        <v>0.29949999999999999</v>
      </c>
      <c r="D716">
        <v>0.2445</v>
      </c>
      <c r="E716">
        <v>0.27110000000000001</v>
      </c>
      <c r="F716">
        <v>1239738.52</v>
      </c>
      <c r="G716">
        <v>0</v>
      </c>
      <c r="L716" t="s">
        <v>7</v>
      </c>
      <c r="M716" t="s">
        <v>7</v>
      </c>
      <c r="N716" t="s">
        <v>7</v>
      </c>
      <c r="P716">
        <f t="shared" si="999"/>
        <v>-3.2727272727272154E-2</v>
      </c>
      <c r="Q716">
        <f t="shared" si="1000"/>
        <v>-40573.260654544742</v>
      </c>
      <c r="R716">
        <f t="shared" si="1001"/>
        <v>-17074585.328043744</v>
      </c>
      <c r="S716">
        <f t="shared" si="1002"/>
        <v>-170.74585328043744</v>
      </c>
      <c r="T716">
        <f t="shared" si="1003"/>
        <v>-0.17074585328043745</v>
      </c>
    </row>
    <row r="717" spans="1:20" x14ac:dyDescent="0.25">
      <c r="A717" s="5">
        <v>43876</v>
      </c>
      <c r="B717">
        <v>0.312</v>
      </c>
      <c r="C717">
        <v>0.3231</v>
      </c>
      <c r="D717">
        <v>0.2757</v>
      </c>
      <c r="E717">
        <v>0.28370000000000001</v>
      </c>
      <c r="F717">
        <v>1228964.58</v>
      </c>
      <c r="G717">
        <v>0</v>
      </c>
      <c r="L717" t="s">
        <v>7</v>
      </c>
      <c r="M717" t="s">
        <v>8</v>
      </c>
      <c r="N717" t="s">
        <v>7</v>
      </c>
      <c r="P717">
        <f t="shared" si="999"/>
        <v>-0.66244725738396593</v>
      </c>
      <c r="Q717">
        <f t="shared" si="1000"/>
        <v>-814124.21544303768</v>
      </c>
      <c r="R717">
        <f t="shared" si="1001"/>
        <v>-17034012.067389198</v>
      </c>
      <c r="S717">
        <f t="shared" si="1002"/>
        <v>-170.34012067389199</v>
      </c>
      <c r="T717">
        <f t="shared" si="1003"/>
        <v>-0.17034012067389198</v>
      </c>
    </row>
    <row r="718" spans="1:20" x14ac:dyDescent="0.25">
      <c r="A718" s="5">
        <v>43875</v>
      </c>
      <c r="B718">
        <v>0.2984</v>
      </c>
      <c r="C718">
        <v>0.318</v>
      </c>
      <c r="D718">
        <v>0.28999999999999998</v>
      </c>
      <c r="E718">
        <v>0.312</v>
      </c>
      <c r="F718">
        <v>1319892.1499999999</v>
      </c>
      <c r="G718">
        <v>0</v>
      </c>
      <c r="L718" t="s">
        <v>8</v>
      </c>
      <c r="M718" t="s">
        <v>8</v>
      </c>
      <c r="N718" t="s">
        <v>7</v>
      </c>
      <c r="P718">
        <f t="shared" si="999"/>
        <v>0.5714285714285714</v>
      </c>
      <c r="Q718">
        <f t="shared" si="1000"/>
        <v>754224.08571428561</v>
      </c>
      <c r="R718">
        <f t="shared" si="1001"/>
        <v>-16219887.851946158</v>
      </c>
      <c r="S718">
        <f t="shared" si="1002"/>
        <v>-162.19887851946157</v>
      </c>
      <c r="T718">
        <f t="shared" si="1003"/>
        <v>-0.16219887851946158</v>
      </c>
    </row>
    <row r="719" spans="1:20" x14ac:dyDescent="0.25">
      <c r="A719" s="5">
        <v>43874</v>
      </c>
      <c r="B719">
        <v>0.3256</v>
      </c>
      <c r="C719">
        <v>0.32669999999999999</v>
      </c>
      <c r="D719">
        <v>0.25030000000000002</v>
      </c>
      <c r="E719">
        <v>0.29780000000000001</v>
      </c>
      <c r="F719">
        <v>2016664.37</v>
      </c>
      <c r="G719">
        <v>0</v>
      </c>
      <c r="L719" t="s">
        <v>7</v>
      </c>
      <c r="M719" t="s">
        <v>7</v>
      </c>
      <c r="N719" t="s">
        <v>7</v>
      </c>
      <c r="P719">
        <f t="shared" si="999"/>
        <v>0.24345549738219913</v>
      </c>
      <c r="Q719">
        <f t="shared" si="1000"/>
        <v>490968.02725130925</v>
      </c>
      <c r="R719">
        <f t="shared" si="1001"/>
        <v>-16974111.937660445</v>
      </c>
      <c r="S719">
        <f t="shared" si="1002"/>
        <v>-169.74111937660444</v>
      </c>
      <c r="T719">
        <f t="shared" si="1003"/>
        <v>-0.16974111937660444</v>
      </c>
    </row>
    <row r="720" spans="1:20" x14ac:dyDescent="0.25">
      <c r="A720" s="5">
        <v>43873</v>
      </c>
      <c r="B720">
        <v>0.3039</v>
      </c>
      <c r="C720">
        <v>0.33250000000000002</v>
      </c>
      <c r="D720">
        <v>0.30249999999999999</v>
      </c>
      <c r="E720">
        <v>0.3256</v>
      </c>
      <c r="F720">
        <v>2497324.27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0.53999999999999926</v>
      </c>
      <c r="Q720">
        <f t="shared" si="1000"/>
        <v>1348555.1057999982</v>
      </c>
      <c r="R720">
        <f t="shared" si="1001"/>
        <v>-17465079.964911755</v>
      </c>
      <c r="S720">
        <f t="shared" si="1002"/>
        <v>-174.65079964911754</v>
      </c>
      <c r="T720">
        <f t="shared" si="1003"/>
        <v>-0.17465079964911753</v>
      </c>
    </row>
    <row r="721" spans="1:20" x14ac:dyDescent="0.25">
      <c r="A721" s="5">
        <v>43872</v>
      </c>
      <c r="B721">
        <v>0.28810000000000002</v>
      </c>
      <c r="C721">
        <v>0.31</v>
      </c>
      <c r="D721">
        <v>0.27950000000000003</v>
      </c>
      <c r="E721">
        <v>0.30399999999999999</v>
      </c>
      <c r="F721">
        <v>1981755.25</v>
      </c>
      <c r="G721">
        <v>0</v>
      </c>
      <c r="L721" t="s">
        <v>7</v>
      </c>
      <c r="M721" t="s">
        <v>7</v>
      </c>
      <c r="N721" t="s">
        <v>8</v>
      </c>
      <c r="P721">
        <f t="shared" si="999"/>
        <v>0.60655737704917956</v>
      </c>
      <c r="Q721">
        <f t="shared" si="1000"/>
        <v>1202048.266393441</v>
      </c>
      <c r="R721">
        <f t="shared" si="1001"/>
        <v>-18813635.070711754</v>
      </c>
      <c r="S721">
        <f t="shared" si="1002"/>
        <v>-188.13635070711754</v>
      </c>
      <c r="T721">
        <f t="shared" si="1003"/>
        <v>-0.18813635070711754</v>
      </c>
    </row>
    <row r="722" spans="1:20" x14ac:dyDescent="0.25">
      <c r="A722" s="5">
        <v>43871</v>
      </c>
      <c r="B722">
        <v>0.31240000000000001</v>
      </c>
      <c r="C722">
        <v>0.32450000000000001</v>
      </c>
      <c r="D722">
        <v>0.28560000000000002</v>
      </c>
      <c r="E722">
        <v>0.28820000000000001</v>
      </c>
      <c r="F722">
        <v>2176952.09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-0.86632390745501331</v>
      </c>
      <c r="Q722">
        <f t="shared" si="1000"/>
        <v>-1885945.6409511578</v>
      </c>
      <c r="R722">
        <f t="shared" si="1001"/>
        <v>-20015683.337105196</v>
      </c>
      <c r="S722">
        <f t="shared" si="1002"/>
        <v>-200.15683337105196</v>
      </c>
      <c r="T722">
        <f t="shared" si="1003"/>
        <v>-0.20015683337105197</v>
      </c>
    </row>
    <row r="723" spans="1:20" x14ac:dyDescent="0.25">
      <c r="A723" s="5">
        <v>43870</v>
      </c>
      <c r="B723">
        <v>0.27700000000000002</v>
      </c>
      <c r="C723">
        <v>0.32850000000000001</v>
      </c>
      <c r="D723">
        <v>0.2712</v>
      </c>
      <c r="E723">
        <v>0.31240000000000001</v>
      </c>
      <c r="F723">
        <v>3042361.38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0.43804537521815012</v>
      </c>
      <c r="Q723">
        <f t="shared" si="1000"/>
        <v>1332692.332251309</v>
      </c>
      <c r="R723">
        <f t="shared" si="1001"/>
        <v>-18129737.696154039</v>
      </c>
      <c r="S723">
        <f t="shared" si="1002"/>
        <v>-181.29737696154038</v>
      </c>
      <c r="T723">
        <f t="shared" si="1003"/>
        <v>-0.18129737696154039</v>
      </c>
    </row>
    <row r="724" spans="1:20" x14ac:dyDescent="0.25">
      <c r="A724" s="5">
        <v>43869</v>
      </c>
      <c r="B724">
        <v>0.29459999999999997</v>
      </c>
      <c r="C724">
        <v>0.29549999999999998</v>
      </c>
      <c r="D724">
        <v>0.26390000000000002</v>
      </c>
      <c r="E724">
        <v>0.27629999999999999</v>
      </c>
      <c r="F724">
        <v>2500115</v>
      </c>
      <c r="G724">
        <v>0</v>
      </c>
      <c r="L724" t="s">
        <v>7</v>
      </c>
      <c r="M724" t="s">
        <v>7</v>
      </c>
      <c r="N724" t="s">
        <v>8</v>
      </c>
      <c r="P724">
        <f t="shared" si="999"/>
        <v>-0.21518987341772267</v>
      </c>
      <c r="Q724">
        <f t="shared" si="1000"/>
        <v>-537999.43037974974</v>
      </c>
      <c r="R724">
        <f t="shared" si="1001"/>
        <v>-19462430.02840535</v>
      </c>
      <c r="S724">
        <f t="shared" si="1002"/>
        <v>-194.6243002840535</v>
      </c>
      <c r="T724">
        <f t="shared" si="1003"/>
        <v>-0.1946243002840535</v>
      </c>
    </row>
    <row r="725" spans="1:20" x14ac:dyDescent="0.25">
      <c r="A725" s="5">
        <v>43868</v>
      </c>
      <c r="B725">
        <v>0.29010000000000002</v>
      </c>
      <c r="C725">
        <v>0.30680000000000002</v>
      </c>
      <c r="D725">
        <v>0.28260000000000002</v>
      </c>
      <c r="E725">
        <v>0.29459999999999997</v>
      </c>
      <c r="F725">
        <v>2171222.04</v>
      </c>
      <c r="G725">
        <v>0</v>
      </c>
      <c r="L725" t="s">
        <v>7</v>
      </c>
      <c r="M725" t="s">
        <v>7</v>
      </c>
      <c r="N725" t="s">
        <v>8</v>
      </c>
      <c r="P725">
        <f t="shared" si="999"/>
        <v>-8.2644628099210332E-3</v>
      </c>
      <c r="Q725">
        <f t="shared" si="1000"/>
        <v>-17943.983801660877</v>
      </c>
      <c r="R725">
        <f t="shared" si="1001"/>
        <v>-18924430.598025601</v>
      </c>
      <c r="S725">
        <f t="shared" si="1002"/>
        <v>-189.244305980256</v>
      </c>
      <c r="T725">
        <f t="shared" si="1003"/>
        <v>-0.18924430598025599</v>
      </c>
    </row>
    <row r="726" spans="1:20" x14ac:dyDescent="0.25">
      <c r="A726" s="5">
        <v>43867</v>
      </c>
      <c r="B726">
        <v>0.30009999999999998</v>
      </c>
      <c r="C726">
        <v>0.32219999999999999</v>
      </c>
      <c r="D726">
        <v>0.28289999999999998</v>
      </c>
      <c r="E726">
        <v>0.29010000000000002</v>
      </c>
      <c r="F726">
        <v>3493504.23</v>
      </c>
      <c r="G726">
        <v>0</v>
      </c>
      <c r="L726" t="s">
        <v>8</v>
      </c>
      <c r="M726" t="s">
        <v>7</v>
      </c>
      <c r="N726" t="s">
        <v>8</v>
      </c>
      <c r="P726">
        <f t="shared" si="999"/>
        <v>-0.63358778625953993</v>
      </c>
      <c r="Q726">
        <f t="shared" si="1000"/>
        <v>-2213441.6113740387</v>
      </c>
      <c r="R726">
        <f t="shared" si="1001"/>
        <v>-18906486.614223942</v>
      </c>
      <c r="S726">
        <f t="shared" si="1002"/>
        <v>-189.06486614223942</v>
      </c>
      <c r="T726">
        <f t="shared" si="1003"/>
        <v>-0.18906486614223941</v>
      </c>
    </row>
    <row r="727" spans="1:20" x14ac:dyDescent="0.25">
      <c r="A727" s="5">
        <v>43866</v>
      </c>
      <c r="B727">
        <v>0.3352</v>
      </c>
      <c r="C727">
        <v>0.3367</v>
      </c>
      <c r="D727">
        <v>0.27800000000000002</v>
      </c>
      <c r="E727">
        <v>0.3009</v>
      </c>
      <c r="F727">
        <v>3934723.5</v>
      </c>
      <c r="G727">
        <v>0</v>
      </c>
      <c r="L727" t="s">
        <v>7</v>
      </c>
      <c r="M727" t="s">
        <v>7</v>
      </c>
      <c r="N727" t="s">
        <v>8</v>
      </c>
      <c r="P727">
        <f t="shared" si="999"/>
        <v>-0.21976149914821172</v>
      </c>
      <c r="Q727">
        <f t="shared" si="1000"/>
        <v>-864700.7350936986</v>
      </c>
      <c r="R727">
        <f t="shared" si="1001"/>
        <v>-16693045.002849905</v>
      </c>
      <c r="S727">
        <f t="shared" si="1002"/>
        <v>-166.93045002849905</v>
      </c>
      <c r="T727">
        <f t="shared" si="1003"/>
        <v>-0.16693045002849904</v>
      </c>
    </row>
    <row r="728" spans="1:20" x14ac:dyDescent="0.25">
      <c r="A728" s="5">
        <v>43865</v>
      </c>
      <c r="B728">
        <v>0.2671</v>
      </c>
      <c r="C728">
        <v>0.3659</v>
      </c>
      <c r="D728">
        <v>0.26629999999999998</v>
      </c>
      <c r="E728">
        <v>0.33510000000000001</v>
      </c>
      <c r="F728">
        <v>8884845.6199999992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0.38152610441767093</v>
      </c>
      <c r="Q728">
        <f t="shared" si="1000"/>
        <v>3389800.537751006</v>
      </c>
      <c r="R728">
        <f t="shared" si="1001"/>
        <v>-15828344.267756207</v>
      </c>
      <c r="S728">
        <f t="shared" si="1002"/>
        <v>-158.28344267756208</v>
      </c>
      <c r="T728">
        <f t="shared" si="1003"/>
        <v>-0.15828344267756209</v>
      </c>
    </row>
    <row r="729" spans="1:20" x14ac:dyDescent="0.25">
      <c r="A729" s="5">
        <v>43864</v>
      </c>
      <c r="B729">
        <v>0.25269999999999998</v>
      </c>
      <c r="C729">
        <v>0.27260000000000001</v>
      </c>
      <c r="D729">
        <v>0.24340000000000001</v>
      </c>
      <c r="E729">
        <v>0.26650000000000001</v>
      </c>
      <c r="F729">
        <v>2074333.55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0.58219178082191825</v>
      </c>
      <c r="Q729">
        <f t="shared" si="1000"/>
        <v>1207659.9434931516</v>
      </c>
      <c r="R729">
        <f t="shared" si="1001"/>
        <v>-19218144.805507213</v>
      </c>
      <c r="S729">
        <f t="shared" si="1002"/>
        <v>-192.18144805507214</v>
      </c>
      <c r="T729">
        <f t="shared" si="1003"/>
        <v>-0.19218144805507215</v>
      </c>
    </row>
    <row r="730" spans="1:20" x14ac:dyDescent="0.25">
      <c r="A730" s="5">
        <v>43863</v>
      </c>
      <c r="B730">
        <v>0.2271</v>
      </c>
      <c r="C730">
        <v>0.26700000000000002</v>
      </c>
      <c r="D730">
        <v>0.22500000000000001</v>
      </c>
      <c r="E730">
        <v>0.25290000000000001</v>
      </c>
      <c r="F730">
        <v>2248744.87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0.32857142857142868</v>
      </c>
      <c r="Q730">
        <f t="shared" si="1000"/>
        <v>738873.31442857173</v>
      </c>
      <c r="R730">
        <f t="shared" si="1001"/>
        <v>-20425804.749000363</v>
      </c>
      <c r="S730">
        <f t="shared" si="1002"/>
        <v>-204.25804749000363</v>
      </c>
      <c r="T730">
        <f t="shared" si="1003"/>
        <v>-0.20425804749000365</v>
      </c>
    </row>
    <row r="731" spans="1:20" x14ac:dyDescent="0.25">
      <c r="A731" s="5">
        <v>43862</v>
      </c>
      <c r="B731">
        <v>0.22670000000000001</v>
      </c>
      <c r="C731">
        <v>0.24740000000000001</v>
      </c>
      <c r="D731">
        <v>0.21410000000000001</v>
      </c>
      <c r="E731">
        <v>0.2278</v>
      </c>
      <c r="F731">
        <v>2825475.83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-0.17717717717717768</v>
      </c>
      <c r="Q731">
        <f t="shared" si="1000"/>
        <v>-500609.8317417432</v>
      </c>
      <c r="R731">
        <f t="shared" si="1001"/>
        <v>-21164678.063428935</v>
      </c>
      <c r="S731">
        <f t="shared" si="1002"/>
        <v>-211.64678063428934</v>
      </c>
      <c r="T731">
        <f t="shared" si="1003"/>
        <v>-0.21164678063428935</v>
      </c>
    </row>
    <row r="732" spans="1:20" x14ac:dyDescent="0.25">
      <c r="A732" s="5">
        <v>43861</v>
      </c>
      <c r="B732">
        <v>0.19350000000000001</v>
      </c>
      <c r="C732">
        <v>0.23699999999999999</v>
      </c>
      <c r="D732">
        <v>0.19209999999999999</v>
      </c>
      <c r="E732">
        <v>0.22620000000000001</v>
      </c>
      <c r="F732">
        <v>3153264.98</v>
      </c>
      <c r="G732">
        <v>0</v>
      </c>
      <c r="L732" t="s">
        <v>8</v>
      </c>
      <c r="M732" t="s">
        <v>8</v>
      </c>
      <c r="N732" t="s">
        <v>7</v>
      </c>
      <c r="P732">
        <f t="shared" si="999"/>
        <v>0.51893095768374264</v>
      </c>
      <c r="Q732">
        <f t="shared" si="1000"/>
        <v>1636326.8159020075</v>
      </c>
      <c r="R732">
        <f t="shared" si="1001"/>
        <v>-20664068.231687192</v>
      </c>
      <c r="S732">
        <f t="shared" si="1002"/>
        <v>-206.64068231687193</v>
      </c>
      <c r="T732">
        <f t="shared" si="1003"/>
        <v>-0.20664068231687194</v>
      </c>
    </row>
    <row r="733" spans="1:20" x14ac:dyDescent="0.25">
      <c r="A733" s="5">
        <v>43860</v>
      </c>
      <c r="B733">
        <v>0.1923</v>
      </c>
      <c r="C733">
        <v>0.1991</v>
      </c>
      <c r="D733">
        <v>0.19009999999999999</v>
      </c>
      <c r="E733">
        <v>0.19350000000000001</v>
      </c>
      <c r="F733">
        <v>1166550.8600000001</v>
      </c>
      <c r="G733">
        <v>0</v>
      </c>
      <c r="L733" t="s">
        <v>8</v>
      </c>
      <c r="M733" t="s">
        <v>8</v>
      </c>
      <c r="N733" t="s">
        <v>7</v>
      </c>
      <c r="P733">
        <f t="shared" si="999"/>
        <v>-0.24444444444444197</v>
      </c>
      <c r="Q733">
        <f t="shared" si="1000"/>
        <v>-285156.87688888604</v>
      </c>
      <c r="R733">
        <f t="shared" si="1001"/>
        <v>-22300395.047589198</v>
      </c>
      <c r="S733">
        <f t="shared" si="1002"/>
        <v>-223.00395047589197</v>
      </c>
      <c r="T733">
        <f t="shared" si="1003"/>
        <v>-0.22300395047589197</v>
      </c>
    </row>
    <row r="734" spans="1:20" x14ac:dyDescent="0.25">
      <c r="A734" s="5">
        <v>43859</v>
      </c>
      <c r="B734">
        <v>0.187</v>
      </c>
      <c r="C734">
        <v>0.19600000000000001</v>
      </c>
      <c r="D734">
        <v>0.185</v>
      </c>
      <c r="E734">
        <v>0.19239999999999999</v>
      </c>
      <c r="F734">
        <v>772139.31</v>
      </c>
      <c r="G734">
        <v>0</v>
      </c>
      <c r="L734" t="s">
        <v>7</v>
      </c>
      <c r="M734" t="s">
        <v>8</v>
      </c>
      <c r="N734" t="s">
        <v>7</v>
      </c>
      <c r="P734">
        <f t="shared" si="999"/>
        <v>0.34545454545454241</v>
      </c>
      <c r="Q734">
        <f t="shared" si="1000"/>
        <v>266739.03436363401</v>
      </c>
      <c r="R734">
        <f t="shared" si="1001"/>
        <v>-22015238.170700312</v>
      </c>
      <c r="S734">
        <f t="shared" si="1002"/>
        <v>-220.15238170700312</v>
      </c>
      <c r="T734">
        <f t="shared" si="1003"/>
        <v>-0.2201523817070031</v>
      </c>
    </row>
    <row r="735" spans="1:20" x14ac:dyDescent="0.25">
      <c r="A735" s="5">
        <v>43858</v>
      </c>
      <c r="B735">
        <v>0.18779999999999999</v>
      </c>
      <c r="C735">
        <v>0.1915</v>
      </c>
      <c r="D735">
        <v>0.1847</v>
      </c>
      <c r="E735">
        <v>0.18690000000000001</v>
      </c>
      <c r="F735">
        <v>936139.23</v>
      </c>
      <c r="G735">
        <v>0</v>
      </c>
      <c r="L735" t="s">
        <v>7</v>
      </c>
      <c r="M735" t="s">
        <v>8</v>
      </c>
      <c r="N735" t="s">
        <v>7</v>
      </c>
      <c r="P735">
        <f t="shared" si="999"/>
        <v>-0.35294117647058609</v>
      </c>
      <c r="Q735">
        <f t="shared" si="1000"/>
        <v>-330402.08117646858</v>
      </c>
      <c r="R735">
        <f t="shared" si="1001"/>
        <v>-22281977.205063947</v>
      </c>
      <c r="S735">
        <f t="shared" si="1002"/>
        <v>-222.81977205063947</v>
      </c>
      <c r="T735">
        <f t="shared" si="1003"/>
        <v>-0.22281977205063946</v>
      </c>
    </row>
    <row r="736" spans="1:20" x14ac:dyDescent="0.25">
      <c r="A736" s="5">
        <v>43857</v>
      </c>
      <c r="B736">
        <v>0.19289999999999999</v>
      </c>
      <c r="C736">
        <v>0.19450000000000001</v>
      </c>
      <c r="D736">
        <v>0.18740000000000001</v>
      </c>
      <c r="E736">
        <v>0.18740000000000001</v>
      </c>
      <c r="F736">
        <v>1187760.07</v>
      </c>
      <c r="G736">
        <v>0</v>
      </c>
      <c r="L736" t="s">
        <v>7</v>
      </c>
      <c r="M736" t="s">
        <v>8</v>
      </c>
      <c r="N736" t="s">
        <v>7</v>
      </c>
      <c r="P736">
        <f t="shared" si="999"/>
        <v>-1</v>
      </c>
      <c r="Q736">
        <f t="shared" si="1000"/>
        <v>-1187760.07</v>
      </c>
      <c r="R736">
        <f t="shared" si="1001"/>
        <v>-21951575.123887479</v>
      </c>
      <c r="S736">
        <f t="shared" si="1002"/>
        <v>-219.5157512388748</v>
      </c>
      <c r="T736">
        <f t="shared" si="1003"/>
        <v>-0.21951575123887479</v>
      </c>
    </row>
    <row r="737" spans="1:20" x14ac:dyDescent="0.25">
      <c r="A737" s="5">
        <v>43856</v>
      </c>
      <c r="B737">
        <v>0.19520000000000001</v>
      </c>
      <c r="C737">
        <v>0.2024</v>
      </c>
      <c r="D737">
        <v>0.19120000000000001</v>
      </c>
      <c r="E737">
        <v>0.193</v>
      </c>
      <c r="F737">
        <v>943094.92</v>
      </c>
      <c r="G737">
        <v>0</v>
      </c>
      <c r="L737" t="s">
        <v>8</v>
      </c>
      <c r="M737" t="s">
        <v>8</v>
      </c>
      <c r="N737" t="s">
        <v>7</v>
      </c>
      <c r="P737">
        <f t="shared" si="999"/>
        <v>-0.67857142857142894</v>
      </c>
      <c r="Q737">
        <f t="shared" si="1000"/>
        <v>-639957.26714285754</v>
      </c>
      <c r="R737">
        <f t="shared" si="1001"/>
        <v>-20763815.053887479</v>
      </c>
      <c r="S737">
        <f t="shared" si="1002"/>
        <v>-207.63815053887478</v>
      </c>
      <c r="T737">
        <f t="shared" si="1003"/>
        <v>-0.20763815053887477</v>
      </c>
    </row>
    <row r="738" spans="1:20" x14ac:dyDescent="0.25">
      <c r="A738" s="5">
        <v>43855</v>
      </c>
      <c r="B738">
        <v>0.193</v>
      </c>
      <c r="C738">
        <v>0.2019</v>
      </c>
      <c r="D738">
        <v>0.185</v>
      </c>
      <c r="E738">
        <v>0.1953</v>
      </c>
      <c r="F738">
        <v>1118597.6599999999</v>
      </c>
      <c r="G738">
        <v>0</v>
      </c>
      <c r="L738" t="s">
        <v>8</v>
      </c>
      <c r="M738" t="s">
        <v>8</v>
      </c>
      <c r="N738" t="s">
        <v>7</v>
      </c>
      <c r="P738">
        <f t="shared" si="999"/>
        <v>0.21893491124260409</v>
      </c>
      <c r="Q738">
        <f t="shared" si="1000"/>
        <v>244900.0794082846</v>
      </c>
      <c r="R738">
        <f t="shared" si="1001"/>
        <v>-20123857.786744621</v>
      </c>
      <c r="S738">
        <f t="shared" si="1002"/>
        <v>-201.2385778674462</v>
      </c>
      <c r="T738">
        <f t="shared" si="1003"/>
        <v>-0.2012385778674462</v>
      </c>
    </row>
    <row r="739" spans="1:20" x14ac:dyDescent="0.25">
      <c r="A739" s="5">
        <v>43854</v>
      </c>
      <c r="B739">
        <v>0.18379999999999999</v>
      </c>
      <c r="C739">
        <v>0.19850000000000001</v>
      </c>
      <c r="D739">
        <v>0.17710000000000001</v>
      </c>
      <c r="E739">
        <v>0.19209999999999999</v>
      </c>
      <c r="F739">
        <v>2155340.34</v>
      </c>
      <c r="G739">
        <v>0</v>
      </c>
      <c r="L739" t="s">
        <v>8</v>
      </c>
      <c r="M739" t="s">
        <v>8</v>
      </c>
      <c r="N739" t="s">
        <v>7</v>
      </c>
      <c r="P739">
        <f t="shared" si="999"/>
        <v>0.40186915887850316</v>
      </c>
      <c r="Q739">
        <f t="shared" si="1000"/>
        <v>866164.80953270698</v>
      </c>
      <c r="R739">
        <f t="shared" si="1001"/>
        <v>-20368757.866152905</v>
      </c>
      <c r="S739">
        <f t="shared" si="1002"/>
        <v>-203.68757866152905</v>
      </c>
      <c r="T739">
        <f t="shared" si="1003"/>
        <v>-0.20368757866152903</v>
      </c>
    </row>
    <row r="740" spans="1:20" x14ac:dyDescent="0.25">
      <c r="A740" s="5">
        <v>43853</v>
      </c>
      <c r="B740">
        <v>0.18410000000000001</v>
      </c>
      <c r="C740">
        <v>0.1905</v>
      </c>
      <c r="D740">
        <v>0.17530000000000001</v>
      </c>
      <c r="E740">
        <v>0.18379999999999999</v>
      </c>
      <c r="F740">
        <v>1014045.25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0.11842105263157693</v>
      </c>
      <c r="Q740">
        <f t="shared" si="1000"/>
        <v>120084.30592105059</v>
      </c>
      <c r="R740">
        <f t="shared" si="1001"/>
        <v>-21234922.675685611</v>
      </c>
      <c r="S740">
        <f t="shared" si="1002"/>
        <v>-212.3492267568561</v>
      </c>
      <c r="T740">
        <f t="shared" si="1003"/>
        <v>-0.21234922675685611</v>
      </c>
    </row>
    <row r="741" spans="1:20" x14ac:dyDescent="0.25">
      <c r="A741" s="5">
        <v>43852</v>
      </c>
      <c r="B741">
        <v>0.18990000000000001</v>
      </c>
      <c r="C741">
        <v>0.1903</v>
      </c>
      <c r="D741">
        <v>0.1825</v>
      </c>
      <c r="E741">
        <v>0.18490000000000001</v>
      </c>
      <c r="F741">
        <v>557141.31000000006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-0.38461538461538131</v>
      </c>
      <c r="Q741">
        <f t="shared" si="1000"/>
        <v>-214285.11923076742</v>
      </c>
      <c r="R741">
        <f t="shared" si="1001"/>
        <v>-21355006.981606662</v>
      </c>
      <c r="S741">
        <f t="shared" si="1002"/>
        <v>-213.55006981606661</v>
      </c>
      <c r="T741">
        <f t="shared" si="1003"/>
        <v>-0.21355006981606661</v>
      </c>
    </row>
    <row r="742" spans="1:20" x14ac:dyDescent="0.25">
      <c r="A742" s="5">
        <v>43851</v>
      </c>
      <c r="B742">
        <v>0.18959999999999999</v>
      </c>
      <c r="C742">
        <v>0.19389999999999999</v>
      </c>
      <c r="D742">
        <v>0.18390000000000001</v>
      </c>
      <c r="E742">
        <v>0.18959999999999999</v>
      </c>
      <c r="F742">
        <v>755692.44</v>
      </c>
      <c r="G742">
        <v>0</v>
      </c>
      <c r="L742" t="s">
        <v>8</v>
      </c>
      <c r="M742" t="s">
        <v>8</v>
      </c>
      <c r="N742" t="s">
        <v>7</v>
      </c>
      <c r="P742">
        <f t="shared" si="999"/>
        <v>0.13999999999999874</v>
      </c>
      <c r="Q742">
        <f t="shared" si="1000"/>
        <v>105796.94159999903</v>
      </c>
      <c r="R742">
        <f t="shared" si="1001"/>
        <v>-21140721.862375896</v>
      </c>
      <c r="S742">
        <f t="shared" si="1002"/>
        <v>-211.40721862375895</v>
      </c>
      <c r="T742">
        <f t="shared" si="1003"/>
        <v>-0.21140721862375894</v>
      </c>
    </row>
    <row r="743" spans="1:20" x14ac:dyDescent="0.25">
      <c r="A743" s="5">
        <v>43850</v>
      </c>
      <c r="B743">
        <v>0.18129999999999999</v>
      </c>
      <c r="C743">
        <v>0.19259999999999999</v>
      </c>
      <c r="D743">
        <v>0.17660000000000001</v>
      </c>
      <c r="E743">
        <v>0.1898</v>
      </c>
      <c r="F743">
        <v>954380.01</v>
      </c>
      <c r="G743">
        <v>0</v>
      </c>
      <c r="L743" t="s">
        <v>8</v>
      </c>
      <c r="M743" t="s">
        <v>8</v>
      </c>
      <c r="N743" t="s">
        <v>7</v>
      </c>
      <c r="P743">
        <f t="shared" si="999"/>
        <v>0.65000000000000013</v>
      </c>
      <c r="Q743">
        <f t="shared" si="1000"/>
        <v>620347.00650000013</v>
      </c>
      <c r="R743">
        <f t="shared" si="1001"/>
        <v>-21246518.803975895</v>
      </c>
      <c r="S743">
        <f t="shared" si="1002"/>
        <v>-212.46518803975894</v>
      </c>
      <c r="T743">
        <f t="shared" si="1003"/>
        <v>-0.21246518803975895</v>
      </c>
    </row>
    <row r="744" spans="1:20" x14ac:dyDescent="0.25">
      <c r="A744" s="5">
        <v>43849</v>
      </c>
      <c r="B744">
        <v>0.19700000000000001</v>
      </c>
      <c r="C744">
        <v>0.19989999999999999</v>
      </c>
      <c r="D744">
        <v>0.1774</v>
      </c>
      <c r="E744">
        <v>0.18140000000000001</v>
      </c>
      <c r="F744">
        <v>949609.28</v>
      </c>
      <c r="G744">
        <v>0</v>
      </c>
      <c r="L744" t="s">
        <v>7</v>
      </c>
      <c r="M744" t="s">
        <v>8</v>
      </c>
      <c r="N744" t="s">
        <v>7</v>
      </c>
      <c r="P744">
        <f t="shared" si="999"/>
        <v>-0.64444444444444404</v>
      </c>
      <c r="Q744">
        <f t="shared" si="1000"/>
        <v>-611970.42488888849</v>
      </c>
      <c r="R744">
        <f t="shared" si="1001"/>
        <v>-21866865.810475893</v>
      </c>
      <c r="S744">
        <f t="shared" si="1002"/>
        <v>-218.66865810475895</v>
      </c>
      <c r="T744">
        <f t="shared" si="1003"/>
        <v>-0.21866865810475894</v>
      </c>
    </row>
    <row r="745" spans="1:20" x14ac:dyDescent="0.25">
      <c r="A745" s="5">
        <v>43848</v>
      </c>
      <c r="B745">
        <v>0.19220000000000001</v>
      </c>
      <c r="C745">
        <v>0.20369999999999999</v>
      </c>
      <c r="D745">
        <v>0.18990000000000001</v>
      </c>
      <c r="E745">
        <v>0.19700000000000001</v>
      </c>
      <c r="F745">
        <v>3379641.32</v>
      </c>
      <c r="G745">
        <v>0</v>
      </c>
      <c r="L745" t="s">
        <v>8</v>
      </c>
      <c r="M745" t="s">
        <v>8</v>
      </c>
      <c r="N745" t="s">
        <v>7</v>
      </c>
      <c r="P745">
        <f t="shared" si="999"/>
        <v>2.8985507246377686E-2</v>
      </c>
      <c r="Q745">
        <f t="shared" si="1000"/>
        <v>97960.617971017447</v>
      </c>
      <c r="R745">
        <f t="shared" si="1001"/>
        <v>-21254895.385587003</v>
      </c>
      <c r="S745">
        <f t="shared" si="1002"/>
        <v>-212.54895385587002</v>
      </c>
      <c r="T745">
        <f t="shared" si="1003"/>
        <v>-0.21254895385587003</v>
      </c>
    </row>
    <row r="746" spans="1:20" x14ac:dyDescent="0.25">
      <c r="A746" s="5">
        <v>43847</v>
      </c>
      <c r="B746">
        <v>0.18640000000000001</v>
      </c>
      <c r="C746">
        <v>0.1943</v>
      </c>
      <c r="D746">
        <v>0.1827</v>
      </c>
      <c r="E746">
        <v>0.1923</v>
      </c>
      <c r="F746">
        <v>1522896.22</v>
      </c>
      <c r="G746">
        <v>0</v>
      </c>
      <c r="L746" t="s">
        <v>8</v>
      </c>
      <c r="M746" t="s">
        <v>7</v>
      </c>
      <c r="N746" t="s">
        <v>7</v>
      </c>
      <c r="P746">
        <f t="shared" si="999"/>
        <v>0.65517241379310309</v>
      </c>
      <c r="Q746">
        <f t="shared" si="1000"/>
        <v>997759.5924137925</v>
      </c>
      <c r="R746">
        <f t="shared" si="1001"/>
        <v>-21352856.003558021</v>
      </c>
      <c r="S746">
        <f t="shared" si="1002"/>
        <v>-213.5285600355802</v>
      </c>
      <c r="T746">
        <f t="shared" si="1003"/>
        <v>-0.21352856003558021</v>
      </c>
    </row>
    <row r="747" spans="1:20" x14ac:dyDescent="0.25">
      <c r="A747" s="5">
        <v>43846</v>
      </c>
      <c r="B747">
        <v>0.18440000000000001</v>
      </c>
      <c r="C747">
        <v>0.1915</v>
      </c>
      <c r="D747">
        <v>0.1764</v>
      </c>
      <c r="E747">
        <v>0.186</v>
      </c>
      <c r="F747">
        <v>1840155.97</v>
      </c>
      <c r="G747">
        <v>0</v>
      </c>
      <c r="L747" t="s">
        <v>8</v>
      </c>
      <c r="M747" t="s">
        <v>7</v>
      </c>
      <c r="N747" t="s">
        <v>7</v>
      </c>
      <c r="P747">
        <f t="shared" si="999"/>
        <v>0.27152317880794646</v>
      </c>
      <c r="Q747">
        <f t="shared" si="1000"/>
        <v>499644.99847682018</v>
      </c>
      <c r="R747">
        <f t="shared" si="1001"/>
        <v>-22350615.595971815</v>
      </c>
      <c r="S747">
        <f t="shared" si="1002"/>
        <v>-223.50615595971814</v>
      </c>
      <c r="T747">
        <f t="shared" si="1003"/>
        <v>-0.22350615595971815</v>
      </c>
    </row>
    <row r="748" spans="1:20" x14ac:dyDescent="0.25">
      <c r="A748" s="5">
        <v>43845</v>
      </c>
      <c r="B748">
        <v>0.17680000000000001</v>
      </c>
      <c r="C748">
        <v>0.18490000000000001</v>
      </c>
      <c r="D748">
        <v>0.17230000000000001</v>
      </c>
      <c r="E748">
        <v>0.18440000000000001</v>
      </c>
      <c r="F748">
        <v>1903413.71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0.92063492063492058</v>
      </c>
      <c r="Q748">
        <f t="shared" si="1000"/>
        <v>1752349.1298412697</v>
      </c>
      <c r="R748">
        <f t="shared" si="1001"/>
        <v>-22850260.594448637</v>
      </c>
      <c r="S748">
        <f t="shared" si="1002"/>
        <v>-228.50260594448636</v>
      </c>
      <c r="T748">
        <f t="shared" si="1003"/>
        <v>-0.22850260594448638</v>
      </c>
    </row>
    <row r="749" spans="1:20" x14ac:dyDescent="0.25">
      <c r="A749" s="5">
        <v>43844</v>
      </c>
      <c r="B749">
        <v>0.17030000000000001</v>
      </c>
      <c r="C749">
        <v>0.17810000000000001</v>
      </c>
      <c r="D749">
        <v>0.16750000000000001</v>
      </c>
      <c r="E749">
        <v>0.17680000000000001</v>
      </c>
      <c r="F749">
        <v>1630174.49</v>
      </c>
      <c r="G749">
        <v>0</v>
      </c>
      <c r="L749" t="s">
        <v>7</v>
      </c>
      <c r="M749" t="s">
        <v>7</v>
      </c>
      <c r="N749" t="s">
        <v>7</v>
      </c>
      <c r="P749">
        <f t="shared" si="999"/>
        <v>0.7547169811320763</v>
      </c>
      <c r="Q749">
        <f t="shared" si="1000"/>
        <v>1230320.3698113221</v>
      </c>
      <c r="R749">
        <f t="shared" si="1001"/>
        <v>-24602609.724289905</v>
      </c>
      <c r="S749">
        <f t="shared" si="1002"/>
        <v>-246.02609724289906</v>
      </c>
      <c r="T749">
        <f t="shared" si="1003"/>
        <v>-0.24602609724289906</v>
      </c>
    </row>
    <row r="750" spans="1:20" x14ac:dyDescent="0.25">
      <c r="A750" s="5">
        <v>43843</v>
      </c>
      <c r="B750">
        <v>0.16919999999999999</v>
      </c>
      <c r="C750">
        <v>0.17199999999999999</v>
      </c>
      <c r="D750">
        <v>0.16600000000000001</v>
      </c>
      <c r="E750">
        <v>0.17030000000000001</v>
      </c>
      <c r="F750">
        <v>745618.49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0.43333333333333812</v>
      </c>
      <c r="Q750">
        <f t="shared" si="1000"/>
        <v>323101.34566667024</v>
      </c>
      <c r="R750">
        <f t="shared" si="1001"/>
        <v>-25832930.094101228</v>
      </c>
      <c r="S750">
        <f t="shared" si="1002"/>
        <v>-258.32930094101226</v>
      </c>
      <c r="T750">
        <f t="shared" si="1003"/>
        <v>-0.25832930094101225</v>
      </c>
    </row>
    <row r="751" spans="1:20" x14ac:dyDescent="0.25">
      <c r="A751" s="5">
        <v>43842</v>
      </c>
      <c r="B751">
        <v>0.16739999999999999</v>
      </c>
      <c r="C751">
        <v>0.17299999999999999</v>
      </c>
      <c r="D751">
        <v>0.16689999999999999</v>
      </c>
      <c r="E751">
        <v>0.1691</v>
      </c>
      <c r="F751">
        <v>824673.92</v>
      </c>
      <c r="G751">
        <v>0</v>
      </c>
      <c r="L751" t="s">
        <v>7</v>
      </c>
      <c r="M751" t="s">
        <v>7</v>
      </c>
      <c r="N751" t="s">
        <v>7</v>
      </c>
      <c r="P751">
        <f t="shared" si="999"/>
        <v>-0.2786885245901608</v>
      </c>
      <c r="Q751">
        <f t="shared" si="1000"/>
        <v>-229827.15803278433</v>
      </c>
      <c r="R751">
        <f t="shared" si="1001"/>
        <v>-26156031.439767897</v>
      </c>
      <c r="S751">
        <f t="shared" si="1002"/>
        <v>-261.56031439767895</v>
      </c>
      <c r="T751">
        <f t="shared" si="1003"/>
        <v>-0.26156031439767896</v>
      </c>
    </row>
    <row r="752" spans="1:20" x14ac:dyDescent="0.25">
      <c r="A752" s="5">
        <v>43841</v>
      </c>
      <c r="B752">
        <v>0.17100000000000001</v>
      </c>
      <c r="C752">
        <v>0.17150000000000001</v>
      </c>
      <c r="D752">
        <v>0.1658</v>
      </c>
      <c r="E752">
        <v>0.16739999999999999</v>
      </c>
      <c r="F752">
        <v>906012.21</v>
      </c>
      <c r="G752">
        <v>0</v>
      </c>
      <c r="L752" t="s">
        <v>7</v>
      </c>
      <c r="M752" t="s">
        <v>7</v>
      </c>
      <c r="N752" t="s">
        <v>7</v>
      </c>
      <c r="P752">
        <f t="shared" si="999"/>
        <v>-0.43859649122807459</v>
      </c>
      <c r="Q752">
        <f t="shared" si="1000"/>
        <v>-397373.77631579345</v>
      </c>
      <c r="R752">
        <f t="shared" si="1001"/>
        <v>-25926204.281735111</v>
      </c>
      <c r="S752">
        <f t="shared" si="1002"/>
        <v>-259.26204281735113</v>
      </c>
      <c r="T752">
        <f t="shared" si="1003"/>
        <v>-0.25926204281735116</v>
      </c>
    </row>
    <row r="753" spans="1:20" x14ac:dyDescent="0.25">
      <c r="A753" s="5">
        <v>43840</v>
      </c>
      <c r="B753">
        <v>0.1678</v>
      </c>
      <c r="C753">
        <v>0.17199999999999999</v>
      </c>
      <c r="D753">
        <v>0.1666</v>
      </c>
      <c r="E753">
        <v>0.1709</v>
      </c>
      <c r="F753">
        <v>667289.71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0.59259259259259545</v>
      </c>
      <c r="Q753">
        <f t="shared" si="1000"/>
        <v>395430.93925926113</v>
      </c>
      <c r="R753">
        <f t="shared" si="1001"/>
        <v>-25528830.505419318</v>
      </c>
      <c r="S753">
        <f t="shared" si="1002"/>
        <v>-255.28830505419319</v>
      </c>
      <c r="T753">
        <f t="shared" si="1003"/>
        <v>-0.2552883050541932</v>
      </c>
    </row>
    <row r="754" spans="1:20" x14ac:dyDescent="0.25">
      <c r="A754" s="5">
        <v>43839</v>
      </c>
      <c r="B754">
        <v>0.1729</v>
      </c>
      <c r="C754">
        <v>0.17419999999999999</v>
      </c>
      <c r="D754">
        <v>0.1661</v>
      </c>
      <c r="E754">
        <v>0.1678</v>
      </c>
      <c r="F754">
        <v>611939.49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-0.58024691358024494</v>
      </c>
      <c r="Q754">
        <f t="shared" si="1000"/>
        <v>-355076.00037036918</v>
      </c>
      <c r="R754">
        <f t="shared" si="1001"/>
        <v>-25924261.444678579</v>
      </c>
      <c r="S754">
        <f t="shared" si="1002"/>
        <v>-259.24261444678581</v>
      </c>
      <c r="T754">
        <f t="shared" si="1003"/>
        <v>-0.25924261444678581</v>
      </c>
    </row>
    <row r="755" spans="1:20" x14ac:dyDescent="0.25">
      <c r="A755" s="5">
        <v>43838</v>
      </c>
      <c r="B755">
        <v>0.1701</v>
      </c>
      <c r="C755">
        <v>0.1757</v>
      </c>
      <c r="D755">
        <v>0.1681</v>
      </c>
      <c r="E755">
        <v>0.17419999999999999</v>
      </c>
      <c r="F755">
        <v>973149.15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0.60526315789473628</v>
      </c>
      <c r="Q755">
        <f t="shared" si="1000"/>
        <v>589011.32763157843</v>
      </c>
      <c r="R755">
        <f t="shared" si="1001"/>
        <v>-25569185.44430821</v>
      </c>
      <c r="S755">
        <f t="shared" si="1002"/>
        <v>-255.69185444308209</v>
      </c>
      <c r="T755">
        <f t="shared" si="1003"/>
        <v>-0.25569185444308207</v>
      </c>
    </row>
    <row r="756" spans="1:20" x14ac:dyDescent="0.25">
      <c r="A756" s="5">
        <v>43837</v>
      </c>
      <c r="B756">
        <v>0.18029999999999999</v>
      </c>
      <c r="C756">
        <v>0.18390000000000001</v>
      </c>
      <c r="D756">
        <v>0.1678</v>
      </c>
      <c r="E756">
        <v>0.1701</v>
      </c>
      <c r="F756">
        <v>1698680.21</v>
      </c>
      <c r="G756">
        <v>0</v>
      </c>
      <c r="L756" t="s">
        <v>7</v>
      </c>
      <c r="M756" t="s">
        <v>7</v>
      </c>
      <c r="N756" t="s">
        <v>7</v>
      </c>
      <c r="P756">
        <f t="shared" si="999"/>
        <v>-0.71428571428571475</v>
      </c>
      <c r="Q756">
        <f t="shared" si="1000"/>
        <v>-1213343.0071428579</v>
      </c>
      <c r="R756">
        <f t="shared" si="1001"/>
        <v>-26158196.771939788</v>
      </c>
      <c r="S756">
        <f t="shared" si="1002"/>
        <v>-261.58196771939788</v>
      </c>
      <c r="T756">
        <f t="shared" si="1003"/>
        <v>-0.2615819677193979</v>
      </c>
    </row>
    <row r="757" spans="1:20" x14ac:dyDescent="0.25">
      <c r="A757" s="5">
        <v>43836</v>
      </c>
      <c r="B757">
        <v>0.17580000000000001</v>
      </c>
      <c r="C757">
        <v>0.1825</v>
      </c>
      <c r="D757">
        <v>0.17499999999999999</v>
      </c>
      <c r="E757">
        <v>0.1802</v>
      </c>
      <c r="F757">
        <v>689145.41</v>
      </c>
      <c r="G757">
        <v>0</v>
      </c>
      <c r="L757" t="s">
        <v>7</v>
      </c>
      <c r="M757" t="s">
        <v>7</v>
      </c>
      <c r="N757" t="s">
        <v>7</v>
      </c>
      <c r="P757">
        <f t="shared" si="999"/>
        <v>0.38666666666666816</v>
      </c>
      <c r="Q757">
        <f t="shared" si="1000"/>
        <v>266469.55853333435</v>
      </c>
      <c r="R757">
        <f t="shared" si="1001"/>
        <v>-24944853.764796931</v>
      </c>
      <c r="S757">
        <f t="shared" si="1002"/>
        <v>-249.44853764796932</v>
      </c>
      <c r="T757">
        <f t="shared" si="1003"/>
        <v>-0.24944853764796932</v>
      </c>
    </row>
    <row r="758" spans="1:20" x14ac:dyDescent="0.25">
      <c r="A758" s="5">
        <v>43835</v>
      </c>
      <c r="B758">
        <v>0.17730000000000001</v>
      </c>
      <c r="C758">
        <v>0.1812</v>
      </c>
      <c r="D758">
        <v>0.17510000000000001</v>
      </c>
      <c r="E758">
        <v>0.1759</v>
      </c>
      <c r="F758">
        <v>480780.47</v>
      </c>
      <c r="G758">
        <v>0</v>
      </c>
      <c r="L758" t="s">
        <v>7</v>
      </c>
      <c r="M758" t="s">
        <v>7</v>
      </c>
      <c r="N758" t="s">
        <v>7</v>
      </c>
      <c r="P758">
        <f t="shared" si="999"/>
        <v>-0.73770491803278826</v>
      </c>
      <c r="Q758">
        <f t="shared" si="1000"/>
        <v>-354674.11721311539</v>
      </c>
      <c r="R758">
        <f t="shared" si="1001"/>
        <v>-25211323.323330265</v>
      </c>
      <c r="S758">
        <f t="shared" si="1002"/>
        <v>-252.11323323330265</v>
      </c>
      <c r="T758">
        <f t="shared" si="1003"/>
        <v>-0.25211323323330265</v>
      </c>
    </row>
    <row r="759" spans="1:20" x14ac:dyDescent="0.25">
      <c r="A759" s="5">
        <v>43834</v>
      </c>
      <c r="B759">
        <v>0.17949999999999999</v>
      </c>
      <c r="C759">
        <v>0.1825</v>
      </c>
      <c r="D759">
        <v>0.17299999999999999</v>
      </c>
      <c r="E759">
        <v>0.17730000000000001</v>
      </c>
      <c r="F759">
        <v>672372.33</v>
      </c>
      <c r="G759">
        <v>0</v>
      </c>
      <c r="L759" t="s">
        <v>7</v>
      </c>
      <c r="M759" t="s">
        <v>7</v>
      </c>
      <c r="N759" t="s">
        <v>7</v>
      </c>
      <c r="P759">
        <f t="shared" si="999"/>
        <v>-9.4736842105258484E-2</v>
      </c>
      <c r="Q759">
        <f t="shared" si="1000"/>
        <v>-63698.431263154751</v>
      </c>
      <c r="R759">
        <f t="shared" si="1001"/>
        <v>-24856649.206117149</v>
      </c>
      <c r="S759">
        <f t="shared" si="1002"/>
        <v>-248.56649206117149</v>
      </c>
      <c r="T759">
        <f t="shared" si="1003"/>
        <v>-0.24856649206117148</v>
      </c>
    </row>
    <row r="760" spans="1:20" x14ac:dyDescent="0.25">
      <c r="A760" s="5">
        <v>43833</v>
      </c>
      <c r="B760">
        <v>0.17330000000000001</v>
      </c>
      <c r="C760">
        <v>0.18990000000000001</v>
      </c>
      <c r="D760">
        <v>0.1709</v>
      </c>
      <c r="E760">
        <v>0.17949999999999999</v>
      </c>
      <c r="F760">
        <v>922487.04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-9.4736842105264327E-2</v>
      </c>
      <c r="Q760">
        <f t="shared" si="1000"/>
        <v>-87393.509052632668</v>
      </c>
      <c r="R760">
        <f t="shared" si="1001"/>
        <v>-24792950.774853993</v>
      </c>
      <c r="S760">
        <f t="shared" si="1002"/>
        <v>-247.92950774853992</v>
      </c>
      <c r="T760">
        <f t="shared" si="1003"/>
        <v>-0.24792950774853992</v>
      </c>
    </row>
    <row r="761" spans="1:20" x14ac:dyDescent="0.25">
      <c r="A761" s="5">
        <v>43832</v>
      </c>
      <c r="B761">
        <v>0.1759</v>
      </c>
      <c r="C761">
        <v>0.1817</v>
      </c>
      <c r="D761">
        <v>0.17050000000000001</v>
      </c>
      <c r="E761">
        <v>0.17319999999999999</v>
      </c>
      <c r="F761">
        <v>643665.51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-0.5178571428571459</v>
      </c>
      <c r="Q761">
        <f t="shared" si="1000"/>
        <v>-333326.78196428769</v>
      </c>
      <c r="R761">
        <f t="shared" si="1001"/>
        <v>-24705557.265801359</v>
      </c>
      <c r="S761">
        <f t="shared" si="1002"/>
        <v>-247.0555726580136</v>
      </c>
      <c r="T761">
        <f t="shared" si="1003"/>
        <v>-0.24705557265801359</v>
      </c>
    </row>
    <row r="762" spans="1:20" x14ac:dyDescent="0.25">
      <c r="A762" s="5">
        <v>43831</v>
      </c>
      <c r="B762">
        <v>0.1719</v>
      </c>
      <c r="C762">
        <v>0.185</v>
      </c>
      <c r="D762">
        <v>0.1714</v>
      </c>
      <c r="E762">
        <v>0.17580000000000001</v>
      </c>
      <c r="F762">
        <v>526941.39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-0.35294117647058609</v>
      </c>
      <c r="Q762">
        <f t="shared" si="1000"/>
        <v>-185979.31411764593</v>
      </c>
      <c r="R762">
        <f t="shared" si="1001"/>
        <v>-24372230.483837072</v>
      </c>
      <c r="S762">
        <f t="shared" si="1002"/>
        <v>-243.72230483837072</v>
      </c>
      <c r="T762">
        <f t="shared" si="1003"/>
        <v>-0.24372230483837071</v>
      </c>
    </row>
    <row r="763" spans="1:20" x14ac:dyDescent="0.25">
      <c r="A763" s="5">
        <v>43830</v>
      </c>
      <c r="B763">
        <v>0.17150000000000001</v>
      </c>
      <c r="C763">
        <v>0.18790000000000001</v>
      </c>
      <c r="D763">
        <v>0.17119999999999999</v>
      </c>
      <c r="E763">
        <v>0.17180000000000001</v>
      </c>
      <c r="F763">
        <v>1944753.16</v>
      </c>
      <c r="G763">
        <v>0</v>
      </c>
      <c r="L763" t="s">
        <v>8</v>
      </c>
      <c r="M763" t="s">
        <v>7</v>
      </c>
      <c r="N763" t="s">
        <v>7</v>
      </c>
      <c r="P763">
        <f t="shared" si="999"/>
        <v>-0.92814371257484829</v>
      </c>
      <c r="Q763">
        <f t="shared" si="1000"/>
        <v>-1805010.4179640678</v>
      </c>
      <c r="R763">
        <f t="shared" si="1001"/>
        <v>-24186251.169719424</v>
      </c>
      <c r="S763">
        <f t="shared" si="1002"/>
        <v>-241.86251169719424</v>
      </c>
      <c r="T763">
        <f t="shared" si="1003"/>
        <v>-0.24186251169719425</v>
      </c>
    </row>
    <row r="764" spans="1:20" x14ac:dyDescent="0.25">
      <c r="A764" s="5">
        <v>43829</v>
      </c>
      <c r="B764">
        <v>0.1706</v>
      </c>
      <c r="C764">
        <v>0.17499999999999999</v>
      </c>
      <c r="D764">
        <v>0.17</v>
      </c>
      <c r="E764">
        <v>0.1731</v>
      </c>
      <c r="F764">
        <v>304916.8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0.24000000000000243</v>
      </c>
      <c r="Q764">
        <f t="shared" si="1000"/>
        <v>73180.032000000734</v>
      </c>
      <c r="R764">
        <f t="shared" si="1001"/>
        <v>-22381240.751755357</v>
      </c>
      <c r="S764">
        <f t="shared" si="1002"/>
        <v>-223.81240751755357</v>
      </c>
      <c r="T764">
        <f t="shared" si="1003"/>
        <v>-0.22381240751755357</v>
      </c>
    </row>
    <row r="765" spans="1:20" x14ac:dyDescent="0.25">
      <c r="A765" s="5">
        <v>43828</v>
      </c>
      <c r="B765">
        <v>0.17150000000000001</v>
      </c>
      <c r="C765">
        <v>0.17499999999999999</v>
      </c>
      <c r="D765">
        <v>0.17</v>
      </c>
      <c r="E765">
        <v>0.17199999999999999</v>
      </c>
      <c r="F765">
        <v>315616.59999999998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-0.20000000000000667</v>
      </c>
      <c r="Q765">
        <f t="shared" si="1000"/>
        <v>-63123.320000002102</v>
      </c>
      <c r="R765">
        <f t="shared" si="1001"/>
        <v>-22454420.783755358</v>
      </c>
      <c r="S765">
        <f t="shared" si="1002"/>
        <v>-224.54420783755359</v>
      </c>
      <c r="T765">
        <f t="shared" si="1003"/>
        <v>-0.22454420783755358</v>
      </c>
    </row>
    <row r="766" spans="1:20" x14ac:dyDescent="0.25">
      <c r="A766" s="5">
        <v>43827</v>
      </c>
      <c r="B766">
        <v>0.1724</v>
      </c>
      <c r="C766">
        <v>0.17580000000000001</v>
      </c>
      <c r="D766">
        <v>0.1694</v>
      </c>
      <c r="E766">
        <v>0.17019999999999999</v>
      </c>
      <c r="F766">
        <v>676681.06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-0.75000000000000222</v>
      </c>
      <c r="Q766">
        <f t="shared" si="1000"/>
        <v>-507510.79500000156</v>
      </c>
      <c r="R766">
        <f t="shared" si="1001"/>
        <v>-22391297.463755358</v>
      </c>
      <c r="S766">
        <f t="shared" si="1002"/>
        <v>-223.91297463755359</v>
      </c>
      <c r="T766">
        <f t="shared" si="1003"/>
        <v>-0.22391297463755358</v>
      </c>
    </row>
    <row r="767" spans="1:20" x14ac:dyDescent="0.25">
      <c r="A767" s="5">
        <v>43826</v>
      </c>
      <c r="B767">
        <v>0.1734</v>
      </c>
      <c r="C767">
        <v>0.1749</v>
      </c>
      <c r="D767">
        <v>0.17019999999999999</v>
      </c>
      <c r="E767">
        <v>0.17230000000000001</v>
      </c>
      <c r="F767">
        <v>270027.63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-0.10638297872339822</v>
      </c>
      <c r="Q767">
        <f t="shared" ref="Q767:Q830" si="1005">F767*P767</f>
        <v>-28726.343617019647</v>
      </c>
      <c r="R767">
        <f t="shared" ref="R767:R830" si="1006">R768+Q767</f>
        <v>-21883786.668755356</v>
      </c>
      <c r="S767">
        <f t="shared" ref="S767:S830" si="1007">R767/100000</f>
        <v>-218.83786668755357</v>
      </c>
      <c r="T767">
        <f t="shared" ref="T767:T830" si="1008">S767/1000</f>
        <v>-0.21883786668755356</v>
      </c>
    </row>
    <row r="768" spans="1:20" x14ac:dyDescent="0.25">
      <c r="A768" s="5">
        <v>43825</v>
      </c>
      <c r="B768">
        <v>0.1777</v>
      </c>
      <c r="C768">
        <v>0.1799</v>
      </c>
      <c r="D768">
        <v>0.1709</v>
      </c>
      <c r="E768">
        <v>0.17330000000000001</v>
      </c>
      <c r="F768">
        <v>495956.87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-0.46666666666666418</v>
      </c>
      <c r="Q768">
        <f t="shared" si="1005"/>
        <v>-231446.5393333321</v>
      </c>
      <c r="R768">
        <f t="shared" si="1006"/>
        <v>-21855060.325138338</v>
      </c>
      <c r="S768">
        <f t="shared" si="1007"/>
        <v>-218.55060325138339</v>
      </c>
      <c r="T768">
        <f t="shared" si="1008"/>
        <v>-0.2185506032513834</v>
      </c>
    </row>
    <row r="769" spans="1:20" x14ac:dyDescent="0.25">
      <c r="A769" s="5">
        <v>43824</v>
      </c>
      <c r="B769">
        <v>0.17610000000000001</v>
      </c>
      <c r="C769">
        <v>0.1777</v>
      </c>
      <c r="D769">
        <v>0.17230000000000001</v>
      </c>
      <c r="E769">
        <v>0.17710000000000001</v>
      </c>
      <c r="F769">
        <v>241231.75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0.77777777777778123</v>
      </c>
      <c r="Q769">
        <f t="shared" si="1005"/>
        <v>187624.69444444528</v>
      </c>
      <c r="R769">
        <f t="shared" si="1006"/>
        <v>-21623613.785805006</v>
      </c>
      <c r="S769">
        <f t="shared" si="1007"/>
        <v>-216.23613785805006</v>
      </c>
      <c r="T769">
        <f t="shared" si="1008"/>
        <v>-0.21623613785805007</v>
      </c>
    </row>
    <row r="770" spans="1:20" x14ac:dyDescent="0.25">
      <c r="A770" s="5">
        <v>43823</v>
      </c>
      <c r="B770">
        <v>0.17430000000000001</v>
      </c>
      <c r="C770">
        <v>0.17960000000000001</v>
      </c>
      <c r="D770">
        <v>0.1734</v>
      </c>
      <c r="E770">
        <v>0.17510000000000001</v>
      </c>
      <c r="F770">
        <v>505836.45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-0.45161290322580516</v>
      </c>
      <c r="Q770">
        <f t="shared" si="1005"/>
        <v>-228442.26774193483</v>
      </c>
      <c r="R770">
        <f t="shared" si="1006"/>
        <v>-21811238.48024945</v>
      </c>
      <c r="S770">
        <f t="shared" si="1007"/>
        <v>-218.11238480249449</v>
      </c>
      <c r="T770">
        <f t="shared" si="1008"/>
        <v>-0.21811238480249448</v>
      </c>
    </row>
    <row r="771" spans="1:20" x14ac:dyDescent="0.25">
      <c r="A771" s="5">
        <v>43822</v>
      </c>
      <c r="B771">
        <v>0.1777</v>
      </c>
      <c r="C771">
        <v>0.17849999999999999</v>
      </c>
      <c r="D771">
        <v>0.17080000000000001</v>
      </c>
      <c r="E771">
        <v>0.17430000000000001</v>
      </c>
      <c r="F771">
        <v>528752.93000000005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-9.0909090909088289E-2</v>
      </c>
      <c r="Q771">
        <f t="shared" si="1005"/>
        <v>-48068.448181816799</v>
      </c>
      <c r="R771">
        <f t="shared" si="1006"/>
        <v>-21582796.212507516</v>
      </c>
      <c r="S771">
        <f t="shared" si="1007"/>
        <v>-215.82796212507517</v>
      </c>
      <c r="T771">
        <f t="shared" si="1008"/>
        <v>-0.21582796212507518</v>
      </c>
    </row>
    <row r="772" spans="1:20" x14ac:dyDescent="0.25">
      <c r="A772" s="5">
        <v>43821</v>
      </c>
      <c r="B772">
        <v>0.17760000000000001</v>
      </c>
      <c r="C772">
        <v>0.18049999999999999</v>
      </c>
      <c r="D772">
        <v>0.17449999999999999</v>
      </c>
      <c r="E772">
        <v>0.17730000000000001</v>
      </c>
      <c r="F772">
        <v>747871.47</v>
      </c>
      <c r="G772">
        <v>0</v>
      </c>
      <c r="L772" t="s">
        <v>7</v>
      </c>
      <c r="M772" t="s">
        <v>8</v>
      </c>
      <c r="N772" t="s">
        <v>7</v>
      </c>
      <c r="P772">
        <f t="shared" si="1004"/>
        <v>-6.6666666666659269E-2</v>
      </c>
      <c r="Q772">
        <f t="shared" si="1005"/>
        <v>-49858.097999994468</v>
      </c>
      <c r="R772">
        <f t="shared" si="1006"/>
        <v>-21534727.764325701</v>
      </c>
      <c r="S772">
        <f t="shared" si="1007"/>
        <v>-215.347277643257</v>
      </c>
      <c r="T772">
        <f t="shared" si="1008"/>
        <v>-0.21534727764325701</v>
      </c>
    </row>
    <row r="773" spans="1:20" x14ac:dyDescent="0.25">
      <c r="A773" s="5">
        <v>43820</v>
      </c>
      <c r="B773">
        <v>0.18859999999999999</v>
      </c>
      <c r="C773">
        <v>0.19089999999999999</v>
      </c>
      <c r="D773">
        <v>0.17530000000000001</v>
      </c>
      <c r="E773">
        <v>0.1789</v>
      </c>
      <c r="F773">
        <v>1124326.93</v>
      </c>
      <c r="G773">
        <v>0</v>
      </c>
      <c r="L773" t="s">
        <v>7</v>
      </c>
      <c r="M773" t="s">
        <v>8</v>
      </c>
      <c r="N773" t="s">
        <v>7</v>
      </c>
      <c r="P773">
        <f t="shared" si="1004"/>
        <v>-0.53846153846153877</v>
      </c>
      <c r="Q773">
        <f t="shared" si="1005"/>
        <v>-605406.80846153875</v>
      </c>
      <c r="R773">
        <f t="shared" si="1006"/>
        <v>-21484869.666325707</v>
      </c>
      <c r="S773">
        <f t="shared" si="1007"/>
        <v>-214.84869666325707</v>
      </c>
      <c r="T773">
        <f t="shared" si="1008"/>
        <v>-0.21484869666325707</v>
      </c>
    </row>
    <row r="774" spans="1:20" x14ac:dyDescent="0.25">
      <c r="A774" s="5">
        <v>43819</v>
      </c>
      <c r="B774">
        <v>0.19109999999999999</v>
      </c>
      <c r="C774">
        <v>0.20019999999999999</v>
      </c>
      <c r="D774">
        <v>0.1875</v>
      </c>
      <c r="E774">
        <v>0.18859999999999999</v>
      </c>
      <c r="F774">
        <v>1054702.3400000001</v>
      </c>
      <c r="G774">
        <v>0</v>
      </c>
      <c r="L774" t="s">
        <v>7</v>
      </c>
      <c r="M774" t="s">
        <v>8</v>
      </c>
      <c r="N774" t="s">
        <v>7</v>
      </c>
      <c r="P774">
        <f t="shared" si="1004"/>
        <v>-0.8267716535433085</v>
      </c>
      <c r="Q774">
        <f t="shared" si="1005"/>
        <v>-871997.9976377968</v>
      </c>
      <c r="R774">
        <f t="shared" si="1006"/>
        <v>-20879462.857864168</v>
      </c>
      <c r="S774">
        <f t="shared" si="1007"/>
        <v>-208.79462857864166</v>
      </c>
      <c r="T774">
        <f t="shared" si="1008"/>
        <v>-0.20879462857864167</v>
      </c>
    </row>
    <row r="775" spans="1:20" x14ac:dyDescent="0.25">
      <c r="A775" s="5">
        <v>43818</v>
      </c>
      <c r="B775">
        <v>0.1923</v>
      </c>
      <c r="C775">
        <v>0.20569999999999999</v>
      </c>
      <c r="D775">
        <v>0.18609999999999999</v>
      </c>
      <c r="E775">
        <v>0.19109999999999999</v>
      </c>
      <c r="F775">
        <v>1932825.37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-0.48979591836734665</v>
      </c>
      <c r="Q775">
        <f t="shared" si="1005"/>
        <v>-946689.97714285669</v>
      </c>
      <c r="R775">
        <f t="shared" si="1006"/>
        <v>-20007464.86022637</v>
      </c>
      <c r="S775">
        <f t="shared" si="1007"/>
        <v>-200.07464860226369</v>
      </c>
      <c r="T775">
        <f t="shared" si="1008"/>
        <v>-0.2000746486022637</v>
      </c>
    </row>
    <row r="776" spans="1:20" x14ac:dyDescent="0.25">
      <c r="A776" s="5">
        <v>43817</v>
      </c>
      <c r="B776">
        <v>0.1855</v>
      </c>
      <c r="C776">
        <v>0.19670000000000001</v>
      </c>
      <c r="D776">
        <v>0.17460000000000001</v>
      </c>
      <c r="E776">
        <v>0.19220000000000001</v>
      </c>
      <c r="F776">
        <v>2133817.9700000002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0.59276018099547489</v>
      </c>
      <c r="Q776">
        <f t="shared" si="1005"/>
        <v>1264842.326108597</v>
      </c>
      <c r="R776">
        <f t="shared" si="1006"/>
        <v>-19060774.883083515</v>
      </c>
      <c r="S776">
        <f t="shared" si="1007"/>
        <v>-190.60774883083513</v>
      </c>
      <c r="T776">
        <f t="shared" si="1008"/>
        <v>-0.19060774883083514</v>
      </c>
    </row>
    <row r="777" spans="1:20" x14ac:dyDescent="0.25">
      <c r="A777" s="5">
        <v>43816</v>
      </c>
      <c r="B777">
        <v>0.17710000000000001</v>
      </c>
      <c r="C777">
        <v>0.1968</v>
      </c>
      <c r="D777">
        <v>0.17299999999999999</v>
      </c>
      <c r="E777">
        <v>0.18540000000000001</v>
      </c>
      <c r="F777">
        <v>2083732.85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4.2016806722690252E-2</v>
      </c>
      <c r="Q777">
        <f t="shared" si="1005"/>
        <v>87551.800420170519</v>
      </c>
      <c r="R777">
        <f t="shared" si="1006"/>
        <v>-20325617.209192112</v>
      </c>
      <c r="S777">
        <f t="shared" si="1007"/>
        <v>-203.25617209192112</v>
      </c>
      <c r="T777">
        <f t="shared" si="1008"/>
        <v>-0.20325617209192112</v>
      </c>
    </row>
    <row r="778" spans="1:20" x14ac:dyDescent="0.25">
      <c r="A778" s="5">
        <v>43815</v>
      </c>
      <c r="B778">
        <v>0.17849999999999999</v>
      </c>
      <c r="C778">
        <v>0.1933</v>
      </c>
      <c r="D778">
        <v>0.16950000000000001</v>
      </c>
      <c r="E778">
        <v>0.17730000000000001</v>
      </c>
      <c r="F778">
        <v>1215652.08</v>
      </c>
      <c r="G778">
        <v>0</v>
      </c>
      <c r="L778" t="s">
        <v>8</v>
      </c>
      <c r="M778" t="s">
        <v>7</v>
      </c>
      <c r="N778" t="s">
        <v>7</v>
      </c>
      <c r="P778">
        <f t="shared" si="1004"/>
        <v>-0.34453781512604997</v>
      </c>
      <c r="Q778">
        <f t="shared" si="1005"/>
        <v>-418838.11159663816</v>
      </c>
      <c r="R778">
        <f t="shared" si="1006"/>
        <v>-20413169.009612281</v>
      </c>
      <c r="S778">
        <f t="shared" si="1007"/>
        <v>-204.13169009612281</v>
      </c>
      <c r="T778">
        <f t="shared" si="1008"/>
        <v>-0.20413169009612281</v>
      </c>
    </row>
    <row r="779" spans="1:20" x14ac:dyDescent="0.25">
      <c r="A779" s="5">
        <v>43814</v>
      </c>
      <c r="B779">
        <v>0.1741</v>
      </c>
      <c r="C779">
        <v>0.18329999999999999</v>
      </c>
      <c r="D779">
        <v>0.1701</v>
      </c>
      <c r="E779">
        <v>0.17810000000000001</v>
      </c>
      <c r="F779">
        <v>270600.59000000003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0.21212121212121415</v>
      </c>
      <c r="Q779">
        <f t="shared" si="1005"/>
        <v>57400.125151515706</v>
      </c>
      <c r="R779">
        <f t="shared" si="1006"/>
        <v>-19994330.898015644</v>
      </c>
      <c r="S779">
        <f t="shared" si="1007"/>
        <v>-199.94330898015644</v>
      </c>
      <c r="T779">
        <f t="shared" si="1008"/>
        <v>-0.19994330898015644</v>
      </c>
    </row>
    <row r="780" spans="1:20" x14ac:dyDescent="0.25">
      <c r="A780" s="5">
        <v>43813</v>
      </c>
      <c r="B780">
        <v>0.18099999999999999</v>
      </c>
      <c r="C780">
        <v>0.18340000000000001</v>
      </c>
      <c r="D780">
        <v>0.17280000000000001</v>
      </c>
      <c r="E780">
        <v>0.1762</v>
      </c>
      <c r="F780">
        <v>170745.06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-0.35849056603773832</v>
      </c>
      <c r="Q780">
        <f t="shared" si="1005"/>
        <v>-61210.493207547588</v>
      </c>
      <c r="R780">
        <f t="shared" si="1006"/>
        <v>-20051731.023167159</v>
      </c>
      <c r="S780">
        <f t="shared" si="1007"/>
        <v>-200.51731023167159</v>
      </c>
      <c r="T780">
        <f t="shared" si="1008"/>
        <v>-0.20051731023167157</v>
      </c>
    </row>
    <row r="781" spans="1:20" x14ac:dyDescent="0.25">
      <c r="A781" s="5">
        <v>43812</v>
      </c>
      <c r="B781">
        <v>0.18290000000000001</v>
      </c>
      <c r="C781">
        <v>0.18440000000000001</v>
      </c>
      <c r="D781">
        <v>0.17499999999999999</v>
      </c>
      <c r="E781">
        <v>0.18110000000000001</v>
      </c>
      <c r="F781">
        <v>387462.59</v>
      </c>
      <c r="G781">
        <v>0</v>
      </c>
      <c r="L781" t="s">
        <v>7</v>
      </c>
      <c r="M781" t="s">
        <v>7</v>
      </c>
      <c r="N781" t="s">
        <v>7</v>
      </c>
      <c r="P781">
        <f t="shared" si="1004"/>
        <v>0.2978723404255339</v>
      </c>
      <c r="Q781">
        <f t="shared" si="1005"/>
        <v>115414.38851063908</v>
      </c>
      <c r="R781">
        <f t="shared" si="1006"/>
        <v>-19990520.529959612</v>
      </c>
      <c r="S781">
        <f t="shared" si="1007"/>
        <v>-199.9052052995961</v>
      </c>
      <c r="T781">
        <f t="shared" si="1008"/>
        <v>-0.1999052052995961</v>
      </c>
    </row>
    <row r="782" spans="1:20" x14ac:dyDescent="0.25">
      <c r="A782" s="5">
        <v>43811</v>
      </c>
      <c r="B782">
        <v>0.17549999999999999</v>
      </c>
      <c r="C782">
        <v>0.18709999999999999</v>
      </c>
      <c r="D782">
        <v>0.1701</v>
      </c>
      <c r="E782">
        <v>0.18290000000000001</v>
      </c>
      <c r="F782">
        <v>432608.12</v>
      </c>
      <c r="G782">
        <v>0</v>
      </c>
      <c r="L782" t="s">
        <v>8</v>
      </c>
      <c r="M782" t="s">
        <v>7</v>
      </c>
      <c r="N782" t="s">
        <v>7</v>
      </c>
      <c r="P782">
        <f t="shared" si="1004"/>
        <v>0.50588235294117823</v>
      </c>
      <c r="Q782">
        <f t="shared" si="1005"/>
        <v>218848.81364705958</v>
      </c>
      <c r="R782">
        <f t="shared" si="1006"/>
        <v>-20105934.918470252</v>
      </c>
      <c r="S782">
        <f t="shared" si="1007"/>
        <v>-201.05934918470251</v>
      </c>
      <c r="T782">
        <f t="shared" si="1008"/>
        <v>-0.2010593491847025</v>
      </c>
    </row>
    <row r="783" spans="1:20" x14ac:dyDescent="0.25">
      <c r="A783" s="5">
        <v>43810</v>
      </c>
      <c r="B783">
        <v>0.1759</v>
      </c>
      <c r="C783">
        <v>0.17979999999999999</v>
      </c>
      <c r="D783">
        <v>0.17199999999999999</v>
      </c>
      <c r="E783">
        <v>0.17519999999999999</v>
      </c>
      <c r="F783">
        <v>162774.37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-0.17948717948717749</v>
      </c>
      <c r="Q783">
        <f t="shared" si="1005"/>
        <v>-29215.912564102237</v>
      </c>
      <c r="R783">
        <f t="shared" si="1006"/>
        <v>-20324783.73211731</v>
      </c>
      <c r="S783">
        <f t="shared" si="1007"/>
        <v>-203.24783732117311</v>
      </c>
      <c r="T783">
        <f t="shared" si="1008"/>
        <v>-0.2032478373211731</v>
      </c>
    </row>
    <row r="784" spans="1:20" x14ac:dyDescent="0.25">
      <c r="A784" s="5">
        <v>43809</v>
      </c>
      <c r="B784">
        <v>0.188</v>
      </c>
      <c r="C784">
        <v>0.1883</v>
      </c>
      <c r="D784">
        <v>0.17</v>
      </c>
      <c r="E784">
        <v>0.1769</v>
      </c>
      <c r="F784">
        <v>646777.21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-0.24590163934426273</v>
      </c>
      <c r="Q784">
        <f t="shared" si="1005"/>
        <v>-159043.57622950847</v>
      </c>
      <c r="R784">
        <f t="shared" si="1006"/>
        <v>-20295567.819553208</v>
      </c>
      <c r="S784">
        <f t="shared" si="1007"/>
        <v>-202.95567819553207</v>
      </c>
      <c r="T784">
        <f t="shared" si="1008"/>
        <v>-0.20295567819553206</v>
      </c>
    </row>
    <row r="785" spans="1:20" x14ac:dyDescent="0.25">
      <c r="A785" s="5">
        <v>43808</v>
      </c>
      <c r="B785">
        <v>0.1968</v>
      </c>
      <c r="C785">
        <v>0.1976</v>
      </c>
      <c r="D785">
        <v>0.18529999999999999</v>
      </c>
      <c r="E785">
        <v>0.18809999999999999</v>
      </c>
      <c r="F785">
        <v>466296.83</v>
      </c>
      <c r="G785">
        <v>0</v>
      </c>
      <c r="L785" t="s">
        <v>7</v>
      </c>
      <c r="M785" t="s">
        <v>7</v>
      </c>
      <c r="N785" t="s">
        <v>7</v>
      </c>
      <c r="P785">
        <f t="shared" si="1004"/>
        <v>-0.54471544715447229</v>
      </c>
      <c r="Q785">
        <f t="shared" si="1005"/>
        <v>-253999.08626016296</v>
      </c>
      <c r="R785">
        <f t="shared" si="1006"/>
        <v>-20136524.243323699</v>
      </c>
      <c r="S785">
        <f t="shared" si="1007"/>
        <v>-201.365242433237</v>
      </c>
      <c r="T785">
        <f t="shared" si="1008"/>
        <v>-0.201365242433237</v>
      </c>
    </row>
    <row r="786" spans="1:20" x14ac:dyDescent="0.25">
      <c r="A786" s="5">
        <v>43807</v>
      </c>
      <c r="B786">
        <v>0.18840000000000001</v>
      </c>
      <c r="C786">
        <v>0.2011</v>
      </c>
      <c r="D786">
        <v>0.18390000000000001</v>
      </c>
      <c r="E786">
        <v>0.19500000000000001</v>
      </c>
      <c r="F786">
        <v>335745.5</v>
      </c>
      <c r="G786">
        <v>0</v>
      </c>
      <c r="L786" t="s">
        <v>8</v>
      </c>
      <c r="M786" t="s">
        <v>7</v>
      </c>
      <c r="N786" t="s">
        <v>7</v>
      </c>
      <c r="P786">
        <f t="shared" si="1004"/>
        <v>0.290697674418605</v>
      </c>
      <c r="Q786">
        <f t="shared" si="1005"/>
        <v>97600.43604651175</v>
      </c>
      <c r="R786">
        <f t="shared" si="1006"/>
        <v>-19882525.157063536</v>
      </c>
      <c r="S786">
        <f t="shared" si="1007"/>
        <v>-198.82525157063537</v>
      </c>
      <c r="T786">
        <f t="shared" si="1008"/>
        <v>-0.19882525157063538</v>
      </c>
    </row>
    <row r="787" spans="1:20" x14ac:dyDescent="0.25">
      <c r="A787" s="5">
        <v>43806</v>
      </c>
      <c r="B787">
        <v>0.187</v>
      </c>
      <c r="C787">
        <v>0.19700000000000001</v>
      </c>
      <c r="D787">
        <v>0.18609999999999999</v>
      </c>
      <c r="E787">
        <v>0.1888</v>
      </c>
      <c r="F787">
        <v>366873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-0.50458715596330228</v>
      </c>
      <c r="Q787">
        <f t="shared" si="1005"/>
        <v>-185119.40366972459</v>
      </c>
      <c r="R787">
        <f t="shared" si="1006"/>
        <v>-19980125.593110047</v>
      </c>
      <c r="S787">
        <f t="shared" si="1007"/>
        <v>-199.80125593110048</v>
      </c>
      <c r="T787">
        <f t="shared" si="1008"/>
        <v>-0.19980125593110049</v>
      </c>
    </row>
    <row r="788" spans="1:20" x14ac:dyDescent="0.25">
      <c r="A788" s="5">
        <v>43805</v>
      </c>
      <c r="B788">
        <v>0.184</v>
      </c>
      <c r="C788">
        <v>0.189</v>
      </c>
      <c r="D788">
        <v>0.18</v>
      </c>
      <c r="E788">
        <v>0.18609999999999999</v>
      </c>
      <c r="F788">
        <v>351614.79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0.35555555555555307</v>
      </c>
      <c r="Q788">
        <f t="shared" si="1005"/>
        <v>125018.59199999912</v>
      </c>
      <c r="R788">
        <f t="shared" si="1006"/>
        <v>-19795006.189440321</v>
      </c>
      <c r="S788">
        <f t="shared" si="1007"/>
        <v>-197.95006189440321</v>
      </c>
      <c r="T788">
        <f t="shared" si="1008"/>
        <v>-0.1979500618944032</v>
      </c>
    </row>
    <row r="789" spans="1:20" x14ac:dyDescent="0.25">
      <c r="A789" s="5">
        <v>43804</v>
      </c>
      <c r="B789">
        <v>0.182</v>
      </c>
      <c r="C789">
        <v>0.18459999999999999</v>
      </c>
      <c r="D789">
        <v>0.1762</v>
      </c>
      <c r="E789">
        <v>0.18379999999999999</v>
      </c>
      <c r="F789">
        <v>455522.84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0.80952380952381042</v>
      </c>
      <c r="Q789">
        <f t="shared" si="1005"/>
        <v>368756.58476190519</v>
      </c>
      <c r="R789">
        <f t="shared" si="1006"/>
        <v>-19920024.781440321</v>
      </c>
      <c r="S789">
        <f t="shared" si="1007"/>
        <v>-199.20024781440321</v>
      </c>
      <c r="T789">
        <f t="shared" si="1008"/>
        <v>-0.19920024781440321</v>
      </c>
    </row>
    <row r="790" spans="1:20" x14ac:dyDescent="0.25">
      <c r="A790" s="5">
        <v>43803</v>
      </c>
      <c r="B790">
        <v>0.18709999999999999</v>
      </c>
      <c r="C790">
        <v>0.19739999999999999</v>
      </c>
      <c r="D790">
        <v>0.17949999999999999</v>
      </c>
      <c r="E790">
        <v>0.1827</v>
      </c>
      <c r="F790">
        <v>515401.65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-0.64245810055865826</v>
      </c>
      <c r="Q790">
        <f t="shared" si="1005"/>
        <v>-331123.96508379839</v>
      </c>
      <c r="R790">
        <f t="shared" si="1006"/>
        <v>-20288781.366202228</v>
      </c>
      <c r="S790">
        <f t="shared" si="1007"/>
        <v>-202.88781366202227</v>
      </c>
      <c r="T790">
        <f t="shared" si="1008"/>
        <v>-0.20288781366202227</v>
      </c>
    </row>
    <row r="791" spans="1:20" x14ac:dyDescent="0.25">
      <c r="A791" s="5">
        <v>43802</v>
      </c>
      <c r="B791">
        <v>0.19289999999999999</v>
      </c>
      <c r="C791">
        <v>0.19589999999999999</v>
      </c>
      <c r="D791">
        <v>0.184</v>
      </c>
      <c r="E791">
        <v>0.18729999999999999</v>
      </c>
      <c r="F791">
        <v>447686.43</v>
      </c>
      <c r="G791">
        <v>0</v>
      </c>
      <c r="L791" t="s">
        <v>7</v>
      </c>
      <c r="M791" t="s">
        <v>7</v>
      </c>
      <c r="N791" t="s">
        <v>7</v>
      </c>
      <c r="P791">
        <f t="shared" si="1004"/>
        <v>-0.44537815126050434</v>
      </c>
      <c r="Q791">
        <f t="shared" si="1005"/>
        <v>-199389.7545378152</v>
      </c>
      <c r="R791">
        <f t="shared" si="1006"/>
        <v>-19957657.401118428</v>
      </c>
      <c r="S791">
        <f t="shared" si="1007"/>
        <v>-199.57657401118428</v>
      </c>
      <c r="T791">
        <f t="shared" si="1008"/>
        <v>-0.19957657401118428</v>
      </c>
    </row>
    <row r="792" spans="1:20" x14ac:dyDescent="0.25">
      <c r="A792" s="5">
        <v>43801</v>
      </c>
      <c r="B792">
        <v>0.19350000000000001</v>
      </c>
      <c r="C792">
        <v>0.1953</v>
      </c>
      <c r="D792">
        <v>0.18740000000000001</v>
      </c>
      <c r="E792">
        <v>0.19289999999999999</v>
      </c>
      <c r="F792">
        <v>316091.21999999997</v>
      </c>
      <c r="G792">
        <v>0</v>
      </c>
      <c r="L792" t="s">
        <v>7</v>
      </c>
      <c r="M792" t="s">
        <v>7</v>
      </c>
      <c r="N792" t="s">
        <v>7</v>
      </c>
      <c r="P792">
        <f t="shared" si="1004"/>
        <v>0.39240506329113517</v>
      </c>
      <c r="Q792">
        <f t="shared" si="1005"/>
        <v>124035.79518987212</v>
      </c>
      <c r="R792">
        <f t="shared" si="1006"/>
        <v>-19758267.646580614</v>
      </c>
      <c r="S792">
        <f t="shared" si="1007"/>
        <v>-197.58267646580614</v>
      </c>
      <c r="T792">
        <f t="shared" si="1008"/>
        <v>-0.19758267646580616</v>
      </c>
    </row>
    <row r="793" spans="1:20" x14ac:dyDescent="0.25">
      <c r="A793" s="5">
        <v>43800</v>
      </c>
      <c r="B793">
        <v>0.2077</v>
      </c>
      <c r="C793">
        <v>0.2077</v>
      </c>
      <c r="D793">
        <v>0.1903</v>
      </c>
      <c r="E793">
        <v>0.19359999999999999</v>
      </c>
      <c r="F793">
        <v>612317.51</v>
      </c>
      <c r="G793">
        <v>0</v>
      </c>
      <c r="L793" t="s">
        <v>7</v>
      </c>
      <c r="M793" t="s">
        <v>7</v>
      </c>
      <c r="N793" t="s">
        <v>7</v>
      </c>
      <c r="P793">
        <f t="shared" si="1004"/>
        <v>-0.62068965517241403</v>
      </c>
      <c r="Q793">
        <f t="shared" si="1005"/>
        <v>-380059.14413793117</v>
      </c>
      <c r="R793">
        <f t="shared" si="1006"/>
        <v>-19882303.441770487</v>
      </c>
      <c r="S793">
        <f t="shared" si="1007"/>
        <v>-198.82303441770486</v>
      </c>
      <c r="T793">
        <f t="shared" si="1008"/>
        <v>-0.19882303441770485</v>
      </c>
    </row>
    <row r="794" spans="1:20" x14ac:dyDescent="0.25">
      <c r="A794" s="5">
        <v>43799</v>
      </c>
      <c r="B794">
        <v>0.21909999999999999</v>
      </c>
      <c r="C794">
        <v>0.2213</v>
      </c>
      <c r="D794">
        <v>0.20180000000000001</v>
      </c>
      <c r="E794">
        <v>0.2079</v>
      </c>
      <c r="F794">
        <v>354703.68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-0.37435897435897458</v>
      </c>
      <c r="Q794">
        <f t="shared" si="1005"/>
        <v>-132786.50584615392</v>
      </c>
      <c r="R794">
        <f t="shared" si="1006"/>
        <v>-19502244.297632556</v>
      </c>
      <c r="S794">
        <f t="shared" si="1007"/>
        <v>-195.02244297632555</v>
      </c>
      <c r="T794">
        <f t="shared" si="1008"/>
        <v>-0.19502244297632554</v>
      </c>
    </row>
    <row r="795" spans="1:20" x14ac:dyDescent="0.25">
      <c r="A795" s="5">
        <v>43798</v>
      </c>
      <c r="B795">
        <v>0.21560000000000001</v>
      </c>
      <c r="C795">
        <v>0.22639999999999999</v>
      </c>
      <c r="D795">
        <v>0.21299999999999999</v>
      </c>
      <c r="E795">
        <v>0.219</v>
      </c>
      <c r="F795">
        <v>293332.08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-0.10447761194029739</v>
      </c>
      <c r="Q795">
        <f t="shared" si="1005"/>
        <v>-30646.635223880272</v>
      </c>
      <c r="R795">
        <f t="shared" si="1006"/>
        <v>-19369457.791786402</v>
      </c>
      <c r="S795">
        <f t="shared" si="1007"/>
        <v>-193.69457791786402</v>
      </c>
      <c r="T795">
        <f t="shared" si="1008"/>
        <v>-0.19369457791786401</v>
      </c>
    </row>
    <row r="796" spans="1:20" x14ac:dyDescent="0.25">
      <c r="A796" s="5">
        <v>43797</v>
      </c>
      <c r="B796">
        <v>0.20760000000000001</v>
      </c>
      <c r="C796">
        <v>0.21890000000000001</v>
      </c>
      <c r="D796">
        <v>0.2072</v>
      </c>
      <c r="E796">
        <v>0.21299999999999999</v>
      </c>
      <c r="F796">
        <v>312409.38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-8.5470085470099669E-3</v>
      </c>
      <c r="Q796">
        <f t="shared" si="1005"/>
        <v>-2670.1656410260848</v>
      </c>
      <c r="R796">
        <f t="shared" si="1006"/>
        <v>-19338811.156562522</v>
      </c>
      <c r="S796">
        <f t="shared" si="1007"/>
        <v>-193.38811156562522</v>
      </c>
      <c r="T796">
        <f t="shared" si="1008"/>
        <v>-0.19338811156562521</v>
      </c>
    </row>
    <row r="797" spans="1:20" x14ac:dyDescent="0.25">
      <c r="A797" s="5">
        <v>43796</v>
      </c>
      <c r="B797">
        <v>0.20480000000000001</v>
      </c>
      <c r="C797">
        <v>0.2155</v>
      </c>
      <c r="D797">
        <v>0.186</v>
      </c>
      <c r="E797">
        <v>0.20760000000000001</v>
      </c>
      <c r="F797">
        <v>624198.16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0.46440677966101757</v>
      </c>
      <c r="Q797">
        <f t="shared" si="1005"/>
        <v>289881.85735593259</v>
      </c>
      <c r="R797">
        <f t="shared" si="1006"/>
        <v>-19336140.990921497</v>
      </c>
      <c r="S797">
        <f t="shared" si="1007"/>
        <v>-193.36140990921498</v>
      </c>
      <c r="T797">
        <f t="shared" si="1008"/>
        <v>-0.19336140990921499</v>
      </c>
    </row>
    <row r="798" spans="1:20" x14ac:dyDescent="0.25">
      <c r="A798" s="5">
        <v>43795</v>
      </c>
      <c r="B798">
        <v>0.19439999999999999</v>
      </c>
      <c r="C798">
        <v>0.20610000000000001</v>
      </c>
      <c r="D798">
        <v>0.1895</v>
      </c>
      <c r="E798">
        <v>0.20480000000000001</v>
      </c>
      <c r="F798">
        <v>330025.8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0.84337349397590422</v>
      </c>
      <c r="Q798">
        <f t="shared" si="1005"/>
        <v>278335.01204819296</v>
      </c>
      <c r="R798">
        <f t="shared" si="1006"/>
        <v>-19626022.848277431</v>
      </c>
      <c r="S798">
        <f t="shared" si="1007"/>
        <v>-196.26022848277432</v>
      </c>
      <c r="T798">
        <f t="shared" si="1008"/>
        <v>-0.19626022848277433</v>
      </c>
    </row>
    <row r="799" spans="1:20" x14ac:dyDescent="0.25">
      <c r="A799" s="5">
        <v>43794</v>
      </c>
      <c r="B799">
        <v>0.18390000000000001</v>
      </c>
      <c r="C799">
        <v>0.19700000000000001</v>
      </c>
      <c r="D799">
        <v>0.17</v>
      </c>
      <c r="E799">
        <v>0.1946</v>
      </c>
      <c r="F799">
        <v>328596.96999999997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0.82222222222222119</v>
      </c>
      <c r="Q799">
        <f t="shared" si="1005"/>
        <v>270179.73088888853</v>
      </c>
      <c r="R799">
        <f t="shared" si="1006"/>
        <v>-19904357.860325623</v>
      </c>
      <c r="S799">
        <f t="shared" si="1007"/>
        <v>-199.04357860325624</v>
      </c>
      <c r="T799">
        <f t="shared" si="1008"/>
        <v>-0.19904357860325625</v>
      </c>
    </row>
    <row r="800" spans="1:20" x14ac:dyDescent="0.25">
      <c r="A800" s="5">
        <v>43793</v>
      </c>
      <c r="B800">
        <v>0.20760000000000001</v>
      </c>
      <c r="C800">
        <v>0.2094</v>
      </c>
      <c r="D800">
        <v>0.18260000000000001</v>
      </c>
      <c r="E800">
        <v>0.18490000000000001</v>
      </c>
      <c r="F800">
        <v>394672.38</v>
      </c>
      <c r="G800">
        <v>0</v>
      </c>
      <c r="L800" t="s">
        <v>7</v>
      </c>
      <c r="M800" t="s">
        <v>8</v>
      </c>
      <c r="N800" t="s">
        <v>7</v>
      </c>
      <c r="P800">
        <f t="shared" si="1004"/>
        <v>-0.82835820895522405</v>
      </c>
      <c r="Q800">
        <f t="shared" si="1005"/>
        <v>-326930.10582089558</v>
      </c>
      <c r="R800">
        <f t="shared" si="1006"/>
        <v>-20174537.591214512</v>
      </c>
      <c r="S800">
        <f t="shared" si="1007"/>
        <v>-201.74537591214511</v>
      </c>
      <c r="T800">
        <f t="shared" si="1008"/>
        <v>-0.20174537591214511</v>
      </c>
    </row>
    <row r="801" spans="1:20" x14ac:dyDescent="0.25">
      <c r="A801" s="5">
        <v>43792</v>
      </c>
      <c r="B801">
        <v>0.19700000000000001</v>
      </c>
      <c r="C801">
        <v>0.214</v>
      </c>
      <c r="D801">
        <v>0.1862</v>
      </c>
      <c r="E801">
        <v>0.20710000000000001</v>
      </c>
      <c r="F801">
        <v>310517.24</v>
      </c>
      <c r="G801">
        <v>0</v>
      </c>
      <c r="L801" t="s">
        <v>8</v>
      </c>
      <c r="M801" t="s">
        <v>8</v>
      </c>
      <c r="N801" t="s">
        <v>7</v>
      </c>
      <c r="P801">
        <f t="shared" si="1004"/>
        <v>0.50359712230215892</v>
      </c>
      <c r="Q801">
        <f t="shared" si="1005"/>
        <v>156375.58848920884</v>
      </c>
      <c r="R801">
        <f t="shared" si="1006"/>
        <v>-19847607.485393617</v>
      </c>
      <c r="S801">
        <f t="shared" si="1007"/>
        <v>-198.47607485393618</v>
      </c>
      <c r="T801">
        <f t="shared" si="1008"/>
        <v>-0.19847607485393617</v>
      </c>
    </row>
    <row r="802" spans="1:20" x14ac:dyDescent="0.25">
      <c r="A802" s="5">
        <v>43791</v>
      </c>
      <c r="B802">
        <v>0.2092</v>
      </c>
      <c r="C802">
        <v>0.21779999999999999</v>
      </c>
      <c r="D802">
        <v>0.17710000000000001</v>
      </c>
      <c r="E802">
        <v>0.19719999999999999</v>
      </c>
      <c r="F802">
        <v>633004.69999999995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-1.2285012285012982E-2</v>
      </c>
      <c r="Q802">
        <f t="shared" si="1005"/>
        <v>-7776.4705159709565</v>
      </c>
      <c r="R802">
        <f t="shared" si="1006"/>
        <v>-20003983.073882826</v>
      </c>
      <c r="S802">
        <f t="shared" si="1007"/>
        <v>-200.03983073882824</v>
      </c>
      <c r="T802">
        <f t="shared" si="1008"/>
        <v>-0.20003983073882825</v>
      </c>
    </row>
    <row r="803" spans="1:20" x14ac:dyDescent="0.25">
      <c r="A803" s="5">
        <v>43790</v>
      </c>
      <c r="B803">
        <v>0.2334</v>
      </c>
      <c r="C803">
        <v>0.24390000000000001</v>
      </c>
      <c r="D803">
        <v>0.2039</v>
      </c>
      <c r="E803">
        <v>0.20880000000000001</v>
      </c>
      <c r="F803">
        <v>748466.61</v>
      </c>
      <c r="G803">
        <v>0</v>
      </c>
      <c r="L803" t="s">
        <v>7</v>
      </c>
      <c r="M803" t="s">
        <v>7</v>
      </c>
      <c r="N803" t="s">
        <v>8</v>
      </c>
      <c r="P803">
        <f t="shared" si="1004"/>
        <v>-0.75499999999999923</v>
      </c>
      <c r="Q803">
        <f t="shared" si="1005"/>
        <v>-565092.29054999945</v>
      </c>
      <c r="R803">
        <f t="shared" si="1006"/>
        <v>-19996206.603366856</v>
      </c>
      <c r="S803">
        <f t="shared" si="1007"/>
        <v>-199.96206603366855</v>
      </c>
      <c r="T803">
        <f t="shared" si="1008"/>
        <v>-0.19996206603366856</v>
      </c>
    </row>
    <row r="804" spans="1:20" x14ac:dyDescent="0.25">
      <c r="A804" s="5">
        <v>43789</v>
      </c>
      <c r="B804">
        <v>0.22989999999999999</v>
      </c>
      <c r="C804">
        <v>0.24399999999999999</v>
      </c>
      <c r="D804">
        <v>0.2213</v>
      </c>
      <c r="E804">
        <v>0.23169999999999999</v>
      </c>
      <c r="F804">
        <v>642558.44999999995</v>
      </c>
      <c r="G804">
        <v>0</v>
      </c>
      <c r="L804" t="s">
        <v>8</v>
      </c>
      <c r="M804" t="s">
        <v>7</v>
      </c>
      <c r="N804" t="s">
        <v>8</v>
      </c>
      <c r="P804">
        <f t="shared" si="1004"/>
        <v>-8.3700440528634928E-2</v>
      </c>
      <c r="Q804">
        <f t="shared" si="1005"/>
        <v>-53782.425330396836</v>
      </c>
      <c r="R804">
        <f t="shared" si="1006"/>
        <v>-19431114.312816855</v>
      </c>
      <c r="S804">
        <f t="shared" si="1007"/>
        <v>-194.31114312816854</v>
      </c>
      <c r="T804">
        <f t="shared" si="1008"/>
        <v>-0.19431114312816855</v>
      </c>
    </row>
    <row r="805" spans="1:20" x14ac:dyDescent="0.25">
      <c r="A805" s="5">
        <v>43788</v>
      </c>
      <c r="B805">
        <v>0.2301</v>
      </c>
      <c r="C805">
        <v>0.2354</v>
      </c>
      <c r="D805">
        <v>0.21429999999999999</v>
      </c>
      <c r="E805">
        <v>0.23</v>
      </c>
      <c r="F805">
        <v>702360.67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0.48815165876777383</v>
      </c>
      <c r="Q805">
        <f t="shared" si="1005"/>
        <v>342858.526113745</v>
      </c>
      <c r="R805">
        <f t="shared" si="1006"/>
        <v>-19377331.887486458</v>
      </c>
      <c r="S805">
        <f t="shared" si="1007"/>
        <v>-193.77331887486457</v>
      </c>
      <c r="T805">
        <f t="shared" si="1008"/>
        <v>-0.19377331887486457</v>
      </c>
    </row>
    <row r="806" spans="1:20" x14ac:dyDescent="0.25">
      <c r="A806" s="5">
        <v>43787</v>
      </c>
      <c r="B806">
        <v>0.26300000000000001</v>
      </c>
      <c r="C806">
        <v>0.26419999999999999</v>
      </c>
      <c r="D806">
        <v>0.22450000000000001</v>
      </c>
      <c r="E806">
        <v>0.23019999999999999</v>
      </c>
      <c r="F806">
        <v>1467896.89</v>
      </c>
      <c r="G806">
        <v>0</v>
      </c>
      <c r="L806" t="s">
        <v>7</v>
      </c>
      <c r="M806" t="s">
        <v>8</v>
      </c>
      <c r="N806" t="s">
        <v>8</v>
      </c>
      <c r="P806">
        <f t="shared" si="1004"/>
        <v>-0.71284634760705368</v>
      </c>
      <c r="Q806">
        <f t="shared" si="1005"/>
        <v>-1046384.9367002529</v>
      </c>
      <c r="R806">
        <f t="shared" si="1006"/>
        <v>-19720190.413600203</v>
      </c>
      <c r="S806">
        <f t="shared" si="1007"/>
        <v>-197.20190413600201</v>
      </c>
      <c r="T806">
        <f t="shared" si="1008"/>
        <v>-0.19720190413600203</v>
      </c>
    </row>
    <row r="807" spans="1:20" x14ac:dyDescent="0.25">
      <c r="A807" s="5">
        <v>43786</v>
      </c>
      <c r="B807">
        <v>0.22800000000000001</v>
      </c>
      <c r="C807">
        <v>0.26590000000000003</v>
      </c>
      <c r="D807">
        <v>0.22570000000000001</v>
      </c>
      <c r="E807">
        <v>0.26200000000000001</v>
      </c>
      <c r="F807">
        <v>1660306.64</v>
      </c>
      <c r="G807">
        <v>0</v>
      </c>
      <c r="L807" t="s">
        <v>8</v>
      </c>
      <c r="M807" t="s">
        <v>8</v>
      </c>
      <c r="N807" t="s">
        <v>8</v>
      </c>
      <c r="P807">
        <f t="shared" si="1004"/>
        <v>0.80597014925373067</v>
      </c>
      <c r="Q807">
        <f t="shared" si="1005"/>
        <v>1338157.59044776</v>
      </c>
      <c r="R807">
        <f t="shared" si="1006"/>
        <v>-18673805.476899948</v>
      </c>
      <c r="S807">
        <f t="shared" si="1007"/>
        <v>-186.73805476899949</v>
      </c>
      <c r="T807">
        <f t="shared" si="1008"/>
        <v>-0.18673805476899949</v>
      </c>
    </row>
    <row r="808" spans="1:20" x14ac:dyDescent="0.25">
      <c r="A808" s="5">
        <v>43785</v>
      </c>
      <c r="B808">
        <v>0.21659999999999999</v>
      </c>
      <c r="C808">
        <v>0.2306</v>
      </c>
      <c r="D808">
        <v>0.215</v>
      </c>
      <c r="E808">
        <v>0.22839999999999999</v>
      </c>
      <c r="F808">
        <v>376572.32</v>
      </c>
      <c r="G808">
        <v>0</v>
      </c>
      <c r="L808" t="s">
        <v>8</v>
      </c>
      <c r="M808" t="s">
        <v>7</v>
      </c>
      <c r="N808" t="s">
        <v>8</v>
      </c>
      <c r="P808">
        <f t="shared" si="1004"/>
        <v>0.71794871794871706</v>
      </c>
      <c r="Q808">
        <f t="shared" si="1005"/>
        <v>270359.61435897404</v>
      </c>
      <c r="R808">
        <f t="shared" si="1006"/>
        <v>-20011963.067347709</v>
      </c>
      <c r="S808">
        <f t="shared" si="1007"/>
        <v>-200.1196306734771</v>
      </c>
      <c r="T808">
        <f t="shared" si="1008"/>
        <v>-0.2001196306734771</v>
      </c>
    </row>
    <row r="809" spans="1:20" x14ac:dyDescent="0.25">
      <c r="A809" s="5">
        <v>43784</v>
      </c>
      <c r="B809">
        <v>0.2213</v>
      </c>
      <c r="C809">
        <v>0.22439999999999999</v>
      </c>
      <c r="D809">
        <v>0.2112</v>
      </c>
      <c r="E809">
        <v>0.21659999999999999</v>
      </c>
      <c r="F809">
        <v>333294.3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-0.18181818181818296</v>
      </c>
      <c r="Q809">
        <f t="shared" si="1005"/>
        <v>-60598.963636364017</v>
      </c>
      <c r="R809">
        <f t="shared" si="1006"/>
        <v>-20282322.681706682</v>
      </c>
      <c r="S809">
        <f t="shared" si="1007"/>
        <v>-202.82322681706682</v>
      </c>
      <c r="T809">
        <f t="shared" si="1008"/>
        <v>-0.20282322681706683</v>
      </c>
    </row>
    <row r="810" spans="1:20" x14ac:dyDescent="0.25">
      <c r="A810" s="5">
        <v>43783</v>
      </c>
      <c r="B810">
        <v>0.23400000000000001</v>
      </c>
      <c r="C810">
        <v>0.2341</v>
      </c>
      <c r="D810">
        <v>0.221</v>
      </c>
      <c r="E810">
        <v>0.2213</v>
      </c>
      <c r="F810">
        <v>213670.68</v>
      </c>
      <c r="G810">
        <v>0</v>
      </c>
      <c r="L810" t="s">
        <v>8</v>
      </c>
      <c r="M810" t="s">
        <v>7</v>
      </c>
      <c r="N810" t="s">
        <v>8</v>
      </c>
      <c r="P810">
        <f t="shared" si="1004"/>
        <v>-0.95419847328244356</v>
      </c>
      <c r="Q810">
        <f t="shared" si="1005"/>
        <v>-203884.23664122153</v>
      </c>
      <c r="R810">
        <f t="shared" si="1006"/>
        <v>-20221723.718070317</v>
      </c>
      <c r="S810">
        <f t="shared" si="1007"/>
        <v>-202.21723718070317</v>
      </c>
      <c r="T810">
        <f t="shared" si="1008"/>
        <v>-0.20221723718070317</v>
      </c>
    </row>
    <row r="811" spans="1:20" x14ac:dyDescent="0.25">
      <c r="A811" s="5">
        <v>43782</v>
      </c>
      <c r="B811">
        <v>0.22700000000000001</v>
      </c>
      <c r="C811">
        <v>0.2349</v>
      </c>
      <c r="D811">
        <v>0.2235</v>
      </c>
      <c r="E811">
        <v>0.2341</v>
      </c>
      <c r="F811">
        <v>218863.97</v>
      </c>
      <c r="G811">
        <v>0</v>
      </c>
      <c r="L811" t="s">
        <v>8</v>
      </c>
      <c r="M811" t="s">
        <v>7</v>
      </c>
      <c r="N811" t="s">
        <v>8</v>
      </c>
      <c r="P811">
        <f t="shared" si="1004"/>
        <v>0.85964912280701833</v>
      </c>
      <c r="Q811">
        <f t="shared" si="1005"/>
        <v>188146.21982456159</v>
      </c>
      <c r="R811">
        <f t="shared" si="1006"/>
        <v>-20017839.481429096</v>
      </c>
      <c r="S811">
        <f t="shared" si="1007"/>
        <v>-200.17839481429095</v>
      </c>
      <c r="T811">
        <f t="shared" si="1008"/>
        <v>-0.20017839481429095</v>
      </c>
    </row>
    <row r="812" spans="1:20" x14ac:dyDescent="0.25">
      <c r="A812" s="5">
        <v>43781</v>
      </c>
      <c r="B812">
        <v>0.2195</v>
      </c>
      <c r="C812">
        <v>0.23219999999999999</v>
      </c>
      <c r="D812">
        <v>0.2172</v>
      </c>
      <c r="E812">
        <v>0.22689999999999999</v>
      </c>
      <c r="F812">
        <v>301118.13</v>
      </c>
      <c r="G812">
        <v>0</v>
      </c>
      <c r="L812" t="s">
        <v>8</v>
      </c>
      <c r="M812" t="s">
        <v>7</v>
      </c>
      <c r="N812" t="s">
        <v>8</v>
      </c>
      <c r="P812">
        <f t="shared" si="1004"/>
        <v>0.29333333333333278</v>
      </c>
      <c r="Q812">
        <f t="shared" si="1005"/>
        <v>88327.984799999831</v>
      </c>
      <c r="R812">
        <f t="shared" si="1006"/>
        <v>-20205985.701253656</v>
      </c>
      <c r="S812">
        <f t="shared" si="1007"/>
        <v>-202.05985701253655</v>
      </c>
      <c r="T812">
        <f t="shared" si="1008"/>
        <v>-0.20205985701253656</v>
      </c>
    </row>
    <row r="813" spans="1:20" x14ac:dyDescent="0.25">
      <c r="A813" s="5">
        <v>43780</v>
      </c>
      <c r="B813">
        <v>0.22339999999999999</v>
      </c>
      <c r="C813">
        <v>0.2263</v>
      </c>
      <c r="D813">
        <v>0.2137</v>
      </c>
      <c r="E813">
        <v>0.22209999999999999</v>
      </c>
      <c r="F813">
        <v>197442.77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0.33333333333333187</v>
      </c>
      <c r="Q813">
        <f t="shared" si="1005"/>
        <v>65814.256666666377</v>
      </c>
      <c r="R813">
        <f t="shared" si="1006"/>
        <v>-20294313.686053656</v>
      </c>
      <c r="S813">
        <f t="shared" si="1007"/>
        <v>-202.94313686053655</v>
      </c>
      <c r="T813">
        <f t="shared" si="1008"/>
        <v>-0.20294313686053655</v>
      </c>
    </row>
    <row r="814" spans="1:20" x14ac:dyDescent="0.25">
      <c r="A814" s="5">
        <v>43779</v>
      </c>
      <c r="B814">
        <v>0.2152</v>
      </c>
      <c r="C814">
        <v>0.22559999999999999</v>
      </c>
      <c r="D814">
        <v>0.2147</v>
      </c>
      <c r="E814">
        <v>0.22320000000000001</v>
      </c>
      <c r="F814">
        <v>176681.14</v>
      </c>
      <c r="G814">
        <v>0</v>
      </c>
      <c r="L814" t="s">
        <v>7</v>
      </c>
      <c r="M814" t="s">
        <v>7</v>
      </c>
      <c r="N814" t="s">
        <v>8</v>
      </c>
      <c r="P814">
        <f t="shared" si="1004"/>
        <v>0.5596330275229382</v>
      </c>
      <c r="Q814">
        <f t="shared" si="1005"/>
        <v>98876.601284404111</v>
      </c>
      <c r="R814">
        <f t="shared" si="1006"/>
        <v>-20360127.942720324</v>
      </c>
      <c r="S814">
        <f t="shared" si="1007"/>
        <v>-203.60127942720322</v>
      </c>
      <c r="T814">
        <f t="shared" si="1008"/>
        <v>-0.20360127942720321</v>
      </c>
    </row>
    <row r="815" spans="1:20" x14ac:dyDescent="0.25">
      <c r="A815" s="5">
        <v>43778</v>
      </c>
      <c r="B815">
        <v>0.22090000000000001</v>
      </c>
      <c r="C815">
        <v>0.22239999999999999</v>
      </c>
      <c r="D815">
        <v>0.2132</v>
      </c>
      <c r="E815">
        <v>0.216</v>
      </c>
      <c r="F815">
        <v>165974.1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-0.3913043478260867</v>
      </c>
      <c r="Q815">
        <f t="shared" si="1005"/>
        <v>-64946.386956521696</v>
      </c>
      <c r="R815">
        <f t="shared" si="1006"/>
        <v>-20459004.544004727</v>
      </c>
      <c r="S815">
        <f t="shared" si="1007"/>
        <v>-204.59004544004728</v>
      </c>
      <c r="T815">
        <f t="shared" si="1008"/>
        <v>-0.20459004544004727</v>
      </c>
    </row>
    <row r="816" spans="1:20" x14ac:dyDescent="0.25">
      <c r="A816" s="5">
        <v>43777</v>
      </c>
      <c r="B816">
        <v>0.23069999999999999</v>
      </c>
      <c r="C816">
        <v>0.2334</v>
      </c>
      <c r="D816">
        <v>0.20949999999999999</v>
      </c>
      <c r="E816">
        <v>0.2213</v>
      </c>
      <c r="F816">
        <v>624248.07999999996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-1.2552301255229902E-2</v>
      </c>
      <c r="Q816">
        <f t="shared" si="1005"/>
        <v>-7835.7499581588554</v>
      </c>
      <c r="R816">
        <f t="shared" si="1006"/>
        <v>-20394058.157048207</v>
      </c>
      <c r="S816">
        <f t="shared" si="1007"/>
        <v>-203.94058157048207</v>
      </c>
      <c r="T816">
        <f t="shared" si="1008"/>
        <v>-0.20394058157048206</v>
      </c>
    </row>
    <row r="817" spans="1:20" x14ac:dyDescent="0.25">
      <c r="A817" s="5">
        <v>43776</v>
      </c>
      <c r="B817">
        <v>0.2414</v>
      </c>
      <c r="C817">
        <v>0.2422</v>
      </c>
      <c r="D817">
        <v>0.22520000000000001</v>
      </c>
      <c r="E817">
        <v>0.2306</v>
      </c>
      <c r="F817">
        <v>594135.12</v>
      </c>
      <c r="G817">
        <v>0</v>
      </c>
      <c r="L817" t="s">
        <v>7</v>
      </c>
      <c r="M817" t="s">
        <v>8</v>
      </c>
      <c r="N817" t="s">
        <v>8</v>
      </c>
      <c r="P817">
        <f t="shared" si="1004"/>
        <v>-0.3647058823529421</v>
      </c>
      <c r="Q817">
        <f t="shared" si="1005"/>
        <v>-216684.57317647114</v>
      </c>
      <c r="R817">
        <f t="shared" si="1006"/>
        <v>-20386222.407090049</v>
      </c>
      <c r="S817">
        <f t="shared" si="1007"/>
        <v>-203.86222407090048</v>
      </c>
      <c r="T817">
        <f t="shared" si="1008"/>
        <v>-0.20386222407090049</v>
      </c>
    </row>
    <row r="818" spans="1:20" x14ac:dyDescent="0.25">
      <c r="A818" s="5">
        <v>43775</v>
      </c>
      <c r="B818">
        <v>0.24329999999999999</v>
      </c>
      <c r="C818">
        <v>0.25180000000000002</v>
      </c>
      <c r="D818">
        <v>0.23719999999999999</v>
      </c>
      <c r="E818">
        <v>0.2409</v>
      </c>
      <c r="F818">
        <v>663779.4</v>
      </c>
      <c r="G818">
        <v>0</v>
      </c>
      <c r="L818" t="s">
        <v>8</v>
      </c>
      <c r="M818" t="s">
        <v>8</v>
      </c>
      <c r="N818" t="s">
        <v>8</v>
      </c>
      <c r="P818">
        <f t="shared" si="1004"/>
        <v>-0.49315068493150666</v>
      </c>
      <c r="Q818">
        <f t="shared" si="1005"/>
        <v>-327343.26575342455</v>
      </c>
      <c r="R818">
        <f t="shared" si="1006"/>
        <v>-20169537.83391358</v>
      </c>
      <c r="S818">
        <f t="shared" si="1007"/>
        <v>-201.6953783391358</v>
      </c>
      <c r="T818">
        <f t="shared" si="1008"/>
        <v>-0.20169537833913581</v>
      </c>
    </row>
    <row r="819" spans="1:20" x14ac:dyDescent="0.25">
      <c r="A819" s="5">
        <v>43774</v>
      </c>
      <c r="B819">
        <v>0.22939999999999999</v>
      </c>
      <c r="C819">
        <v>0.25459999999999999</v>
      </c>
      <c r="D819">
        <v>0.22459999999999999</v>
      </c>
      <c r="E819">
        <v>0.24329999999999999</v>
      </c>
      <c r="F819">
        <v>1242945.8999999999</v>
      </c>
      <c r="G819">
        <v>0</v>
      </c>
      <c r="L819" t="s">
        <v>8</v>
      </c>
      <c r="M819" t="s">
        <v>8</v>
      </c>
      <c r="N819" t="s">
        <v>8</v>
      </c>
      <c r="P819">
        <f t="shared" si="1004"/>
        <v>0.24666666666666634</v>
      </c>
      <c r="Q819">
        <f t="shared" si="1005"/>
        <v>306593.32199999958</v>
      </c>
      <c r="R819">
        <f t="shared" si="1006"/>
        <v>-19842194.568160154</v>
      </c>
      <c r="S819">
        <f t="shared" si="1007"/>
        <v>-198.42194568160153</v>
      </c>
      <c r="T819">
        <f t="shared" si="1008"/>
        <v>-0.19842194568160154</v>
      </c>
    </row>
    <row r="820" spans="1:20" x14ac:dyDescent="0.25">
      <c r="A820" s="5">
        <v>43773</v>
      </c>
      <c r="B820">
        <v>0.22320000000000001</v>
      </c>
      <c r="C820">
        <v>0.23400000000000001</v>
      </c>
      <c r="D820">
        <v>0.22</v>
      </c>
      <c r="E820">
        <v>0.22939999999999999</v>
      </c>
      <c r="F820">
        <v>462851.1</v>
      </c>
      <c r="G820">
        <v>0</v>
      </c>
      <c r="L820" t="s">
        <v>7</v>
      </c>
      <c r="M820" t="s">
        <v>7</v>
      </c>
      <c r="N820" t="s">
        <v>8</v>
      </c>
      <c r="P820">
        <f t="shared" si="1004"/>
        <v>0.34285714285714047</v>
      </c>
      <c r="Q820">
        <f t="shared" si="1005"/>
        <v>158691.80571428459</v>
      </c>
      <c r="R820">
        <f t="shared" si="1006"/>
        <v>-20148787.890160155</v>
      </c>
      <c r="S820">
        <f t="shared" si="1007"/>
        <v>-201.48787890160153</v>
      </c>
      <c r="T820">
        <f t="shared" si="1008"/>
        <v>-0.20148787890160152</v>
      </c>
    </row>
    <row r="821" spans="1:20" x14ac:dyDescent="0.25">
      <c r="A821" s="5">
        <v>43772</v>
      </c>
      <c r="B821">
        <v>0.22839999999999999</v>
      </c>
      <c r="C821">
        <v>0.23019999999999999</v>
      </c>
      <c r="D821">
        <v>0.21879999999999999</v>
      </c>
      <c r="E821">
        <v>0.22320000000000001</v>
      </c>
      <c r="F821">
        <v>389780.77</v>
      </c>
      <c r="G821">
        <v>0</v>
      </c>
      <c r="L821" t="s">
        <v>7</v>
      </c>
      <c r="M821" t="s">
        <v>7</v>
      </c>
      <c r="N821" t="s">
        <v>8</v>
      </c>
      <c r="P821">
        <f t="shared" si="1004"/>
        <v>-0.22807017543859343</v>
      </c>
      <c r="Q821">
        <f t="shared" si="1005"/>
        <v>-88897.368596490036</v>
      </c>
      <c r="R821">
        <f t="shared" si="1006"/>
        <v>-20307479.695874438</v>
      </c>
      <c r="S821">
        <f t="shared" si="1007"/>
        <v>-203.07479695874437</v>
      </c>
      <c r="T821">
        <f t="shared" si="1008"/>
        <v>-0.20307479695874436</v>
      </c>
    </row>
    <row r="822" spans="1:20" x14ac:dyDescent="0.25">
      <c r="A822" s="5">
        <v>43771</v>
      </c>
      <c r="B822">
        <v>0.2281</v>
      </c>
      <c r="C822">
        <v>0.2324</v>
      </c>
      <c r="D822">
        <v>0.22070000000000001</v>
      </c>
      <c r="E822">
        <v>0.2276</v>
      </c>
      <c r="F822">
        <v>214887.72</v>
      </c>
      <c r="G822">
        <v>0</v>
      </c>
      <c r="L822" t="s">
        <v>7</v>
      </c>
      <c r="M822" t="s">
        <v>7</v>
      </c>
      <c r="N822" t="s">
        <v>8</v>
      </c>
      <c r="P822">
        <f t="shared" si="1004"/>
        <v>0.17948717948717888</v>
      </c>
      <c r="Q822">
        <f t="shared" si="1005"/>
        <v>38569.590769230635</v>
      </c>
      <c r="R822">
        <f t="shared" si="1006"/>
        <v>-20218582.327277947</v>
      </c>
      <c r="S822">
        <f t="shared" si="1007"/>
        <v>-202.18582327277946</v>
      </c>
      <c r="T822">
        <f t="shared" si="1008"/>
        <v>-0.20218582327277945</v>
      </c>
    </row>
    <row r="823" spans="1:20" x14ac:dyDescent="0.25">
      <c r="A823" s="5">
        <v>43770</v>
      </c>
      <c r="B823">
        <v>0.2316</v>
      </c>
      <c r="C823">
        <v>0.2329</v>
      </c>
      <c r="D823">
        <v>0.221</v>
      </c>
      <c r="E823">
        <v>0.2271</v>
      </c>
      <c r="F823">
        <v>255186.82</v>
      </c>
      <c r="G823">
        <v>0</v>
      </c>
      <c r="L823" t="s">
        <v>7</v>
      </c>
      <c r="M823" t="s">
        <v>7</v>
      </c>
      <c r="N823" t="s">
        <v>8</v>
      </c>
      <c r="P823">
        <f t="shared" si="1004"/>
        <v>2.5210084033613016E-2</v>
      </c>
      <c r="Q823">
        <f t="shared" si="1005"/>
        <v>6433.2811764704784</v>
      </c>
      <c r="R823">
        <f t="shared" si="1006"/>
        <v>-20257151.918047179</v>
      </c>
      <c r="S823">
        <f t="shared" si="1007"/>
        <v>-202.5715191804718</v>
      </c>
      <c r="T823">
        <f t="shared" si="1008"/>
        <v>-0.20257151918047181</v>
      </c>
    </row>
    <row r="824" spans="1:20" x14ac:dyDescent="0.25">
      <c r="A824" s="5">
        <v>43769</v>
      </c>
      <c r="B824">
        <v>0.22459999999999999</v>
      </c>
      <c r="C824">
        <v>0.2366</v>
      </c>
      <c r="D824">
        <v>0.215</v>
      </c>
      <c r="E824">
        <v>0.2316</v>
      </c>
      <c r="F824">
        <v>505908.67</v>
      </c>
      <c r="G824">
        <v>0</v>
      </c>
      <c r="L824" t="s">
        <v>8</v>
      </c>
      <c r="M824" t="s">
        <v>7</v>
      </c>
      <c r="N824" t="s">
        <v>8</v>
      </c>
      <c r="P824">
        <f t="shared" si="1004"/>
        <v>0.53703703703703676</v>
      </c>
      <c r="Q824">
        <f t="shared" si="1005"/>
        <v>271691.69314814801</v>
      </c>
      <c r="R824">
        <f t="shared" si="1006"/>
        <v>-20263585.199223649</v>
      </c>
      <c r="S824">
        <f t="shared" si="1007"/>
        <v>-202.6358519922365</v>
      </c>
      <c r="T824">
        <f t="shared" si="1008"/>
        <v>-0.20263585199223649</v>
      </c>
    </row>
    <row r="825" spans="1:20" x14ac:dyDescent="0.25">
      <c r="A825" s="5">
        <v>43768</v>
      </c>
      <c r="B825">
        <v>0.22539999999999999</v>
      </c>
      <c r="C825">
        <v>0.2266</v>
      </c>
      <c r="D825">
        <v>0.20749999999999999</v>
      </c>
      <c r="E825">
        <v>0.22370000000000001</v>
      </c>
      <c r="F825">
        <v>458374.06</v>
      </c>
      <c r="G825">
        <v>0</v>
      </c>
      <c r="L825" t="s">
        <v>7</v>
      </c>
      <c r="M825" t="s">
        <v>7</v>
      </c>
      <c r="N825" t="s">
        <v>8</v>
      </c>
      <c r="P825">
        <f t="shared" si="1004"/>
        <v>0.69633507853403298</v>
      </c>
      <c r="Q825">
        <f t="shared" si="1005"/>
        <v>319181.93706806353</v>
      </c>
      <c r="R825">
        <f t="shared" si="1006"/>
        <v>-20535276.892371796</v>
      </c>
      <c r="S825">
        <f t="shared" si="1007"/>
        <v>-205.35276892371797</v>
      </c>
      <c r="T825">
        <f t="shared" si="1008"/>
        <v>-0.20535276892371798</v>
      </c>
    </row>
    <row r="826" spans="1:20" x14ac:dyDescent="0.25">
      <c r="A826" s="5">
        <v>43767</v>
      </c>
      <c r="B826">
        <v>0.21840000000000001</v>
      </c>
      <c r="C826">
        <v>0.22950000000000001</v>
      </c>
      <c r="D826">
        <v>0.21249999999999999</v>
      </c>
      <c r="E826">
        <v>0.22559999999999999</v>
      </c>
      <c r="F826">
        <v>756949.47</v>
      </c>
      <c r="G826">
        <v>0</v>
      </c>
      <c r="L826" t="s">
        <v>7</v>
      </c>
      <c r="M826" t="s">
        <v>7</v>
      </c>
      <c r="N826" t="s">
        <v>8</v>
      </c>
      <c r="P826">
        <f t="shared" si="1004"/>
        <v>0.54117647058823404</v>
      </c>
      <c r="Q826">
        <f t="shared" si="1005"/>
        <v>409643.24258823431</v>
      </c>
      <c r="R826">
        <f t="shared" si="1006"/>
        <v>-20854458.82943986</v>
      </c>
      <c r="S826">
        <f t="shared" si="1007"/>
        <v>-208.54458829439861</v>
      </c>
      <c r="T826">
        <f t="shared" si="1008"/>
        <v>-0.20854458829439862</v>
      </c>
    </row>
    <row r="827" spans="1:20" x14ac:dyDescent="0.25">
      <c r="A827" s="5">
        <v>43766</v>
      </c>
      <c r="B827">
        <v>0.22889999999999999</v>
      </c>
      <c r="C827">
        <v>0.27900000000000003</v>
      </c>
      <c r="D827">
        <v>0.21690000000000001</v>
      </c>
      <c r="E827">
        <v>0.22090000000000001</v>
      </c>
      <c r="F827">
        <v>1034523.65</v>
      </c>
      <c r="G827">
        <v>0</v>
      </c>
      <c r="L827" t="s">
        <v>8</v>
      </c>
      <c r="M827" t="s">
        <v>8</v>
      </c>
      <c r="N827" t="s">
        <v>8</v>
      </c>
      <c r="P827">
        <f t="shared" si="1004"/>
        <v>-0.87117552334943626</v>
      </c>
      <c r="Q827">
        <f t="shared" si="1005"/>
        <v>-901251.68220611906</v>
      </c>
      <c r="R827">
        <f t="shared" si="1006"/>
        <v>-21264102.072028093</v>
      </c>
      <c r="S827">
        <f t="shared" si="1007"/>
        <v>-212.64102072028092</v>
      </c>
      <c r="T827">
        <f t="shared" si="1008"/>
        <v>-0.21264102072028093</v>
      </c>
    </row>
    <row r="828" spans="1:20" x14ac:dyDescent="0.25">
      <c r="A828" s="5">
        <v>43765</v>
      </c>
      <c r="B828">
        <v>0.20150000000000001</v>
      </c>
      <c r="C828">
        <v>0.24879999999999999</v>
      </c>
      <c r="D828">
        <v>0.1966</v>
      </c>
      <c r="E828">
        <v>0.2288</v>
      </c>
      <c r="F828">
        <v>1661020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0.23371647509578578</v>
      </c>
      <c r="Q828">
        <f t="shared" si="1005"/>
        <v>388207.73946360208</v>
      </c>
      <c r="R828">
        <f t="shared" si="1006"/>
        <v>-20362850.389821973</v>
      </c>
      <c r="S828">
        <f t="shared" si="1007"/>
        <v>-203.62850389821972</v>
      </c>
      <c r="T828">
        <f t="shared" si="1008"/>
        <v>-0.20362850389821971</v>
      </c>
    </row>
    <row r="829" spans="1:20" x14ac:dyDescent="0.25">
      <c r="A829" s="5">
        <v>43764</v>
      </c>
      <c r="B829">
        <v>0.19889999999999999</v>
      </c>
      <c r="C829">
        <v>0.223</v>
      </c>
      <c r="D829">
        <v>0.19570000000000001</v>
      </c>
      <c r="E829">
        <v>0.20150000000000001</v>
      </c>
      <c r="F829">
        <v>747337.38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-0.57509157509157494</v>
      </c>
      <c r="Q829">
        <f t="shared" si="1005"/>
        <v>-429787.4309890109</v>
      </c>
      <c r="R829">
        <f t="shared" si="1006"/>
        <v>-20751058.129285574</v>
      </c>
      <c r="S829">
        <f t="shared" si="1007"/>
        <v>-207.51058129285573</v>
      </c>
      <c r="T829">
        <f t="shared" si="1008"/>
        <v>-0.20751058129285574</v>
      </c>
    </row>
    <row r="830" spans="1:20" x14ac:dyDescent="0.25">
      <c r="A830" s="5">
        <v>43763</v>
      </c>
      <c r="B830">
        <v>0.1789</v>
      </c>
      <c r="C830">
        <v>0.20100000000000001</v>
      </c>
      <c r="D830">
        <v>0.17799999999999999</v>
      </c>
      <c r="E830">
        <v>0.1971</v>
      </c>
      <c r="F830">
        <v>356354.74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0.66086956521739038</v>
      </c>
      <c r="Q830">
        <f t="shared" si="1005"/>
        <v>235504.00208695617</v>
      </c>
      <c r="R830">
        <f t="shared" si="1006"/>
        <v>-20321270.698296562</v>
      </c>
      <c r="S830">
        <f t="shared" si="1007"/>
        <v>-203.21270698296561</v>
      </c>
      <c r="T830">
        <f t="shared" si="1008"/>
        <v>-0.20321270698296562</v>
      </c>
    </row>
    <row r="831" spans="1:20" x14ac:dyDescent="0.25">
      <c r="A831" s="5">
        <v>43762</v>
      </c>
      <c r="B831">
        <v>0.1789</v>
      </c>
      <c r="C831">
        <v>0.1822</v>
      </c>
      <c r="D831">
        <v>0.17480000000000001</v>
      </c>
      <c r="E831">
        <v>0.18140000000000001</v>
      </c>
      <c r="F831">
        <v>122646.67</v>
      </c>
      <c r="G831">
        <v>0</v>
      </c>
      <c r="L831" t="s">
        <v>7</v>
      </c>
      <c r="M831" t="s">
        <v>7</v>
      </c>
      <c r="N831" t="s">
        <v>7</v>
      </c>
      <c r="P831">
        <f t="shared" ref="P831:P889" si="1009">IF(C831=D831,0,((E831-D831)-(C831-E831))/(C831-D831))</f>
        <v>0.78378378378378477</v>
      </c>
      <c r="Q831">
        <f t="shared" ref="Q831:Q889" si="1010">F831*P831</f>
        <v>96128.471081081196</v>
      </c>
      <c r="R831">
        <f t="shared" ref="R831:R889" si="1011">R832+Q831</f>
        <v>-20556774.700383518</v>
      </c>
      <c r="S831">
        <f t="shared" ref="S831:S889" si="1012">R831/100000</f>
        <v>-205.56774700383517</v>
      </c>
      <c r="T831">
        <f t="shared" ref="T831:T889" si="1013">S831/1000</f>
        <v>-0.20556774700383518</v>
      </c>
    </row>
    <row r="832" spans="1:20" x14ac:dyDescent="0.25">
      <c r="A832" s="5">
        <v>43761</v>
      </c>
      <c r="B832">
        <v>0.19550000000000001</v>
      </c>
      <c r="C832">
        <v>0.1988</v>
      </c>
      <c r="D832">
        <v>0.17169999999999999</v>
      </c>
      <c r="E832">
        <v>0.1789</v>
      </c>
      <c r="F832">
        <v>365924.2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-0.46863468634686284</v>
      </c>
      <c r="Q832">
        <f t="shared" si="1010"/>
        <v>-171484.7726937267</v>
      </c>
      <c r="R832">
        <f t="shared" si="1011"/>
        <v>-20652903.1714646</v>
      </c>
      <c r="S832">
        <f t="shared" si="1012"/>
        <v>-206.52903171464601</v>
      </c>
      <c r="T832">
        <f t="shared" si="1013"/>
        <v>-0.20652903171464601</v>
      </c>
    </row>
    <row r="833" spans="1:20" x14ac:dyDescent="0.25">
      <c r="A833" s="5">
        <v>43760</v>
      </c>
      <c r="B833">
        <v>0.2029</v>
      </c>
      <c r="C833">
        <v>0.20419999999999999</v>
      </c>
      <c r="D833">
        <v>0.19539999999999999</v>
      </c>
      <c r="E833">
        <v>0.1961</v>
      </c>
      <c r="F833">
        <v>153238.94</v>
      </c>
      <c r="G833">
        <v>0</v>
      </c>
      <c r="L833" t="s">
        <v>8</v>
      </c>
      <c r="M833" t="s">
        <v>7</v>
      </c>
      <c r="N833" t="s">
        <v>8</v>
      </c>
      <c r="P833">
        <f t="shared" si="1009"/>
        <v>-0.8409090909090895</v>
      </c>
      <c r="Q833">
        <f t="shared" si="1010"/>
        <v>-128860.01772727251</v>
      </c>
      <c r="R833">
        <f t="shared" si="1011"/>
        <v>-20481418.398770873</v>
      </c>
      <c r="S833">
        <f t="shared" si="1012"/>
        <v>-204.81418398770873</v>
      </c>
      <c r="T833">
        <f t="shared" si="1013"/>
        <v>-0.20481418398770873</v>
      </c>
    </row>
    <row r="834" spans="1:20" x14ac:dyDescent="0.25">
      <c r="A834" s="5">
        <v>43759</v>
      </c>
      <c r="B834">
        <v>0.1991</v>
      </c>
      <c r="C834">
        <v>0.20530000000000001</v>
      </c>
      <c r="D834">
        <v>0.19500000000000001</v>
      </c>
      <c r="E834">
        <v>0.2029</v>
      </c>
      <c r="F834">
        <v>448042.33</v>
      </c>
      <c r="G834">
        <v>0</v>
      </c>
      <c r="L834" t="s">
        <v>8</v>
      </c>
      <c r="M834" t="s">
        <v>7</v>
      </c>
      <c r="N834" t="s">
        <v>8</v>
      </c>
      <c r="P834">
        <f t="shared" si="1009"/>
        <v>0.53398058252426939</v>
      </c>
      <c r="Q834">
        <f t="shared" si="1010"/>
        <v>239245.90436893093</v>
      </c>
      <c r="R834">
        <f t="shared" si="1011"/>
        <v>-20352558.381043602</v>
      </c>
      <c r="S834">
        <f t="shared" si="1012"/>
        <v>-203.52558381043602</v>
      </c>
      <c r="T834">
        <f t="shared" si="1013"/>
        <v>-0.20352558381043601</v>
      </c>
    </row>
    <row r="835" spans="1:20" x14ac:dyDescent="0.25">
      <c r="A835" s="5">
        <v>43758</v>
      </c>
      <c r="B835">
        <v>0.1893</v>
      </c>
      <c r="C835">
        <v>0.19989999999999999</v>
      </c>
      <c r="D835">
        <v>0.18679999999999999</v>
      </c>
      <c r="E835">
        <v>0.1991</v>
      </c>
      <c r="F835">
        <v>254126.38</v>
      </c>
      <c r="G835">
        <v>0</v>
      </c>
      <c r="L835" t="s">
        <v>7</v>
      </c>
      <c r="M835" t="s">
        <v>7</v>
      </c>
      <c r="N835" t="s">
        <v>8</v>
      </c>
      <c r="P835">
        <f t="shared" si="1009"/>
        <v>0.87786259541984812</v>
      </c>
      <c r="Q835">
        <f t="shared" si="1010"/>
        <v>223088.04351145058</v>
      </c>
      <c r="R835">
        <f t="shared" si="1011"/>
        <v>-20591804.285412531</v>
      </c>
      <c r="S835">
        <f t="shared" si="1012"/>
        <v>-205.9180428541253</v>
      </c>
      <c r="T835">
        <f t="shared" si="1013"/>
        <v>-0.20591804285412529</v>
      </c>
    </row>
    <row r="836" spans="1:20" x14ac:dyDescent="0.25">
      <c r="A836" s="5">
        <v>43757</v>
      </c>
      <c r="B836">
        <v>0.191</v>
      </c>
      <c r="C836">
        <v>0.19400000000000001</v>
      </c>
      <c r="D836">
        <v>0.18759999999999999</v>
      </c>
      <c r="E836">
        <v>0.1915</v>
      </c>
      <c r="F836">
        <v>155478.25</v>
      </c>
      <c r="G836">
        <v>0</v>
      </c>
      <c r="L836" t="s">
        <v>7</v>
      </c>
      <c r="M836" t="s">
        <v>7</v>
      </c>
      <c r="N836" t="s">
        <v>8</v>
      </c>
      <c r="P836">
        <f t="shared" si="1009"/>
        <v>0.21875000000000136</v>
      </c>
      <c r="Q836">
        <f t="shared" si="1010"/>
        <v>34010.867187500211</v>
      </c>
      <c r="R836">
        <f t="shared" si="1011"/>
        <v>-20814892.328923982</v>
      </c>
      <c r="S836">
        <f t="shared" si="1012"/>
        <v>-208.1489232892398</v>
      </c>
      <c r="T836">
        <f t="shared" si="1013"/>
        <v>-0.20814892328923981</v>
      </c>
    </row>
    <row r="837" spans="1:20" x14ac:dyDescent="0.25">
      <c r="A837" s="5">
        <v>43756</v>
      </c>
      <c r="B837">
        <v>0.1976</v>
      </c>
      <c r="C837">
        <v>0.19950000000000001</v>
      </c>
      <c r="D837">
        <v>0.187</v>
      </c>
      <c r="E837">
        <v>0.19139999999999999</v>
      </c>
      <c r="F837">
        <v>252714.59</v>
      </c>
      <c r="G837">
        <v>0</v>
      </c>
      <c r="L837" t="s">
        <v>7</v>
      </c>
      <c r="M837" t="s">
        <v>7</v>
      </c>
      <c r="N837" t="s">
        <v>8</v>
      </c>
      <c r="P837">
        <f t="shared" si="1009"/>
        <v>-0.29600000000000265</v>
      </c>
      <c r="Q837">
        <f t="shared" si="1010"/>
        <v>-74803.518640000664</v>
      </c>
      <c r="R837">
        <f t="shared" si="1011"/>
        <v>-20848903.196111482</v>
      </c>
      <c r="S837">
        <f t="shared" si="1012"/>
        <v>-208.48903196111482</v>
      </c>
      <c r="T837">
        <f t="shared" si="1013"/>
        <v>-0.20848903196111482</v>
      </c>
    </row>
    <row r="838" spans="1:20" x14ac:dyDescent="0.25">
      <c r="A838" s="5">
        <v>43755</v>
      </c>
      <c r="B838">
        <v>0.1905</v>
      </c>
      <c r="C838">
        <v>0.20119999999999999</v>
      </c>
      <c r="D838">
        <v>0.1862</v>
      </c>
      <c r="E838">
        <v>0.19950000000000001</v>
      </c>
      <c r="F838">
        <v>257620.88</v>
      </c>
      <c r="G838">
        <v>0</v>
      </c>
      <c r="L838" t="s">
        <v>8</v>
      </c>
      <c r="M838" t="s">
        <v>7</v>
      </c>
      <c r="N838" t="s">
        <v>8</v>
      </c>
      <c r="P838">
        <f t="shared" si="1009"/>
        <v>0.77333333333333587</v>
      </c>
      <c r="Q838">
        <f t="shared" si="1010"/>
        <v>199226.81386666733</v>
      </c>
      <c r="R838">
        <f t="shared" si="1011"/>
        <v>-20774099.677471481</v>
      </c>
      <c r="S838">
        <f t="shared" si="1012"/>
        <v>-207.7409967747148</v>
      </c>
      <c r="T838">
        <f t="shared" si="1013"/>
        <v>-0.2077409967747148</v>
      </c>
    </row>
    <row r="839" spans="1:20" x14ac:dyDescent="0.25">
      <c r="A839" s="5">
        <v>43754</v>
      </c>
      <c r="B839">
        <v>0.20119999999999999</v>
      </c>
      <c r="C839">
        <v>0.20230000000000001</v>
      </c>
      <c r="D839">
        <v>0.18440000000000001</v>
      </c>
      <c r="E839">
        <v>0.19220000000000001</v>
      </c>
      <c r="F839">
        <v>293110.7</v>
      </c>
      <c r="G839">
        <v>0</v>
      </c>
      <c r="L839" t="s">
        <v>7</v>
      </c>
      <c r="M839" t="s">
        <v>7</v>
      </c>
      <c r="N839" t="s">
        <v>8</v>
      </c>
      <c r="P839">
        <f t="shared" si="1009"/>
        <v>-0.12849162011173165</v>
      </c>
      <c r="Q839">
        <f t="shared" si="1010"/>
        <v>-37662.268715083745</v>
      </c>
      <c r="R839">
        <f t="shared" si="1011"/>
        <v>-20973326.491338149</v>
      </c>
      <c r="S839">
        <f t="shared" si="1012"/>
        <v>-209.73326491338148</v>
      </c>
      <c r="T839">
        <f t="shared" si="1013"/>
        <v>-0.20973326491338148</v>
      </c>
    </row>
    <row r="840" spans="1:20" x14ac:dyDescent="0.25">
      <c r="A840" s="5">
        <v>43753</v>
      </c>
      <c r="B840">
        <v>0.2135</v>
      </c>
      <c r="C840">
        <v>0.21460000000000001</v>
      </c>
      <c r="D840">
        <v>0.19900000000000001</v>
      </c>
      <c r="E840">
        <v>0.20119999999999999</v>
      </c>
      <c r="F840">
        <v>518694.5</v>
      </c>
      <c r="G840">
        <v>0</v>
      </c>
      <c r="L840" t="s">
        <v>7</v>
      </c>
      <c r="M840" t="s">
        <v>7</v>
      </c>
      <c r="N840" t="s">
        <v>8</v>
      </c>
      <c r="P840">
        <f t="shared" si="1009"/>
        <v>-0.71794871794872062</v>
      </c>
      <c r="Q840">
        <f t="shared" si="1010"/>
        <v>-372396.05128205265</v>
      </c>
      <c r="R840">
        <f t="shared" si="1011"/>
        <v>-20935664.222623065</v>
      </c>
      <c r="S840">
        <f t="shared" si="1012"/>
        <v>-209.35664222623066</v>
      </c>
      <c r="T840">
        <f t="shared" si="1013"/>
        <v>-0.20935664222623065</v>
      </c>
    </row>
    <row r="841" spans="1:20" x14ac:dyDescent="0.25">
      <c r="A841" s="5">
        <v>43752</v>
      </c>
      <c r="B841">
        <v>0.20430000000000001</v>
      </c>
      <c r="C841">
        <v>0.21829999999999999</v>
      </c>
      <c r="D841">
        <v>0.20369999999999999</v>
      </c>
      <c r="E841">
        <v>0.21429999999999999</v>
      </c>
      <c r="F841">
        <v>358791.15</v>
      </c>
      <c r="G841">
        <v>0</v>
      </c>
      <c r="L841" t="s">
        <v>8</v>
      </c>
      <c r="M841" t="s">
        <v>7</v>
      </c>
      <c r="N841" t="s">
        <v>8</v>
      </c>
      <c r="P841">
        <f t="shared" si="1009"/>
        <v>0.45205479452054753</v>
      </c>
      <c r="Q841">
        <f t="shared" si="1010"/>
        <v>162193.25958904097</v>
      </c>
      <c r="R841">
        <f t="shared" si="1011"/>
        <v>-20563268.171341013</v>
      </c>
      <c r="S841">
        <f t="shared" si="1012"/>
        <v>-205.63268171341014</v>
      </c>
      <c r="T841">
        <f t="shared" si="1013"/>
        <v>-0.20563268171341015</v>
      </c>
    </row>
    <row r="842" spans="1:20" x14ac:dyDescent="0.25">
      <c r="A842" s="5">
        <v>43751</v>
      </c>
      <c r="B842">
        <v>0.2024</v>
      </c>
      <c r="C842">
        <v>0.2087</v>
      </c>
      <c r="D842">
        <v>0.19600000000000001</v>
      </c>
      <c r="E842">
        <v>0.20569999999999999</v>
      </c>
      <c r="F842">
        <v>320818.7</v>
      </c>
      <c r="G842">
        <v>0</v>
      </c>
      <c r="L842" t="s">
        <v>7</v>
      </c>
      <c r="M842" t="s">
        <v>7</v>
      </c>
      <c r="N842" t="s">
        <v>8</v>
      </c>
      <c r="P842">
        <f t="shared" si="1009"/>
        <v>0.52755905511810941</v>
      </c>
      <c r="Q842">
        <f t="shared" si="1010"/>
        <v>169250.81023622022</v>
      </c>
      <c r="R842">
        <f t="shared" si="1011"/>
        <v>-20725461.430930056</v>
      </c>
      <c r="S842">
        <f t="shared" si="1012"/>
        <v>-207.25461430930056</v>
      </c>
      <c r="T842">
        <f t="shared" si="1013"/>
        <v>-0.20725461430930056</v>
      </c>
    </row>
    <row r="843" spans="1:20" x14ac:dyDescent="0.25">
      <c r="A843" s="5">
        <v>43750</v>
      </c>
      <c r="B843">
        <v>0.20680000000000001</v>
      </c>
      <c r="C843">
        <v>0.20899999999999999</v>
      </c>
      <c r="D843">
        <v>0.2</v>
      </c>
      <c r="E843">
        <v>0.2024</v>
      </c>
      <c r="F843">
        <v>467202.09</v>
      </c>
      <c r="G843">
        <v>0</v>
      </c>
      <c r="L843" t="s">
        <v>7</v>
      </c>
      <c r="M843" t="s">
        <v>7</v>
      </c>
      <c r="N843" t="s">
        <v>8</v>
      </c>
      <c r="P843">
        <f t="shared" si="1009"/>
        <v>-0.46666666666666873</v>
      </c>
      <c r="Q843">
        <f t="shared" si="1010"/>
        <v>-218027.64200000098</v>
      </c>
      <c r="R843">
        <f t="shared" si="1011"/>
        <v>-20894712.241166275</v>
      </c>
      <c r="S843">
        <f t="shared" si="1012"/>
        <v>-208.94712241166275</v>
      </c>
      <c r="T843">
        <f t="shared" si="1013"/>
        <v>-0.20894712241166274</v>
      </c>
    </row>
    <row r="844" spans="1:20" x14ac:dyDescent="0.25">
      <c r="A844" s="5">
        <v>43749</v>
      </c>
      <c r="B844">
        <v>0.21729999999999999</v>
      </c>
      <c r="C844">
        <v>0.21729999999999999</v>
      </c>
      <c r="D844">
        <v>0.20150000000000001</v>
      </c>
      <c r="E844">
        <v>0.20610000000000001</v>
      </c>
      <c r="F844">
        <v>829996.34</v>
      </c>
      <c r="G844">
        <v>0</v>
      </c>
      <c r="L844" t="s">
        <v>7</v>
      </c>
      <c r="M844" t="s">
        <v>7</v>
      </c>
      <c r="N844" t="s">
        <v>8</v>
      </c>
      <c r="P844">
        <f t="shared" si="1009"/>
        <v>-0.41772151898734194</v>
      </c>
      <c r="Q844">
        <f t="shared" si="1010"/>
        <v>-346707.33189873432</v>
      </c>
      <c r="R844">
        <f t="shared" si="1011"/>
        <v>-20676684.599166274</v>
      </c>
      <c r="S844">
        <f t="shared" si="1012"/>
        <v>-206.76684599166273</v>
      </c>
      <c r="T844">
        <f t="shared" si="1013"/>
        <v>-0.20676684599166273</v>
      </c>
    </row>
    <row r="845" spans="1:20" x14ac:dyDescent="0.25">
      <c r="A845" s="5">
        <v>43748</v>
      </c>
      <c r="B845">
        <v>0.24099999999999999</v>
      </c>
      <c r="C845">
        <v>0.24340000000000001</v>
      </c>
      <c r="D845">
        <v>0.21360000000000001</v>
      </c>
      <c r="E845">
        <v>0.21740000000000001</v>
      </c>
      <c r="F845">
        <v>743697.46</v>
      </c>
      <c r="G845">
        <v>0</v>
      </c>
      <c r="L845" t="s">
        <v>7</v>
      </c>
      <c r="M845" t="s">
        <v>8</v>
      </c>
      <c r="N845" t="s">
        <v>8</v>
      </c>
      <c r="P845">
        <f t="shared" si="1009"/>
        <v>-0.74496644295302017</v>
      </c>
      <c r="Q845">
        <f t="shared" si="1010"/>
        <v>-554029.65140939597</v>
      </c>
      <c r="R845">
        <f t="shared" si="1011"/>
        <v>-20329977.26726754</v>
      </c>
      <c r="S845">
        <f t="shared" si="1012"/>
        <v>-203.2997726726754</v>
      </c>
      <c r="T845">
        <f t="shared" si="1013"/>
        <v>-0.20329977267267541</v>
      </c>
    </row>
    <row r="846" spans="1:20" x14ac:dyDescent="0.25">
      <c r="A846" s="5">
        <v>43747</v>
      </c>
      <c r="B846">
        <v>0.21360000000000001</v>
      </c>
      <c r="C846">
        <v>0.24690000000000001</v>
      </c>
      <c r="D846">
        <v>0.2094</v>
      </c>
      <c r="E846">
        <v>0.2409</v>
      </c>
      <c r="F846">
        <v>1630262.42</v>
      </c>
      <c r="G846">
        <v>0</v>
      </c>
      <c r="L846" t="s">
        <v>8</v>
      </c>
      <c r="M846" t="s">
        <v>8</v>
      </c>
      <c r="N846" t="s">
        <v>8</v>
      </c>
      <c r="P846">
        <f t="shared" si="1009"/>
        <v>0.67999999999999972</v>
      </c>
      <c r="Q846">
        <f t="shared" si="1010"/>
        <v>1108578.4455999995</v>
      </c>
      <c r="R846">
        <f t="shared" si="1011"/>
        <v>-19775947.615858145</v>
      </c>
      <c r="S846">
        <f t="shared" si="1012"/>
        <v>-197.75947615858146</v>
      </c>
      <c r="T846">
        <f t="shared" si="1013"/>
        <v>-0.19775947615858147</v>
      </c>
    </row>
    <row r="847" spans="1:20" x14ac:dyDescent="0.25">
      <c r="A847" s="5">
        <v>43746</v>
      </c>
      <c r="B847">
        <v>0.20280000000000001</v>
      </c>
      <c r="C847">
        <v>0.21590000000000001</v>
      </c>
      <c r="D847">
        <v>0.1971</v>
      </c>
      <c r="E847">
        <v>0.2137</v>
      </c>
      <c r="F847">
        <v>477449.5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0.76595744680850997</v>
      </c>
      <c r="Q847">
        <f t="shared" si="1010"/>
        <v>365705.99999999965</v>
      </c>
      <c r="R847">
        <f t="shared" si="1011"/>
        <v>-20884526.061458144</v>
      </c>
      <c r="S847">
        <f t="shared" si="1012"/>
        <v>-208.84526061458143</v>
      </c>
      <c r="T847">
        <f t="shared" si="1013"/>
        <v>-0.20884526061458145</v>
      </c>
    </row>
    <row r="848" spans="1:20" x14ac:dyDescent="0.25">
      <c r="A848" s="5">
        <v>43745</v>
      </c>
      <c r="B848">
        <v>0.19009999999999999</v>
      </c>
      <c r="C848">
        <v>0.2041</v>
      </c>
      <c r="D848">
        <v>0.188</v>
      </c>
      <c r="E848">
        <v>0.20280000000000001</v>
      </c>
      <c r="F848">
        <v>230396.49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0.83850931677018692</v>
      </c>
      <c r="Q848">
        <f t="shared" si="1010"/>
        <v>193189.60341614918</v>
      </c>
      <c r="R848">
        <f t="shared" si="1011"/>
        <v>-21250232.061458144</v>
      </c>
      <c r="S848">
        <f t="shared" si="1012"/>
        <v>-212.50232061458144</v>
      </c>
      <c r="T848">
        <f t="shared" si="1013"/>
        <v>-0.21250232061458144</v>
      </c>
    </row>
    <row r="849" spans="1:20" x14ac:dyDescent="0.25">
      <c r="A849" s="5">
        <v>43744</v>
      </c>
      <c r="B849">
        <v>0.20200000000000001</v>
      </c>
      <c r="C849">
        <v>0.2031</v>
      </c>
      <c r="D849">
        <v>0.189</v>
      </c>
      <c r="E849">
        <v>0.1898</v>
      </c>
      <c r="F849">
        <v>264147.69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-0.88652482269503619</v>
      </c>
      <c r="Q849">
        <f t="shared" si="1010"/>
        <v>-234173.48404255338</v>
      </c>
      <c r="R849">
        <f t="shared" si="1011"/>
        <v>-21443421.664874293</v>
      </c>
      <c r="S849">
        <f t="shared" si="1012"/>
        <v>-214.43421664874293</v>
      </c>
      <c r="T849">
        <f t="shared" si="1013"/>
        <v>-0.21443421664874293</v>
      </c>
    </row>
    <row r="850" spans="1:20" x14ac:dyDescent="0.25">
      <c r="A850" s="5">
        <v>43743</v>
      </c>
      <c r="B850">
        <v>0.2026</v>
      </c>
      <c r="C850">
        <v>0.21240000000000001</v>
      </c>
      <c r="D850">
        <v>0.19700000000000001</v>
      </c>
      <c r="E850">
        <v>0.20169999999999999</v>
      </c>
      <c r="F850">
        <v>315192.45</v>
      </c>
      <c r="G850">
        <v>0</v>
      </c>
      <c r="L850" t="s">
        <v>7</v>
      </c>
      <c r="M850" t="s">
        <v>8</v>
      </c>
      <c r="N850" t="s">
        <v>7</v>
      </c>
      <c r="P850">
        <f t="shared" si="1009"/>
        <v>-0.38961038961039185</v>
      </c>
      <c r="Q850">
        <f t="shared" si="1010"/>
        <v>-122802.25324675396</v>
      </c>
      <c r="R850">
        <f t="shared" si="1011"/>
        <v>-21209248.180831738</v>
      </c>
      <c r="S850">
        <f t="shared" si="1012"/>
        <v>-212.09248180831739</v>
      </c>
      <c r="T850">
        <f t="shared" si="1013"/>
        <v>-0.21209248180831738</v>
      </c>
    </row>
    <row r="851" spans="1:20" x14ac:dyDescent="0.25">
      <c r="A851" s="5">
        <v>43742</v>
      </c>
      <c r="B851">
        <v>0.20979999999999999</v>
      </c>
      <c r="C851">
        <v>0.20979999999999999</v>
      </c>
      <c r="D851">
        <v>0.1993</v>
      </c>
      <c r="E851">
        <v>0.2036</v>
      </c>
      <c r="F851">
        <v>229007.31</v>
      </c>
      <c r="G851">
        <v>0</v>
      </c>
      <c r="L851" t="s">
        <v>8</v>
      </c>
      <c r="M851" t="s">
        <v>8</v>
      </c>
      <c r="N851" t="s">
        <v>7</v>
      </c>
      <c r="P851">
        <f t="shared" si="1009"/>
        <v>-0.18095238095237984</v>
      </c>
      <c r="Q851">
        <f t="shared" si="1010"/>
        <v>-41439.417999999743</v>
      </c>
      <c r="R851">
        <f t="shared" si="1011"/>
        <v>-21086445.927584983</v>
      </c>
      <c r="S851">
        <f t="shared" si="1012"/>
        <v>-210.86445927584984</v>
      </c>
      <c r="T851">
        <f t="shared" si="1013"/>
        <v>-0.21086445927584985</v>
      </c>
    </row>
    <row r="852" spans="1:20" x14ac:dyDescent="0.25">
      <c r="A852" s="5">
        <v>43741</v>
      </c>
      <c r="B852">
        <v>0.2084</v>
      </c>
      <c r="C852">
        <v>0.21160000000000001</v>
      </c>
      <c r="D852">
        <v>0.19750000000000001</v>
      </c>
      <c r="E852">
        <v>0.21029999999999999</v>
      </c>
      <c r="F852">
        <v>696253.17</v>
      </c>
      <c r="G852">
        <v>0</v>
      </c>
      <c r="L852" t="s">
        <v>8</v>
      </c>
      <c r="M852" t="s">
        <v>8</v>
      </c>
      <c r="N852" t="s">
        <v>7</v>
      </c>
      <c r="P852">
        <f t="shared" si="1009"/>
        <v>0.81560283687942936</v>
      </c>
      <c r="Q852">
        <f t="shared" si="1010"/>
        <v>567866.0606382956</v>
      </c>
      <c r="R852">
        <f t="shared" si="1011"/>
        <v>-21045006.509584982</v>
      </c>
      <c r="S852">
        <f t="shared" si="1012"/>
        <v>-210.45006509584982</v>
      </c>
      <c r="T852">
        <f t="shared" si="1013"/>
        <v>-0.21045006509584982</v>
      </c>
    </row>
    <row r="853" spans="1:20" x14ac:dyDescent="0.25">
      <c r="A853" s="5">
        <v>43740</v>
      </c>
      <c r="B853">
        <v>0.19020000000000001</v>
      </c>
      <c r="C853">
        <v>0.2114</v>
      </c>
      <c r="D853">
        <v>0.18820000000000001</v>
      </c>
      <c r="E853">
        <v>0.2084</v>
      </c>
      <c r="F853">
        <v>424014.35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0.74137931034482729</v>
      </c>
      <c r="Q853">
        <f t="shared" si="1010"/>
        <v>314355.46637931018</v>
      </c>
      <c r="R853">
        <f t="shared" si="1011"/>
        <v>-21612872.570223279</v>
      </c>
      <c r="S853">
        <f t="shared" si="1012"/>
        <v>-216.1287257022328</v>
      </c>
      <c r="T853">
        <f t="shared" si="1013"/>
        <v>-0.21612872570223279</v>
      </c>
    </row>
    <row r="854" spans="1:20" x14ac:dyDescent="0.25">
      <c r="A854" s="5">
        <v>43739</v>
      </c>
      <c r="B854">
        <v>0.1946</v>
      </c>
      <c r="C854">
        <v>0.20100000000000001</v>
      </c>
      <c r="D854">
        <v>0.18770000000000001</v>
      </c>
      <c r="E854">
        <v>0.19009999999999999</v>
      </c>
      <c r="F854">
        <v>384887.91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-0.63909774436090461</v>
      </c>
      <c r="Q854">
        <f t="shared" si="1010"/>
        <v>-245980.99511278284</v>
      </c>
      <c r="R854">
        <f t="shared" si="1011"/>
        <v>-21927228.03660259</v>
      </c>
      <c r="S854">
        <f t="shared" si="1012"/>
        <v>-219.27228036602591</v>
      </c>
      <c r="T854">
        <f t="shared" si="1013"/>
        <v>-0.21927228036602592</v>
      </c>
    </row>
    <row r="855" spans="1:20" x14ac:dyDescent="0.25">
      <c r="A855" s="5">
        <v>43738</v>
      </c>
      <c r="B855">
        <v>0.1845</v>
      </c>
      <c r="C855">
        <v>0.1948</v>
      </c>
      <c r="D855">
        <v>0.17610000000000001</v>
      </c>
      <c r="E855">
        <v>0.1948</v>
      </c>
      <c r="F855">
        <v>536780.36</v>
      </c>
      <c r="G855">
        <v>0</v>
      </c>
      <c r="L855" t="s">
        <v>8</v>
      </c>
      <c r="M855" t="s">
        <v>7</v>
      </c>
      <c r="N855" t="s">
        <v>7</v>
      </c>
      <c r="P855">
        <f t="shared" si="1009"/>
        <v>1</v>
      </c>
      <c r="Q855">
        <f t="shared" si="1010"/>
        <v>536780.36</v>
      </c>
      <c r="R855">
        <f t="shared" si="1011"/>
        <v>-21681247.041489806</v>
      </c>
      <c r="S855">
        <f t="shared" si="1012"/>
        <v>-216.81247041489806</v>
      </c>
      <c r="T855">
        <f t="shared" si="1013"/>
        <v>-0.21681247041489807</v>
      </c>
    </row>
    <row r="856" spans="1:20" x14ac:dyDescent="0.25">
      <c r="A856" s="5">
        <v>43737</v>
      </c>
      <c r="B856">
        <v>0.19139999999999999</v>
      </c>
      <c r="C856">
        <v>0.1915</v>
      </c>
      <c r="D856">
        <v>0.17649999999999999</v>
      </c>
      <c r="E856">
        <v>0.18360000000000001</v>
      </c>
      <c r="F856">
        <v>277966.59999999998</v>
      </c>
      <c r="G856">
        <v>0</v>
      </c>
      <c r="L856" t="s">
        <v>7</v>
      </c>
      <c r="M856" t="s">
        <v>7</v>
      </c>
      <c r="N856" t="s">
        <v>7</v>
      </c>
      <c r="P856">
        <f t="shared" si="1009"/>
        <v>-5.3333333333331116E-2</v>
      </c>
      <c r="Q856">
        <f t="shared" si="1010"/>
        <v>-14824.885333332715</v>
      </c>
      <c r="R856">
        <f t="shared" si="1011"/>
        <v>-22218027.401489805</v>
      </c>
      <c r="S856">
        <f t="shared" si="1012"/>
        <v>-222.18027401489806</v>
      </c>
      <c r="T856">
        <f t="shared" si="1013"/>
        <v>-0.22218027401489807</v>
      </c>
    </row>
    <row r="857" spans="1:20" x14ac:dyDescent="0.25">
      <c r="A857" s="5">
        <v>43736</v>
      </c>
      <c r="B857">
        <v>0.19089999999999999</v>
      </c>
      <c r="C857">
        <v>0.19589999999999999</v>
      </c>
      <c r="D857">
        <v>0.18659999999999999</v>
      </c>
      <c r="E857">
        <v>0.19139999999999999</v>
      </c>
      <c r="F857">
        <v>343457.92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3.2258064516128455E-2</v>
      </c>
      <c r="Q857">
        <f t="shared" si="1010"/>
        <v>11079.287741935284</v>
      </c>
      <c r="R857">
        <f t="shared" si="1011"/>
        <v>-22203202.516156472</v>
      </c>
      <c r="S857">
        <f t="shared" si="1012"/>
        <v>-222.03202516156472</v>
      </c>
      <c r="T857">
        <f t="shared" si="1013"/>
        <v>-0.22203202516156473</v>
      </c>
    </row>
    <row r="858" spans="1:20" x14ac:dyDescent="0.25">
      <c r="A858" s="5">
        <v>43735</v>
      </c>
      <c r="B858">
        <v>0.1867</v>
      </c>
      <c r="C858">
        <v>0.1925</v>
      </c>
      <c r="D858">
        <v>0.18260000000000001</v>
      </c>
      <c r="E858">
        <v>0.19089999999999999</v>
      </c>
      <c r="F858">
        <v>617078.89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0.67676767676767291</v>
      </c>
      <c r="Q858">
        <f t="shared" si="1010"/>
        <v>417619.04676767439</v>
      </c>
      <c r="R858">
        <f t="shared" si="1011"/>
        <v>-22214281.803898409</v>
      </c>
      <c r="S858">
        <f t="shared" si="1012"/>
        <v>-222.1428180389841</v>
      </c>
      <c r="T858">
        <f t="shared" si="1013"/>
        <v>-0.22214281803898411</v>
      </c>
    </row>
    <row r="859" spans="1:20" x14ac:dyDescent="0.25">
      <c r="A859" s="5">
        <v>43734</v>
      </c>
      <c r="B859">
        <v>0.20030000000000001</v>
      </c>
      <c r="C859">
        <v>0.21</v>
      </c>
      <c r="D859">
        <v>0.17019999999999999</v>
      </c>
      <c r="E859">
        <v>0.18690000000000001</v>
      </c>
      <c r="F859">
        <v>1349877.7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-0.16080402010050154</v>
      </c>
      <c r="Q859">
        <f t="shared" si="1010"/>
        <v>-217065.76080401879</v>
      </c>
      <c r="R859">
        <f t="shared" si="1011"/>
        <v>-22631900.850666083</v>
      </c>
      <c r="S859">
        <f t="shared" si="1012"/>
        <v>-226.31900850666082</v>
      </c>
      <c r="T859">
        <f t="shared" si="1013"/>
        <v>-0.22631900850666081</v>
      </c>
    </row>
    <row r="860" spans="1:20" x14ac:dyDescent="0.25">
      <c r="A860" s="5">
        <v>43733</v>
      </c>
      <c r="B860">
        <v>0.1981</v>
      </c>
      <c r="C860">
        <v>0.21429999999999999</v>
      </c>
      <c r="D860">
        <v>0.18729999999999999</v>
      </c>
      <c r="E860">
        <v>0.20030000000000001</v>
      </c>
      <c r="F860">
        <v>855546.27</v>
      </c>
      <c r="G860">
        <v>0</v>
      </c>
      <c r="L860" t="s">
        <v>8</v>
      </c>
      <c r="M860" t="s">
        <v>8</v>
      </c>
      <c r="N860" t="s">
        <v>7</v>
      </c>
      <c r="P860">
        <f t="shared" si="1009"/>
        <v>-3.703703703703605E-2</v>
      </c>
      <c r="Q860">
        <f t="shared" si="1010"/>
        <v>-31686.898888888045</v>
      </c>
      <c r="R860">
        <f t="shared" si="1011"/>
        <v>-22414835.089862064</v>
      </c>
      <c r="S860">
        <f t="shared" si="1012"/>
        <v>-224.14835089862063</v>
      </c>
      <c r="T860">
        <f t="shared" si="1013"/>
        <v>-0.22414835089862065</v>
      </c>
    </row>
    <row r="861" spans="1:20" x14ac:dyDescent="0.25">
      <c r="A861" s="5">
        <v>43732</v>
      </c>
      <c r="B861">
        <v>0.24399999999999999</v>
      </c>
      <c r="C861">
        <v>0.28989999999999999</v>
      </c>
      <c r="D861">
        <v>0.1719</v>
      </c>
      <c r="E861">
        <v>0.1986</v>
      </c>
      <c r="F861">
        <v>2302661.02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-0.54745762711864399</v>
      </c>
      <c r="Q861">
        <f t="shared" si="1010"/>
        <v>-1260609.3380677965</v>
      </c>
      <c r="R861">
        <f t="shared" si="1011"/>
        <v>-22383148.190973174</v>
      </c>
      <c r="S861">
        <f t="shared" si="1012"/>
        <v>-223.83148190973174</v>
      </c>
      <c r="T861">
        <f t="shared" si="1013"/>
        <v>-0.22383148190973173</v>
      </c>
    </row>
    <row r="862" spans="1:20" x14ac:dyDescent="0.25">
      <c r="A862" s="5">
        <v>43731</v>
      </c>
      <c r="B862">
        <v>0.25640000000000002</v>
      </c>
      <c r="C862">
        <v>0.2646</v>
      </c>
      <c r="D862">
        <v>0.24199999999999999</v>
      </c>
      <c r="E862">
        <v>0.2445</v>
      </c>
      <c r="F862">
        <v>894496.34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-0.77876106194690253</v>
      </c>
      <c r="Q862">
        <f t="shared" si="1010"/>
        <v>-696598.9196460176</v>
      </c>
      <c r="R862">
        <f t="shared" si="1011"/>
        <v>-21122538.852905378</v>
      </c>
      <c r="S862">
        <f t="shared" si="1012"/>
        <v>-211.22538852905379</v>
      </c>
      <c r="T862">
        <f t="shared" si="1013"/>
        <v>-0.21122538852905379</v>
      </c>
    </row>
    <row r="863" spans="1:20" x14ac:dyDescent="0.25">
      <c r="A863" s="5">
        <v>43730</v>
      </c>
      <c r="B863">
        <v>0.25640000000000002</v>
      </c>
      <c r="C863">
        <v>0.28199999999999997</v>
      </c>
      <c r="D863">
        <v>0.24629999999999999</v>
      </c>
      <c r="E863">
        <v>0.25609999999999999</v>
      </c>
      <c r="F863">
        <v>1215914.69</v>
      </c>
      <c r="G863">
        <v>0</v>
      </c>
      <c r="L863" t="s">
        <v>8</v>
      </c>
      <c r="M863" t="s">
        <v>8</v>
      </c>
      <c r="N863" t="s">
        <v>7</v>
      </c>
      <c r="P863">
        <f t="shared" si="1009"/>
        <v>-0.45098039215686231</v>
      </c>
      <c r="Q863">
        <f t="shared" si="1010"/>
        <v>-548353.68372548965</v>
      </c>
      <c r="R863">
        <f t="shared" si="1011"/>
        <v>-20425939.93325936</v>
      </c>
      <c r="S863">
        <f t="shared" si="1012"/>
        <v>-204.2593993325936</v>
      </c>
      <c r="T863">
        <f t="shared" si="1013"/>
        <v>-0.2042593993325936</v>
      </c>
    </row>
    <row r="864" spans="1:20" x14ac:dyDescent="0.25">
      <c r="A864" s="5">
        <v>43729</v>
      </c>
      <c r="B864">
        <v>0.24909999999999999</v>
      </c>
      <c r="C864">
        <v>0.2581</v>
      </c>
      <c r="D864">
        <v>0.24690000000000001</v>
      </c>
      <c r="E864">
        <v>0.25380000000000003</v>
      </c>
      <c r="F864">
        <v>378282.64</v>
      </c>
      <c r="G864">
        <v>0</v>
      </c>
      <c r="L864" t="s">
        <v>8</v>
      </c>
      <c r="M864" t="s">
        <v>7</v>
      </c>
      <c r="N864" t="s">
        <v>7</v>
      </c>
      <c r="P864">
        <f t="shared" si="1009"/>
        <v>0.23214285714286156</v>
      </c>
      <c r="Q864">
        <f t="shared" si="1010"/>
        <v>87815.61285714453</v>
      </c>
      <c r="R864">
        <f t="shared" si="1011"/>
        <v>-19877586.249533869</v>
      </c>
      <c r="S864">
        <f t="shared" si="1012"/>
        <v>-198.77586249533869</v>
      </c>
      <c r="T864">
        <f t="shared" si="1013"/>
        <v>-0.19877586249533868</v>
      </c>
    </row>
    <row r="865" spans="1:20" x14ac:dyDescent="0.25">
      <c r="A865" s="5">
        <v>43728</v>
      </c>
      <c r="B865">
        <v>0.25640000000000002</v>
      </c>
      <c r="C865">
        <v>0.2586</v>
      </c>
      <c r="D865">
        <v>0.247</v>
      </c>
      <c r="E865">
        <v>0.25109999999999999</v>
      </c>
      <c r="F865">
        <v>306643.23</v>
      </c>
      <c r="G865">
        <v>0</v>
      </c>
      <c r="L865" t="s">
        <v>8</v>
      </c>
      <c r="M865" t="s">
        <v>7</v>
      </c>
      <c r="N865" t="s">
        <v>7</v>
      </c>
      <c r="P865">
        <f t="shared" si="1009"/>
        <v>-0.29310344827586332</v>
      </c>
      <c r="Q865">
        <f t="shared" si="1010"/>
        <v>-89878.188103448658</v>
      </c>
      <c r="R865">
        <f t="shared" si="1011"/>
        <v>-19965401.862391014</v>
      </c>
      <c r="S865">
        <f t="shared" si="1012"/>
        <v>-199.65401862391013</v>
      </c>
      <c r="T865">
        <f t="shared" si="1013"/>
        <v>-0.19965401862391013</v>
      </c>
    </row>
    <row r="866" spans="1:20" x14ac:dyDescent="0.25">
      <c r="A866" s="5">
        <v>43727</v>
      </c>
      <c r="B866">
        <v>0.26529999999999998</v>
      </c>
      <c r="C866">
        <v>0.26850000000000002</v>
      </c>
      <c r="D866">
        <v>0.23699999999999999</v>
      </c>
      <c r="E866">
        <v>0.25650000000000001</v>
      </c>
      <c r="F866">
        <v>743307.67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0.23809523809523808</v>
      </c>
      <c r="Q866">
        <f t="shared" si="1010"/>
        <v>176978.01666666666</v>
      </c>
      <c r="R866">
        <f t="shared" si="1011"/>
        <v>-19875523.674287565</v>
      </c>
      <c r="S866">
        <f t="shared" si="1012"/>
        <v>-198.75523674287564</v>
      </c>
      <c r="T866">
        <f t="shared" si="1013"/>
        <v>-0.19875523674287565</v>
      </c>
    </row>
    <row r="867" spans="1:20" x14ac:dyDescent="0.25">
      <c r="A867" s="5">
        <v>43726</v>
      </c>
      <c r="B867">
        <v>0.249</v>
      </c>
      <c r="C867">
        <v>0.26989999999999997</v>
      </c>
      <c r="D867">
        <v>0.24829999999999999</v>
      </c>
      <c r="E867">
        <v>0.26669999999999999</v>
      </c>
      <c r="F867">
        <v>697614.88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0.70370370370370527</v>
      </c>
      <c r="Q867">
        <f t="shared" si="1010"/>
        <v>490914.17481481592</v>
      </c>
      <c r="R867">
        <f t="shared" si="1011"/>
        <v>-20052501.690954231</v>
      </c>
      <c r="S867">
        <f t="shared" si="1012"/>
        <v>-200.5250169095423</v>
      </c>
      <c r="T867">
        <f t="shared" si="1013"/>
        <v>-0.2005250169095423</v>
      </c>
    </row>
    <row r="868" spans="1:20" x14ac:dyDescent="0.25">
      <c r="A868" s="5">
        <v>43725</v>
      </c>
      <c r="B868">
        <v>0.24410000000000001</v>
      </c>
      <c r="C868">
        <v>0.254</v>
      </c>
      <c r="D868">
        <v>0.24199999999999999</v>
      </c>
      <c r="E868">
        <v>0.249</v>
      </c>
      <c r="F868">
        <v>491034.65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0.16666666666666666</v>
      </c>
      <c r="Q868">
        <f t="shared" si="1010"/>
        <v>81839.108333333337</v>
      </c>
      <c r="R868">
        <f t="shared" si="1011"/>
        <v>-20543415.865769047</v>
      </c>
      <c r="S868">
        <f t="shared" si="1012"/>
        <v>-205.43415865769046</v>
      </c>
      <c r="T868">
        <f t="shared" si="1013"/>
        <v>-0.20543415865769046</v>
      </c>
    </row>
    <row r="869" spans="1:20" x14ac:dyDescent="0.25">
      <c r="A869" s="5">
        <v>43724</v>
      </c>
      <c r="B869">
        <v>0.24859999999999999</v>
      </c>
      <c r="C869">
        <v>0.251</v>
      </c>
      <c r="D869">
        <v>0.2341</v>
      </c>
      <c r="E869">
        <v>0.24479999999999999</v>
      </c>
      <c r="F869">
        <v>516766.86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0.26627218934911107</v>
      </c>
      <c r="Q869">
        <f t="shared" si="1010"/>
        <v>137600.64319526555</v>
      </c>
      <c r="R869">
        <f t="shared" si="1011"/>
        <v>-20625254.974102382</v>
      </c>
      <c r="S869">
        <f t="shared" si="1012"/>
        <v>-206.25254974102381</v>
      </c>
      <c r="T869">
        <f t="shared" si="1013"/>
        <v>-0.20625254974102381</v>
      </c>
    </row>
    <row r="870" spans="1:20" x14ac:dyDescent="0.25">
      <c r="A870" s="5">
        <v>43723</v>
      </c>
      <c r="B870">
        <v>0.25569999999999998</v>
      </c>
      <c r="C870">
        <v>0.25869999999999999</v>
      </c>
      <c r="D870">
        <v>0.24709999999999999</v>
      </c>
      <c r="E870">
        <v>0.24740000000000001</v>
      </c>
      <c r="F870">
        <v>287944.55</v>
      </c>
      <c r="G870">
        <v>0</v>
      </c>
      <c r="L870" t="s">
        <v>7</v>
      </c>
      <c r="M870" t="s">
        <v>8</v>
      </c>
      <c r="N870" t="s">
        <v>7</v>
      </c>
      <c r="P870">
        <f t="shared" si="1009"/>
        <v>-0.94827586206896164</v>
      </c>
      <c r="Q870">
        <f t="shared" si="1010"/>
        <v>-273050.86637930921</v>
      </c>
      <c r="R870">
        <f t="shared" si="1011"/>
        <v>-20762855.617297646</v>
      </c>
      <c r="S870">
        <f t="shared" si="1012"/>
        <v>-207.62855617297646</v>
      </c>
      <c r="T870">
        <f t="shared" si="1013"/>
        <v>-0.20762855617297646</v>
      </c>
    </row>
    <row r="871" spans="1:20" x14ac:dyDescent="0.25">
      <c r="A871" s="5">
        <v>43722</v>
      </c>
      <c r="B871">
        <v>0.25950000000000001</v>
      </c>
      <c r="C871">
        <v>0.26519999999999999</v>
      </c>
      <c r="D871">
        <v>0.24859999999999999</v>
      </c>
      <c r="E871">
        <v>0.25559999999999999</v>
      </c>
      <c r="F871">
        <v>531228.62</v>
      </c>
      <c r="G871">
        <v>0</v>
      </c>
      <c r="L871" t="s">
        <v>7</v>
      </c>
      <c r="M871" t="s">
        <v>8</v>
      </c>
      <c r="N871" t="s">
        <v>7</v>
      </c>
      <c r="P871">
        <f t="shared" si="1009"/>
        <v>-0.15662650602409584</v>
      </c>
      <c r="Q871">
        <f t="shared" si="1010"/>
        <v>-83204.48265060212</v>
      </c>
      <c r="R871">
        <f t="shared" si="1011"/>
        <v>-20489804.750918336</v>
      </c>
      <c r="S871">
        <f t="shared" si="1012"/>
        <v>-204.89804750918336</v>
      </c>
      <c r="T871">
        <f t="shared" si="1013"/>
        <v>-0.20489804750918336</v>
      </c>
    </row>
    <row r="872" spans="1:20" x14ac:dyDescent="0.25">
      <c r="A872" s="5">
        <v>43721</v>
      </c>
      <c r="B872">
        <v>0.27139999999999997</v>
      </c>
      <c r="C872">
        <v>0.29089999999999999</v>
      </c>
      <c r="D872">
        <v>0.2545</v>
      </c>
      <c r="E872">
        <v>0.25950000000000001</v>
      </c>
      <c r="F872">
        <v>1927692.29</v>
      </c>
      <c r="G872">
        <v>0</v>
      </c>
      <c r="L872" t="s">
        <v>8</v>
      </c>
      <c r="M872" t="s">
        <v>8</v>
      </c>
      <c r="N872" t="s">
        <v>7</v>
      </c>
      <c r="P872">
        <f t="shared" si="1009"/>
        <v>-0.72527472527472492</v>
      </c>
      <c r="Q872">
        <f t="shared" si="1010"/>
        <v>-1398106.4960439554</v>
      </c>
      <c r="R872">
        <f t="shared" si="1011"/>
        <v>-20406600.268267736</v>
      </c>
      <c r="S872">
        <f t="shared" si="1012"/>
        <v>-204.06600268267735</v>
      </c>
      <c r="T872">
        <f t="shared" si="1013"/>
        <v>-0.20406600268267736</v>
      </c>
    </row>
    <row r="873" spans="1:20" x14ac:dyDescent="0.25">
      <c r="A873" s="5">
        <v>43720</v>
      </c>
      <c r="B873">
        <v>0.23899999999999999</v>
      </c>
      <c r="C873">
        <v>0.29499999999999998</v>
      </c>
      <c r="D873">
        <v>0.2263</v>
      </c>
      <c r="E873">
        <v>0.27139999999999997</v>
      </c>
      <c r="F873">
        <v>3455859.06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0.31295487627365309</v>
      </c>
      <c r="Q873">
        <f t="shared" si="1010"/>
        <v>1081527.9445414832</v>
      </c>
      <c r="R873">
        <f t="shared" si="1011"/>
        <v>-19008493.772223782</v>
      </c>
      <c r="S873">
        <f t="shared" si="1012"/>
        <v>-190.08493772223781</v>
      </c>
      <c r="T873">
        <f t="shared" si="1013"/>
        <v>-0.19008493772223781</v>
      </c>
    </row>
    <row r="874" spans="1:20" x14ac:dyDescent="0.25">
      <c r="A874" s="5">
        <v>43719</v>
      </c>
      <c r="B874">
        <v>0.26140000000000002</v>
      </c>
      <c r="C874">
        <v>0.26579999999999998</v>
      </c>
      <c r="D874">
        <v>0.23530000000000001</v>
      </c>
      <c r="E874">
        <v>0.2389</v>
      </c>
      <c r="F874">
        <v>1274347.3999999999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-0.76393442622950847</v>
      </c>
      <c r="Q874">
        <f t="shared" si="1010"/>
        <v>-973517.8498360659</v>
      </c>
      <c r="R874">
        <f t="shared" si="1011"/>
        <v>-20090021.716765266</v>
      </c>
      <c r="S874">
        <f t="shared" si="1012"/>
        <v>-200.90021716765267</v>
      </c>
      <c r="T874">
        <f t="shared" si="1013"/>
        <v>-0.20090021716765266</v>
      </c>
    </row>
    <row r="875" spans="1:20" x14ac:dyDescent="0.25">
      <c r="A875" s="5">
        <v>43718</v>
      </c>
      <c r="B875">
        <v>0.27029999999999998</v>
      </c>
      <c r="C875">
        <v>0.27939999999999998</v>
      </c>
      <c r="D875">
        <v>0.26</v>
      </c>
      <c r="E875">
        <v>0.26150000000000001</v>
      </c>
      <c r="F875">
        <v>1193965.6000000001</v>
      </c>
      <c r="G875">
        <v>0</v>
      </c>
      <c r="L875" t="s">
        <v>7</v>
      </c>
      <c r="M875" t="s">
        <v>7</v>
      </c>
      <c r="N875" t="s">
        <v>7</v>
      </c>
      <c r="P875">
        <f t="shared" si="1009"/>
        <v>-0.8453608247422677</v>
      </c>
      <c r="Q875">
        <f t="shared" si="1010"/>
        <v>-1009331.7443298966</v>
      </c>
      <c r="R875">
        <f t="shared" si="1011"/>
        <v>-19116503.8669292</v>
      </c>
      <c r="S875">
        <f t="shared" si="1012"/>
        <v>-191.16503866929199</v>
      </c>
      <c r="T875">
        <f t="shared" si="1013"/>
        <v>-0.19116503866929199</v>
      </c>
    </row>
    <row r="876" spans="1:20" x14ac:dyDescent="0.25">
      <c r="A876" s="5">
        <v>43717</v>
      </c>
      <c r="B876">
        <v>0.28060000000000002</v>
      </c>
      <c r="C876">
        <v>0.2883</v>
      </c>
      <c r="D876">
        <v>0.26379999999999998</v>
      </c>
      <c r="E876">
        <v>0.27029999999999998</v>
      </c>
      <c r="F876">
        <v>1887075.83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-0.46938775510204084</v>
      </c>
      <c r="Q876">
        <f t="shared" si="1010"/>
        <v>-885770.2875510205</v>
      </c>
      <c r="R876">
        <f t="shared" si="1011"/>
        <v>-18107172.122599304</v>
      </c>
      <c r="S876">
        <f t="shared" si="1012"/>
        <v>-181.07172122599303</v>
      </c>
      <c r="T876">
        <f t="shared" si="1013"/>
        <v>-0.18107172122599302</v>
      </c>
    </row>
    <row r="877" spans="1:20" x14ac:dyDescent="0.25">
      <c r="A877" s="5">
        <v>43716</v>
      </c>
      <c r="B877">
        <v>0.27950000000000003</v>
      </c>
      <c r="C877">
        <v>0.29820000000000002</v>
      </c>
      <c r="D877">
        <v>0.27400000000000002</v>
      </c>
      <c r="E877">
        <v>0.28089999999999998</v>
      </c>
      <c r="F877">
        <v>2814471.88</v>
      </c>
      <c r="G877">
        <v>0</v>
      </c>
      <c r="L877" t="s">
        <v>7</v>
      </c>
      <c r="M877" t="s">
        <v>7</v>
      </c>
      <c r="N877" t="s">
        <v>7</v>
      </c>
      <c r="P877">
        <f t="shared" si="1009"/>
        <v>-0.4297520661157056</v>
      </c>
      <c r="Q877">
        <f t="shared" si="1010"/>
        <v>-1209525.1054545541</v>
      </c>
      <c r="R877">
        <f t="shared" si="1011"/>
        <v>-17221401.835048284</v>
      </c>
      <c r="S877">
        <f t="shared" si="1012"/>
        <v>-172.21401835048283</v>
      </c>
      <c r="T877">
        <f t="shared" si="1013"/>
        <v>-0.17221401835048283</v>
      </c>
    </row>
    <row r="878" spans="1:20" x14ac:dyDescent="0.25">
      <c r="A878" s="5">
        <v>43715</v>
      </c>
      <c r="B878">
        <v>0.28539999999999999</v>
      </c>
      <c r="C878">
        <v>0.30159999999999998</v>
      </c>
      <c r="D878">
        <v>0.27679999999999999</v>
      </c>
      <c r="E878">
        <v>0.2787</v>
      </c>
      <c r="F878">
        <v>2041551.94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-0.84677419354838601</v>
      </c>
      <c r="Q878">
        <f t="shared" si="1010"/>
        <v>-1728733.4975806428</v>
      </c>
      <c r="R878">
        <f t="shared" si="1011"/>
        <v>-16011876.729593731</v>
      </c>
      <c r="S878">
        <f t="shared" si="1012"/>
        <v>-160.11876729593732</v>
      </c>
      <c r="T878">
        <f t="shared" si="1013"/>
        <v>-0.16011876729593733</v>
      </c>
    </row>
    <row r="879" spans="1:20" x14ac:dyDescent="0.25">
      <c r="A879" s="5">
        <v>43714</v>
      </c>
      <c r="B879">
        <v>0.30719999999999997</v>
      </c>
      <c r="C879">
        <v>0.308</v>
      </c>
      <c r="D879">
        <v>0.27150000000000002</v>
      </c>
      <c r="E879">
        <v>0.28520000000000001</v>
      </c>
      <c r="F879">
        <v>2673698.34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-0.24931506849315077</v>
      </c>
      <c r="Q879">
        <f t="shared" si="1010"/>
        <v>-666593.28476712352</v>
      </c>
      <c r="R879">
        <f t="shared" si="1011"/>
        <v>-14283143.23201309</v>
      </c>
      <c r="S879">
        <f t="shared" si="1012"/>
        <v>-142.83143232013089</v>
      </c>
      <c r="T879">
        <f t="shared" si="1013"/>
        <v>-0.14283143232013087</v>
      </c>
    </row>
    <row r="880" spans="1:20" x14ac:dyDescent="0.25">
      <c r="A880" s="5">
        <v>43713</v>
      </c>
      <c r="B880">
        <v>0.33229999999999998</v>
      </c>
      <c r="C880">
        <v>0.33729999999999999</v>
      </c>
      <c r="D880">
        <v>0.30030000000000001</v>
      </c>
      <c r="E880">
        <v>0.30719999999999997</v>
      </c>
      <c r="F880">
        <v>2912628.23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-0.62702702702702884</v>
      </c>
      <c r="Q880">
        <f t="shared" si="1010"/>
        <v>-1826296.6198918971</v>
      </c>
      <c r="R880">
        <f t="shared" si="1011"/>
        <v>-13616549.947245967</v>
      </c>
      <c r="S880">
        <f t="shared" si="1012"/>
        <v>-136.16549947245966</v>
      </c>
      <c r="T880">
        <f t="shared" si="1013"/>
        <v>-0.13616549947245965</v>
      </c>
    </row>
    <row r="881" spans="1:20" x14ac:dyDescent="0.25">
      <c r="A881" s="5">
        <v>43712</v>
      </c>
      <c r="B881">
        <v>0.34949999999999998</v>
      </c>
      <c r="C881">
        <v>0.37380000000000002</v>
      </c>
      <c r="D881">
        <v>0.32769999999999999</v>
      </c>
      <c r="E881">
        <v>0.33379999999999999</v>
      </c>
      <c r="F881">
        <v>3569470.26</v>
      </c>
      <c r="G881">
        <v>0</v>
      </c>
      <c r="L881" t="s">
        <v>7</v>
      </c>
      <c r="M881" t="s">
        <v>7</v>
      </c>
      <c r="N881" t="s">
        <v>8</v>
      </c>
      <c r="P881">
        <f t="shared" si="1009"/>
        <v>-0.73535791757049929</v>
      </c>
      <c r="Q881">
        <f t="shared" si="1010"/>
        <v>-2624838.2172234287</v>
      </c>
      <c r="R881">
        <f t="shared" si="1011"/>
        <v>-11790253.32735407</v>
      </c>
      <c r="S881">
        <f t="shared" si="1012"/>
        <v>-117.9025332735407</v>
      </c>
      <c r="T881">
        <f t="shared" si="1013"/>
        <v>-0.11790253327354069</v>
      </c>
    </row>
    <row r="882" spans="1:20" x14ac:dyDescent="0.25">
      <c r="A882" s="5">
        <v>43711</v>
      </c>
      <c r="B882">
        <v>0.38390000000000002</v>
      </c>
      <c r="C882">
        <v>0.40739999999999998</v>
      </c>
      <c r="D882">
        <v>0.34289999999999998</v>
      </c>
      <c r="E882">
        <v>0.34889999999999999</v>
      </c>
      <c r="F882">
        <v>4203341.09</v>
      </c>
      <c r="G882">
        <v>0</v>
      </c>
      <c r="L882" t="s">
        <v>7</v>
      </c>
      <c r="M882" t="s">
        <v>7</v>
      </c>
      <c r="N882" t="s">
        <v>8</v>
      </c>
      <c r="P882">
        <f t="shared" si="1009"/>
        <v>-0.81395348837209291</v>
      </c>
      <c r="Q882">
        <f t="shared" si="1010"/>
        <v>-3421324.1430232553</v>
      </c>
      <c r="R882">
        <f t="shared" si="1011"/>
        <v>-9165415.1101306416</v>
      </c>
      <c r="S882">
        <f t="shared" si="1012"/>
        <v>-91.654151101306411</v>
      </c>
      <c r="T882">
        <f t="shared" si="1013"/>
        <v>-9.1654151101306411E-2</v>
      </c>
    </row>
    <row r="883" spans="1:20" x14ac:dyDescent="0.25">
      <c r="A883" s="5">
        <v>43710</v>
      </c>
      <c r="B883">
        <v>0.4163</v>
      </c>
      <c r="C883">
        <v>0.433</v>
      </c>
      <c r="D883">
        <v>0.37559999999999999</v>
      </c>
      <c r="E883">
        <v>0.38240000000000002</v>
      </c>
      <c r="F883">
        <v>5050424.83</v>
      </c>
      <c r="G883">
        <v>0</v>
      </c>
      <c r="L883" t="s">
        <v>7</v>
      </c>
      <c r="M883" t="s">
        <v>7</v>
      </c>
      <c r="N883" t="s">
        <v>8</v>
      </c>
      <c r="P883">
        <f t="shared" si="1009"/>
        <v>-0.76306620209059139</v>
      </c>
      <c r="Q883">
        <f t="shared" si="1010"/>
        <v>-3853808.4939721208</v>
      </c>
      <c r="R883">
        <f t="shared" si="1011"/>
        <v>-5744090.9671073873</v>
      </c>
      <c r="S883">
        <f t="shared" si="1012"/>
        <v>-57.440909671073875</v>
      </c>
      <c r="T883">
        <f t="shared" si="1013"/>
        <v>-5.7440909671073875E-2</v>
      </c>
    </row>
    <row r="884" spans="1:20" x14ac:dyDescent="0.25">
      <c r="A884" s="5">
        <v>43709</v>
      </c>
      <c r="B884">
        <v>0.3387</v>
      </c>
      <c r="C884">
        <v>0.45</v>
      </c>
      <c r="D884">
        <v>0.33329999999999999</v>
      </c>
      <c r="E884">
        <v>0.41739999999999999</v>
      </c>
      <c r="F884">
        <v>5945749.6699999999</v>
      </c>
      <c r="G884">
        <v>0</v>
      </c>
      <c r="L884" t="s">
        <v>8</v>
      </c>
      <c r="M884" t="s">
        <v>8</v>
      </c>
      <c r="N884" t="s">
        <v>8</v>
      </c>
      <c r="P884">
        <f t="shared" si="1009"/>
        <v>0.44130248500428432</v>
      </c>
      <c r="Q884">
        <f t="shared" si="1010"/>
        <v>2623874.1045844033</v>
      </c>
      <c r="R884">
        <f t="shared" si="1011"/>
        <v>-1890282.4731352665</v>
      </c>
      <c r="S884">
        <f t="shared" si="1012"/>
        <v>-18.902824731352666</v>
      </c>
      <c r="T884">
        <f t="shared" si="1013"/>
        <v>-1.8902824731352665E-2</v>
      </c>
    </row>
    <row r="885" spans="1:20" x14ac:dyDescent="0.25">
      <c r="A885" s="5">
        <v>43708</v>
      </c>
      <c r="B885">
        <v>0.36630000000000001</v>
      </c>
      <c r="C885">
        <v>0.39860000000000001</v>
      </c>
      <c r="D885">
        <v>0.33200000000000002</v>
      </c>
      <c r="E885">
        <v>0.3387</v>
      </c>
      <c r="F885">
        <v>4374296.25</v>
      </c>
      <c r="G885">
        <v>0</v>
      </c>
      <c r="L885" t="s">
        <v>8</v>
      </c>
      <c r="M885" t="s">
        <v>7</v>
      </c>
      <c r="N885" t="s">
        <v>8</v>
      </c>
      <c r="P885">
        <f t="shared" si="1009"/>
        <v>-0.79879879879879923</v>
      </c>
      <c r="Q885">
        <f t="shared" si="1010"/>
        <v>-3494182.5900900918</v>
      </c>
      <c r="R885">
        <f t="shared" si="1011"/>
        <v>-4514156.5777196698</v>
      </c>
      <c r="S885">
        <f t="shared" si="1012"/>
        <v>-45.141565777196696</v>
      </c>
      <c r="T885">
        <f t="shared" si="1013"/>
        <v>-4.5141565777196697E-2</v>
      </c>
    </row>
    <row r="886" spans="1:20" x14ac:dyDescent="0.25">
      <c r="A886" s="5">
        <v>43707</v>
      </c>
      <c r="B886">
        <v>0.2954</v>
      </c>
      <c r="C886">
        <v>0.40560000000000002</v>
      </c>
      <c r="D886">
        <v>0.28339999999999999</v>
      </c>
      <c r="E886">
        <v>0.36559999999999998</v>
      </c>
      <c r="F886">
        <v>8446511.1899999995</v>
      </c>
      <c r="G886">
        <v>0</v>
      </c>
      <c r="L886" t="s">
        <v>7</v>
      </c>
      <c r="M886" t="s">
        <v>8</v>
      </c>
      <c r="N886" t="s">
        <v>7</v>
      </c>
      <c r="P886">
        <f t="shared" si="1009"/>
        <v>0.34533551554828107</v>
      </c>
      <c r="Q886">
        <f t="shared" si="1010"/>
        <v>2916880.2963829748</v>
      </c>
      <c r="R886">
        <f t="shared" si="1011"/>
        <v>-1019973.9876295775</v>
      </c>
      <c r="S886">
        <f t="shared" si="1012"/>
        <v>-10.199739876295775</v>
      </c>
      <c r="T886">
        <f t="shared" si="1013"/>
        <v>-1.0199739876295775E-2</v>
      </c>
    </row>
    <row r="887" spans="1:20" x14ac:dyDescent="0.25">
      <c r="A887" s="5">
        <v>43706</v>
      </c>
      <c r="B887">
        <v>0.34620000000000001</v>
      </c>
      <c r="C887">
        <v>0.34649999999999997</v>
      </c>
      <c r="D887">
        <v>0.28970000000000001</v>
      </c>
      <c r="E887">
        <v>0.29549999999999998</v>
      </c>
      <c r="F887">
        <v>1509358.37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-0.79577464788732477</v>
      </c>
      <c r="Q887">
        <f t="shared" si="1010"/>
        <v>-1201109.1254225366</v>
      </c>
      <c r="R887">
        <f t="shared" si="1011"/>
        <v>-3936854.2840125524</v>
      </c>
      <c r="S887">
        <f t="shared" si="1012"/>
        <v>-39.368542840125521</v>
      </c>
      <c r="T887">
        <f t="shared" si="1013"/>
        <v>-3.9368542840125524E-2</v>
      </c>
    </row>
    <row r="888" spans="1:20" x14ac:dyDescent="0.25">
      <c r="A888" s="5">
        <v>43705</v>
      </c>
      <c r="B888">
        <v>0.40820000000000001</v>
      </c>
      <c r="C888">
        <v>0.44990000000000002</v>
      </c>
      <c r="D888">
        <v>0.34229999999999999</v>
      </c>
      <c r="E888">
        <v>0.34620000000000001</v>
      </c>
      <c r="F888">
        <v>2705189.74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-0.92750929368029711</v>
      </c>
      <c r="Q888">
        <f t="shared" si="1010"/>
        <v>-2509088.6250185869</v>
      </c>
      <c r="R888">
        <f t="shared" si="1011"/>
        <v>-2735745.158590016</v>
      </c>
      <c r="S888">
        <f t="shared" si="1012"/>
        <v>-27.357451585900158</v>
      </c>
      <c r="T888">
        <f t="shared" si="1013"/>
        <v>-2.735745158590016E-2</v>
      </c>
    </row>
    <row r="889" spans="1:20" x14ac:dyDescent="0.25">
      <c r="A889" s="5">
        <v>43704</v>
      </c>
      <c r="B889">
        <v>0.5</v>
      </c>
      <c r="C889">
        <v>0.5</v>
      </c>
      <c r="D889">
        <v>0.34320000000000001</v>
      </c>
      <c r="E889">
        <v>0.40899999999999997</v>
      </c>
      <c r="F889">
        <v>1410307.32</v>
      </c>
      <c r="G889">
        <v>0</v>
      </c>
      <c r="P889">
        <f t="shared" si="1009"/>
        <v>-0.16071428571428609</v>
      </c>
      <c r="Q889">
        <f t="shared" si="1010"/>
        <v>-226656.53357142911</v>
      </c>
      <c r="R889">
        <f t="shared" si="1011"/>
        <v>-226656.53357142911</v>
      </c>
      <c r="S889">
        <f t="shared" si="1012"/>
        <v>-2.266565335714291</v>
      </c>
      <c r="T889">
        <f t="shared" si="1013"/>
        <v>-2.2665653357142909E-3</v>
      </c>
    </row>
    <row r="890" spans="1:20" x14ac:dyDescent="0.25">
      <c r="A890" s="5"/>
      <c r="C890" s="4"/>
      <c r="D890" s="4"/>
    </row>
    <row r="891" spans="1:20" x14ac:dyDescent="0.25">
      <c r="A891" s="5"/>
      <c r="C891" s="4"/>
      <c r="D891" s="4"/>
    </row>
    <row r="892" spans="1:20" x14ac:dyDescent="0.25">
      <c r="A892" s="5"/>
      <c r="C892" s="4"/>
      <c r="D892" s="4"/>
    </row>
    <row r="893" spans="1:20" x14ac:dyDescent="0.25">
      <c r="A893" s="5"/>
      <c r="C893" s="4"/>
      <c r="D893" s="4"/>
    </row>
    <row r="894" spans="1:20" x14ac:dyDescent="0.25">
      <c r="A894" s="5"/>
      <c r="C894" s="4"/>
      <c r="D894" s="4"/>
    </row>
    <row r="895" spans="1:20" x14ac:dyDescent="0.25">
      <c r="A895" s="5"/>
      <c r="C895" s="4"/>
      <c r="D895" s="4"/>
    </row>
    <row r="896" spans="1:20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PW630" sqref="PW630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$A$629</v>
      </c>
      <c r="D111" s="1" t="str">
        <f>ADDRESS(C121-1,D121,1,1)</f>
        <v>$PW$629</v>
      </c>
      <c r="E111"/>
    </row>
    <row r="112" spans="1:5" x14ac:dyDescent="0.25">
      <c r="A112" s="7">
        <v>12164.144957890772</v>
      </c>
      <c r="C112" s="1" t="str">
        <f>ADDRESS(C121,1,1,1)</f>
        <v>$A$630</v>
      </c>
      <c r="D112" s="1" t="str">
        <f>ADDRESS(C121,D121-1,1,1)</f>
        <v>$PV$630</v>
      </c>
      <c r="E112"/>
    </row>
    <row r="113" spans="1:5" x14ac:dyDescent="0.25">
      <c r="A113" s="7">
        <v>11925.63231165762</v>
      </c>
      <c r="C113" s="1" t="str">
        <f>ADDRESS(C121+1,1,1,1)</f>
        <v>$A$631</v>
      </c>
      <c r="D113" s="1" t="str">
        <f>ADDRESS(C121-1,D121+1,1,1)</f>
        <v>$PX$629</v>
      </c>
    </row>
    <row r="114" spans="1:5" x14ac:dyDescent="0.25">
      <c r="A114" s="7">
        <v>11691.796383978059</v>
      </c>
      <c r="C114" s="1" t="str">
        <f>ADDRESS(C121,D121,1,1)</f>
        <v>$PW$630</v>
      </c>
      <c r="D114" s="1" t="str">
        <f>ADDRESS(C121+1,D121+1,1,1)</f>
        <v>$PX$631</v>
      </c>
    </row>
    <row r="115" spans="1:5" x14ac:dyDescent="0.25">
      <c r="A115" s="7">
        <v>11462.545474488292</v>
      </c>
      <c r="C115" s="1" t="str">
        <f>ADDRESS(C121+1,D121,1,1)</f>
        <v>$PW$631</v>
      </c>
    </row>
    <row r="116" spans="1:5" x14ac:dyDescent="0.25">
      <c r="A116" s="7">
        <v>11237.789680870874</v>
      </c>
      <c r="C116" s="1">
        <f>C117-1</f>
        <v>629</v>
      </c>
    </row>
    <row r="117" spans="1:5" x14ac:dyDescent="0.25">
      <c r="A117" s="7">
        <v>11017.440863598895</v>
      </c>
      <c r="C117" s="1">
        <f>C121</f>
        <v>630</v>
      </c>
      <c r="D117" s="1">
        <f>D121</f>
        <v>439</v>
      </c>
    </row>
    <row r="118" spans="1:5" x14ac:dyDescent="0.25">
      <c r="A118" s="7">
        <v>10801.412611371465</v>
      </c>
      <c r="C118" s="1">
        <f>C117+1</f>
        <v>631</v>
      </c>
      <c r="D118" s="1">
        <f>D117+1</f>
        <v>440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630</v>
      </c>
      <c r="D121" s="19">
        <v>439</v>
      </c>
      <c r="E121" s="19"/>
    </row>
    <row r="122" spans="1:5" x14ac:dyDescent="0.25">
      <c r="A122" s="7">
        <v>9978.8356356406348</v>
      </c>
      <c r="C122" s="1" t="str">
        <f>INDEX(1:1048576,C117,D117)</f>
        <v>X</v>
      </c>
    </row>
    <row r="123" spans="1:5" x14ac:dyDescent="0.25">
      <c r="A123" s="7">
        <v>9783.1721918045441</v>
      </c>
      <c r="C123" s="1" t="str">
        <f>"R"&amp;C121</f>
        <v>R630</v>
      </c>
      <c r="D123" s="1" t="str">
        <f>"C"&amp;D121</f>
        <v>C439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0.4267687533313323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X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/>
      </c>
      <c r="D136" s="1" t="str">
        <f>IF(C133=$U$1,IF(C130&gt;(C127*1.02),$U$1,IF(D130&lt;(C127*0.942322334547044),$S$1,"")),"")</f>
        <v>O</v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314" x14ac:dyDescent="0.25">
      <c r="A529" s="7">
        <v>3.1536243640574906</v>
      </c>
      <c r="B529"/>
      <c r="C529"/>
      <c r="D529"/>
      <c r="E529"/>
    </row>
    <row r="530" spans="1:314" x14ac:dyDescent="0.25">
      <c r="A530" s="7">
        <v>3.0917885922132262</v>
      </c>
      <c r="B530"/>
      <c r="C530"/>
      <c r="D530"/>
      <c r="E530"/>
    </row>
    <row r="531" spans="1:314" x14ac:dyDescent="0.25">
      <c r="A531" s="7">
        <v>3.0311652864835552</v>
      </c>
      <c r="B531"/>
      <c r="C531"/>
      <c r="D531"/>
      <c r="E531"/>
    </row>
    <row r="532" spans="1:314" x14ac:dyDescent="0.25">
      <c r="A532" s="7">
        <v>2.9717306730230932</v>
      </c>
      <c r="B532"/>
      <c r="C532"/>
      <c r="D532"/>
      <c r="E532"/>
    </row>
    <row r="533" spans="1:314" x14ac:dyDescent="0.25">
      <c r="A533" s="7">
        <v>2.9134614441402875</v>
      </c>
      <c r="B533"/>
      <c r="C533"/>
      <c r="D533"/>
      <c r="E533"/>
    </row>
    <row r="534" spans="1:314" x14ac:dyDescent="0.25">
      <c r="A534" s="7">
        <v>2.8563347491571447</v>
      </c>
      <c r="B534"/>
      <c r="C534"/>
      <c r="D534"/>
      <c r="E534"/>
    </row>
    <row r="535" spans="1:314" x14ac:dyDescent="0.25">
      <c r="A535" s="7">
        <v>2.8003281854481812</v>
      </c>
      <c r="B535"/>
      <c r="C535"/>
      <c r="D535"/>
      <c r="E535"/>
    </row>
    <row r="536" spans="1:314" x14ac:dyDescent="0.25">
      <c r="A536" s="7">
        <v>2.7454197896550796</v>
      </c>
      <c r="B536"/>
      <c r="C536"/>
      <c r="D536"/>
      <c r="E536"/>
    </row>
    <row r="537" spans="1:314" x14ac:dyDescent="0.25">
      <c r="A537" s="7">
        <v>2.6915880290736074</v>
      </c>
      <c r="B537"/>
      <c r="C537"/>
      <c r="D537"/>
      <c r="E537"/>
    </row>
    <row r="538" spans="1:314" x14ac:dyDescent="0.25">
      <c r="A538" s="7">
        <v>2.6388117932094191</v>
      </c>
      <c r="B538"/>
      <c r="C538"/>
      <c r="D538"/>
      <c r="E538"/>
    </row>
    <row r="539" spans="1:314" x14ac:dyDescent="0.25">
      <c r="A539" s="7">
        <v>2.5870703854994304</v>
      </c>
      <c r="B539"/>
      <c r="C539"/>
      <c r="D539"/>
      <c r="E539"/>
      <c r="KI539" s="27" t="s">
        <v>8</v>
      </c>
    </row>
    <row r="540" spans="1:314" x14ac:dyDescent="0.25">
      <c r="A540" s="7">
        <v>2.53634351519552</v>
      </c>
      <c r="B540"/>
      <c r="C540"/>
      <c r="D540"/>
      <c r="E540"/>
      <c r="KI540" s="27" t="s">
        <v>8</v>
      </c>
      <c r="KJ540" s="27" t="s">
        <v>7</v>
      </c>
      <c r="LA540" s="27" t="s">
        <v>8</v>
      </c>
    </row>
    <row r="541" spans="1:314" x14ac:dyDescent="0.25">
      <c r="A541" s="7">
        <v>2.4866112894073726</v>
      </c>
      <c r="B541"/>
      <c r="C541"/>
      <c r="D541"/>
      <c r="E541"/>
      <c r="KI541" s="27" t="s">
        <v>8</v>
      </c>
      <c r="KJ541" s="27" t="s">
        <v>7</v>
      </c>
      <c r="LA541" s="27" t="s">
        <v>8</v>
      </c>
      <c r="LB541" s="27" t="s">
        <v>7</v>
      </c>
    </row>
    <row r="542" spans="1:314" x14ac:dyDescent="0.25">
      <c r="A542" s="7">
        <v>2.4378542053013459</v>
      </c>
      <c r="B542"/>
      <c r="C542"/>
      <c r="D542"/>
      <c r="E542"/>
      <c r="KI542" s="27" t="s">
        <v>8</v>
      </c>
      <c r="KJ542" s="27" t="s">
        <v>7</v>
      </c>
      <c r="LA542" s="27" t="s">
        <v>8</v>
      </c>
      <c r="LB542" s="27" t="s">
        <v>7</v>
      </c>
    </row>
    <row r="543" spans="1:314" x14ac:dyDescent="0.25">
      <c r="A543" s="7">
        <v>2.3900531424522997</v>
      </c>
      <c r="B543"/>
      <c r="C543"/>
      <c r="D543"/>
      <c r="E543"/>
      <c r="KI543" s="27" t="s">
        <v>8</v>
      </c>
      <c r="KJ543" s="27" t="s">
        <v>7</v>
      </c>
      <c r="KK543" s="27" t="s">
        <v>8</v>
      </c>
      <c r="LA543" s="27" t="s">
        <v>8</v>
      </c>
      <c r="LB543" s="27" t="s">
        <v>7</v>
      </c>
    </row>
    <row r="544" spans="1:314" x14ac:dyDescent="0.25">
      <c r="A544" s="7">
        <v>2.343189355345392</v>
      </c>
      <c r="B544"/>
      <c r="C544"/>
      <c r="D544"/>
      <c r="E544"/>
      <c r="KI544" s="27" t="s">
        <v>8</v>
      </c>
      <c r="KJ544" s="27" t="s">
        <v>7</v>
      </c>
      <c r="KK544" s="27" t="s">
        <v>8</v>
      </c>
      <c r="KL544" s="27" t="s">
        <v>7</v>
      </c>
      <c r="KM544" s="27" t="s">
        <v>8</v>
      </c>
      <c r="LA544" s="27" t="s">
        <v>8</v>
      </c>
      <c r="LB544" s="27" t="s">
        <v>7</v>
      </c>
    </row>
    <row r="545" spans="1:316" x14ac:dyDescent="0.25">
      <c r="A545" s="7">
        <v>2.2972444660248938</v>
      </c>
      <c r="B545"/>
      <c r="C545"/>
      <c r="D545"/>
      <c r="E545"/>
      <c r="KC545" s="27" t="s">
        <v>8</v>
      </c>
      <c r="KI545" s="27" t="s">
        <v>8</v>
      </c>
      <c r="KJ545" s="27" t="s">
        <v>7</v>
      </c>
      <c r="KK545" s="27" t="s">
        <v>8</v>
      </c>
      <c r="KL545" s="27" t="s">
        <v>7</v>
      </c>
      <c r="KM545" s="27" t="s">
        <v>8</v>
      </c>
      <c r="KN545" s="27" t="s">
        <v>7</v>
      </c>
      <c r="LA545" s="27" t="s">
        <v>8</v>
      </c>
      <c r="LB545" s="27" t="s">
        <v>7</v>
      </c>
    </row>
    <row r="546" spans="1:316" x14ac:dyDescent="0.25">
      <c r="A546" s="7">
        <v>2.252200456887151</v>
      </c>
      <c r="B546"/>
      <c r="C546"/>
      <c r="D546"/>
      <c r="E546"/>
      <c r="KC546" s="27" t="s">
        <v>8</v>
      </c>
      <c r="KD546" s="27" t="s">
        <v>7</v>
      </c>
      <c r="KI546" s="27" t="s">
        <v>8</v>
      </c>
      <c r="KJ546" s="27" t="s">
        <v>7</v>
      </c>
      <c r="KK546" s="27" t="s">
        <v>8</v>
      </c>
      <c r="KL546" s="27" t="s">
        <v>7</v>
      </c>
      <c r="KM546" s="27" t="s">
        <v>8</v>
      </c>
      <c r="KN546" s="27" t="s">
        <v>7</v>
      </c>
      <c r="LA546" s="27" t="s">
        <v>8</v>
      </c>
      <c r="LB546" s="27" t="s">
        <v>7</v>
      </c>
    </row>
    <row r="547" spans="1:316" x14ac:dyDescent="0.25">
      <c r="A547" s="7">
        <v>2.208039663614854</v>
      </c>
      <c r="B547"/>
      <c r="C547"/>
      <c r="D547"/>
      <c r="E547"/>
      <c r="KC547" s="27" t="s">
        <v>8</v>
      </c>
      <c r="KD547" s="27" t="s">
        <v>7</v>
      </c>
      <c r="KI547" s="27" t="s">
        <v>8</v>
      </c>
      <c r="KJ547" s="27" t="s">
        <v>7</v>
      </c>
      <c r="KK547" s="27" t="s">
        <v>8</v>
      </c>
      <c r="KL547" s="27" t="s">
        <v>7</v>
      </c>
      <c r="KM547" s="27" t="s">
        <v>8</v>
      </c>
      <c r="KN547" s="27" t="s">
        <v>7</v>
      </c>
      <c r="LA547" s="27" t="s">
        <v>8</v>
      </c>
      <c r="LB547" s="27" t="s">
        <v>7</v>
      </c>
    </row>
    <row r="548" spans="1:316" x14ac:dyDescent="0.25">
      <c r="A548" s="7">
        <v>2.1647447682498568</v>
      </c>
      <c r="B548"/>
      <c r="C548"/>
      <c r="D548"/>
      <c r="E548"/>
      <c r="KC548" s="27" t="s">
        <v>8</v>
      </c>
      <c r="KD548" s="27" t="s">
        <v>7</v>
      </c>
      <c r="KG548" s="27" t="s">
        <v>8</v>
      </c>
      <c r="KI548" s="27" t="s">
        <v>8</v>
      </c>
      <c r="KJ548" s="27" t="s">
        <v>7</v>
      </c>
      <c r="KK548" s="27" t="s">
        <v>8</v>
      </c>
      <c r="KL548" s="27" t="s">
        <v>7</v>
      </c>
      <c r="KM548" s="27" t="s">
        <v>8</v>
      </c>
      <c r="KN548" s="27" t="s">
        <v>7</v>
      </c>
      <c r="LA548" s="27" t="s">
        <v>8</v>
      </c>
      <c r="LB548" s="27" t="s">
        <v>7</v>
      </c>
    </row>
    <row r="549" spans="1:316" x14ac:dyDescent="0.25">
      <c r="A549" s="7">
        <v>2.1222987924018204</v>
      </c>
      <c r="B549"/>
      <c r="C549"/>
      <c r="D549"/>
      <c r="E549"/>
      <c r="KC549" s="27" t="s">
        <v>8</v>
      </c>
      <c r="KD549" s="27" t="s">
        <v>7</v>
      </c>
      <c r="KG549" s="27" t="s">
        <v>8</v>
      </c>
      <c r="KH549" s="27" t="s">
        <v>7</v>
      </c>
      <c r="KI549" s="27" t="s">
        <v>8</v>
      </c>
      <c r="KJ549" s="27" t="s">
        <v>7</v>
      </c>
      <c r="KL549" s="27" t="s">
        <v>7</v>
      </c>
      <c r="KM549" s="27" t="s">
        <v>8</v>
      </c>
      <c r="KN549" s="27" t="s">
        <v>7</v>
      </c>
      <c r="LA549" s="27" t="s">
        <v>8</v>
      </c>
      <c r="LB549" s="27" t="s">
        <v>7</v>
      </c>
    </row>
    <row r="550" spans="1:316" x14ac:dyDescent="0.25">
      <c r="A550" s="7">
        <v>2.0806850905900198</v>
      </c>
      <c r="B550"/>
      <c r="C550"/>
      <c r="D550"/>
      <c r="E550"/>
      <c r="KC550" s="27" t="s">
        <v>8</v>
      </c>
      <c r="KD550" s="27" t="s">
        <v>7</v>
      </c>
      <c r="KG550" s="27" t="s">
        <v>8</v>
      </c>
      <c r="KH550" s="27" t="s">
        <v>7</v>
      </c>
      <c r="KI550" s="27" t="s">
        <v>8</v>
      </c>
      <c r="KL550" s="27" t="s">
        <v>7</v>
      </c>
      <c r="KM550" s="27" t="s">
        <v>8</v>
      </c>
      <c r="KN550" s="27" t="s">
        <v>7</v>
      </c>
      <c r="KY550" s="27" t="s">
        <v>8</v>
      </c>
      <c r="LA550" s="27" t="s">
        <v>8</v>
      </c>
      <c r="LB550" s="27" t="s">
        <v>7</v>
      </c>
    </row>
    <row r="551" spans="1:316" x14ac:dyDescent="0.25">
      <c r="A551" s="7">
        <v>2.0398873437157055</v>
      </c>
      <c r="B551"/>
      <c r="C551"/>
      <c r="D551"/>
      <c r="E551"/>
      <c r="KC551" s="27" t="s">
        <v>8</v>
      </c>
      <c r="KD551" s="27" t="s">
        <v>7</v>
      </c>
      <c r="KG551" s="27" t="s">
        <v>8</v>
      </c>
      <c r="KH551" s="27" t="s">
        <v>7</v>
      </c>
      <c r="KI551" s="27" t="s">
        <v>8</v>
      </c>
      <c r="KL551" s="27" t="s">
        <v>7</v>
      </c>
      <c r="KM551" s="27" t="s">
        <v>8</v>
      </c>
      <c r="KN551" s="27" t="s">
        <v>7</v>
      </c>
      <c r="KO551" s="27" t="s">
        <v>8</v>
      </c>
      <c r="KY551" s="27" t="s">
        <v>8</v>
      </c>
      <c r="KZ551" s="27" t="s">
        <v>7</v>
      </c>
      <c r="LA551" s="27" t="s">
        <v>8</v>
      </c>
      <c r="LB551" s="27" t="s">
        <v>7</v>
      </c>
    </row>
    <row r="552" spans="1:316" x14ac:dyDescent="0.25">
      <c r="A552" s="7">
        <v>1.9998895526624565</v>
      </c>
      <c r="B552"/>
      <c r="C552"/>
      <c r="D552"/>
      <c r="E552"/>
      <c r="KC552" s="27" t="s">
        <v>8</v>
      </c>
      <c r="KD552" s="27" t="s">
        <v>7</v>
      </c>
      <c r="KG552" s="27" t="s">
        <v>8</v>
      </c>
      <c r="KH552" s="27" t="s">
        <v>7</v>
      </c>
      <c r="KI552" s="27" t="s">
        <v>8</v>
      </c>
      <c r="KL552" s="27" t="s">
        <v>7</v>
      </c>
      <c r="KN552" s="27" t="s">
        <v>7</v>
      </c>
      <c r="KO552" s="27" t="s">
        <v>8</v>
      </c>
      <c r="KP552" s="27" t="s">
        <v>7</v>
      </c>
      <c r="KY552" s="27" t="s">
        <v>8</v>
      </c>
      <c r="KZ552" s="27" t="s">
        <v>7</v>
      </c>
      <c r="LA552" s="27" t="s">
        <v>8</v>
      </c>
      <c r="LB552" s="27" t="s">
        <v>7</v>
      </c>
    </row>
    <row r="553" spans="1:316" x14ac:dyDescent="0.25">
      <c r="A553" s="7">
        <v>1.9606760320220162</v>
      </c>
      <c r="B553"/>
      <c r="C553"/>
      <c r="D553"/>
      <c r="E553"/>
      <c r="KC553" s="27" t="s">
        <v>8</v>
      </c>
      <c r="KD553" s="27" t="s">
        <v>7</v>
      </c>
      <c r="KG553" s="27" t="s">
        <v>8</v>
      </c>
      <c r="KH553" s="27" t="s">
        <v>7</v>
      </c>
      <c r="KI553" s="27" t="s">
        <v>8</v>
      </c>
      <c r="KN553" s="27" t="s">
        <v>7</v>
      </c>
      <c r="KO553" s="27" t="s">
        <v>8</v>
      </c>
      <c r="KP553" s="27" t="s">
        <v>7</v>
      </c>
      <c r="KY553" s="27" t="s">
        <v>8</v>
      </c>
      <c r="KZ553" s="27" t="s">
        <v>7</v>
      </c>
      <c r="LA553" s="27" t="s">
        <v>8</v>
      </c>
      <c r="LB553" s="27" t="s">
        <v>7</v>
      </c>
      <c r="LC553" s="27" t="s">
        <v>8</v>
      </c>
    </row>
    <row r="554" spans="1:316" x14ac:dyDescent="0.25">
      <c r="A554" s="7">
        <v>1.9222314039431532</v>
      </c>
      <c r="B554"/>
      <c r="C554"/>
      <c r="D554"/>
      <c r="E554"/>
      <c r="KC554" s="27" t="s">
        <v>8</v>
      </c>
      <c r="KD554" s="27" t="s">
        <v>7</v>
      </c>
      <c r="KE554" s="27" t="s">
        <v>8</v>
      </c>
      <c r="KG554" s="27" t="s">
        <v>8</v>
      </c>
      <c r="KH554" s="27" t="s">
        <v>7</v>
      </c>
      <c r="KI554" s="27" t="s">
        <v>8</v>
      </c>
      <c r="KN554" s="27" t="s">
        <v>7</v>
      </c>
      <c r="KO554" s="27" t="s">
        <v>8</v>
      </c>
      <c r="KP554" s="27" t="s">
        <v>7</v>
      </c>
      <c r="KU554" s="27" t="s">
        <v>8</v>
      </c>
      <c r="KY554" s="27" t="s">
        <v>8</v>
      </c>
      <c r="KZ554" s="27" t="s">
        <v>7</v>
      </c>
      <c r="LA554" s="27" t="s">
        <v>8</v>
      </c>
      <c r="LB554" s="27" t="s">
        <v>7</v>
      </c>
      <c r="LC554" s="27" t="s">
        <v>8</v>
      </c>
      <c r="LD554" s="27" t="s">
        <v>7</v>
      </c>
    </row>
    <row r="555" spans="1:316" x14ac:dyDescent="0.25">
      <c r="A555" s="7">
        <v>1.8845405921011305</v>
      </c>
      <c r="B555"/>
      <c r="C555"/>
      <c r="D555"/>
      <c r="E555"/>
      <c r="KC555" s="27" t="s">
        <v>8</v>
      </c>
      <c r="KD555" s="27" t="s">
        <v>7</v>
      </c>
      <c r="KE555" s="27" t="s">
        <v>8</v>
      </c>
      <c r="KF555" s="27" t="s">
        <v>7</v>
      </c>
      <c r="KG555" s="27" t="s">
        <v>8</v>
      </c>
      <c r="KH555" s="27" t="s">
        <v>7</v>
      </c>
      <c r="KI555" s="27" t="s">
        <v>8</v>
      </c>
      <c r="KN555" s="27" t="s">
        <v>7</v>
      </c>
      <c r="KO555" s="27" t="s">
        <v>8</v>
      </c>
      <c r="KP555" s="27" t="s">
        <v>7</v>
      </c>
      <c r="KU555" s="27" t="s">
        <v>8</v>
      </c>
      <c r="KV555" s="27" t="s">
        <v>7</v>
      </c>
      <c r="KY555" s="27" t="s">
        <v>8</v>
      </c>
      <c r="KZ555" s="27" t="s">
        <v>7</v>
      </c>
      <c r="LA555" s="27" t="s">
        <v>8</v>
      </c>
      <c r="LB555" s="27" t="s">
        <v>7</v>
      </c>
      <c r="LC555" s="27" t="s">
        <v>8</v>
      </c>
      <c r="LD555" s="27" t="s">
        <v>7</v>
      </c>
    </row>
    <row r="556" spans="1:316" x14ac:dyDescent="0.25">
      <c r="A556" s="7">
        <v>1.8475888157854219</v>
      </c>
      <c r="B556"/>
      <c r="C556"/>
      <c r="D556"/>
      <c r="E556"/>
      <c r="KC556" s="27" t="s">
        <v>8</v>
      </c>
      <c r="KD556" s="27" t="s">
        <v>7</v>
      </c>
      <c r="KE556" s="27" t="s">
        <v>8</v>
      </c>
      <c r="KF556" s="27" t="s">
        <v>7</v>
      </c>
      <c r="KG556" s="27" t="s">
        <v>8</v>
      </c>
      <c r="KH556" s="27" t="s">
        <v>7</v>
      </c>
      <c r="KI556" s="27" t="s">
        <v>8</v>
      </c>
      <c r="KN556" s="27" t="s">
        <v>7</v>
      </c>
      <c r="KO556" s="27" t="s">
        <v>8</v>
      </c>
      <c r="KP556" s="27" t="s">
        <v>7</v>
      </c>
      <c r="KU556" s="27" t="s">
        <v>8</v>
      </c>
      <c r="KV556" s="27" t="s">
        <v>7</v>
      </c>
      <c r="KW556" s="27" t="s">
        <v>8</v>
      </c>
      <c r="KY556" s="27" t="s">
        <v>8</v>
      </c>
      <c r="KZ556" s="27" t="s">
        <v>7</v>
      </c>
      <c r="LA556" s="27" t="s">
        <v>8</v>
      </c>
      <c r="LB556" s="27" t="s">
        <v>7</v>
      </c>
      <c r="LC556" s="27" t="s">
        <v>8</v>
      </c>
      <c r="LD556" s="27" t="s">
        <v>7</v>
      </c>
    </row>
    <row r="557" spans="1:316" x14ac:dyDescent="0.25">
      <c r="A557" s="7">
        <v>1.8113615841033548</v>
      </c>
      <c r="B557"/>
      <c r="C557"/>
      <c r="D557"/>
      <c r="E557"/>
      <c r="KC557" s="27" t="s">
        <v>8</v>
      </c>
      <c r="KD557" s="27" t="s">
        <v>7</v>
      </c>
      <c r="KE557" s="27" t="s">
        <v>8</v>
      </c>
      <c r="KF557" s="27" t="s">
        <v>7</v>
      </c>
      <c r="KG557" s="27" t="s">
        <v>8</v>
      </c>
      <c r="KH557" s="27" t="s">
        <v>7</v>
      </c>
      <c r="KI557" s="27" t="s">
        <v>8</v>
      </c>
      <c r="KN557" s="27" t="s">
        <v>7</v>
      </c>
      <c r="KO557" s="27" t="s">
        <v>8</v>
      </c>
      <c r="KP557" s="27" t="s">
        <v>7</v>
      </c>
      <c r="KU557" s="27" t="s">
        <v>8</v>
      </c>
      <c r="KV557" s="27" t="s">
        <v>7</v>
      </c>
      <c r="KW557" s="27" t="s">
        <v>8</v>
      </c>
      <c r="KX557" s="27" t="s">
        <v>7</v>
      </c>
      <c r="KY557" s="27" t="s">
        <v>8</v>
      </c>
      <c r="KZ557" s="27" t="s">
        <v>7</v>
      </c>
      <c r="LA557" s="27" t="s">
        <v>8</v>
      </c>
      <c r="LB557" s="27" t="s">
        <v>7</v>
      </c>
      <c r="LC557" s="27" t="s">
        <v>8</v>
      </c>
      <c r="LD557" s="27" t="s">
        <v>7</v>
      </c>
    </row>
    <row r="558" spans="1:316" x14ac:dyDescent="0.25">
      <c r="A558" s="7">
        <v>1.7758446902974065</v>
      </c>
      <c r="B558"/>
      <c r="C558"/>
      <c r="D558"/>
      <c r="E558"/>
      <c r="KC558" s="27" t="s">
        <v>8</v>
      </c>
      <c r="KD558" s="27" t="s">
        <v>7</v>
      </c>
      <c r="KE558" s="27" t="s">
        <v>8</v>
      </c>
      <c r="KF558" s="27" t="s">
        <v>7</v>
      </c>
      <c r="KG558" s="27" t="s">
        <v>8</v>
      </c>
      <c r="KH558" s="27" t="s">
        <v>7</v>
      </c>
      <c r="KI558" s="27" t="s">
        <v>8</v>
      </c>
      <c r="KN558" s="27" t="s">
        <v>7</v>
      </c>
      <c r="KO558" s="27" t="s">
        <v>8</v>
      </c>
      <c r="KP558" s="27" t="s">
        <v>7</v>
      </c>
      <c r="KQ558" s="27" t="s">
        <v>8</v>
      </c>
      <c r="KU558" s="27" t="s">
        <v>8</v>
      </c>
      <c r="KV558" s="27" t="s">
        <v>7</v>
      </c>
      <c r="KW558" s="27" t="s">
        <v>8</v>
      </c>
      <c r="KX558" s="27" t="s">
        <v>7</v>
      </c>
      <c r="KY558" s="27" t="s">
        <v>8</v>
      </c>
      <c r="KZ558" s="27" t="s">
        <v>7</v>
      </c>
      <c r="LB558" s="27" t="s">
        <v>7</v>
      </c>
      <c r="LC558" s="27" t="s">
        <v>8</v>
      </c>
      <c r="LD558" s="27" t="s">
        <v>7</v>
      </c>
    </row>
    <row r="559" spans="1:316" x14ac:dyDescent="0.25">
      <c r="A559" s="7">
        <v>1.7410242061739281</v>
      </c>
      <c r="B559"/>
      <c r="C559"/>
      <c r="D559"/>
      <c r="E559"/>
      <c r="KC559" s="27" t="s">
        <v>8</v>
      </c>
      <c r="KD559" s="27" t="s">
        <v>7</v>
      </c>
      <c r="KE559" s="27" t="s">
        <v>8</v>
      </c>
      <c r="KF559" s="27" t="s">
        <v>7</v>
      </c>
      <c r="KG559" s="27" t="s">
        <v>8</v>
      </c>
      <c r="KH559" s="27" t="s">
        <v>7</v>
      </c>
      <c r="KI559" s="27" t="s">
        <v>8</v>
      </c>
      <c r="KN559" s="27" t="s">
        <v>7</v>
      </c>
      <c r="KO559" s="27" t="s">
        <v>8</v>
      </c>
      <c r="KP559" s="27" t="s">
        <v>7</v>
      </c>
      <c r="KQ559" s="27" t="s">
        <v>8</v>
      </c>
      <c r="KR559" s="27" t="s">
        <v>7</v>
      </c>
      <c r="KU559" s="27" t="s">
        <v>8</v>
      </c>
      <c r="KV559" s="27" t="s">
        <v>7</v>
      </c>
      <c r="KX559" s="27" t="s">
        <v>7</v>
      </c>
      <c r="KY559" s="27" t="s">
        <v>8</v>
      </c>
      <c r="LB559" s="27" t="s">
        <v>7</v>
      </c>
      <c r="LC559" s="27" t="s">
        <v>8</v>
      </c>
      <c r="LD559" s="27" t="s">
        <v>7</v>
      </c>
    </row>
    <row r="560" spans="1:316" x14ac:dyDescent="0.25">
      <c r="A560" s="7">
        <v>1.7068864766411058</v>
      </c>
      <c r="B560"/>
      <c r="C560"/>
      <c r="D560"/>
      <c r="E560"/>
      <c r="KC560" s="27" t="s">
        <v>8</v>
      </c>
      <c r="KD560" s="27" t="s">
        <v>7</v>
      </c>
      <c r="KF560" s="27" t="s">
        <v>7</v>
      </c>
      <c r="KG560" s="27" t="s">
        <v>8</v>
      </c>
      <c r="KH560" s="27" t="s">
        <v>7</v>
      </c>
      <c r="KI560" s="27" t="s">
        <v>8</v>
      </c>
      <c r="KN560" s="27" t="s">
        <v>7</v>
      </c>
      <c r="KP560" s="27" t="s">
        <v>7</v>
      </c>
      <c r="KQ560" s="27" t="s">
        <v>8</v>
      </c>
      <c r="KR560" s="27" t="s">
        <v>7</v>
      </c>
      <c r="KU560" s="27" t="s">
        <v>8</v>
      </c>
      <c r="KX560" s="27" t="s">
        <v>7</v>
      </c>
      <c r="KY560" s="27" t="s">
        <v>8</v>
      </c>
      <c r="LB560" s="27" t="s">
        <v>7</v>
      </c>
      <c r="LC560" s="27" t="s">
        <v>8</v>
      </c>
      <c r="LD560" s="27" t="s">
        <v>7</v>
      </c>
    </row>
    <row r="561" spans="1:376" x14ac:dyDescent="0.25">
      <c r="A561" s="7">
        <v>1.6734181143540252</v>
      </c>
      <c r="B561"/>
      <c r="C561"/>
      <c r="D561"/>
      <c r="E561"/>
      <c r="JY561" s="27" t="s">
        <v>8</v>
      </c>
      <c r="KC561" s="27" t="s">
        <v>8</v>
      </c>
      <c r="KF561" s="27" t="s">
        <v>7</v>
      </c>
      <c r="KG561" s="27" t="s">
        <v>8</v>
      </c>
      <c r="KH561" s="27" t="s">
        <v>7</v>
      </c>
      <c r="KI561" s="27" t="s">
        <v>8</v>
      </c>
      <c r="KP561" s="27" t="s">
        <v>7</v>
      </c>
      <c r="KQ561" s="27" t="s">
        <v>8</v>
      </c>
      <c r="KR561" s="27" t="s">
        <v>7</v>
      </c>
      <c r="KU561" s="27" t="s">
        <v>8</v>
      </c>
      <c r="KX561" s="27" t="s">
        <v>7</v>
      </c>
      <c r="KY561" s="27" t="s">
        <v>8</v>
      </c>
      <c r="LB561" s="27" t="s">
        <v>7</v>
      </c>
      <c r="LC561" s="27" t="s">
        <v>8</v>
      </c>
      <c r="LD561" s="27" t="s">
        <v>7</v>
      </c>
    </row>
    <row r="562" spans="1:376" x14ac:dyDescent="0.25">
      <c r="A562" s="7">
        <v>1.6406059944647307</v>
      </c>
      <c r="B562"/>
      <c r="C562"/>
      <c r="D562"/>
      <c r="E562"/>
      <c r="JY562" s="27" t="s">
        <v>8</v>
      </c>
      <c r="JZ562" s="27" t="s">
        <v>7</v>
      </c>
      <c r="KC562" s="27" t="s">
        <v>8</v>
      </c>
      <c r="KF562" s="27" t="s">
        <v>7</v>
      </c>
      <c r="KG562" s="27" t="s">
        <v>8</v>
      </c>
      <c r="KH562" s="27" t="s">
        <v>7</v>
      </c>
      <c r="KP562" s="27" t="s">
        <v>7</v>
      </c>
      <c r="KQ562" s="27" t="s">
        <v>8</v>
      </c>
      <c r="KR562" s="27" t="s">
        <v>7</v>
      </c>
      <c r="KU562" s="27" t="s">
        <v>8</v>
      </c>
      <c r="KX562" s="27" t="s">
        <v>7</v>
      </c>
      <c r="KY562" s="27" t="s">
        <v>8</v>
      </c>
      <c r="LB562" s="27" t="s">
        <v>7</v>
      </c>
      <c r="LD562" s="27" t="s">
        <v>7</v>
      </c>
    </row>
    <row r="563" spans="1:376" x14ac:dyDescent="0.25">
      <c r="A563" s="7">
        <v>1.6084372494752261</v>
      </c>
      <c r="B563"/>
      <c r="C563"/>
      <c r="D563"/>
      <c r="E563"/>
      <c r="JY563" s="27" t="s">
        <v>8</v>
      </c>
      <c r="JZ563" s="27" t="s">
        <v>7</v>
      </c>
      <c r="KC563" s="27" t="s">
        <v>8</v>
      </c>
      <c r="KF563" s="27" t="s">
        <v>7</v>
      </c>
      <c r="KP563" s="27" t="s">
        <v>7</v>
      </c>
      <c r="KQ563" s="27" t="s">
        <v>8</v>
      </c>
      <c r="KR563" s="27" t="s">
        <v>7</v>
      </c>
      <c r="KU563" s="27" t="s">
        <v>8</v>
      </c>
      <c r="KX563" s="27" t="s">
        <v>7</v>
      </c>
      <c r="KY563" s="27" t="s">
        <v>8</v>
      </c>
      <c r="LD563" s="27" t="s">
        <v>7</v>
      </c>
    </row>
    <row r="564" spans="1:376" x14ac:dyDescent="0.25">
      <c r="A564" s="7">
        <v>1.5768992641913981</v>
      </c>
      <c r="B564"/>
      <c r="C564"/>
      <c r="D564"/>
      <c r="E564"/>
      <c r="JY564" s="27" t="s">
        <v>8</v>
      </c>
      <c r="JZ564" s="27" t="s">
        <v>7</v>
      </c>
      <c r="KC564" s="27" t="s">
        <v>8</v>
      </c>
      <c r="KP564" s="27" t="s">
        <v>7</v>
      </c>
      <c r="KR564" s="27" t="s">
        <v>7</v>
      </c>
      <c r="KU564" s="27" t="s">
        <v>8</v>
      </c>
      <c r="KX564" s="27" t="s">
        <v>7</v>
      </c>
      <c r="KY564" s="27" t="s">
        <v>8</v>
      </c>
      <c r="LD564" s="27" t="s">
        <v>7</v>
      </c>
      <c r="LE564" s="27" t="s">
        <v>8</v>
      </c>
    </row>
    <row r="565" spans="1:376" x14ac:dyDescent="0.25">
      <c r="A565" s="7">
        <v>1.5459796707758806</v>
      </c>
      <c r="B565"/>
      <c r="C565"/>
      <c r="D565"/>
      <c r="E565"/>
      <c r="JY565" s="27" t="s">
        <v>8</v>
      </c>
      <c r="JZ565" s="27" t="s">
        <v>7</v>
      </c>
      <c r="KC565" s="27" t="s">
        <v>8</v>
      </c>
      <c r="KR565" s="27" t="s">
        <v>7</v>
      </c>
      <c r="KU565" s="27" t="s">
        <v>8</v>
      </c>
      <c r="KX565" s="27" t="s">
        <v>7</v>
      </c>
      <c r="LD565" s="27" t="s">
        <v>7</v>
      </c>
      <c r="LE565" s="27" t="s">
        <v>8</v>
      </c>
      <c r="LF565" s="27" t="s">
        <v>7</v>
      </c>
    </row>
    <row r="566" spans="1:376" x14ac:dyDescent="0.25">
      <c r="A566" s="7">
        <v>1.5156663438979221</v>
      </c>
      <c r="B566"/>
      <c r="C566"/>
      <c r="D566"/>
      <c r="E566"/>
      <c r="JY566" s="27" t="s">
        <v>8</v>
      </c>
      <c r="JZ566" s="27" t="s">
        <v>7</v>
      </c>
      <c r="KC566" s="27" t="s">
        <v>8</v>
      </c>
      <c r="KR566" s="27" t="s">
        <v>7</v>
      </c>
      <c r="KU566" s="27" t="s">
        <v>8</v>
      </c>
      <c r="LD566" s="27" t="s">
        <v>7</v>
      </c>
      <c r="LE566" s="27" t="s">
        <v>8</v>
      </c>
      <c r="LF566" s="27" t="s">
        <v>7</v>
      </c>
    </row>
    <row r="567" spans="1:376" x14ac:dyDescent="0.25">
      <c r="A567" s="7">
        <v>1.4859473959783549</v>
      </c>
      <c r="B567"/>
      <c r="C567"/>
      <c r="D567"/>
      <c r="E567"/>
      <c r="JY567" s="27" t="s">
        <v>8</v>
      </c>
      <c r="JZ567" s="27" t="s">
        <v>7</v>
      </c>
      <c r="KC567" s="27" t="s">
        <v>8</v>
      </c>
      <c r="KR567" s="27" t="s">
        <v>7</v>
      </c>
      <c r="KU567" s="27" t="s">
        <v>8</v>
      </c>
      <c r="LD567" s="27" t="s">
        <v>7</v>
      </c>
      <c r="LE567" s="27" t="s">
        <v>8</v>
      </c>
      <c r="LF567" s="27" t="s">
        <v>7</v>
      </c>
    </row>
    <row r="568" spans="1:376" x14ac:dyDescent="0.25">
      <c r="A568" s="7">
        <v>1.4568111725277988</v>
      </c>
      <c r="B568"/>
      <c r="C568"/>
      <c r="D568"/>
      <c r="E568"/>
      <c r="JY568" s="27" t="s">
        <v>8</v>
      </c>
      <c r="JZ568" s="27" t="s">
        <v>7</v>
      </c>
      <c r="KC568" s="27" t="s">
        <v>8</v>
      </c>
      <c r="KR568" s="27" t="s">
        <v>7</v>
      </c>
      <c r="KU568" s="27" t="s">
        <v>8</v>
      </c>
      <c r="LD568" s="27" t="s">
        <v>7</v>
      </c>
      <c r="LE568" s="27" t="s">
        <v>8</v>
      </c>
      <c r="LF568" s="27" t="s">
        <v>7</v>
      </c>
    </row>
    <row r="569" spans="1:376" x14ac:dyDescent="0.25">
      <c r="A569" s="7">
        <v>1.4282462475762734</v>
      </c>
      <c r="B569"/>
      <c r="C569"/>
      <c r="D569"/>
      <c r="E569"/>
      <c r="JY569" s="27" t="s">
        <v>8</v>
      </c>
      <c r="JZ569" s="27" t="s">
        <v>7</v>
      </c>
      <c r="KC569" s="27" t="s">
        <v>8</v>
      </c>
      <c r="KR569" s="27" t="s">
        <v>7</v>
      </c>
      <c r="KU569" s="27" t="s">
        <v>8</v>
      </c>
      <c r="LD569" s="27" t="s">
        <v>7</v>
      </c>
      <c r="LF569" s="27" t="s">
        <v>7</v>
      </c>
    </row>
    <row r="570" spans="1:376" x14ac:dyDescent="0.25">
      <c r="A570" s="7">
        <v>1.4002414191924248</v>
      </c>
      <c r="B570"/>
      <c r="C570"/>
      <c r="D570"/>
      <c r="E570"/>
      <c r="JY570" s="27" t="s">
        <v>8</v>
      </c>
      <c r="JZ570" s="27" t="s">
        <v>7</v>
      </c>
      <c r="KC570" s="27" t="s">
        <v>8</v>
      </c>
      <c r="KR570" s="27" t="s">
        <v>7</v>
      </c>
      <c r="KU570" s="27" t="s">
        <v>8</v>
      </c>
      <c r="LF570" s="27" t="s">
        <v>7</v>
      </c>
    </row>
    <row r="571" spans="1:376" x14ac:dyDescent="0.25">
      <c r="A571" s="7">
        <v>1.3727857050906125</v>
      </c>
      <c r="B571"/>
      <c r="C571"/>
      <c r="D571"/>
      <c r="E571"/>
      <c r="JY571" s="27" t="s">
        <v>8</v>
      </c>
      <c r="JZ571" s="27" t="s">
        <v>7</v>
      </c>
      <c r="KC571" s="27" t="s">
        <v>8</v>
      </c>
      <c r="KR571" s="27" t="s">
        <v>7</v>
      </c>
      <c r="KS571" s="27" t="s">
        <v>8</v>
      </c>
      <c r="KU571" s="27" t="s">
        <v>8</v>
      </c>
      <c r="LF571" s="27" t="s">
        <v>7</v>
      </c>
    </row>
    <row r="572" spans="1:376" x14ac:dyDescent="0.25">
      <c r="A572" s="7">
        <v>1.3458683383241299</v>
      </c>
      <c r="B572"/>
      <c r="C572"/>
      <c r="D572"/>
      <c r="E572"/>
      <c r="JY572" s="27" t="s">
        <v>8</v>
      </c>
      <c r="JZ572" s="27" t="s">
        <v>7</v>
      </c>
      <c r="KC572" s="27" t="s">
        <v>8</v>
      </c>
      <c r="KR572" s="27" t="s">
        <v>7</v>
      </c>
      <c r="KS572" s="27" t="s">
        <v>8</v>
      </c>
      <c r="KT572" s="27" t="s">
        <v>7</v>
      </c>
      <c r="KU572" s="27" t="s">
        <v>8</v>
      </c>
      <c r="LF572" s="27" t="s">
        <v>7</v>
      </c>
    </row>
    <row r="573" spans="1:376" x14ac:dyDescent="0.25">
      <c r="A573" s="7">
        <v>1.3194787630628724</v>
      </c>
      <c r="B573"/>
      <c r="C573"/>
      <c r="D573"/>
      <c r="E573"/>
      <c r="JY573" s="27" t="s">
        <v>8</v>
      </c>
      <c r="JZ573" s="27" t="s">
        <v>7</v>
      </c>
      <c r="KC573" s="27" t="s">
        <v>8</v>
      </c>
      <c r="KR573" s="27" t="s">
        <v>7</v>
      </c>
      <c r="KS573" s="27" t="s">
        <v>8</v>
      </c>
      <c r="KT573" s="27" t="s">
        <v>7</v>
      </c>
      <c r="KU573" s="27" t="s">
        <v>8</v>
      </c>
      <c r="LF573" s="27" t="s">
        <v>7</v>
      </c>
      <c r="NK573" s="27" t="s">
        <v>8</v>
      </c>
    </row>
    <row r="574" spans="1:376" x14ac:dyDescent="0.25">
      <c r="A574" s="7">
        <v>1.2936066304537963</v>
      </c>
      <c r="B574"/>
      <c r="C574"/>
      <c r="D574"/>
      <c r="E574"/>
      <c r="JY574" s="27" t="s">
        <v>8</v>
      </c>
      <c r="JZ574" s="27" t="s">
        <v>7</v>
      </c>
      <c r="KA574" s="27" t="s">
        <v>8</v>
      </c>
      <c r="KC574" s="27" t="s">
        <v>8</v>
      </c>
      <c r="KR574" s="27" t="s">
        <v>7</v>
      </c>
      <c r="KS574" s="27" t="s">
        <v>8</v>
      </c>
      <c r="KT574" s="27" t="s">
        <v>7</v>
      </c>
      <c r="KU574" s="27" t="s">
        <v>8</v>
      </c>
      <c r="LF574" s="27" t="s">
        <v>7</v>
      </c>
      <c r="NK574" s="27" t="s">
        <v>8</v>
      </c>
      <c r="NL574" s="27" t="s">
        <v>7</v>
      </c>
    </row>
    <row r="575" spans="1:376" x14ac:dyDescent="0.25">
      <c r="A575" s="7">
        <v>1.2682417945625455</v>
      </c>
      <c r="B575"/>
      <c r="C575"/>
      <c r="D575"/>
      <c r="E575"/>
      <c r="JY575" s="27" t="s">
        <v>8</v>
      </c>
      <c r="JZ575" s="27" t="s">
        <v>7</v>
      </c>
      <c r="KA575" s="27" t="s">
        <v>8</v>
      </c>
      <c r="KB575" s="27" t="s">
        <v>7</v>
      </c>
      <c r="KC575" s="27" t="s">
        <v>8</v>
      </c>
      <c r="KR575" s="27" t="s">
        <v>7</v>
      </c>
      <c r="KS575" s="27" t="s">
        <v>8</v>
      </c>
      <c r="KT575" s="27" t="s">
        <v>7</v>
      </c>
      <c r="KU575" s="27" t="s">
        <v>8</v>
      </c>
      <c r="LF575" s="27" t="s">
        <v>7</v>
      </c>
      <c r="NK575" s="27" t="s">
        <v>8</v>
      </c>
      <c r="NL575" s="27" t="s">
        <v>7</v>
      </c>
    </row>
    <row r="576" spans="1:376" x14ac:dyDescent="0.25">
      <c r="A576" s="7">
        <v>1.2433743083946525</v>
      </c>
      <c r="B576"/>
      <c r="C576"/>
      <c r="D576"/>
      <c r="E576"/>
      <c r="JI576" s="27" t="s">
        <v>8</v>
      </c>
      <c r="JY576" s="27" t="s">
        <v>8</v>
      </c>
      <c r="JZ576" s="27" t="s">
        <v>7</v>
      </c>
      <c r="KA576" s="27" t="s">
        <v>8</v>
      </c>
      <c r="KB576" s="27" t="s">
        <v>7</v>
      </c>
      <c r="KC576" s="27" t="s">
        <v>8</v>
      </c>
      <c r="KR576" s="27" t="s">
        <v>7</v>
      </c>
      <c r="KS576" s="27" t="s">
        <v>8</v>
      </c>
      <c r="KT576" s="27" t="s">
        <v>7</v>
      </c>
      <c r="KU576" s="27" t="s">
        <v>8</v>
      </c>
      <c r="LF576" s="27" t="s">
        <v>7</v>
      </c>
      <c r="NK576" s="27" t="s">
        <v>8</v>
      </c>
      <c r="NL576" s="27" t="s">
        <v>7</v>
      </c>
    </row>
    <row r="577" spans="1:414" x14ac:dyDescent="0.25">
      <c r="A577" s="7">
        <v>1.2189944199947573</v>
      </c>
      <c r="B577"/>
      <c r="C577"/>
      <c r="D577"/>
      <c r="E577"/>
      <c r="JI577" s="27" t="s">
        <v>8</v>
      </c>
      <c r="JJ577" s="27" t="s">
        <v>7</v>
      </c>
      <c r="JY577" s="27" t="s">
        <v>8</v>
      </c>
      <c r="JZ577" s="27" t="s">
        <v>7</v>
      </c>
      <c r="KA577" s="27" t="s">
        <v>8</v>
      </c>
      <c r="KB577" s="27" t="s">
        <v>7</v>
      </c>
      <c r="KC577" s="27" t="s">
        <v>8</v>
      </c>
      <c r="KR577" s="27" t="s">
        <v>7</v>
      </c>
      <c r="KS577" s="27" t="s">
        <v>8</v>
      </c>
      <c r="KT577" s="27" t="s">
        <v>7</v>
      </c>
      <c r="KU577" s="27" t="s">
        <v>8</v>
      </c>
      <c r="LF577" s="27" t="s">
        <v>7</v>
      </c>
      <c r="NI577" s="27" t="s">
        <v>8</v>
      </c>
      <c r="NK577" s="27" t="s">
        <v>8</v>
      </c>
      <c r="NL577" s="27" t="s">
        <v>7</v>
      </c>
      <c r="OS577" s="27" t="s">
        <v>8</v>
      </c>
    </row>
    <row r="578" spans="1:414" x14ac:dyDescent="0.25">
      <c r="A578" s="7">
        <v>1.1950925686223111</v>
      </c>
      <c r="B578"/>
      <c r="C578"/>
      <c r="D578"/>
      <c r="E578"/>
      <c r="JI578" s="27" t="s">
        <v>8</v>
      </c>
      <c r="JJ578" s="27" t="s">
        <v>7</v>
      </c>
      <c r="JW578" s="27" t="s">
        <v>8</v>
      </c>
      <c r="JY578" s="27" t="s">
        <v>8</v>
      </c>
      <c r="JZ578" s="27" t="s">
        <v>7</v>
      </c>
      <c r="KA578" s="27" t="s">
        <v>8</v>
      </c>
      <c r="KB578" s="27" t="s">
        <v>7</v>
      </c>
      <c r="KR578" s="27" t="s">
        <v>7</v>
      </c>
      <c r="KS578" s="27" t="s">
        <v>8</v>
      </c>
      <c r="KT578" s="27" t="s">
        <v>7</v>
      </c>
      <c r="KU578" s="27" t="s">
        <v>8</v>
      </c>
      <c r="LF578" s="27" t="s">
        <v>7</v>
      </c>
      <c r="NI578" s="27" t="s">
        <v>8</v>
      </c>
      <c r="NJ578" s="27" t="s">
        <v>7</v>
      </c>
      <c r="NK578" s="27" t="s">
        <v>8</v>
      </c>
      <c r="NL578" s="27" t="s">
        <v>7</v>
      </c>
      <c r="OS578" s="27" t="s">
        <v>8</v>
      </c>
      <c r="OT578" s="27" t="s">
        <v>7</v>
      </c>
      <c r="OW578" s="27" t="s">
        <v>8</v>
      </c>
    </row>
    <row r="579" spans="1:414" x14ac:dyDescent="0.25">
      <c r="A579" s="7">
        <v>1.1716593810022657</v>
      </c>
      <c r="B579"/>
      <c r="C579"/>
      <c r="D579"/>
      <c r="E579"/>
      <c r="JI579" s="27" t="s">
        <v>8</v>
      </c>
      <c r="JJ579" s="27" t="s">
        <v>7</v>
      </c>
      <c r="JW579" s="27" t="s">
        <v>8</v>
      </c>
      <c r="JX579" s="27" t="s">
        <v>7</v>
      </c>
      <c r="JY579" s="27" t="s">
        <v>8</v>
      </c>
      <c r="JZ579" s="27" t="s">
        <v>7</v>
      </c>
      <c r="KA579" s="27" t="s">
        <v>8</v>
      </c>
      <c r="KR579" s="27" t="s">
        <v>7</v>
      </c>
      <c r="KT579" s="27" t="s">
        <v>7</v>
      </c>
      <c r="KU579" s="27" t="s">
        <v>8</v>
      </c>
      <c r="LF579" s="27" t="s">
        <v>7</v>
      </c>
      <c r="NI579" s="27" t="s">
        <v>8</v>
      </c>
      <c r="NJ579" s="27" t="s">
        <v>7</v>
      </c>
      <c r="NK579" s="27" t="s">
        <v>8</v>
      </c>
      <c r="NL579" s="27" t="s">
        <v>7</v>
      </c>
      <c r="OS579" s="27" t="s">
        <v>8</v>
      </c>
      <c r="OT579" s="27" t="s">
        <v>7</v>
      </c>
      <c r="OW579" s="27" t="s">
        <v>8</v>
      </c>
      <c r="OX579" s="27" t="s">
        <v>7</v>
      </c>
    </row>
    <row r="580" spans="1:414" x14ac:dyDescent="0.25">
      <c r="A580" s="7">
        <v>1.14868566764928</v>
      </c>
      <c r="B580"/>
      <c r="C580"/>
      <c r="D580"/>
      <c r="E580"/>
      <c r="JI580" s="27" t="s">
        <v>8</v>
      </c>
      <c r="JJ580" s="27" t="s">
        <v>7</v>
      </c>
      <c r="JW580" s="27" t="s">
        <v>8</v>
      </c>
      <c r="JX580" s="27" t="s">
        <v>7</v>
      </c>
      <c r="JY580" s="27" t="s">
        <v>8</v>
      </c>
      <c r="JZ580" s="27" t="s">
        <v>7</v>
      </c>
      <c r="KA580" s="27" t="s">
        <v>8</v>
      </c>
      <c r="KT580" s="27" t="s">
        <v>7</v>
      </c>
      <c r="KU580" s="27" t="s">
        <v>8</v>
      </c>
      <c r="LF580" s="27" t="s">
        <v>7</v>
      </c>
      <c r="LG580" s="27" t="s">
        <v>8</v>
      </c>
      <c r="NI580" s="27" t="s">
        <v>8</v>
      </c>
      <c r="NJ580" s="27" t="s">
        <v>7</v>
      </c>
      <c r="NK580" s="27" t="s">
        <v>8</v>
      </c>
      <c r="NL580" s="27" t="s">
        <v>7</v>
      </c>
      <c r="OS580" s="27" t="s">
        <v>8</v>
      </c>
      <c r="OT580" s="27" t="s">
        <v>7</v>
      </c>
      <c r="OW580" s="27" t="s">
        <v>8</v>
      </c>
      <c r="OX580" s="27" t="s">
        <v>7</v>
      </c>
    </row>
    <row r="581" spans="1:414" x14ac:dyDescent="0.25">
      <c r="A581" s="7">
        <v>1.1261624192640001</v>
      </c>
      <c r="B581"/>
      <c r="C581"/>
      <c r="D581"/>
      <c r="E581"/>
      <c r="JI581" s="27" t="s">
        <v>8</v>
      </c>
      <c r="JJ581" s="27" t="s">
        <v>7</v>
      </c>
      <c r="JW581" s="27" t="s">
        <v>8</v>
      </c>
      <c r="JX581" s="27" t="s">
        <v>7</v>
      </c>
      <c r="JY581" s="27" t="s">
        <v>8</v>
      </c>
      <c r="JZ581" s="27" t="s">
        <v>7</v>
      </c>
      <c r="KA581" s="27" t="s">
        <v>8</v>
      </c>
      <c r="KT581" s="27" t="s">
        <v>7</v>
      </c>
      <c r="LF581" s="27" t="s">
        <v>7</v>
      </c>
      <c r="LG581" s="27" t="s">
        <v>8</v>
      </c>
      <c r="LH581" s="27" t="s">
        <v>7</v>
      </c>
      <c r="NG581" s="27" t="s">
        <v>8</v>
      </c>
      <c r="NI581" s="27" t="s">
        <v>8</v>
      </c>
      <c r="NJ581" s="27" t="s">
        <v>7</v>
      </c>
      <c r="NK581" s="27" t="s">
        <v>8</v>
      </c>
      <c r="NL581" s="27" t="s">
        <v>7</v>
      </c>
      <c r="OS581" s="27" t="s">
        <v>8</v>
      </c>
      <c r="OT581" s="27" t="s">
        <v>7</v>
      </c>
      <c r="OW581" s="27" t="s">
        <v>8</v>
      </c>
      <c r="OX581" s="27" t="s">
        <v>7</v>
      </c>
    </row>
    <row r="582" spans="1:414" x14ac:dyDescent="0.25">
      <c r="A582" s="7">
        <v>1.1040808032</v>
      </c>
      <c r="B582"/>
      <c r="C582"/>
      <c r="D582"/>
      <c r="E582"/>
      <c r="JI582" s="27" t="s">
        <v>8</v>
      </c>
      <c r="JJ582" s="27" t="s">
        <v>7</v>
      </c>
      <c r="JW582" s="27" t="s">
        <v>8</v>
      </c>
      <c r="JX582" s="27" t="s">
        <v>7</v>
      </c>
      <c r="JY582" s="27" t="s">
        <v>8</v>
      </c>
      <c r="JZ582" s="27" t="s">
        <v>7</v>
      </c>
      <c r="KA582" s="27" t="s">
        <v>8</v>
      </c>
      <c r="LF582" s="27" t="s">
        <v>7</v>
      </c>
      <c r="LG582" s="27" t="s">
        <v>8</v>
      </c>
      <c r="LH582" s="27" t="s">
        <v>7</v>
      </c>
      <c r="NG582" s="27" t="s">
        <v>8</v>
      </c>
      <c r="NH582" s="27" t="s">
        <v>7</v>
      </c>
      <c r="NI582" s="27" t="s">
        <v>8</v>
      </c>
      <c r="NJ582" s="27" t="s">
        <v>7</v>
      </c>
      <c r="NL582" s="27" t="s">
        <v>7</v>
      </c>
      <c r="OS582" s="27" t="s">
        <v>8</v>
      </c>
      <c r="OT582" s="27" t="s">
        <v>7</v>
      </c>
      <c r="OW582" s="27" t="s">
        <v>8</v>
      </c>
      <c r="OX582" s="27" t="s">
        <v>7</v>
      </c>
    </row>
    <row r="583" spans="1:414" x14ac:dyDescent="0.25">
      <c r="A583" s="7">
        <v>1.08243216</v>
      </c>
      <c r="B583"/>
      <c r="C583"/>
      <c r="D583"/>
      <c r="E583"/>
      <c r="JI583" s="27" t="s">
        <v>8</v>
      </c>
      <c r="JJ583" s="27" t="s">
        <v>7</v>
      </c>
      <c r="JK583" s="27" t="s">
        <v>8</v>
      </c>
      <c r="JW583" s="27" t="s">
        <v>8</v>
      </c>
      <c r="JX583" s="27" t="s">
        <v>7</v>
      </c>
      <c r="JY583" s="27" t="s">
        <v>8</v>
      </c>
      <c r="JZ583" s="27" t="s">
        <v>7</v>
      </c>
      <c r="KA583" s="27" t="s">
        <v>8</v>
      </c>
      <c r="LF583" s="27" t="s">
        <v>7</v>
      </c>
      <c r="LG583" s="27" t="s">
        <v>8</v>
      </c>
      <c r="LH583" s="27" t="s">
        <v>7</v>
      </c>
      <c r="NG583" s="27" t="s">
        <v>8</v>
      </c>
      <c r="NH583" s="27" t="s">
        <v>7</v>
      </c>
      <c r="NI583" s="27" t="s">
        <v>8</v>
      </c>
      <c r="NL583" s="27" t="s">
        <v>7</v>
      </c>
      <c r="NM583" s="27" t="s">
        <v>8</v>
      </c>
      <c r="OS583" s="27" t="s">
        <v>8</v>
      </c>
      <c r="OT583" s="27" t="s">
        <v>7</v>
      </c>
      <c r="OW583" s="27" t="s">
        <v>8</v>
      </c>
      <c r="OX583" s="27" t="s">
        <v>7</v>
      </c>
    </row>
    <row r="584" spans="1:414" x14ac:dyDescent="0.25">
      <c r="A584" s="7">
        <v>1.0612079999999999</v>
      </c>
      <c r="B584"/>
      <c r="C584"/>
      <c r="D584"/>
      <c r="E584"/>
      <c r="JI584" s="27" t="s">
        <v>8</v>
      </c>
      <c r="JJ584" s="27" t="s">
        <v>7</v>
      </c>
      <c r="JK584" s="27" t="s">
        <v>8</v>
      </c>
      <c r="JL584" s="27" t="s">
        <v>7</v>
      </c>
      <c r="JW584" s="27" t="s">
        <v>8</v>
      </c>
      <c r="JX584" s="27" t="s">
        <v>7</v>
      </c>
      <c r="JY584" s="27" t="s">
        <v>8</v>
      </c>
      <c r="JZ584" s="27" t="s">
        <v>7</v>
      </c>
      <c r="LF584" s="27" t="s">
        <v>7</v>
      </c>
      <c r="LG584" s="27" t="s">
        <v>8</v>
      </c>
      <c r="LH584" s="27" t="s">
        <v>7</v>
      </c>
      <c r="LM584" s="27" t="s">
        <v>8</v>
      </c>
      <c r="NG584" s="27" t="s">
        <v>8</v>
      </c>
      <c r="NH584" s="27" t="s">
        <v>7</v>
      </c>
      <c r="NI584" s="27" t="s">
        <v>8</v>
      </c>
      <c r="NL584" s="27" t="s">
        <v>7</v>
      </c>
      <c r="NM584" s="27" t="s">
        <v>8</v>
      </c>
      <c r="NN584" s="27" t="s">
        <v>7</v>
      </c>
      <c r="OK584" s="27" t="s">
        <v>8</v>
      </c>
      <c r="OS584" s="27" t="s">
        <v>8</v>
      </c>
      <c r="OT584" s="27" t="s">
        <v>7</v>
      </c>
      <c r="OW584" s="27" t="s">
        <v>8</v>
      </c>
      <c r="OX584" s="27" t="s">
        <v>7</v>
      </c>
    </row>
    <row r="585" spans="1:414" x14ac:dyDescent="0.25">
      <c r="A585" s="7">
        <v>1.0404</v>
      </c>
      <c r="B585"/>
      <c r="C585"/>
      <c r="D585"/>
      <c r="E585"/>
      <c r="JI585" s="27" t="s">
        <v>8</v>
      </c>
      <c r="JJ585" s="27" t="s">
        <v>7</v>
      </c>
      <c r="JK585" s="27" t="s">
        <v>8</v>
      </c>
      <c r="JL585" s="27" t="s">
        <v>7</v>
      </c>
      <c r="JW585" s="27" t="s">
        <v>8</v>
      </c>
      <c r="JX585" s="27" t="s">
        <v>7</v>
      </c>
      <c r="JY585" s="27" t="s">
        <v>8</v>
      </c>
      <c r="LF585" s="27" t="s">
        <v>7</v>
      </c>
      <c r="LG585" s="27" t="s">
        <v>8</v>
      </c>
      <c r="LH585" s="27" t="s">
        <v>7</v>
      </c>
      <c r="LM585" s="27" t="s">
        <v>8</v>
      </c>
      <c r="LN585" s="27" t="s">
        <v>7</v>
      </c>
      <c r="NG585" s="27" t="s">
        <v>8</v>
      </c>
      <c r="NH585" s="27" t="s">
        <v>7</v>
      </c>
      <c r="NI585" s="27" t="s">
        <v>8</v>
      </c>
      <c r="NL585" s="27" t="s">
        <v>7</v>
      </c>
      <c r="NM585" s="27" t="s">
        <v>8</v>
      </c>
      <c r="NN585" s="27" t="s">
        <v>7</v>
      </c>
      <c r="OK585" s="27" t="s">
        <v>8</v>
      </c>
      <c r="OL585" s="27" t="s">
        <v>7</v>
      </c>
      <c r="OS585" s="27" t="s">
        <v>8</v>
      </c>
      <c r="OT585" s="27" t="s">
        <v>7</v>
      </c>
      <c r="OW585" s="27" t="s">
        <v>8</v>
      </c>
      <c r="OX585" s="27" t="s">
        <v>7</v>
      </c>
    </row>
    <row r="586" spans="1:414" x14ac:dyDescent="0.25">
      <c r="A586" s="7">
        <v>1.02</v>
      </c>
      <c r="B586"/>
      <c r="C586"/>
      <c r="D586"/>
      <c r="E586"/>
      <c r="JI586" s="27" t="s">
        <v>8</v>
      </c>
      <c r="JJ586" s="27" t="s">
        <v>7</v>
      </c>
      <c r="JK586" s="27" t="s">
        <v>8</v>
      </c>
      <c r="JL586" s="27" t="s">
        <v>7</v>
      </c>
      <c r="JW586" s="27" t="s">
        <v>8</v>
      </c>
      <c r="JX586" s="27" t="s">
        <v>7</v>
      </c>
      <c r="JY586" s="27" t="s">
        <v>8</v>
      </c>
      <c r="LF586" s="27" t="s">
        <v>7</v>
      </c>
      <c r="LG586" s="27" t="s">
        <v>8</v>
      </c>
      <c r="LH586" s="27" t="s">
        <v>7</v>
      </c>
      <c r="LM586" s="27" t="s">
        <v>8</v>
      </c>
      <c r="LN586" s="27" t="s">
        <v>7</v>
      </c>
      <c r="NG586" s="27" t="s">
        <v>8</v>
      </c>
      <c r="NH586" s="27" t="s">
        <v>7</v>
      </c>
      <c r="NL586" s="27" t="s">
        <v>7</v>
      </c>
      <c r="NM586" s="27" t="s">
        <v>8</v>
      </c>
      <c r="NN586" s="27" t="s">
        <v>7</v>
      </c>
      <c r="OC586" s="27" t="s">
        <v>8</v>
      </c>
      <c r="OE586" s="27" t="s">
        <v>8</v>
      </c>
      <c r="OG586" s="27" t="s">
        <v>8</v>
      </c>
      <c r="OK586" s="27" t="s">
        <v>8</v>
      </c>
      <c r="OL586" s="27" t="s">
        <v>7</v>
      </c>
      <c r="OM586" s="27" t="s">
        <v>8</v>
      </c>
      <c r="OS586" s="27" t="s">
        <v>8</v>
      </c>
      <c r="OT586" s="27" t="s">
        <v>7</v>
      </c>
      <c r="OW586" s="27" t="s">
        <v>8</v>
      </c>
      <c r="OX586" s="27" t="s">
        <v>7</v>
      </c>
    </row>
    <row r="587" spans="1:414" x14ac:dyDescent="0.25">
      <c r="A587" s="7">
        <v>1</v>
      </c>
      <c r="B587"/>
      <c r="C587"/>
      <c r="D587"/>
      <c r="E587" s="29" t="s">
        <v>8</v>
      </c>
      <c r="JI587" s="27" t="s">
        <v>8</v>
      </c>
      <c r="JJ587" s="27" t="s">
        <v>7</v>
      </c>
      <c r="JK587" s="27" t="s">
        <v>8</v>
      </c>
      <c r="JL587" s="27" t="s">
        <v>7</v>
      </c>
      <c r="JW587" s="27" t="s">
        <v>8</v>
      </c>
      <c r="JX587" s="27" t="s">
        <v>7</v>
      </c>
      <c r="JY587" s="27" t="s">
        <v>8</v>
      </c>
      <c r="LF587" s="27" t="s">
        <v>7</v>
      </c>
      <c r="LG587" s="27" t="s">
        <v>8</v>
      </c>
      <c r="LH587" s="27" t="s">
        <v>7</v>
      </c>
      <c r="LM587" s="27" t="s">
        <v>8</v>
      </c>
      <c r="LN587" s="27" t="s">
        <v>7</v>
      </c>
      <c r="NG587" s="27" t="s">
        <v>8</v>
      </c>
      <c r="NL587" s="27" t="s">
        <v>7</v>
      </c>
      <c r="NM587" s="27" t="s">
        <v>8</v>
      </c>
      <c r="NN587" s="27" t="s">
        <v>7</v>
      </c>
      <c r="OA587" s="27" t="s">
        <v>8</v>
      </c>
      <c r="OC587" s="27" t="s">
        <v>8</v>
      </c>
      <c r="OD587" s="27" t="s">
        <v>7</v>
      </c>
      <c r="OE587" s="27" t="s">
        <v>8</v>
      </c>
      <c r="OF587" s="27" t="s">
        <v>7</v>
      </c>
      <c r="OG587" s="27" t="s">
        <v>8</v>
      </c>
      <c r="OH587" s="27" t="s">
        <v>7</v>
      </c>
      <c r="OK587" s="27" t="s">
        <v>8</v>
      </c>
      <c r="OL587" s="27" t="s">
        <v>7</v>
      </c>
      <c r="OM587" s="27" t="s">
        <v>8</v>
      </c>
      <c r="ON587" s="27" t="s">
        <v>7</v>
      </c>
      <c r="OS587" s="27" t="s">
        <v>8</v>
      </c>
      <c r="OT587" s="27" t="s">
        <v>7</v>
      </c>
      <c r="OW587" s="27" t="s">
        <v>8</v>
      </c>
      <c r="OX587" s="27" t="s">
        <v>7</v>
      </c>
    </row>
    <row r="588" spans="1:414" x14ac:dyDescent="0.25">
      <c r="A588" s="7">
        <v>0.98039215686274506</v>
      </c>
      <c r="B588"/>
      <c r="C588"/>
      <c r="D588"/>
      <c r="E588"/>
      <c r="F588" s="27" t="s">
        <v>7</v>
      </c>
      <c r="JE588" s="27" t="s">
        <v>8</v>
      </c>
      <c r="JI588" s="27" t="s">
        <v>8</v>
      </c>
      <c r="JJ588" s="27" t="s">
        <v>7</v>
      </c>
      <c r="JK588" s="27" t="s">
        <v>8</v>
      </c>
      <c r="JL588" s="27" t="s">
        <v>7</v>
      </c>
      <c r="JW588" s="27" t="s">
        <v>8</v>
      </c>
      <c r="JX588" s="27" t="s">
        <v>7</v>
      </c>
      <c r="LF588" s="27" t="s">
        <v>7</v>
      </c>
      <c r="LG588" s="27" t="s">
        <v>8</v>
      </c>
      <c r="LH588" s="27" t="s">
        <v>7</v>
      </c>
      <c r="LK588" s="27" t="s">
        <v>8</v>
      </c>
      <c r="LM588" s="27" t="s">
        <v>8</v>
      </c>
      <c r="LN588" s="27" t="s">
        <v>7</v>
      </c>
      <c r="LO588" s="27" t="s">
        <v>8</v>
      </c>
      <c r="NG588" s="27" t="s">
        <v>8</v>
      </c>
      <c r="NL588" s="27" t="s">
        <v>7</v>
      </c>
      <c r="NM588" s="27" t="s">
        <v>8</v>
      </c>
      <c r="NN588" s="27" t="s">
        <v>7</v>
      </c>
      <c r="NO588" s="27" t="s">
        <v>8</v>
      </c>
      <c r="NS588" s="27" t="s">
        <v>8</v>
      </c>
      <c r="OA588" s="27" t="s">
        <v>8</v>
      </c>
      <c r="OB588" s="27" t="s">
        <v>7</v>
      </c>
      <c r="OC588" s="27" t="s">
        <v>8</v>
      </c>
      <c r="OD588" s="27" t="s">
        <v>7</v>
      </c>
      <c r="OE588" s="27" t="s">
        <v>8</v>
      </c>
      <c r="OF588" s="27" t="s">
        <v>7</v>
      </c>
      <c r="OG588" s="27" t="s">
        <v>8</v>
      </c>
      <c r="OH588" s="27" t="s">
        <v>7</v>
      </c>
      <c r="OI588" s="27" t="s">
        <v>8</v>
      </c>
      <c r="OK588" s="27" t="s">
        <v>8</v>
      </c>
      <c r="OL588" s="27" t="s">
        <v>7</v>
      </c>
      <c r="OM588" s="27" t="s">
        <v>8</v>
      </c>
      <c r="ON588" s="27" t="s">
        <v>7</v>
      </c>
      <c r="OO588" s="27" t="s">
        <v>8</v>
      </c>
      <c r="OS588" s="27" t="s">
        <v>8</v>
      </c>
      <c r="OT588" s="27" t="s">
        <v>7</v>
      </c>
      <c r="OW588" s="27" t="s">
        <v>8</v>
      </c>
      <c r="OX588" s="27" t="s">
        <v>7</v>
      </c>
    </row>
    <row r="589" spans="1:414" x14ac:dyDescent="0.25">
      <c r="A589" s="7">
        <v>0.96116878123798544</v>
      </c>
      <c r="B589"/>
      <c r="C589"/>
      <c r="D589"/>
      <c r="E589"/>
      <c r="F589" s="27" t="s">
        <v>7</v>
      </c>
      <c r="JE589" s="27" t="s">
        <v>8</v>
      </c>
      <c r="JF589" s="27" t="s">
        <v>7</v>
      </c>
      <c r="JI589" s="27" t="s">
        <v>8</v>
      </c>
      <c r="JJ589" s="27" t="s">
        <v>7</v>
      </c>
      <c r="JK589" s="27" t="s">
        <v>8</v>
      </c>
      <c r="JL589" s="27" t="s">
        <v>7</v>
      </c>
      <c r="JU589" s="27" t="s">
        <v>8</v>
      </c>
      <c r="JW589" s="27" t="s">
        <v>8</v>
      </c>
      <c r="LF589" s="27" t="s">
        <v>7</v>
      </c>
      <c r="LG589" s="27" t="s">
        <v>8</v>
      </c>
      <c r="LH589" s="27" t="s">
        <v>7</v>
      </c>
      <c r="LI589" s="27" t="s">
        <v>8</v>
      </c>
      <c r="LK589" s="27" t="s">
        <v>8</v>
      </c>
      <c r="LL589" s="27" t="s">
        <v>7</v>
      </c>
      <c r="LM589" s="27" t="s">
        <v>8</v>
      </c>
      <c r="LN589" s="27" t="s">
        <v>7</v>
      </c>
      <c r="LO589" s="27" t="s">
        <v>8</v>
      </c>
      <c r="LP589" s="27" t="s">
        <v>7</v>
      </c>
      <c r="NG589" s="27" t="s">
        <v>8</v>
      </c>
      <c r="NL589" s="27" t="s">
        <v>7</v>
      </c>
      <c r="NM589" s="27" t="s">
        <v>8</v>
      </c>
      <c r="NN589" s="27" t="s">
        <v>7</v>
      </c>
      <c r="NO589" s="27" t="s">
        <v>8</v>
      </c>
      <c r="NP589" s="27" t="s">
        <v>7</v>
      </c>
      <c r="NQ589" s="27" t="s">
        <v>8</v>
      </c>
      <c r="NS589" s="27" t="s">
        <v>8</v>
      </c>
      <c r="NT589" s="27" t="s">
        <v>7</v>
      </c>
      <c r="OA589" s="27" t="s">
        <v>8</v>
      </c>
      <c r="OB589" s="27" t="s">
        <v>7</v>
      </c>
      <c r="OC589" s="27" t="s">
        <v>8</v>
      </c>
      <c r="OD589" s="27" t="s">
        <v>7</v>
      </c>
      <c r="OE589" s="27" t="s">
        <v>8</v>
      </c>
      <c r="OF589" s="27" t="s">
        <v>7</v>
      </c>
      <c r="OG589" s="27" t="s">
        <v>8</v>
      </c>
      <c r="OH589" s="27" t="s">
        <v>7</v>
      </c>
      <c r="OI589" s="27" t="s">
        <v>8</v>
      </c>
      <c r="OJ589" s="27" t="s">
        <v>7</v>
      </c>
      <c r="OK589" s="27" t="s">
        <v>8</v>
      </c>
      <c r="OL589" s="27" t="s">
        <v>7</v>
      </c>
      <c r="OM589" s="27" t="s">
        <v>8</v>
      </c>
      <c r="ON589" s="27" t="s">
        <v>7</v>
      </c>
      <c r="OO589" s="27" t="s">
        <v>8</v>
      </c>
      <c r="OP589" s="27" t="s">
        <v>7</v>
      </c>
      <c r="OS589" s="27" t="s">
        <v>8</v>
      </c>
      <c r="OT589" s="27" t="s">
        <v>7</v>
      </c>
      <c r="OW589" s="27" t="s">
        <v>8</v>
      </c>
      <c r="OX589" s="27" t="s">
        <v>7</v>
      </c>
    </row>
    <row r="590" spans="1:414" x14ac:dyDescent="0.25">
      <c r="A590" s="7">
        <v>0.94232233454704462</v>
      </c>
      <c r="B590"/>
      <c r="C590"/>
      <c r="D590"/>
      <c r="E590"/>
      <c r="F590" s="27" t="s">
        <v>7</v>
      </c>
      <c r="JE590" s="27" t="s">
        <v>8</v>
      </c>
      <c r="JF590" s="27" t="s">
        <v>7</v>
      </c>
      <c r="JG590" s="27" t="s">
        <v>8</v>
      </c>
      <c r="JI590" s="27" t="s">
        <v>8</v>
      </c>
      <c r="JJ590" s="27" t="s">
        <v>7</v>
      </c>
      <c r="JL590" s="27" t="s">
        <v>7</v>
      </c>
      <c r="JS590" s="27" t="s">
        <v>8</v>
      </c>
      <c r="JU590" s="27" t="s">
        <v>8</v>
      </c>
      <c r="JV590" s="27" t="s">
        <v>7</v>
      </c>
      <c r="JW590" s="27" t="s">
        <v>8</v>
      </c>
      <c r="LF590" s="27" t="s">
        <v>7</v>
      </c>
      <c r="LG590" s="27" t="s">
        <v>8</v>
      </c>
      <c r="LH590" s="27" t="s">
        <v>7</v>
      </c>
      <c r="LI590" s="27" t="s">
        <v>8</v>
      </c>
      <c r="LJ590" s="27" t="s">
        <v>7</v>
      </c>
      <c r="LK590" s="27" t="s">
        <v>8</v>
      </c>
      <c r="LL590" s="27" t="s">
        <v>7</v>
      </c>
      <c r="LM590" s="27" t="s">
        <v>8</v>
      </c>
      <c r="LN590" s="27" t="s">
        <v>7</v>
      </c>
      <c r="LO590" s="27" t="s">
        <v>8</v>
      </c>
      <c r="LP590" s="27" t="s">
        <v>7</v>
      </c>
      <c r="MU590" s="27" t="s">
        <v>8</v>
      </c>
      <c r="NA590" s="27" t="s">
        <v>8</v>
      </c>
      <c r="NG590" s="27" t="s">
        <v>8</v>
      </c>
      <c r="NL590" s="27" t="s">
        <v>7</v>
      </c>
      <c r="NM590" s="27" t="s">
        <v>8</v>
      </c>
      <c r="NN590" s="27" t="s">
        <v>7</v>
      </c>
      <c r="NO590" s="27" t="s">
        <v>8</v>
      </c>
      <c r="NP590" s="27" t="s">
        <v>7</v>
      </c>
      <c r="NQ590" s="27" t="s">
        <v>8</v>
      </c>
      <c r="NR590" s="27" t="s">
        <v>7</v>
      </c>
      <c r="NS590" s="27" t="s">
        <v>8</v>
      </c>
      <c r="NT590" s="27" t="s">
        <v>7</v>
      </c>
      <c r="NY590" s="27" t="s">
        <v>8</v>
      </c>
      <c r="OA590" s="27" t="s">
        <v>8</v>
      </c>
      <c r="OB590" s="27" t="s">
        <v>7</v>
      </c>
      <c r="OD590" s="27" t="s">
        <v>7</v>
      </c>
      <c r="OE590" s="27" t="s">
        <v>8</v>
      </c>
      <c r="OF590" s="27" t="s">
        <v>7</v>
      </c>
      <c r="OG590" s="27" t="s">
        <v>8</v>
      </c>
      <c r="OH590" s="27" t="s">
        <v>7</v>
      </c>
      <c r="OI590" s="27" t="s">
        <v>8</v>
      </c>
      <c r="OJ590" s="27" t="s">
        <v>7</v>
      </c>
      <c r="OK590" s="27" t="s">
        <v>8</v>
      </c>
      <c r="OL590" s="27" t="s">
        <v>7</v>
      </c>
      <c r="ON590" s="27" t="s">
        <v>7</v>
      </c>
      <c r="OO590" s="27" t="s">
        <v>8</v>
      </c>
      <c r="OP590" s="27" t="s">
        <v>7</v>
      </c>
      <c r="OQ590" s="27" t="s">
        <v>8</v>
      </c>
      <c r="OS590" s="27" t="s">
        <v>8</v>
      </c>
      <c r="OT590" s="27" t="s">
        <v>7</v>
      </c>
      <c r="OW590" s="27" t="s">
        <v>8</v>
      </c>
      <c r="OX590" s="27" t="s">
        <v>7</v>
      </c>
    </row>
    <row r="591" spans="1:414" x14ac:dyDescent="0.25">
      <c r="A591" s="7">
        <v>0.92384542602651432</v>
      </c>
      <c r="B591"/>
      <c r="C591"/>
      <c r="D591"/>
      <c r="E591"/>
      <c r="F591" s="27" t="s">
        <v>7</v>
      </c>
      <c r="JE591" s="27" t="s">
        <v>8</v>
      </c>
      <c r="JF591" s="27" t="s">
        <v>7</v>
      </c>
      <c r="JG591" s="27" t="s">
        <v>8</v>
      </c>
      <c r="JH591" s="27" t="s">
        <v>7</v>
      </c>
      <c r="JI591" s="27" t="s">
        <v>8</v>
      </c>
      <c r="JL591" s="27" t="s">
        <v>7</v>
      </c>
      <c r="JM591" s="27" t="s">
        <v>8</v>
      </c>
      <c r="JS591" s="27" t="s">
        <v>8</v>
      </c>
      <c r="JT591" s="27" t="s">
        <v>7</v>
      </c>
      <c r="JU591" s="27" t="s">
        <v>8</v>
      </c>
      <c r="JV591" s="27" t="s">
        <v>7</v>
      </c>
      <c r="JW591" s="27" t="s">
        <v>8</v>
      </c>
      <c r="LF591" s="27" t="s">
        <v>7</v>
      </c>
      <c r="LG591" s="27" t="s">
        <v>8</v>
      </c>
      <c r="LH591" s="27" t="s">
        <v>7</v>
      </c>
      <c r="LI591" s="27" t="s">
        <v>8</v>
      </c>
      <c r="LJ591" s="27" t="s">
        <v>7</v>
      </c>
      <c r="LK591" s="27" t="s">
        <v>8</v>
      </c>
      <c r="LL591" s="27" t="s">
        <v>7</v>
      </c>
      <c r="LM591" s="27" t="s">
        <v>8</v>
      </c>
      <c r="LN591" s="27" t="s">
        <v>7</v>
      </c>
      <c r="LO591" s="27" t="s">
        <v>8</v>
      </c>
      <c r="LP591" s="27" t="s">
        <v>7</v>
      </c>
      <c r="MU591" s="27" t="s">
        <v>8</v>
      </c>
      <c r="MV591" s="27" t="s">
        <v>7</v>
      </c>
      <c r="MW591" s="27" t="s">
        <v>8</v>
      </c>
      <c r="MY591" s="27" t="s">
        <v>8</v>
      </c>
      <c r="NA591" s="27" t="s">
        <v>8</v>
      </c>
      <c r="NB591" s="27" t="s">
        <v>7</v>
      </c>
      <c r="NC591" s="27" t="s">
        <v>8</v>
      </c>
      <c r="NG591" s="27" t="s">
        <v>8</v>
      </c>
      <c r="NL591" s="27" t="s">
        <v>7</v>
      </c>
      <c r="NM591" s="27" t="s">
        <v>8</v>
      </c>
      <c r="NN591" s="27" t="s">
        <v>7</v>
      </c>
      <c r="NO591" s="27" t="s">
        <v>8</v>
      </c>
      <c r="NP591" s="27" t="s">
        <v>7</v>
      </c>
      <c r="NQ591" s="27" t="s">
        <v>8</v>
      </c>
      <c r="NR591" s="27" t="s">
        <v>7</v>
      </c>
      <c r="NS591" s="27" t="s">
        <v>8</v>
      </c>
      <c r="NT591" s="27" t="s">
        <v>7</v>
      </c>
      <c r="NY591" s="27" t="s">
        <v>8</v>
      </c>
      <c r="NZ591" s="27" t="s">
        <v>7</v>
      </c>
      <c r="OA591" s="27" t="s">
        <v>8</v>
      </c>
      <c r="OD591" s="27" t="s">
        <v>7</v>
      </c>
      <c r="OE591" s="27" t="s">
        <v>8</v>
      </c>
      <c r="OF591" s="27" t="s">
        <v>7</v>
      </c>
      <c r="OG591" s="27" t="s">
        <v>8</v>
      </c>
      <c r="OH591" s="27" t="s">
        <v>7</v>
      </c>
      <c r="OI591" s="27" t="s">
        <v>8</v>
      </c>
      <c r="OJ591" s="27" t="s">
        <v>7</v>
      </c>
      <c r="OK591" s="27" t="s">
        <v>8</v>
      </c>
      <c r="ON591" s="27" t="s">
        <v>7</v>
      </c>
      <c r="OP591" s="27" t="s">
        <v>7</v>
      </c>
      <c r="OQ591" s="27" t="s">
        <v>8</v>
      </c>
      <c r="OR591" s="27" t="s">
        <v>7</v>
      </c>
      <c r="OS591" s="27" t="s">
        <v>8</v>
      </c>
      <c r="OT591" s="27" t="s">
        <v>7</v>
      </c>
      <c r="OU591" s="27" t="s">
        <v>8</v>
      </c>
      <c r="OW591" s="27" t="s">
        <v>8</v>
      </c>
      <c r="OX591" s="27" t="s">
        <v>7</v>
      </c>
    </row>
    <row r="592" spans="1:414" x14ac:dyDescent="0.25">
      <c r="A592" s="7">
        <v>0.90573080982991594</v>
      </c>
      <c r="B592"/>
      <c r="C592"/>
      <c r="D592"/>
      <c r="E592"/>
      <c r="F592" s="27" t="s">
        <v>7</v>
      </c>
      <c r="JE592" s="27" t="s">
        <v>8</v>
      </c>
      <c r="JF592" s="27" t="s">
        <v>7</v>
      </c>
      <c r="JG592" s="27" t="s">
        <v>8</v>
      </c>
      <c r="JH592" s="27" t="s">
        <v>7</v>
      </c>
      <c r="JI592" s="27" t="s">
        <v>8</v>
      </c>
      <c r="JL592" s="27" t="s">
        <v>7</v>
      </c>
      <c r="JM592" s="27" t="s">
        <v>8</v>
      </c>
      <c r="JN592" s="27" t="s">
        <v>7</v>
      </c>
      <c r="JS592" s="27" t="s">
        <v>8</v>
      </c>
      <c r="JT592" s="27" t="s">
        <v>7</v>
      </c>
      <c r="JU592" s="27" t="s">
        <v>8</v>
      </c>
      <c r="JV592" s="27" t="s">
        <v>7</v>
      </c>
      <c r="JW592" s="27" t="s">
        <v>8</v>
      </c>
      <c r="LF592" s="27" t="s">
        <v>7</v>
      </c>
      <c r="LG592" s="27" t="s">
        <v>8</v>
      </c>
      <c r="LH592" s="27" t="s">
        <v>7</v>
      </c>
      <c r="LI592" s="27" t="s">
        <v>8</v>
      </c>
      <c r="LJ592" s="27" t="s">
        <v>7</v>
      </c>
      <c r="LK592" s="27" t="s">
        <v>8</v>
      </c>
      <c r="LL592" s="27" t="s">
        <v>7</v>
      </c>
      <c r="LM592" s="27" t="s">
        <v>8</v>
      </c>
      <c r="LN592" s="27" t="s">
        <v>7</v>
      </c>
      <c r="LO592" s="27" t="s">
        <v>8</v>
      </c>
      <c r="LP592" s="27" t="s">
        <v>7</v>
      </c>
      <c r="MU592" s="27" t="s">
        <v>8</v>
      </c>
      <c r="MV592" s="27" t="s">
        <v>7</v>
      </c>
      <c r="MW592" s="27" t="s">
        <v>8</v>
      </c>
      <c r="MX592" s="27" t="s">
        <v>7</v>
      </c>
      <c r="MY592" s="27" t="s">
        <v>8</v>
      </c>
      <c r="MZ592" s="27" t="s">
        <v>7</v>
      </c>
      <c r="NA592" s="27" t="s">
        <v>8</v>
      </c>
      <c r="NB592" s="27" t="s">
        <v>7</v>
      </c>
      <c r="NC592" s="27" t="s">
        <v>8</v>
      </c>
      <c r="ND592" s="27" t="s">
        <v>7</v>
      </c>
      <c r="NG592" s="27" t="s">
        <v>8</v>
      </c>
      <c r="NL592" s="27" t="s">
        <v>7</v>
      </c>
      <c r="NM592" s="27" t="s">
        <v>8</v>
      </c>
      <c r="NN592" s="27" t="s">
        <v>7</v>
      </c>
      <c r="NO592" s="27" t="s">
        <v>8</v>
      </c>
      <c r="NP592" s="27" t="s">
        <v>7</v>
      </c>
      <c r="NQ592" s="27" t="s">
        <v>8</v>
      </c>
      <c r="NR592" s="27" t="s">
        <v>7</v>
      </c>
      <c r="NT592" s="27" t="s">
        <v>7</v>
      </c>
      <c r="NY592" s="27" t="s">
        <v>8</v>
      </c>
      <c r="NZ592" s="27" t="s">
        <v>7</v>
      </c>
      <c r="OA592" s="27" t="s">
        <v>8</v>
      </c>
      <c r="OD592" s="27" t="s">
        <v>7</v>
      </c>
      <c r="OE592" s="27" t="s">
        <v>8</v>
      </c>
      <c r="OF592" s="27" t="s">
        <v>7</v>
      </c>
      <c r="OG592" s="27" t="s">
        <v>8</v>
      </c>
      <c r="OH592" s="27" t="s">
        <v>7</v>
      </c>
      <c r="OI592" s="27" t="s">
        <v>8</v>
      </c>
      <c r="OJ592" s="27" t="s">
        <v>7</v>
      </c>
      <c r="OK592" s="27" t="s">
        <v>8</v>
      </c>
      <c r="OP592" s="27" t="s">
        <v>7</v>
      </c>
      <c r="OQ592" s="27" t="s">
        <v>8</v>
      </c>
      <c r="OR592" s="27" t="s">
        <v>7</v>
      </c>
      <c r="OS592" s="27" t="s">
        <v>8</v>
      </c>
      <c r="OT592" s="27" t="s">
        <v>7</v>
      </c>
      <c r="OU592" s="27" t="s">
        <v>8</v>
      </c>
      <c r="OV592" s="27" t="s">
        <v>7</v>
      </c>
      <c r="OW592" s="27" t="s">
        <v>8</v>
      </c>
      <c r="OX592" s="27" t="s">
        <v>7</v>
      </c>
    </row>
    <row r="593" spans="1:430" x14ac:dyDescent="0.25">
      <c r="A593" s="7">
        <v>0.8879713821861922</v>
      </c>
      <c r="B593"/>
      <c r="C593"/>
      <c r="D593"/>
      <c r="E593"/>
      <c r="F593" s="27" t="s">
        <v>7</v>
      </c>
      <c r="JC593" s="27" t="s">
        <v>8</v>
      </c>
      <c r="JE593" s="27" t="s">
        <v>8</v>
      </c>
      <c r="JF593" s="27" t="s">
        <v>7</v>
      </c>
      <c r="JG593" s="27" t="s">
        <v>8</v>
      </c>
      <c r="JH593" s="27" t="s">
        <v>7</v>
      </c>
      <c r="JI593" s="27" t="s">
        <v>8</v>
      </c>
      <c r="JL593" s="27" t="s">
        <v>7</v>
      </c>
      <c r="JM593" s="27" t="s">
        <v>8</v>
      </c>
      <c r="JN593" s="27" t="s">
        <v>7</v>
      </c>
      <c r="JQ593" s="27" t="s">
        <v>8</v>
      </c>
      <c r="JS593" s="27" t="s">
        <v>8</v>
      </c>
      <c r="JT593" s="27" t="s">
        <v>7</v>
      </c>
      <c r="JU593" s="27" t="s">
        <v>8</v>
      </c>
      <c r="JV593" s="27" t="s">
        <v>7</v>
      </c>
      <c r="JW593" s="27" t="s">
        <v>8</v>
      </c>
      <c r="LF593" s="27" t="s">
        <v>7</v>
      </c>
      <c r="LG593" s="27" t="s">
        <v>8</v>
      </c>
      <c r="LH593" s="27" t="s">
        <v>7</v>
      </c>
      <c r="LI593" s="27" t="s">
        <v>8</v>
      </c>
      <c r="LJ593" s="27" t="s">
        <v>7</v>
      </c>
      <c r="LK593" s="27" t="s">
        <v>8</v>
      </c>
      <c r="LL593" s="27" t="s">
        <v>7</v>
      </c>
      <c r="LM593" s="27" t="s">
        <v>8</v>
      </c>
      <c r="LN593" s="27" t="s">
        <v>7</v>
      </c>
      <c r="LO593" s="27" t="s">
        <v>8</v>
      </c>
      <c r="LP593" s="27" t="s">
        <v>7</v>
      </c>
      <c r="LQ593" s="27" t="s">
        <v>8</v>
      </c>
      <c r="MU593" s="27" t="s">
        <v>8</v>
      </c>
      <c r="MV593" s="27" t="s">
        <v>7</v>
      </c>
      <c r="MW593" s="27" t="s">
        <v>8</v>
      </c>
      <c r="MX593" s="27" t="s">
        <v>7</v>
      </c>
      <c r="MY593" s="27" t="s">
        <v>8</v>
      </c>
      <c r="MZ593" s="27" t="s">
        <v>7</v>
      </c>
      <c r="NA593" s="27" t="s">
        <v>8</v>
      </c>
      <c r="NB593" s="27" t="s">
        <v>7</v>
      </c>
      <c r="NC593" s="27" t="s">
        <v>8</v>
      </c>
      <c r="ND593" s="27" t="s">
        <v>7</v>
      </c>
      <c r="NG593" s="27" t="s">
        <v>8</v>
      </c>
      <c r="NL593" s="27" t="s">
        <v>7</v>
      </c>
      <c r="NM593" s="27" t="s">
        <v>8</v>
      </c>
      <c r="NN593" s="27" t="s">
        <v>7</v>
      </c>
      <c r="NO593" s="27" t="s">
        <v>8</v>
      </c>
      <c r="NP593" s="27" t="s">
        <v>7</v>
      </c>
      <c r="NQ593" s="27" t="s">
        <v>8</v>
      </c>
      <c r="NT593" s="27" t="s">
        <v>7</v>
      </c>
      <c r="NU593" s="27" t="s">
        <v>8</v>
      </c>
      <c r="NY593" s="27" t="s">
        <v>8</v>
      </c>
      <c r="NZ593" s="27" t="s">
        <v>7</v>
      </c>
      <c r="OA593" s="27" t="s">
        <v>8</v>
      </c>
      <c r="OD593" s="27" t="s">
        <v>7</v>
      </c>
      <c r="OF593" s="27" t="s">
        <v>7</v>
      </c>
      <c r="OG593" s="27" t="s">
        <v>8</v>
      </c>
      <c r="OH593" s="27" t="s">
        <v>7</v>
      </c>
      <c r="OI593" s="27" t="s">
        <v>8</v>
      </c>
      <c r="OJ593" s="27" t="s">
        <v>7</v>
      </c>
      <c r="OK593" s="27" t="s">
        <v>8</v>
      </c>
      <c r="OP593" s="27" t="s">
        <v>7</v>
      </c>
      <c r="OQ593" s="27" t="s">
        <v>8</v>
      </c>
      <c r="OR593" s="27" t="s">
        <v>7</v>
      </c>
      <c r="OS593" s="27" t="s">
        <v>8</v>
      </c>
      <c r="OT593" s="27" t="s">
        <v>7</v>
      </c>
      <c r="OU593" s="27" t="s">
        <v>8</v>
      </c>
      <c r="OV593" s="27" t="s">
        <v>7</v>
      </c>
      <c r="OW593" s="27" t="s">
        <v>8</v>
      </c>
      <c r="OX593" s="27" t="s">
        <v>7</v>
      </c>
    </row>
    <row r="594" spans="1:430" x14ac:dyDescent="0.25">
      <c r="A594" s="7">
        <v>0.87056017861391399</v>
      </c>
      <c r="B594"/>
      <c r="C594"/>
      <c r="D594"/>
      <c r="E594"/>
      <c r="F594" s="27" t="s">
        <v>7</v>
      </c>
      <c r="JC594" s="27" t="s">
        <v>8</v>
      </c>
      <c r="JD594" s="27" t="s">
        <v>7</v>
      </c>
      <c r="JE594" s="27" t="s">
        <v>8</v>
      </c>
      <c r="JF594" s="27" t="s">
        <v>7</v>
      </c>
      <c r="JG594" s="27" t="s">
        <v>8</v>
      </c>
      <c r="JH594" s="27" t="s">
        <v>7</v>
      </c>
      <c r="JI594" s="27" t="s">
        <v>8</v>
      </c>
      <c r="JL594" s="27" t="s">
        <v>7</v>
      </c>
      <c r="JM594" s="27" t="s">
        <v>8</v>
      </c>
      <c r="JN594" s="27" t="s">
        <v>7</v>
      </c>
      <c r="JQ594" s="27" t="s">
        <v>8</v>
      </c>
      <c r="JR594" s="27" t="s">
        <v>7</v>
      </c>
      <c r="JS594" s="27" t="s">
        <v>8</v>
      </c>
      <c r="JT594" s="27" t="s">
        <v>7</v>
      </c>
      <c r="JU594" s="27" t="s">
        <v>8</v>
      </c>
      <c r="JV594" s="27" t="s">
        <v>7</v>
      </c>
      <c r="JW594" s="27" t="s">
        <v>8</v>
      </c>
      <c r="LF594" s="27" t="s">
        <v>7</v>
      </c>
      <c r="LG594" s="27" t="s">
        <v>8</v>
      </c>
      <c r="LH594" s="27" t="s">
        <v>7</v>
      </c>
      <c r="LI594" s="27" t="s">
        <v>8</v>
      </c>
      <c r="LJ594" s="27" t="s">
        <v>7</v>
      </c>
      <c r="LK594" s="27" t="s">
        <v>8</v>
      </c>
      <c r="LL594" s="27" t="s">
        <v>7</v>
      </c>
      <c r="LM594" s="27" t="s">
        <v>8</v>
      </c>
      <c r="LN594" s="27" t="s">
        <v>7</v>
      </c>
      <c r="LO594" s="27" t="s">
        <v>8</v>
      </c>
      <c r="LP594" s="27" t="s">
        <v>7</v>
      </c>
      <c r="LQ594" s="27" t="s">
        <v>8</v>
      </c>
      <c r="LR594" s="27" t="s">
        <v>7</v>
      </c>
      <c r="MU594" s="27" t="s">
        <v>8</v>
      </c>
      <c r="MV594" s="27" t="s">
        <v>7</v>
      </c>
      <c r="MW594" s="27" t="s">
        <v>8</v>
      </c>
      <c r="MX594" s="27" t="s">
        <v>7</v>
      </c>
      <c r="MY594" s="27" t="s">
        <v>8</v>
      </c>
      <c r="MZ594" s="27" t="s">
        <v>7</v>
      </c>
      <c r="NB594" s="27" t="s">
        <v>7</v>
      </c>
      <c r="NC594" s="27" t="s">
        <v>8</v>
      </c>
      <c r="ND594" s="27" t="s">
        <v>7</v>
      </c>
      <c r="NG594" s="27" t="s">
        <v>8</v>
      </c>
      <c r="NL594" s="27" t="s">
        <v>7</v>
      </c>
      <c r="NM594" s="27" t="s">
        <v>8</v>
      </c>
      <c r="NN594" s="27" t="s">
        <v>7</v>
      </c>
      <c r="NP594" s="27" t="s">
        <v>7</v>
      </c>
      <c r="NT594" s="27" t="s">
        <v>7</v>
      </c>
      <c r="NU594" s="27" t="s">
        <v>8</v>
      </c>
      <c r="NV594" s="27" t="s">
        <v>7</v>
      </c>
      <c r="NY594" s="27" t="s">
        <v>8</v>
      </c>
      <c r="NZ594" s="27" t="s">
        <v>7</v>
      </c>
      <c r="OF594" s="27" t="s">
        <v>7</v>
      </c>
      <c r="OG594" s="27" t="s">
        <v>8</v>
      </c>
      <c r="OH594" s="27" t="s">
        <v>7</v>
      </c>
      <c r="OJ594" s="27" t="s">
        <v>7</v>
      </c>
      <c r="OK594" s="27" t="s">
        <v>8</v>
      </c>
      <c r="OP594" s="27" t="s">
        <v>7</v>
      </c>
      <c r="OQ594" s="27" t="s">
        <v>8</v>
      </c>
      <c r="OR594" s="27" t="s">
        <v>7</v>
      </c>
      <c r="OS594" s="27" t="s">
        <v>8</v>
      </c>
      <c r="OT594" s="27" t="s">
        <v>7</v>
      </c>
      <c r="OV594" s="27" t="s">
        <v>7</v>
      </c>
      <c r="OW594" s="27" t="s">
        <v>8</v>
      </c>
      <c r="OX594" s="27" t="s">
        <v>7</v>
      </c>
    </row>
    <row r="595" spans="1:430" x14ac:dyDescent="0.25">
      <c r="A595" s="7">
        <v>0.85349037119011173</v>
      </c>
      <c r="B595"/>
      <c r="C595"/>
      <c r="D595"/>
      <c r="E595"/>
      <c r="F595" s="27" t="s">
        <v>7</v>
      </c>
      <c r="JC595" s="27" t="s">
        <v>8</v>
      </c>
      <c r="JD595" s="27" t="s">
        <v>7</v>
      </c>
      <c r="JE595" s="27" t="s">
        <v>8</v>
      </c>
      <c r="JF595" s="27" t="s">
        <v>7</v>
      </c>
      <c r="JG595" s="27" t="s">
        <v>8</v>
      </c>
      <c r="JH595" s="27" t="s">
        <v>7</v>
      </c>
      <c r="JL595" s="27" t="s">
        <v>7</v>
      </c>
      <c r="JM595" s="27" t="s">
        <v>8</v>
      </c>
      <c r="JN595" s="27" t="s">
        <v>7</v>
      </c>
      <c r="JQ595" s="27" t="s">
        <v>8</v>
      </c>
      <c r="JR595" s="27" t="s">
        <v>7</v>
      </c>
      <c r="JS595" s="27" t="s">
        <v>8</v>
      </c>
      <c r="JT595" s="27" t="s">
        <v>7</v>
      </c>
      <c r="JU595" s="27" t="s">
        <v>8</v>
      </c>
      <c r="JV595" s="27" t="s">
        <v>7</v>
      </c>
      <c r="LF595" s="27" t="s">
        <v>7</v>
      </c>
      <c r="LG595" s="27" t="s">
        <v>8</v>
      </c>
      <c r="LH595" s="27" t="s">
        <v>7</v>
      </c>
      <c r="LI595" s="27" t="s">
        <v>8</v>
      </c>
      <c r="LJ595" s="27" t="s">
        <v>7</v>
      </c>
      <c r="LK595" s="27" t="s">
        <v>8</v>
      </c>
      <c r="LL595" s="27" t="s">
        <v>7</v>
      </c>
      <c r="LM595" s="27" t="s">
        <v>8</v>
      </c>
      <c r="LN595" s="27" t="s">
        <v>7</v>
      </c>
      <c r="LO595" s="27" t="s">
        <v>8</v>
      </c>
      <c r="LP595" s="27" t="s">
        <v>7</v>
      </c>
      <c r="LQ595" s="27" t="s">
        <v>8</v>
      </c>
      <c r="LR595" s="27" t="s">
        <v>7</v>
      </c>
      <c r="MU595" s="27" t="s">
        <v>8</v>
      </c>
      <c r="MV595" s="27" t="s">
        <v>7</v>
      </c>
      <c r="MX595" s="27" t="s">
        <v>7</v>
      </c>
      <c r="MY595" s="27" t="s">
        <v>8</v>
      </c>
      <c r="NB595" s="27" t="s">
        <v>7</v>
      </c>
      <c r="NC595" s="27" t="s">
        <v>8</v>
      </c>
      <c r="ND595" s="27" t="s">
        <v>7</v>
      </c>
      <c r="NE595" s="27" t="s">
        <v>8</v>
      </c>
      <c r="NG595" s="27" t="s">
        <v>8</v>
      </c>
      <c r="NL595" s="27" t="s">
        <v>7</v>
      </c>
      <c r="NT595" s="27" t="s">
        <v>7</v>
      </c>
      <c r="NU595" s="27" t="s">
        <v>8</v>
      </c>
      <c r="NV595" s="27" t="s">
        <v>7</v>
      </c>
      <c r="NY595" s="27" t="s">
        <v>8</v>
      </c>
      <c r="OF595" s="27" t="s">
        <v>7</v>
      </c>
      <c r="OJ595" s="27" t="s">
        <v>7</v>
      </c>
      <c r="OP595" s="27" t="s">
        <v>7</v>
      </c>
      <c r="OQ595" s="27" t="s">
        <v>8</v>
      </c>
      <c r="OR595" s="27" t="s">
        <v>7</v>
      </c>
      <c r="OV595" s="27" t="s">
        <v>7</v>
      </c>
      <c r="OW595" s="27" t="s">
        <v>8</v>
      </c>
      <c r="OX595" s="27" t="s">
        <v>7</v>
      </c>
      <c r="PG595" s="27" t="s">
        <v>8</v>
      </c>
      <c r="PI595" s="27" t="s">
        <v>8</v>
      </c>
    </row>
    <row r="596" spans="1:430" x14ac:dyDescent="0.25">
      <c r="A596" s="7">
        <v>0.83675526587265858</v>
      </c>
      <c r="B596"/>
      <c r="C596"/>
      <c r="D596"/>
      <c r="E596"/>
      <c r="F596" s="27" t="s">
        <v>7</v>
      </c>
      <c r="JC596" s="27" t="s">
        <v>8</v>
      </c>
      <c r="JD596" s="27" t="s">
        <v>7</v>
      </c>
      <c r="JE596" s="27" t="s">
        <v>8</v>
      </c>
      <c r="JF596" s="27" t="s">
        <v>7</v>
      </c>
      <c r="JG596" s="27" t="s">
        <v>8</v>
      </c>
      <c r="JL596" s="27" t="s">
        <v>7</v>
      </c>
      <c r="JM596" s="27" t="s">
        <v>8</v>
      </c>
      <c r="JN596" s="27" t="s">
        <v>7</v>
      </c>
      <c r="JQ596" s="27" t="s">
        <v>8</v>
      </c>
      <c r="JR596" s="27" t="s">
        <v>7</v>
      </c>
      <c r="JS596" s="27" t="s">
        <v>8</v>
      </c>
      <c r="JT596" s="27" t="s">
        <v>7</v>
      </c>
      <c r="LF596" s="27" t="s">
        <v>7</v>
      </c>
      <c r="LG596" s="27" t="s">
        <v>8</v>
      </c>
      <c r="LH596" s="27" t="s">
        <v>7</v>
      </c>
      <c r="LI596" s="27" t="s">
        <v>8</v>
      </c>
      <c r="LJ596" s="27" t="s">
        <v>7</v>
      </c>
      <c r="LK596" s="27" t="s">
        <v>8</v>
      </c>
      <c r="LL596" s="27" t="s">
        <v>7</v>
      </c>
      <c r="LN596" s="27" t="s">
        <v>7</v>
      </c>
      <c r="LO596" s="27" t="s">
        <v>8</v>
      </c>
      <c r="LP596" s="27" t="s">
        <v>7</v>
      </c>
      <c r="LQ596" s="27" t="s">
        <v>8</v>
      </c>
      <c r="LR596" s="27" t="s">
        <v>7</v>
      </c>
      <c r="MU596" s="27" t="s">
        <v>8</v>
      </c>
      <c r="MX596" s="27" t="s">
        <v>7</v>
      </c>
      <c r="MY596" s="27" t="s">
        <v>8</v>
      </c>
      <c r="NB596" s="27" t="s">
        <v>7</v>
      </c>
      <c r="NC596" s="27" t="s">
        <v>8</v>
      </c>
      <c r="ND596" s="27" t="s">
        <v>7</v>
      </c>
      <c r="NE596" s="27" t="s">
        <v>8</v>
      </c>
      <c r="NF596" s="27" t="s">
        <v>7</v>
      </c>
      <c r="NG596" s="27" t="s">
        <v>8</v>
      </c>
      <c r="NT596" s="27" t="s">
        <v>7</v>
      </c>
      <c r="NU596" s="27" t="s">
        <v>8</v>
      </c>
      <c r="NV596" s="27" t="s">
        <v>7</v>
      </c>
      <c r="NY596" s="27" t="s">
        <v>8</v>
      </c>
      <c r="OP596" s="27" t="s">
        <v>7</v>
      </c>
      <c r="OQ596" s="27" t="s">
        <v>8</v>
      </c>
      <c r="OV596" s="27" t="s">
        <v>7</v>
      </c>
      <c r="OW596" s="27" t="s">
        <v>8</v>
      </c>
      <c r="OX596" s="27" t="s">
        <v>7</v>
      </c>
      <c r="OY596" s="27" t="s">
        <v>8</v>
      </c>
      <c r="PG596" s="27" t="s">
        <v>8</v>
      </c>
      <c r="PH596" s="27" t="s">
        <v>7</v>
      </c>
      <c r="PI596" s="27" t="s">
        <v>8</v>
      </c>
      <c r="PJ596" s="27" t="s">
        <v>7</v>
      </c>
    </row>
    <row r="597" spans="1:430" x14ac:dyDescent="0.25">
      <c r="A597" s="7">
        <v>0.82034829987515545</v>
      </c>
      <c r="B597"/>
      <c r="C597"/>
      <c r="D597"/>
      <c r="E597"/>
      <c r="F597" s="27" t="s">
        <v>7</v>
      </c>
      <c r="JC597" s="27" t="s">
        <v>8</v>
      </c>
      <c r="JD597" s="27" t="s">
        <v>7</v>
      </c>
      <c r="JE597" s="27" t="s">
        <v>8</v>
      </c>
      <c r="JF597" s="27" t="s">
        <v>7</v>
      </c>
      <c r="JG597" s="27" t="s">
        <v>8</v>
      </c>
      <c r="JL597" s="27" t="s">
        <v>7</v>
      </c>
      <c r="JM597" s="27" t="s">
        <v>8</v>
      </c>
      <c r="JN597" s="27" t="s">
        <v>7</v>
      </c>
      <c r="JO597" s="27" t="s">
        <v>8</v>
      </c>
      <c r="JQ597" s="27" t="s">
        <v>8</v>
      </c>
      <c r="JR597" s="27" t="s">
        <v>7</v>
      </c>
      <c r="JS597" s="27" t="s">
        <v>8</v>
      </c>
      <c r="LF597" s="27" t="s">
        <v>7</v>
      </c>
      <c r="LG597" s="27" t="s">
        <v>8</v>
      </c>
      <c r="LH597" s="27" t="s">
        <v>7</v>
      </c>
      <c r="LJ597" s="27" t="s">
        <v>7</v>
      </c>
      <c r="LK597" s="27" t="s">
        <v>8</v>
      </c>
      <c r="LN597" s="27" t="s">
        <v>7</v>
      </c>
      <c r="LO597" s="27" t="s">
        <v>8</v>
      </c>
      <c r="LP597" s="27" t="s">
        <v>7</v>
      </c>
      <c r="LR597" s="27" t="s">
        <v>7</v>
      </c>
      <c r="MS597" s="27" t="s">
        <v>8</v>
      </c>
      <c r="MU597" s="27" t="s">
        <v>8</v>
      </c>
      <c r="MX597" s="27" t="s">
        <v>7</v>
      </c>
      <c r="MY597" s="27" t="s">
        <v>8</v>
      </c>
      <c r="NB597" s="27" t="s">
        <v>7</v>
      </c>
      <c r="ND597" s="27" t="s">
        <v>7</v>
      </c>
      <c r="NE597" s="27" t="s">
        <v>8</v>
      </c>
      <c r="NF597" s="27" t="s">
        <v>7</v>
      </c>
      <c r="NG597" s="27" t="s">
        <v>8</v>
      </c>
      <c r="NT597" s="27" t="s">
        <v>7</v>
      </c>
      <c r="NU597" s="27" t="s">
        <v>8</v>
      </c>
      <c r="NV597" s="27" t="s">
        <v>7</v>
      </c>
      <c r="NY597" s="27" t="s">
        <v>8</v>
      </c>
      <c r="OP597" s="27" t="s">
        <v>7</v>
      </c>
      <c r="OQ597" s="27" t="s">
        <v>8</v>
      </c>
      <c r="OV597" s="27" t="s">
        <v>7</v>
      </c>
      <c r="OX597" s="27" t="s">
        <v>7</v>
      </c>
      <c r="OY597" s="27" t="s">
        <v>8</v>
      </c>
      <c r="OZ597" s="27" t="s">
        <v>7</v>
      </c>
      <c r="PG597" s="27" t="s">
        <v>8</v>
      </c>
      <c r="PH597" s="27" t="s">
        <v>7</v>
      </c>
      <c r="PI597" s="27" t="s">
        <v>8</v>
      </c>
      <c r="PJ597" s="27" t="s">
        <v>7</v>
      </c>
    </row>
    <row r="598" spans="1:430" x14ac:dyDescent="0.25">
      <c r="A598" s="7">
        <v>0.80426303909328967</v>
      </c>
      <c r="B598"/>
      <c r="C598"/>
      <c r="D598"/>
      <c r="E598"/>
      <c r="F598" s="27" t="s">
        <v>7</v>
      </c>
      <c r="JC598" s="27" t="s">
        <v>8</v>
      </c>
      <c r="JD598" s="27" t="s">
        <v>7</v>
      </c>
      <c r="JE598" s="27" t="s">
        <v>8</v>
      </c>
      <c r="JF598" s="27" t="s">
        <v>7</v>
      </c>
      <c r="JG598" s="27" t="s">
        <v>8</v>
      </c>
      <c r="JL598" s="27" t="s">
        <v>7</v>
      </c>
      <c r="JM598" s="27" t="s">
        <v>8</v>
      </c>
      <c r="JN598" s="27" t="s">
        <v>7</v>
      </c>
      <c r="JO598" s="27" t="s">
        <v>8</v>
      </c>
      <c r="JP598" s="27" t="s">
        <v>7</v>
      </c>
      <c r="JQ598" s="27" t="s">
        <v>8</v>
      </c>
      <c r="JR598" s="27" t="s">
        <v>7</v>
      </c>
      <c r="JS598" s="27" t="s">
        <v>8</v>
      </c>
      <c r="LF598" s="27" t="s">
        <v>7</v>
      </c>
      <c r="LG598" s="27" t="s">
        <v>8</v>
      </c>
      <c r="LJ598" s="27" t="s">
        <v>7</v>
      </c>
      <c r="LK598" s="27" t="s">
        <v>8</v>
      </c>
      <c r="LN598" s="27" t="s">
        <v>7</v>
      </c>
      <c r="LO598" s="27" t="s">
        <v>8</v>
      </c>
      <c r="LR598" s="27" t="s">
        <v>7</v>
      </c>
      <c r="LS598" s="27" t="s">
        <v>8</v>
      </c>
      <c r="MS598" s="27" t="s">
        <v>8</v>
      </c>
      <c r="MT598" s="27" t="s">
        <v>7</v>
      </c>
      <c r="MU598" s="27" t="s">
        <v>8</v>
      </c>
      <c r="MX598" s="27" t="s">
        <v>7</v>
      </c>
      <c r="MY598" s="27" t="s">
        <v>8</v>
      </c>
      <c r="ND598" s="27" t="s">
        <v>7</v>
      </c>
      <c r="NE598" s="27" t="s">
        <v>8</v>
      </c>
      <c r="NF598" s="27" t="s">
        <v>7</v>
      </c>
      <c r="NG598" s="27" t="s">
        <v>8</v>
      </c>
      <c r="NT598" s="27" t="s">
        <v>7</v>
      </c>
      <c r="NU598" s="27" t="s">
        <v>8</v>
      </c>
      <c r="NV598" s="27" t="s">
        <v>7</v>
      </c>
      <c r="NW598" s="27" t="s">
        <v>8</v>
      </c>
      <c r="NY598" s="27" t="s">
        <v>8</v>
      </c>
      <c r="OP598" s="27" t="s">
        <v>7</v>
      </c>
      <c r="OQ598" s="27" t="s">
        <v>8</v>
      </c>
      <c r="OX598" s="27" t="s">
        <v>7</v>
      </c>
      <c r="OY598" s="27" t="s">
        <v>8</v>
      </c>
      <c r="OZ598" s="27" t="s">
        <v>7</v>
      </c>
      <c r="PG598" s="27" t="s">
        <v>8</v>
      </c>
      <c r="PH598" s="27" t="s">
        <v>7</v>
      </c>
      <c r="PI598" s="27" t="s">
        <v>8</v>
      </c>
      <c r="PJ598" s="27" t="s">
        <v>7</v>
      </c>
    </row>
    <row r="599" spans="1:430" x14ac:dyDescent="0.25">
      <c r="A599" s="7">
        <v>0.78849317558165644</v>
      </c>
      <c r="B599"/>
      <c r="C599"/>
      <c r="D599"/>
      <c r="E599"/>
      <c r="F599" s="27" t="s">
        <v>7</v>
      </c>
      <c r="JC599" s="27" t="s">
        <v>8</v>
      </c>
      <c r="JD599" s="27" t="s">
        <v>7</v>
      </c>
      <c r="JE599" s="27" t="s">
        <v>8</v>
      </c>
      <c r="JF599" s="27" t="s">
        <v>7</v>
      </c>
      <c r="JG599" s="27" t="s">
        <v>8</v>
      </c>
      <c r="JL599" s="27" t="s">
        <v>7</v>
      </c>
      <c r="JM599" s="27" t="s">
        <v>8</v>
      </c>
      <c r="JN599" s="27" t="s">
        <v>7</v>
      </c>
      <c r="JO599" s="27" t="s">
        <v>8</v>
      </c>
      <c r="JP599" s="27" t="s">
        <v>7</v>
      </c>
      <c r="JQ599" s="27" t="s">
        <v>8</v>
      </c>
      <c r="JR599" s="27" t="s">
        <v>7</v>
      </c>
      <c r="JS599" s="27" t="s">
        <v>8</v>
      </c>
      <c r="LF599" s="27" t="s">
        <v>7</v>
      </c>
      <c r="LG599" s="27" t="s">
        <v>8</v>
      </c>
      <c r="LJ599" s="27" t="s">
        <v>7</v>
      </c>
      <c r="LK599" s="27" t="s">
        <v>8</v>
      </c>
      <c r="LN599" s="27" t="s">
        <v>7</v>
      </c>
      <c r="LO599" s="27" t="s">
        <v>8</v>
      </c>
      <c r="LR599" s="27" t="s">
        <v>7</v>
      </c>
      <c r="LS599" s="27" t="s">
        <v>8</v>
      </c>
      <c r="LT599" s="27" t="s">
        <v>7</v>
      </c>
      <c r="LU599" s="27" t="s">
        <v>8</v>
      </c>
      <c r="MS599" s="27" t="s">
        <v>8</v>
      </c>
      <c r="MT599" s="27" t="s">
        <v>7</v>
      </c>
      <c r="MU599" s="27" t="s">
        <v>8</v>
      </c>
      <c r="MX599" s="27" t="s">
        <v>7</v>
      </c>
      <c r="MY599" s="27" t="s">
        <v>8</v>
      </c>
      <c r="ND599" s="27" t="s">
        <v>7</v>
      </c>
      <c r="NF599" s="27" t="s">
        <v>7</v>
      </c>
      <c r="NT599" s="27" t="s">
        <v>7</v>
      </c>
      <c r="NU599" s="27" t="s">
        <v>8</v>
      </c>
      <c r="NV599" s="27" t="s">
        <v>7</v>
      </c>
      <c r="NW599" s="27" t="s">
        <v>8</v>
      </c>
      <c r="NX599" s="27" t="s">
        <v>7</v>
      </c>
      <c r="NY599" s="27" t="s">
        <v>8</v>
      </c>
      <c r="OP599" s="27" t="s">
        <v>7</v>
      </c>
      <c r="OQ599" s="27" t="s">
        <v>8</v>
      </c>
      <c r="OX599" s="27" t="s">
        <v>7</v>
      </c>
      <c r="OY599" s="27" t="s">
        <v>8</v>
      </c>
      <c r="OZ599" s="27" t="s">
        <v>7</v>
      </c>
      <c r="PA599" s="27" t="s">
        <v>8</v>
      </c>
      <c r="PG599" s="27" t="s">
        <v>8</v>
      </c>
      <c r="PH599" s="27" t="s">
        <v>7</v>
      </c>
      <c r="PI599" s="27" t="s">
        <v>8</v>
      </c>
      <c r="PJ599" s="27" t="s">
        <v>7</v>
      </c>
    </row>
    <row r="600" spans="1:430" x14ac:dyDescent="0.25">
      <c r="A600" s="7">
        <v>0.77303252508005538</v>
      </c>
      <c r="B600"/>
      <c r="C600"/>
      <c r="D600"/>
      <c r="E600"/>
      <c r="F600" s="27" t="s">
        <v>7</v>
      </c>
      <c r="JC600" s="27" t="s">
        <v>8</v>
      </c>
      <c r="JD600" s="27" t="s">
        <v>7</v>
      </c>
      <c r="JE600" s="27" t="s">
        <v>8</v>
      </c>
      <c r="JF600" s="27" t="s">
        <v>7</v>
      </c>
      <c r="JG600" s="27" t="s">
        <v>8</v>
      </c>
      <c r="JL600" s="27" t="s">
        <v>7</v>
      </c>
      <c r="JM600" s="27" t="s">
        <v>8</v>
      </c>
      <c r="JN600" s="27" t="s">
        <v>7</v>
      </c>
      <c r="JO600" s="27" t="s">
        <v>8</v>
      </c>
      <c r="JP600" s="27" t="s">
        <v>7</v>
      </c>
      <c r="JQ600" s="27" t="s">
        <v>8</v>
      </c>
      <c r="JR600" s="27" t="s">
        <v>7</v>
      </c>
      <c r="JS600" s="27" t="s">
        <v>8</v>
      </c>
      <c r="LF600" s="27" t="s">
        <v>7</v>
      </c>
      <c r="LG600" s="27" t="s">
        <v>8</v>
      </c>
      <c r="LJ600" s="27" t="s">
        <v>7</v>
      </c>
      <c r="LK600" s="27" t="s">
        <v>8</v>
      </c>
      <c r="LN600" s="27" t="s">
        <v>7</v>
      </c>
      <c r="LR600" s="27" t="s">
        <v>7</v>
      </c>
      <c r="LS600" s="27" t="s">
        <v>8</v>
      </c>
      <c r="LT600" s="27" t="s">
        <v>7</v>
      </c>
      <c r="LU600" s="27" t="s">
        <v>8</v>
      </c>
      <c r="LV600" s="27" t="s">
        <v>7</v>
      </c>
      <c r="MS600" s="27" t="s">
        <v>8</v>
      </c>
      <c r="MT600" s="27" t="s">
        <v>7</v>
      </c>
      <c r="MU600" s="27" t="s">
        <v>8</v>
      </c>
      <c r="MX600" s="27" t="s">
        <v>7</v>
      </c>
      <c r="NT600" s="27" t="s">
        <v>7</v>
      </c>
      <c r="NU600" s="27" t="s">
        <v>8</v>
      </c>
      <c r="NV600" s="27" t="s">
        <v>7</v>
      </c>
      <c r="NW600" s="27" t="s">
        <v>8</v>
      </c>
      <c r="NX600" s="27" t="s">
        <v>7</v>
      </c>
      <c r="NY600" s="27" t="s">
        <v>8</v>
      </c>
      <c r="OP600" s="27" t="s">
        <v>7</v>
      </c>
      <c r="OX600" s="27" t="s">
        <v>7</v>
      </c>
      <c r="OY600" s="27" t="s">
        <v>8</v>
      </c>
      <c r="OZ600" s="27" t="s">
        <v>7</v>
      </c>
      <c r="PA600" s="27" t="s">
        <v>8</v>
      </c>
      <c r="PB600" s="27" t="s">
        <v>7</v>
      </c>
      <c r="PG600" s="27" t="s">
        <v>8</v>
      </c>
      <c r="PH600" s="27" t="s">
        <v>7</v>
      </c>
      <c r="PI600" s="27" t="s">
        <v>8</v>
      </c>
      <c r="PJ600" s="27" t="s">
        <v>7</v>
      </c>
    </row>
    <row r="601" spans="1:430" x14ac:dyDescent="0.25">
      <c r="A601" s="7">
        <v>0.75787502458828959</v>
      </c>
      <c r="B601"/>
      <c r="C601"/>
      <c r="D601"/>
      <c r="E601"/>
      <c r="F601" s="27" t="s">
        <v>7</v>
      </c>
      <c r="JC601" s="27" t="s">
        <v>8</v>
      </c>
      <c r="JD601" s="27" t="s">
        <v>7</v>
      </c>
      <c r="JE601" s="27" t="s">
        <v>8</v>
      </c>
      <c r="JF601" s="27" t="s">
        <v>7</v>
      </c>
      <c r="JG601" s="27" t="s">
        <v>8</v>
      </c>
      <c r="JL601" s="27" t="s">
        <v>7</v>
      </c>
      <c r="JM601" s="27" t="s">
        <v>8</v>
      </c>
      <c r="JN601" s="27" t="s">
        <v>7</v>
      </c>
      <c r="JO601" s="27" t="s">
        <v>8</v>
      </c>
      <c r="JP601" s="27" t="s">
        <v>7</v>
      </c>
      <c r="JQ601" s="27" t="s">
        <v>8</v>
      </c>
      <c r="JR601" s="27" t="s">
        <v>7</v>
      </c>
      <c r="JS601" s="27" t="s">
        <v>8</v>
      </c>
      <c r="LF601" s="27" t="s">
        <v>7</v>
      </c>
      <c r="LG601" s="27" t="s">
        <v>8</v>
      </c>
      <c r="LJ601" s="27" t="s">
        <v>7</v>
      </c>
      <c r="LK601" s="27" t="s">
        <v>8</v>
      </c>
      <c r="LR601" s="27" t="s">
        <v>7</v>
      </c>
      <c r="LS601" s="27" t="s">
        <v>8</v>
      </c>
      <c r="LT601" s="27" t="s">
        <v>7</v>
      </c>
      <c r="LU601" s="27" t="s">
        <v>8</v>
      </c>
      <c r="LV601" s="27" t="s">
        <v>7</v>
      </c>
      <c r="MS601" s="27" t="s">
        <v>8</v>
      </c>
      <c r="MT601" s="27" t="s">
        <v>7</v>
      </c>
      <c r="MU601" s="27" t="s">
        <v>8</v>
      </c>
      <c r="NT601" s="27" t="s">
        <v>7</v>
      </c>
      <c r="NU601" s="27" t="s">
        <v>8</v>
      </c>
      <c r="NV601" s="27" t="s">
        <v>7</v>
      </c>
      <c r="NW601" s="27" t="s">
        <v>8</v>
      </c>
      <c r="NX601" s="27" t="s">
        <v>7</v>
      </c>
      <c r="NY601" s="27" t="s">
        <v>8</v>
      </c>
      <c r="OX601" s="27" t="s">
        <v>7</v>
      </c>
      <c r="OY601" s="27" t="s">
        <v>8</v>
      </c>
      <c r="OZ601" s="27" t="s">
        <v>7</v>
      </c>
      <c r="PA601" s="27" t="s">
        <v>8</v>
      </c>
      <c r="PB601" s="27" t="s">
        <v>7</v>
      </c>
      <c r="PG601" s="27" t="s">
        <v>8</v>
      </c>
      <c r="PH601" s="27" t="s">
        <v>7</v>
      </c>
      <c r="PI601" s="27" t="s">
        <v>8</v>
      </c>
      <c r="PJ601" s="27" t="s">
        <v>7</v>
      </c>
      <c r="PM601" s="27" t="s">
        <v>8</v>
      </c>
    </row>
    <row r="602" spans="1:430" x14ac:dyDescent="0.25">
      <c r="A602" s="7">
        <v>0.74301472998851925</v>
      </c>
      <c r="B602"/>
      <c r="C602"/>
      <c r="D602"/>
      <c r="E602"/>
      <c r="F602" s="27" t="s">
        <v>7</v>
      </c>
      <c r="JC602" s="27" t="s">
        <v>8</v>
      </c>
      <c r="JD602" s="27" t="s">
        <v>7</v>
      </c>
      <c r="JF602" s="27" t="s">
        <v>7</v>
      </c>
      <c r="JG602" s="27" t="s">
        <v>8</v>
      </c>
      <c r="JL602" s="27" t="s">
        <v>7</v>
      </c>
      <c r="JM602" s="27" t="s">
        <v>8</v>
      </c>
      <c r="JN602" s="27" t="s">
        <v>7</v>
      </c>
      <c r="JO602" s="27" t="s">
        <v>8</v>
      </c>
      <c r="JP602" s="27" t="s">
        <v>7</v>
      </c>
      <c r="JQ602" s="27" t="s">
        <v>8</v>
      </c>
      <c r="JR602" s="27" t="s">
        <v>7</v>
      </c>
      <c r="JS602" s="27" t="s">
        <v>8</v>
      </c>
      <c r="LF602" s="27" t="s">
        <v>7</v>
      </c>
      <c r="LJ602" s="27" t="s">
        <v>7</v>
      </c>
      <c r="LK602" s="27" t="s">
        <v>8</v>
      </c>
      <c r="LR602" s="27" t="s">
        <v>7</v>
      </c>
      <c r="LS602" s="27" t="s">
        <v>8</v>
      </c>
      <c r="LT602" s="27" t="s">
        <v>7</v>
      </c>
      <c r="LU602" s="27" t="s">
        <v>8</v>
      </c>
      <c r="LV602" s="27" t="s">
        <v>7</v>
      </c>
      <c r="MQ602" s="27" t="s">
        <v>8</v>
      </c>
      <c r="MS602" s="27" t="s">
        <v>8</v>
      </c>
      <c r="MT602" s="27" t="s">
        <v>7</v>
      </c>
      <c r="MU602" s="27" t="s">
        <v>8</v>
      </c>
      <c r="NT602" s="27" t="s">
        <v>7</v>
      </c>
      <c r="NU602" s="27" t="s">
        <v>8</v>
      </c>
      <c r="NV602" s="27" t="s">
        <v>7</v>
      </c>
      <c r="NX602" s="27" t="s">
        <v>7</v>
      </c>
      <c r="NY602" s="27" t="s">
        <v>8</v>
      </c>
      <c r="OX602" s="27" t="s">
        <v>7</v>
      </c>
      <c r="OY602" s="27" t="s">
        <v>8</v>
      </c>
      <c r="OZ602" s="27" t="s">
        <v>7</v>
      </c>
      <c r="PA602" s="27" t="s">
        <v>8</v>
      </c>
      <c r="PB602" s="27" t="s">
        <v>7</v>
      </c>
      <c r="PG602" s="27" t="s">
        <v>8</v>
      </c>
      <c r="PH602" s="27" t="s">
        <v>7</v>
      </c>
      <c r="PI602" s="27" t="s">
        <v>8</v>
      </c>
      <c r="PJ602" s="27" t="s">
        <v>7</v>
      </c>
      <c r="PK602" s="27" t="s">
        <v>8</v>
      </c>
      <c r="PM602" s="27" t="s">
        <v>8</v>
      </c>
      <c r="PN602" s="27" t="s">
        <v>7</v>
      </c>
    </row>
    <row r="603" spans="1:430" x14ac:dyDescent="0.25">
      <c r="A603" s="7">
        <v>0.72844581371423456</v>
      </c>
      <c r="B603"/>
      <c r="C603"/>
      <c r="D603"/>
      <c r="E603"/>
      <c r="F603" s="27" t="s">
        <v>7</v>
      </c>
      <c r="JC603" s="27" t="s">
        <v>8</v>
      </c>
      <c r="JF603" s="27" t="s">
        <v>7</v>
      </c>
      <c r="JL603" s="27" t="s">
        <v>7</v>
      </c>
      <c r="JM603" s="27" t="s">
        <v>8</v>
      </c>
      <c r="JN603" s="27" t="s">
        <v>7</v>
      </c>
      <c r="JO603" s="27" t="s">
        <v>8</v>
      </c>
      <c r="JP603" s="27" t="s">
        <v>7</v>
      </c>
      <c r="JQ603" s="27" t="s">
        <v>8</v>
      </c>
      <c r="JR603" s="27" t="s">
        <v>7</v>
      </c>
      <c r="LJ603" s="27" t="s">
        <v>7</v>
      </c>
      <c r="LK603" s="27" t="s">
        <v>8</v>
      </c>
      <c r="LR603" s="27" t="s">
        <v>7</v>
      </c>
      <c r="LS603" s="27" t="s">
        <v>8</v>
      </c>
      <c r="LT603" s="27" t="s">
        <v>7</v>
      </c>
      <c r="LU603" s="27" t="s">
        <v>8</v>
      </c>
      <c r="LV603" s="27" t="s">
        <v>7</v>
      </c>
      <c r="MQ603" s="27" t="s">
        <v>8</v>
      </c>
      <c r="MR603" s="27" t="s">
        <v>7</v>
      </c>
      <c r="MS603" s="27" t="s">
        <v>8</v>
      </c>
      <c r="MT603" s="27" t="s">
        <v>7</v>
      </c>
      <c r="NT603" s="27" t="s">
        <v>7</v>
      </c>
      <c r="NU603" s="27" t="s">
        <v>8</v>
      </c>
      <c r="NX603" s="27" t="s">
        <v>7</v>
      </c>
      <c r="NY603" s="27" t="s">
        <v>8</v>
      </c>
      <c r="OX603" s="27" t="s">
        <v>7</v>
      </c>
      <c r="OY603" s="27" t="s">
        <v>8</v>
      </c>
      <c r="OZ603" s="27" t="s">
        <v>7</v>
      </c>
      <c r="PA603" s="27" t="s">
        <v>8</v>
      </c>
      <c r="PB603" s="27" t="s">
        <v>7</v>
      </c>
      <c r="PG603" s="27" t="s">
        <v>8</v>
      </c>
      <c r="PH603" s="27" t="s">
        <v>7</v>
      </c>
      <c r="PI603" s="27" t="s">
        <v>8</v>
      </c>
      <c r="PJ603" s="27" t="s">
        <v>7</v>
      </c>
      <c r="PK603" s="27" t="s">
        <v>8</v>
      </c>
      <c r="PL603" s="27" t="s">
        <v>7</v>
      </c>
      <c r="PM603" s="27" t="s">
        <v>8</v>
      </c>
      <c r="PN603" s="27" t="s">
        <v>7</v>
      </c>
    </row>
    <row r="604" spans="1:430" x14ac:dyDescent="0.25">
      <c r="A604" s="7">
        <v>0.71416256246493581</v>
      </c>
      <c r="B604"/>
      <c r="C604"/>
      <c r="D604"/>
      <c r="E604"/>
      <c r="F604" s="27" t="s">
        <v>7</v>
      </c>
      <c r="JC604" s="27" t="s">
        <v>8</v>
      </c>
      <c r="JL604" s="27" t="s">
        <v>7</v>
      </c>
      <c r="JM604" s="27" t="s">
        <v>8</v>
      </c>
      <c r="JN604" s="27" t="s">
        <v>7</v>
      </c>
      <c r="JO604" s="27" t="s">
        <v>8</v>
      </c>
      <c r="JP604" s="27" t="s">
        <v>7</v>
      </c>
      <c r="JQ604" s="27" t="s">
        <v>8</v>
      </c>
      <c r="LJ604" s="27" t="s">
        <v>7</v>
      </c>
      <c r="LK604" s="27" t="s">
        <v>8</v>
      </c>
      <c r="LR604" s="27" t="s">
        <v>7</v>
      </c>
      <c r="LS604" s="27" t="s">
        <v>8</v>
      </c>
      <c r="LT604" s="27" t="s">
        <v>7</v>
      </c>
      <c r="LU604" s="27" t="s">
        <v>8</v>
      </c>
      <c r="LV604" s="27" t="s">
        <v>7</v>
      </c>
      <c r="MQ604" s="27" t="s">
        <v>8</v>
      </c>
      <c r="MR604" s="27" t="s">
        <v>7</v>
      </c>
      <c r="MS604" s="27" t="s">
        <v>8</v>
      </c>
      <c r="NT604" s="27" t="s">
        <v>7</v>
      </c>
      <c r="NU604" s="27" t="s">
        <v>8</v>
      </c>
      <c r="NX604" s="27" t="s">
        <v>7</v>
      </c>
      <c r="OX604" s="27" t="s">
        <v>7</v>
      </c>
      <c r="OY604" s="27" t="s">
        <v>8</v>
      </c>
      <c r="OZ604" s="27" t="s">
        <v>7</v>
      </c>
      <c r="PB604" s="27" t="s">
        <v>7</v>
      </c>
      <c r="PC604" s="27" t="s">
        <v>8</v>
      </c>
      <c r="PG604" s="27" t="s">
        <v>8</v>
      </c>
      <c r="PH604" s="27" t="s">
        <v>7</v>
      </c>
      <c r="PI604" s="27" t="s">
        <v>8</v>
      </c>
      <c r="PJ604" s="27" t="s">
        <v>7</v>
      </c>
      <c r="PK604" s="27" t="s">
        <v>8</v>
      </c>
      <c r="PL604" s="27" t="s">
        <v>7</v>
      </c>
      <c r="PM604" s="27" t="s">
        <v>8</v>
      </c>
      <c r="PN604" s="27" t="s">
        <v>7</v>
      </c>
    </row>
    <row r="605" spans="1:430" x14ac:dyDescent="0.25">
      <c r="A605" s="7">
        <v>0.7001593749656233</v>
      </c>
      <c r="B605"/>
      <c r="C605"/>
      <c r="D605"/>
      <c r="E605"/>
      <c r="F605" s="27" t="s">
        <v>7</v>
      </c>
      <c r="JC605" s="27" t="s">
        <v>8</v>
      </c>
      <c r="JL605" s="27" t="s">
        <v>7</v>
      </c>
      <c r="JM605" s="27" t="s">
        <v>8</v>
      </c>
      <c r="JN605" s="27" t="s">
        <v>7</v>
      </c>
      <c r="JP605" s="27" t="s">
        <v>7</v>
      </c>
      <c r="JQ605" s="27" t="s">
        <v>8</v>
      </c>
      <c r="LJ605" s="27" t="s">
        <v>7</v>
      </c>
      <c r="LK605" s="27" t="s">
        <v>8</v>
      </c>
      <c r="LR605" s="27" t="s">
        <v>7</v>
      </c>
      <c r="LT605" s="27" t="s">
        <v>7</v>
      </c>
      <c r="LU605" s="27" t="s">
        <v>8</v>
      </c>
      <c r="LV605" s="27" t="s">
        <v>7</v>
      </c>
      <c r="MQ605" s="27" t="s">
        <v>8</v>
      </c>
      <c r="MR605" s="27" t="s">
        <v>7</v>
      </c>
      <c r="MS605" s="27" t="s">
        <v>8</v>
      </c>
      <c r="NT605" s="27" t="s">
        <v>7</v>
      </c>
      <c r="OX605" s="27" t="s">
        <v>7</v>
      </c>
      <c r="OY605" s="27" t="s">
        <v>8</v>
      </c>
      <c r="PB605" s="27" t="s">
        <v>7</v>
      </c>
      <c r="PC605" s="27" t="s">
        <v>8</v>
      </c>
      <c r="PD605" s="27" t="s">
        <v>7</v>
      </c>
      <c r="PG605" s="27" t="s">
        <v>8</v>
      </c>
      <c r="PH605" s="27" t="s">
        <v>7</v>
      </c>
      <c r="PI605" s="27" t="s">
        <v>8</v>
      </c>
      <c r="PJ605" s="27" t="s">
        <v>7</v>
      </c>
      <c r="PK605" s="27" t="s">
        <v>8</v>
      </c>
      <c r="PL605" s="27" t="s">
        <v>7</v>
      </c>
      <c r="PM605" s="27" t="s">
        <v>8</v>
      </c>
      <c r="PN605" s="27" t="s">
        <v>7</v>
      </c>
    </row>
    <row r="606" spans="1:430" x14ac:dyDescent="0.25">
      <c r="A606" s="7">
        <v>0.68643075977021883</v>
      </c>
      <c r="B606"/>
      <c r="C606"/>
      <c r="D606"/>
      <c r="E606"/>
      <c r="F606" s="27" t="s">
        <v>7</v>
      </c>
      <c r="JC606" s="27" t="s">
        <v>8</v>
      </c>
      <c r="JL606" s="27" t="s">
        <v>7</v>
      </c>
      <c r="JM606" s="27" t="s">
        <v>8</v>
      </c>
      <c r="JP606" s="27" t="s">
        <v>7</v>
      </c>
      <c r="JQ606" s="27" t="s">
        <v>8</v>
      </c>
      <c r="LJ606" s="27" t="s">
        <v>7</v>
      </c>
      <c r="LK606" s="27" t="s">
        <v>8</v>
      </c>
      <c r="LT606" s="27" t="s">
        <v>7</v>
      </c>
      <c r="LV606" s="27" t="s">
        <v>7</v>
      </c>
      <c r="MQ606" s="27" t="s">
        <v>8</v>
      </c>
      <c r="MR606" s="27" t="s">
        <v>7</v>
      </c>
      <c r="MS606" s="27" t="s">
        <v>8</v>
      </c>
      <c r="OX606" s="27" t="s">
        <v>7</v>
      </c>
      <c r="OY606" s="27" t="s">
        <v>8</v>
      </c>
      <c r="PB606" s="27" t="s">
        <v>7</v>
      </c>
      <c r="PC606" s="27" t="s">
        <v>8</v>
      </c>
      <c r="PD606" s="27" t="s">
        <v>7</v>
      </c>
      <c r="PG606" s="27" t="s">
        <v>8</v>
      </c>
      <c r="PH606" s="27" t="s">
        <v>7</v>
      </c>
      <c r="PI606" s="27" t="s">
        <v>8</v>
      </c>
      <c r="PJ606" s="27" t="s">
        <v>7</v>
      </c>
      <c r="PK606" s="27" t="s">
        <v>8</v>
      </c>
      <c r="PL606" s="27" t="s">
        <v>7</v>
      </c>
      <c r="PN606" s="27" t="s">
        <v>7</v>
      </c>
    </row>
    <row r="607" spans="1:430" x14ac:dyDescent="0.25">
      <c r="A607" s="7">
        <v>0.67297133310805768</v>
      </c>
      <c r="B607"/>
      <c r="C607"/>
      <c r="D607"/>
      <c r="E607"/>
      <c r="F607" s="27" t="s">
        <v>7</v>
      </c>
      <c r="JC607" s="27" t="s">
        <v>8</v>
      </c>
      <c r="JL607" s="27" t="s">
        <v>7</v>
      </c>
      <c r="JM607" s="27" t="s">
        <v>8</v>
      </c>
      <c r="JP607" s="27" t="s">
        <v>7</v>
      </c>
      <c r="LJ607" s="27" t="s">
        <v>7</v>
      </c>
      <c r="LK607" s="27" t="s">
        <v>8</v>
      </c>
      <c r="LV607" s="27" t="s">
        <v>7</v>
      </c>
      <c r="MO607" s="27" t="s">
        <v>8</v>
      </c>
      <c r="MQ607" s="27" t="s">
        <v>8</v>
      </c>
      <c r="MR607" s="27" t="s">
        <v>7</v>
      </c>
      <c r="OX607" s="27" t="s">
        <v>7</v>
      </c>
      <c r="OY607" s="27" t="s">
        <v>8</v>
      </c>
      <c r="PB607" s="27" t="s">
        <v>7</v>
      </c>
      <c r="PD607" s="27" t="s">
        <v>7</v>
      </c>
      <c r="PE607" s="27" t="s">
        <v>8</v>
      </c>
      <c r="PG607" s="27" t="s">
        <v>8</v>
      </c>
      <c r="PH607" s="27" t="s">
        <v>7</v>
      </c>
      <c r="PI607" s="27" t="s">
        <v>8</v>
      </c>
      <c r="PJ607" s="27" t="s">
        <v>7</v>
      </c>
      <c r="PN607" s="27" t="s">
        <v>7</v>
      </c>
    </row>
    <row r="608" spans="1:430" x14ac:dyDescent="0.25">
      <c r="A608" s="7">
        <v>0.65977581677260566</v>
      </c>
      <c r="B608"/>
      <c r="C608"/>
      <c r="D608"/>
      <c r="E608"/>
      <c r="F608" s="27" t="s">
        <v>7</v>
      </c>
      <c r="JC608" s="27" t="s">
        <v>8</v>
      </c>
      <c r="JL608" s="27" t="s">
        <v>7</v>
      </c>
      <c r="JM608" s="27" t="s">
        <v>8</v>
      </c>
      <c r="LJ608" s="27" t="s">
        <v>7</v>
      </c>
      <c r="LK608" s="27" t="s">
        <v>8</v>
      </c>
      <c r="LV608" s="27" t="s">
        <v>7</v>
      </c>
      <c r="MO608" s="27" t="s">
        <v>8</v>
      </c>
      <c r="MP608" s="27" t="s">
        <v>7</v>
      </c>
      <c r="MQ608" s="27" t="s">
        <v>8</v>
      </c>
      <c r="OX608" s="27" t="s">
        <v>7</v>
      </c>
      <c r="OY608" s="27" t="s">
        <v>8</v>
      </c>
      <c r="PD608" s="27" t="s">
        <v>7</v>
      </c>
      <c r="PE608" s="27" t="s">
        <v>8</v>
      </c>
      <c r="PF608" s="27" t="s">
        <v>7</v>
      </c>
      <c r="PG608" s="27" t="s">
        <v>8</v>
      </c>
      <c r="PH608" s="27" t="s">
        <v>7</v>
      </c>
      <c r="PI608" s="27" t="s">
        <v>8</v>
      </c>
      <c r="PN608" s="27" t="s">
        <v>7</v>
      </c>
    </row>
    <row r="609" spans="1:436" x14ac:dyDescent="0.25">
      <c r="A609" s="7">
        <v>0.64683903605157422</v>
      </c>
      <c r="B609"/>
      <c r="C609"/>
      <c r="D609"/>
      <c r="E609"/>
      <c r="F609" s="27" t="s">
        <v>7</v>
      </c>
      <c r="JC609" s="27" t="s">
        <v>8</v>
      </c>
      <c r="JL609" s="27" t="s">
        <v>7</v>
      </c>
      <c r="JM609" s="27" t="s">
        <v>8</v>
      </c>
      <c r="LJ609" s="27" t="s">
        <v>7</v>
      </c>
      <c r="LK609" s="27" t="s">
        <v>8</v>
      </c>
      <c r="LV609" s="27" t="s">
        <v>7</v>
      </c>
      <c r="LY609" s="27" t="s">
        <v>8</v>
      </c>
      <c r="MC609" s="27" t="s">
        <v>8</v>
      </c>
      <c r="MO609" s="27" t="s">
        <v>8</v>
      </c>
      <c r="MP609" s="27" t="s">
        <v>7</v>
      </c>
      <c r="MQ609" s="27" t="s">
        <v>8</v>
      </c>
      <c r="OX609" s="27" t="s">
        <v>7</v>
      </c>
      <c r="PD609" s="27" t="s">
        <v>7</v>
      </c>
      <c r="PE609" s="27" t="s">
        <v>8</v>
      </c>
      <c r="PF609" s="27" t="s">
        <v>7</v>
      </c>
      <c r="PG609" s="27" t="s">
        <v>8</v>
      </c>
      <c r="PH609" s="27" t="s">
        <v>7</v>
      </c>
      <c r="PI609" s="27" t="s">
        <v>8</v>
      </c>
      <c r="PN609" s="27" t="s">
        <v>7</v>
      </c>
    </row>
    <row r="610" spans="1:436" x14ac:dyDescent="0.25">
      <c r="A610" s="7">
        <v>0.63415591769762181</v>
      </c>
      <c r="B610"/>
      <c r="C610"/>
      <c r="D610"/>
      <c r="E610"/>
      <c r="F610" s="27" t="s">
        <v>7</v>
      </c>
      <c r="JC610" s="27" t="s">
        <v>8</v>
      </c>
      <c r="JL610" s="27" t="s">
        <v>7</v>
      </c>
      <c r="JM610" s="27" t="s">
        <v>8</v>
      </c>
      <c r="LJ610" s="27" t="s">
        <v>7</v>
      </c>
      <c r="LK610" s="27" t="s">
        <v>8</v>
      </c>
      <c r="LV610" s="27" t="s">
        <v>7</v>
      </c>
      <c r="LY610" s="27" t="s">
        <v>8</v>
      </c>
      <c r="LZ610" s="27" t="s">
        <v>7</v>
      </c>
      <c r="MC610" s="27" t="s">
        <v>8</v>
      </c>
      <c r="MD610" s="27" t="s">
        <v>7</v>
      </c>
      <c r="MM610" s="27" t="s">
        <v>8</v>
      </c>
      <c r="MO610" s="27" t="s">
        <v>8</v>
      </c>
      <c r="MP610" s="27" t="s">
        <v>7</v>
      </c>
      <c r="MQ610" s="27" t="s">
        <v>8</v>
      </c>
      <c r="PD610" s="27" t="s">
        <v>7</v>
      </c>
      <c r="PE610" s="27" t="s">
        <v>8</v>
      </c>
      <c r="PF610" s="27" t="s">
        <v>7</v>
      </c>
      <c r="PG610" s="27" t="s">
        <v>8</v>
      </c>
      <c r="PH610" s="27" t="s">
        <v>7</v>
      </c>
      <c r="PN610" s="27" t="s">
        <v>7</v>
      </c>
    </row>
    <row r="611" spans="1:436" x14ac:dyDescent="0.25">
      <c r="A611" s="7">
        <v>0.62172148793884496</v>
      </c>
      <c r="B611"/>
      <c r="C611"/>
      <c r="D611"/>
      <c r="E611"/>
      <c r="F611" s="27" t="s">
        <v>7</v>
      </c>
      <c r="JC611" s="27" t="s">
        <v>8</v>
      </c>
      <c r="JL611" s="27" t="s">
        <v>7</v>
      </c>
      <c r="LJ611" s="27" t="s">
        <v>7</v>
      </c>
      <c r="LK611" s="27" t="s">
        <v>8</v>
      </c>
      <c r="LV611" s="27" t="s">
        <v>7</v>
      </c>
      <c r="LY611" s="27" t="s">
        <v>8</v>
      </c>
      <c r="LZ611" s="27" t="s">
        <v>7</v>
      </c>
      <c r="MA611" s="27" t="s">
        <v>8</v>
      </c>
      <c r="MC611" s="27" t="s">
        <v>8</v>
      </c>
      <c r="MD611" s="27" t="s">
        <v>7</v>
      </c>
      <c r="MM611" s="27" t="s">
        <v>8</v>
      </c>
      <c r="MN611" s="27" t="s">
        <v>7</v>
      </c>
      <c r="MO611" s="27" t="s">
        <v>8</v>
      </c>
      <c r="MP611" s="27" t="s">
        <v>7</v>
      </c>
      <c r="PD611" s="27" t="s">
        <v>7</v>
      </c>
      <c r="PE611" s="27" t="s">
        <v>8</v>
      </c>
      <c r="PF611" s="27" t="s">
        <v>7</v>
      </c>
      <c r="PG611" s="27" t="s">
        <v>8</v>
      </c>
      <c r="PN611" s="27" t="s">
        <v>7</v>
      </c>
    </row>
    <row r="612" spans="1:436" x14ac:dyDescent="0.25">
      <c r="A612" s="7">
        <v>0.60953087052827937</v>
      </c>
      <c r="B612"/>
      <c r="C612"/>
      <c r="D612"/>
      <c r="E612"/>
      <c r="F612" s="27" t="s">
        <v>7</v>
      </c>
      <c r="JC612" s="27" t="s">
        <v>8</v>
      </c>
      <c r="LJ612" s="27" t="s">
        <v>7</v>
      </c>
      <c r="LV612" s="27" t="s">
        <v>7</v>
      </c>
      <c r="LY612" s="27" t="s">
        <v>8</v>
      </c>
      <c r="LZ612" s="27" t="s">
        <v>7</v>
      </c>
      <c r="MA612" s="27" t="s">
        <v>8</v>
      </c>
      <c r="MB612" s="27" t="s">
        <v>7</v>
      </c>
      <c r="MC612" s="27" t="s">
        <v>8</v>
      </c>
      <c r="MD612" s="27" t="s">
        <v>7</v>
      </c>
      <c r="MM612" s="27" t="s">
        <v>8</v>
      </c>
      <c r="MN612" s="27" t="s">
        <v>7</v>
      </c>
      <c r="MO612" s="27" t="s">
        <v>8</v>
      </c>
      <c r="PD612" s="27" t="s">
        <v>7</v>
      </c>
      <c r="PF612" s="27" t="s">
        <v>7</v>
      </c>
      <c r="PN612" s="27" t="s">
        <v>7</v>
      </c>
    </row>
    <row r="613" spans="1:436" x14ac:dyDescent="0.25">
      <c r="A613" s="7">
        <v>0.59757928483164646</v>
      </c>
      <c r="B613"/>
      <c r="C613"/>
      <c r="D613"/>
      <c r="E613"/>
      <c r="F613" s="27" t="s">
        <v>7</v>
      </c>
      <c r="JC613" s="27" t="s">
        <v>8</v>
      </c>
      <c r="LV613" s="27" t="s">
        <v>7</v>
      </c>
      <c r="LY613" s="27" t="s">
        <v>8</v>
      </c>
      <c r="LZ613" s="27" t="s">
        <v>7</v>
      </c>
      <c r="MA613" s="27" t="s">
        <v>8</v>
      </c>
      <c r="MB613" s="27" t="s">
        <v>7</v>
      </c>
      <c r="MC613" s="27" t="s">
        <v>8</v>
      </c>
      <c r="MD613" s="27" t="s">
        <v>7</v>
      </c>
      <c r="ME613" s="27" t="s">
        <v>8</v>
      </c>
      <c r="MK613" s="27" t="s">
        <v>8</v>
      </c>
      <c r="MM613" s="27" t="s">
        <v>8</v>
      </c>
      <c r="MN613" s="27" t="s">
        <v>7</v>
      </c>
      <c r="MO613" s="27" t="s">
        <v>8</v>
      </c>
      <c r="PN613" s="27" t="s">
        <v>7</v>
      </c>
      <c r="PQ613" s="27" t="s">
        <v>8</v>
      </c>
    </row>
    <row r="614" spans="1:436" x14ac:dyDescent="0.25">
      <c r="A614" s="7">
        <v>0.58586204395259456</v>
      </c>
      <c r="B614"/>
      <c r="C614"/>
      <c r="D614"/>
      <c r="E614"/>
      <c r="F614" s="27" t="s">
        <v>7</v>
      </c>
      <c r="FS614" s="27" t="s">
        <v>8</v>
      </c>
      <c r="JC614" s="27" t="s">
        <v>8</v>
      </c>
      <c r="LV614" s="27" t="s">
        <v>7</v>
      </c>
      <c r="LY614" s="27" t="s">
        <v>8</v>
      </c>
      <c r="LZ614" s="27" t="s">
        <v>7</v>
      </c>
      <c r="MA614" s="27" t="s">
        <v>8</v>
      </c>
      <c r="MB614" s="27" t="s">
        <v>7</v>
      </c>
      <c r="MC614" s="27" t="s">
        <v>8</v>
      </c>
      <c r="MD614" s="27" t="s">
        <v>7</v>
      </c>
      <c r="ME614" s="27" t="s">
        <v>8</v>
      </c>
      <c r="MF614" s="27" t="s">
        <v>7</v>
      </c>
      <c r="MK614" s="27" t="s">
        <v>8</v>
      </c>
      <c r="ML614" s="27" t="s">
        <v>7</v>
      </c>
      <c r="MM614" s="27" t="s">
        <v>8</v>
      </c>
      <c r="MN614" s="27" t="s">
        <v>7</v>
      </c>
      <c r="PN614" s="27" t="s">
        <v>7</v>
      </c>
      <c r="PQ614" s="27" t="s">
        <v>8</v>
      </c>
      <c r="PR614" s="27" t="s">
        <v>7</v>
      </c>
    </row>
    <row r="615" spans="1:436" x14ac:dyDescent="0.25">
      <c r="A615" s="7">
        <v>0.57437455289470052</v>
      </c>
      <c r="B615"/>
      <c r="C615"/>
      <c r="D615"/>
      <c r="E615"/>
      <c r="F615" s="27" t="s">
        <v>7</v>
      </c>
      <c r="FS615" s="27" t="s">
        <v>8</v>
      </c>
      <c r="FT615" s="27" t="s">
        <v>7</v>
      </c>
      <c r="JC615" s="27" t="s">
        <v>8</v>
      </c>
      <c r="LV615" s="27" t="s">
        <v>7</v>
      </c>
      <c r="LY615" s="27" t="s">
        <v>8</v>
      </c>
      <c r="LZ615" s="27" t="s">
        <v>7</v>
      </c>
      <c r="MA615" s="27" t="s">
        <v>8</v>
      </c>
      <c r="MB615" s="27" t="s">
        <v>7</v>
      </c>
      <c r="MD615" s="27" t="s">
        <v>7</v>
      </c>
      <c r="ME615" s="27" t="s">
        <v>8</v>
      </c>
      <c r="MF615" s="27" t="s">
        <v>7</v>
      </c>
      <c r="MK615" s="27" t="s">
        <v>8</v>
      </c>
      <c r="ML615" s="27" t="s">
        <v>7</v>
      </c>
      <c r="MM615" s="27" t="s">
        <v>8</v>
      </c>
      <c r="PN615" s="27" t="s">
        <v>7</v>
      </c>
      <c r="PO615" s="27" t="s">
        <v>8</v>
      </c>
      <c r="PQ615" s="27" t="s">
        <v>8</v>
      </c>
      <c r="PR615" s="27" t="s">
        <v>7</v>
      </c>
    </row>
    <row r="616" spans="1:436" x14ac:dyDescent="0.25">
      <c r="A616" s="7">
        <v>0.56311230675951029</v>
      </c>
      <c r="B616"/>
      <c r="C616"/>
      <c r="D616"/>
      <c r="E616"/>
      <c r="F616" s="27" t="s">
        <v>7</v>
      </c>
      <c r="FS616" s="27" t="s">
        <v>8</v>
      </c>
      <c r="FT616" s="27" t="s">
        <v>7</v>
      </c>
      <c r="JC616" s="27" t="s">
        <v>8</v>
      </c>
      <c r="LV616" s="27" t="s">
        <v>7</v>
      </c>
      <c r="LW616" s="27" t="s">
        <v>8</v>
      </c>
      <c r="LY616" s="27" t="s">
        <v>8</v>
      </c>
      <c r="LZ616" s="27" t="s">
        <v>7</v>
      </c>
      <c r="MA616" s="27" t="s">
        <v>8</v>
      </c>
      <c r="MD616" s="27" t="s">
        <v>7</v>
      </c>
      <c r="MF616" s="27" t="s">
        <v>7</v>
      </c>
      <c r="MK616" s="27" t="s">
        <v>8</v>
      </c>
      <c r="ML616" s="27" t="s">
        <v>7</v>
      </c>
      <c r="MM616" s="27" t="s">
        <v>8</v>
      </c>
      <c r="PN616" s="27" t="s">
        <v>7</v>
      </c>
      <c r="PO616" s="27" t="s">
        <v>8</v>
      </c>
      <c r="PP616" s="27" t="s">
        <v>7</v>
      </c>
      <c r="PQ616" s="27" t="s">
        <v>8</v>
      </c>
      <c r="PR616" s="27" t="s">
        <v>7</v>
      </c>
    </row>
    <row r="617" spans="1:436" x14ac:dyDescent="0.25">
      <c r="A617" s="7">
        <v>0.55207088897991208</v>
      </c>
      <c r="B617"/>
      <c r="C617"/>
      <c r="D617"/>
      <c r="E617"/>
      <c r="F617" s="27" t="s">
        <v>7</v>
      </c>
      <c r="FS617" s="27" t="s">
        <v>8</v>
      </c>
      <c r="FT617" s="27" t="s">
        <v>7</v>
      </c>
      <c r="JA617" s="27" t="s">
        <v>8</v>
      </c>
      <c r="JC617" s="27" t="s">
        <v>8</v>
      </c>
      <c r="LV617" s="27" t="s">
        <v>7</v>
      </c>
      <c r="LW617" s="27" t="s">
        <v>8</v>
      </c>
      <c r="LX617" s="27" t="s">
        <v>7</v>
      </c>
      <c r="LY617" s="27" t="s">
        <v>8</v>
      </c>
      <c r="LZ617" s="27" t="s">
        <v>7</v>
      </c>
      <c r="MA617" s="27" t="s">
        <v>8</v>
      </c>
      <c r="MF617" s="27" t="s">
        <v>7</v>
      </c>
      <c r="MK617" s="27" t="s">
        <v>8</v>
      </c>
      <c r="ML617" s="27" t="s">
        <v>7</v>
      </c>
      <c r="PN617" s="27" t="s">
        <v>7</v>
      </c>
      <c r="PO617" s="27" t="s">
        <v>8</v>
      </c>
      <c r="PP617" s="27" t="s">
        <v>7</v>
      </c>
      <c r="PQ617" s="27" t="s">
        <v>8</v>
      </c>
      <c r="PR617" s="27" t="s">
        <v>7</v>
      </c>
      <c r="PS617" s="27" t="s">
        <v>8</v>
      </c>
    </row>
    <row r="618" spans="1:436" x14ac:dyDescent="0.25">
      <c r="A618" s="7">
        <v>0.54124596958814908</v>
      </c>
      <c r="B618"/>
      <c r="C618"/>
      <c r="D618"/>
      <c r="E618"/>
      <c r="F618" s="27" t="s">
        <v>7</v>
      </c>
      <c r="FS618" s="27" t="s">
        <v>8</v>
      </c>
      <c r="FT618" s="27" t="s">
        <v>7</v>
      </c>
      <c r="JA618" s="27" t="s">
        <v>8</v>
      </c>
      <c r="JB618" s="27" t="s">
        <v>7</v>
      </c>
      <c r="JC618" s="27" t="s">
        <v>8</v>
      </c>
      <c r="LV618" s="27" t="s">
        <v>7</v>
      </c>
      <c r="LW618" s="27" t="s">
        <v>8</v>
      </c>
      <c r="LX618" s="27" t="s">
        <v>7</v>
      </c>
      <c r="LY618" s="27" t="s">
        <v>8</v>
      </c>
      <c r="LZ618" s="27" t="s">
        <v>7</v>
      </c>
      <c r="MF618" s="27" t="s">
        <v>7</v>
      </c>
      <c r="MG618" s="27" t="s">
        <v>8</v>
      </c>
      <c r="MK618" s="27" t="s">
        <v>8</v>
      </c>
      <c r="PN618" s="27" t="s">
        <v>7</v>
      </c>
      <c r="PP618" s="27" t="s">
        <v>7</v>
      </c>
      <c r="PQ618" s="27" t="s">
        <v>8</v>
      </c>
      <c r="PR618" s="27" t="s">
        <v>7</v>
      </c>
      <c r="PS618" s="27" t="s">
        <v>8</v>
      </c>
      <c r="PT618" s="27" t="s">
        <v>7</v>
      </c>
    </row>
    <row r="619" spans="1:436" x14ac:dyDescent="0.25">
      <c r="A619" s="7">
        <v>0.53063330351779314</v>
      </c>
      <c r="B619"/>
      <c r="C619"/>
      <c r="D619"/>
      <c r="E619"/>
      <c r="F619" s="27" t="s">
        <v>7</v>
      </c>
      <c r="FS619" s="27" t="s">
        <v>8</v>
      </c>
      <c r="FT619" s="27" t="s">
        <v>7</v>
      </c>
      <c r="JA619" s="27" t="s">
        <v>8</v>
      </c>
      <c r="JB619" s="27" t="s">
        <v>7</v>
      </c>
      <c r="JC619" s="27" t="s">
        <v>8</v>
      </c>
      <c r="LV619" s="27" t="s">
        <v>7</v>
      </c>
      <c r="LW619" s="27" t="s">
        <v>8</v>
      </c>
      <c r="LX619" s="27" t="s">
        <v>7</v>
      </c>
      <c r="LY619" s="27" t="s">
        <v>8</v>
      </c>
      <c r="MF619" s="27" t="s">
        <v>7</v>
      </c>
      <c r="MG619" s="27" t="s">
        <v>8</v>
      </c>
      <c r="MH619" s="27" t="s">
        <v>7</v>
      </c>
      <c r="MK619" s="27" t="s">
        <v>8</v>
      </c>
      <c r="PP619" s="27" t="s">
        <v>7</v>
      </c>
      <c r="PQ619" s="27" t="s">
        <v>8</v>
      </c>
      <c r="PR619" s="27" t="s">
        <v>7</v>
      </c>
      <c r="PS619" s="27" t="s">
        <v>8</v>
      </c>
      <c r="PT619" s="27" t="s">
        <v>7</v>
      </c>
    </row>
    <row r="620" spans="1:436" x14ac:dyDescent="0.25">
      <c r="A620" s="7">
        <v>0.52022872893901284</v>
      </c>
      <c r="B620"/>
      <c r="C620"/>
      <c r="D620"/>
      <c r="E620"/>
      <c r="F620" s="27" t="s">
        <v>7</v>
      </c>
      <c r="FS620" s="27" t="s">
        <v>8</v>
      </c>
      <c r="FT620" s="27" t="s">
        <v>7</v>
      </c>
      <c r="JA620" s="27" t="s">
        <v>8</v>
      </c>
      <c r="JB620" s="27" t="s">
        <v>7</v>
      </c>
      <c r="JC620" s="27" t="s">
        <v>8</v>
      </c>
      <c r="LV620" s="27" t="s">
        <v>7</v>
      </c>
      <c r="LW620" s="27" t="s">
        <v>8</v>
      </c>
      <c r="LX620" s="27" t="s">
        <v>7</v>
      </c>
      <c r="LY620" s="27" t="s">
        <v>8</v>
      </c>
      <c r="MF620" s="27" t="s">
        <v>7</v>
      </c>
      <c r="MG620" s="27" t="s">
        <v>8</v>
      </c>
      <c r="MH620" s="27" t="s">
        <v>7</v>
      </c>
      <c r="MI620" s="27" t="s">
        <v>8</v>
      </c>
      <c r="MK620" s="27" t="s">
        <v>8</v>
      </c>
      <c r="PP620" s="27" t="s">
        <v>7</v>
      </c>
      <c r="PQ620" s="27" t="s">
        <v>8</v>
      </c>
      <c r="PR620" s="27" t="s">
        <v>7</v>
      </c>
      <c r="PT620" s="27" t="s">
        <v>7</v>
      </c>
    </row>
    <row r="621" spans="1:436" x14ac:dyDescent="0.25">
      <c r="A621" s="7">
        <v>0.51002816562648323</v>
      </c>
      <c r="B621"/>
      <c r="C621"/>
      <c r="D621"/>
      <c r="E621"/>
      <c r="F621" s="27" t="s">
        <v>7</v>
      </c>
      <c r="FS621" s="27" t="s">
        <v>8</v>
      </c>
      <c r="FT621" s="27" t="s">
        <v>7</v>
      </c>
      <c r="JA621" s="27" t="s">
        <v>8</v>
      </c>
      <c r="JB621" s="27" t="s">
        <v>7</v>
      </c>
      <c r="JC621" s="27" t="s">
        <v>8</v>
      </c>
      <c r="LV621" s="27" t="s">
        <v>7</v>
      </c>
      <c r="LW621" s="27" t="s">
        <v>8</v>
      </c>
      <c r="LX621" s="27" t="s">
        <v>7</v>
      </c>
      <c r="LY621" s="27" t="s">
        <v>8</v>
      </c>
      <c r="MF621" s="27" t="s">
        <v>7</v>
      </c>
      <c r="MH621" s="27" t="s">
        <v>7</v>
      </c>
      <c r="MI621" s="27" t="s">
        <v>8</v>
      </c>
      <c r="MJ621" s="27" t="s">
        <v>7</v>
      </c>
      <c r="MK621" s="27" t="s">
        <v>8</v>
      </c>
      <c r="PP621" s="27" t="s">
        <v>7</v>
      </c>
      <c r="PT621" s="27" t="s">
        <v>7</v>
      </c>
    </row>
    <row r="622" spans="1:436" x14ac:dyDescent="0.25">
      <c r="A622" s="7">
        <v>0.50002761335929735</v>
      </c>
      <c r="B622"/>
      <c r="C622"/>
      <c r="D622"/>
      <c r="E622"/>
      <c r="F622" s="27" t="s">
        <v>7</v>
      </c>
      <c r="FS622" s="27" t="s">
        <v>8</v>
      </c>
      <c r="FT622" s="27" t="s">
        <v>7</v>
      </c>
      <c r="JA622" s="27" t="s">
        <v>8</v>
      </c>
      <c r="JB622" s="27" t="s">
        <v>7</v>
      </c>
      <c r="JC622" s="27" t="s">
        <v>8</v>
      </c>
      <c r="LV622" s="27" t="s">
        <v>7</v>
      </c>
      <c r="LW622" s="27" t="s">
        <v>8</v>
      </c>
      <c r="LX622" s="27" t="s">
        <v>7</v>
      </c>
      <c r="LY622" s="27" t="s">
        <v>8</v>
      </c>
      <c r="MH622" s="27" t="s">
        <v>7</v>
      </c>
      <c r="MI622" s="27" t="s">
        <v>8</v>
      </c>
      <c r="MJ622" s="27" t="s">
        <v>7</v>
      </c>
      <c r="MK622" s="27" t="s">
        <v>8</v>
      </c>
      <c r="PT622" s="27" t="s">
        <v>7</v>
      </c>
    </row>
    <row r="623" spans="1:436" x14ac:dyDescent="0.25">
      <c r="A623" s="7">
        <v>0.49022315035225228</v>
      </c>
      <c r="B623"/>
      <c r="C623"/>
      <c r="D623"/>
      <c r="E623"/>
      <c r="F623" s="27" t="s">
        <v>7</v>
      </c>
      <c r="FK623" s="27" t="s">
        <v>8</v>
      </c>
      <c r="FS623" s="27" t="s">
        <v>8</v>
      </c>
      <c r="FT623" s="27" t="s">
        <v>7</v>
      </c>
      <c r="JA623" s="27" t="s">
        <v>8</v>
      </c>
      <c r="JB623" s="27" t="s">
        <v>7</v>
      </c>
      <c r="JC623" s="27" t="s">
        <v>8</v>
      </c>
      <c r="LV623" s="27" t="s">
        <v>7</v>
      </c>
      <c r="LW623" s="27" t="s">
        <v>8</v>
      </c>
      <c r="LX623" s="27" t="s">
        <v>7</v>
      </c>
      <c r="LY623" s="27" t="s">
        <v>8</v>
      </c>
      <c r="MH623" s="27" t="s">
        <v>7</v>
      </c>
      <c r="MI623" s="27" t="s">
        <v>8</v>
      </c>
      <c r="MJ623" s="27" t="s">
        <v>7</v>
      </c>
      <c r="MK623" s="27" t="s">
        <v>8</v>
      </c>
      <c r="PT623" s="27" t="s">
        <v>7</v>
      </c>
    </row>
    <row r="624" spans="1:436" x14ac:dyDescent="0.25">
      <c r="A624" s="7">
        <v>0.48061093171789437</v>
      </c>
      <c r="B624"/>
      <c r="C624"/>
      <c r="D624"/>
      <c r="E624"/>
      <c r="F624" s="27" t="s">
        <v>7</v>
      </c>
      <c r="FI624" s="27" t="s">
        <v>8</v>
      </c>
      <c r="FK624" s="27" t="s">
        <v>8</v>
      </c>
      <c r="FL624" s="27" t="s">
        <v>7</v>
      </c>
      <c r="FS624" s="27" t="s">
        <v>8</v>
      </c>
      <c r="FT624" s="27" t="s">
        <v>7</v>
      </c>
      <c r="HK624" s="27" t="s">
        <v>8</v>
      </c>
      <c r="IS624" s="27" t="s">
        <v>8</v>
      </c>
      <c r="JA624" s="27" t="s">
        <v>8</v>
      </c>
      <c r="JB624" s="27" t="s">
        <v>7</v>
      </c>
      <c r="JC624" s="27" t="s">
        <v>8</v>
      </c>
      <c r="LV624" s="27" t="s">
        <v>7</v>
      </c>
      <c r="LW624" s="27" t="s">
        <v>8</v>
      </c>
      <c r="LX624" s="27" t="s">
        <v>7</v>
      </c>
      <c r="MH624" s="27" t="s">
        <v>7</v>
      </c>
      <c r="MI624" s="27" t="s">
        <v>8</v>
      </c>
      <c r="MJ624" s="27" t="s">
        <v>7</v>
      </c>
      <c r="PT624" s="27" t="s">
        <v>7</v>
      </c>
    </row>
    <row r="625" spans="1:439" x14ac:dyDescent="0.25">
      <c r="A625" s="7">
        <v>0.47118718795871994</v>
      </c>
      <c r="B625"/>
      <c r="C625"/>
      <c r="D625"/>
      <c r="E625"/>
      <c r="F625" s="27" t="s">
        <v>7</v>
      </c>
      <c r="FI625" s="27" t="s">
        <v>8</v>
      </c>
      <c r="FJ625" s="27" t="s">
        <v>7</v>
      </c>
      <c r="FK625" s="27" t="s">
        <v>8</v>
      </c>
      <c r="FL625" s="27" t="s">
        <v>7</v>
      </c>
      <c r="FS625" s="27" t="s">
        <v>8</v>
      </c>
      <c r="FT625" s="27" t="s">
        <v>7</v>
      </c>
      <c r="HK625" s="27" t="s">
        <v>8</v>
      </c>
      <c r="HL625" s="27" t="s">
        <v>7</v>
      </c>
      <c r="IS625" s="27" t="s">
        <v>8</v>
      </c>
      <c r="IT625" s="27" t="s">
        <v>7</v>
      </c>
      <c r="JA625" s="27" t="s">
        <v>8</v>
      </c>
      <c r="JB625" s="27" t="s">
        <v>7</v>
      </c>
      <c r="JC625" s="27" t="s">
        <v>8</v>
      </c>
      <c r="LV625" s="27" t="s">
        <v>7</v>
      </c>
      <c r="LW625" s="27" t="s">
        <v>8</v>
      </c>
      <c r="MH625" s="27" t="s">
        <v>7</v>
      </c>
      <c r="MI625" s="27" t="s">
        <v>8</v>
      </c>
      <c r="PT625" s="27" t="s">
        <v>7</v>
      </c>
    </row>
    <row r="626" spans="1:439" x14ac:dyDescent="0.25">
      <c r="A626" s="7">
        <v>0.46194822348894116</v>
      </c>
      <c r="B626"/>
      <c r="C626"/>
      <c r="D626"/>
      <c r="E626"/>
      <c r="F626" s="27" t="s">
        <v>7</v>
      </c>
      <c r="FI626" s="27" t="s">
        <v>8</v>
      </c>
      <c r="FJ626" s="27" t="s">
        <v>7</v>
      </c>
      <c r="FK626" s="27" t="s">
        <v>8</v>
      </c>
      <c r="FL626" s="27" t="s">
        <v>7</v>
      </c>
      <c r="FM626" s="27" t="s">
        <v>8</v>
      </c>
      <c r="FS626" s="27" t="s">
        <v>8</v>
      </c>
      <c r="FT626" s="27" t="s">
        <v>7</v>
      </c>
      <c r="HK626" s="27" t="s">
        <v>8</v>
      </c>
      <c r="HL626" s="27" t="s">
        <v>7</v>
      </c>
      <c r="HY626" s="27" t="s">
        <v>8</v>
      </c>
      <c r="IS626" s="27" t="s">
        <v>8</v>
      </c>
      <c r="IT626" s="27" t="s">
        <v>7</v>
      </c>
      <c r="JA626" s="27" t="s">
        <v>8</v>
      </c>
      <c r="JB626" s="27" t="s">
        <v>7</v>
      </c>
      <c r="JC626" s="27" t="s">
        <v>8</v>
      </c>
      <c r="LV626" s="27" t="s">
        <v>7</v>
      </c>
      <c r="LW626" s="27" t="s">
        <v>8</v>
      </c>
      <c r="MH626" s="18" t="s">
        <v>7</v>
      </c>
      <c r="MI626" s="27" t="s">
        <v>8</v>
      </c>
      <c r="PT626" s="27" t="s">
        <v>7</v>
      </c>
    </row>
    <row r="627" spans="1:439" x14ac:dyDescent="0.25">
      <c r="A627" s="7">
        <v>0.45289041518523643</v>
      </c>
      <c r="B627"/>
      <c r="C627"/>
      <c r="D627"/>
      <c r="E627"/>
      <c r="F627" s="27" t="s">
        <v>7</v>
      </c>
      <c r="FI627" s="27" t="s">
        <v>8</v>
      </c>
      <c r="FJ627" s="27" t="s">
        <v>7</v>
      </c>
      <c r="FK627" s="27" t="s">
        <v>8</v>
      </c>
      <c r="FL627" s="27" t="s">
        <v>7</v>
      </c>
      <c r="FM627" s="27" t="s">
        <v>8</v>
      </c>
      <c r="FN627" s="27" t="s">
        <v>7</v>
      </c>
      <c r="FS627" s="27" t="s">
        <v>8</v>
      </c>
      <c r="FT627" s="27" t="s">
        <v>7</v>
      </c>
      <c r="HK627" s="27" t="s">
        <v>8</v>
      </c>
      <c r="HL627" s="27" t="s">
        <v>7</v>
      </c>
      <c r="HY627" s="27" t="s">
        <v>8</v>
      </c>
      <c r="HZ627" s="27" t="s">
        <v>7</v>
      </c>
      <c r="IS627" s="27" t="s">
        <v>8</v>
      </c>
      <c r="IT627" s="27" t="s">
        <v>7</v>
      </c>
      <c r="JA627" s="27" t="s">
        <v>8</v>
      </c>
      <c r="JB627" s="27" t="s">
        <v>7</v>
      </c>
      <c r="JC627" s="27" t="s">
        <v>8</v>
      </c>
      <c r="LV627" s="27" t="s">
        <v>7</v>
      </c>
      <c r="MH627" s="27" t="s">
        <v>7</v>
      </c>
      <c r="MI627" s="27" t="s">
        <v>8</v>
      </c>
      <c r="PT627" s="27" t="s">
        <v>7</v>
      </c>
    </row>
    <row r="628" spans="1:439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FI628" s="27" t="s">
        <v>8</v>
      </c>
      <c r="FJ628" s="27" t="s">
        <v>7</v>
      </c>
      <c r="FK628" s="27" t="s">
        <v>8</v>
      </c>
      <c r="FL628" s="27" t="s">
        <v>7</v>
      </c>
      <c r="FM628" s="27" t="s">
        <v>8</v>
      </c>
      <c r="FN628" s="27" t="s">
        <v>7</v>
      </c>
      <c r="FS628" s="27" t="s">
        <v>8</v>
      </c>
      <c r="FT628" s="27" t="s">
        <v>7</v>
      </c>
      <c r="FU628" s="27" t="s">
        <v>8</v>
      </c>
      <c r="HK628" s="27" t="s">
        <v>8</v>
      </c>
      <c r="HL628" s="27" t="s">
        <v>7</v>
      </c>
      <c r="HY628" s="27" t="s">
        <v>8</v>
      </c>
      <c r="HZ628" s="27" t="s">
        <v>7</v>
      </c>
      <c r="IS628" s="27" t="s">
        <v>8</v>
      </c>
      <c r="IT628" s="27" t="s">
        <v>7</v>
      </c>
      <c r="IY628" s="27" t="s">
        <v>8</v>
      </c>
      <c r="JA628" s="27" t="s">
        <v>8</v>
      </c>
      <c r="JB628" s="27" t="s">
        <v>7</v>
      </c>
      <c r="MH628" s="27" t="s">
        <v>7</v>
      </c>
      <c r="MI628" s="27" t="s">
        <v>8</v>
      </c>
      <c r="PT628" s="27" t="s">
        <v>7</v>
      </c>
    </row>
    <row r="629" spans="1:439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FI629" s="27" t="s">
        <v>8</v>
      </c>
      <c r="FJ629" s="27" t="s">
        <v>7</v>
      </c>
      <c r="FK629" s="27" t="s">
        <v>8</v>
      </c>
      <c r="FL629" s="27" t="s">
        <v>7</v>
      </c>
      <c r="FM629" s="27" t="s">
        <v>8</v>
      </c>
      <c r="FN629" s="27" t="s">
        <v>7</v>
      </c>
      <c r="FS629" s="27" t="s">
        <v>8</v>
      </c>
      <c r="FT629" s="27" t="s">
        <v>7</v>
      </c>
      <c r="FU629" s="27" t="s">
        <v>8</v>
      </c>
      <c r="FV629" s="27" t="s">
        <v>7</v>
      </c>
      <c r="GA629" s="27" t="s">
        <v>8</v>
      </c>
      <c r="HK629" s="27" t="s">
        <v>8</v>
      </c>
      <c r="HL629" s="27" t="s">
        <v>7</v>
      </c>
      <c r="HY629" s="27" t="s">
        <v>8</v>
      </c>
      <c r="HZ629" s="27" t="s">
        <v>7</v>
      </c>
      <c r="IS629" s="27" t="s">
        <v>8</v>
      </c>
      <c r="IT629" s="27" t="s">
        <v>7</v>
      </c>
      <c r="IU629" s="27" t="s">
        <v>8</v>
      </c>
      <c r="IY629" s="27" t="s">
        <v>8</v>
      </c>
      <c r="IZ629" s="27" t="s">
        <v>7</v>
      </c>
      <c r="JA629" s="27" t="s">
        <v>8</v>
      </c>
      <c r="MH629" s="27" t="s">
        <v>7</v>
      </c>
      <c r="PT629" s="27" t="s">
        <v>7</v>
      </c>
    </row>
    <row r="630" spans="1:439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FG630" s="27" t="s">
        <v>8</v>
      </c>
      <c r="FI630" s="27" t="s">
        <v>8</v>
      </c>
      <c r="FJ630" s="27" t="s">
        <v>7</v>
      </c>
      <c r="FK630" s="27" t="s">
        <v>8</v>
      </c>
      <c r="FL630" s="27" t="s">
        <v>7</v>
      </c>
      <c r="FM630" s="27" t="s">
        <v>8</v>
      </c>
      <c r="FN630" s="27" t="s">
        <v>7</v>
      </c>
      <c r="FS630" s="27" t="s">
        <v>8</v>
      </c>
      <c r="FT630" s="27" t="s">
        <v>7</v>
      </c>
      <c r="FU630" s="27" t="s">
        <v>8</v>
      </c>
      <c r="FV630" s="27" t="s">
        <v>7</v>
      </c>
      <c r="GA630" s="27" t="s">
        <v>8</v>
      </c>
      <c r="GB630" s="27" t="s">
        <v>7</v>
      </c>
      <c r="HK630" s="27" t="s">
        <v>8</v>
      </c>
      <c r="HL630" s="27" t="s">
        <v>7</v>
      </c>
      <c r="HY630" s="27" t="s">
        <v>8</v>
      </c>
      <c r="HZ630" s="27" t="s">
        <v>7</v>
      </c>
      <c r="IK630" s="27" t="s">
        <v>8</v>
      </c>
      <c r="IS630" s="27" t="s">
        <v>8</v>
      </c>
      <c r="IT630" s="27" t="s">
        <v>7</v>
      </c>
      <c r="IU630" s="27" t="s">
        <v>8</v>
      </c>
      <c r="IV630" s="27" t="s">
        <v>7</v>
      </c>
      <c r="IY630" s="27" t="s">
        <v>8</v>
      </c>
      <c r="IZ630" s="27" t="s">
        <v>7</v>
      </c>
      <c r="JA630" s="27" t="s">
        <v>8</v>
      </c>
      <c r="PT630" s="27" t="s">
        <v>7</v>
      </c>
      <c r="PU630" s="27" t="s">
        <v>8</v>
      </c>
      <c r="PW630" s="27" t="s">
        <v>8</v>
      </c>
    </row>
    <row r="631" spans="1:439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FG631" s="27" t="s">
        <v>8</v>
      </c>
      <c r="FH631" s="27" t="s">
        <v>7</v>
      </c>
      <c r="FI631" s="27" t="s">
        <v>8</v>
      </c>
      <c r="FJ631" s="27" t="s">
        <v>7</v>
      </c>
      <c r="FK631" s="27" t="s">
        <v>8</v>
      </c>
      <c r="FL631" s="27" t="s">
        <v>7</v>
      </c>
      <c r="FM631" s="27" t="s">
        <v>8</v>
      </c>
      <c r="FN631" s="27" t="s">
        <v>7</v>
      </c>
      <c r="FS631" s="27" t="s">
        <v>8</v>
      </c>
      <c r="FT631" s="27" t="s">
        <v>7</v>
      </c>
      <c r="FU631" s="27" t="s">
        <v>8</v>
      </c>
      <c r="FV631" s="27" t="s">
        <v>7</v>
      </c>
      <c r="GA631" s="27" t="s">
        <v>8</v>
      </c>
      <c r="GB631" s="27" t="s">
        <v>7</v>
      </c>
      <c r="HK631" s="27" t="s">
        <v>8</v>
      </c>
      <c r="HL631" s="27" t="s">
        <v>7</v>
      </c>
      <c r="HY631" s="27" t="s">
        <v>8</v>
      </c>
      <c r="HZ631" s="27" t="s">
        <v>7</v>
      </c>
      <c r="IK631" s="27" t="s">
        <v>8</v>
      </c>
      <c r="IL631" s="27" t="s">
        <v>7</v>
      </c>
      <c r="IS631" s="27" t="s">
        <v>8</v>
      </c>
      <c r="IT631" s="27" t="s">
        <v>7</v>
      </c>
      <c r="IU631" s="27" t="s">
        <v>8</v>
      </c>
      <c r="IV631" s="27" t="s">
        <v>7</v>
      </c>
      <c r="IY631" s="27" t="s">
        <v>8</v>
      </c>
      <c r="IZ631" s="27" t="s">
        <v>7</v>
      </c>
      <c r="JA631" s="27" t="s">
        <v>8</v>
      </c>
      <c r="PT631" s="27" t="s">
        <v>7</v>
      </c>
      <c r="PU631" s="27" t="s">
        <v>8</v>
      </c>
      <c r="PV631" s="27" t="s">
        <v>7</v>
      </c>
      <c r="PW631" s="27" t="s">
        <v>8</v>
      </c>
    </row>
    <row r="632" spans="1:439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FG632" s="27" t="s">
        <v>8</v>
      </c>
      <c r="FH632" s="27" t="s">
        <v>7</v>
      </c>
      <c r="FI632" s="27" t="s">
        <v>8</v>
      </c>
      <c r="FJ632" s="27" t="s">
        <v>7</v>
      </c>
      <c r="FK632" s="27" t="s">
        <v>8</v>
      </c>
      <c r="FL632" s="27" t="s">
        <v>7</v>
      </c>
      <c r="FM632" s="27" t="s">
        <v>8</v>
      </c>
      <c r="FN632" s="27" t="s">
        <v>7</v>
      </c>
      <c r="FO632" s="27" t="s">
        <v>8</v>
      </c>
      <c r="FQ632" s="27" t="s">
        <v>8</v>
      </c>
      <c r="FS632" s="27" t="s">
        <v>8</v>
      </c>
      <c r="FT632" s="27" t="s">
        <v>7</v>
      </c>
      <c r="FU632" s="27" t="s">
        <v>8</v>
      </c>
      <c r="FV632" s="27" t="s">
        <v>7</v>
      </c>
      <c r="GA632" s="27" t="s">
        <v>8</v>
      </c>
      <c r="GB632" s="27" t="s">
        <v>7</v>
      </c>
      <c r="HK632" s="27" t="s">
        <v>8</v>
      </c>
      <c r="HL632" s="27" t="s">
        <v>7</v>
      </c>
      <c r="HY632" s="27" t="s">
        <v>8</v>
      </c>
      <c r="HZ632" s="27" t="s">
        <v>7</v>
      </c>
      <c r="IK632" s="27" t="s">
        <v>8</v>
      </c>
      <c r="IL632" s="27" t="s">
        <v>7</v>
      </c>
      <c r="IS632" s="27" t="s">
        <v>8</v>
      </c>
      <c r="IT632" s="27" t="s">
        <v>7</v>
      </c>
      <c r="IU632" s="27" t="s">
        <v>8</v>
      </c>
      <c r="IV632" s="27" t="s">
        <v>7</v>
      </c>
      <c r="IY632" s="27" t="s">
        <v>8</v>
      </c>
      <c r="IZ632" s="27" t="s">
        <v>7</v>
      </c>
      <c r="JA632" s="27" t="s">
        <v>8</v>
      </c>
      <c r="PT632" s="27" t="s">
        <v>7</v>
      </c>
      <c r="PU632" s="27" t="s">
        <v>8</v>
      </c>
      <c r="PV632" s="27" t="s">
        <v>7</v>
      </c>
      <c r="PW632" s="27" t="s">
        <v>8</v>
      </c>
    </row>
    <row r="633" spans="1:439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FE633" s="27" t="s">
        <v>8</v>
      </c>
      <c r="FG633" s="27" t="s">
        <v>8</v>
      </c>
      <c r="FH633" s="27" t="s">
        <v>7</v>
      </c>
      <c r="FI633" s="27" t="s">
        <v>8</v>
      </c>
      <c r="FJ633" s="27" t="s">
        <v>7</v>
      </c>
      <c r="FK633" s="27" t="s">
        <v>8</v>
      </c>
      <c r="FL633" s="27" t="s">
        <v>7</v>
      </c>
      <c r="FN633" s="27" t="s">
        <v>7</v>
      </c>
      <c r="FO633" s="27" t="s">
        <v>8</v>
      </c>
      <c r="FP633" s="27" t="s">
        <v>7</v>
      </c>
      <c r="FQ633" s="27" t="s">
        <v>8</v>
      </c>
      <c r="FR633" s="27" t="s">
        <v>7</v>
      </c>
      <c r="FS633" s="27" t="s">
        <v>8</v>
      </c>
      <c r="FT633" s="27" t="s">
        <v>7</v>
      </c>
      <c r="FU633" s="27" t="s">
        <v>8</v>
      </c>
      <c r="FV633" s="27" t="s">
        <v>7</v>
      </c>
      <c r="GA633" s="27" t="s">
        <v>8</v>
      </c>
      <c r="GB633" s="27" t="s">
        <v>7</v>
      </c>
      <c r="HK633" s="27" t="s">
        <v>8</v>
      </c>
      <c r="HL633" s="27" t="s">
        <v>7</v>
      </c>
      <c r="HY633" s="27" t="s">
        <v>8</v>
      </c>
      <c r="HZ633" s="27" t="s">
        <v>7</v>
      </c>
      <c r="IK633" s="27" t="s">
        <v>8</v>
      </c>
      <c r="IL633" s="27" t="s">
        <v>7</v>
      </c>
      <c r="IQ633" s="27" t="s">
        <v>8</v>
      </c>
      <c r="IS633" s="27" t="s">
        <v>8</v>
      </c>
      <c r="IT633" s="27" t="s">
        <v>7</v>
      </c>
      <c r="IU633" s="27" t="s">
        <v>8</v>
      </c>
      <c r="IV633" s="27" t="s">
        <v>7</v>
      </c>
      <c r="IY633" s="27" t="s">
        <v>8</v>
      </c>
      <c r="IZ633" s="27" t="s">
        <v>7</v>
      </c>
      <c r="JA633" s="27" t="s">
        <v>8</v>
      </c>
      <c r="PT633" s="27" t="s">
        <v>7</v>
      </c>
      <c r="PU633" s="27" t="s">
        <v>8</v>
      </c>
      <c r="PV633" s="27" t="s">
        <v>7</v>
      </c>
      <c r="PW633" s="27" t="s">
        <v>8</v>
      </c>
    </row>
    <row r="634" spans="1:439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H634" s="27" t="s">
        <v>7</v>
      </c>
      <c r="FE634" s="27" t="s">
        <v>8</v>
      </c>
      <c r="FF634" s="27" t="s">
        <v>7</v>
      </c>
      <c r="FG634" s="27" t="s">
        <v>8</v>
      </c>
      <c r="FH634" s="27" t="s">
        <v>7</v>
      </c>
      <c r="FI634" s="27" t="s">
        <v>8</v>
      </c>
      <c r="FJ634" s="27" t="s">
        <v>7</v>
      </c>
      <c r="FK634" s="27" t="s">
        <v>8</v>
      </c>
      <c r="FN634" s="27" t="s">
        <v>7</v>
      </c>
      <c r="FO634" s="27" t="s">
        <v>8</v>
      </c>
      <c r="FP634" s="27" t="s">
        <v>7</v>
      </c>
      <c r="FQ634" s="27" t="s">
        <v>8</v>
      </c>
      <c r="FR634" s="27" t="s">
        <v>7</v>
      </c>
      <c r="FS634" s="27" t="s">
        <v>8</v>
      </c>
      <c r="FT634" s="27" t="s">
        <v>7</v>
      </c>
      <c r="FU634" s="27" t="s">
        <v>8</v>
      </c>
      <c r="FV634" s="27" t="s">
        <v>7</v>
      </c>
      <c r="GA634" s="27" t="s">
        <v>8</v>
      </c>
      <c r="GB634" s="27" t="s">
        <v>7</v>
      </c>
      <c r="GC634" s="27" t="s">
        <v>8</v>
      </c>
      <c r="HK634" s="27" t="s">
        <v>8</v>
      </c>
      <c r="HL634" s="27" t="s">
        <v>7</v>
      </c>
      <c r="HW634" s="27" t="s">
        <v>8</v>
      </c>
      <c r="HY634" s="27" t="s">
        <v>8</v>
      </c>
      <c r="HZ634" s="27" t="s">
        <v>7</v>
      </c>
      <c r="IA634" s="27" t="s">
        <v>8</v>
      </c>
      <c r="IE634" s="27" t="s">
        <v>8</v>
      </c>
      <c r="IK634" s="27" t="s">
        <v>8</v>
      </c>
      <c r="IL634" s="27" t="s">
        <v>7</v>
      </c>
      <c r="IQ634" s="27" t="s">
        <v>8</v>
      </c>
      <c r="IR634" s="27" t="s">
        <v>7</v>
      </c>
      <c r="IS634" s="27" t="s">
        <v>8</v>
      </c>
      <c r="IT634" s="27" t="s">
        <v>7</v>
      </c>
      <c r="IU634" s="27" t="s">
        <v>8</v>
      </c>
      <c r="IV634" s="27" t="s">
        <v>7</v>
      </c>
      <c r="IW634" s="27" t="s">
        <v>8</v>
      </c>
      <c r="IY634" s="27" t="s">
        <v>8</v>
      </c>
      <c r="IZ634" s="27" t="s">
        <v>7</v>
      </c>
      <c r="JA634" s="27" t="s">
        <v>8</v>
      </c>
      <c r="PT634" s="27" t="s">
        <v>7</v>
      </c>
      <c r="PU634" s="27" t="s">
        <v>8</v>
      </c>
      <c r="PV634" s="27" t="s">
        <v>7</v>
      </c>
      <c r="PW634" s="27" t="s">
        <v>8</v>
      </c>
    </row>
    <row r="635" spans="1:439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H635" s="27" t="s">
        <v>7</v>
      </c>
      <c r="FE635" s="27" t="s">
        <v>8</v>
      </c>
      <c r="FF635" s="27" t="s">
        <v>7</v>
      </c>
      <c r="FG635" s="27" t="s">
        <v>8</v>
      </c>
      <c r="FH635" s="27" t="s">
        <v>7</v>
      </c>
      <c r="FI635" s="27" t="s">
        <v>8</v>
      </c>
      <c r="FJ635" s="27" t="s">
        <v>7</v>
      </c>
      <c r="FK635" s="27" t="s">
        <v>8</v>
      </c>
      <c r="FN635" s="27" t="s">
        <v>7</v>
      </c>
      <c r="FO635" s="27" t="s">
        <v>8</v>
      </c>
      <c r="FP635" s="27" t="s">
        <v>7</v>
      </c>
      <c r="FQ635" s="27" t="s">
        <v>8</v>
      </c>
      <c r="FR635" s="27" t="s">
        <v>7</v>
      </c>
      <c r="FS635" s="27" t="s">
        <v>8</v>
      </c>
      <c r="FT635" s="27" t="s">
        <v>7</v>
      </c>
      <c r="FU635" s="27" t="s">
        <v>8</v>
      </c>
      <c r="FV635" s="27" t="s">
        <v>7</v>
      </c>
      <c r="GA635" s="27" t="s">
        <v>8</v>
      </c>
      <c r="GB635" s="27" t="s">
        <v>7</v>
      </c>
      <c r="GC635" s="27" t="s">
        <v>8</v>
      </c>
      <c r="GD635" s="27" t="s">
        <v>7</v>
      </c>
      <c r="HK635" s="27" t="s">
        <v>8</v>
      </c>
      <c r="HL635" s="27" t="s">
        <v>7</v>
      </c>
      <c r="HM635" s="27" t="s">
        <v>8</v>
      </c>
      <c r="HW635" s="27" t="s">
        <v>8</v>
      </c>
      <c r="HX635" s="27" t="s">
        <v>7</v>
      </c>
      <c r="HY635" s="27" t="s">
        <v>8</v>
      </c>
      <c r="HZ635" s="27" t="s">
        <v>7</v>
      </c>
      <c r="IA635" s="27" t="s">
        <v>8</v>
      </c>
      <c r="IB635" s="27" t="s">
        <v>7</v>
      </c>
      <c r="IE635" s="27" t="s">
        <v>8</v>
      </c>
      <c r="IF635" s="27" t="s">
        <v>7</v>
      </c>
      <c r="II635" s="27" t="s">
        <v>8</v>
      </c>
      <c r="IK635" s="27" t="s">
        <v>8</v>
      </c>
      <c r="IL635" s="27" t="s">
        <v>7</v>
      </c>
      <c r="IQ635" s="27" t="s">
        <v>8</v>
      </c>
      <c r="IR635" s="27" t="s">
        <v>7</v>
      </c>
      <c r="IS635" s="27" t="s">
        <v>8</v>
      </c>
      <c r="IT635" s="27" t="s">
        <v>7</v>
      </c>
      <c r="IU635" s="27" t="s">
        <v>8</v>
      </c>
      <c r="IV635" s="27" t="s">
        <v>7</v>
      </c>
      <c r="IW635" s="27" t="s">
        <v>8</v>
      </c>
      <c r="IX635" s="27" t="s">
        <v>7</v>
      </c>
      <c r="IY635" s="27" t="s">
        <v>8</v>
      </c>
      <c r="IZ635" s="27" t="s">
        <v>7</v>
      </c>
      <c r="PT635" s="27" t="s">
        <v>7</v>
      </c>
      <c r="PV635" s="27" t="s">
        <v>7</v>
      </c>
      <c r="PW635" s="27" t="s">
        <v>8</v>
      </c>
    </row>
    <row r="636" spans="1:439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H636" s="27" t="s">
        <v>7</v>
      </c>
      <c r="FE636" s="27" t="s">
        <v>8</v>
      </c>
      <c r="FF636" s="27" t="s">
        <v>7</v>
      </c>
      <c r="FG636" s="27" t="s">
        <v>8</v>
      </c>
      <c r="FH636" s="27" t="s">
        <v>7</v>
      </c>
      <c r="FI636" s="27" t="s">
        <v>8</v>
      </c>
      <c r="FJ636" s="27" t="s">
        <v>7</v>
      </c>
      <c r="FK636" s="27" t="s">
        <v>8</v>
      </c>
      <c r="FN636" s="27" t="s">
        <v>7</v>
      </c>
      <c r="FP636" s="27" t="s">
        <v>7</v>
      </c>
      <c r="FQ636" s="27" t="s">
        <v>8</v>
      </c>
      <c r="FR636" s="27" t="s">
        <v>7</v>
      </c>
      <c r="FS636" s="27" t="s">
        <v>8</v>
      </c>
      <c r="FT636" s="27" t="s">
        <v>7</v>
      </c>
      <c r="FU636" s="27" t="s">
        <v>8</v>
      </c>
      <c r="FV636" s="27" t="s">
        <v>7</v>
      </c>
      <c r="GA636" s="27" t="s">
        <v>8</v>
      </c>
      <c r="GB636" s="27" t="s">
        <v>7</v>
      </c>
      <c r="GC636" s="27" t="s">
        <v>8</v>
      </c>
      <c r="GD636" s="27" t="s">
        <v>7</v>
      </c>
      <c r="HK636" s="27" t="s">
        <v>8</v>
      </c>
      <c r="HL636" s="27" t="s">
        <v>7</v>
      </c>
      <c r="HM636" s="27" t="s">
        <v>8</v>
      </c>
      <c r="HN636" s="27" t="s">
        <v>7</v>
      </c>
      <c r="HW636" s="27" t="s">
        <v>8</v>
      </c>
      <c r="HX636" s="27" t="s">
        <v>7</v>
      </c>
      <c r="HY636" s="27" t="s">
        <v>8</v>
      </c>
      <c r="HZ636" s="27" t="s">
        <v>7</v>
      </c>
      <c r="IA636" s="27" t="s">
        <v>8</v>
      </c>
      <c r="IB636" s="27" t="s">
        <v>7</v>
      </c>
      <c r="IE636" s="27" t="s">
        <v>8</v>
      </c>
      <c r="IF636" s="27" t="s">
        <v>7</v>
      </c>
      <c r="II636" s="27" t="s">
        <v>8</v>
      </c>
      <c r="IJ636" s="27" t="s">
        <v>7</v>
      </c>
      <c r="IK636" s="27" t="s">
        <v>8</v>
      </c>
      <c r="IL636" s="27" t="s">
        <v>7</v>
      </c>
      <c r="IQ636" s="27" t="s">
        <v>8</v>
      </c>
      <c r="IR636" s="27" t="s">
        <v>7</v>
      </c>
      <c r="IS636" s="27" t="s">
        <v>8</v>
      </c>
      <c r="IT636" s="27" t="s">
        <v>7</v>
      </c>
      <c r="IU636" s="27" t="s">
        <v>8</v>
      </c>
      <c r="IV636" s="27" t="s">
        <v>7</v>
      </c>
      <c r="IW636" s="27" t="s">
        <v>8</v>
      </c>
      <c r="IX636" s="27" t="s">
        <v>7</v>
      </c>
      <c r="IY636" s="27" t="s">
        <v>8</v>
      </c>
      <c r="PV636" s="27" t="s">
        <v>7</v>
      </c>
      <c r="PW636" s="27" t="s">
        <v>8</v>
      </c>
    </row>
    <row r="637" spans="1:439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H637" s="27" t="s">
        <v>7</v>
      </c>
      <c r="FE637" s="27" t="s">
        <v>8</v>
      </c>
      <c r="FF637" s="27" t="s">
        <v>7</v>
      </c>
      <c r="FG637" s="27" t="s">
        <v>8</v>
      </c>
      <c r="FH637" s="27" t="s">
        <v>7</v>
      </c>
      <c r="FI637" s="27" t="s">
        <v>8</v>
      </c>
      <c r="FJ637" s="27" t="s">
        <v>7</v>
      </c>
      <c r="FK637" s="27" t="s">
        <v>8</v>
      </c>
      <c r="FP637" s="27" t="s">
        <v>7</v>
      </c>
      <c r="FQ637" s="27" t="s">
        <v>8</v>
      </c>
      <c r="FR637" s="27" t="s">
        <v>7</v>
      </c>
      <c r="FT637" s="27" t="s">
        <v>7</v>
      </c>
      <c r="FU637" s="27" t="s">
        <v>8</v>
      </c>
      <c r="FV637" s="27" t="s">
        <v>7</v>
      </c>
      <c r="GA637" s="27" t="s">
        <v>8</v>
      </c>
      <c r="GB637" s="27" t="s">
        <v>7</v>
      </c>
      <c r="GC637" s="27" t="s">
        <v>8</v>
      </c>
      <c r="GD637" s="27" t="s">
        <v>7</v>
      </c>
      <c r="HK637" s="27" t="s">
        <v>8</v>
      </c>
      <c r="HL637" s="27" t="s">
        <v>7</v>
      </c>
      <c r="HM637" s="27" t="s">
        <v>8</v>
      </c>
      <c r="HN637" s="27" t="s">
        <v>7</v>
      </c>
      <c r="HO637" s="27" t="s">
        <v>8</v>
      </c>
      <c r="HW637" s="27" t="s">
        <v>8</v>
      </c>
      <c r="HX637" s="27" t="s">
        <v>7</v>
      </c>
      <c r="HY637" s="27" t="s">
        <v>8</v>
      </c>
      <c r="HZ637" s="27" t="s">
        <v>7</v>
      </c>
      <c r="IA637" s="27" t="s">
        <v>8</v>
      </c>
      <c r="IB637" s="27" t="s">
        <v>7</v>
      </c>
      <c r="IE637" s="27" t="s">
        <v>8</v>
      </c>
      <c r="IF637" s="27" t="s">
        <v>7</v>
      </c>
      <c r="II637" s="27" t="s">
        <v>8</v>
      </c>
      <c r="IJ637" s="27" t="s">
        <v>7</v>
      </c>
      <c r="IK637" s="27" t="s">
        <v>8</v>
      </c>
      <c r="IL637" s="27" t="s">
        <v>7</v>
      </c>
      <c r="IQ637" s="27" t="s">
        <v>8</v>
      </c>
      <c r="IR637" s="27" t="s">
        <v>7</v>
      </c>
      <c r="IS637" s="27" t="s">
        <v>8</v>
      </c>
      <c r="IT637" s="27" t="s">
        <v>7</v>
      </c>
      <c r="IU637" s="27" t="s">
        <v>8</v>
      </c>
      <c r="IV637" s="27" t="s">
        <v>7</v>
      </c>
      <c r="IX637" s="27" t="s">
        <v>7</v>
      </c>
      <c r="PV637" s="27" t="s">
        <v>7</v>
      </c>
    </row>
    <row r="638" spans="1:439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H638" s="27" t="s">
        <v>7</v>
      </c>
      <c r="BM638" s="27" t="s">
        <v>8</v>
      </c>
      <c r="FE638" s="27" t="s">
        <v>8</v>
      </c>
      <c r="FF638" s="27" t="s">
        <v>7</v>
      </c>
      <c r="FG638" s="27" t="s">
        <v>8</v>
      </c>
      <c r="FH638" s="27" t="s">
        <v>7</v>
      </c>
      <c r="FJ638" s="27" t="s">
        <v>7</v>
      </c>
      <c r="FK638" s="27" t="s">
        <v>8</v>
      </c>
      <c r="FP638" s="27" t="s">
        <v>7</v>
      </c>
      <c r="FQ638" s="27" t="s">
        <v>8</v>
      </c>
      <c r="FT638" s="27" t="s">
        <v>7</v>
      </c>
      <c r="FU638" s="27" t="s">
        <v>8</v>
      </c>
      <c r="FV638" s="27" t="s">
        <v>7</v>
      </c>
      <c r="FW638" s="27" t="s">
        <v>8</v>
      </c>
      <c r="FY638" s="27" t="s">
        <v>8</v>
      </c>
      <c r="GA638" s="27" t="s">
        <v>8</v>
      </c>
      <c r="GB638" s="27" t="s">
        <v>7</v>
      </c>
      <c r="GC638" s="27" t="s">
        <v>8</v>
      </c>
      <c r="GD638" s="27" t="s">
        <v>7</v>
      </c>
      <c r="HK638" s="27" t="s">
        <v>8</v>
      </c>
      <c r="HL638" s="27" t="s">
        <v>7</v>
      </c>
      <c r="HM638" s="27" t="s">
        <v>8</v>
      </c>
      <c r="HN638" s="27" t="s">
        <v>7</v>
      </c>
      <c r="HO638" s="27" t="s">
        <v>8</v>
      </c>
      <c r="HP638" s="27" t="s">
        <v>7</v>
      </c>
      <c r="HQ638" s="27" t="s">
        <v>8</v>
      </c>
      <c r="HU638" s="27" t="s">
        <v>8</v>
      </c>
      <c r="HW638" s="27" t="s">
        <v>8</v>
      </c>
      <c r="HX638" s="27" t="s">
        <v>7</v>
      </c>
      <c r="HY638" s="27" t="s">
        <v>8</v>
      </c>
      <c r="HZ638" s="27" t="s">
        <v>7</v>
      </c>
      <c r="IA638" s="27" t="s">
        <v>8</v>
      </c>
      <c r="IB638" s="27" t="s">
        <v>7</v>
      </c>
      <c r="IE638" s="27" t="s">
        <v>8</v>
      </c>
      <c r="IF638" s="27" t="s">
        <v>7</v>
      </c>
      <c r="II638" s="27" t="s">
        <v>8</v>
      </c>
      <c r="IJ638" s="27" t="s">
        <v>7</v>
      </c>
      <c r="IK638" s="27" t="s">
        <v>8</v>
      </c>
      <c r="IL638" s="27" t="s">
        <v>7</v>
      </c>
      <c r="IQ638" s="27" t="s">
        <v>8</v>
      </c>
      <c r="IR638" s="27" t="s">
        <v>7</v>
      </c>
      <c r="IT638" s="27" t="s">
        <v>7</v>
      </c>
      <c r="IU638" s="27" t="s">
        <v>8</v>
      </c>
    </row>
    <row r="639" spans="1:439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H639" s="27" t="s">
        <v>7</v>
      </c>
      <c r="BM639" s="27" t="s">
        <v>8</v>
      </c>
      <c r="BN639" s="27" t="s">
        <v>7</v>
      </c>
      <c r="FE639" s="27" t="s">
        <v>8</v>
      </c>
      <c r="FF639" s="27" t="s">
        <v>7</v>
      </c>
      <c r="FG639" s="27" t="s">
        <v>8</v>
      </c>
      <c r="FJ639" s="27" t="s">
        <v>7</v>
      </c>
      <c r="FK639" s="27" t="s">
        <v>8</v>
      </c>
      <c r="FP639" s="27" t="s">
        <v>7</v>
      </c>
      <c r="FQ639" s="27" t="s">
        <v>8</v>
      </c>
      <c r="FT639" s="27" t="s">
        <v>7</v>
      </c>
      <c r="FU639" s="27" t="s">
        <v>8</v>
      </c>
      <c r="FV639" s="27" t="s">
        <v>7</v>
      </c>
      <c r="FW639" s="27" t="s">
        <v>8</v>
      </c>
      <c r="FX639" s="27" t="s">
        <v>7</v>
      </c>
      <c r="FY639" s="27" t="s">
        <v>8</v>
      </c>
      <c r="FZ639" s="27" t="s">
        <v>7</v>
      </c>
      <c r="GA639" s="27" t="s">
        <v>8</v>
      </c>
      <c r="GB639" s="27" t="s">
        <v>7</v>
      </c>
      <c r="GD639" s="27" t="s">
        <v>7</v>
      </c>
      <c r="HK639" s="27" t="s">
        <v>8</v>
      </c>
      <c r="HL639" s="27" t="s">
        <v>7</v>
      </c>
      <c r="HM639" s="27" t="s">
        <v>8</v>
      </c>
      <c r="HN639" s="27" t="s">
        <v>7</v>
      </c>
      <c r="HO639" s="27" t="s">
        <v>8</v>
      </c>
      <c r="HP639" s="27" t="s">
        <v>7</v>
      </c>
      <c r="HQ639" s="27" t="s">
        <v>8</v>
      </c>
      <c r="HR639" s="27" t="s">
        <v>7</v>
      </c>
      <c r="HS639" s="27" t="s">
        <v>8</v>
      </c>
      <c r="HU639" s="27" t="s">
        <v>8</v>
      </c>
      <c r="HV639" s="27" t="s">
        <v>7</v>
      </c>
      <c r="HW639" s="27" t="s">
        <v>8</v>
      </c>
      <c r="HX639" s="27" t="s">
        <v>7</v>
      </c>
      <c r="HZ639" s="27" t="s">
        <v>7</v>
      </c>
      <c r="IB639" s="27" t="s">
        <v>7</v>
      </c>
      <c r="IE639" s="27" t="s">
        <v>8</v>
      </c>
      <c r="IF639" s="27" t="s">
        <v>7</v>
      </c>
      <c r="II639" s="27" t="s">
        <v>8</v>
      </c>
      <c r="IJ639" s="27" t="s">
        <v>7</v>
      </c>
      <c r="IK639" s="27" t="s">
        <v>8</v>
      </c>
      <c r="IL639" s="27" t="s">
        <v>7</v>
      </c>
      <c r="IQ639" s="27" t="s">
        <v>8</v>
      </c>
      <c r="IT639" s="27" t="s">
        <v>7</v>
      </c>
      <c r="IU639" s="27" t="s">
        <v>8</v>
      </c>
    </row>
    <row r="640" spans="1:439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H640" s="27" t="s">
        <v>7</v>
      </c>
      <c r="BM640" s="27" t="s">
        <v>8</v>
      </c>
      <c r="BN640" s="27" t="s">
        <v>7</v>
      </c>
      <c r="FE640" s="27" t="s">
        <v>8</v>
      </c>
      <c r="FF640" s="27" t="s">
        <v>7</v>
      </c>
      <c r="FG640" s="27" t="s">
        <v>8</v>
      </c>
      <c r="FJ640" s="27" t="s">
        <v>7</v>
      </c>
      <c r="FK640" s="27" t="s">
        <v>8</v>
      </c>
      <c r="FP640" s="27" t="s">
        <v>7</v>
      </c>
      <c r="FQ640" s="27" t="s">
        <v>8</v>
      </c>
      <c r="FT640" s="27" t="s">
        <v>7</v>
      </c>
      <c r="FU640" s="27" t="s">
        <v>8</v>
      </c>
      <c r="FV640" s="27" t="s">
        <v>7</v>
      </c>
      <c r="FW640" s="27" t="s">
        <v>8</v>
      </c>
      <c r="FX640" s="27" t="s">
        <v>7</v>
      </c>
      <c r="FY640" s="27" t="s">
        <v>8</v>
      </c>
      <c r="FZ640" s="27" t="s">
        <v>7</v>
      </c>
      <c r="GA640" s="27" t="s">
        <v>8</v>
      </c>
      <c r="GD640" s="27" t="s">
        <v>7</v>
      </c>
      <c r="HK640" s="27" t="s">
        <v>8</v>
      </c>
      <c r="HL640" s="27" t="s">
        <v>7</v>
      </c>
      <c r="HM640" s="27" t="s">
        <v>8</v>
      </c>
      <c r="HN640" s="27" t="s">
        <v>7</v>
      </c>
      <c r="HO640" s="27" t="s">
        <v>8</v>
      </c>
      <c r="HP640" s="27" t="s">
        <v>7</v>
      </c>
      <c r="HQ640" s="27" t="s">
        <v>8</v>
      </c>
      <c r="HR640" s="27" t="s">
        <v>7</v>
      </c>
      <c r="HS640" s="27" t="s">
        <v>8</v>
      </c>
      <c r="HT640" s="27" t="s">
        <v>7</v>
      </c>
      <c r="HU640" s="27" t="s">
        <v>8</v>
      </c>
      <c r="HV640" s="27" t="s">
        <v>7</v>
      </c>
      <c r="HW640" s="27" t="s">
        <v>8</v>
      </c>
      <c r="IB640" s="27" t="s">
        <v>7</v>
      </c>
      <c r="IC640" s="27" t="s">
        <v>8</v>
      </c>
      <c r="IE640" s="27" t="s">
        <v>8</v>
      </c>
      <c r="IF640" s="27" t="s">
        <v>7</v>
      </c>
      <c r="II640" s="27" t="s">
        <v>8</v>
      </c>
      <c r="IJ640" s="27" t="s">
        <v>7</v>
      </c>
      <c r="IK640" s="27" t="s">
        <v>8</v>
      </c>
      <c r="IL640" s="27" t="s">
        <v>7</v>
      </c>
      <c r="IM640" s="27" t="s">
        <v>8</v>
      </c>
      <c r="IO640" s="27" t="s">
        <v>8</v>
      </c>
      <c r="IQ640" s="27" t="s">
        <v>8</v>
      </c>
      <c r="IT640" s="27" t="s">
        <v>7</v>
      </c>
      <c r="IU640" s="27" t="s">
        <v>8</v>
      </c>
    </row>
    <row r="641" spans="1:254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H641" s="27" t="s">
        <v>7</v>
      </c>
      <c r="BM641" s="27" t="s">
        <v>8</v>
      </c>
      <c r="BN641" s="27" t="s">
        <v>7</v>
      </c>
      <c r="FE641" s="27" t="s">
        <v>8</v>
      </c>
      <c r="FF641" s="27" t="s">
        <v>7</v>
      </c>
      <c r="FG641" s="27" t="s">
        <v>8</v>
      </c>
      <c r="FJ641" s="27" t="s">
        <v>7</v>
      </c>
      <c r="FK641" s="27" t="s">
        <v>8</v>
      </c>
      <c r="FP641" s="27" t="s">
        <v>7</v>
      </c>
      <c r="FQ641" s="27" t="s">
        <v>8</v>
      </c>
      <c r="FT641" s="27" t="s">
        <v>7</v>
      </c>
      <c r="FU641" s="27" t="s">
        <v>8</v>
      </c>
      <c r="FV641" s="27" t="s">
        <v>7</v>
      </c>
      <c r="FW641" s="27" t="s">
        <v>8</v>
      </c>
      <c r="FX641" s="27" t="s">
        <v>7</v>
      </c>
      <c r="FY641" s="27" t="s">
        <v>8</v>
      </c>
      <c r="FZ641" s="27" t="s">
        <v>7</v>
      </c>
      <c r="GA641" s="27" t="s">
        <v>8</v>
      </c>
      <c r="GD641" s="27" t="s">
        <v>7</v>
      </c>
      <c r="HK641" s="27" t="s">
        <v>8</v>
      </c>
      <c r="HL641" s="27" t="s">
        <v>7</v>
      </c>
      <c r="HM641" s="27" t="s">
        <v>8</v>
      </c>
      <c r="HN641" s="27" t="s">
        <v>7</v>
      </c>
      <c r="HO641" s="27" t="s">
        <v>8</v>
      </c>
      <c r="HP641" s="27" t="s">
        <v>7</v>
      </c>
      <c r="HQ641" s="27" t="s">
        <v>8</v>
      </c>
      <c r="HR641" s="27" t="s">
        <v>7</v>
      </c>
      <c r="HS641" s="27" t="s">
        <v>8</v>
      </c>
      <c r="HT641" s="27" t="s">
        <v>7</v>
      </c>
      <c r="HU641" s="27" t="s">
        <v>8</v>
      </c>
      <c r="HV641" s="27" t="s">
        <v>7</v>
      </c>
      <c r="HW641" s="27" t="s">
        <v>8</v>
      </c>
      <c r="IB641" s="27" t="s">
        <v>7</v>
      </c>
      <c r="IC641" s="27" t="s">
        <v>8</v>
      </c>
      <c r="ID641" s="27" t="s">
        <v>7</v>
      </c>
      <c r="IE641" s="27" t="s">
        <v>8</v>
      </c>
      <c r="IF641" s="27" t="s">
        <v>7</v>
      </c>
      <c r="II641" s="27" t="s">
        <v>8</v>
      </c>
      <c r="IJ641" s="27" t="s">
        <v>7</v>
      </c>
      <c r="IK641" s="27" t="s">
        <v>8</v>
      </c>
      <c r="IL641" s="27" t="s">
        <v>7</v>
      </c>
      <c r="IM641" s="27" t="s">
        <v>8</v>
      </c>
      <c r="IN641" s="27" t="s">
        <v>7</v>
      </c>
      <c r="IO641" s="27" t="s">
        <v>8</v>
      </c>
      <c r="IP641" s="27" t="s">
        <v>7</v>
      </c>
      <c r="IQ641" s="27" t="s">
        <v>8</v>
      </c>
      <c r="IT641" s="27" t="s">
        <v>7</v>
      </c>
    </row>
    <row r="642" spans="1:254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H642" s="27" t="s">
        <v>7</v>
      </c>
      <c r="BM642" s="27" t="s">
        <v>8</v>
      </c>
      <c r="BN642" s="27" t="s">
        <v>7</v>
      </c>
      <c r="FE642" s="27" t="s">
        <v>8</v>
      </c>
      <c r="FF642" s="27" t="s">
        <v>7</v>
      </c>
      <c r="FJ642" s="27" t="s">
        <v>7</v>
      </c>
      <c r="FK642" s="27" t="s">
        <v>8</v>
      </c>
      <c r="FP642" s="27" t="s">
        <v>7</v>
      </c>
      <c r="FT642" s="27" t="s">
        <v>7</v>
      </c>
      <c r="FU642" s="27" t="s">
        <v>8</v>
      </c>
      <c r="FV642" s="27" t="s">
        <v>7</v>
      </c>
      <c r="FW642" s="27" t="s">
        <v>8</v>
      </c>
      <c r="FX642" s="27" t="s">
        <v>7</v>
      </c>
      <c r="FY642" s="27" t="s">
        <v>8</v>
      </c>
      <c r="FZ642" s="27" t="s">
        <v>7</v>
      </c>
      <c r="GA642" s="27" t="s">
        <v>8</v>
      </c>
      <c r="GD642" s="27" t="s">
        <v>7</v>
      </c>
      <c r="HK642" s="27" t="s">
        <v>8</v>
      </c>
      <c r="HL642" s="27" t="s">
        <v>7</v>
      </c>
      <c r="HM642" s="27" t="s">
        <v>8</v>
      </c>
      <c r="HN642" s="27" t="s">
        <v>7</v>
      </c>
      <c r="HO642" s="27" t="s">
        <v>8</v>
      </c>
      <c r="HP642" s="27" t="s">
        <v>7</v>
      </c>
      <c r="HQ642" s="27" t="s">
        <v>8</v>
      </c>
      <c r="HR642" s="27" t="s">
        <v>7</v>
      </c>
      <c r="HS642" s="27" t="s">
        <v>8</v>
      </c>
      <c r="HT642" s="27" t="s">
        <v>7</v>
      </c>
      <c r="HU642" s="27" t="s">
        <v>8</v>
      </c>
      <c r="HV642" s="27" t="s">
        <v>7</v>
      </c>
      <c r="HW642" s="27" t="s">
        <v>8</v>
      </c>
      <c r="IB642" s="27" t="s">
        <v>7</v>
      </c>
      <c r="IC642" s="27" t="s">
        <v>8</v>
      </c>
      <c r="ID642" s="27" t="s">
        <v>7</v>
      </c>
      <c r="IE642" s="27" t="s">
        <v>8</v>
      </c>
      <c r="IF642" s="27" t="s">
        <v>7</v>
      </c>
      <c r="IG642" s="27" t="s">
        <v>8</v>
      </c>
      <c r="II642" s="27" t="s">
        <v>8</v>
      </c>
      <c r="IJ642" s="27" t="s">
        <v>7</v>
      </c>
      <c r="IK642" s="27" t="s">
        <v>8</v>
      </c>
      <c r="IL642" s="27" t="s">
        <v>7</v>
      </c>
      <c r="IM642" s="27" t="s">
        <v>8</v>
      </c>
      <c r="IN642" s="27" t="s">
        <v>7</v>
      </c>
      <c r="IO642" s="27" t="s">
        <v>8</v>
      </c>
      <c r="IP642" s="27" t="s">
        <v>7</v>
      </c>
      <c r="IQ642" s="27" t="s">
        <v>8</v>
      </c>
    </row>
    <row r="643" spans="1:254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H643" s="27" t="s">
        <v>7</v>
      </c>
      <c r="BM643" s="27" t="s">
        <v>8</v>
      </c>
      <c r="BN643" s="27" t="s">
        <v>7</v>
      </c>
      <c r="BS643" s="27" t="s">
        <v>8</v>
      </c>
      <c r="EW643" s="27" t="s">
        <v>8</v>
      </c>
      <c r="FE643" s="27" t="s">
        <v>8</v>
      </c>
      <c r="FJ643" s="27" t="s">
        <v>7</v>
      </c>
      <c r="FK643" s="27" t="s">
        <v>8</v>
      </c>
      <c r="FT643" s="27" t="s">
        <v>7</v>
      </c>
      <c r="FV643" s="27" t="s">
        <v>7</v>
      </c>
      <c r="FW643" s="27" t="s">
        <v>8</v>
      </c>
      <c r="FX643" s="27" t="s">
        <v>7</v>
      </c>
      <c r="FY643" s="27" t="s">
        <v>8</v>
      </c>
      <c r="FZ643" s="27" t="s">
        <v>7</v>
      </c>
      <c r="GA643" s="27" t="s">
        <v>8</v>
      </c>
      <c r="GD643" s="27" t="s">
        <v>7</v>
      </c>
      <c r="HC643" s="27" t="s">
        <v>8</v>
      </c>
      <c r="HK643" s="27" t="s">
        <v>8</v>
      </c>
      <c r="HL643" s="27" t="s">
        <v>7</v>
      </c>
      <c r="HM643" s="27" t="s">
        <v>8</v>
      </c>
      <c r="HN643" s="27" t="s">
        <v>7</v>
      </c>
      <c r="HO643" s="27" t="s">
        <v>8</v>
      </c>
      <c r="HP643" s="27" t="s">
        <v>7</v>
      </c>
      <c r="HQ643" s="27" t="s">
        <v>8</v>
      </c>
      <c r="HR643" s="27" t="s">
        <v>7</v>
      </c>
      <c r="HT643" s="27" t="s">
        <v>7</v>
      </c>
      <c r="HU643" s="27" t="s">
        <v>8</v>
      </c>
      <c r="HV643" s="27" t="s">
        <v>7</v>
      </c>
      <c r="HW643" s="27" t="s">
        <v>8</v>
      </c>
      <c r="IB643" s="27" t="s">
        <v>7</v>
      </c>
      <c r="IC643" s="27" t="s">
        <v>8</v>
      </c>
      <c r="ID643" s="27" t="s">
        <v>7</v>
      </c>
      <c r="IE643" s="27" t="s">
        <v>8</v>
      </c>
      <c r="IF643" s="27" t="s">
        <v>7</v>
      </c>
      <c r="IG643" s="27" t="s">
        <v>8</v>
      </c>
      <c r="IH643" s="27" t="s">
        <v>7</v>
      </c>
      <c r="II643" s="27" t="s">
        <v>8</v>
      </c>
      <c r="IJ643" s="27" t="s">
        <v>7</v>
      </c>
      <c r="IL643" s="27" t="s">
        <v>7</v>
      </c>
      <c r="IM643" s="27" t="s">
        <v>8</v>
      </c>
      <c r="IN643" s="27" t="s">
        <v>7</v>
      </c>
      <c r="IO643" s="27" t="s">
        <v>8</v>
      </c>
      <c r="IP643" s="27" t="s">
        <v>7</v>
      </c>
    </row>
    <row r="644" spans="1:254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H644" s="27" t="s">
        <v>7</v>
      </c>
      <c r="BM644" s="27" t="s">
        <v>8</v>
      </c>
      <c r="BN644" s="27" t="s">
        <v>7</v>
      </c>
      <c r="BQ644" s="27" t="s">
        <v>8</v>
      </c>
      <c r="BS644" s="27" t="s">
        <v>8</v>
      </c>
      <c r="BT644" s="27" t="s">
        <v>7</v>
      </c>
      <c r="EW644" s="27" t="s">
        <v>8</v>
      </c>
      <c r="EX644" s="27" t="s">
        <v>7</v>
      </c>
      <c r="FE644" s="27" t="s">
        <v>8</v>
      </c>
      <c r="FJ644" s="27" t="s">
        <v>7</v>
      </c>
      <c r="FK644" s="27" t="s">
        <v>8</v>
      </c>
      <c r="FV644" s="27" t="s">
        <v>7</v>
      </c>
      <c r="FW644" s="27" t="s">
        <v>8</v>
      </c>
      <c r="FX644" s="27" t="s">
        <v>7</v>
      </c>
      <c r="FY644" s="27" t="s">
        <v>8</v>
      </c>
      <c r="FZ644" s="27" t="s">
        <v>7</v>
      </c>
      <c r="GA644" s="27" t="s">
        <v>8</v>
      </c>
      <c r="GD644" s="27" t="s">
        <v>7</v>
      </c>
      <c r="HC644" s="27" t="s">
        <v>8</v>
      </c>
      <c r="HD644" s="27" t="s">
        <v>7</v>
      </c>
      <c r="HG644" s="27" t="s">
        <v>8</v>
      </c>
      <c r="HI644" s="27" t="s">
        <v>8</v>
      </c>
      <c r="HK644" s="27" t="s">
        <v>8</v>
      </c>
      <c r="HL644" s="27" t="s">
        <v>7</v>
      </c>
      <c r="HM644" s="27" t="s">
        <v>8</v>
      </c>
      <c r="HN644" s="27" t="s">
        <v>7</v>
      </c>
      <c r="HP644" s="27" t="s">
        <v>7</v>
      </c>
      <c r="HQ644" s="27" t="s">
        <v>8</v>
      </c>
      <c r="HT644" s="27" t="s">
        <v>7</v>
      </c>
      <c r="HU644" s="27" t="s">
        <v>8</v>
      </c>
      <c r="HV644" s="27" t="s">
        <v>7</v>
      </c>
      <c r="IB644" s="27" t="s">
        <v>7</v>
      </c>
      <c r="IC644" s="27" t="s">
        <v>8</v>
      </c>
      <c r="ID644" s="27" t="s">
        <v>7</v>
      </c>
      <c r="IE644" s="27" t="s">
        <v>8</v>
      </c>
      <c r="IF644" s="27" t="s">
        <v>7</v>
      </c>
      <c r="IG644" s="27" t="s">
        <v>8</v>
      </c>
      <c r="IH644" s="27" t="s">
        <v>7</v>
      </c>
      <c r="II644" s="27" t="s">
        <v>8</v>
      </c>
      <c r="IL644" s="27" t="s">
        <v>7</v>
      </c>
      <c r="IM644" s="27" t="s">
        <v>8</v>
      </c>
      <c r="IN644" s="27" t="s">
        <v>7</v>
      </c>
      <c r="IO644" s="27" t="s">
        <v>8</v>
      </c>
    </row>
    <row r="645" spans="1:254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H645" s="27" t="s">
        <v>7</v>
      </c>
      <c r="BM645" s="27" t="s">
        <v>8</v>
      </c>
      <c r="BN645" s="27" t="s">
        <v>7</v>
      </c>
      <c r="BO645" s="27" t="s">
        <v>8</v>
      </c>
      <c r="BQ645" s="27" t="s">
        <v>8</v>
      </c>
      <c r="BR645" s="27" t="s">
        <v>7</v>
      </c>
      <c r="BS645" s="27" t="s">
        <v>8</v>
      </c>
      <c r="BT645" s="27" t="s">
        <v>7</v>
      </c>
      <c r="BU645" s="27" t="s">
        <v>8</v>
      </c>
      <c r="EW645" s="27" t="s">
        <v>8</v>
      </c>
      <c r="EX645" s="27" t="s">
        <v>7</v>
      </c>
      <c r="FE645" s="27" t="s">
        <v>8</v>
      </c>
      <c r="FJ645" s="27" t="s">
        <v>7</v>
      </c>
      <c r="FK645" s="27" t="s">
        <v>8</v>
      </c>
      <c r="FV645" s="27" t="s">
        <v>7</v>
      </c>
      <c r="FW645" s="27" t="s">
        <v>8</v>
      </c>
      <c r="FX645" s="27" t="s">
        <v>7</v>
      </c>
      <c r="FY645" s="27" t="s">
        <v>8</v>
      </c>
      <c r="FZ645" s="27" t="s">
        <v>7</v>
      </c>
      <c r="GA645" s="27" t="s">
        <v>8</v>
      </c>
      <c r="GD645" s="27" t="s">
        <v>7</v>
      </c>
      <c r="GG645" s="27" t="s">
        <v>8</v>
      </c>
      <c r="HC645" s="27" t="s">
        <v>8</v>
      </c>
      <c r="HD645" s="27" t="s">
        <v>7</v>
      </c>
      <c r="HG645" s="27" t="s">
        <v>8</v>
      </c>
      <c r="HH645" s="27" t="s">
        <v>7</v>
      </c>
      <c r="HI645" s="27" t="s">
        <v>8</v>
      </c>
      <c r="HJ645" s="27" t="s">
        <v>7</v>
      </c>
      <c r="HK645" s="27" t="s">
        <v>8</v>
      </c>
      <c r="HL645" s="27" t="s">
        <v>7</v>
      </c>
      <c r="HM645" s="27" t="s">
        <v>8</v>
      </c>
      <c r="HP645" s="27" t="s">
        <v>7</v>
      </c>
      <c r="HT645" s="27" t="s">
        <v>7</v>
      </c>
      <c r="HU645" s="27" t="s">
        <v>8</v>
      </c>
      <c r="IB645" s="27" t="s">
        <v>7</v>
      </c>
      <c r="IC645" s="27" t="s">
        <v>8</v>
      </c>
      <c r="ID645" s="27" t="s">
        <v>7</v>
      </c>
      <c r="IF645" s="27" t="s">
        <v>7</v>
      </c>
      <c r="IG645" s="27" t="s">
        <v>8</v>
      </c>
      <c r="IH645" s="27" t="s">
        <v>7</v>
      </c>
      <c r="II645" s="27" t="s">
        <v>8</v>
      </c>
      <c r="IL645" s="27" t="s">
        <v>7</v>
      </c>
      <c r="IM645" s="27" t="s">
        <v>8</v>
      </c>
      <c r="IN645" s="27" t="s">
        <v>7</v>
      </c>
      <c r="IO645" s="27" t="s">
        <v>8</v>
      </c>
    </row>
    <row r="646" spans="1:254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H646" s="27" t="s">
        <v>7</v>
      </c>
      <c r="BM646" s="27" t="s">
        <v>8</v>
      </c>
      <c r="BN646" s="27" t="s">
        <v>7</v>
      </c>
      <c r="BO646" s="27" t="s">
        <v>8</v>
      </c>
      <c r="BP646" s="27" t="s">
        <v>7</v>
      </c>
      <c r="BQ646" s="27" t="s">
        <v>8</v>
      </c>
      <c r="BR646" s="27" t="s">
        <v>7</v>
      </c>
      <c r="BS646" s="27" t="s">
        <v>8</v>
      </c>
      <c r="BT646" s="27" t="s">
        <v>7</v>
      </c>
      <c r="BU646" s="27" t="s">
        <v>8</v>
      </c>
      <c r="BV646" s="27" t="s">
        <v>7</v>
      </c>
      <c r="EW646" s="27" t="s">
        <v>8</v>
      </c>
      <c r="EX646" s="27" t="s">
        <v>7</v>
      </c>
      <c r="FE646" s="27" t="s">
        <v>8</v>
      </c>
      <c r="FJ646" s="27" t="s">
        <v>7</v>
      </c>
      <c r="FK646" s="27" t="s">
        <v>8</v>
      </c>
      <c r="FV646" s="27" t="s">
        <v>7</v>
      </c>
      <c r="FW646" s="27" t="s">
        <v>8</v>
      </c>
      <c r="FX646" s="27" t="s">
        <v>7</v>
      </c>
      <c r="FY646" s="27" t="s">
        <v>8</v>
      </c>
      <c r="FZ646" s="27" t="s">
        <v>7</v>
      </c>
      <c r="GD646" s="27" t="s">
        <v>7</v>
      </c>
      <c r="GG646" s="27" t="s">
        <v>8</v>
      </c>
      <c r="GH646" s="27" t="s">
        <v>7</v>
      </c>
      <c r="HC646" s="27" t="s">
        <v>8</v>
      </c>
      <c r="HD646" s="27" t="s">
        <v>7</v>
      </c>
      <c r="HE646" s="27" t="s">
        <v>8</v>
      </c>
      <c r="HG646" s="27" t="s">
        <v>8</v>
      </c>
      <c r="HH646" s="27" t="s">
        <v>7</v>
      </c>
      <c r="HI646" s="27" t="s">
        <v>8</v>
      </c>
      <c r="HJ646" s="27" t="s">
        <v>7</v>
      </c>
      <c r="HK646" s="27" t="s">
        <v>8</v>
      </c>
      <c r="HL646" s="27" t="s">
        <v>7</v>
      </c>
      <c r="HM646" s="27" t="s">
        <v>8</v>
      </c>
      <c r="HT646" s="27" t="s">
        <v>7</v>
      </c>
      <c r="HU646" s="27" t="s">
        <v>8</v>
      </c>
      <c r="IB646" s="27" t="s">
        <v>7</v>
      </c>
      <c r="IC646" s="27" t="s">
        <v>8</v>
      </c>
      <c r="IF646" s="27" t="s">
        <v>7</v>
      </c>
      <c r="IH646" s="27" t="s">
        <v>7</v>
      </c>
      <c r="II646" s="27" t="s">
        <v>8</v>
      </c>
      <c r="IL646" s="27" t="s">
        <v>7</v>
      </c>
      <c r="IM646" s="27" t="s">
        <v>8</v>
      </c>
      <c r="IN646" s="27" t="s">
        <v>7</v>
      </c>
    </row>
    <row r="647" spans="1:254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H647" s="27" t="s">
        <v>7</v>
      </c>
      <c r="BM647" s="27" t="s">
        <v>8</v>
      </c>
      <c r="BN647" s="27" t="s">
        <v>7</v>
      </c>
      <c r="BO647" s="27" t="s">
        <v>8</v>
      </c>
      <c r="BP647" s="27" t="s">
        <v>7</v>
      </c>
      <c r="BQ647" s="27" t="s">
        <v>8</v>
      </c>
      <c r="BR647" s="27" t="s">
        <v>7</v>
      </c>
      <c r="BS647" s="27" t="s">
        <v>8</v>
      </c>
      <c r="BT647" s="27" t="s">
        <v>7</v>
      </c>
      <c r="BU647" s="27" t="s">
        <v>8</v>
      </c>
      <c r="BV647" s="27" t="s">
        <v>7</v>
      </c>
      <c r="CA647" s="27" t="s">
        <v>8</v>
      </c>
      <c r="EW647" s="27" t="s">
        <v>8</v>
      </c>
      <c r="EX647" s="27" t="s">
        <v>7</v>
      </c>
      <c r="FC647" s="27" t="s">
        <v>8</v>
      </c>
      <c r="FE647" s="27" t="s">
        <v>8</v>
      </c>
      <c r="FJ647" s="27" t="s">
        <v>7</v>
      </c>
      <c r="FV647" s="27" t="s">
        <v>7</v>
      </c>
      <c r="FW647" s="27" t="s">
        <v>8</v>
      </c>
      <c r="FX647" s="27" t="s">
        <v>7</v>
      </c>
      <c r="FY647" s="27" t="s">
        <v>8</v>
      </c>
      <c r="GD647" s="27" t="s">
        <v>7</v>
      </c>
      <c r="GG647" s="27" t="s">
        <v>8</v>
      </c>
      <c r="GH647" s="27" t="s">
        <v>7</v>
      </c>
      <c r="GI647" s="27" t="s">
        <v>8</v>
      </c>
      <c r="HC647" s="27" t="s">
        <v>8</v>
      </c>
      <c r="HD647" s="27" t="s">
        <v>7</v>
      </c>
      <c r="HE647" s="27" t="s">
        <v>8</v>
      </c>
      <c r="HF647" s="27" t="s">
        <v>7</v>
      </c>
      <c r="HG647" s="27" t="s">
        <v>8</v>
      </c>
      <c r="HH647" s="27" t="s">
        <v>7</v>
      </c>
      <c r="HI647" s="27" t="s">
        <v>8</v>
      </c>
      <c r="HJ647" s="27" t="s">
        <v>7</v>
      </c>
      <c r="HK647" s="27" t="s">
        <v>8</v>
      </c>
      <c r="HL647" s="27" t="s">
        <v>7</v>
      </c>
      <c r="HM647" s="27" t="s">
        <v>8</v>
      </c>
      <c r="HT647" s="27" t="s">
        <v>7</v>
      </c>
      <c r="IB647" s="27" t="s">
        <v>7</v>
      </c>
      <c r="IC647" s="27" t="s">
        <v>8</v>
      </c>
      <c r="IH647" s="27" t="s">
        <v>7</v>
      </c>
      <c r="II647" s="27" t="s">
        <v>8</v>
      </c>
      <c r="IL647" s="27" t="s">
        <v>7</v>
      </c>
    </row>
    <row r="648" spans="1:254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H648" s="27" t="s">
        <v>7</v>
      </c>
      <c r="I648" s="27" t="s">
        <v>8</v>
      </c>
      <c r="BM648" s="27" t="s">
        <v>8</v>
      </c>
      <c r="BN648" s="27" t="s">
        <v>7</v>
      </c>
      <c r="BO648" s="27" t="s">
        <v>8</v>
      </c>
      <c r="BP648" s="27" t="s">
        <v>7</v>
      </c>
      <c r="BQ648" s="27" t="s">
        <v>8</v>
      </c>
      <c r="BR648" s="27" t="s">
        <v>7</v>
      </c>
      <c r="BS648" s="27" t="s">
        <v>8</v>
      </c>
      <c r="BT648" s="27" t="s">
        <v>7</v>
      </c>
      <c r="BU648" s="27" t="s">
        <v>8</v>
      </c>
      <c r="BV648" s="27" t="s">
        <v>7</v>
      </c>
      <c r="BW648" s="27" t="s">
        <v>8</v>
      </c>
      <c r="CA648" s="27" t="s">
        <v>8</v>
      </c>
      <c r="CB648" s="27" t="s">
        <v>7</v>
      </c>
      <c r="EW648" s="27" t="s">
        <v>8</v>
      </c>
      <c r="EX648" s="27" t="s">
        <v>7</v>
      </c>
      <c r="FC648" s="27" t="s">
        <v>8</v>
      </c>
      <c r="FD648" s="27" t="s">
        <v>7</v>
      </c>
      <c r="FE648" s="27" t="s">
        <v>8</v>
      </c>
      <c r="FV648" s="27" t="s">
        <v>7</v>
      </c>
      <c r="FX648" s="27" t="s">
        <v>7</v>
      </c>
      <c r="GD648" s="27" t="s">
        <v>7</v>
      </c>
      <c r="GG648" s="27" t="s">
        <v>8</v>
      </c>
      <c r="GH648" s="27" t="s">
        <v>7</v>
      </c>
      <c r="GI648" s="27" t="s">
        <v>8</v>
      </c>
      <c r="GJ648" s="27" t="s">
        <v>7</v>
      </c>
      <c r="GK648" s="27" t="s">
        <v>8</v>
      </c>
      <c r="HC648" s="27" t="s">
        <v>8</v>
      </c>
      <c r="HD648" s="27" t="s">
        <v>7</v>
      </c>
      <c r="HE648" s="27" t="s">
        <v>8</v>
      </c>
      <c r="HF648" s="27" t="s">
        <v>7</v>
      </c>
      <c r="HG648" s="27" t="s">
        <v>8</v>
      </c>
      <c r="HH648" s="27" t="s">
        <v>7</v>
      </c>
      <c r="HI648" s="27" t="s">
        <v>8</v>
      </c>
      <c r="HJ648" s="27" t="s">
        <v>7</v>
      </c>
      <c r="HK648" s="27" t="s">
        <v>8</v>
      </c>
      <c r="HL648" s="27" t="s">
        <v>7</v>
      </c>
      <c r="IB648" s="27" t="s">
        <v>7</v>
      </c>
      <c r="IC648" s="27" t="s">
        <v>8</v>
      </c>
      <c r="IH648" s="27" t="s">
        <v>7</v>
      </c>
      <c r="II648" s="27" t="s">
        <v>8</v>
      </c>
    </row>
    <row r="649" spans="1:254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H649" s="27" t="s">
        <v>7</v>
      </c>
      <c r="I649" s="27" t="s">
        <v>8</v>
      </c>
      <c r="J649" s="27" t="s">
        <v>7</v>
      </c>
      <c r="BM649" s="27" t="s">
        <v>8</v>
      </c>
      <c r="BN649" s="27" t="s">
        <v>7</v>
      </c>
      <c r="BO649" s="27" t="s">
        <v>8</v>
      </c>
      <c r="BP649" s="27" t="s">
        <v>7</v>
      </c>
      <c r="BQ649" s="27" t="s">
        <v>8</v>
      </c>
      <c r="BR649" s="27" t="s">
        <v>7</v>
      </c>
      <c r="BS649" s="27" t="s">
        <v>8</v>
      </c>
      <c r="BT649" s="27" t="s">
        <v>7</v>
      </c>
      <c r="BU649" s="27" t="s">
        <v>8</v>
      </c>
      <c r="BV649" s="27" t="s">
        <v>7</v>
      </c>
      <c r="BW649" s="27" t="s">
        <v>8</v>
      </c>
      <c r="BX649" s="27" t="s">
        <v>7</v>
      </c>
      <c r="CA649" s="27" t="s">
        <v>8</v>
      </c>
      <c r="CB649" s="27" t="s">
        <v>7</v>
      </c>
      <c r="EW649" s="27" t="s">
        <v>8</v>
      </c>
      <c r="EX649" s="27" t="s">
        <v>7</v>
      </c>
      <c r="FC649" s="27" t="s">
        <v>8</v>
      </c>
      <c r="FD649" s="27" t="s">
        <v>7</v>
      </c>
      <c r="FE649" s="27" t="s">
        <v>8</v>
      </c>
      <c r="GD649" s="27" t="s">
        <v>7</v>
      </c>
      <c r="GG649" s="27" t="s">
        <v>8</v>
      </c>
      <c r="GH649" s="27" t="s">
        <v>7</v>
      </c>
      <c r="GI649" s="27" t="s">
        <v>8</v>
      </c>
      <c r="GJ649" s="27" t="s">
        <v>7</v>
      </c>
      <c r="GK649" s="27" t="s">
        <v>8</v>
      </c>
      <c r="GL649" s="27" t="s">
        <v>7</v>
      </c>
      <c r="HC649" s="27" t="s">
        <v>8</v>
      </c>
      <c r="HD649" s="27" t="s">
        <v>7</v>
      </c>
      <c r="HE649" s="27" t="s">
        <v>8</v>
      </c>
      <c r="HF649" s="27" t="s">
        <v>7</v>
      </c>
      <c r="HG649" s="27" t="s">
        <v>8</v>
      </c>
      <c r="HH649" s="27" t="s">
        <v>7</v>
      </c>
      <c r="HI649" s="27" t="s">
        <v>8</v>
      </c>
      <c r="HJ649" s="27" t="s">
        <v>7</v>
      </c>
      <c r="HK649" s="27" t="s">
        <v>8</v>
      </c>
      <c r="IB649" s="27" t="s">
        <v>7</v>
      </c>
      <c r="IH649" s="27" t="s">
        <v>7</v>
      </c>
    </row>
    <row r="650" spans="1:254" x14ac:dyDescent="0.25">
      <c r="A650" s="7">
        <v>0.28720313685825055</v>
      </c>
      <c r="B650"/>
      <c r="C650"/>
      <c r="D650"/>
      <c r="E650"/>
      <c r="F650" s="27" t="s">
        <v>7</v>
      </c>
      <c r="H650" s="27" t="s">
        <v>7</v>
      </c>
      <c r="I650" s="27" t="s">
        <v>8</v>
      </c>
      <c r="J650" s="27" t="s">
        <v>7</v>
      </c>
      <c r="K650" s="27" t="s">
        <v>8</v>
      </c>
      <c r="BM650" s="27" t="s">
        <v>8</v>
      </c>
      <c r="BN650" s="27" t="s">
        <v>7</v>
      </c>
      <c r="BO650" s="27" t="s">
        <v>8</v>
      </c>
      <c r="BP650" s="27" t="s">
        <v>7</v>
      </c>
      <c r="BQ650" s="27" t="s">
        <v>8</v>
      </c>
      <c r="BR650" s="27" t="s">
        <v>7</v>
      </c>
      <c r="BS650" s="27" t="s">
        <v>8</v>
      </c>
      <c r="BT650" s="27" t="s">
        <v>7</v>
      </c>
      <c r="BU650" s="27" t="s">
        <v>8</v>
      </c>
      <c r="BV650" s="27" t="s">
        <v>7</v>
      </c>
      <c r="BW650" s="27" t="s">
        <v>8</v>
      </c>
      <c r="BX650" s="27" t="s">
        <v>7</v>
      </c>
      <c r="BY650" s="27" t="s">
        <v>8</v>
      </c>
      <c r="CA650" s="27" t="s">
        <v>8</v>
      </c>
      <c r="CB650" s="27" t="s">
        <v>7</v>
      </c>
      <c r="EU650" s="27" t="s">
        <v>8</v>
      </c>
      <c r="EW650" s="27" t="s">
        <v>8</v>
      </c>
      <c r="EX650" s="27" t="s">
        <v>7</v>
      </c>
      <c r="EY650" s="27" t="s">
        <v>8</v>
      </c>
      <c r="FC650" s="27" t="s">
        <v>8</v>
      </c>
      <c r="FD650" s="27" t="s">
        <v>7</v>
      </c>
      <c r="FE650" s="27" t="s">
        <v>8</v>
      </c>
      <c r="GD650" s="27" t="s">
        <v>7</v>
      </c>
      <c r="GG650" s="27" t="s">
        <v>8</v>
      </c>
      <c r="GH650" s="27" t="s">
        <v>7</v>
      </c>
      <c r="GI650" s="27" t="s">
        <v>8</v>
      </c>
      <c r="GJ650" s="27" t="s">
        <v>7</v>
      </c>
      <c r="GK650" s="27" t="s">
        <v>8</v>
      </c>
      <c r="GL650" s="27" t="s">
        <v>7</v>
      </c>
      <c r="HC650" s="27" t="s">
        <v>8</v>
      </c>
      <c r="HD650" s="27" t="s">
        <v>7</v>
      </c>
      <c r="HE650" s="27" t="s">
        <v>8</v>
      </c>
      <c r="HF650" s="27" t="s">
        <v>7</v>
      </c>
      <c r="HG650" s="27" t="s">
        <v>8</v>
      </c>
      <c r="HH650" s="27" t="s">
        <v>7</v>
      </c>
      <c r="HI650" s="27" t="s">
        <v>8</v>
      </c>
      <c r="HJ650" s="27" t="s">
        <v>7</v>
      </c>
    </row>
    <row r="651" spans="1:254" x14ac:dyDescent="0.25">
      <c r="A651" s="7">
        <v>0.28157170280220645</v>
      </c>
      <c r="B651"/>
      <c r="C651"/>
      <c r="D651"/>
      <c r="E651"/>
      <c r="H651" s="27" t="s">
        <v>7</v>
      </c>
      <c r="I651" s="27" t="s">
        <v>8</v>
      </c>
      <c r="J651" s="27" t="s">
        <v>7</v>
      </c>
      <c r="K651" s="27" t="s">
        <v>8</v>
      </c>
      <c r="L651" s="27" t="s">
        <v>7</v>
      </c>
      <c r="O651" s="27" t="s">
        <v>8</v>
      </c>
      <c r="BM651" s="27" t="s">
        <v>8</v>
      </c>
      <c r="BN651" s="27" t="s">
        <v>7</v>
      </c>
      <c r="BP651" s="27" t="s">
        <v>7</v>
      </c>
      <c r="BQ651" s="27" t="s">
        <v>8</v>
      </c>
      <c r="BR651" s="27" t="s">
        <v>7</v>
      </c>
      <c r="BT651" s="27" t="s">
        <v>7</v>
      </c>
      <c r="BU651" s="27" t="s">
        <v>8</v>
      </c>
      <c r="BV651" s="27" t="s">
        <v>7</v>
      </c>
      <c r="BW651" s="27" t="s">
        <v>8</v>
      </c>
      <c r="BX651" s="27" t="s">
        <v>7</v>
      </c>
      <c r="BY651" s="27" t="s">
        <v>8</v>
      </c>
      <c r="BZ651" s="27" t="s">
        <v>7</v>
      </c>
      <c r="CA651" s="27" t="s">
        <v>8</v>
      </c>
      <c r="CB651" s="27" t="s">
        <v>7</v>
      </c>
      <c r="EU651" s="27" t="s">
        <v>8</v>
      </c>
      <c r="EV651" s="27" t="s">
        <v>7</v>
      </c>
      <c r="EW651" s="27" t="s">
        <v>8</v>
      </c>
      <c r="EX651" s="27" t="s">
        <v>7</v>
      </c>
      <c r="EY651" s="27" t="s">
        <v>8</v>
      </c>
      <c r="EZ651" s="27" t="s">
        <v>7</v>
      </c>
      <c r="FC651" s="27" t="s">
        <v>8</v>
      </c>
      <c r="FD651" s="27" t="s">
        <v>7</v>
      </c>
      <c r="FE651" s="27" t="s">
        <v>8</v>
      </c>
      <c r="GD651" s="27" t="s">
        <v>7</v>
      </c>
      <c r="GG651" s="27" t="s">
        <v>8</v>
      </c>
      <c r="GH651" s="27" t="s">
        <v>7</v>
      </c>
      <c r="GJ651" s="27" t="s">
        <v>7</v>
      </c>
      <c r="GL651" s="27" t="s">
        <v>7</v>
      </c>
      <c r="GQ651" s="27" t="s">
        <v>8</v>
      </c>
      <c r="GU651" s="27" t="s">
        <v>8</v>
      </c>
      <c r="HC651" s="27" t="s">
        <v>8</v>
      </c>
      <c r="HD651" s="27" t="s">
        <v>7</v>
      </c>
      <c r="HE651" s="27" t="s">
        <v>8</v>
      </c>
      <c r="HF651" s="27" t="s">
        <v>7</v>
      </c>
      <c r="HH651" s="27" t="s">
        <v>7</v>
      </c>
      <c r="HI651" s="27" t="s">
        <v>8</v>
      </c>
    </row>
    <row r="652" spans="1:254" x14ac:dyDescent="0.25">
      <c r="A652" s="7">
        <v>0.27605068902177105</v>
      </c>
      <c r="B652"/>
      <c r="C652"/>
      <c r="D652"/>
      <c r="E652"/>
      <c r="H652" s="27" t="s">
        <v>7</v>
      </c>
      <c r="J652" s="27" t="s">
        <v>7</v>
      </c>
      <c r="K652" s="27" t="s">
        <v>8</v>
      </c>
      <c r="L652" s="27" t="s">
        <v>7</v>
      </c>
      <c r="O652" s="27" t="s">
        <v>8</v>
      </c>
      <c r="P652" s="27" t="s">
        <v>7</v>
      </c>
      <c r="AE652" s="27" t="s">
        <v>8</v>
      </c>
      <c r="BM652" s="27" t="s">
        <v>8</v>
      </c>
      <c r="BP652" s="27" t="s">
        <v>7</v>
      </c>
      <c r="BQ652" s="27" t="s">
        <v>8</v>
      </c>
      <c r="BT652" s="27" t="s">
        <v>7</v>
      </c>
      <c r="BU652" s="27" t="s">
        <v>8</v>
      </c>
      <c r="BV652" s="27" t="s">
        <v>7</v>
      </c>
      <c r="BW652" s="27" t="s">
        <v>8</v>
      </c>
      <c r="BX652" s="27" t="s">
        <v>7</v>
      </c>
      <c r="BY652" s="27" t="s">
        <v>8</v>
      </c>
      <c r="BZ652" s="27" t="s">
        <v>7</v>
      </c>
      <c r="CA652" s="27" t="s">
        <v>8</v>
      </c>
      <c r="CB652" s="27" t="s">
        <v>7</v>
      </c>
      <c r="EU652" s="27" t="s">
        <v>8</v>
      </c>
      <c r="EV652" s="27" t="s">
        <v>7</v>
      </c>
      <c r="EW652" s="27" t="s">
        <v>8</v>
      </c>
      <c r="EX652" s="27" t="s">
        <v>7</v>
      </c>
      <c r="EY652" s="27" t="s">
        <v>8</v>
      </c>
      <c r="EZ652" s="27" t="s">
        <v>7</v>
      </c>
      <c r="FA652" s="27" t="s">
        <v>8</v>
      </c>
      <c r="FC652" s="27" t="s">
        <v>8</v>
      </c>
      <c r="FD652" s="27" t="s">
        <v>7</v>
      </c>
      <c r="GD652" s="27" t="s">
        <v>7</v>
      </c>
      <c r="GG652" s="27" t="s">
        <v>8</v>
      </c>
      <c r="GL652" s="27" t="s">
        <v>7</v>
      </c>
      <c r="GO652" s="27" t="s">
        <v>8</v>
      </c>
      <c r="GQ652" s="27" t="s">
        <v>8</v>
      </c>
      <c r="GR652" s="27" t="s">
        <v>7</v>
      </c>
      <c r="GU652" s="27" t="s">
        <v>8</v>
      </c>
      <c r="GV652" s="27" t="s">
        <v>7</v>
      </c>
      <c r="GY652" s="27" t="s">
        <v>8</v>
      </c>
      <c r="HA652" s="27" t="s">
        <v>8</v>
      </c>
      <c r="HC652" s="27" t="s">
        <v>8</v>
      </c>
      <c r="HD652" s="27" t="s">
        <v>7</v>
      </c>
      <c r="HE652" s="27" t="s">
        <v>8</v>
      </c>
      <c r="HH652" s="27" t="s">
        <v>7</v>
      </c>
      <c r="HI652" s="27" t="s">
        <v>8</v>
      </c>
    </row>
    <row r="653" spans="1:254" x14ac:dyDescent="0.25">
      <c r="A653" s="7">
        <v>0.27063793041350104</v>
      </c>
      <c r="B653"/>
      <c r="C653"/>
      <c r="D653"/>
      <c r="E653"/>
      <c r="J653" s="27" t="s">
        <v>7</v>
      </c>
      <c r="K653" s="27" t="s">
        <v>8</v>
      </c>
      <c r="L653" s="27" t="s">
        <v>7</v>
      </c>
      <c r="O653" s="27" t="s">
        <v>8</v>
      </c>
      <c r="P653" s="27" t="s">
        <v>7</v>
      </c>
      <c r="AE653" s="27" t="s">
        <v>8</v>
      </c>
      <c r="AF653" s="27" t="s">
        <v>7</v>
      </c>
      <c r="BM653" s="27" t="s">
        <v>8</v>
      </c>
      <c r="BP653" s="27" t="s">
        <v>7</v>
      </c>
      <c r="BQ653" s="27" t="s">
        <v>8</v>
      </c>
      <c r="BT653" s="27" t="s">
        <v>7</v>
      </c>
      <c r="BU653" s="27" t="s">
        <v>8</v>
      </c>
      <c r="BV653" s="27" t="s">
        <v>7</v>
      </c>
      <c r="BW653" s="27" t="s">
        <v>8</v>
      </c>
      <c r="BX653" s="27" t="s">
        <v>7</v>
      </c>
      <c r="BY653" s="27" t="s">
        <v>8</v>
      </c>
      <c r="BZ653" s="27" t="s">
        <v>7</v>
      </c>
      <c r="CA653" s="27" t="s">
        <v>8</v>
      </c>
      <c r="CB653" s="27" t="s">
        <v>7</v>
      </c>
      <c r="EU653" s="27" t="s">
        <v>8</v>
      </c>
      <c r="EV653" s="27" t="s">
        <v>7</v>
      </c>
      <c r="EW653" s="27" t="s">
        <v>8</v>
      </c>
      <c r="EX653" s="27" t="s">
        <v>7</v>
      </c>
      <c r="EY653" s="27" t="s">
        <v>8</v>
      </c>
      <c r="EZ653" s="27" t="s">
        <v>7</v>
      </c>
      <c r="FA653" s="27" t="s">
        <v>8</v>
      </c>
      <c r="FB653" s="27" t="s">
        <v>7</v>
      </c>
      <c r="FC653" s="27" t="s">
        <v>8</v>
      </c>
      <c r="GD653" s="27" t="s">
        <v>7</v>
      </c>
      <c r="GG653" s="27" t="s">
        <v>8</v>
      </c>
      <c r="GL653" s="27" t="s">
        <v>7</v>
      </c>
      <c r="GO653" s="27" t="s">
        <v>8</v>
      </c>
      <c r="GP653" s="27" t="s">
        <v>7</v>
      </c>
      <c r="GQ653" s="27" t="s">
        <v>8</v>
      </c>
      <c r="GR653" s="27" t="s">
        <v>7</v>
      </c>
      <c r="GS653" s="27" t="s">
        <v>8</v>
      </c>
      <c r="GU653" s="27" t="s">
        <v>8</v>
      </c>
      <c r="GV653" s="27" t="s">
        <v>7</v>
      </c>
      <c r="GY653" s="27" t="s">
        <v>8</v>
      </c>
      <c r="GZ653" s="27" t="s">
        <v>7</v>
      </c>
      <c r="HA653" s="27" t="s">
        <v>8</v>
      </c>
      <c r="HB653" s="27" t="s">
        <v>7</v>
      </c>
      <c r="HC653" s="27" t="s">
        <v>8</v>
      </c>
      <c r="HD653" s="27" t="s">
        <v>7</v>
      </c>
      <c r="HH653" s="27" t="s">
        <v>7</v>
      </c>
      <c r="HI653" s="27" t="s">
        <v>8</v>
      </c>
    </row>
    <row r="654" spans="1:254" x14ac:dyDescent="0.25">
      <c r="A654" s="7">
        <v>0.26533130432696184</v>
      </c>
      <c r="B654"/>
      <c r="C654"/>
      <c r="D654"/>
      <c r="E654"/>
      <c r="J654" s="27" t="s">
        <v>7</v>
      </c>
      <c r="K654" s="27" t="s">
        <v>8</v>
      </c>
      <c r="L654" s="27" t="s">
        <v>7</v>
      </c>
      <c r="M654" s="27" t="s">
        <v>8</v>
      </c>
      <c r="O654" s="27" t="s">
        <v>8</v>
      </c>
      <c r="P654" s="27" t="s">
        <v>7</v>
      </c>
      <c r="AE654" s="27" t="s">
        <v>8</v>
      </c>
      <c r="AF654" s="27" t="s">
        <v>7</v>
      </c>
      <c r="AM654" s="27" t="s">
        <v>8</v>
      </c>
      <c r="BM654" s="27" t="s">
        <v>8</v>
      </c>
      <c r="BP654" s="27" t="s">
        <v>7</v>
      </c>
      <c r="BT654" s="27" t="s">
        <v>7</v>
      </c>
      <c r="BU654" s="27" t="s">
        <v>8</v>
      </c>
      <c r="BV654" s="27" t="s">
        <v>7</v>
      </c>
      <c r="BW654" s="27" t="s">
        <v>8</v>
      </c>
      <c r="BX654" s="27" t="s">
        <v>7</v>
      </c>
      <c r="BY654" s="27" t="s">
        <v>8</v>
      </c>
      <c r="BZ654" s="27" t="s">
        <v>7</v>
      </c>
      <c r="CB654" s="27" t="s">
        <v>7</v>
      </c>
      <c r="CG654" s="27" t="s">
        <v>8</v>
      </c>
      <c r="EC654" s="27" t="s">
        <v>8</v>
      </c>
      <c r="EI654" s="27" t="s">
        <v>8</v>
      </c>
      <c r="EU654" s="27" t="s">
        <v>8</v>
      </c>
      <c r="EV654" s="27" t="s">
        <v>7</v>
      </c>
      <c r="EW654" s="27" t="s">
        <v>8</v>
      </c>
      <c r="EX654" s="27" t="s">
        <v>7</v>
      </c>
      <c r="EY654" s="27" t="s">
        <v>8</v>
      </c>
      <c r="EZ654" s="27" t="s">
        <v>7</v>
      </c>
      <c r="FA654" s="27" t="s">
        <v>8</v>
      </c>
      <c r="FB654" s="27" t="s">
        <v>7</v>
      </c>
      <c r="FC654" s="27" t="s">
        <v>8</v>
      </c>
      <c r="GD654" s="27" t="s">
        <v>7</v>
      </c>
      <c r="GE654" s="27" t="s">
        <v>8</v>
      </c>
      <c r="GG654" s="27" t="s">
        <v>8</v>
      </c>
      <c r="GL654" s="27" t="s">
        <v>7</v>
      </c>
      <c r="GO654" s="27" t="s">
        <v>8</v>
      </c>
      <c r="GP654" s="27" t="s">
        <v>7</v>
      </c>
      <c r="GQ654" s="27" t="s">
        <v>8</v>
      </c>
      <c r="GR654" s="27" t="s">
        <v>7</v>
      </c>
      <c r="GS654" s="27" t="s">
        <v>8</v>
      </c>
      <c r="GT654" s="27" t="s">
        <v>7</v>
      </c>
      <c r="GU654" s="27" t="s">
        <v>8</v>
      </c>
      <c r="GV654" s="27" t="s">
        <v>7</v>
      </c>
      <c r="GW654" s="27" t="s">
        <v>8</v>
      </c>
      <c r="GY654" s="27" t="s">
        <v>8</v>
      </c>
      <c r="GZ654" s="27" t="s">
        <v>7</v>
      </c>
      <c r="HA654" s="27" t="s">
        <v>8</v>
      </c>
      <c r="HB654" s="27" t="s">
        <v>7</v>
      </c>
      <c r="HC654" s="27" t="s">
        <v>8</v>
      </c>
      <c r="HH654" s="27" t="s">
        <v>7</v>
      </c>
    </row>
    <row r="655" spans="1:254" x14ac:dyDescent="0.25">
      <c r="A655" s="7">
        <v>0.26012872973231554</v>
      </c>
      <c r="B655"/>
      <c r="C655"/>
      <c r="D655"/>
      <c r="E655"/>
      <c r="J655" s="27" t="s">
        <v>7</v>
      </c>
      <c r="K655" s="27" t="s">
        <v>8</v>
      </c>
      <c r="L655" s="27" t="s">
        <v>7</v>
      </c>
      <c r="M655" s="27" t="s">
        <v>8</v>
      </c>
      <c r="N655" s="27" t="s">
        <v>7</v>
      </c>
      <c r="O655" s="27" t="s">
        <v>8</v>
      </c>
      <c r="P655" s="27" t="s">
        <v>7</v>
      </c>
      <c r="AE655" s="27" t="s">
        <v>8</v>
      </c>
      <c r="AF655" s="27" t="s">
        <v>7</v>
      </c>
      <c r="AM655" s="27" t="s">
        <v>8</v>
      </c>
      <c r="AN655" s="27" t="s">
        <v>7</v>
      </c>
      <c r="BM655" s="27" t="s">
        <v>8</v>
      </c>
      <c r="BT655" s="27" t="s">
        <v>7</v>
      </c>
      <c r="BU655" s="27" t="s">
        <v>8</v>
      </c>
      <c r="BV655" s="27" t="s">
        <v>7</v>
      </c>
      <c r="BW655" s="27" t="s">
        <v>8</v>
      </c>
      <c r="BX655" s="27" t="s">
        <v>7</v>
      </c>
      <c r="BY655" s="27" t="s">
        <v>8</v>
      </c>
      <c r="CB655" s="27" t="s">
        <v>7</v>
      </c>
      <c r="CG655" s="27" t="s">
        <v>8</v>
      </c>
      <c r="CH655" s="27" t="s">
        <v>7</v>
      </c>
      <c r="EC655" s="27" t="s">
        <v>8</v>
      </c>
      <c r="ED655" s="27" t="s">
        <v>7</v>
      </c>
      <c r="EI655" s="27" t="s">
        <v>8</v>
      </c>
      <c r="EJ655" s="27" t="s">
        <v>7</v>
      </c>
      <c r="EU655" s="27" t="s">
        <v>8</v>
      </c>
      <c r="EV655" s="27" t="s">
        <v>7</v>
      </c>
      <c r="EW655" s="27" t="s">
        <v>8</v>
      </c>
      <c r="EX655" s="27" t="s">
        <v>7</v>
      </c>
      <c r="EY655" s="27" t="s">
        <v>8</v>
      </c>
      <c r="EZ655" s="27" t="s">
        <v>7</v>
      </c>
      <c r="FA655" s="27" t="s">
        <v>8</v>
      </c>
      <c r="FB655" s="27" t="s">
        <v>7</v>
      </c>
      <c r="FC655" s="27" t="s">
        <v>8</v>
      </c>
      <c r="GD655" s="27" t="s">
        <v>7</v>
      </c>
      <c r="GE655" s="27" t="s">
        <v>8</v>
      </c>
      <c r="GF655" s="27" t="s">
        <v>7</v>
      </c>
      <c r="GG655" s="27" t="s">
        <v>8</v>
      </c>
      <c r="GL655" s="27" t="s">
        <v>7</v>
      </c>
      <c r="GM655" s="27" t="s">
        <v>8</v>
      </c>
      <c r="GO655" s="27" t="s">
        <v>8</v>
      </c>
      <c r="GP655" s="27" t="s">
        <v>7</v>
      </c>
      <c r="GQ655" s="27" t="s">
        <v>8</v>
      </c>
      <c r="GR655" s="27" t="s">
        <v>7</v>
      </c>
      <c r="GS655" s="27" t="s">
        <v>8</v>
      </c>
      <c r="GT655" s="27" t="s">
        <v>7</v>
      </c>
      <c r="GU655" s="27" t="s">
        <v>8</v>
      </c>
      <c r="GV655" s="27" t="s">
        <v>7</v>
      </c>
      <c r="GW655" s="27" t="s">
        <v>8</v>
      </c>
      <c r="GX655" s="27" t="s">
        <v>7</v>
      </c>
      <c r="GY655" s="27" t="s">
        <v>8</v>
      </c>
      <c r="GZ655" s="27" t="s">
        <v>7</v>
      </c>
      <c r="HA655" s="27" t="s">
        <v>8</v>
      </c>
      <c r="HB655" s="27" t="s">
        <v>7</v>
      </c>
      <c r="HC655" s="27" t="s">
        <v>8</v>
      </c>
    </row>
    <row r="656" spans="1:254" x14ac:dyDescent="0.25">
      <c r="A656" s="7">
        <v>0.25502816640423093</v>
      </c>
      <c r="B656"/>
      <c r="C656"/>
      <c r="D656"/>
      <c r="E656"/>
      <c r="J656" s="27" t="s">
        <v>7</v>
      </c>
      <c r="K656" s="27" t="s">
        <v>8</v>
      </c>
      <c r="L656" s="27" t="s">
        <v>7</v>
      </c>
      <c r="M656" s="27" t="s">
        <v>8</v>
      </c>
      <c r="N656" s="27" t="s">
        <v>7</v>
      </c>
      <c r="O656" s="27" t="s">
        <v>8</v>
      </c>
      <c r="P656" s="27" t="s">
        <v>7</v>
      </c>
      <c r="AE656" s="27" t="s">
        <v>8</v>
      </c>
      <c r="AF656" s="27" t="s">
        <v>7</v>
      </c>
      <c r="AM656" s="27" t="s">
        <v>8</v>
      </c>
      <c r="AN656" s="27" t="s">
        <v>7</v>
      </c>
      <c r="BM656" s="27" t="s">
        <v>8</v>
      </c>
      <c r="BT656" s="27" t="s">
        <v>7</v>
      </c>
      <c r="BV656" s="27" t="s">
        <v>7</v>
      </c>
      <c r="BW656" s="27" t="s">
        <v>8</v>
      </c>
      <c r="BX656" s="27" t="s">
        <v>7</v>
      </c>
      <c r="BY656" s="27" t="s">
        <v>8</v>
      </c>
      <c r="CB656" s="27" t="s">
        <v>7</v>
      </c>
      <c r="CG656" s="27" t="s">
        <v>8</v>
      </c>
      <c r="CH656" s="27" t="s">
        <v>7</v>
      </c>
      <c r="EC656" s="27" t="s">
        <v>8</v>
      </c>
      <c r="ED656" s="27" t="s">
        <v>7</v>
      </c>
      <c r="EI656" s="27" t="s">
        <v>8</v>
      </c>
      <c r="EJ656" s="27" t="s">
        <v>7</v>
      </c>
      <c r="ES656" s="27" t="s">
        <v>8</v>
      </c>
      <c r="EU656" s="27" t="s">
        <v>8</v>
      </c>
      <c r="EV656" s="27" t="s">
        <v>7</v>
      </c>
      <c r="EX656" s="27" t="s">
        <v>7</v>
      </c>
      <c r="EY656" s="27" t="s">
        <v>8</v>
      </c>
      <c r="EZ656" s="27" t="s">
        <v>7</v>
      </c>
      <c r="FA656" s="27" t="s">
        <v>8</v>
      </c>
      <c r="FB656" s="27" t="s">
        <v>7</v>
      </c>
      <c r="GD656" s="27" t="s">
        <v>7</v>
      </c>
      <c r="GE656" s="27" t="s">
        <v>8</v>
      </c>
      <c r="GF656" s="27" t="s">
        <v>7</v>
      </c>
      <c r="GG656" s="27" t="s">
        <v>8</v>
      </c>
      <c r="GL656" s="27" t="s">
        <v>7</v>
      </c>
      <c r="GM656" s="27" t="s">
        <v>8</v>
      </c>
      <c r="GN656" s="27" t="s">
        <v>7</v>
      </c>
      <c r="GO656" s="27" t="s">
        <v>8</v>
      </c>
      <c r="GP656" s="27" t="s">
        <v>7</v>
      </c>
      <c r="GR656" s="27" t="s">
        <v>7</v>
      </c>
      <c r="GS656" s="27" t="s">
        <v>8</v>
      </c>
      <c r="GT656" s="27" t="s">
        <v>7</v>
      </c>
      <c r="GU656" s="27" t="s">
        <v>8</v>
      </c>
      <c r="GV656" s="27" t="s">
        <v>7</v>
      </c>
      <c r="GW656" s="27" t="s">
        <v>8</v>
      </c>
      <c r="GX656" s="27" t="s">
        <v>7</v>
      </c>
      <c r="GY656" s="27" t="s">
        <v>8</v>
      </c>
      <c r="GZ656" s="27" t="s">
        <v>7</v>
      </c>
      <c r="HA656" s="27" t="s">
        <v>8</v>
      </c>
      <c r="HB656" s="27" t="s">
        <v>7</v>
      </c>
      <c r="HC656" s="27" t="s">
        <v>8</v>
      </c>
    </row>
    <row r="657" spans="1:211" x14ac:dyDescent="0.25">
      <c r="A657" s="7">
        <v>0.25002761412179503</v>
      </c>
      <c r="B657"/>
      <c r="C657"/>
      <c r="D657"/>
      <c r="E657"/>
      <c r="J657" s="27" t="s">
        <v>7</v>
      </c>
      <c r="K657" s="27" t="s">
        <v>8</v>
      </c>
      <c r="L657" s="27" t="s">
        <v>7</v>
      </c>
      <c r="M657" s="27" t="s">
        <v>8</v>
      </c>
      <c r="N657" s="27" t="s">
        <v>7</v>
      </c>
      <c r="O657" s="27" t="s">
        <v>8</v>
      </c>
      <c r="P657" s="27" t="s">
        <v>7</v>
      </c>
      <c r="AE657" s="27" t="s">
        <v>8</v>
      </c>
      <c r="AF657" s="27" t="s">
        <v>7</v>
      </c>
      <c r="AI657" s="27" t="s">
        <v>8</v>
      </c>
      <c r="AM657" s="27" t="s">
        <v>8</v>
      </c>
      <c r="AN657" s="27" t="s">
        <v>7</v>
      </c>
      <c r="BM657" s="27" t="s">
        <v>8</v>
      </c>
      <c r="BV657" s="27" t="s">
        <v>7</v>
      </c>
      <c r="BW657" s="27" t="s">
        <v>8</v>
      </c>
      <c r="BX657" s="27" t="s">
        <v>7</v>
      </c>
      <c r="BY657" s="27" t="s">
        <v>8</v>
      </c>
      <c r="CB657" s="27" t="s">
        <v>7</v>
      </c>
      <c r="CC657" s="27" t="s">
        <v>8</v>
      </c>
      <c r="CG657" s="27" t="s">
        <v>8</v>
      </c>
      <c r="CH657" s="27" t="s">
        <v>7</v>
      </c>
      <c r="EC657" s="27" t="s">
        <v>8</v>
      </c>
      <c r="ED657" s="27" t="s">
        <v>7</v>
      </c>
      <c r="EG657" s="27" t="s">
        <v>8</v>
      </c>
      <c r="EI657" s="27" t="s">
        <v>8</v>
      </c>
      <c r="EJ657" s="27" t="s">
        <v>7</v>
      </c>
      <c r="ES657" s="27" t="s">
        <v>8</v>
      </c>
      <c r="ET657" s="27" t="s">
        <v>7</v>
      </c>
      <c r="EU657" s="27" t="s">
        <v>8</v>
      </c>
      <c r="EX657" s="27" t="s">
        <v>7</v>
      </c>
      <c r="EY657" s="27" t="s">
        <v>8</v>
      </c>
      <c r="EZ657" s="27" t="s">
        <v>7</v>
      </c>
      <c r="FA657" s="27" t="s">
        <v>8</v>
      </c>
      <c r="GD657" s="27" t="s">
        <v>7</v>
      </c>
      <c r="GE657" s="27" t="s">
        <v>8</v>
      </c>
      <c r="GF657" s="27" t="s">
        <v>7</v>
      </c>
      <c r="GG657" s="27" t="s">
        <v>8</v>
      </c>
      <c r="GL657" s="27" t="s">
        <v>7</v>
      </c>
      <c r="GM657" s="27" t="s">
        <v>8</v>
      </c>
      <c r="GN657" s="27" t="s">
        <v>7</v>
      </c>
      <c r="GO657" s="27" t="s">
        <v>8</v>
      </c>
      <c r="GR657" s="27" t="s">
        <v>7</v>
      </c>
      <c r="GS657" s="27" t="s">
        <v>8</v>
      </c>
      <c r="GT657" s="27" t="s">
        <v>7</v>
      </c>
      <c r="GU657" s="27" t="s">
        <v>8</v>
      </c>
      <c r="GV657" s="27" t="s">
        <v>7</v>
      </c>
      <c r="GW657" s="27" t="s">
        <v>8</v>
      </c>
      <c r="GX657" s="27" t="s">
        <v>7</v>
      </c>
      <c r="GY657" s="27" t="s">
        <v>8</v>
      </c>
      <c r="GZ657" s="27" t="s">
        <v>7</v>
      </c>
      <c r="HA657" s="27" t="s">
        <v>8</v>
      </c>
      <c r="HB657" s="27" t="s">
        <v>7</v>
      </c>
      <c r="HC657" s="27" t="s">
        <v>8</v>
      </c>
    </row>
    <row r="658" spans="1:211" x14ac:dyDescent="0.25">
      <c r="A658" s="7">
        <v>0.24512511188411276</v>
      </c>
      <c r="B658"/>
      <c r="C658"/>
      <c r="D658"/>
      <c r="E658"/>
      <c r="J658" s="27" t="s">
        <v>7</v>
      </c>
      <c r="K658" s="27" t="s">
        <v>8</v>
      </c>
      <c r="L658" s="27" t="s">
        <v>7</v>
      </c>
      <c r="M658" s="27" t="s">
        <v>8</v>
      </c>
      <c r="N658" s="27" t="s">
        <v>7</v>
      </c>
      <c r="O658" s="27" t="s">
        <v>8</v>
      </c>
      <c r="P658" s="27" t="s">
        <v>7</v>
      </c>
      <c r="W658" s="27" t="s">
        <v>8</v>
      </c>
      <c r="AE658" s="27" t="s">
        <v>8</v>
      </c>
      <c r="AF658" s="27" t="s">
        <v>7</v>
      </c>
      <c r="AI658" s="27" t="s">
        <v>8</v>
      </c>
      <c r="AJ658" s="27" t="s">
        <v>7</v>
      </c>
      <c r="AM658" s="27" t="s">
        <v>8</v>
      </c>
      <c r="AN658" s="27" t="s">
        <v>7</v>
      </c>
      <c r="BM658" s="27" t="s">
        <v>8</v>
      </c>
      <c r="BV658" s="27" t="s">
        <v>7</v>
      </c>
      <c r="BX658" s="27" t="s">
        <v>7</v>
      </c>
      <c r="CB658" s="27" t="s">
        <v>7</v>
      </c>
      <c r="CC658" s="27" t="s">
        <v>8</v>
      </c>
      <c r="CD658" s="27" t="s">
        <v>7</v>
      </c>
      <c r="CG658" s="27" t="s">
        <v>8</v>
      </c>
      <c r="CH658" s="27" t="s">
        <v>7</v>
      </c>
      <c r="EC658" s="27" t="s">
        <v>8</v>
      </c>
      <c r="ED658" s="27" t="s">
        <v>7</v>
      </c>
      <c r="EG658" s="27" t="s">
        <v>8</v>
      </c>
      <c r="EH658" s="27" t="s">
        <v>7</v>
      </c>
      <c r="EI658" s="27" t="s">
        <v>8</v>
      </c>
      <c r="EJ658" s="27" t="s">
        <v>7</v>
      </c>
      <c r="ES658" s="27" t="s">
        <v>8</v>
      </c>
      <c r="ET658" s="27" t="s">
        <v>7</v>
      </c>
      <c r="EU658" s="27" t="s">
        <v>8</v>
      </c>
      <c r="EX658" s="27" t="s">
        <v>7</v>
      </c>
      <c r="EY658" s="27" t="s">
        <v>8</v>
      </c>
      <c r="EZ658" s="27" t="s">
        <v>7</v>
      </c>
      <c r="FA658" s="27" t="s">
        <v>8</v>
      </c>
      <c r="GD658" s="27" t="s">
        <v>7</v>
      </c>
      <c r="GE658" s="27" t="s">
        <v>8</v>
      </c>
      <c r="GF658" s="27" t="s">
        <v>7</v>
      </c>
      <c r="GG658" s="27" t="s">
        <v>8</v>
      </c>
      <c r="GL658" s="27" t="s">
        <v>7</v>
      </c>
      <c r="GN658" s="27" t="s">
        <v>7</v>
      </c>
      <c r="GO658" s="27" t="s">
        <v>8</v>
      </c>
      <c r="GR658" s="27" t="s">
        <v>7</v>
      </c>
      <c r="GS658" s="27" t="s">
        <v>8</v>
      </c>
      <c r="GT658" s="27" t="s">
        <v>7</v>
      </c>
      <c r="GV658" s="27" t="s">
        <v>7</v>
      </c>
      <c r="GW658" s="27" t="s">
        <v>8</v>
      </c>
      <c r="GX658" s="27" t="s">
        <v>7</v>
      </c>
      <c r="GZ658" s="27" t="s">
        <v>7</v>
      </c>
      <c r="HA658" s="27" t="s">
        <v>8</v>
      </c>
      <c r="HB658" s="27" t="s">
        <v>7</v>
      </c>
      <c r="HC658" s="27" t="s">
        <v>8</v>
      </c>
    </row>
    <row r="659" spans="1:211" x14ac:dyDescent="0.25">
      <c r="A659" s="7">
        <v>0.24031873714128701</v>
      </c>
      <c r="B659"/>
      <c r="C659"/>
      <c r="D659"/>
      <c r="E659"/>
      <c r="J659" s="27" t="s">
        <v>7</v>
      </c>
      <c r="K659" s="27" t="s">
        <v>8</v>
      </c>
      <c r="L659" s="27" t="s">
        <v>7</v>
      </c>
      <c r="M659" s="27" t="s">
        <v>8</v>
      </c>
      <c r="N659" s="27" t="s">
        <v>7</v>
      </c>
      <c r="P659" s="27" t="s">
        <v>7</v>
      </c>
      <c r="W659" s="27" t="s">
        <v>8</v>
      </c>
      <c r="X659" s="27" t="s">
        <v>7</v>
      </c>
      <c r="AE659" s="27" t="s">
        <v>8</v>
      </c>
      <c r="AF659" s="27" t="s">
        <v>7</v>
      </c>
      <c r="AI659" s="27" t="s">
        <v>8</v>
      </c>
      <c r="AJ659" s="27" t="s">
        <v>7</v>
      </c>
      <c r="AM659" s="27" t="s">
        <v>8</v>
      </c>
      <c r="AN659" s="27" t="s">
        <v>7</v>
      </c>
      <c r="AO659" s="27" t="s">
        <v>8</v>
      </c>
      <c r="BM659" s="27" t="s">
        <v>8</v>
      </c>
      <c r="CB659" s="27" t="s">
        <v>7</v>
      </c>
      <c r="CC659" s="27" t="s">
        <v>8</v>
      </c>
      <c r="CD659" s="27" t="s">
        <v>7</v>
      </c>
      <c r="CG659" s="27" t="s">
        <v>8</v>
      </c>
      <c r="CH659" s="27" t="s">
        <v>7</v>
      </c>
      <c r="EC659" s="27" t="s">
        <v>8</v>
      </c>
      <c r="ED659" s="27" t="s">
        <v>7</v>
      </c>
      <c r="EE659" s="27" t="s">
        <v>8</v>
      </c>
      <c r="EG659" s="27" t="s">
        <v>8</v>
      </c>
      <c r="EH659" s="27" t="s">
        <v>7</v>
      </c>
      <c r="EI659" s="27" t="s">
        <v>8</v>
      </c>
      <c r="EJ659" s="27" t="s">
        <v>7</v>
      </c>
      <c r="EM659" s="27" t="s">
        <v>8</v>
      </c>
      <c r="EQ659" s="27" t="s">
        <v>8</v>
      </c>
      <c r="ES659" s="27" t="s">
        <v>8</v>
      </c>
      <c r="ET659" s="27" t="s">
        <v>7</v>
      </c>
      <c r="EU659" s="27" t="s">
        <v>8</v>
      </c>
      <c r="EX659" s="27" t="s">
        <v>7</v>
      </c>
      <c r="EY659" s="27" t="s">
        <v>8</v>
      </c>
      <c r="EZ659" s="27" t="s">
        <v>7</v>
      </c>
      <c r="GD659" s="27" t="s">
        <v>7</v>
      </c>
      <c r="GF659" s="27" t="s">
        <v>7</v>
      </c>
      <c r="GG659" s="27" t="s">
        <v>8</v>
      </c>
      <c r="GN659" s="27" t="s">
        <v>7</v>
      </c>
      <c r="GO659" s="27" t="s">
        <v>8</v>
      </c>
      <c r="GR659" s="27" t="s">
        <v>7</v>
      </c>
      <c r="GV659" s="27" t="s">
        <v>7</v>
      </c>
      <c r="GZ659" s="27" t="s">
        <v>7</v>
      </c>
      <c r="HA659" s="27" t="s">
        <v>8</v>
      </c>
      <c r="HB659" s="27" t="s">
        <v>7</v>
      </c>
    </row>
    <row r="660" spans="1:211" x14ac:dyDescent="0.25">
      <c r="A660" s="7">
        <v>0.23560660504047748</v>
      </c>
      <c r="B660"/>
      <c r="C660"/>
      <c r="D660"/>
      <c r="E660"/>
      <c r="J660" s="27" t="s">
        <v>7</v>
      </c>
      <c r="K660" s="27" t="s">
        <v>8</v>
      </c>
      <c r="L660" s="27" t="s">
        <v>7</v>
      </c>
      <c r="P660" s="27" t="s">
        <v>7</v>
      </c>
      <c r="W660" s="27" t="s">
        <v>8</v>
      </c>
      <c r="X660" s="27" t="s">
        <v>7</v>
      </c>
      <c r="AE660" s="27" t="s">
        <v>8</v>
      </c>
      <c r="AF660" s="27" t="s">
        <v>7</v>
      </c>
      <c r="AG660" s="27" t="s">
        <v>8</v>
      </c>
      <c r="AI660" s="27" t="s">
        <v>8</v>
      </c>
      <c r="AJ660" s="27" t="s">
        <v>7</v>
      </c>
      <c r="AM660" s="27" t="s">
        <v>8</v>
      </c>
      <c r="AN660" s="27" t="s">
        <v>7</v>
      </c>
      <c r="AO660" s="27" t="s">
        <v>8</v>
      </c>
      <c r="AP660" s="27" t="s">
        <v>7</v>
      </c>
      <c r="BM660" s="27" t="s">
        <v>8</v>
      </c>
      <c r="CB660" s="27" t="s">
        <v>7</v>
      </c>
      <c r="CC660" s="27" t="s">
        <v>8</v>
      </c>
      <c r="CD660" s="27" t="s">
        <v>7</v>
      </c>
      <c r="CG660" s="27" t="s">
        <v>8</v>
      </c>
      <c r="CH660" s="27" t="s">
        <v>7</v>
      </c>
      <c r="EC660" s="27" t="s">
        <v>8</v>
      </c>
      <c r="ED660" s="27" t="s">
        <v>7</v>
      </c>
      <c r="EE660" s="27" t="s">
        <v>8</v>
      </c>
      <c r="EF660" s="27" t="s">
        <v>7</v>
      </c>
      <c r="EG660" s="27" t="s">
        <v>8</v>
      </c>
      <c r="EH660" s="27" t="s">
        <v>7</v>
      </c>
      <c r="EI660" s="27" t="s">
        <v>8</v>
      </c>
      <c r="EJ660" s="27" t="s">
        <v>7</v>
      </c>
      <c r="EM660" s="27" t="s">
        <v>8</v>
      </c>
      <c r="EN660" s="27" t="s">
        <v>7</v>
      </c>
      <c r="EO660" s="27" t="s">
        <v>8</v>
      </c>
      <c r="EQ660" s="27" t="s">
        <v>8</v>
      </c>
      <c r="ER660" s="27" t="s">
        <v>7</v>
      </c>
      <c r="ES660" s="27" t="s">
        <v>8</v>
      </c>
      <c r="ET660" s="27" t="s">
        <v>7</v>
      </c>
      <c r="EX660" s="27" t="s">
        <v>7</v>
      </c>
      <c r="EY660" s="27" t="s">
        <v>8</v>
      </c>
      <c r="GF660" s="27" t="s">
        <v>7</v>
      </c>
      <c r="GG660" s="27" t="s">
        <v>8</v>
      </c>
      <c r="GN660" s="27" t="s">
        <v>7</v>
      </c>
      <c r="GO660" s="27" t="s">
        <v>8</v>
      </c>
      <c r="GZ660" s="27" t="s">
        <v>7</v>
      </c>
      <c r="HA660" s="27" t="s">
        <v>8</v>
      </c>
    </row>
    <row r="661" spans="1:211" x14ac:dyDescent="0.25">
      <c r="A661" s="7">
        <v>0.23098686768674265</v>
      </c>
      <c r="B661"/>
      <c r="C661"/>
      <c r="D661"/>
      <c r="E661"/>
      <c r="J661" s="27" t="s">
        <v>7</v>
      </c>
      <c r="K661" s="27" t="s">
        <v>8</v>
      </c>
      <c r="P661" s="27" t="s">
        <v>7</v>
      </c>
      <c r="W661" s="27" t="s">
        <v>8</v>
      </c>
      <c r="X661" s="27" t="s">
        <v>7</v>
      </c>
      <c r="AE661" s="27" t="s">
        <v>8</v>
      </c>
      <c r="AF661" s="27" t="s">
        <v>7</v>
      </c>
      <c r="AG661" s="27" t="s">
        <v>8</v>
      </c>
      <c r="AH661" s="27" t="s">
        <v>7</v>
      </c>
      <c r="AI661" s="27" t="s">
        <v>8</v>
      </c>
      <c r="AJ661" s="27" t="s">
        <v>7</v>
      </c>
      <c r="AK661" s="27" t="s">
        <v>8</v>
      </c>
      <c r="AM661" s="27" t="s">
        <v>8</v>
      </c>
      <c r="AN661" s="27" t="s">
        <v>7</v>
      </c>
      <c r="AO661" s="27" t="s">
        <v>8</v>
      </c>
      <c r="AP661" s="27" t="s">
        <v>7</v>
      </c>
      <c r="BM661" s="27" t="s">
        <v>8</v>
      </c>
      <c r="CB661" s="27" t="s">
        <v>7</v>
      </c>
      <c r="CC661" s="27" t="s">
        <v>8</v>
      </c>
      <c r="CD661" s="27" t="s">
        <v>7</v>
      </c>
      <c r="CE661" s="27" t="s">
        <v>8</v>
      </c>
      <c r="CG661" s="27" t="s">
        <v>8</v>
      </c>
      <c r="CH661" s="27" t="s">
        <v>7</v>
      </c>
      <c r="EC661" s="27" t="s">
        <v>8</v>
      </c>
      <c r="ED661" s="27" t="s">
        <v>7</v>
      </c>
      <c r="EE661" s="27" t="s">
        <v>8</v>
      </c>
      <c r="EF661" s="27" t="s">
        <v>7</v>
      </c>
      <c r="EG661" s="27" t="s">
        <v>8</v>
      </c>
      <c r="EH661" s="27" t="s">
        <v>7</v>
      </c>
      <c r="EI661" s="27" t="s">
        <v>8</v>
      </c>
      <c r="EJ661" s="27" t="s">
        <v>7</v>
      </c>
      <c r="EM661" s="27" t="s">
        <v>8</v>
      </c>
      <c r="EN661" s="27" t="s">
        <v>7</v>
      </c>
      <c r="EO661" s="27" t="s">
        <v>8</v>
      </c>
      <c r="EP661" s="27" t="s">
        <v>7</v>
      </c>
      <c r="EQ661" s="27" t="s">
        <v>8</v>
      </c>
      <c r="ER661" s="27" t="s">
        <v>7</v>
      </c>
      <c r="ES661" s="27" t="s">
        <v>8</v>
      </c>
      <c r="EX661" s="27" t="s">
        <v>7</v>
      </c>
      <c r="GF661" s="27" t="s">
        <v>7</v>
      </c>
      <c r="GN661" s="27" t="s">
        <v>7</v>
      </c>
      <c r="GZ661" s="27" t="s">
        <v>7</v>
      </c>
      <c r="HA661" s="27" t="s">
        <v>8</v>
      </c>
    </row>
    <row r="662" spans="1:211" x14ac:dyDescent="0.25">
      <c r="A662" s="7">
        <v>0.22645771341837515</v>
      </c>
      <c r="B662"/>
      <c r="C662"/>
      <c r="D662"/>
      <c r="E662"/>
      <c r="J662" s="27" t="s">
        <v>7</v>
      </c>
      <c r="P662" s="27" t="s">
        <v>7</v>
      </c>
      <c r="W662" s="27" t="s">
        <v>8</v>
      </c>
      <c r="X662" s="27" t="s">
        <v>7</v>
      </c>
      <c r="AE662" s="27" t="s">
        <v>8</v>
      </c>
      <c r="AF662" s="27" t="s">
        <v>7</v>
      </c>
      <c r="AG662" s="27" t="s">
        <v>8</v>
      </c>
      <c r="AH662" s="27" t="s">
        <v>7</v>
      </c>
      <c r="AI662" s="27" t="s">
        <v>8</v>
      </c>
      <c r="AJ662" s="27" t="s">
        <v>7</v>
      </c>
      <c r="AK662" s="27" t="s">
        <v>8</v>
      </c>
      <c r="AL662" s="27" t="s">
        <v>7</v>
      </c>
      <c r="AM662" s="27" t="s">
        <v>8</v>
      </c>
      <c r="AN662" s="27" t="s">
        <v>7</v>
      </c>
      <c r="AO662" s="27" t="s">
        <v>8</v>
      </c>
      <c r="AP662" s="27" t="s">
        <v>7</v>
      </c>
      <c r="BM662" s="27" t="s">
        <v>8</v>
      </c>
      <c r="CB662" s="27" t="s">
        <v>7</v>
      </c>
      <c r="CC662" s="27" t="s">
        <v>8</v>
      </c>
      <c r="CD662" s="27" t="s">
        <v>7</v>
      </c>
      <c r="CE662" s="27" t="s">
        <v>8</v>
      </c>
      <c r="CF662" s="27" t="s">
        <v>7</v>
      </c>
      <c r="CG662" s="27" t="s">
        <v>8</v>
      </c>
      <c r="CH662" s="27" t="s">
        <v>7</v>
      </c>
      <c r="DY662" s="27" t="s">
        <v>8</v>
      </c>
      <c r="EC662" s="27" t="s">
        <v>8</v>
      </c>
      <c r="ED662" s="27" t="s">
        <v>7</v>
      </c>
      <c r="EE662" s="27" t="s">
        <v>8</v>
      </c>
      <c r="EF662" s="27" t="s">
        <v>7</v>
      </c>
      <c r="EG662" s="27" t="s">
        <v>8</v>
      </c>
      <c r="EH662" s="27" t="s">
        <v>7</v>
      </c>
      <c r="EI662" s="27" t="s">
        <v>8</v>
      </c>
      <c r="EJ662" s="27" t="s">
        <v>7</v>
      </c>
      <c r="EM662" s="27" t="s">
        <v>8</v>
      </c>
      <c r="EN662" s="27" t="s">
        <v>7</v>
      </c>
      <c r="EO662" s="27" t="s">
        <v>8</v>
      </c>
      <c r="EP662" s="27" t="s">
        <v>7</v>
      </c>
      <c r="EQ662" s="27" t="s">
        <v>8</v>
      </c>
      <c r="ER662" s="27" t="s">
        <v>7</v>
      </c>
      <c r="ES662" s="27" t="s">
        <v>8</v>
      </c>
      <c r="GZ662" s="27" t="s">
        <v>7</v>
      </c>
      <c r="HA662" s="27" t="s">
        <v>8</v>
      </c>
    </row>
    <row r="663" spans="1:211" x14ac:dyDescent="0.25">
      <c r="A663" s="7">
        <v>0.22201736609644623</v>
      </c>
      <c r="B663"/>
      <c r="C663"/>
      <c r="D663"/>
      <c r="E663"/>
      <c r="P663" s="27" t="s">
        <v>7</v>
      </c>
      <c r="W663" s="27" t="s">
        <v>8</v>
      </c>
      <c r="X663" s="27" t="s">
        <v>7</v>
      </c>
      <c r="AE663" s="27" t="s">
        <v>8</v>
      </c>
      <c r="AF663" s="27" t="s">
        <v>7</v>
      </c>
      <c r="AG663" s="27" t="s">
        <v>8</v>
      </c>
      <c r="AH663" s="27" t="s">
        <v>7</v>
      </c>
      <c r="AJ663" s="27" t="s">
        <v>7</v>
      </c>
      <c r="AK663" s="27" t="s">
        <v>8</v>
      </c>
      <c r="AL663" s="27" t="s">
        <v>7</v>
      </c>
      <c r="AM663" s="27" t="s">
        <v>8</v>
      </c>
      <c r="AN663" s="27" t="s">
        <v>7</v>
      </c>
      <c r="AO663" s="27" t="s">
        <v>8</v>
      </c>
      <c r="AP663" s="27" t="s">
        <v>7</v>
      </c>
      <c r="AS663" s="27" t="s">
        <v>8</v>
      </c>
      <c r="BM663" s="27" t="s">
        <v>8</v>
      </c>
      <c r="CB663" s="27" t="s">
        <v>7</v>
      </c>
      <c r="CC663" s="27" t="s">
        <v>8</v>
      </c>
      <c r="CD663" s="27" t="s">
        <v>7</v>
      </c>
      <c r="CE663" s="27" t="s">
        <v>8</v>
      </c>
      <c r="CF663" s="27" t="s">
        <v>7</v>
      </c>
      <c r="CG663" s="27" t="s">
        <v>8</v>
      </c>
      <c r="CH663" s="27" t="s">
        <v>7</v>
      </c>
      <c r="DY663" s="27" t="s">
        <v>8</v>
      </c>
      <c r="DZ663" s="27" t="s">
        <v>7</v>
      </c>
      <c r="EA663" s="27" t="s">
        <v>8</v>
      </c>
      <c r="EC663" s="27" t="s">
        <v>8</v>
      </c>
      <c r="ED663" s="27" t="s">
        <v>7</v>
      </c>
      <c r="EE663" s="27" t="s">
        <v>8</v>
      </c>
      <c r="EF663" s="27" t="s">
        <v>7</v>
      </c>
      <c r="EH663" s="27" t="s">
        <v>7</v>
      </c>
      <c r="EJ663" s="27" t="s">
        <v>7</v>
      </c>
      <c r="EM663" s="27" t="s">
        <v>8</v>
      </c>
      <c r="EN663" s="27" t="s">
        <v>7</v>
      </c>
      <c r="EO663" s="27" t="s">
        <v>8</v>
      </c>
      <c r="EP663" s="27" t="s">
        <v>7</v>
      </c>
      <c r="EQ663" s="27" t="s">
        <v>8</v>
      </c>
      <c r="ER663" s="27" t="s">
        <v>7</v>
      </c>
      <c r="ES663" s="27" t="s">
        <v>8</v>
      </c>
      <c r="GZ663" s="27" t="s">
        <v>7</v>
      </c>
      <c r="HA663" s="27" t="s">
        <v>8</v>
      </c>
    </row>
    <row r="664" spans="1:211" x14ac:dyDescent="0.25">
      <c r="A664" s="7">
        <v>0.21766408440828061</v>
      </c>
      <c r="B664"/>
      <c r="C664"/>
      <c r="D664"/>
      <c r="E664"/>
      <c r="P664" s="27" t="s">
        <v>7</v>
      </c>
      <c r="W664" s="27" t="s">
        <v>8</v>
      </c>
      <c r="X664" s="27" t="s">
        <v>7</v>
      </c>
      <c r="Y664" s="27" t="s">
        <v>8</v>
      </c>
      <c r="AE664" s="27" t="s">
        <v>8</v>
      </c>
      <c r="AF664" s="27" t="s">
        <v>7</v>
      </c>
      <c r="AG664" s="27" t="s">
        <v>8</v>
      </c>
      <c r="AJ664" s="27" t="s">
        <v>7</v>
      </c>
      <c r="AK664" s="27" t="s">
        <v>8</v>
      </c>
      <c r="AL664" s="27" t="s">
        <v>7</v>
      </c>
      <c r="AM664" s="27" t="s">
        <v>8</v>
      </c>
      <c r="AN664" s="27" t="s">
        <v>7</v>
      </c>
      <c r="AP664" s="27" t="s">
        <v>7</v>
      </c>
      <c r="AS664" s="27" t="s">
        <v>8</v>
      </c>
      <c r="AT664" s="27" t="s">
        <v>7</v>
      </c>
      <c r="BM664" s="27" t="s">
        <v>8</v>
      </c>
      <c r="CB664" s="27" t="s">
        <v>7</v>
      </c>
      <c r="CC664" s="27" t="s">
        <v>8</v>
      </c>
      <c r="CD664" s="27" t="s">
        <v>7</v>
      </c>
      <c r="CE664" s="27" t="s">
        <v>8</v>
      </c>
      <c r="CF664" s="27" t="s">
        <v>7</v>
      </c>
      <c r="CG664" s="27" t="s">
        <v>8</v>
      </c>
      <c r="CH664" s="27" t="s">
        <v>7</v>
      </c>
      <c r="DW664" s="27" t="s">
        <v>8</v>
      </c>
      <c r="DY664" s="27" t="s">
        <v>8</v>
      </c>
      <c r="DZ664" s="27" t="s">
        <v>7</v>
      </c>
      <c r="EA664" s="27" t="s">
        <v>8</v>
      </c>
      <c r="EB664" s="27" t="s">
        <v>7</v>
      </c>
      <c r="EC664" s="27" t="s">
        <v>8</v>
      </c>
      <c r="ED664" s="27" t="s">
        <v>7</v>
      </c>
      <c r="EE664" s="27" t="s">
        <v>8</v>
      </c>
      <c r="EJ664" s="27" t="s">
        <v>7</v>
      </c>
      <c r="EM664" s="27" t="s">
        <v>8</v>
      </c>
      <c r="EN664" s="27" t="s">
        <v>7</v>
      </c>
      <c r="EO664" s="27" t="s">
        <v>8</v>
      </c>
      <c r="EP664" s="27" t="s">
        <v>7</v>
      </c>
      <c r="EQ664" s="27" t="s">
        <v>8</v>
      </c>
      <c r="ER664" s="27" t="s">
        <v>7</v>
      </c>
      <c r="ES664" s="27" t="s">
        <v>8</v>
      </c>
      <c r="GZ664" s="27" t="s">
        <v>7</v>
      </c>
    </row>
    <row r="665" spans="1:211" x14ac:dyDescent="0.25">
      <c r="A665" s="7">
        <v>0.21339616118458882</v>
      </c>
      <c r="B665"/>
      <c r="C665"/>
      <c r="D665"/>
      <c r="E665"/>
      <c r="P665" s="27" t="s">
        <v>7</v>
      </c>
      <c r="Q665" s="27" t="s">
        <v>8</v>
      </c>
      <c r="W665" s="27" t="s">
        <v>8</v>
      </c>
      <c r="X665" s="27" t="s">
        <v>7</v>
      </c>
      <c r="Y665" s="27" t="s">
        <v>8</v>
      </c>
      <c r="Z665" s="27" t="s">
        <v>7</v>
      </c>
      <c r="AE665" s="27" t="s">
        <v>8</v>
      </c>
      <c r="AF665" s="27" t="s">
        <v>7</v>
      </c>
      <c r="AG665" s="27" t="s">
        <v>8</v>
      </c>
      <c r="AJ665" s="27" t="s">
        <v>7</v>
      </c>
      <c r="AL665" s="27" t="s">
        <v>7</v>
      </c>
      <c r="AP665" s="27" t="s">
        <v>7</v>
      </c>
      <c r="AQ665" s="27" t="s">
        <v>8</v>
      </c>
      <c r="AS665" s="27" t="s">
        <v>8</v>
      </c>
      <c r="AT665" s="27" t="s">
        <v>7</v>
      </c>
      <c r="BM665" s="27" t="s">
        <v>8</v>
      </c>
      <c r="CB665" s="27" t="s">
        <v>7</v>
      </c>
      <c r="CD665" s="27" t="s">
        <v>7</v>
      </c>
      <c r="CF665" s="27" t="s">
        <v>7</v>
      </c>
      <c r="CH665" s="27" t="s">
        <v>7</v>
      </c>
      <c r="DW665" s="27" t="s">
        <v>8</v>
      </c>
      <c r="DX665" s="27" t="s">
        <v>7</v>
      </c>
      <c r="DY665" s="27" t="s">
        <v>8</v>
      </c>
      <c r="DZ665" s="27" t="s">
        <v>7</v>
      </c>
      <c r="EA665" s="27" t="s">
        <v>8</v>
      </c>
      <c r="EB665" s="27" t="s">
        <v>7</v>
      </c>
      <c r="EC665" s="27" t="s">
        <v>8</v>
      </c>
      <c r="ED665" s="27" t="s">
        <v>7</v>
      </c>
      <c r="EE665" s="27" t="s">
        <v>8</v>
      </c>
      <c r="EJ665" s="27" t="s">
        <v>7</v>
      </c>
      <c r="EM665" s="27" t="s">
        <v>8</v>
      </c>
      <c r="EN665" s="27" t="s">
        <v>7</v>
      </c>
      <c r="EO665" s="27" t="s">
        <v>8</v>
      </c>
      <c r="EP665" s="27" t="s">
        <v>7</v>
      </c>
      <c r="ER665" s="27" t="s">
        <v>7</v>
      </c>
      <c r="ES665" s="27" t="s">
        <v>8</v>
      </c>
    </row>
    <row r="666" spans="1:211" x14ac:dyDescent="0.25">
      <c r="A666" s="7">
        <v>0.20921192272998904</v>
      </c>
      <c r="B666"/>
      <c r="C666"/>
      <c r="D666"/>
      <c r="E666"/>
      <c r="P666" s="27" t="s">
        <v>7</v>
      </c>
      <c r="Q666" s="27" t="s">
        <v>8</v>
      </c>
      <c r="R666" s="27" t="s">
        <v>7</v>
      </c>
      <c r="U666" s="27" t="s">
        <v>8</v>
      </c>
      <c r="W666" s="27" t="s">
        <v>8</v>
      </c>
      <c r="X666" s="27" t="s">
        <v>7</v>
      </c>
      <c r="Y666" s="27" t="s">
        <v>8</v>
      </c>
      <c r="Z666" s="27" t="s">
        <v>7</v>
      </c>
      <c r="AE666" s="27" t="s">
        <v>8</v>
      </c>
      <c r="AF666" s="27" t="s">
        <v>7</v>
      </c>
      <c r="AP666" s="27" t="s">
        <v>7</v>
      </c>
      <c r="AQ666" s="27" t="s">
        <v>8</v>
      </c>
      <c r="AR666" s="27" t="s">
        <v>7</v>
      </c>
      <c r="AS666" s="27" t="s">
        <v>8</v>
      </c>
      <c r="AT666" s="27" t="s">
        <v>7</v>
      </c>
      <c r="BM666" s="27" t="s">
        <v>8</v>
      </c>
      <c r="CH666" s="27" t="s">
        <v>7</v>
      </c>
      <c r="DW666" s="27" t="s">
        <v>8</v>
      </c>
      <c r="DX666" s="27" t="s">
        <v>7</v>
      </c>
      <c r="DY666" s="27" t="s">
        <v>8</v>
      </c>
      <c r="DZ666" s="27" t="s">
        <v>7</v>
      </c>
      <c r="EA666" s="27" t="s">
        <v>8</v>
      </c>
      <c r="EB666" s="27" t="s">
        <v>7</v>
      </c>
      <c r="EC666" s="27" t="s">
        <v>8</v>
      </c>
      <c r="ED666" s="27" t="s">
        <v>7</v>
      </c>
      <c r="EJ666" s="27" t="s">
        <v>7</v>
      </c>
      <c r="EM666" s="27" t="s">
        <v>8</v>
      </c>
      <c r="EN666" s="27" t="s">
        <v>7</v>
      </c>
      <c r="EO666" s="27" t="s">
        <v>8</v>
      </c>
      <c r="ER666" s="27" t="s">
        <v>7</v>
      </c>
    </row>
    <row r="667" spans="1:211" x14ac:dyDescent="0.25">
      <c r="A667" s="7">
        <v>0.20510972816665593</v>
      </c>
      <c r="B667"/>
      <c r="C667"/>
      <c r="D667"/>
      <c r="E667"/>
      <c r="P667" s="27" t="s">
        <v>7</v>
      </c>
      <c r="Q667" s="27" t="s">
        <v>8</v>
      </c>
      <c r="R667" s="27" t="s">
        <v>7</v>
      </c>
      <c r="U667" s="27" t="s">
        <v>8</v>
      </c>
      <c r="V667" s="27" t="s">
        <v>7</v>
      </c>
      <c r="W667" s="27" t="s">
        <v>8</v>
      </c>
      <c r="X667" s="27" t="s">
        <v>7</v>
      </c>
      <c r="Y667" s="27" t="s">
        <v>8</v>
      </c>
      <c r="Z667" s="27" t="s">
        <v>7</v>
      </c>
      <c r="AC667" s="27" t="s">
        <v>8</v>
      </c>
      <c r="AE667" s="27" t="s">
        <v>8</v>
      </c>
      <c r="AP667" s="27" t="s">
        <v>7</v>
      </c>
      <c r="AQ667" s="27" t="s">
        <v>8</v>
      </c>
      <c r="AR667" s="27" t="s">
        <v>7</v>
      </c>
      <c r="AS667" s="27" t="s">
        <v>8</v>
      </c>
      <c r="AT667" s="27" t="s">
        <v>7</v>
      </c>
      <c r="BA667" s="27" t="s">
        <v>8</v>
      </c>
      <c r="BM667" s="27" t="s">
        <v>8</v>
      </c>
      <c r="CH667" s="27" t="s">
        <v>7</v>
      </c>
      <c r="CI667" s="27" t="s">
        <v>8</v>
      </c>
      <c r="DW667" s="27" t="s">
        <v>8</v>
      </c>
      <c r="DX667" s="27" t="s">
        <v>7</v>
      </c>
      <c r="DY667" s="27" t="s">
        <v>8</v>
      </c>
      <c r="DZ667" s="27" t="s">
        <v>7</v>
      </c>
      <c r="EB667" s="27" t="s">
        <v>7</v>
      </c>
      <c r="EC667" s="27" t="s">
        <v>8</v>
      </c>
      <c r="EJ667" s="27" t="s">
        <v>7</v>
      </c>
      <c r="EK667" s="27" t="s">
        <v>8</v>
      </c>
      <c r="EM667" s="27" t="s">
        <v>8</v>
      </c>
      <c r="EN667" s="27" t="s">
        <v>7</v>
      </c>
      <c r="EO667" s="27" t="s">
        <v>8</v>
      </c>
    </row>
    <row r="668" spans="1:211" x14ac:dyDescent="0.25">
      <c r="A668" s="7">
        <v>0.20108796879083912</v>
      </c>
      <c r="B668"/>
      <c r="C668"/>
      <c r="D668"/>
      <c r="E668"/>
      <c r="P668" s="27" t="s">
        <v>7</v>
      </c>
      <c r="Q668" s="27" t="s">
        <v>8</v>
      </c>
      <c r="R668" s="27" t="s">
        <v>7</v>
      </c>
      <c r="U668" s="27" t="s">
        <v>8</v>
      </c>
      <c r="V668" s="27" t="s">
        <v>7</v>
      </c>
      <c r="W668" s="27" t="s">
        <v>8</v>
      </c>
      <c r="X668" s="27" t="s">
        <v>7</v>
      </c>
      <c r="Y668" s="27" t="s">
        <v>8</v>
      </c>
      <c r="Z668" s="27" t="s">
        <v>7</v>
      </c>
      <c r="AA668" s="27" t="s">
        <v>8</v>
      </c>
      <c r="AC668" s="27" t="s">
        <v>8</v>
      </c>
      <c r="AD668" s="27" t="s">
        <v>7</v>
      </c>
      <c r="AE668" s="27" t="s">
        <v>8</v>
      </c>
      <c r="AP668" s="27" t="s">
        <v>7</v>
      </c>
      <c r="AQ668" s="27" t="s">
        <v>8</v>
      </c>
      <c r="AR668" s="27" t="s">
        <v>7</v>
      </c>
      <c r="AS668" s="27" t="s">
        <v>8</v>
      </c>
      <c r="AT668" s="27" t="s">
        <v>7</v>
      </c>
      <c r="AU668" s="27" t="s">
        <v>8</v>
      </c>
      <c r="BA668" s="27" t="s">
        <v>8</v>
      </c>
      <c r="BB668" s="27" t="s">
        <v>7</v>
      </c>
      <c r="BG668" s="27" t="s">
        <v>8</v>
      </c>
      <c r="BK668" s="27" t="s">
        <v>8</v>
      </c>
      <c r="BM668" s="27" t="s">
        <v>8</v>
      </c>
      <c r="CH668" s="27" t="s">
        <v>7</v>
      </c>
      <c r="CI668" s="27" t="s">
        <v>8</v>
      </c>
      <c r="CJ668" s="27" t="s">
        <v>7</v>
      </c>
      <c r="DU668" s="27" t="s">
        <v>8</v>
      </c>
      <c r="DW668" s="27" t="s">
        <v>8</v>
      </c>
      <c r="DX668" s="27" t="s">
        <v>7</v>
      </c>
      <c r="EB668" s="27" t="s">
        <v>7</v>
      </c>
      <c r="EC668" s="27" t="s">
        <v>8</v>
      </c>
      <c r="EJ668" s="27" t="s">
        <v>7</v>
      </c>
      <c r="EK668" s="27" t="s">
        <v>8</v>
      </c>
      <c r="EL668" s="27" t="s">
        <v>7</v>
      </c>
      <c r="EM668" s="27" t="s">
        <v>8</v>
      </c>
      <c r="EN668" s="27" t="s">
        <v>7</v>
      </c>
      <c r="EO668" s="27" t="s">
        <v>8</v>
      </c>
    </row>
    <row r="669" spans="1:211" x14ac:dyDescent="0.25">
      <c r="A669" s="7">
        <v>0.19714506744199917</v>
      </c>
      <c r="B669"/>
      <c r="C669"/>
      <c r="D669"/>
      <c r="E669"/>
      <c r="P669" s="27" t="s">
        <v>7</v>
      </c>
      <c r="Q669" s="27" t="s">
        <v>8</v>
      </c>
      <c r="R669" s="27" t="s">
        <v>7</v>
      </c>
      <c r="U669" s="27" t="s">
        <v>8</v>
      </c>
      <c r="V669" s="27" t="s">
        <v>7</v>
      </c>
      <c r="W669" s="27" t="s">
        <v>8</v>
      </c>
      <c r="X669" s="27" t="s">
        <v>7</v>
      </c>
      <c r="Z669" s="27" t="s">
        <v>7</v>
      </c>
      <c r="AA669" s="27" t="s">
        <v>8</v>
      </c>
      <c r="AB669" s="27" t="s">
        <v>7</v>
      </c>
      <c r="AC669" s="27" t="s">
        <v>8</v>
      </c>
      <c r="AD669" s="27" t="s">
        <v>7</v>
      </c>
      <c r="AE669" s="27" t="s">
        <v>8</v>
      </c>
      <c r="AP669" s="27" t="s">
        <v>7</v>
      </c>
      <c r="AQ669" s="27" t="s">
        <v>8</v>
      </c>
      <c r="AR669" s="27" t="s">
        <v>7</v>
      </c>
      <c r="AS669" s="27" t="s">
        <v>8</v>
      </c>
      <c r="AT669" s="27" t="s">
        <v>7</v>
      </c>
      <c r="AU669" s="27" t="s">
        <v>8</v>
      </c>
      <c r="AV669" s="27" t="s">
        <v>7</v>
      </c>
      <c r="BA669" s="27" t="s">
        <v>8</v>
      </c>
      <c r="BB669" s="27" t="s">
        <v>7</v>
      </c>
      <c r="BG669" s="27" t="s">
        <v>8</v>
      </c>
      <c r="BH669" s="27" t="s">
        <v>7</v>
      </c>
      <c r="BK669" s="27" t="s">
        <v>8</v>
      </c>
      <c r="BL669" s="27" t="s">
        <v>7</v>
      </c>
      <c r="BM669" s="27" t="s">
        <v>8</v>
      </c>
      <c r="CH669" s="27" t="s">
        <v>7</v>
      </c>
      <c r="CI669" s="27" t="s">
        <v>8</v>
      </c>
      <c r="CJ669" s="27" t="s">
        <v>7</v>
      </c>
      <c r="DS669" s="27" t="s">
        <v>8</v>
      </c>
      <c r="DU669" s="27" t="s">
        <v>8</v>
      </c>
      <c r="DV669" s="27" t="s">
        <v>7</v>
      </c>
      <c r="DW669" s="27" t="s">
        <v>8</v>
      </c>
      <c r="EB669" s="27" t="s">
        <v>7</v>
      </c>
      <c r="EC669" s="27" t="s">
        <v>8</v>
      </c>
      <c r="EJ669" s="27" t="s">
        <v>7</v>
      </c>
      <c r="EK669" s="27" t="s">
        <v>8</v>
      </c>
      <c r="EL669" s="27" t="s">
        <v>7</v>
      </c>
      <c r="EM669" s="27" t="s">
        <v>8</v>
      </c>
      <c r="EN669" s="27" t="s">
        <v>7</v>
      </c>
    </row>
    <row r="670" spans="1:211" x14ac:dyDescent="0.25">
      <c r="A670" s="7">
        <v>0.19327947788431293</v>
      </c>
      <c r="B670"/>
      <c r="C670"/>
      <c r="D670"/>
      <c r="E670"/>
      <c r="P670" s="27" t="s">
        <v>7</v>
      </c>
      <c r="Q670" s="27" t="s">
        <v>8</v>
      </c>
      <c r="R670" s="27" t="s">
        <v>7</v>
      </c>
      <c r="S670" s="27" t="s">
        <v>8</v>
      </c>
      <c r="U670" s="27" t="s">
        <v>8</v>
      </c>
      <c r="V670" s="27" t="s">
        <v>7</v>
      </c>
      <c r="W670" s="27" t="s">
        <v>8</v>
      </c>
      <c r="Z670" s="27" t="s">
        <v>7</v>
      </c>
      <c r="AA670" s="27" t="s">
        <v>8</v>
      </c>
      <c r="AB670" s="27" t="s">
        <v>7</v>
      </c>
      <c r="AC670" s="27" t="s">
        <v>8</v>
      </c>
      <c r="AD670" s="27" t="s">
        <v>7</v>
      </c>
      <c r="AE670" s="27" t="s">
        <v>8</v>
      </c>
      <c r="AP670" s="27" t="s">
        <v>7</v>
      </c>
      <c r="AQ670" s="27" t="s">
        <v>8</v>
      </c>
      <c r="AR670" s="27" t="s">
        <v>7</v>
      </c>
      <c r="AS670" s="27" t="s">
        <v>8</v>
      </c>
      <c r="AT670" s="27" t="s">
        <v>7</v>
      </c>
      <c r="AU670" s="27" t="s">
        <v>8</v>
      </c>
      <c r="AV670" s="27" t="s">
        <v>7</v>
      </c>
      <c r="AY670" s="27" t="s">
        <v>8</v>
      </c>
      <c r="BA670" s="27" t="s">
        <v>8</v>
      </c>
      <c r="BB670" s="27" t="s">
        <v>7</v>
      </c>
      <c r="BG670" s="27" t="s">
        <v>8</v>
      </c>
      <c r="BH670" s="27" t="s">
        <v>7</v>
      </c>
      <c r="BI670" s="27" t="s">
        <v>8</v>
      </c>
      <c r="BK670" s="27" t="s">
        <v>8</v>
      </c>
      <c r="BL670" s="27" t="s">
        <v>7</v>
      </c>
      <c r="BM670" s="27" t="s">
        <v>8</v>
      </c>
      <c r="CH670" s="27" t="s">
        <v>7</v>
      </c>
      <c r="CI670" s="27" t="s">
        <v>8</v>
      </c>
      <c r="CJ670" s="27" t="s">
        <v>7</v>
      </c>
      <c r="DS670" s="27" t="s">
        <v>8</v>
      </c>
      <c r="DT670" s="27" t="s">
        <v>7</v>
      </c>
      <c r="DU670" s="27" t="s">
        <v>8</v>
      </c>
      <c r="DV670" s="27" t="s">
        <v>7</v>
      </c>
      <c r="DW670" s="27" t="s">
        <v>8</v>
      </c>
      <c r="EB670" s="27" t="s">
        <v>7</v>
      </c>
      <c r="EC670" s="27" t="s">
        <v>8</v>
      </c>
      <c r="EJ670" s="27" t="s">
        <v>7</v>
      </c>
      <c r="EK670" s="27" t="s">
        <v>8</v>
      </c>
      <c r="EL670" s="27" t="s">
        <v>7</v>
      </c>
      <c r="EM670" s="27" t="s">
        <v>8</v>
      </c>
    </row>
    <row r="671" spans="1:211" x14ac:dyDescent="0.25">
      <c r="A671" s="7">
        <v>0.18948968420030682</v>
      </c>
      <c r="B671"/>
      <c r="C671"/>
      <c r="D671"/>
      <c r="E671"/>
      <c r="P671" s="27" t="s">
        <v>7</v>
      </c>
      <c r="Q671" s="27" t="s">
        <v>8</v>
      </c>
      <c r="R671" s="27" t="s">
        <v>7</v>
      </c>
      <c r="S671" s="27" t="s">
        <v>8</v>
      </c>
      <c r="T671" s="27" t="s">
        <v>7</v>
      </c>
      <c r="U671" s="27" t="s">
        <v>8</v>
      </c>
      <c r="V671" s="27" t="s">
        <v>7</v>
      </c>
      <c r="Z671" s="27" t="s">
        <v>7</v>
      </c>
      <c r="AA671" s="27" t="s">
        <v>8</v>
      </c>
      <c r="AB671" s="27" t="s">
        <v>7</v>
      </c>
      <c r="AD671" s="27" t="s">
        <v>7</v>
      </c>
      <c r="AE671" s="27" t="s">
        <v>8</v>
      </c>
      <c r="AP671" s="27" t="s">
        <v>7</v>
      </c>
      <c r="AQ671" s="27" t="s">
        <v>8</v>
      </c>
      <c r="AR671" s="27" t="s">
        <v>7</v>
      </c>
      <c r="AS671" s="27" t="s">
        <v>8</v>
      </c>
      <c r="AT671" s="27" t="s">
        <v>7</v>
      </c>
      <c r="AU671" s="27" t="s">
        <v>8</v>
      </c>
      <c r="AV671" s="27" t="s">
        <v>7</v>
      </c>
      <c r="AY671" s="27" t="s">
        <v>8</v>
      </c>
      <c r="AZ671" s="27" t="s">
        <v>7</v>
      </c>
      <c r="BA671" s="27" t="s">
        <v>8</v>
      </c>
      <c r="BB671" s="27" t="s">
        <v>7</v>
      </c>
      <c r="BE671" s="27" t="s">
        <v>8</v>
      </c>
      <c r="BG671" s="27" t="s">
        <v>8</v>
      </c>
      <c r="BH671" s="27" t="s">
        <v>7</v>
      </c>
      <c r="BI671" s="27" t="s">
        <v>8</v>
      </c>
      <c r="BJ671" s="27" t="s">
        <v>7</v>
      </c>
      <c r="BK671" s="27" t="s">
        <v>8</v>
      </c>
      <c r="BL671" s="27" t="s">
        <v>7</v>
      </c>
      <c r="BM671" s="27" t="s">
        <v>8</v>
      </c>
      <c r="CH671" s="27" t="s">
        <v>7</v>
      </c>
      <c r="CJ671" s="27" t="s">
        <v>7</v>
      </c>
      <c r="DS671" s="27" t="s">
        <v>8</v>
      </c>
      <c r="DT671" s="27" t="s">
        <v>7</v>
      </c>
      <c r="DU671" s="27" t="s">
        <v>8</v>
      </c>
      <c r="DV671" s="27" t="s">
        <v>7</v>
      </c>
      <c r="DW671" s="27" t="s">
        <v>8</v>
      </c>
      <c r="EB671" s="27" t="s">
        <v>7</v>
      </c>
      <c r="EJ671" s="27" t="s">
        <v>7</v>
      </c>
      <c r="EK671" s="27" t="s">
        <v>8</v>
      </c>
      <c r="EL671" s="27" t="s">
        <v>7</v>
      </c>
      <c r="EM671" s="27" t="s">
        <v>8</v>
      </c>
    </row>
    <row r="672" spans="1:211" x14ac:dyDescent="0.25">
      <c r="A672" s="7">
        <v>0.18577420019637925</v>
      </c>
      <c r="B672"/>
      <c r="C672"/>
      <c r="D672"/>
      <c r="E672"/>
      <c r="P672" s="27" t="s">
        <v>7</v>
      </c>
      <c r="Q672" s="27" t="s">
        <v>8</v>
      </c>
      <c r="R672" s="27" t="s">
        <v>7</v>
      </c>
      <c r="S672" s="27" t="s">
        <v>8</v>
      </c>
      <c r="T672" s="27" t="s">
        <v>7</v>
      </c>
      <c r="U672" s="27" t="s">
        <v>8</v>
      </c>
      <c r="Z672" s="27" t="s">
        <v>7</v>
      </c>
      <c r="AD672" s="27" t="s">
        <v>7</v>
      </c>
      <c r="AE672" s="27" t="s">
        <v>8</v>
      </c>
      <c r="AP672" s="27" t="s">
        <v>7</v>
      </c>
      <c r="AQ672" s="27" t="s">
        <v>8</v>
      </c>
      <c r="AR672" s="27" t="s">
        <v>7</v>
      </c>
      <c r="AS672" s="27" t="s">
        <v>8</v>
      </c>
      <c r="AT672" s="27" t="s">
        <v>7</v>
      </c>
      <c r="AU672" s="27" t="s">
        <v>8</v>
      </c>
      <c r="AV672" s="27" t="s">
        <v>7</v>
      </c>
      <c r="AW672" s="27" t="s">
        <v>8</v>
      </c>
      <c r="AY672" s="27" t="s">
        <v>8</v>
      </c>
      <c r="AZ672" s="27" t="s">
        <v>7</v>
      </c>
      <c r="BA672" s="27" t="s">
        <v>8</v>
      </c>
      <c r="BB672" s="27" t="s">
        <v>7</v>
      </c>
      <c r="BC672" s="27" t="s">
        <v>8</v>
      </c>
      <c r="BE672" s="27" t="s">
        <v>8</v>
      </c>
      <c r="BF672" s="27" t="s">
        <v>7</v>
      </c>
      <c r="BG672" s="27" t="s">
        <v>8</v>
      </c>
      <c r="BH672" s="27" t="s">
        <v>7</v>
      </c>
      <c r="BI672" s="27" t="s">
        <v>8</v>
      </c>
      <c r="BJ672" s="27" t="s">
        <v>7</v>
      </c>
      <c r="BK672" s="27" t="s">
        <v>8</v>
      </c>
      <c r="BL672" s="27" t="s">
        <v>7</v>
      </c>
      <c r="CJ672" s="27" t="s">
        <v>7</v>
      </c>
      <c r="DQ672" s="27" t="s">
        <v>8</v>
      </c>
      <c r="DS672" s="27" t="s">
        <v>8</v>
      </c>
      <c r="DT672" s="27" t="s">
        <v>7</v>
      </c>
      <c r="DU672" s="27" t="s">
        <v>8</v>
      </c>
      <c r="DV672" s="27" t="s">
        <v>7</v>
      </c>
      <c r="DW672" s="27" t="s">
        <v>8</v>
      </c>
      <c r="EJ672" s="27" t="s">
        <v>7</v>
      </c>
      <c r="EK672" s="27" t="s">
        <v>8</v>
      </c>
      <c r="EL672" s="27" t="s">
        <v>7</v>
      </c>
      <c r="EM672" s="27" t="s">
        <v>8</v>
      </c>
    </row>
    <row r="673" spans="1:143" x14ac:dyDescent="0.25">
      <c r="A673" s="7">
        <v>0.18213156881997963</v>
      </c>
      <c r="B673"/>
      <c r="C673"/>
      <c r="D673"/>
      <c r="E673"/>
      <c r="P673" s="27" t="s">
        <v>7</v>
      </c>
      <c r="Q673" s="27" t="s">
        <v>8</v>
      </c>
      <c r="R673" s="27" t="s">
        <v>7</v>
      </c>
      <c r="S673" s="27" t="s">
        <v>8</v>
      </c>
      <c r="T673" s="27" t="s">
        <v>7</v>
      </c>
      <c r="U673" s="27" t="s">
        <v>8</v>
      </c>
      <c r="AD673" s="27" t="s">
        <v>7</v>
      </c>
      <c r="AE673" s="27" t="s">
        <v>8</v>
      </c>
      <c r="AP673" s="27" t="s">
        <v>7</v>
      </c>
      <c r="AQ673" s="27" t="s">
        <v>8</v>
      </c>
      <c r="AR673" s="27" t="s">
        <v>7</v>
      </c>
      <c r="AS673" s="27" t="s">
        <v>8</v>
      </c>
      <c r="AT673" s="27" t="s">
        <v>7</v>
      </c>
      <c r="AU673" s="27" t="s">
        <v>8</v>
      </c>
      <c r="AV673" s="27" t="s">
        <v>7</v>
      </c>
      <c r="AW673" s="27" t="s">
        <v>8</v>
      </c>
      <c r="AX673" s="27" t="s">
        <v>7</v>
      </c>
      <c r="AY673" s="27" t="s">
        <v>8</v>
      </c>
      <c r="AZ673" s="27" t="s">
        <v>7</v>
      </c>
      <c r="BA673" s="27" t="s">
        <v>8</v>
      </c>
      <c r="BB673" s="27" t="s">
        <v>7</v>
      </c>
      <c r="BC673" s="27" t="s">
        <v>8</v>
      </c>
      <c r="BD673" s="27" t="s">
        <v>7</v>
      </c>
      <c r="BE673" s="27" t="s">
        <v>8</v>
      </c>
      <c r="BF673" s="27" t="s">
        <v>7</v>
      </c>
      <c r="BG673" s="27" t="s">
        <v>8</v>
      </c>
      <c r="BH673" s="27" t="s">
        <v>7</v>
      </c>
      <c r="BI673" s="27" t="s">
        <v>8</v>
      </c>
      <c r="BJ673" s="27" t="s">
        <v>7</v>
      </c>
      <c r="BK673" s="27" t="s">
        <v>8</v>
      </c>
      <c r="CJ673" s="27" t="s">
        <v>7</v>
      </c>
      <c r="DQ673" s="27" t="s">
        <v>8</v>
      </c>
      <c r="DR673" s="27" t="s">
        <v>7</v>
      </c>
      <c r="DS673" s="27" t="s">
        <v>8</v>
      </c>
      <c r="DT673" s="27" t="s">
        <v>7</v>
      </c>
      <c r="DU673" s="27" t="s">
        <v>8</v>
      </c>
      <c r="DV673" s="27" t="s">
        <v>7</v>
      </c>
      <c r="EJ673" s="27" t="s">
        <v>7</v>
      </c>
      <c r="EL673" s="27" t="s">
        <v>7</v>
      </c>
      <c r="EM673" s="27" t="s">
        <v>8</v>
      </c>
    </row>
    <row r="674" spans="1:143" x14ac:dyDescent="0.25">
      <c r="A674" s="7">
        <v>0.17856036158821534</v>
      </c>
      <c r="B674"/>
      <c r="C674"/>
      <c r="D674"/>
      <c r="E674"/>
      <c r="P674" s="27" t="s">
        <v>7</v>
      </c>
      <c r="Q674" s="27" t="s">
        <v>8</v>
      </c>
      <c r="R674" s="27" t="s">
        <v>7</v>
      </c>
      <c r="S674" s="27" t="s">
        <v>8</v>
      </c>
      <c r="T674" s="27" t="s">
        <v>7</v>
      </c>
      <c r="AD674" s="27" t="s">
        <v>7</v>
      </c>
      <c r="AE674" s="27" t="s">
        <v>8</v>
      </c>
      <c r="AP674" s="27" t="s">
        <v>7</v>
      </c>
      <c r="AR674" s="27" t="s">
        <v>7</v>
      </c>
      <c r="AS674" s="27" t="s">
        <v>8</v>
      </c>
      <c r="AT674" s="27" t="s">
        <v>7</v>
      </c>
      <c r="AV674" s="27" t="s">
        <v>7</v>
      </c>
      <c r="AW674" s="27" t="s">
        <v>8</v>
      </c>
      <c r="AX674" s="27" t="s">
        <v>7</v>
      </c>
      <c r="AY674" s="27" t="s">
        <v>8</v>
      </c>
      <c r="AZ674" s="27" t="s">
        <v>7</v>
      </c>
      <c r="BA674" s="27" t="s">
        <v>8</v>
      </c>
      <c r="BB674" s="27" t="s">
        <v>7</v>
      </c>
      <c r="BC674" s="27" t="s">
        <v>8</v>
      </c>
      <c r="BD674" s="27" t="s">
        <v>7</v>
      </c>
      <c r="BE674" s="27" t="s">
        <v>8</v>
      </c>
      <c r="BF674" s="27" t="s">
        <v>7</v>
      </c>
      <c r="BG674" s="27" t="s">
        <v>8</v>
      </c>
      <c r="BH674" s="27" t="s">
        <v>7</v>
      </c>
      <c r="BJ674" s="27" t="s">
        <v>7</v>
      </c>
      <c r="CJ674" s="27" t="s">
        <v>7</v>
      </c>
      <c r="DO674" s="27" t="s">
        <v>8</v>
      </c>
      <c r="DQ674" s="27" t="s">
        <v>8</v>
      </c>
      <c r="DR674" s="27" t="s">
        <v>7</v>
      </c>
      <c r="DS674" s="27" t="s">
        <v>8</v>
      </c>
      <c r="DT674" s="27" t="s">
        <v>7</v>
      </c>
      <c r="DU674" s="27" t="s">
        <v>8</v>
      </c>
      <c r="EL674" s="27" t="s">
        <v>7</v>
      </c>
      <c r="EM674" s="27" t="s">
        <v>8</v>
      </c>
    </row>
    <row r="675" spans="1:143" x14ac:dyDescent="0.25">
      <c r="A675" s="7">
        <v>0.17505917802766208</v>
      </c>
      <c r="B675"/>
      <c r="C675"/>
      <c r="D675"/>
      <c r="E675"/>
      <c r="P675" s="27" t="s">
        <v>7</v>
      </c>
      <c r="R675" s="27" t="s">
        <v>7</v>
      </c>
      <c r="S675" s="27" t="s">
        <v>8</v>
      </c>
      <c r="AD675" s="27" t="s">
        <v>7</v>
      </c>
      <c r="AR675" s="27" t="s">
        <v>7</v>
      </c>
      <c r="AS675" s="27" t="s">
        <v>8</v>
      </c>
      <c r="AV675" s="27" t="s">
        <v>7</v>
      </c>
      <c r="AW675" s="27" t="s">
        <v>8</v>
      </c>
      <c r="AX675" s="27" t="s">
        <v>7</v>
      </c>
      <c r="AY675" s="27" t="s">
        <v>8</v>
      </c>
      <c r="AZ675" s="27" t="s">
        <v>7</v>
      </c>
      <c r="BB675" s="27" t="s">
        <v>7</v>
      </c>
      <c r="BC675" s="27" t="s">
        <v>8</v>
      </c>
      <c r="BD675" s="27" t="s">
        <v>7</v>
      </c>
      <c r="BE675" s="27" t="s">
        <v>8</v>
      </c>
      <c r="BF675" s="27" t="s">
        <v>7</v>
      </c>
      <c r="BG675" s="27" t="s">
        <v>8</v>
      </c>
      <c r="CJ675" s="27" t="s">
        <v>7</v>
      </c>
      <c r="DO675" s="27" t="s">
        <v>8</v>
      </c>
      <c r="DP675" s="27" t="s">
        <v>7</v>
      </c>
      <c r="DQ675" s="27" t="s">
        <v>8</v>
      </c>
      <c r="DR675" s="27" t="s">
        <v>7</v>
      </c>
      <c r="DS675" s="27" t="s">
        <v>8</v>
      </c>
      <c r="DT675" s="27" t="s">
        <v>7</v>
      </c>
      <c r="EL675" s="27" t="s">
        <v>7</v>
      </c>
      <c r="EM675" s="27" t="s">
        <v>8</v>
      </c>
    </row>
    <row r="676" spans="1:143" x14ac:dyDescent="0.25">
      <c r="A676" s="7">
        <v>0.17162664512515888</v>
      </c>
      <c r="B676"/>
      <c r="C676"/>
      <c r="D676"/>
      <c r="E676"/>
      <c r="R676" s="27" t="s">
        <v>7</v>
      </c>
      <c r="AR676" s="27" t="s">
        <v>7</v>
      </c>
      <c r="AV676" s="27" t="s">
        <v>7</v>
      </c>
      <c r="AX676" s="27" t="s">
        <v>7</v>
      </c>
      <c r="BB676" s="27" t="s">
        <v>7</v>
      </c>
      <c r="BD676" s="27" t="s">
        <v>7</v>
      </c>
      <c r="BF676" s="27" t="s">
        <v>7</v>
      </c>
      <c r="BG676" s="27" t="s">
        <v>8</v>
      </c>
      <c r="CJ676" s="27" t="s">
        <v>7</v>
      </c>
      <c r="DG676" s="27" t="s">
        <v>8</v>
      </c>
      <c r="DO676" s="27" t="s">
        <v>8</v>
      </c>
      <c r="DP676" s="27" t="s">
        <v>7</v>
      </c>
      <c r="DQ676" s="27" t="s">
        <v>8</v>
      </c>
      <c r="DR676" s="27" t="s">
        <v>7</v>
      </c>
      <c r="DS676" s="27" t="s">
        <v>8</v>
      </c>
      <c r="EL676" s="27" t="s">
        <v>7</v>
      </c>
      <c r="EM676" s="27" t="s">
        <v>8</v>
      </c>
    </row>
    <row r="677" spans="1:143" x14ac:dyDescent="0.25">
      <c r="A677" s="7">
        <v>0.16826141678937145</v>
      </c>
      <c r="B677"/>
      <c r="C677"/>
      <c r="D677"/>
      <c r="E677"/>
      <c r="BF677" s="27" t="s">
        <v>7</v>
      </c>
      <c r="CJ677" s="27" t="s">
        <v>7</v>
      </c>
      <c r="DG677" s="27" t="s">
        <v>8</v>
      </c>
      <c r="DH677" s="27" t="s">
        <v>7</v>
      </c>
      <c r="DK677" s="27" t="s">
        <v>8</v>
      </c>
      <c r="DO677" s="27" t="s">
        <v>8</v>
      </c>
      <c r="DP677" s="27" t="s">
        <v>7</v>
      </c>
      <c r="DQ677" s="27" t="s">
        <v>8</v>
      </c>
      <c r="DR677" s="27" t="s">
        <v>7</v>
      </c>
      <c r="EL677" s="27" t="s">
        <v>7</v>
      </c>
    </row>
    <row r="678" spans="1:143" x14ac:dyDescent="0.25">
      <c r="A678" s="7">
        <v>0.16496217332291319</v>
      </c>
      <c r="B678"/>
      <c r="C678"/>
      <c r="D678"/>
      <c r="E678"/>
      <c r="CJ678" s="27" t="s">
        <v>7</v>
      </c>
      <c r="DE678" s="27" t="s">
        <v>8</v>
      </c>
      <c r="DG678" s="27" t="s">
        <v>8</v>
      </c>
      <c r="DH678" s="27" t="s">
        <v>7</v>
      </c>
      <c r="DK678" s="27" t="s">
        <v>8</v>
      </c>
      <c r="DL678" s="27" t="s">
        <v>7</v>
      </c>
      <c r="DM678" s="27" t="s">
        <v>8</v>
      </c>
      <c r="DO678" s="27" t="s">
        <v>8</v>
      </c>
      <c r="DP678" s="27" t="s">
        <v>7</v>
      </c>
      <c r="DQ678" s="27" t="s">
        <v>8</v>
      </c>
    </row>
    <row r="679" spans="1:143" x14ac:dyDescent="0.25">
      <c r="A679" s="7">
        <v>0.16172762090481685</v>
      </c>
      <c r="B679"/>
      <c r="C679"/>
      <c r="D679"/>
      <c r="E679"/>
      <c r="CJ679" s="27" t="s">
        <v>7</v>
      </c>
      <c r="DE679" s="27" t="s">
        <v>8</v>
      </c>
      <c r="DF679" s="27" t="s">
        <v>7</v>
      </c>
      <c r="DG679" s="27" t="s">
        <v>8</v>
      </c>
      <c r="DH679" s="27" t="s">
        <v>7</v>
      </c>
      <c r="DI679" s="27" t="s">
        <v>8</v>
      </c>
      <c r="DK679" s="27" t="s">
        <v>8</v>
      </c>
      <c r="DL679" s="27" t="s">
        <v>7</v>
      </c>
      <c r="DM679" s="27" t="s">
        <v>8</v>
      </c>
      <c r="DN679" s="27" t="s">
        <v>7</v>
      </c>
      <c r="DO679" s="27" t="s">
        <v>8</v>
      </c>
      <c r="DP679" s="27" t="s">
        <v>7</v>
      </c>
    </row>
    <row r="680" spans="1:143" x14ac:dyDescent="0.25">
      <c r="A680" s="7">
        <v>0.15855649108315376</v>
      </c>
      <c r="B680"/>
      <c r="C680"/>
      <c r="D680"/>
      <c r="E680"/>
      <c r="CJ680" s="27" t="s">
        <v>7</v>
      </c>
      <c r="DE680" s="27" t="s">
        <v>8</v>
      </c>
      <c r="DF680" s="27" t="s">
        <v>7</v>
      </c>
      <c r="DG680" s="27" t="s">
        <v>8</v>
      </c>
      <c r="DH680" s="27" t="s">
        <v>7</v>
      </c>
      <c r="DI680" s="27" t="s">
        <v>8</v>
      </c>
      <c r="DJ680" s="27" t="s">
        <v>7</v>
      </c>
      <c r="DK680" s="27" t="s">
        <v>8</v>
      </c>
      <c r="DL680" s="27" t="s">
        <v>7</v>
      </c>
      <c r="DM680" s="27" t="s">
        <v>8</v>
      </c>
      <c r="DN680" s="27" t="s">
        <v>7</v>
      </c>
      <c r="DO680" s="27" t="s">
        <v>8</v>
      </c>
    </row>
    <row r="681" spans="1:143" x14ac:dyDescent="0.25">
      <c r="A681" s="7">
        <v>0.15544754027760171</v>
      </c>
      <c r="B681"/>
      <c r="C681"/>
      <c r="D681"/>
      <c r="E681"/>
      <c r="CJ681" s="27" t="s">
        <v>7</v>
      </c>
      <c r="DE681" s="27" t="s">
        <v>8</v>
      </c>
      <c r="DF681" s="27" t="s">
        <v>7</v>
      </c>
      <c r="DG681" s="27" t="s">
        <v>8</v>
      </c>
      <c r="DH681" s="27" t="s">
        <v>7</v>
      </c>
      <c r="DI681" s="27" t="s">
        <v>8</v>
      </c>
      <c r="DJ681" s="27" t="s">
        <v>7</v>
      </c>
      <c r="DK681" s="27" t="s">
        <v>8</v>
      </c>
      <c r="DL681" s="27" t="s">
        <v>7</v>
      </c>
      <c r="DM681" s="27" t="s">
        <v>8</v>
      </c>
      <c r="DN681" s="27" t="s">
        <v>7</v>
      </c>
      <c r="DO681" s="27" t="s">
        <v>8</v>
      </c>
    </row>
    <row r="682" spans="1:143" x14ac:dyDescent="0.25">
      <c r="A682" s="7">
        <v>0.15239954929176638</v>
      </c>
      <c r="B682"/>
      <c r="C682"/>
      <c r="D682"/>
      <c r="E682"/>
      <c r="CJ682" s="27" t="s">
        <v>7</v>
      </c>
      <c r="DE682" s="27" t="s">
        <v>8</v>
      </c>
      <c r="DF682" s="27" t="s">
        <v>7</v>
      </c>
      <c r="DH682" s="27" t="s">
        <v>7</v>
      </c>
      <c r="DI682" s="27" t="s">
        <v>8</v>
      </c>
      <c r="DJ682" s="27" t="s">
        <v>7</v>
      </c>
      <c r="DK682" s="27" t="s">
        <v>8</v>
      </c>
      <c r="DL682" s="27" t="s">
        <v>7</v>
      </c>
      <c r="DM682" s="27" t="s">
        <v>8</v>
      </c>
      <c r="DN682" s="27" t="s">
        <v>7</v>
      </c>
      <c r="DO682" s="27" t="s">
        <v>8</v>
      </c>
    </row>
    <row r="683" spans="1:143" x14ac:dyDescent="0.25">
      <c r="A683" s="7">
        <v>0.14941132283506509</v>
      </c>
      <c r="B683"/>
      <c r="C683"/>
      <c r="D683"/>
      <c r="E683"/>
      <c r="CJ683" s="27" t="s">
        <v>7</v>
      </c>
      <c r="CW683" s="27" t="s">
        <v>8</v>
      </c>
      <c r="DE683" s="27" t="s">
        <v>8</v>
      </c>
      <c r="DH683" s="27" t="s">
        <v>7</v>
      </c>
      <c r="DJ683" s="27" t="s">
        <v>7</v>
      </c>
      <c r="DL683" s="27" t="s">
        <v>7</v>
      </c>
      <c r="DM683" s="27" t="s">
        <v>8</v>
      </c>
      <c r="DN683" s="27" t="s">
        <v>7</v>
      </c>
    </row>
    <row r="684" spans="1:143" x14ac:dyDescent="0.25">
      <c r="A684" s="7">
        <v>0.14648168905398537</v>
      </c>
      <c r="B684"/>
      <c r="C684"/>
      <c r="D684"/>
      <c r="E684"/>
      <c r="CJ684" s="27" t="s">
        <v>7</v>
      </c>
      <c r="CW684" s="27" t="s">
        <v>8</v>
      </c>
      <c r="CX684" s="27" t="s">
        <v>7</v>
      </c>
      <c r="DE684" s="27" t="s">
        <v>8</v>
      </c>
      <c r="DL684" s="27" t="s">
        <v>7</v>
      </c>
      <c r="DM684" s="27" t="s">
        <v>8</v>
      </c>
    </row>
    <row r="685" spans="1:143" x14ac:dyDescent="0.25">
      <c r="A685" s="7">
        <v>0.14360949907253467</v>
      </c>
      <c r="B685"/>
      <c r="C685"/>
      <c r="D685"/>
      <c r="E685"/>
      <c r="CJ685" s="27" t="s">
        <v>7</v>
      </c>
      <c r="CW685" s="27" t="s">
        <v>8</v>
      </c>
      <c r="CX685" s="27" t="s">
        <v>7</v>
      </c>
      <c r="DC685" s="27" t="s">
        <v>8</v>
      </c>
      <c r="DE685" s="27" t="s">
        <v>8</v>
      </c>
      <c r="DL685" s="27" t="s">
        <v>7</v>
      </c>
      <c r="DM685" s="27" t="s">
        <v>8</v>
      </c>
    </row>
    <row r="686" spans="1:143" x14ac:dyDescent="0.25">
      <c r="A686" s="7">
        <v>0.14079362654170066</v>
      </c>
      <c r="B686"/>
      <c r="C686"/>
      <c r="D686"/>
      <c r="E686"/>
      <c r="CJ686" s="27" t="s">
        <v>7</v>
      </c>
      <c r="CO686" s="27" t="s">
        <v>8</v>
      </c>
      <c r="CU686" s="27" t="s">
        <v>8</v>
      </c>
      <c r="CW686" s="27" t="s">
        <v>8</v>
      </c>
      <c r="CX686" s="27" t="s">
        <v>7</v>
      </c>
      <c r="DC686" s="27" t="s">
        <v>8</v>
      </c>
      <c r="DD686" s="27" t="s">
        <v>7</v>
      </c>
      <c r="DE686" s="27" t="s">
        <v>8</v>
      </c>
      <c r="DL686" s="27" t="s">
        <v>7</v>
      </c>
      <c r="DM686" s="27" t="s">
        <v>8</v>
      </c>
    </row>
    <row r="687" spans="1:143" x14ac:dyDescent="0.25">
      <c r="A687" s="7">
        <v>0.13803296719774574</v>
      </c>
      <c r="B687"/>
      <c r="C687"/>
      <c r="D687"/>
      <c r="E687"/>
      <c r="CJ687" s="27" t="s">
        <v>7</v>
      </c>
      <c r="CO687" s="27" t="s">
        <v>8</v>
      </c>
      <c r="CP687" s="27" t="s">
        <v>7</v>
      </c>
      <c r="CU687" s="27" t="s">
        <v>8</v>
      </c>
      <c r="CV687" s="27" t="s">
        <v>7</v>
      </c>
      <c r="CW687" s="27" t="s">
        <v>8</v>
      </c>
      <c r="CX687" s="27" t="s">
        <v>7</v>
      </c>
      <c r="DC687" s="27" t="s">
        <v>8</v>
      </c>
      <c r="DD687" s="27" t="s">
        <v>7</v>
      </c>
      <c r="DE687" s="27" t="s">
        <v>8</v>
      </c>
      <c r="DL687" s="27" t="s">
        <v>7</v>
      </c>
      <c r="DM687" s="27" t="s">
        <v>8</v>
      </c>
    </row>
    <row r="688" spans="1:143" x14ac:dyDescent="0.25">
      <c r="A688" s="7">
        <v>0.1353264384291625</v>
      </c>
      <c r="B688"/>
      <c r="C688"/>
      <c r="D688"/>
      <c r="E688"/>
      <c r="CJ688" s="27" t="s">
        <v>7</v>
      </c>
      <c r="CO688" s="27" t="s">
        <v>8</v>
      </c>
      <c r="CP688" s="27" t="s">
        <v>7</v>
      </c>
      <c r="CS688" s="27" t="s">
        <v>8</v>
      </c>
      <c r="CU688" s="27" t="s">
        <v>8</v>
      </c>
      <c r="CV688" s="27" t="s">
        <v>7</v>
      </c>
      <c r="CW688" s="27" t="s">
        <v>8</v>
      </c>
      <c r="CX688" s="27" t="s">
        <v>7</v>
      </c>
      <c r="CY688" s="27" t="s">
        <v>8</v>
      </c>
      <c r="DC688" s="27" t="s">
        <v>8</v>
      </c>
      <c r="DD688" s="27" t="s">
        <v>7</v>
      </c>
      <c r="DE688" s="27" t="s">
        <v>8</v>
      </c>
      <c r="DL688" s="27" t="s">
        <v>7</v>
      </c>
      <c r="DM688" s="27" t="s">
        <v>8</v>
      </c>
    </row>
    <row r="689" spans="1:117" x14ac:dyDescent="0.25">
      <c r="A689" s="7">
        <v>0.13267297885212009</v>
      </c>
      <c r="B689"/>
      <c r="C689"/>
      <c r="D689"/>
      <c r="E689"/>
      <c r="CJ689" s="27" t="s">
        <v>7</v>
      </c>
      <c r="CO689" s="27" t="s">
        <v>8</v>
      </c>
      <c r="CP689" s="27" t="s">
        <v>7</v>
      </c>
      <c r="CS689" s="27" t="s">
        <v>8</v>
      </c>
      <c r="CT689" s="27" t="s">
        <v>7</v>
      </c>
      <c r="CU689" s="27" t="s">
        <v>8</v>
      </c>
      <c r="CV689" s="27" t="s">
        <v>7</v>
      </c>
      <c r="CW689" s="27" t="s">
        <v>8</v>
      </c>
      <c r="CX689" s="27" t="s">
        <v>7</v>
      </c>
      <c r="CY689" s="27" t="s">
        <v>8</v>
      </c>
      <c r="CZ689" s="27" t="s">
        <v>7</v>
      </c>
      <c r="DC689" s="27" t="s">
        <v>8</v>
      </c>
      <c r="DD689" s="27" t="s">
        <v>7</v>
      </c>
      <c r="DE689" s="27" t="s">
        <v>8</v>
      </c>
      <c r="DL689" s="27" t="s">
        <v>7</v>
      </c>
      <c r="DM689" s="27" t="s">
        <v>8</v>
      </c>
    </row>
    <row r="690" spans="1:117" x14ac:dyDescent="0.25">
      <c r="A690" s="7">
        <v>0.13007154789423539</v>
      </c>
      <c r="B690"/>
      <c r="C690"/>
      <c r="D690"/>
      <c r="E690"/>
      <c r="CJ690" s="27" t="s">
        <v>7</v>
      </c>
      <c r="CO690" s="27" t="s">
        <v>8</v>
      </c>
      <c r="CP690" s="27" t="s">
        <v>7</v>
      </c>
      <c r="CQ690" s="27" t="s">
        <v>8</v>
      </c>
      <c r="CS690" s="27" t="s">
        <v>8</v>
      </c>
      <c r="CT690" s="27" t="s">
        <v>7</v>
      </c>
      <c r="CU690" s="27" t="s">
        <v>8</v>
      </c>
      <c r="CV690" s="27" t="s">
        <v>7</v>
      </c>
      <c r="CX690" s="27" t="s">
        <v>7</v>
      </c>
      <c r="CY690" s="27" t="s">
        <v>8</v>
      </c>
      <c r="CZ690" s="27" t="s">
        <v>7</v>
      </c>
      <c r="DA690" s="27" t="s">
        <v>8</v>
      </c>
      <c r="DC690" s="27" t="s">
        <v>8</v>
      </c>
      <c r="DD690" s="27" t="s">
        <v>7</v>
      </c>
      <c r="DE690" s="27" t="s">
        <v>8</v>
      </c>
      <c r="DL690" s="27" t="s">
        <v>7</v>
      </c>
    </row>
    <row r="691" spans="1:117" x14ac:dyDescent="0.25">
      <c r="A691" s="7">
        <v>0.12752112538650529</v>
      </c>
      <c r="B691"/>
      <c r="C691"/>
      <c r="D691"/>
      <c r="E691"/>
      <c r="CJ691" s="27" t="s">
        <v>7</v>
      </c>
      <c r="CK691" s="27" t="s">
        <v>8</v>
      </c>
      <c r="CO691" s="27" t="s">
        <v>8</v>
      </c>
      <c r="CP691" s="27" t="s">
        <v>7</v>
      </c>
      <c r="CQ691" s="27" t="s">
        <v>8</v>
      </c>
      <c r="CR691" s="27" t="s">
        <v>7</v>
      </c>
      <c r="CS691" s="27" t="s">
        <v>8</v>
      </c>
      <c r="CT691" s="27" t="s">
        <v>7</v>
      </c>
      <c r="CU691" s="27" t="s">
        <v>8</v>
      </c>
      <c r="CX691" s="27" t="s">
        <v>7</v>
      </c>
      <c r="CY691" s="27" t="s">
        <v>8</v>
      </c>
      <c r="CZ691" s="27" t="s">
        <v>7</v>
      </c>
      <c r="DA691" s="27" t="s">
        <v>8</v>
      </c>
      <c r="DB691" s="27" t="s">
        <v>7</v>
      </c>
      <c r="DC691" s="27" t="s">
        <v>8</v>
      </c>
      <c r="DD691" s="27" t="s">
        <v>7</v>
      </c>
      <c r="DE691" s="27" t="s">
        <v>8</v>
      </c>
    </row>
    <row r="692" spans="1:117" x14ac:dyDescent="0.25">
      <c r="A692" s="7">
        <v>0.12502071116324048</v>
      </c>
      <c r="B692"/>
      <c r="C692"/>
      <c r="D692"/>
      <c r="E692"/>
      <c r="CJ692" s="27" t="s">
        <v>7</v>
      </c>
      <c r="CK692" s="27" t="s">
        <v>8</v>
      </c>
      <c r="CL692" s="27" t="s">
        <v>7</v>
      </c>
      <c r="CO692" s="27" t="s">
        <v>8</v>
      </c>
      <c r="CP692" s="27" t="s">
        <v>7</v>
      </c>
      <c r="CQ692" s="27" t="s">
        <v>8</v>
      </c>
      <c r="CR692" s="27" t="s">
        <v>7</v>
      </c>
      <c r="CS692" s="27" t="s">
        <v>8</v>
      </c>
      <c r="CT692" s="27" t="s">
        <v>7</v>
      </c>
      <c r="CU692" s="27" t="s">
        <v>8</v>
      </c>
      <c r="CX692" s="27" t="s">
        <v>7</v>
      </c>
      <c r="CZ692" s="27" t="s">
        <v>7</v>
      </c>
      <c r="DA692" s="27" t="s">
        <v>8</v>
      </c>
      <c r="DB692" s="27" t="s">
        <v>7</v>
      </c>
      <c r="DC692" s="27" t="s">
        <v>8</v>
      </c>
      <c r="DD692" s="27" t="s">
        <v>7</v>
      </c>
    </row>
    <row r="693" spans="1:117" x14ac:dyDescent="0.25">
      <c r="A693" s="7">
        <v>0.1225693246698436</v>
      </c>
      <c r="B693"/>
      <c r="C693"/>
      <c r="D693"/>
      <c r="E693"/>
      <c r="CJ693" s="27" t="s">
        <v>7</v>
      </c>
      <c r="CK693" s="27" t="s">
        <v>8</v>
      </c>
      <c r="CL693" s="27" t="s">
        <v>7</v>
      </c>
      <c r="CO693" s="27" t="s">
        <v>8</v>
      </c>
      <c r="CP693" s="27" t="s">
        <v>7</v>
      </c>
      <c r="CQ693" s="27" t="s">
        <v>8</v>
      </c>
      <c r="CR693" s="27" t="s">
        <v>7</v>
      </c>
      <c r="CS693" s="27" t="s">
        <v>8</v>
      </c>
      <c r="CT693" s="27" t="s">
        <v>7</v>
      </c>
      <c r="CZ693" s="27" t="s">
        <v>7</v>
      </c>
      <c r="DB693" s="27" t="s">
        <v>7</v>
      </c>
      <c r="DC693" s="27" t="s">
        <v>8</v>
      </c>
    </row>
    <row r="694" spans="1:117" x14ac:dyDescent="0.25">
      <c r="A694" s="7">
        <v>0.12016600457827803</v>
      </c>
      <c r="B694"/>
      <c r="C694"/>
      <c r="D694"/>
      <c r="E694"/>
      <c r="CJ694" s="27" t="s">
        <v>7</v>
      </c>
      <c r="CK694" s="27" t="s">
        <v>8</v>
      </c>
      <c r="CL694" s="27" t="s">
        <v>7</v>
      </c>
      <c r="CO694" s="27" t="s">
        <v>8</v>
      </c>
      <c r="CP694" s="27" t="s">
        <v>7</v>
      </c>
      <c r="CQ694" s="27" t="s">
        <v>8</v>
      </c>
      <c r="CR694" s="27" t="s">
        <v>7</v>
      </c>
      <c r="CS694" s="27" t="s">
        <v>8</v>
      </c>
      <c r="DB694" s="27" t="s">
        <v>7</v>
      </c>
    </row>
    <row r="695" spans="1:117" x14ac:dyDescent="0.25">
      <c r="A695" s="7">
        <v>0.1178098084100765</v>
      </c>
      <c r="B695"/>
      <c r="C695"/>
      <c r="D695"/>
      <c r="E695"/>
      <c r="CJ695" s="27" t="s">
        <v>7</v>
      </c>
      <c r="CK695" s="27" t="s">
        <v>8</v>
      </c>
      <c r="CL695" s="27" t="s">
        <v>7</v>
      </c>
      <c r="CO695" s="27" t="s">
        <v>8</v>
      </c>
      <c r="CP695" s="27" t="s">
        <v>7</v>
      </c>
      <c r="CQ695" s="27" t="s">
        <v>8</v>
      </c>
      <c r="CR695" s="27" t="s">
        <v>7</v>
      </c>
      <c r="CS695" s="27" t="s">
        <v>8</v>
      </c>
    </row>
    <row r="696" spans="1:117" x14ac:dyDescent="0.25">
      <c r="A696" s="7">
        <v>0.11549981216674166</v>
      </c>
      <c r="B696"/>
      <c r="C696"/>
      <c r="D696"/>
      <c r="E696"/>
      <c r="CJ696" s="27" t="s">
        <v>7</v>
      </c>
      <c r="CK696" s="27" t="s">
        <v>8</v>
      </c>
      <c r="CL696" s="27" t="s">
        <v>7</v>
      </c>
      <c r="CO696" s="27" t="s">
        <v>8</v>
      </c>
      <c r="CP696" s="27" t="s">
        <v>7</v>
      </c>
      <c r="CQ696" s="27" t="s">
        <v>8</v>
      </c>
      <c r="CR696" s="27" t="s">
        <v>7</v>
      </c>
      <c r="CS696" s="27" t="s">
        <v>8</v>
      </c>
    </row>
    <row r="697" spans="1:117" x14ac:dyDescent="0.25">
      <c r="A697" s="7">
        <v>0.11323510996739378</v>
      </c>
      <c r="B697"/>
      <c r="C697"/>
      <c r="D697"/>
      <c r="E697"/>
      <c r="CJ697" s="27" t="s">
        <v>7</v>
      </c>
      <c r="CK697" s="27" t="s">
        <v>8</v>
      </c>
      <c r="CL697" s="27" t="s">
        <v>7</v>
      </c>
      <c r="CO697" s="27" t="s">
        <v>8</v>
      </c>
      <c r="CP697" s="27" t="s">
        <v>7</v>
      </c>
      <c r="CQ697" s="27" t="s">
        <v>8</v>
      </c>
      <c r="CR697" s="27" t="s">
        <v>7</v>
      </c>
      <c r="CS697" s="27" t="s">
        <v>8</v>
      </c>
    </row>
    <row r="698" spans="1:117" x14ac:dyDescent="0.25">
      <c r="A698" s="7">
        <v>0.11101481369352331</v>
      </c>
      <c r="B698"/>
      <c r="C698"/>
      <c r="D698"/>
      <c r="E698"/>
      <c r="CJ698" s="27" t="s">
        <v>7</v>
      </c>
      <c r="CK698" s="27" t="s">
        <v>8</v>
      </c>
      <c r="CL698" s="27" t="s">
        <v>7</v>
      </c>
      <c r="CO698" s="27" t="s">
        <v>8</v>
      </c>
      <c r="CP698" s="27" t="s">
        <v>7</v>
      </c>
      <c r="CQ698" s="27" t="s">
        <v>8</v>
      </c>
      <c r="CR698" s="27" t="s">
        <v>7</v>
      </c>
    </row>
    <row r="699" spans="1:117" x14ac:dyDescent="0.25">
      <c r="A699" s="7">
        <v>0.10883805264070913</v>
      </c>
      <c r="B699"/>
      <c r="C699"/>
      <c r="D699"/>
      <c r="E699"/>
      <c r="CJ699" s="27" t="s">
        <v>7</v>
      </c>
      <c r="CK699" s="27" t="s">
        <v>8</v>
      </c>
      <c r="CL699" s="27" t="s">
        <v>7</v>
      </c>
      <c r="CO699" s="27" t="s">
        <v>8</v>
      </c>
      <c r="CP699" s="27" t="s">
        <v>7</v>
      </c>
      <c r="CQ699" s="27" t="s">
        <v>8</v>
      </c>
    </row>
    <row r="700" spans="1:117" x14ac:dyDescent="0.25">
      <c r="A700" s="7">
        <v>0.10670397317716582</v>
      </c>
      <c r="B700"/>
      <c r="C700"/>
      <c r="D700"/>
      <c r="E700"/>
      <c r="CJ700" s="27" t="s">
        <v>7</v>
      </c>
      <c r="CK700" s="27" t="s">
        <v>8</v>
      </c>
      <c r="CL700" s="27" t="s">
        <v>7</v>
      </c>
      <c r="CM700" s="27" t="s">
        <v>8</v>
      </c>
      <c r="CO700" s="27" t="s">
        <v>8</v>
      </c>
      <c r="CP700" s="27" t="s">
        <v>7</v>
      </c>
    </row>
    <row r="701" spans="1:117" x14ac:dyDescent="0.25">
      <c r="A701" s="7">
        <v>0.1046117384089861</v>
      </c>
      <c r="B701"/>
      <c r="C701"/>
      <c r="D701"/>
      <c r="E701"/>
      <c r="CJ701" s="27" t="s">
        <v>7</v>
      </c>
      <c r="CK701" s="27" t="s">
        <v>8</v>
      </c>
      <c r="CL701" s="27" t="s">
        <v>7</v>
      </c>
      <c r="CM701" s="27" t="s">
        <v>8</v>
      </c>
      <c r="CN701" s="27" t="s">
        <v>7</v>
      </c>
      <c r="CO701" s="27" t="s">
        <v>8</v>
      </c>
    </row>
    <row r="702" spans="1:117" x14ac:dyDescent="0.25">
      <c r="A702" s="7">
        <v>0.10256052785194716</v>
      </c>
      <c r="B702"/>
      <c r="C702"/>
      <c r="D702"/>
      <c r="E702"/>
      <c r="CJ702" s="27" t="s">
        <v>7</v>
      </c>
      <c r="CK702" s="27" t="s">
        <v>8</v>
      </c>
      <c r="CL702" s="27" t="s">
        <v>7</v>
      </c>
      <c r="CM702" s="27" t="s">
        <v>8</v>
      </c>
      <c r="CN702" s="27" t="s">
        <v>7</v>
      </c>
      <c r="CO702" s="27" t="s">
        <v>8</v>
      </c>
    </row>
    <row r="703" spans="1:117" x14ac:dyDescent="0.25">
      <c r="A703" s="7">
        <v>0.10054953710975212</v>
      </c>
      <c r="B703"/>
      <c r="C703"/>
      <c r="D703"/>
      <c r="E703"/>
      <c r="CJ703" s="27" t="s">
        <v>7</v>
      </c>
      <c r="CK703" s="27" t="s">
        <v>8</v>
      </c>
      <c r="CL703" s="27" t="s">
        <v>7</v>
      </c>
      <c r="CM703" s="27" t="s">
        <v>8</v>
      </c>
      <c r="CN703" s="27" t="s">
        <v>7</v>
      </c>
      <c r="CO703" s="27" t="s">
        <v>8</v>
      </c>
    </row>
    <row r="704" spans="1:117" x14ac:dyDescent="0.25">
      <c r="A704" s="7">
        <v>9.8577977558580512E-2</v>
      </c>
      <c r="B704"/>
      <c r="C704"/>
      <c r="D704"/>
      <c r="E704"/>
      <c r="CJ704" s="27" t="s">
        <v>7</v>
      </c>
      <c r="CK704" s="27" t="s">
        <v>8</v>
      </c>
      <c r="CL704" s="27" t="s">
        <v>7</v>
      </c>
      <c r="CM704" s="27" t="s">
        <v>8</v>
      </c>
      <c r="CN704" s="27" t="s">
        <v>7</v>
      </c>
    </row>
    <row r="705" spans="1:91" x14ac:dyDescent="0.25">
      <c r="A705" s="7">
        <v>9.6645076037824032E-2</v>
      </c>
      <c r="B705"/>
      <c r="C705"/>
      <c r="D705"/>
      <c r="E705"/>
      <c r="CJ705" s="27" t="s">
        <v>7</v>
      </c>
      <c r="CK705" s="27" t="s">
        <v>8</v>
      </c>
      <c r="CL705" s="27" t="s">
        <v>7</v>
      </c>
      <c r="CM705" s="27" t="s">
        <v>8</v>
      </c>
    </row>
    <row r="706" spans="1:91" x14ac:dyDescent="0.25">
      <c r="A706" s="7">
        <v>9.4750074546886304E-2</v>
      </c>
      <c r="B706"/>
      <c r="C706"/>
      <c r="D706"/>
      <c r="E706"/>
      <c r="CJ706" s="27" t="s">
        <v>7</v>
      </c>
      <c r="CK706" s="27" t="s">
        <v>8</v>
      </c>
      <c r="CL706" s="27" t="s">
        <v>7</v>
      </c>
      <c r="CM706" s="27" t="s">
        <v>8</v>
      </c>
    </row>
    <row r="707" spans="1:91" x14ac:dyDescent="0.25">
      <c r="A707" s="7">
        <v>9.2892229947927743E-2</v>
      </c>
      <c r="B707"/>
      <c r="C707"/>
      <c r="D707"/>
      <c r="E707"/>
      <c r="CJ707" s="27" t="s">
        <v>7</v>
      </c>
      <c r="CK707" s="27" t="s">
        <v>8</v>
      </c>
      <c r="CL707" s="27" t="s">
        <v>7</v>
      </c>
      <c r="CM707" s="27" t="s">
        <v>8</v>
      </c>
    </row>
    <row r="708" spans="1:91" x14ac:dyDescent="0.25">
      <c r="A708" s="7">
        <v>9.1070813674438963E-2</v>
      </c>
      <c r="B708"/>
      <c r="C708"/>
      <c r="D708"/>
      <c r="E708"/>
      <c r="CJ708" s="27" t="s">
        <v>7</v>
      </c>
      <c r="CK708" s="27" t="s">
        <v>8</v>
      </c>
      <c r="CL708" s="27" t="s">
        <v>7</v>
      </c>
      <c r="CM708" s="27" t="s">
        <v>8</v>
      </c>
    </row>
    <row r="709" spans="1:91" x14ac:dyDescent="0.25">
      <c r="A709" s="7">
        <v>8.9285111445528392E-2</v>
      </c>
      <c r="B709"/>
      <c r="C709"/>
      <c r="D709"/>
      <c r="E709"/>
      <c r="CJ709" s="27" t="s">
        <v>7</v>
      </c>
      <c r="CK709" s="27" t="s">
        <v>8</v>
      </c>
      <c r="CL709" s="27" t="s">
        <v>7</v>
      </c>
    </row>
    <row r="710" spans="1:91" x14ac:dyDescent="0.25">
      <c r="A710" s="7">
        <v>8.7534422985812155E-2</v>
      </c>
      <c r="B710"/>
      <c r="C710"/>
      <c r="D710"/>
      <c r="E710"/>
      <c r="CJ710" s="27" t="s">
        <v>7</v>
      </c>
      <c r="CK710" s="27" t="s">
        <v>8</v>
      </c>
    </row>
    <row r="711" spans="1:91" x14ac:dyDescent="0.25">
      <c r="A711" s="7">
        <v>8.5818061750796232E-2</v>
      </c>
      <c r="B711"/>
      <c r="C711"/>
      <c r="D711"/>
      <c r="E711"/>
      <c r="CJ711" s="27" t="s">
        <v>7</v>
      </c>
      <c r="CK711" s="27" t="s">
        <v>8</v>
      </c>
    </row>
    <row r="712" spans="1:91" x14ac:dyDescent="0.25">
      <c r="A712" s="7">
        <v>8.4135354657643366E-2</v>
      </c>
      <c r="B712"/>
      <c r="C712"/>
      <c r="D712"/>
      <c r="E712"/>
      <c r="CJ712" s="27" t="s">
        <v>7</v>
      </c>
      <c r="CK712" s="27" t="s">
        <v>8</v>
      </c>
    </row>
    <row r="713" spans="1:91" x14ac:dyDescent="0.25">
      <c r="A713" s="7">
        <v>8.248564182121898E-2</v>
      </c>
      <c r="B713"/>
      <c r="C713"/>
      <c r="D713"/>
      <c r="E713"/>
      <c r="CJ713" s="27" t="s">
        <v>7</v>
      </c>
      <c r="CK713" s="27" t="s">
        <v>8</v>
      </c>
    </row>
    <row r="714" spans="1:91" x14ac:dyDescent="0.25">
      <c r="A714" s="7">
        <v>8.0868276295312735E-2</v>
      </c>
      <c r="B714"/>
      <c r="C714"/>
      <c r="D714"/>
      <c r="E714"/>
      <c r="CJ714" s="27" t="s">
        <v>7</v>
      </c>
      <c r="CK714" s="27" t="s">
        <v>8</v>
      </c>
    </row>
    <row r="715" spans="1:91" x14ac:dyDescent="0.25">
      <c r="A715" s="7">
        <v>7.9282623818934056E-2</v>
      </c>
      <c r="B715"/>
      <c r="C715"/>
      <c r="D715"/>
      <c r="E715"/>
      <c r="CJ715" s="27" t="s">
        <v>7</v>
      </c>
      <c r="CK715" s="27" t="s">
        <v>8</v>
      </c>
    </row>
    <row r="716" spans="1:91" x14ac:dyDescent="0.25">
      <c r="A716" s="7">
        <v>7.7728062567582412E-2</v>
      </c>
      <c r="B716"/>
      <c r="C716"/>
      <c r="D716"/>
      <c r="E716"/>
      <c r="CJ716" s="27" t="s">
        <v>7</v>
      </c>
      <c r="CK716" s="27" t="s">
        <v>8</v>
      </c>
    </row>
    <row r="717" spans="1:91" x14ac:dyDescent="0.25">
      <c r="A717" s="7">
        <v>7.6203982909394521E-2</v>
      </c>
      <c r="B717"/>
      <c r="C717"/>
      <c r="D717"/>
      <c r="E717"/>
      <c r="CJ717" s="27" t="s">
        <v>7</v>
      </c>
      <c r="CK717" s="27" t="s">
        <v>8</v>
      </c>
    </row>
    <row r="718" spans="1:91" x14ac:dyDescent="0.25">
      <c r="A718" s="7">
        <v>7.4709787166073058E-2</v>
      </c>
      <c r="B718"/>
      <c r="C718"/>
      <c r="D718"/>
      <c r="E718"/>
      <c r="CJ718" s="27" t="s">
        <v>7</v>
      </c>
      <c r="CK718" s="27" t="s">
        <v>8</v>
      </c>
    </row>
    <row r="719" spans="1:91" x14ac:dyDescent="0.25">
      <c r="A719" s="7">
        <v>7.3244889378503E-2</v>
      </c>
      <c r="B719"/>
      <c r="C719"/>
      <c r="D719"/>
      <c r="E719"/>
      <c r="CJ719" s="27" t="s">
        <v>7</v>
      </c>
      <c r="CK719" s="27" t="s">
        <v>8</v>
      </c>
    </row>
    <row r="720" spans="1:91" x14ac:dyDescent="0.25">
      <c r="A720" s="7">
        <v>7.1808715076963722E-2</v>
      </c>
      <c r="B720"/>
      <c r="C720"/>
      <c r="D720"/>
      <c r="E720"/>
      <c r="CJ720" s="27" t="s">
        <v>7</v>
      </c>
      <c r="CK720" s="27" t="s">
        <v>8</v>
      </c>
    </row>
    <row r="721" spans="1:88" x14ac:dyDescent="0.25">
      <c r="A721" s="7">
        <v>7.0400701055846782E-2</v>
      </c>
      <c r="B721"/>
      <c r="C721"/>
      <c r="D721"/>
      <c r="E721"/>
      <c r="CJ721" s="27" t="s">
        <v>7</v>
      </c>
    </row>
    <row r="722" spans="1:88" x14ac:dyDescent="0.25">
      <c r="A722" s="7">
        <v>6.9020295152790956E-2</v>
      </c>
      <c r="B722"/>
      <c r="C722"/>
      <c r="D722"/>
      <c r="E722"/>
    </row>
    <row r="723" spans="1:88" x14ac:dyDescent="0.25">
      <c r="A723" s="7">
        <v>6.7666956032147993E-2</v>
      </c>
      <c r="B723"/>
      <c r="C723"/>
      <c r="D723"/>
      <c r="E723"/>
    </row>
    <row r="724" spans="1:88" x14ac:dyDescent="0.25">
      <c r="A724" s="7">
        <v>6.6340152972694105E-2</v>
      </c>
      <c r="B724"/>
      <c r="C724"/>
      <c r="D724"/>
      <c r="E724"/>
    </row>
    <row r="725" spans="1:88" x14ac:dyDescent="0.25">
      <c r="A725" s="7">
        <v>6.5039365659504023E-2</v>
      </c>
      <c r="B725"/>
      <c r="C725"/>
      <c r="D725"/>
      <c r="E725"/>
    </row>
    <row r="726" spans="1:88" x14ac:dyDescent="0.25">
      <c r="A726" s="7">
        <v>6.3764083979905906E-2</v>
      </c>
      <c r="B726"/>
      <c r="C726"/>
      <c r="D726"/>
      <c r="E726"/>
    </row>
    <row r="727" spans="1:88" x14ac:dyDescent="0.25">
      <c r="A727" s="7">
        <v>6.251380782343717E-2</v>
      </c>
      <c r="B727"/>
      <c r="C727"/>
      <c r="D727"/>
      <c r="E727"/>
    </row>
    <row r="728" spans="1:88" x14ac:dyDescent="0.25">
      <c r="A728" s="7">
        <v>6.1288046885722716E-2</v>
      </c>
      <c r="B728"/>
      <c r="C728"/>
      <c r="D728"/>
      <c r="E728"/>
    </row>
    <row r="729" spans="1:88" x14ac:dyDescent="0.25">
      <c r="A729" s="7">
        <v>6.0086320476198739E-2</v>
      </c>
      <c r="B729"/>
      <c r="C729"/>
      <c r="D729"/>
      <c r="E729"/>
    </row>
    <row r="730" spans="1:88" x14ac:dyDescent="0.25">
      <c r="A730" s="7">
        <v>5.8908157329606609E-2</v>
      </c>
      <c r="B730"/>
      <c r="C730"/>
      <c r="D730"/>
      <c r="E730"/>
    </row>
    <row r="731" spans="1:88" x14ac:dyDescent="0.25">
      <c r="A731" s="7">
        <v>5.7753095421182947E-2</v>
      </c>
      <c r="B731"/>
      <c r="C731"/>
      <c r="D731"/>
      <c r="E731"/>
    </row>
    <row r="732" spans="1:88" x14ac:dyDescent="0.25">
      <c r="A732" s="7">
        <v>5.6620681785473484E-2</v>
      </c>
      <c r="B732"/>
      <c r="C732"/>
      <c r="D732"/>
      <c r="E732"/>
    </row>
    <row r="733" spans="1:88" x14ac:dyDescent="0.25">
      <c r="A733" s="7">
        <v>5.5510472338699497E-2</v>
      </c>
      <c r="B733"/>
      <c r="C733"/>
      <c r="D733"/>
      <c r="E733"/>
    </row>
    <row r="734" spans="1:88" x14ac:dyDescent="0.25">
      <c r="A734" s="7">
        <v>5.4422031704607354E-2</v>
      </c>
      <c r="B734"/>
      <c r="C734"/>
      <c r="D734"/>
      <c r="E734"/>
    </row>
    <row r="735" spans="1:88" x14ac:dyDescent="0.25">
      <c r="A735" s="7">
        <v>5.3354933043732705E-2</v>
      </c>
      <c r="B735"/>
      <c r="C735"/>
      <c r="D735"/>
      <c r="E735"/>
    </row>
    <row r="736" spans="1:88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290" operator="equal">
      <formula>$U$1</formula>
    </cfRule>
    <cfRule type="cellIs" dxfId="89" priority="1291" operator="equal">
      <formula>$S$1</formula>
    </cfRule>
  </conditionalFormatting>
  <conditionalFormatting sqref="D27">
    <cfRule type="cellIs" dxfId="88" priority="1288" operator="equal">
      <formula>$S$1</formula>
    </cfRule>
    <cfRule type="cellIs" dxfId="87" priority="1289" operator="equal">
      <formula>$U$1</formula>
    </cfRule>
  </conditionalFormatting>
  <conditionalFormatting sqref="C164">
    <cfRule type="cellIs" dxfId="86" priority="1286" operator="equal">
      <formula>$U$1</formula>
    </cfRule>
    <cfRule type="cellIs" dxfId="85" priority="1287" operator="equal">
      <formula>$S$1</formula>
    </cfRule>
  </conditionalFormatting>
  <conditionalFormatting sqref="D164">
    <cfRule type="cellIs" dxfId="84" priority="1284" operator="equal">
      <formula>$S$1</formula>
    </cfRule>
    <cfRule type="cellIs" dxfId="83" priority="1285" operator="equal">
      <formula>$U$1</formula>
    </cfRule>
  </conditionalFormatting>
  <conditionalFormatting sqref="C55">
    <cfRule type="cellIs" dxfId="82" priority="1282" operator="equal">
      <formula>$U$1</formula>
    </cfRule>
    <cfRule type="cellIs" dxfId="81" priority="1283" operator="equal">
      <formula>$S$1</formula>
    </cfRule>
  </conditionalFormatting>
  <conditionalFormatting sqref="D55">
    <cfRule type="cellIs" dxfId="80" priority="1280" operator="equal">
      <formula>$S$1</formula>
    </cfRule>
    <cfRule type="cellIs" dxfId="79" priority="1281" operator="equal">
      <formula>$U$1</formula>
    </cfRule>
  </conditionalFormatting>
  <conditionalFormatting sqref="C89">
    <cfRule type="cellIs" dxfId="78" priority="1278" operator="equal">
      <formula>$U$1</formula>
    </cfRule>
    <cfRule type="cellIs" dxfId="77" priority="1279" operator="equal">
      <formula>$S$1</formula>
    </cfRule>
  </conditionalFormatting>
  <conditionalFormatting sqref="D89">
    <cfRule type="cellIs" dxfId="76" priority="1276" operator="equal">
      <formula>$S$1</formula>
    </cfRule>
    <cfRule type="cellIs" dxfId="75" priority="1277" operator="equal">
      <formula>$U$1</formula>
    </cfRule>
  </conditionalFormatting>
  <conditionalFormatting sqref="C136">
    <cfRule type="cellIs" dxfId="74" priority="1274" operator="equal">
      <formula>$U$1</formula>
    </cfRule>
    <cfRule type="cellIs" dxfId="73" priority="1275" operator="equal">
      <formula>$S$1</formula>
    </cfRule>
  </conditionalFormatting>
  <conditionalFormatting sqref="D136">
    <cfRule type="cellIs" dxfId="72" priority="1272" operator="equal">
      <formula>$S$1</formula>
    </cfRule>
    <cfRule type="cellIs" dxfId="71" priority="1273" operator="equal">
      <formula>$U$1</formula>
    </cfRule>
  </conditionalFormatting>
  <conditionalFormatting sqref="C1">
    <cfRule type="cellIs" dxfId="70" priority="127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GB260" sqref="GB260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$A$259</v>
      </c>
      <c r="D111" s="1" t="str">
        <f>ADDRESS(C121-1,D121,1,1)</f>
        <v>$GB$259</v>
      </c>
      <c r="E111"/>
    </row>
    <row r="112" spans="1:5" x14ac:dyDescent="0.25">
      <c r="A112" s="30">
        <v>515.50191262726139</v>
      </c>
      <c r="C112" s="1" t="str">
        <f>ADDRESS(C121,1,1,1)</f>
        <v>$A$260</v>
      </c>
      <c r="D112" s="1" t="str">
        <f>ADDRESS(C121,D121-1,1,1)</f>
        <v>$GA$260</v>
      </c>
      <c r="E112"/>
    </row>
    <row r="113" spans="1:5" x14ac:dyDescent="0.25">
      <c r="A113" s="30">
        <v>490.95420250215363</v>
      </c>
      <c r="C113" s="1" t="str">
        <f>ADDRESS(C121+1,1,1,1)</f>
        <v>$A$261</v>
      </c>
      <c r="D113" s="1" t="str">
        <f>ADDRESS(C121-1,D121+1,1,1)</f>
        <v>$GC$259</v>
      </c>
    </row>
    <row r="114" spans="1:5" x14ac:dyDescent="0.25">
      <c r="A114" s="30">
        <v>467.57543095443202</v>
      </c>
      <c r="C114" s="1" t="str">
        <f>ADDRESS(C121,D121,1,1)</f>
        <v>$GB$260</v>
      </c>
      <c r="D114" s="1" t="str">
        <f>ADDRESS(C121+1,D121+1,1,1)</f>
        <v>$GC$261</v>
      </c>
    </row>
    <row r="115" spans="1:5" x14ac:dyDescent="0.25">
      <c r="A115" s="30">
        <v>445.30993424231622</v>
      </c>
      <c r="C115" s="1" t="str">
        <f>ADDRESS(C121+1,D121,1,1)</f>
        <v>$GB$261</v>
      </c>
    </row>
    <row r="116" spans="1:5" x14ac:dyDescent="0.25">
      <c r="A116" s="30">
        <v>424.10469927839637</v>
      </c>
      <c r="C116" s="1">
        <f>C117-1</f>
        <v>259</v>
      </c>
    </row>
    <row r="117" spans="1:5" x14ac:dyDescent="0.25">
      <c r="A117" s="30">
        <v>403.9092374079965</v>
      </c>
      <c r="C117" s="1">
        <f>C121</f>
        <v>260</v>
      </c>
      <c r="D117" s="1">
        <f>D121</f>
        <v>184</v>
      </c>
    </row>
    <row r="118" spans="1:5" x14ac:dyDescent="0.25">
      <c r="A118" s="30">
        <v>384.6754641980919</v>
      </c>
      <c r="C118" s="1">
        <f>C117+1</f>
        <v>261</v>
      </c>
      <c r="D118" s="1">
        <f>D117+1</f>
        <v>185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260</v>
      </c>
      <c r="D121" s="19">
        <v>184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R260</v>
      </c>
      <c r="D123" s="1" t="str">
        <f>"C"&amp;D121</f>
        <v>C184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0.37688948287299762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42" x14ac:dyDescent="0.25">
      <c r="A209" s="30">
        <v>4.5380394939082018</v>
      </c>
      <c r="E209"/>
    </row>
    <row r="210" spans="1:142" x14ac:dyDescent="0.25">
      <c r="A210" s="30">
        <v>4.3219423751506678</v>
      </c>
      <c r="C210"/>
      <c r="E210"/>
    </row>
    <row r="211" spans="1:142" x14ac:dyDescent="0.25">
      <c r="A211" s="30">
        <v>4.1161355953815884</v>
      </c>
      <c r="E211"/>
    </row>
    <row r="212" spans="1:142" x14ac:dyDescent="0.25">
      <c r="A212" s="30">
        <v>3.9201291384586554</v>
      </c>
      <c r="E212"/>
    </row>
    <row r="213" spans="1:142" x14ac:dyDescent="0.25">
      <c r="A213" s="30">
        <v>3.7334563223415764</v>
      </c>
      <c r="E213"/>
    </row>
    <row r="214" spans="1:142" x14ac:dyDescent="0.25">
      <c r="A214" s="30">
        <v>3.5556726879443583</v>
      </c>
      <c r="E214"/>
    </row>
    <row r="215" spans="1:142" x14ac:dyDescent="0.25">
      <c r="A215" s="30">
        <v>3.3863549408993889</v>
      </c>
      <c r="E215"/>
    </row>
    <row r="216" spans="1:142" x14ac:dyDescent="0.25">
      <c r="A216" s="30">
        <v>3.2250999437137038</v>
      </c>
      <c r="E216"/>
    </row>
    <row r="217" spans="1:142" x14ac:dyDescent="0.25">
      <c r="A217" s="30">
        <v>3.0715237559178128</v>
      </c>
      <c r="E217"/>
    </row>
    <row r="218" spans="1:142" x14ac:dyDescent="0.25">
      <c r="A218" s="30">
        <v>2.9252607199217264</v>
      </c>
      <c r="E218"/>
    </row>
    <row r="219" spans="1:142" x14ac:dyDescent="0.25">
      <c r="A219" s="30">
        <v>2.7859625904016441</v>
      </c>
      <c r="E219"/>
    </row>
    <row r="220" spans="1:142" x14ac:dyDescent="0.25">
      <c r="A220" s="30">
        <v>2.6532977051444226</v>
      </c>
      <c r="E220"/>
    </row>
    <row r="221" spans="1:142" x14ac:dyDescent="0.25">
      <c r="A221" s="30">
        <v>2.5269501953756404</v>
      </c>
      <c r="E221"/>
      <c r="EC221" s="27" t="s">
        <v>8</v>
      </c>
      <c r="EK221" s="27" t="s">
        <v>8</v>
      </c>
    </row>
    <row r="222" spans="1:142" x14ac:dyDescent="0.25">
      <c r="A222" s="30">
        <v>2.4066192336910861</v>
      </c>
      <c r="E222"/>
      <c r="EC222" s="27" t="s">
        <v>8</v>
      </c>
      <c r="ED222" s="27" t="s">
        <v>7</v>
      </c>
      <c r="EK222" s="27" t="s">
        <v>8</v>
      </c>
      <c r="EL222" s="27" t="s">
        <v>7</v>
      </c>
    </row>
    <row r="223" spans="1:142" x14ac:dyDescent="0.25">
      <c r="A223" s="30">
        <v>2.2920183178010345</v>
      </c>
      <c r="E223"/>
      <c r="DY223" s="27" t="s">
        <v>8</v>
      </c>
      <c r="EC223" s="27" t="s">
        <v>8</v>
      </c>
      <c r="ED223" s="27" t="s">
        <v>7</v>
      </c>
      <c r="EK223" s="27" t="s">
        <v>8</v>
      </c>
      <c r="EL223" s="27" t="s">
        <v>7</v>
      </c>
    </row>
    <row r="224" spans="1:142" x14ac:dyDescent="0.25">
      <c r="A224" s="30">
        <v>2.1828745883819374</v>
      </c>
      <c r="E224"/>
      <c r="DY224" s="27" t="s">
        <v>8</v>
      </c>
      <c r="DZ224" s="27" t="s">
        <v>7</v>
      </c>
      <c r="EA224" s="27" t="s">
        <v>8</v>
      </c>
      <c r="EC224" s="27" t="s">
        <v>8</v>
      </c>
      <c r="ED224" s="27" t="s">
        <v>7</v>
      </c>
      <c r="EK224" s="27" t="s">
        <v>8</v>
      </c>
      <c r="EL224" s="27" t="s">
        <v>7</v>
      </c>
    </row>
    <row r="225" spans="1:178" x14ac:dyDescent="0.25">
      <c r="A225" s="30">
        <v>2.0789281794113688</v>
      </c>
      <c r="E225"/>
      <c r="DY225" s="27" t="s">
        <v>8</v>
      </c>
      <c r="DZ225" s="27" t="s">
        <v>7</v>
      </c>
      <c r="EA225" s="27" t="s">
        <v>8</v>
      </c>
      <c r="EB225" s="27" t="s">
        <v>7</v>
      </c>
      <c r="EC225" s="27" t="s">
        <v>8</v>
      </c>
      <c r="ED225" s="27" t="s">
        <v>7</v>
      </c>
      <c r="EI225" s="27" t="s">
        <v>8</v>
      </c>
      <c r="EK225" s="27" t="s">
        <v>8</v>
      </c>
      <c r="EL225" s="27" t="s">
        <v>7</v>
      </c>
    </row>
    <row r="226" spans="1:178" x14ac:dyDescent="0.25">
      <c r="A226" s="30">
        <v>1.9799315994393987</v>
      </c>
      <c r="E226"/>
      <c r="DY226" s="27" t="s">
        <v>8</v>
      </c>
      <c r="DZ226" s="27" t="s">
        <v>7</v>
      </c>
      <c r="EA226" s="27" t="s">
        <v>8</v>
      </c>
      <c r="EB226" s="27" t="s">
        <v>7</v>
      </c>
      <c r="EC226" s="27" t="s">
        <v>8</v>
      </c>
      <c r="ED226" s="27" t="s">
        <v>7</v>
      </c>
      <c r="EE226" s="27" t="s">
        <v>8</v>
      </c>
      <c r="EI226" s="27" t="s">
        <v>8</v>
      </c>
      <c r="EJ226" s="27" t="s">
        <v>7</v>
      </c>
      <c r="EK226" s="27" t="s">
        <v>8</v>
      </c>
      <c r="EL226" s="27" t="s">
        <v>7</v>
      </c>
      <c r="EM226" s="27" t="s">
        <v>8</v>
      </c>
    </row>
    <row r="227" spans="1:178" x14ac:dyDescent="0.25">
      <c r="A227" s="30">
        <v>1.8856491423232367</v>
      </c>
      <c r="E227"/>
      <c r="DY227" s="27" t="s">
        <v>8</v>
      </c>
      <c r="DZ227" s="27" t="s">
        <v>7</v>
      </c>
      <c r="EA227" s="27" t="s">
        <v>8</v>
      </c>
      <c r="EB227" s="27" t="s">
        <v>7</v>
      </c>
      <c r="EC227" s="27" t="s">
        <v>8</v>
      </c>
      <c r="ED227" s="27" t="s">
        <v>7</v>
      </c>
      <c r="EE227" s="27" t="s">
        <v>8</v>
      </c>
      <c r="EF227" s="27" t="s">
        <v>7</v>
      </c>
      <c r="EG227" s="27" t="s">
        <v>8</v>
      </c>
      <c r="EI227" s="27" t="s">
        <v>8</v>
      </c>
      <c r="EJ227" s="27" t="s">
        <v>7</v>
      </c>
      <c r="EK227" s="27" t="s">
        <v>8</v>
      </c>
      <c r="EL227" s="27" t="s">
        <v>7</v>
      </c>
      <c r="EM227" s="27" t="s">
        <v>8</v>
      </c>
      <c r="EN227" s="27" t="s">
        <v>7</v>
      </c>
    </row>
    <row r="228" spans="1:178" x14ac:dyDescent="0.25">
      <c r="A228" s="30">
        <v>1.7958563260221301</v>
      </c>
      <c r="C228" s="7"/>
      <c r="D228"/>
      <c r="E228"/>
      <c r="DY228" s="27" t="s">
        <v>8</v>
      </c>
      <c r="DZ228" s="27" t="s">
        <v>7</v>
      </c>
      <c r="EA228" s="27" t="s">
        <v>8</v>
      </c>
      <c r="EB228" s="27" t="s">
        <v>7</v>
      </c>
      <c r="EC228" s="27" t="s">
        <v>8</v>
      </c>
      <c r="ED228" s="27" t="s">
        <v>7</v>
      </c>
      <c r="EE228" s="27" t="s">
        <v>8</v>
      </c>
      <c r="EF228" s="27" t="s">
        <v>7</v>
      </c>
      <c r="EG228" s="27" t="s">
        <v>8</v>
      </c>
      <c r="EH228" s="27" t="s">
        <v>7</v>
      </c>
      <c r="EI228" s="27" t="s">
        <v>8</v>
      </c>
      <c r="EJ228" s="27" t="s">
        <v>7</v>
      </c>
      <c r="EL228" s="27" t="s">
        <v>7</v>
      </c>
      <c r="EM228" s="27" t="s">
        <v>8</v>
      </c>
      <c r="EN228" s="27" t="s">
        <v>7</v>
      </c>
    </row>
    <row r="229" spans="1:178" x14ac:dyDescent="0.25">
      <c r="A229" s="30">
        <v>1.7103393581163142</v>
      </c>
      <c r="E229"/>
      <c r="DY229" s="27" t="s">
        <v>8</v>
      </c>
      <c r="DZ229" s="27" t="s">
        <v>7</v>
      </c>
      <c r="EA229" s="27" t="s">
        <v>8</v>
      </c>
      <c r="EB229" s="27" t="s">
        <v>7</v>
      </c>
      <c r="EC229" s="27" t="s">
        <v>8</v>
      </c>
      <c r="ED229" s="27" t="s">
        <v>7</v>
      </c>
      <c r="EF229" s="27" t="s">
        <v>7</v>
      </c>
      <c r="EG229" s="27" t="s">
        <v>8</v>
      </c>
      <c r="EH229" s="27" t="s">
        <v>7</v>
      </c>
      <c r="EI229" s="27" t="s">
        <v>8</v>
      </c>
      <c r="EL229" s="27" t="s">
        <v>7</v>
      </c>
      <c r="EN229" s="27" t="s">
        <v>7</v>
      </c>
    </row>
    <row r="230" spans="1:178" x14ac:dyDescent="0.25">
      <c r="A230" s="30">
        <v>1.628894626777442</v>
      </c>
      <c r="E230"/>
      <c r="DW230" s="27" t="s">
        <v>8</v>
      </c>
      <c r="DY230" s="27" t="s">
        <v>8</v>
      </c>
      <c r="DZ230" s="27" t="s">
        <v>7</v>
      </c>
      <c r="EB230" s="27" t="s">
        <v>7</v>
      </c>
      <c r="EF230" s="27" t="s">
        <v>7</v>
      </c>
      <c r="EG230" s="27" t="s">
        <v>8</v>
      </c>
      <c r="EH230" s="27" t="s">
        <v>7</v>
      </c>
      <c r="EI230" s="27" t="s">
        <v>8</v>
      </c>
      <c r="EN230" s="27" t="s">
        <v>7</v>
      </c>
    </row>
    <row r="231" spans="1:178" x14ac:dyDescent="0.25">
      <c r="A231" s="30">
        <v>1.5513282159785162</v>
      </c>
      <c r="C231"/>
      <c r="D231"/>
      <c r="E231"/>
      <c r="DW231" s="27" t="s">
        <v>8</v>
      </c>
      <c r="DX231" s="27" t="s">
        <v>7</v>
      </c>
      <c r="DY231" s="27" t="s">
        <v>8</v>
      </c>
      <c r="EF231" s="27" t="s">
        <v>7</v>
      </c>
      <c r="EG231" s="27" t="s">
        <v>8</v>
      </c>
      <c r="EH231" s="27" t="s">
        <v>7</v>
      </c>
      <c r="EN231" s="27" t="s">
        <v>7</v>
      </c>
    </row>
    <row r="232" spans="1:178" x14ac:dyDescent="0.25">
      <c r="A232" s="30">
        <v>1.477455443789063</v>
      </c>
      <c r="E232"/>
      <c r="DW232" s="27" t="s">
        <v>8</v>
      </c>
      <c r="DX232" s="27" t="s">
        <v>7</v>
      </c>
      <c r="DY232" s="27" t="s">
        <v>8</v>
      </c>
      <c r="EF232" s="27" t="s">
        <v>7</v>
      </c>
      <c r="EG232" s="27" t="s">
        <v>8</v>
      </c>
      <c r="EN232" s="27" t="s">
        <v>7</v>
      </c>
    </row>
    <row r="233" spans="1:178" x14ac:dyDescent="0.25">
      <c r="A233" s="30">
        <v>1.4071004226562505</v>
      </c>
      <c r="E233"/>
      <c r="DW233" s="27" t="s">
        <v>8</v>
      </c>
      <c r="DX233" s="27" t="s">
        <v>7</v>
      </c>
      <c r="DY233" s="27" t="s">
        <v>8</v>
      </c>
      <c r="EF233" s="27" t="s">
        <v>7</v>
      </c>
      <c r="EG233" s="27" t="s">
        <v>8</v>
      </c>
      <c r="EN233" s="27" t="s">
        <v>7</v>
      </c>
    </row>
    <row r="234" spans="1:178" x14ac:dyDescent="0.25">
      <c r="A234" s="30">
        <v>1.3400956406250004</v>
      </c>
      <c r="E234"/>
      <c r="DW234" s="27" t="s">
        <v>8</v>
      </c>
      <c r="DX234" s="27" t="s">
        <v>7</v>
      </c>
      <c r="DY234" s="27" t="s">
        <v>8</v>
      </c>
      <c r="EF234" s="27" t="s">
        <v>7</v>
      </c>
      <c r="EG234" s="27" t="s">
        <v>8</v>
      </c>
      <c r="EN234" s="27" t="s">
        <v>7</v>
      </c>
    </row>
    <row r="235" spans="1:178" x14ac:dyDescent="0.25">
      <c r="A235" s="30">
        <v>1.2762815625000004</v>
      </c>
      <c r="C235"/>
      <c r="E235"/>
      <c r="DW235" s="27" t="s">
        <v>8</v>
      </c>
      <c r="DX235" s="27" t="s">
        <v>7</v>
      </c>
      <c r="DY235" s="27" t="s">
        <v>8</v>
      </c>
      <c r="EF235" s="27" t="s">
        <v>7</v>
      </c>
      <c r="EG235" s="27" t="s">
        <v>8</v>
      </c>
      <c r="EN235" s="27" t="s">
        <v>7</v>
      </c>
      <c r="FG235" s="27" t="s">
        <v>8</v>
      </c>
    </row>
    <row r="236" spans="1:178" x14ac:dyDescent="0.25">
      <c r="A236" s="30">
        <v>1.2155062500000002</v>
      </c>
      <c r="E236"/>
      <c r="DO236" s="27" t="s">
        <v>8</v>
      </c>
      <c r="DW236" s="27" t="s">
        <v>8</v>
      </c>
      <c r="DX236" s="27" t="s">
        <v>7</v>
      </c>
      <c r="DY236" s="27" t="s">
        <v>8</v>
      </c>
      <c r="EF236" s="27" t="s">
        <v>7</v>
      </c>
      <c r="EG236" s="27" t="s">
        <v>8</v>
      </c>
      <c r="EN236" s="27" t="s">
        <v>7</v>
      </c>
      <c r="FG236" s="27" t="s">
        <v>8</v>
      </c>
      <c r="FH236" s="27" t="s">
        <v>7</v>
      </c>
      <c r="FS236" s="27" t="s">
        <v>8</v>
      </c>
    </row>
    <row r="237" spans="1:17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DO237" s="27" t="s">
        <v>8</v>
      </c>
      <c r="DP237" s="27" t="s">
        <v>7</v>
      </c>
      <c r="DW237" s="27" t="s">
        <v>8</v>
      </c>
      <c r="DX237" s="27" t="s">
        <v>7</v>
      </c>
      <c r="DY237" s="27" t="s">
        <v>8</v>
      </c>
      <c r="EF237" s="27" t="s">
        <v>7</v>
      </c>
      <c r="EN237" s="27" t="s">
        <v>7</v>
      </c>
      <c r="EO237" s="27" t="s">
        <v>8</v>
      </c>
      <c r="FG237" s="27" t="s">
        <v>8</v>
      </c>
      <c r="FH237" s="27" t="s">
        <v>7</v>
      </c>
      <c r="FS237" s="27" t="s">
        <v>8</v>
      </c>
      <c r="FT237" s="27" t="s">
        <v>7</v>
      </c>
      <c r="FU237" s="27" t="s">
        <v>8</v>
      </c>
    </row>
    <row r="238" spans="1:178" x14ac:dyDescent="0.25">
      <c r="A238" s="30">
        <v>1.1025</v>
      </c>
      <c r="E238"/>
      <c r="DO238" s="27" t="s">
        <v>8</v>
      </c>
      <c r="DP238" s="27" t="s">
        <v>7</v>
      </c>
      <c r="DW238" s="27" t="s">
        <v>8</v>
      </c>
      <c r="DX238" s="27" t="s">
        <v>7</v>
      </c>
      <c r="EN238" s="27" t="s">
        <v>7</v>
      </c>
      <c r="EO238" s="27" t="s">
        <v>8</v>
      </c>
      <c r="EP238" s="27" t="s">
        <v>7</v>
      </c>
      <c r="FG238" s="27" t="s">
        <v>8</v>
      </c>
      <c r="FH238" s="27" t="s">
        <v>7</v>
      </c>
      <c r="FS238" s="27" t="s">
        <v>8</v>
      </c>
      <c r="FT238" s="27" t="s">
        <v>7</v>
      </c>
      <c r="FU238" s="27" t="s">
        <v>8</v>
      </c>
      <c r="FV238" s="27" t="s">
        <v>7</v>
      </c>
    </row>
    <row r="239" spans="1:178" x14ac:dyDescent="0.25">
      <c r="A239" s="30">
        <v>1.05</v>
      </c>
      <c r="E239"/>
      <c r="DO239" s="27" t="s">
        <v>8</v>
      </c>
      <c r="DP239" s="27" t="s">
        <v>7</v>
      </c>
      <c r="DW239" s="27" t="s">
        <v>8</v>
      </c>
      <c r="EN239" s="27" t="s">
        <v>7</v>
      </c>
      <c r="EO239" s="27" t="s">
        <v>8</v>
      </c>
      <c r="EP239" s="27" t="s">
        <v>7</v>
      </c>
      <c r="ES239" s="27" t="s">
        <v>8</v>
      </c>
      <c r="FG239" s="27" t="s">
        <v>8</v>
      </c>
      <c r="FH239" s="27" t="s">
        <v>7</v>
      </c>
      <c r="FI239" s="27" t="s">
        <v>8</v>
      </c>
      <c r="FQ239" s="27" t="s">
        <v>8</v>
      </c>
      <c r="FS239" s="27" t="s">
        <v>8</v>
      </c>
      <c r="FT239" s="27" t="s">
        <v>7</v>
      </c>
      <c r="FU239" s="27" t="s">
        <v>8</v>
      </c>
      <c r="FV239" s="27" t="s">
        <v>7</v>
      </c>
    </row>
    <row r="240" spans="1:178" x14ac:dyDescent="0.25">
      <c r="A240" s="30">
        <v>1</v>
      </c>
      <c r="E240" s="29" t="s">
        <v>8</v>
      </c>
      <c r="DO240" s="27" t="s">
        <v>8</v>
      </c>
      <c r="DP240" s="27" t="s">
        <v>7</v>
      </c>
      <c r="DW240" s="27" t="s">
        <v>8</v>
      </c>
      <c r="EN240" s="27" t="s">
        <v>7</v>
      </c>
      <c r="EO240" s="27" t="s">
        <v>8</v>
      </c>
      <c r="EP240" s="27" t="s">
        <v>7</v>
      </c>
      <c r="ES240" s="27" t="s">
        <v>8</v>
      </c>
      <c r="ET240" s="27" t="s">
        <v>7</v>
      </c>
      <c r="FG240" s="27" t="s">
        <v>8</v>
      </c>
      <c r="FH240" s="27" t="s">
        <v>7</v>
      </c>
      <c r="FI240" s="27" t="s">
        <v>8</v>
      </c>
      <c r="FJ240" s="27" t="s">
        <v>7</v>
      </c>
      <c r="FM240" s="27" t="s">
        <v>8</v>
      </c>
      <c r="FO240" s="27" t="s">
        <v>8</v>
      </c>
      <c r="FQ240" s="27" t="s">
        <v>8</v>
      </c>
      <c r="FR240" s="27" t="s">
        <v>7</v>
      </c>
      <c r="FS240" s="27" t="s">
        <v>8</v>
      </c>
      <c r="FT240" s="27" t="s">
        <v>7</v>
      </c>
      <c r="FU240" s="27" t="s">
        <v>8</v>
      </c>
      <c r="FV240" s="27" t="s">
        <v>7</v>
      </c>
    </row>
    <row r="241" spans="1:184" x14ac:dyDescent="0.25">
      <c r="A241" s="30">
        <v>0.952380952380952</v>
      </c>
      <c r="B241"/>
      <c r="C241"/>
      <c r="D241"/>
      <c r="E241"/>
      <c r="F241" s="27" t="s">
        <v>7</v>
      </c>
      <c r="DM241" s="27" t="s">
        <v>8</v>
      </c>
      <c r="DO241" s="27" t="s">
        <v>8</v>
      </c>
      <c r="DP241" s="27" t="s">
        <v>7</v>
      </c>
      <c r="DW241" s="27" t="s">
        <v>8</v>
      </c>
      <c r="EN241" s="27" t="s">
        <v>7</v>
      </c>
      <c r="EO241" s="27" t="s">
        <v>8</v>
      </c>
      <c r="EP241" s="27" t="s">
        <v>7</v>
      </c>
      <c r="EQ241" s="27" t="s">
        <v>8</v>
      </c>
      <c r="ES241" s="27" t="s">
        <v>8</v>
      </c>
      <c r="ET241" s="27" t="s">
        <v>7</v>
      </c>
      <c r="EU241" s="27" t="s">
        <v>8</v>
      </c>
      <c r="FG241" s="27" t="s">
        <v>8</v>
      </c>
      <c r="FH241" s="27" t="s">
        <v>7</v>
      </c>
      <c r="FI241" s="27" t="s">
        <v>8</v>
      </c>
      <c r="FJ241" s="27" t="s">
        <v>7</v>
      </c>
      <c r="FM241" s="27" t="s">
        <v>8</v>
      </c>
      <c r="FN241" s="27" t="s">
        <v>7</v>
      </c>
      <c r="FO241" s="27" t="s">
        <v>8</v>
      </c>
      <c r="FP241" s="27" t="s">
        <v>7</v>
      </c>
      <c r="FQ241" s="27" t="s">
        <v>8</v>
      </c>
      <c r="FR241" s="27" t="s">
        <v>7</v>
      </c>
      <c r="FS241" s="27" t="s">
        <v>8</v>
      </c>
      <c r="FT241" s="27" t="s">
        <v>7</v>
      </c>
      <c r="FU241" s="27" t="s">
        <v>8</v>
      </c>
      <c r="FV241" s="27" t="s">
        <v>7</v>
      </c>
    </row>
    <row r="242" spans="1:184" x14ac:dyDescent="0.25">
      <c r="A242" s="30">
        <v>0.90702947845804915</v>
      </c>
      <c r="B242"/>
      <c r="C242"/>
      <c r="D242"/>
      <c r="E242"/>
      <c r="F242" s="27" t="s">
        <v>7</v>
      </c>
      <c r="DM242" s="27" t="s">
        <v>8</v>
      </c>
      <c r="DN242" s="27" t="s">
        <v>7</v>
      </c>
      <c r="DO242" s="27" t="s">
        <v>8</v>
      </c>
      <c r="DP242" s="27" t="s">
        <v>7</v>
      </c>
      <c r="DQ242" s="27" t="s">
        <v>8</v>
      </c>
      <c r="DW242" s="27" t="s">
        <v>8</v>
      </c>
      <c r="EN242" s="27" t="s">
        <v>7</v>
      </c>
      <c r="EO242" s="27" t="s">
        <v>8</v>
      </c>
      <c r="EP242" s="27" t="s">
        <v>7</v>
      </c>
      <c r="EQ242" s="27" t="s">
        <v>8</v>
      </c>
      <c r="ER242" s="27" t="s">
        <v>7</v>
      </c>
      <c r="ES242" s="27" t="s">
        <v>8</v>
      </c>
      <c r="ET242" s="27" t="s">
        <v>7</v>
      </c>
      <c r="EU242" s="27" t="s">
        <v>8</v>
      </c>
      <c r="EV242" s="27" t="s">
        <v>7</v>
      </c>
      <c r="FC242" s="27" t="s">
        <v>8</v>
      </c>
      <c r="FE242" s="27" t="s">
        <v>8</v>
      </c>
      <c r="FG242" s="27" t="s">
        <v>8</v>
      </c>
      <c r="FH242" s="27" t="s">
        <v>7</v>
      </c>
      <c r="FI242" s="27" t="s">
        <v>8</v>
      </c>
      <c r="FJ242" s="27" t="s">
        <v>7</v>
      </c>
      <c r="FM242" s="27" t="s">
        <v>8</v>
      </c>
      <c r="FN242" s="27" t="s">
        <v>7</v>
      </c>
      <c r="FO242" s="27" t="s">
        <v>8</v>
      </c>
      <c r="FP242" s="27" t="s">
        <v>7</v>
      </c>
      <c r="FQ242" s="27" t="s">
        <v>8</v>
      </c>
      <c r="FR242" s="27" t="s">
        <v>7</v>
      </c>
      <c r="FS242" s="27" t="s">
        <v>8</v>
      </c>
      <c r="FT242" s="27" t="s">
        <v>7</v>
      </c>
      <c r="FU242" s="27" t="s">
        <v>8</v>
      </c>
      <c r="FV242" s="27" t="s">
        <v>7</v>
      </c>
    </row>
    <row r="243" spans="1:184" x14ac:dyDescent="0.25">
      <c r="A243" s="30">
        <v>0.86383759853147501</v>
      </c>
      <c r="B243"/>
      <c r="C243"/>
      <c r="D243"/>
      <c r="E243"/>
      <c r="F243" s="27" t="s">
        <v>7</v>
      </c>
      <c r="DK243" s="27" t="s">
        <v>8</v>
      </c>
      <c r="DM243" s="27" t="s">
        <v>8</v>
      </c>
      <c r="DN243" s="27" t="s">
        <v>7</v>
      </c>
      <c r="DO243" s="27" t="s">
        <v>8</v>
      </c>
      <c r="DP243" s="27" t="s">
        <v>7</v>
      </c>
      <c r="DQ243" s="27" t="s">
        <v>8</v>
      </c>
      <c r="DR243" s="27" t="s">
        <v>7</v>
      </c>
      <c r="DU243" s="27" t="s">
        <v>8</v>
      </c>
      <c r="DW243" s="27" t="s">
        <v>8</v>
      </c>
      <c r="EN243" s="27" t="s">
        <v>7</v>
      </c>
      <c r="EO243" s="27" t="s">
        <v>8</v>
      </c>
      <c r="EP243" s="27" t="s">
        <v>7</v>
      </c>
      <c r="EQ243" s="27" t="s">
        <v>8</v>
      </c>
      <c r="ER243" s="27" t="s">
        <v>7</v>
      </c>
      <c r="ES243" s="27" t="s">
        <v>8</v>
      </c>
      <c r="ET243" s="27" t="s">
        <v>7</v>
      </c>
      <c r="EU243" s="27" t="s">
        <v>8</v>
      </c>
      <c r="EV243" s="27" t="s">
        <v>7</v>
      </c>
      <c r="FC243" s="27" t="s">
        <v>8</v>
      </c>
      <c r="FD243" s="27" t="s">
        <v>7</v>
      </c>
      <c r="FE243" s="27" t="s">
        <v>8</v>
      </c>
      <c r="FF243" s="27" t="s">
        <v>7</v>
      </c>
      <c r="FG243" s="27" t="s">
        <v>8</v>
      </c>
      <c r="FH243" s="27" t="s">
        <v>7</v>
      </c>
      <c r="FJ243" s="27" t="s">
        <v>7</v>
      </c>
      <c r="FK243" s="27" t="s">
        <v>8</v>
      </c>
      <c r="FM243" s="27" t="s">
        <v>8</v>
      </c>
      <c r="FN243" s="27" t="s">
        <v>7</v>
      </c>
      <c r="FP243" s="27" t="s">
        <v>7</v>
      </c>
      <c r="FR243" s="27" t="s">
        <v>7</v>
      </c>
      <c r="FS243" s="27" t="s">
        <v>8</v>
      </c>
      <c r="FT243" s="27" t="s">
        <v>7</v>
      </c>
      <c r="FU243" s="27" t="s">
        <v>8</v>
      </c>
      <c r="FV243" s="27" t="s">
        <v>7</v>
      </c>
      <c r="FY243" s="27" t="s">
        <v>8</v>
      </c>
      <c r="GA243" s="27" t="s">
        <v>8</v>
      </c>
    </row>
    <row r="244" spans="1:184" x14ac:dyDescent="0.25">
      <c r="A244" s="30">
        <v>0.82270247479188063</v>
      </c>
      <c r="B244"/>
      <c r="C244"/>
      <c r="D244"/>
      <c r="E244"/>
      <c r="F244" s="27" t="s">
        <v>7</v>
      </c>
      <c r="DK244" s="27" t="s">
        <v>8</v>
      </c>
      <c r="DL244" s="27" t="s">
        <v>7</v>
      </c>
      <c r="DM244" s="27" t="s">
        <v>8</v>
      </c>
      <c r="DN244" s="27" t="s">
        <v>7</v>
      </c>
      <c r="DO244" s="27" t="s">
        <v>8</v>
      </c>
      <c r="DP244" s="27" t="s">
        <v>7</v>
      </c>
      <c r="DQ244" s="27" t="s">
        <v>8</v>
      </c>
      <c r="DR244" s="27" t="s">
        <v>7</v>
      </c>
      <c r="DS244" s="27" t="s">
        <v>8</v>
      </c>
      <c r="DU244" s="27" t="s">
        <v>8</v>
      </c>
      <c r="DV244" s="27" t="s">
        <v>7</v>
      </c>
      <c r="DW244" s="27" t="s">
        <v>8</v>
      </c>
      <c r="EN244" s="27" t="s">
        <v>7</v>
      </c>
      <c r="EO244" s="27" t="s">
        <v>8</v>
      </c>
      <c r="EP244" s="27" t="s">
        <v>7</v>
      </c>
      <c r="ER244" s="27" t="s">
        <v>7</v>
      </c>
      <c r="ES244" s="27" t="s">
        <v>8</v>
      </c>
      <c r="ET244" s="27" t="s">
        <v>7</v>
      </c>
      <c r="EU244" s="27" t="s">
        <v>8</v>
      </c>
      <c r="EV244" s="27" t="s">
        <v>7</v>
      </c>
      <c r="FC244" s="27" t="s">
        <v>8</v>
      </c>
      <c r="FD244" s="27" t="s">
        <v>7</v>
      </c>
      <c r="FE244" s="27" t="s">
        <v>8</v>
      </c>
      <c r="FF244" s="27" t="s">
        <v>7</v>
      </c>
      <c r="FG244" s="27" t="s">
        <v>8</v>
      </c>
      <c r="FJ244" s="27" t="s">
        <v>7</v>
      </c>
      <c r="FK244" s="27" t="s">
        <v>8</v>
      </c>
      <c r="FL244" s="27" t="s">
        <v>7</v>
      </c>
      <c r="FM244" s="27" t="s">
        <v>8</v>
      </c>
      <c r="FR244" s="27" t="s">
        <v>7</v>
      </c>
      <c r="FS244" s="27" t="s">
        <v>8</v>
      </c>
      <c r="FT244" s="27" t="s">
        <v>7</v>
      </c>
      <c r="FV244" s="27" t="s">
        <v>7</v>
      </c>
      <c r="FW244" s="27" t="s">
        <v>8</v>
      </c>
      <c r="FY244" s="27" t="s">
        <v>8</v>
      </c>
      <c r="FZ244" s="27" t="s">
        <v>7</v>
      </c>
      <c r="GA244" s="27" t="s">
        <v>8</v>
      </c>
      <c r="GB244" s="27" t="s">
        <v>7</v>
      </c>
    </row>
    <row r="245" spans="1:184" x14ac:dyDescent="0.25">
      <c r="A245" s="30">
        <v>0.78352616646845741</v>
      </c>
      <c r="B245"/>
      <c r="C245"/>
      <c r="D245"/>
      <c r="E245"/>
      <c r="F245" s="27" t="s">
        <v>7</v>
      </c>
      <c r="DK245" s="27" t="s">
        <v>8</v>
      </c>
      <c r="DL245" s="27" t="s">
        <v>7</v>
      </c>
      <c r="DM245" s="27" t="s">
        <v>8</v>
      </c>
      <c r="DN245" s="27" t="s">
        <v>7</v>
      </c>
      <c r="DO245" s="27" t="s">
        <v>8</v>
      </c>
      <c r="DP245" s="27" t="s">
        <v>7</v>
      </c>
      <c r="DQ245" s="27" t="s">
        <v>8</v>
      </c>
      <c r="DR245" s="27" t="s">
        <v>7</v>
      </c>
      <c r="DS245" s="27" t="s">
        <v>8</v>
      </c>
      <c r="DT245" s="27" t="s">
        <v>7</v>
      </c>
      <c r="DU245" s="27" t="s">
        <v>8</v>
      </c>
      <c r="DV245" s="27" t="s">
        <v>7</v>
      </c>
      <c r="DW245" s="27" t="s">
        <v>8</v>
      </c>
      <c r="EN245" s="27" t="s">
        <v>7</v>
      </c>
      <c r="EO245" s="27" t="s">
        <v>8</v>
      </c>
      <c r="ER245" s="27" t="s">
        <v>7</v>
      </c>
      <c r="ES245" s="27" t="s">
        <v>8</v>
      </c>
      <c r="ET245" s="27" t="s">
        <v>7</v>
      </c>
      <c r="EV245" s="27" t="s">
        <v>7</v>
      </c>
      <c r="FC245" s="27" t="s">
        <v>8</v>
      </c>
      <c r="FD245" s="27" t="s">
        <v>7</v>
      </c>
      <c r="FF245" s="27" t="s">
        <v>7</v>
      </c>
      <c r="FJ245" s="27" t="s">
        <v>7</v>
      </c>
      <c r="FK245" s="27" t="s">
        <v>8</v>
      </c>
      <c r="FL245" s="27" t="s">
        <v>7</v>
      </c>
      <c r="FM245" s="27" t="s">
        <v>8</v>
      </c>
      <c r="FR245" s="27" t="s">
        <v>7</v>
      </c>
      <c r="FV245" s="27" t="s">
        <v>7</v>
      </c>
      <c r="FW245" s="27" t="s">
        <v>8</v>
      </c>
      <c r="FX245" s="27" t="s">
        <v>7</v>
      </c>
      <c r="FY245" s="27" t="s">
        <v>8</v>
      </c>
      <c r="FZ245" s="27" t="s">
        <v>7</v>
      </c>
      <c r="GA245" s="27" t="s">
        <v>8</v>
      </c>
      <c r="GB245" s="27" t="s">
        <v>7</v>
      </c>
    </row>
    <row r="246" spans="1:184" x14ac:dyDescent="0.25">
      <c r="A246" s="30">
        <v>0.74621539663662584</v>
      </c>
      <c r="B246"/>
      <c r="C246"/>
      <c r="D246"/>
      <c r="E246"/>
      <c r="F246" s="27" t="s">
        <v>7</v>
      </c>
      <c r="DK246" s="27" t="s">
        <v>8</v>
      </c>
      <c r="DL246" s="27" t="s">
        <v>7</v>
      </c>
      <c r="DN246" s="27" t="s">
        <v>7</v>
      </c>
      <c r="DP246" s="27" t="s">
        <v>7</v>
      </c>
      <c r="DQ246" s="27" t="s">
        <v>8</v>
      </c>
      <c r="DR246" s="27" t="s">
        <v>7</v>
      </c>
      <c r="DS246" s="27" t="s">
        <v>8</v>
      </c>
      <c r="DT246" s="27" t="s">
        <v>7</v>
      </c>
      <c r="DU246" s="27" t="s">
        <v>8</v>
      </c>
      <c r="DV246" s="27" t="s">
        <v>7</v>
      </c>
      <c r="EN246" s="27" t="s">
        <v>7</v>
      </c>
      <c r="ER246" s="27" t="s">
        <v>7</v>
      </c>
      <c r="ES246" s="27" t="s">
        <v>8</v>
      </c>
      <c r="EV246" s="27" t="s">
        <v>7</v>
      </c>
      <c r="FC246" s="27" t="s">
        <v>8</v>
      </c>
      <c r="FJ246" s="27" t="s">
        <v>7</v>
      </c>
      <c r="FK246" s="27" t="s">
        <v>8</v>
      </c>
      <c r="FL246" s="27" t="s">
        <v>7</v>
      </c>
      <c r="FM246" s="27" t="s">
        <v>8</v>
      </c>
      <c r="FV246" s="27" t="s">
        <v>7</v>
      </c>
      <c r="FW246" s="27" t="s">
        <v>8</v>
      </c>
      <c r="FX246" s="27" t="s">
        <v>7</v>
      </c>
      <c r="FY246" s="27" t="s">
        <v>8</v>
      </c>
      <c r="FZ246" s="27" t="s">
        <v>7</v>
      </c>
      <c r="GA246" s="27" t="s">
        <v>8</v>
      </c>
      <c r="GB246" s="27" t="s">
        <v>7</v>
      </c>
    </row>
    <row r="247" spans="1:184" x14ac:dyDescent="0.25">
      <c r="A247" s="30">
        <v>0.71068133013011958</v>
      </c>
      <c r="B247"/>
      <c r="C247"/>
      <c r="D247"/>
      <c r="E247"/>
      <c r="F247" s="27" t="s">
        <v>7</v>
      </c>
      <c r="DK247" s="27" t="s">
        <v>8</v>
      </c>
      <c r="DP247" s="27" t="s">
        <v>7</v>
      </c>
      <c r="DQ247" s="27" t="s">
        <v>8</v>
      </c>
      <c r="DR247" s="27" t="s">
        <v>7</v>
      </c>
      <c r="DT247" s="27" t="s">
        <v>7</v>
      </c>
      <c r="DU247" s="27" t="s">
        <v>8</v>
      </c>
      <c r="ER247" s="27" t="s">
        <v>7</v>
      </c>
      <c r="ES247" s="27" t="s">
        <v>8</v>
      </c>
      <c r="EV247" s="27" t="s">
        <v>7</v>
      </c>
      <c r="FC247" s="27" t="s">
        <v>8</v>
      </c>
      <c r="FJ247" s="27" t="s">
        <v>7</v>
      </c>
      <c r="FL247" s="27" t="s">
        <v>7</v>
      </c>
      <c r="FV247" s="27" t="s">
        <v>7</v>
      </c>
      <c r="FW247" s="27" t="s">
        <v>8</v>
      </c>
      <c r="FX247" s="27" t="s">
        <v>7</v>
      </c>
      <c r="FY247" s="27" t="s">
        <v>8</v>
      </c>
      <c r="FZ247" s="27" t="s">
        <v>7</v>
      </c>
      <c r="GA247" s="27" t="s">
        <v>8</v>
      </c>
      <c r="GB247" s="27" t="s">
        <v>7</v>
      </c>
    </row>
    <row r="248" spans="1:184" x14ac:dyDescent="0.25">
      <c r="A248" s="30">
        <v>0.676839362028685</v>
      </c>
      <c r="B248"/>
      <c r="C248"/>
      <c r="D248"/>
      <c r="E248"/>
      <c r="F248" s="27" t="s">
        <v>7</v>
      </c>
      <c r="DK248" s="27" t="s">
        <v>8</v>
      </c>
      <c r="DP248" s="27" t="s">
        <v>7</v>
      </c>
      <c r="DQ248" s="27" t="s">
        <v>8</v>
      </c>
      <c r="DT248" s="27" t="s">
        <v>7</v>
      </c>
      <c r="ER248" s="27" t="s">
        <v>7</v>
      </c>
      <c r="ES248" s="27" t="s">
        <v>8</v>
      </c>
      <c r="EV248" s="27" t="s">
        <v>7</v>
      </c>
      <c r="FC248" s="27" t="s">
        <v>8</v>
      </c>
      <c r="FV248" s="27" t="s">
        <v>7</v>
      </c>
      <c r="FW248" s="27" t="s">
        <v>8</v>
      </c>
      <c r="FX248" s="27" t="s">
        <v>7</v>
      </c>
      <c r="FY248" s="27" t="s">
        <v>8</v>
      </c>
      <c r="FZ248" s="27" t="s">
        <v>7</v>
      </c>
      <c r="GA248" s="27" t="s">
        <v>8</v>
      </c>
      <c r="GB248" s="27" t="s">
        <v>7</v>
      </c>
    </row>
    <row r="249" spans="1:184" x14ac:dyDescent="0.25">
      <c r="A249" s="30">
        <v>0.64460891621779492</v>
      </c>
      <c r="B249"/>
      <c r="C249"/>
      <c r="D249"/>
      <c r="E249"/>
      <c r="F249" s="27" t="s">
        <v>7</v>
      </c>
      <c r="DK249" s="27" t="s">
        <v>8</v>
      </c>
      <c r="DP249" s="27" t="s">
        <v>7</v>
      </c>
      <c r="ER249" s="27" t="s">
        <v>7</v>
      </c>
      <c r="ES249" s="27" t="s">
        <v>8</v>
      </c>
      <c r="EV249" s="27" t="s">
        <v>7</v>
      </c>
      <c r="EY249" s="27" t="s">
        <v>8</v>
      </c>
      <c r="FA249" s="27" t="s">
        <v>8</v>
      </c>
      <c r="FC249" s="27" t="s">
        <v>8</v>
      </c>
      <c r="FV249" s="27" t="s">
        <v>7</v>
      </c>
      <c r="FX249" s="27" t="s">
        <v>7</v>
      </c>
      <c r="FY249" s="27" t="s">
        <v>8</v>
      </c>
      <c r="FZ249" s="27" t="s">
        <v>7</v>
      </c>
      <c r="GB249" s="27" t="s">
        <v>7</v>
      </c>
    </row>
    <row r="250" spans="1:184" x14ac:dyDescent="0.25">
      <c r="A250" s="30">
        <v>0.61391325354075688</v>
      </c>
      <c r="B250"/>
      <c r="C250"/>
      <c r="D250"/>
      <c r="E250"/>
      <c r="F250" s="27" t="s">
        <v>7</v>
      </c>
      <c r="DK250" s="27" t="s">
        <v>8</v>
      </c>
      <c r="ER250" s="27" t="s">
        <v>7</v>
      </c>
      <c r="EV250" s="27" t="s">
        <v>7</v>
      </c>
      <c r="EY250" s="27" t="s">
        <v>8</v>
      </c>
      <c r="EZ250" s="27" t="s">
        <v>7</v>
      </c>
      <c r="FA250" s="27" t="s">
        <v>8</v>
      </c>
      <c r="FB250" s="27" t="s">
        <v>7</v>
      </c>
      <c r="FC250" s="27" t="s">
        <v>8</v>
      </c>
      <c r="FX250" s="27" t="s">
        <v>7</v>
      </c>
      <c r="GB250" s="27" t="s">
        <v>7</v>
      </c>
    </row>
    <row r="251" spans="1:184" x14ac:dyDescent="0.25">
      <c r="A251" s="30">
        <v>0.58467928908643485</v>
      </c>
      <c r="B251"/>
      <c r="C251"/>
      <c r="D251"/>
      <c r="E251"/>
      <c r="F251" s="27" t="s">
        <v>7</v>
      </c>
      <c r="BW251" s="27" t="s">
        <v>8</v>
      </c>
      <c r="DK251" s="27" t="s">
        <v>8</v>
      </c>
      <c r="EV251" s="27" t="s">
        <v>7</v>
      </c>
      <c r="EY251" s="27" t="s">
        <v>8</v>
      </c>
      <c r="EZ251" s="27" t="s">
        <v>7</v>
      </c>
      <c r="FA251" s="27" t="s">
        <v>8</v>
      </c>
      <c r="FB251" s="27" t="s">
        <v>7</v>
      </c>
      <c r="FC251" s="27" t="s">
        <v>8</v>
      </c>
      <c r="GB251" s="27" t="s">
        <v>7</v>
      </c>
    </row>
    <row r="252" spans="1:184" x14ac:dyDescent="0.25">
      <c r="A252" s="30">
        <v>0.55683741817755672</v>
      </c>
      <c r="B252"/>
      <c r="C252"/>
      <c r="D252"/>
      <c r="E252"/>
      <c r="F252" s="27" t="s">
        <v>7</v>
      </c>
      <c r="BW252" s="27" t="s">
        <v>8</v>
      </c>
      <c r="BX252" s="27" t="s">
        <v>7</v>
      </c>
      <c r="DI252" s="27" t="s">
        <v>8</v>
      </c>
      <c r="DK252" s="27" t="s">
        <v>8</v>
      </c>
      <c r="EV252" s="27" t="s">
        <v>7</v>
      </c>
      <c r="EW252" s="27" t="s">
        <v>8</v>
      </c>
      <c r="EY252" s="27" t="s">
        <v>8</v>
      </c>
      <c r="EZ252" s="27" t="s">
        <v>7</v>
      </c>
      <c r="FB252" s="27" t="s">
        <v>7</v>
      </c>
      <c r="FC252" s="27" t="s">
        <v>8</v>
      </c>
      <c r="GB252" s="27" t="s">
        <v>7</v>
      </c>
    </row>
    <row r="253" spans="1:184" x14ac:dyDescent="0.25">
      <c r="A253" s="30">
        <v>0.53032135064529184</v>
      </c>
      <c r="B253"/>
      <c r="C253"/>
      <c r="D253"/>
      <c r="E253"/>
      <c r="F253" s="27" t="s">
        <v>7</v>
      </c>
      <c r="BW253" s="27" t="s">
        <v>8</v>
      </c>
      <c r="BX253" s="27" t="s">
        <v>7</v>
      </c>
      <c r="DI253" s="27" t="s">
        <v>8</v>
      </c>
      <c r="DJ253" s="27" t="s">
        <v>7</v>
      </c>
      <c r="DK253" s="27" t="s">
        <v>8</v>
      </c>
      <c r="EV253" s="27" t="s">
        <v>7</v>
      </c>
      <c r="EW253" s="27" t="s">
        <v>8</v>
      </c>
      <c r="EX253" s="27" t="s">
        <v>7</v>
      </c>
      <c r="EY253" s="27" t="s">
        <v>8</v>
      </c>
      <c r="FB253" s="27" t="s">
        <v>7</v>
      </c>
      <c r="FC253" s="27" t="s">
        <v>8</v>
      </c>
      <c r="GB253" s="27" t="s">
        <v>7</v>
      </c>
    </row>
    <row r="254" spans="1:184" x14ac:dyDescent="0.25">
      <c r="A254" s="30">
        <v>0.50506795299551588</v>
      </c>
      <c r="B254"/>
      <c r="C254"/>
      <c r="D254"/>
      <c r="E254"/>
      <c r="F254" s="27" t="s">
        <v>7</v>
      </c>
      <c r="BW254" s="27" t="s">
        <v>8</v>
      </c>
      <c r="BX254" s="27" t="s">
        <v>7</v>
      </c>
      <c r="DI254" s="27" t="s">
        <v>8</v>
      </c>
      <c r="DJ254" s="27" t="s">
        <v>7</v>
      </c>
      <c r="DK254" s="27" t="s">
        <v>8</v>
      </c>
      <c r="EV254" s="27" t="s">
        <v>7</v>
      </c>
      <c r="EW254" s="27" t="s">
        <v>8</v>
      </c>
      <c r="EX254" s="27" t="s">
        <v>7</v>
      </c>
      <c r="EY254" s="27" t="s">
        <v>8</v>
      </c>
      <c r="FB254" s="27" t="s">
        <v>7</v>
      </c>
      <c r="FC254" s="27" t="s">
        <v>8</v>
      </c>
      <c r="GB254" s="27" t="s">
        <v>7</v>
      </c>
    </row>
    <row r="255" spans="1:184" x14ac:dyDescent="0.25">
      <c r="A255" s="30">
        <v>0.48101709809096732</v>
      </c>
      <c r="E255"/>
      <c r="F255" s="27" t="s">
        <v>7</v>
      </c>
      <c r="BS255" s="27" t="s">
        <v>8</v>
      </c>
      <c r="BU255" s="27" t="s">
        <v>8</v>
      </c>
      <c r="BW255" s="27" t="s">
        <v>8</v>
      </c>
      <c r="BX255" s="27" t="s">
        <v>7</v>
      </c>
      <c r="CS255" s="27" t="s">
        <v>8</v>
      </c>
      <c r="DE255" s="27" t="s">
        <v>8</v>
      </c>
      <c r="DI255" s="27" t="s">
        <v>8</v>
      </c>
      <c r="DJ255" s="27" t="s">
        <v>7</v>
      </c>
      <c r="DK255" s="27" t="s">
        <v>8</v>
      </c>
      <c r="EV255" s="27" t="s">
        <v>7</v>
      </c>
      <c r="EW255" s="27" t="s">
        <v>8</v>
      </c>
      <c r="EX255" s="27" t="s">
        <v>7</v>
      </c>
      <c r="FB255" s="18" t="s">
        <v>7</v>
      </c>
      <c r="FC255" s="27" t="s">
        <v>8</v>
      </c>
      <c r="GB255" s="27" t="s">
        <v>7</v>
      </c>
    </row>
    <row r="256" spans="1:184" x14ac:dyDescent="0.25">
      <c r="A256" s="30">
        <v>0.45811152199139726</v>
      </c>
      <c r="E256"/>
      <c r="F256" s="27" t="s">
        <v>7</v>
      </c>
      <c r="BS256" s="27" t="s">
        <v>8</v>
      </c>
      <c r="BT256" s="27" t="s">
        <v>7</v>
      </c>
      <c r="BU256" s="27" t="s">
        <v>8</v>
      </c>
      <c r="BV256" s="27" t="s">
        <v>7</v>
      </c>
      <c r="BW256" s="27" t="s">
        <v>8</v>
      </c>
      <c r="BX256" s="27" t="s">
        <v>7</v>
      </c>
      <c r="CS256" s="27" t="s">
        <v>8</v>
      </c>
      <c r="CT256" s="27" t="s">
        <v>7</v>
      </c>
      <c r="CW256" s="27" t="s">
        <v>8</v>
      </c>
      <c r="DE256" s="27" t="s">
        <v>8</v>
      </c>
      <c r="DF256" s="27" t="s">
        <v>7</v>
      </c>
      <c r="DI256" s="27" t="s">
        <v>8</v>
      </c>
      <c r="DJ256" s="27" t="s">
        <v>7</v>
      </c>
      <c r="EV256" s="27" t="s">
        <v>7</v>
      </c>
      <c r="FB256" s="27" t="s">
        <v>7</v>
      </c>
      <c r="FC256" s="27" t="s">
        <v>8</v>
      </c>
      <c r="GB256" s="27" t="s">
        <v>7</v>
      </c>
    </row>
    <row r="257" spans="1:184" x14ac:dyDescent="0.25">
      <c r="A257" s="30">
        <v>0.43629668761085438</v>
      </c>
      <c r="B257"/>
      <c r="C257"/>
      <c r="D257"/>
      <c r="E257"/>
      <c r="F257" s="27" t="s">
        <v>7</v>
      </c>
      <c r="I257" s="27" t="s">
        <v>8</v>
      </c>
      <c r="BS257" s="27" t="s">
        <v>8</v>
      </c>
      <c r="BT257" s="27" t="s">
        <v>7</v>
      </c>
      <c r="BU257" s="27" t="s">
        <v>8</v>
      </c>
      <c r="BV257" s="27" t="s">
        <v>7</v>
      </c>
      <c r="BW257" s="27" t="s">
        <v>8</v>
      </c>
      <c r="BX257" s="27" t="s">
        <v>7</v>
      </c>
      <c r="BY257" s="27" t="s">
        <v>8</v>
      </c>
      <c r="CE257" s="27" t="s">
        <v>8</v>
      </c>
      <c r="CS257" s="27" t="s">
        <v>8</v>
      </c>
      <c r="CT257" s="27" t="s">
        <v>7</v>
      </c>
      <c r="CW257" s="27" t="s">
        <v>8</v>
      </c>
      <c r="CX257" s="27" t="s">
        <v>7</v>
      </c>
      <c r="DE257" s="27" t="s">
        <v>8</v>
      </c>
      <c r="DF257" s="27" t="s">
        <v>7</v>
      </c>
      <c r="DG257" s="27" t="s">
        <v>8</v>
      </c>
      <c r="DI257" s="27" t="s">
        <v>8</v>
      </c>
      <c r="FB257" s="27" t="s">
        <v>7</v>
      </c>
      <c r="GB257" s="27" t="s">
        <v>7</v>
      </c>
    </row>
    <row r="258" spans="1:184" x14ac:dyDescent="0.25">
      <c r="A258" s="30">
        <v>0.41552065486748019</v>
      </c>
      <c r="B258"/>
      <c r="C258"/>
      <c r="D258"/>
      <c r="E258"/>
      <c r="F258" s="27" t="s">
        <v>7</v>
      </c>
      <c r="I258" s="27" t="s">
        <v>8</v>
      </c>
      <c r="J258" s="27" t="s">
        <v>7</v>
      </c>
      <c r="BS258" s="27" t="s">
        <v>8</v>
      </c>
      <c r="BT258" s="27" t="s">
        <v>7</v>
      </c>
      <c r="BU258" s="27" t="s">
        <v>8</v>
      </c>
      <c r="BV258" s="27" t="s">
        <v>7</v>
      </c>
      <c r="BW258" s="27" t="s">
        <v>8</v>
      </c>
      <c r="BX258" s="27" t="s">
        <v>7</v>
      </c>
      <c r="BY258" s="27" t="s">
        <v>8</v>
      </c>
      <c r="BZ258" s="27" t="s">
        <v>7</v>
      </c>
      <c r="CE258" s="27" t="s">
        <v>8</v>
      </c>
      <c r="CF258" s="27" t="s">
        <v>7</v>
      </c>
      <c r="CS258" s="27" t="s">
        <v>8</v>
      </c>
      <c r="CT258" s="27" t="s">
        <v>7</v>
      </c>
      <c r="CW258" s="27" t="s">
        <v>8</v>
      </c>
      <c r="CX258" s="27" t="s">
        <v>7</v>
      </c>
      <c r="DC258" s="27" t="s">
        <v>8</v>
      </c>
      <c r="DE258" s="27" t="s">
        <v>8</v>
      </c>
      <c r="DF258" s="27" t="s">
        <v>7</v>
      </c>
      <c r="DG258" s="27" t="s">
        <v>8</v>
      </c>
      <c r="DH258" s="27" t="s">
        <v>7</v>
      </c>
      <c r="DI258" s="27" t="s">
        <v>8</v>
      </c>
      <c r="GB258" s="27" t="s">
        <v>7</v>
      </c>
    </row>
    <row r="259" spans="1:184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I259" s="27" t="s">
        <v>8</v>
      </c>
      <c r="J259" s="27" t="s">
        <v>7</v>
      </c>
      <c r="BQ259" s="27" t="s">
        <v>8</v>
      </c>
      <c r="BS259" s="27" t="s">
        <v>8</v>
      </c>
      <c r="BT259" s="27" t="s">
        <v>7</v>
      </c>
      <c r="BU259" s="27" t="s">
        <v>8</v>
      </c>
      <c r="BV259" s="27" t="s">
        <v>7</v>
      </c>
      <c r="BW259" s="27" t="s">
        <v>8</v>
      </c>
      <c r="BX259" s="27" t="s">
        <v>7</v>
      </c>
      <c r="BY259" s="27" t="s">
        <v>8</v>
      </c>
      <c r="BZ259" s="27" t="s">
        <v>7</v>
      </c>
      <c r="CE259" s="27" t="s">
        <v>8</v>
      </c>
      <c r="CF259" s="27" t="s">
        <v>7</v>
      </c>
      <c r="CS259" s="27" t="s">
        <v>8</v>
      </c>
      <c r="CT259" s="27" t="s">
        <v>7</v>
      </c>
      <c r="CW259" s="27" t="s">
        <v>8</v>
      </c>
      <c r="CX259" s="27" t="s">
        <v>7</v>
      </c>
      <c r="CY259" s="27" t="s">
        <v>8</v>
      </c>
      <c r="DC259" s="27" t="s">
        <v>8</v>
      </c>
      <c r="DD259" s="27" t="s">
        <v>7</v>
      </c>
      <c r="DE259" s="27" t="s">
        <v>8</v>
      </c>
      <c r="DF259" s="27" t="s">
        <v>7</v>
      </c>
      <c r="DG259" s="27" t="s">
        <v>8</v>
      </c>
      <c r="DH259" s="27" t="s">
        <v>7</v>
      </c>
      <c r="DI259" s="27" t="s">
        <v>8</v>
      </c>
      <c r="GB259" s="27" t="s">
        <v>7</v>
      </c>
    </row>
    <row r="260" spans="1:184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H260" s="27" t="s">
        <v>7</v>
      </c>
      <c r="I260" s="27" t="s">
        <v>8</v>
      </c>
      <c r="J260" s="27" t="s">
        <v>7</v>
      </c>
      <c r="BQ260" s="27" t="s">
        <v>8</v>
      </c>
      <c r="BR260" s="27" t="s">
        <v>7</v>
      </c>
      <c r="BS260" s="27" t="s">
        <v>8</v>
      </c>
      <c r="BT260" s="27" t="s">
        <v>7</v>
      </c>
      <c r="BU260" s="27" t="s">
        <v>8</v>
      </c>
      <c r="BV260" s="27" t="s">
        <v>7</v>
      </c>
      <c r="BW260" s="27" t="s">
        <v>8</v>
      </c>
      <c r="BX260" s="27" t="s">
        <v>7</v>
      </c>
      <c r="BY260" s="27" t="s">
        <v>8</v>
      </c>
      <c r="BZ260" s="27" t="s">
        <v>7</v>
      </c>
      <c r="CE260" s="27" t="s">
        <v>8</v>
      </c>
      <c r="CF260" s="27" t="s">
        <v>7</v>
      </c>
      <c r="CS260" s="27" t="s">
        <v>8</v>
      </c>
      <c r="CT260" s="27" t="s">
        <v>7</v>
      </c>
      <c r="CU260" s="27" t="s">
        <v>8</v>
      </c>
      <c r="CW260" s="27" t="s">
        <v>8</v>
      </c>
      <c r="CX260" s="27" t="s">
        <v>7</v>
      </c>
      <c r="CY260" s="27" t="s">
        <v>8</v>
      </c>
      <c r="CZ260" s="27" t="s">
        <v>7</v>
      </c>
      <c r="DA260" s="27" t="s">
        <v>8</v>
      </c>
      <c r="DC260" s="27" t="s">
        <v>8</v>
      </c>
      <c r="DD260" s="27" t="s">
        <v>7</v>
      </c>
      <c r="DE260" s="27" t="s">
        <v>8</v>
      </c>
      <c r="DF260" s="27" t="s">
        <v>7</v>
      </c>
      <c r="DG260" s="27" t="s">
        <v>8</v>
      </c>
      <c r="DH260" s="27" t="s">
        <v>7</v>
      </c>
      <c r="GB260" s="27" t="s">
        <v>7</v>
      </c>
    </row>
    <row r="261" spans="1:184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H261" s="27" t="s">
        <v>7</v>
      </c>
      <c r="I261" s="27" t="s">
        <v>8</v>
      </c>
      <c r="J261" s="27" t="s">
        <v>7</v>
      </c>
      <c r="AE261" s="27" t="s">
        <v>8</v>
      </c>
      <c r="BQ261" s="27" t="s">
        <v>8</v>
      </c>
      <c r="BR261" s="27" t="s">
        <v>7</v>
      </c>
      <c r="BS261" s="27" t="s">
        <v>8</v>
      </c>
      <c r="BT261" s="27" t="s">
        <v>7</v>
      </c>
      <c r="BU261" s="27" t="s">
        <v>8</v>
      </c>
      <c r="BV261" s="27" t="s">
        <v>7</v>
      </c>
      <c r="BW261" s="27" t="s">
        <v>8</v>
      </c>
      <c r="BX261" s="27" t="s">
        <v>7</v>
      </c>
      <c r="BY261" s="27" t="s">
        <v>8</v>
      </c>
      <c r="BZ261" s="27" t="s">
        <v>7</v>
      </c>
      <c r="CA261" s="27" t="s">
        <v>8</v>
      </c>
      <c r="CC261" s="27" t="s">
        <v>8</v>
      </c>
      <c r="CE261" s="27" t="s">
        <v>8</v>
      </c>
      <c r="CF261" s="27" t="s">
        <v>7</v>
      </c>
      <c r="CS261" s="27" t="s">
        <v>8</v>
      </c>
      <c r="CT261" s="27" t="s">
        <v>7</v>
      </c>
      <c r="CU261" s="27" t="s">
        <v>8</v>
      </c>
      <c r="CV261" s="27" t="s">
        <v>7</v>
      </c>
      <c r="CW261" s="27" t="s">
        <v>8</v>
      </c>
      <c r="CX261" s="27" t="s">
        <v>7</v>
      </c>
      <c r="CY261" s="27" t="s">
        <v>8</v>
      </c>
      <c r="CZ261" s="27" t="s">
        <v>7</v>
      </c>
      <c r="DA261" s="27" t="s">
        <v>8</v>
      </c>
      <c r="DB261" s="27" t="s">
        <v>7</v>
      </c>
      <c r="DC261" s="27" t="s">
        <v>8</v>
      </c>
      <c r="DD261" s="27" t="s">
        <v>7</v>
      </c>
      <c r="DE261" s="27" t="s">
        <v>8</v>
      </c>
      <c r="DF261" s="27" t="s">
        <v>7</v>
      </c>
    </row>
    <row r="262" spans="1:184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H262" s="27" t="s">
        <v>7</v>
      </c>
      <c r="J262" s="27" t="s">
        <v>7</v>
      </c>
      <c r="AE262" s="27" t="s">
        <v>8</v>
      </c>
      <c r="AF262" s="27" t="s">
        <v>7</v>
      </c>
      <c r="BQ262" s="27" t="s">
        <v>8</v>
      </c>
      <c r="BR262" s="27" t="s">
        <v>7</v>
      </c>
      <c r="BT262" s="27" t="s">
        <v>7</v>
      </c>
      <c r="BU262" s="27" t="s">
        <v>8</v>
      </c>
      <c r="BV262" s="27" t="s">
        <v>7</v>
      </c>
      <c r="BX262" s="27" t="s">
        <v>7</v>
      </c>
      <c r="BZ262" s="27" t="s">
        <v>7</v>
      </c>
      <c r="CA262" s="27" t="s">
        <v>8</v>
      </c>
      <c r="CB262" s="27" t="s">
        <v>7</v>
      </c>
      <c r="CC262" s="27" t="s">
        <v>8</v>
      </c>
      <c r="CD262" s="27" t="s">
        <v>7</v>
      </c>
      <c r="CE262" s="27" t="s">
        <v>8</v>
      </c>
      <c r="CF262" s="27" t="s">
        <v>7</v>
      </c>
      <c r="CS262" s="27" t="s">
        <v>8</v>
      </c>
      <c r="CT262" s="27" t="s">
        <v>7</v>
      </c>
      <c r="CU262" s="27" t="s">
        <v>8</v>
      </c>
      <c r="CV262" s="27" t="s">
        <v>7</v>
      </c>
      <c r="CW262" s="27" t="s">
        <v>8</v>
      </c>
      <c r="CX262" s="27" t="s">
        <v>7</v>
      </c>
      <c r="CY262" s="27" t="s">
        <v>8</v>
      </c>
      <c r="CZ262" s="27" t="s">
        <v>7</v>
      </c>
      <c r="DA262" s="27" t="s">
        <v>8</v>
      </c>
      <c r="DB262" s="27" t="s">
        <v>7</v>
      </c>
      <c r="DC262" s="27" t="s">
        <v>8</v>
      </c>
      <c r="DD262" s="27" t="s">
        <v>7</v>
      </c>
      <c r="DE262" s="27" t="s">
        <v>8</v>
      </c>
    </row>
    <row r="263" spans="1:184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J263" s="27" t="s">
        <v>7</v>
      </c>
      <c r="AE263" s="27" t="s">
        <v>8</v>
      </c>
      <c r="AF263" s="27" t="s">
        <v>7</v>
      </c>
      <c r="AG263" s="27" t="s">
        <v>8</v>
      </c>
      <c r="AI263" s="27" t="s">
        <v>8</v>
      </c>
      <c r="BM263" s="27" t="s">
        <v>8</v>
      </c>
      <c r="BQ263" s="27" t="s">
        <v>8</v>
      </c>
      <c r="BT263" s="27" t="s">
        <v>7</v>
      </c>
      <c r="BU263" s="27" t="s">
        <v>8</v>
      </c>
      <c r="BZ263" s="27" t="s">
        <v>7</v>
      </c>
      <c r="CA263" s="27" t="s">
        <v>8</v>
      </c>
      <c r="CB263" s="27" t="s">
        <v>7</v>
      </c>
      <c r="CC263" s="27" t="s">
        <v>8</v>
      </c>
      <c r="CD263" s="27" t="s">
        <v>7</v>
      </c>
      <c r="CE263" s="27" t="s">
        <v>8</v>
      </c>
      <c r="CF263" s="27" t="s">
        <v>7</v>
      </c>
      <c r="CM263" s="27" t="s">
        <v>8</v>
      </c>
      <c r="CO263" s="27" t="s">
        <v>8</v>
      </c>
      <c r="CQ263" s="27" t="s">
        <v>8</v>
      </c>
      <c r="CS263" s="27" t="s">
        <v>8</v>
      </c>
      <c r="CT263" s="27" t="s">
        <v>7</v>
      </c>
      <c r="CU263" s="27" t="s">
        <v>8</v>
      </c>
      <c r="CV263" s="27" t="s">
        <v>7</v>
      </c>
      <c r="CW263" s="27" t="s">
        <v>8</v>
      </c>
      <c r="CX263" s="27" t="s">
        <v>7</v>
      </c>
      <c r="CY263" s="27" t="s">
        <v>8</v>
      </c>
      <c r="CZ263" s="27" t="s">
        <v>7</v>
      </c>
      <c r="DA263" s="27" t="s">
        <v>8</v>
      </c>
      <c r="DB263" s="27" t="s">
        <v>7</v>
      </c>
      <c r="DD263" s="27" t="s">
        <v>7</v>
      </c>
      <c r="DE263" s="27" t="s">
        <v>8</v>
      </c>
    </row>
    <row r="264" spans="1:184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J264" s="27" t="s">
        <v>7</v>
      </c>
      <c r="AE264" s="27" t="s">
        <v>8</v>
      </c>
      <c r="AF264" s="27" t="s">
        <v>7</v>
      </c>
      <c r="AG264" s="27" t="s">
        <v>8</v>
      </c>
      <c r="AH264" s="27" t="s">
        <v>7</v>
      </c>
      <c r="AI264" s="27" t="s">
        <v>8</v>
      </c>
      <c r="AJ264" s="27" t="s">
        <v>7</v>
      </c>
      <c r="AK264" s="27" t="s">
        <v>8</v>
      </c>
      <c r="BM264" s="27" t="s">
        <v>8</v>
      </c>
      <c r="BN264" s="27" t="s">
        <v>7</v>
      </c>
      <c r="BQ264" s="27" t="s">
        <v>8</v>
      </c>
      <c r="BT264" s="27" t="s">
        <v>7</v>
      </c>
      <c r="BZ264" s="27" t="s">
        <v>7</v>
      </c>
      <c r="CB264" s="27" t="s">
        <v>7</v>
      </c>
      <c r="CC264" s="27" t="s">
        <v>8</v>
      </c>
      <c r="CD264" s="27" t="s">
        <v>7</v>
      </c>
      <c r="CF264" s="27" t="s">
        <v>7</v>
      </c>
      <c r="CG264" s="27" t="s">
        <v>8</v>
      </c>
      <c r="CM264" s="27" t="s">
        <v>8</v>
      </c>
      <c r="CN264" s="27" t="s">
        <v>7</v>
      </c>
      <c r="CO264" s="27" t="s">
        <v>8</v>
      </c>
      <c r="CP264" s="27" t="s">
        <v>7</v>
      </c>
      <c r="CQ264" s="27" t="s">
        <v>8</v>
      </c>
      <c r="CR264" s="27" t="s">
        <v>7</v>
      </c>
      <c r="CS264" s="27" t="s">
        <v>8</v>
      </c>
      <c r="CT264" s="27" t="s">
        <v>7</v>
      </c>
      <c r="CV264" s="27" t="s">
        <v>7</v>
      </c>
      <c r="CX264" s="27" t="s">
        <v>7</v>
      </c>
      <c r="CY264" s="27" t="s">
        <v>8</v>
      </c>
      <c r="CZ264" s="27" t="s">
        <v>7</v>
      </c>
      <c r="DA264" s="27" t="s">
        <v>8</v>
      </c>
      <c r="DD264" s="27" t="s">
        <v>7</v>
      </c>
    </row>
    <row r="265" spans="1:184" x14ac:dyDescent="0.25">
      <c r="A265" s="30">
        <v>0.2953027716977592</v>
      </c>
      <c r="B265"/>
      <c r="C265"/>
      <c r="D265"/>
      <c r="E265"/>
      <c r="F265" s="27" t="s">
        <v>7</v>
      </c>
      <c r="J265" s="27" t="s">
        <v>7</v>
      </c>
      <c r="AE265" s="27" t="s">
        <v>8</v>
      </c>
      <c r="AF265" s="27" t="s">
        <v>7</v>
      </c>
      <c r="AG265" s="27" t="s">
        <v>8</v>
      </c>
      <c r="AH265" s="27" t="s">
        <v>7</v>
      </c>
      <c r="AI265" s="27" t="s">
        <v>8</v>
      </c>
      <c r="AJ265" s="27" t="s">
        <v>7</v>
      </c>
      <c r="AK265" s="27" t="s">
        <v>8</v>
      </c>
      <c r="AL265" s="27" t="s">
        <v>7</v>
      </c>
      <c r="AM265" s="27" t="s">
        <v>8</v>
      </c>
      <c r="AO265" s="27" t="s">
        <v>8</v>
      </c>
      <c r="BM265" s="27" t="s">
        <v>8</v>
      </c>
      <c r="BN265" s="27" t="s">
        <v>7</v>
      </c>
      <c r="BQ265" s="27" t="s">
        <v>8</v>
      </c>
      <c r="CB265" s="27" t="s">
        <v>7</v>
      </c>
      <c r="CF265" s="27" t="s">
        <v>7</v>
      </c>
      <c r="CG265" s="27" t="s">
        <v>8</v>
      </c>
      <c r="CH265" s="27" t="s">
        <v>7</v>
      </c>
      <c r="CM265" s="27" t="s">
        <v>8</v>
      </c>
      <c r="CN265" s="27" t="s">
        <v>7</v>
      </c>
      <c r="CO265" s="27" t="s">
        <v>8</v>
      </c>
      <c r="CP265" s="27" t="s">
        <v>7</v>
      </c>
      <c r="CQ265" s="27" t="s">
        <v>8</v>
      </c>
      <c r="CR265" s="27" t="s">
        <v>7</v>
      </c>
      <c r="CS265" s="27" t="s">
        <v>8</v>
      </c>
      <c r="CX265" s="27" t="s">
        <v>7</v>
      </c>
      <c r="CZ265" s="27" t="s">
        <v>7</v>
      </c>
    </row>
    <row r="266" spans="1:184" x14ac:dyDescent="0.25">
      <c r="A266" s="30">
        <v>0.28124073495024676</v>
      </c>
      <c r="B266"/>
      <c r="C266"/>
      <c r="D266"/>
      <c r="E266"/>
      <c r="J266" s="27" t="s">
        <v>7</v>
      </c>
      <c r="K266" s="27" t="s">
        <v>8</v>
      </c>
      <c r="M266" s="27" t="s">
        <v>8</v>
      </c>
      <c r="AE266" s="27" t="s">
        <v>8</v>
      </c>
      <c r="AF266" s="27" t="s">
        <v>7</v>
      </c>
      <c r="AG266" s="27" t="s">
        <v>8</v>
      </c>
      <c r="AH266" s="27" t="s">
        <v>7</v>
      </c>
      <c r="AJ266" s="27" t="s">
        <v>7</v>
      </c>
      <c r="AK266" s="27" t="s">
        <v>8</v>
      </c>
      <c r="AL266" s="27" t="s">
        <v>7</v>
      </c>
      <c r="AM266" s="27" t="s">
        <v>8</v>
      </c>
      <c r="AN266" s="27" t="s">
        <v>7</v>
      </c>
      <c r="AO266" s="27" t="s">
        <v>8</v>
      </c>
      <c r="AP266" s="27" t="s">
        <v>7</v>
      </c>
      <c r="BM266" s="27" t="s">
        <v>8</v>
      </c>
      <c r="BN266" s="27" t="s">
        <v>7</v>
      </c>
      <c r="BO266" s="27" t="s">
        <v>8</v>
      </c>
      <c r="BQ266" s="27" t="s">
        <v>8</v>
      </c>
      <c r="CF266" s="27" t="s">
        <v>7</v>
      </c>
      <c r="CG266" s="27" t="s">
        <v>8</v>
      </c>
      <c r="CH266" s="27" t="s">
        <v>7</v>
      </c>
      <c r="CI266" s="27" t="s">
        <v>8</v>
      </c>
      <c r="CK266" s="27" t="s">
        <v>8</v>
      </c>
      <c r="CM266" s="27" t="s">
        <v>8</v>
      </c>
      <c r="CN266" s="27" t="s">
        <v>7</v>
      </c>
      <c r="CP266" s="27" t="s">
        <v>7</v>
      </c>
      <c r="CR266" s="27" t="s">
        <v>7</v>
      </c>
      <c r="CS266" s="27" t="s">
        <v>8</v>
      </c>
    </row>
    <row r="267" spans="1:184" x14ac:dyDescent="0.25">
      <c r="A267" s="30">
        <v>0.26784831900023492</v>
      </c>
      <c r="B267"/>
      <c r="C267"/>
      <c r="D267"/>
      <c r="E267"/>
      <c r="J267" s="27" t="s">
        <v>7</v>
      </c>
      <c r="K267" s="27" t="s">
        <v>8</v>
      </c>
      <c r="L267" s="27" t="s">
        <v>7</v>
      </c>
      <c r="M267" s="27" t="s">
        <v>8</v>
      </c>
      <c r="N267" s="27" t="s">
        <v>7</v>
      </c>
      <c r="S267" s="27" t="s">
        <v>8</v>
      </c>
      <c r="AE267" s="27" t="s">
        <v>8</v>
      </c>
      <c r="AF267" s="27" t="s">
        <v>7</v>
      </c>
      <c r="AJ267" s="27" t="s">
        <v>7</v>
      </c>
      <c r="AK267" s="27" t="s">
        <v>8</v>
      </c>
      <c r="AL267" s="27" t="s">
        <v>7</v>
      </c>
      <c r="AM267" s="27" t="s">
        <v>8</v>
      </c>
      <c r="AN267" s="27" t="s">
        <v>7</v>
      </c>
      <c r="AO267" s="27" t="s">
        <v>8</v>
      </c>
      <c r="AP267" s="27" t="s">
        <v>7</v>
      </c>
      <c r="BM267" s="27" t="s">
        <v>8</v>
      </c>
      <c r="BN267" s="27" t="s">
        <v>7</v>
      </c>
      <c r="BO267" s="27" t="s">
        <v>8</v>
      </c>
      <c r="BP267" s="27" t="s">
        <v>7</v>
      </c>
      <c r="BQ267" s="27" t="s">
        <v>8</v>
      </c>
      <c r="CF267" s="27" t="s">
        <v>7</v>
      </c>
      <c r="CG267" s="27" t="s">
        <v>8</v>
      </c>
      <c r="CH267" s="27" t="s">
        <v>7</v>
      </c>
      <c r="CI267" s="27" t="s">
        <v>8</v>
      </c>
      <c r="CJ267" s="27" t="s">
        <v>7</v>
      </c>
      <c r="CK267" s="27" t="s">
        <v>8</v>
      </c>
      <c r="CL267" s="27" t="s">
        <v>7</v>
      </c>
      <c r="CM267" s="27" t="s">
        <v>8</v>
      </c>
      <c r="CR267" s="27" t="s">
        <v>7</v>
      </c>
    </row>
    <row r="268" spans="1:184" x14ac:dyDescent="0.25">
      <c r="A268" s="30">
        <v>0.25509363714308075</v>
      </c>
      <c r="B268"/>
      <c r="C268"/>
      <c r="D268"/>
      <c r="E268"/>
      <c r="J268" s="27" t="s">
        <v>7</v>
      </c>
      <c r="K268" s="27" t="s">
        <v>8</v>
      </c>
      <c r="L268" s="27" t="s">
        <v>7</v>
      </c>
      <c r="M268" s="27" t="s">
        <v>8</v>
      </c>
      <c r="N268" s="27" t="s">
        <v>7</v>
      </c>
      <c r="S268" s="27" t="s">
        <v>8</v>
      </c>
      <c r="T268" s="27" t="s">
        <v>7</v>
      </c>
      <c r="W268" s="27" t="s">
        <v>8</v>
      </c>
      <c r="AE268" s="27" t="s">
        <v>8</v>
      </c>
      <c r="AJ268" s="27" t="s">
        <v>7</v>
      </c>
      <c r="AL268" s="27" t="s">
        <v>7</v>
      </c>
      <c r="AM268" s="27" t="s">
        <v>8</v>
      </c>
      <c r="AN268" s="27" t="s">
        <v>7</v>
      </c>
      <c r="AO268" s="27" t="s">
        <v>8</v>
      </c>
      <c r="AP268" s="27" t="s">
        <v>7</v>
      </c>
      <c r="AQ268" s="27" t="s">
        <v>8</v>
      </c>
      <c r="BE268" s="27" t="s">
        <v>8</v>
      </c>
      <c r="BG268" s="27" t="s">
        <v>8</v>
      </c>
      <c r="BM268" s="27" t="s">
        <v>8</v>
      </c>
      <c r="BN268" s="27" t="s">
        <v>7</v>
      </c>
      <c r="BO268" s="27" t="s">
        <v>8</v>
      </c>
      <c r="BP268" s="27" t="s">
        <v>7</v>
      </c>
      <c r="BQ268" s="27" t="s">
        <v>8</v>
      </c>
      <c r="CF268" s="27" t="s">
        <v>7</v>
      </c>
      <c r="CG268" s="27" t="s">
        <v>8</v>
      </c>
      <c r="CH268" s="27" t="s">
        <v>7</v>
      </c>
      <c r="CI268" s="27" t="s">
        <v>8</v>
      </c>
      <c r="CJ268" s="27" t="s">
        <v>7</v>
      </c>
      <c r="CK268" s="27" t="s">
        <v>8</v>
      </c>
      <c r="CL268" s="27" t="s">
        <v>7</v>
      </c>
      <c r="CM268" s="27" t="s">
        <v>8</v>
      </c>
    </row>
    <row r="269" spans="1:184" x14ac:dyDescent="0.25">
      <c r="A269" s="30">
        <v>0.24294632108864825</v>
      </c>
      <c r="B269"/>
      <c r="C269"/>
      <c r="D269"/>
      <c r="E269"/>
      <c r="J269" s="27" t="s">
        <v>7</v>
      </c>
      <c r="K269" s="27" t="s">
        <v>8</v>
      </c>
      <c r="L269" s="27" t="s">
        <v>7</v>
      </c>
      <c r="N269" s="27" t="s">
        <v>7</v>
      </c>
      <c r="Q269" s="27" t="s">
        <v>8</v>
      </c>
      <c r="S269" s="27" t="s">
        <v>8</v>
      </c>
      <c r="T269" s="27" t="s">
        <v>7</v>
      </c>
      <c r="U269" s="27" t="s">
        <v>8</v>
      </c>
      <c r="W269" s="27" t="s">
        <v>8</v>
      </c>
      <c r="X269" s="27" t="s">
        <v>7</v>
      </c>
      <c r="AE269" s="27" t="s">
        <v>8</v>
      </c>
      <c r="AL269" s="27" t="s">
        <v>7</v>
      </c>
      <c r="AN269" s="27" t="s">
        <v>7</v>
      </c>
      <c r="AP269" s="27" t="s">
        <v>7</v>
      </c>
      <c r="AQ269" s="27" t="s">
        <v>8</v>
      </c>
      <c r="AR269" s="27" t="s">
        <v>7</v>
      </c>
      <c r="BE269" s="27" t="s">
        <v>8</v>
      </c>
      <c r="BF269" s="27" t="s">
        <v>7</v>
      </c>
      <c r="BG269" s="27" t="s">
        <v>8</v>
      </c>
      <c r="BH269" s="27" t="s">
        <v>7</v>
      </c>
      <c r="BK269" s="27" t="s">
        <v>8</v>
      </c>
      <c r="BM269" s="27" t="s">
        <v>8</v>
      </c>
      <c r="BN269" s="27" t="s">
        <v>7</v>
      </c>
      <c r="BO269" s="27" t="s">
        <v>8</v>
      </c>
      <c r="BP269" s="27" t="s">
        <v>7</v>
      </c>
      <c r="CF269" s="27" t="s">
        <v>7</v>
      </c>
      <c r="CG269" s="27" t="s">
        <v>8</v>
      </c>
      <c r="CH269" s="27" t="s">
        <v>7</v>
      </c>
      <c r="CI269" s="27" t="s">
        <v>8</v>
      </c>
      <c r="CJ269" s="27" t="s">
        <v>7</v>
      </c>
      <c r="CL269" s="27" t="s">
        <v>7</v>
      </c>
      <c r="CM269" s="27" t="s">
        <v>8</v>
      </c>
    </row>
    <row r="270" spans="1:184" x14ac:dyDescent="0.25">
      <c r="A270" s="30">
        <v>0.23137744865585538</v>
      </c>
      <c r="B270"/>
      <c r="C270"/>
      <c r="D270"/>
      <c r="E270"/>
      <c r="J270" s="27" t="s">
        <v>7</v>
      </c>
      <c r="N270" s="27" t="s">
        <v>7</v>
      </c>
      <c r="Q270" s="27" t="s">
        <v>8</v>
      </c>
      <c r="R270" s="27" t="s">
        <v>7</v>
      </c>
      <c r="S270" s="27" t="s">
        <v>8</v>
      </c>
      <c r="T270" s="27" t="s">
        <v>7</v>
      </c>
      <c r="U270" s="27" t="s">
        <v>8</v>
      </c>
      <c r="V270" s="27" t="s">
        <v>7</v>
      </c>
      <c r="W270" s="27" t="s">
        <v>8</v>
      </c>
      <c r="X270" s="27" t="s">
        <v>7</v>
      </c>
      <c r="AE270" s="27" t="s">
        <v>8</v>
      </c>
      <c r="AP270" s="27" t="s">
        <v>7</v>
      </c>
      <c r="AQ270" s="27" t="s">
        <v>8</v>
      </c>
      <c r="AR270" s="27" t="s">
        <v>7</v>
      </c>
      <c r="BE270" s="27" t="s">
        <v>8</v>
      </c>
      <c r="BF270" s="27" t="s">
        <v>7</v>
      </c>
      <c r="BG270" s="27" t="s">
        <v>8</v>
      </c>
      <c r="BH270" s="27" t="s">
        <v>7</v>
      </c>
      <c r="BI270" s="27" t="s">
        <v>8</v>
      </c>
      <c r="BK270" s="27" t="s">
        <v>8</v>
      </c>
      <c r="BL270" s="27" t="s">
        <v>7</v>
      </c>
      <c r="BM270" s="27" t="s">
        <v>8</v>
      </c>
      <c r="BN270" s="27" t="s">
        <v>7</v>
      </c>
      <c r="CF270" s="27" t="s">
        <v>7</v>
      </c>
      <c r="CH270" s="27" t="s">
        <v>7</v>
      </c>
      <c r="CL270" s="27" t="s">
        <v>7</v>
      </c>
      <c r="CM270" s="27" t="s">
        <v>8</v>
      </c>
    </row>
    <row r="271" spans="1:184" x14ac:dyDescent="0.25">
      <c r="A271" s="30">
        <v>0.22035947491033836</v>
      </c>
      <c r="B271"/>
      <c r="C271"/>
      <c r="D271"/>
      <c r="E271"/>
      <c r="N271" s="27" t="s">
        <v>7</v>
      </c>
      <c r="Q271" s="27" t="s">
        <v>8</v>
      </c>
      <c r="R271" s="27" t="s">
        <v>7</v>
      </c>
      <c r="S271" s="27" t="s">
        <v>8</v>
      </c>
      <c r="T271" s="27" t="s">
        <v>7</v>
      </c>
      <c r="U271" s="27" t="s">
        <v>8</v>
      </c>
      <c r="V271" s="27" t="s">
        <v>7</v>
      </c>
      <c r="W271" s="27" t="s">
        <v>8</v>
      </c>
      <c r="X271" s="27" t="s">
        <v>7</v>
      </c>
      <c r="AA271" s="27" t="s">
        <v>8</v>
      </c>
      <c r="AE271" s="27" t="s">
        <v>8</v>
      </c>
      <c r="AP271" s="27" t="s">
        <v>7</v>
      </c>
      <c r="AR271" s="27" t="s">
        <v>7</v>
      </c>
      <c r="BC271" s="27" t="s">
        <v>8</v>
      </c>
      <c r="BE271" s="27" t="s">
        <v>8</v>
      </c>
      <c r="BF271" s="27" t="s">
        <v>7</v>
      </c>
      <c r="BG271" s="27" t="s">
        <v>8</v>
      </c>
      <c r="BH271" s="27" t="s">
        <v>7</v>
      </c>
      <c r="BI271" s="27" t="s">
        <v>8</v>
      </c>
      <c r="BJ271" s="27" t="s">
        <v>7</v>
      </c>
      <c r="BK271" s="27" t="s">
        <v>8</v>
      </c>
      <c r="BL271" s="27" t="s">
        <v>7</v>
      </c>
      <c r="BM271" s="27" t="s">
        <v>8</v>
      </c>
      <c r="CL271" s="27" t="s">
        <v>7</v>
      </c>
    </row>
    <row r="272" spans="1:184" x14ac:dyDescent="0.25">
      <c r="A272" s="30">
        <v>0.20986616658127455</v>
      </c>
      <c r="B272"/>
      <c r="C272"/>
      <c r="D272"/>
      <c r="E272"/>
      <c r="N272" s="27" t="s">
        <v>7</v>
      </c>
      <c r="O272" s="27" t="s">
        <v>8</v>
      </c>
      <c r="Q272" s="27" t="s">
        <v>8</v>
      </c>
      <c r="R272" s="27" t="s">
        <v>7</v>
      </c>
      <c r="S272" s="27" t="s">
        <v>8</v>
      </c>
      <c r="T272" s="27" t="s">
        <v>7</v>
      </c>
      <c r="V272" s="27" t="s">
        <v>7</v>
      </c>
      <c r="X272" s="27" t="s">
        <v>7</v>
      </c>
      <c r="Y272" s="27" t="s">
        <v>8</v>
      </c>
      <c r="AA272" s="27" t="s">
        <v>8</v>
      </c>
      <c r="AB272" s="27" t="s">
        <v>7</v>
      </c>
      <c r="AE272" s="27" t="s">
        <v>8</v>
      </c>
      <c r="AR272" s="27" t="s">
        <v>7</v>
      </c>
      <c r="BC272" s="27" t="s">
        <v>8</v>
      </c>
      <c r="BD272" s="27" t="s">
        <v>7</v>
      </c>
      <c r="BE272" s="27" t="s">
        <v>8</v>
      </c>
      <c r="BF272" s="27" t="s">
        <v>7</v>
      </c>
      <c r="BH272" s="27" t="s">
        <v>7</v>
      </c>
      <c r="BI272" s="27" t="s">
        <v>8</v>
      </c>
      <c r="BJ272" s="27" t="s">
        <v>7</v>
      </c>
      <c r="BK272" s="27" t="s">
        <v>8</v>
      </c>
      <c r="BL272" s="27" t="s">
        <v>7</v>
      </c>
    </row>
    <row r="273" spans="1:62" x14ac:dyDescent="0.25">
      <c r="A273" s="30">
        <v>0.19987253960121379</v>
      </c>
      <c r="B273"/>
      <c r="C273"/>
      <c r="D273"/>
      <c r="E273"/>
      <c r="N273" s="27" t="s">
        <v>7</v>
      </c>
      <c r="O273" s="27" t="s">
        <v>8</v>
      </c>
      <c r="P273" s="27" t="s">
        <v>7</v>
      </c>
      <c r="Q273" s="27" t="s">
        <v>8</v>
      </c>
      <c r="R273" s="27" t="s">
        <v>7</v>
      </c>
      <c r="S273" s="27" t="s">
        <v>8</v>
      </c>
      <c r="X273" s="27" t="s">
        <v>7</v>
      </c>
      <c r="Y273" s="27" t="s">
        <v>8</v>
      </c>
      <c r="Z273" s="27" t="s">
        <v>7</v>
      </c>
      <c r="AA273" s="27" t="s">
        <v>8</v>
      </c>
      <c r="AB273" s="27" t="s">
        <v>7</v>
      </c>
      <c r="AC273" s="27" t="s">
        <v>8</v>
      </c>
      <c r="AE273" s="27" t="s">
        <v>8</v>
      </c>
      <c r="AR273" s="27" t="s">
        <v>7</v>
      </c>
      <c r="BC273" s="27" t="s">
        <v>8</v>
      </c>
      <c r="BD273" s="27" t="s">
        <v>7</v>
      </c>
      <c r="BE273" s="27" t="s">
        <v>8</v>
      </c>
      <c r="BH273" s="27" t="s">
        <v>7</v>
      </c>
      <c r="BI273" s="27" t="s">
        <v>8</v>
      </c>
      <c r="BJ273" s="27" t="s">
        <v>7</v>
      </c>
    </row>
    <row r="274" spans="1:62" x14ac:dyDescent="0.25">
      <c r="A274" s="30">
        <v>0.19035479962020352</v>
      </c>
      <c r="B274"/>
      <c r="C274"/>
      <c r="D274"/>
      <c r="E274"/>
      <c r="N274" s="27" t="s">
        <v>7</v>
      </c>
      <c r="O274" s="27" t="s">
        <v>8</v>
      </c>
      <c r="P274" s="27" t="s">
        <v>7</v>
      </c>
      <c r="Q274" s="27" t="s">
        <v>8</v>
      </c>
      <c r="R274" s="27" t="s">
        <v>7</v>
      </c>
      <c r="S274" s="27" t="s">
        <v>8</v>
      </c>
      <c r="X274" s="27" t="s">
        <v>7</v>
      </c>
      <c r="Y274" s="27" t="s">
        <v>8</v>
      </c>
      <c r="Z274" s="27" t="s">
        <v>7</v>
      </c>
      <c r="AA274" s="27" t="s">
        <v>8</v>
      </c>
      <c r="AB274" s="27" t="s">
        <v>7</v>
      </c>
      <c r="AC274" s="27" t="s">
        <v>8</v>
      </c>
      <c r="AD274" s="27" t="s">
        <v>7</v>
      </c>
      <c r="AE274" s="27" t="s">
        <v>8</v>
      </c>
      <c r="AR274" s="27" t="s">
        <v>7</v>
      </c>
      <c r="BC274" s="27" t="s">
        <v>8</v>
      </c>
      <c r="BD274" s="27" t="s">
        <v>7</v>
      </c>
      <c r="BH274" s="27" t="s">
        <v>7</v>
      </c>
      <c r="BI274" s="27" t="s">
        <v>8</v>
      </c>
    </row>
    <row r="275" spans="1:62" x14ac:dyDescent="0.25">
      <c r="A275" s="30">
        <v>0.18129028535257471</v>
      </c>
      <c r="B275"/>
      <c r="C275"/>
      <c r="D275"/>
      <c r="E275"/>
      <c r="N275" s="27" t="s">
        <v>7</v>
      </c>
      <c r="O275" s="27" t="s">
        <v>8</v>
      </c>
      <c r="P275" s="27" t="s">
        <v>7</v>
      </c>
      <c r="Q275" s="27" t="s">
        <v>8</v>
      </c>
      <c r="R275" s="27" t="s">
        <v>7</v>
      </c>
      <c r="S275" s="27" t="s">
        <v>8</v>
      </c>
      <c r="X275" s="27" t="s">
        <v>7</v>
      </c>
      <c r="Z275" s="27" t="s">
        <v>7</v>
      </c>
      <c r="AA275" s="27" t="s">
        <v>8</v>
      </c>
      <c r="AB275" s="27" t="s">
        <v>7</v>
      </c>
      <c r="AC275" s="27" t="s">
        <v>8</v>
      </c>
      <c r="AD275" s="27" t="s">
        <v>7</v>
      </c>
      <c r="AE275" s="27" t="s">
        <v>8</v>
      </c>
      <c r="AR275" s="27" t="s">
        <v>7</v>
      </c>
      <c r="BC275" s="27" t="s">
        <v>8</v>
      </c>
      <c r="BH275" s="27" t="s">
        <v>7</v>
      </c>
      <c r="BI275" s="27" t="s">
        <v>8</v>
      </c>
    </row>
    <row r="276" spans="1:62" x14ac:dyDescent="0.25">
      <c r="A276" s="30">
        <v>0.17265741462149967</v>
      </c>
      <c r="B276"/>
      <c r="C276"/>
      <c r="D276"/>
      <c r="E276"/>
      <c r="N276" s="27" t="s">
        <v>7</v>
      </c>
      <c r="P276" s="27" t="s">
        <v>7</v>
      </c>
      <c r="R276" s="27" t="s">
        <v>7</v>
      </c>
      <c r="Z276" s="27" t="s">
        <v>7</v>
      </c>
      <c r="AB276" s="27" t="s">
        <v>7</v>
      </c>
      <c r="AD276" s="27" t="s">
        <v>7</v>
      </c>
      <c r="AR276" s="27" t="s">
        <v>7</v>
      </c>
      <c r="BC276" s="27" t="s">
        <v>8</v>
      </c>
      <c r="BH276" s="27" t="s">
        <v>7</v>
      </c>
    </row>
    <row r="277" spans="1:62" x14ac:dyDescent="0.25">
      <c r="A277" s="30">
        <v>0.16443563297285677</v>
      </c>
      <c r="B277"/>
      <c r="C277"/>
      <c r="D277"/>
      <c r="E277"/>
      <c r="AR277" s="27" t="s">
        <v>7</v>
      </c>
      <c r="BA277" s="27" t="s">
        <v>8</v>
      </c>
      <c r="BC277" s="27" t="s">
        <v>8</v>
      </c>
    </row>
    <row r="278" spans="1:62" x14ac:dyDescent="0.25">
      <c r="A278" s="30">
        <v>0.15660536473605399</v>
      </c>
      <c r="B278"/>
      <c r="C278"/>
      <c r="D278"/>
      <c r="E278"/>
      <c r="AR278" s="27" t="s">
        <v>7</v>
      </c>
      <c r="BA278" s="27" t="s">
        <v>8</v>
      </c>
      <c r="BB278" s="27" t="s">
        <v>7</v>
      </c>
      <c r="BC278" s="27" t="s">
        <v>8</v>
      </c>
    </row>
    <row r="279" spans="1:62" x14ac:dyDescent="0.25">
      <c r="A279" s="30">
        <v>0.14914796641528946</v>
      </c>
      <c r="B279"/>
      <c r="C279"/>
      <c r="D279"/>
      <c r="E279"/>
      <c r="AR279" s="27" t="s">
        <v>7</v>
      </c>
      <c r="AY279" s="27" t="s">
        <v>8</v>
      </c>
      <c r="BA279" s="27" t="s">
        <v>8</v>
      </c>
      <c r="BB279" s="27" t="s">
        <v>7</v>
      </c>
      <c r="BC279" s="27" t="s">
        <v>8</v>
      </c>
    </row>
    <row r="280" spans="1:62" x14ac:dyDescent="0.25">
      <c r="A280" s="30">
        <v>0.14204568230027562</v>
      </c>
      <c r="B280"/>
      <c r="C280"/>
      <c r="D280"/>
      <c r="E280"/>
      <c r="AR280" s="27" t="s">
        <v>7</v>
      </c>
      <c r="AU280" s="27" t="s">
        <v>8</v>
      </c>
      <c r="AY280" s="27" t="s">
        <v>8</v>
      </c>
      <c r="AZ280" s="27" t="s">
        <v>7</v>
      </c>
      <c r="BA280" s="27" t="s">
        <v>8</v>
      </c>
      <c r="BB280" s="27" t="s">
        <v>7</v>
      </c>
      <c r="BC280" s="27" t="s">
        <v>8</v>
      </c>
    </row>
    <row r="281" spans="1:62" x14ac:dyDescent="0.25">
      <c r="A281" s="30">
        <v>0.13528160219073862</v>
      </c>
      <c r="B281"/>
      <c r="C281"/>
      <c r="D281"/>
      <c r="E281"/>
      <c r="AR281" s="27" t="s">
        <v>7</v>
      </c>
      <c r="AU281" s="27" t="s">
        <v>8</v>
      </c>
      <c r="AV281" s="27" t="s">
        <v>7</v>
      </c>
      <c r="AY281" s="27" t="s">
        <v>8</v>
      </c>
      <c r="AZ281" s="27" t="s">
        <v>7</v>
      </c>
      <c r="BA281" s="27" t="s">
        <v>8</v>
      </c>
      <c r="BB281" s="27" t="s">
        <v>7</v>
      </c>
    </row>
    <row r="282" spans="1:62" x14ac:dyDescent="0.25">
      <c r="A282" s="30">
        <v>0.12883962113403674</v>
      </c>
      <c r="B282"/>
      <c r="C282"/>
      <c r="D282"/>
      <c r="E282"/>
      <c r="AR282" s="27" t="s">
        <v>7</v>
      </c>
      <c r="AU282" s="27" t="s">
        <v>8</v>
      </c>
      <c r="AV282" s="27" t="s">
        <v>7</v>
      </c>
      <c r="AW282" s="27" t="s">
        <v>8</v>
      </c>
      <c r="AY282" s="27" t="s">
        <v>8</v>
      </c>
      <c r="AZ282" s="27" t="s">
        <v>7</v>
      </c>
      <c r="BA282" s="27" t="s">
        <v>8</v>
      </c>
    </row>
    <row r="283" spans="1:62" x14ac:dyDescent="0.25">
      <c r="A283" s="30">
        <v>0.12270440108003494</v>
      </c>
      <c r="B283"/>
      <c r="C283"/>
      <c r="D283"/>
      <c r="E283"/>
      <c r="AR283" s="27" t="s">
        <v>7</v>
      </c>
      <c r="AS283" s="27" t="s">
        <v>8</v>
      </c>
      <c r="AU283" s="27" t="s">
        <v>8</v>
      </c>
      <c r="AV283" s="27" t="s">
        <v>7</v>
      </c>
      <c r="AW283" s="27" t="s">
        <v>8</v>
      </c>
      <c r="AX283" s="27" t="s">
        <v>7</v>
      </c>
      <c r="AY283" s="27" t="s">
        <v>8</v>
      </c>
      <c r="AZ283" s="27" t="s">
        <v>7</v>
      </c>
    </row>
    <row r="284" spans="1:62" x14ac:dyDescent="0.25">
      <c r="A284" s="30">
        <v>0.11686133436193799</v>
      </c>
      <c r="B284"/>
      <c r="C284"/>
      <c r="D284"/>
      <c r="E284"/>
      <c r="AR284" s="27" t="s">
        <v>7</v>
      </c>
      <c r="AS284" s="27" t="s">
        <v>8</v>
      </c>
      <c r="AT284" s="27" t="s">
        <v>7</v>
      </c>
      <c r="AU284" s="27" t="s">
        <v>8</v>
      </c>
      <c r="AV284" s="27" t="s">
        <v>7</v>
      </c>
      <c r="AW284" s="27" t="s">
        <v>8</v>
      </c>
      <c r="AX284" s="27" t="s">
        <v>7</v>
      </c>
      <c r="AY284" s="27" t="s">
        <v>8</v>
      </c>
    </row>
    <row r="285" spans="1:62" x14ac:dyDescent="0.25">
      <c r="A285" s="30">
        <v>0.11129650891613138</v>
      </c>
      <c r="B285"/>
      <c r="C285"/>
      <c r="D285"/>
      <c r="E285"/>
      <c r="AR285" s="27" t="s">
        <v>7</v>
      </c>
      <c r="AS285" s="27" t="s">
        <v>8</v>
      </c>
      <c r="AT285" s="27" t="s">
        <v>7</v>
      </c>
      <c r="AU285" s="27" t="s">
        <v>8</v>
      </c>
      <c r="AV285" s="27" t="s">
        <v>7</v>
      </c>
      <c r="AW285" s="27" t="s">
        <v>8</v>
      </c>
      <c r="AX285" s="27" t="s">
        <v>7</v>
      </c>
    </row>
    <row r="286" spans="1:62" x14ac:dyDescent="0.25">
      <c r="A286" s="30">
        <v>0.10599667515822032</v>
      </c>
      <c r="B286"/>
      <c r="C286"/>
      <c r="D286"/>
      <c r="E286"/>
      <c r="AR286" s="27" t="s">
        <v>7</v>
      </c>
      <c r="AS286" s="27" t="s">
        <v>8</v>
      </c>
      <c r="AT286" s="27" t="s">
        <v>7</v>
      </c>
      <c r="AU286" s="27" t="s">
        <v>8</v>
      </c>
      <c r="AV286" s="27" t="s">
        <v>7</v>
      </c>
    </row>
    <row r="287" spans="1:62" x14ac:dyDescent="0.25">
      <c r="A287" s="30">
        <v>0.10094921443640027</v>
      </c>
      <c r="B287"/>
      <c r="C287"/>
      <c r="D287"/>
      <c r="E287"/>
      <c r="AR287" s="27" t="s">
        <v>7</v>
      </c>
      <c r="AS287" s="27" t="s">
        <v>8</v>
      </c>
      <c r="AT287" s="27" t="s">
        <v>7</v>
      </c>
      <c r="AU287" s="27" t="s">
        <v>8</v>
      </c>
    </row>
    <row r="288" spans="1:62" x14ac:dyDescent="0.25">
      <c r="A288" s="30">
        <v>9.6142108987047836E-2</v>
      </c>
      <c r="B288"/>
      <c r="C288"/>
      <c r="D288"/>
      <c r="E288"/>
      <c r="AR288" s="27" t="s">
        <v>7</v>
      </c>
      <c r="AS288" s="27" t="s">
        <v>8</v>
      </c>
      <c r="AT288" s="27" t="s">
        <v>7</v>
      </c>
      <c r="AU288" s="27" t="s">
        <v>8</v>
      </c>
    </row>
    <row r="289" spans="1:46" x14ac:dyDescent="0.25">
      <c r="A289" s="30">
        <v>9.1563913320997906E-2</v>
      </c>
      <c r="B289"/>
      <c r="C289"/>
      <c r="D289"/>
      <c r="E289"/>
      <c r="AR289" s="27" t="s">
        <v>7</v>
      </c>
      <c r="AS289" s="27" t="s">
        <v>8</v>
      </c>
      <c r="AT289" s="27" t="s">
        <v>7</v>
      </c>
    </row>
    <row r="290" spans="1:46" x14ac:dyDescent="0.25">
      <c r="A290" s="30">
        <v>8.7203726972378923E-2</v>
      </c>
      <c r="B290"/>
      <c r="C290"/>
      <c r="D290"/>
      <c r="E290"/>
      <c r="AR290" s="27" t="s">
        <v>7</v>
      </c>
      <c r="AS290" s="27" t="s">
        <v>8</v>
      </c>
    </row>
    <row r="291" spans="1:46" x14ac:dyDescent="0.25">
      <c r="A291" s="30">
        <v>8.3051168545122747E-2</v>
      </c>
      <c r="B291"/>
      <c r="C291"/>
      <c r="D291"/>
      <c r="E291"/>
      <c r="AR291" s="27" t="s">
        <v>7</v>
      </c>
      <c r="AS291" s="27" t="s">
        <v>8</v>
      </c>
    </row>
    <row r="292" spans="1:46" x14ac:dyDescent="0.25">
      <c r="A292" s="30">
        <v>7.9096350995354961E-2</v>
      </c>
      <c r="B292"/>
      <c r="C292"/>
      <c r="D292"/>
      <c r="E292"/>
      <c r="AR292" s="27" t="s">
        <v>7</v>
      </c>
      <c r="AS292" s="27" t="s">
        <v>8</v>
      </c>
    </row>
    <row r="293" spans="1:46" x14ac:dyDescent="0.25">
      <c r="A293" s="30">
        <v>7.5329858090814217E-2</v>
      </c>
      <c r="B293"/>
      <c r="C293"/>
      <c r="D293"/>
      <c r="E293"/>
      <c r="AR293" s="27" t="s">
        <v>7</v>
      </c>
      <c r="AS293" s="27" t="s">
        <v>8</v>
      </c>
    </row>
    <row r="294" spans="1:46" x14ac:dyDescent="0.25">
      <c r="A294" s="30">
        <v>7.1742721991251604E-2</v>
      </c>
      <c r="B294"/>
      <c r="C294"/>
      <c r="D294"/>
      <c r="E294"/>
      <c r="AR294" s="27" t="s">
        <v>7</v>
      </c>
    </row>
    <row r="295" spans="1:46" x14ac:dyDescent="0.25">
      <c r="A295" s="30">
        <v>6.8326401896430078E-2</v>
      </c>
      <c r="B295"/>
      <c r="C295"/>
      <c r="D295"/>
      <c r="E295"/>
    </row>
    <row r="296" spans="1:46" x14ac:dyDescent="0.25">
      <c r="A296" s="30">
        <v>6.5072763710885759E-2</v>
      </c>
      <c r="B296"/>
      <c r="C296"/>
      <c r="D296"/>
      <c r="E296"/>
    </row>
    <row r="297" spans="1:46" x14ac:dyDescent="0.25">
      <c r="A297" s="30">
        <v>6.197406067703403E-2</v>
      </c>
      <c r="B297"/>
      <c r="C297"/>
      <c r="D297"/>
      <c r="E297"/>
    </row>
    <row r="298" spans="1:46" x14ac:dyDescent="0.25">
      <c r="A298" s="30">
        <v>5.9022914930508576E-2</v>
      </c>
      <c r="B298"/>
      <c r="C298"/>
      <c r="D298"/>
      <c r="E298"/>
    </row>
    <row r="299" spans="1:46" x14ac:dyDescent="0.25">
      <c r="A299" s="30">
        <v>5.6212299933817669E-2</v>
      </c>
      <c r="B299"/>
      <c r="C299"/>
      <c r="D299"/>
      <c r="E299"/>
    </row>
    <row r="300" spans="1:46" x14ac:dyDescent="0.25">
      <c r="A300" s="30">
        <v>5.3535523746492994E-2</v>
      </c>
      <c r="B300"/>
      <c r="C300"/>
      <c r="D300"/>
      <c r="E300"/>
    </row>
    <row r="301" spans="1:46" x14ac:dyDescent="0.25">
      <c r="A301" s="30">
        <v>5.0986213091898068E-2</v>
      </c>
      <c r="B301"/>
      <c r="C301"/>
      <c r="D301"/>
      <c r="E301"/>
    </row>
    <row r="302" spans="1:46" x14ac:dyDescent="0.25">
      <c r="A302" s="30">
        <v>4.8558298182760043E-2</v>
      </c>
      <c r="B302"/>
      <c r="C302"/>
      <c r="D302"/>
      <c r="E302"/>
    </row>
    <row r="303" spans="1:46" x14ac:dyDescent="0.25">
      <c r="A303" s="30">
        <v>4.6245998269295263E-2</v>
      </c>
      <c r="B303"/>
      <c r="C303"/>
      <c r="D303"/>
      <c r="E303"/>
    </row>
    <row r="304" spans="1:46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305" operator="equal">
      <formula>$U$1</formula>
    </cfRule>
    <cfRule type="cellIs" dxfId="67" priority="1306" operator="equal">
      <formula>$S$1</formula>
    </cfRule>
  </conditionalFormatting>
  <conditionalFormatting sqref="D136">
    <cfRule type="cellIs" dxfId="66" priority="1303" operator="equal">
      <formula>$S$1</formula>
    </cfRule>
    <cfRule type="cellIs" dxfId="65" priority="1304" operator="equal">
      <formula>$U$1</formula>
    </cfRule>
  </conditionalFormatting>
  <conditionalFormatting sqref="C162">
    <cfRule type="cellIs" dxfId="64" priority="1301" operator="equal">
      <formula>$U$1</formula>
    </cfRule>
    <cfRule type="cellIs" dxfId="63" priority="1302" operator="equal">
      <formula>$S$1</formula>
    </cfRule>
  </conditionalFormatting>
  <conditionalFormatting sqref="D162">
    <cfRule type="cellIs" dxfId="62" priority="1299" operator="equal">
      <formula>$S$1</formula>
    </cfRule>
    <cfRule type="cellIs" dxfId="61" priority="1300" operator="equal">
      <formula>$U$1</formula>
    </cfRule>
  </conditionalFormatting>
  <conditionalFormatting sqref="C187">
    <cfRule type="cellIs" dxfId="60" priority="1297" operator="equal">
      <formula>$U$1</formula>
    </cfRule>
    <cfRule type="cellIs" dxfId="59" priority="1298" operator="equal">
      <formula>$S$1</formula>
    </cfRule>
  </conditionalFormatting>
  <conditionalFormatting sqref="D187">
    <cfRule type="cellIs" dxfId="58" priority="1295" operator="equal">
      <formula>$S$1</formula>
    </cfRule>
    <cfRule type="cellIs" dxfId="57" priority="1296" operator="equal">
      <formula>$U$1</formula>
    </cfRule>
  </conditionalFormatting>
  <conditionalFormatting sqref="C212">
    <cfRule type="cellIs" dxfId="56" priority="1293" operator="equal">
      <formula>$U$1</formula>
    </cfRule>
    <cfRule type="cellIs" dxfId="55" priority="1294" operator="equal">
      <formula>$S$1</formula>
    </cfRule>
  </conditionalFormatting>
  <conditionalFormatting sqref="D212">
    <cfRule type="cellIs" dxfId="54" priority="1291" operator="equal">
      <formula>$S$1</formula>
    </cfRule>
    <cfRule type="cellIs" dxfId="53" priority="1292" operator="equal">
      <formula>$U$1</formula>
    </cfRule>
  </conditionalFormatting>
  <conditionalFormatting sqref="C237">
    <cfRule type="cellIs" dxfId="52" priority="1289" operator="equal">
      <formula>$U$1</formula>
    </cfRule>
    <cfRule type="cellIs" dxfId="51" priority="1290" operator="equal">
      <formula>$S$1</formula>
    </cfRule>
  </conditionalFormatting>
  <conditionalFormatting sqref="D237">
    <cfRule type="cellIs" dxfId="50" priority="1287" operator="equal">
      <formula>$S$1</formula>
    </cfRule>
    <cfRule type="cellIs" dxfId="49" priority="1288" operator="equal">
      <formula>$U$1</formula>
    </cfRule>
  </conditionalFormatting>
  <conditionalFormatting sqref="C106">
    <cfRule type="cellIs" dxfId="48" priority="1285" operator="equal">
      <formula>$U$1</formula>
    </cfRule>
    <cfRule type="cellIs" dxfId="47" priority="1286" operator="equal">
      <formula>$S$1</formula>
    </cfRule>
  </conditionalFormatting>
  <conditionalFormatting sqref="D106">
    <cfRule type="cellIs" dxfId="46" priority="1283" operator="equal">
      <formula>$S$1</formula>
    </cfRule>
    <cfRule type="cellIs" dxfId="45" priority="1284" operator="equal">
      <formula>$U$1</formula>
    </cfRule>
  </conditionalFormatting>
  <conditionalFormatting sqref="C81">
    <cfRule type="cellIs" dxfId="44" priority="1281" operator="equal">
      <formula>$U$1</formula>
    </cfRule>
    <cfRule type="cellIs" dxfId="43" priority="1282" operator="equal">
      <formula>$S$1</formula>
    </cfRule>
  </conditionalFormatting>
  <conditionalFormatting sqref="D81">
    <cfRule type="cellIs" dxfId="42" priority="1279" operator="equal">
      <formula>$S$1</formula>
    </cfRule>
    <cfRule type="cellIs" dxfId="41" priority="1280" operator="equal">
      <formula>$U$1</formula>
    </cfRule>
  </conditionalFormatting>
  <conditionalFormatting sqref="C56">
    <cfRule type="cellIs" dxfId="40" priority="1277" operator="equal">
      <formula>$U$1</formula>
    </cfRule>
    <cfRule type="cellIs" dxfId="39" priority="1278" operator="equal">
      <formula>$S$1</formula>
    </cfRule>
  </conditionalFormatting>
  <conditionalFormatting sqref="D56">
    <cfRule type="cellIs" dxfId="38" priority="1275" operator="equal">
      <formula>$S$1</formula>
    </cfRule>
    <cfRule type="cellIs" dxfId="37" priority="1276" operator="equal">
      <formula>$U$1</formula>
    </cfRule>
  </conditionalFormatting>
  <conditionalFormatting sqref="C31">
    <cfRule type="cellIs" dxfId="36" priority="1273" operator="equal">
      <formula>$U$1</formula>
    </cfRule>
    <cfRule type="cellIs" dxfId="35" priority="1274" operator="equal">
      <formula>$S$1</formula>
    </cfRule>
  </conditionalFormatting>
  <conditionalFormatting sqref="D31">
    <cfRule type="cellIs" dxfId="34" priority="1271" operator="equal">
      <formula>$S$1</formula>
    </cfRule>
    <cfRule type="cellIs" dxfId="33" priority="127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L131" sqref="BL131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49" x14ac:dyDescent="0.25">
      <c r="A97" s="30">
        <v>9.849732675807628</v>
      </c>
      <c r="E97"/>
    </row>
    <row r="98" spans="1:49" x14ac:dyDescent="0.25">
      <c r="A98" s="30">
        <v>8.9543024325523888</v>
      </c>
      <c r="C98" s="1" t="s">
        <v>13</v>
      </c>
      <c r="E98"/>
    </row>
    <row r="99" spans="1:49" x14ac:dyDescent="0.25">
      <c r="A99" s="30">
        <v>8.140274938683989</v>
      </c>
      <c r="C99" s="1">
        <f>C88</f>
        <v>0</v>
      </c>
      <c r="E99"/>
    </row>
    <row r="100" spans="1:49" x14ac:dyDescent="0.25">
      <c r="A100" s="30">
        <v>7.4002499442581717</v>
      </c>
      <c r="C100"/>
      <c r="D100"/>
      <c r="E100"/>
    </row>
    <row r="101" spans="1:49" x14ac:dyDescent="0.25">
      <c r="A101" s="30">
        <v>6.72749994932561</v>
      </c>
      <c r="C101" s="1" t="s">
        <v>14</v>
      </c>
      <c r="E101"/>
    </row>
    <row r="102" spans="1:49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49" x14ac:dyDescent="0.25">
      <c r="A103" s="30">
        <v>5.5599173134922388</v>
      </c>
      <c r="E103"/>
    </row>
    <row r="104" spans="1:49" x14ac:dyDescent="0.25">
      <c r="A104" s="30">
        <v>5.0544702849929442</v>
      </c>
      <c r="E104"/>
    </row>
    <row r="105" spans="1:49" x14ac:dyDescent="0.25">
      <c r="A105" s="30">
        <v>4.594972986357222</v>
      </c>
      <c r="E105"/>
    </row>
    <row r="106" spans="1:49" x14ac:dyDescent="0.25">
      <c r="A106" s="30">
        <v>4.1772481694156562</v>
      </c>
      <c r="E106"/>
    </row>
    <row r="107" spans="1:49" x14ac:dyDescent="0.25">
      <c r="A107" s="30">
        <v>3.7974983358324148</v>
      </c>
      <c r="E107"/>
    </row>
    <row r="108" spans="1:49" x14ac:dyDescent="0.25">
      <c r="A108" s="30">
        <v>3.4522712143931042</v>
      </c>
      <c r="E108"/>
    </row>
    <row r="109" spans="1:49" x14ac:dyDescent="0.25">
      <c r="A109" s="30">
        <v>3.1384283767210035</v>
      </c>
      <c r="E109"/>
    </row>
    <row r="110" spans="1:49" x14ac:dyDescent="0.25">
      <c r="A110" s="30">
        <v>2.8531167061100029</v>
      </c>
      <c r="E110"/>
    </row>
    <row r="111" spans="1:49" x14ac:dyDescent="0.25">
      <c r="A111" s="30">
        <v>2.5937424601000023</v>
      </c>
      <c r="C111" s="1" t="str">
        <f>ADDRESS(C121-1,1,1,1)</f>
        <v>$A$130</v>
      </c>
      <c r="D111" s="1" t="str">
        <f>ADDRESS(C121-1,D121,1,1)</f>
        <v>$BL$130</v>
      </c>
      <c r="E111"/>
      <c r="AU111" s="27" t="s">
        <v>8</v>
      </c>
    </row>
    <row r="112" spans="1:49" x14ac:dyDescent="0.25">
      <c r="A112" s="30">
        <v>2.3579476910000019</v>
      </c>
      <c r="C112" s="1" t="str">
        <f>ADDRESS(C121,1,1,1)</f>
        <v>$A$131</v>
      </c>
      <c r="D112" s="1" t="str">
        <f>ADDRESS(C121,D121-1,1,1)</f>
        <v>$BK$131</v>
      </c>
      <c r="E112"/>
      <c r="AU112" s="27" t="s">
        <v>8</v>
      </c>
      <c r="AV112" s="27" t="s">
        <v>7</v>
      </c>
      <c r="AW112" s="27" t="s">
        <v>8</v>
      </c>
    </row>
    <row r="113" spans="1:64" x14ac:dyDescent="0.25">
      <c r="A113" s="30">
        <v>2.1435888100000016</v>
      </c>
      <c r="C113" s="1" t="str">
        <f>ADDRESS(C121+1,1,1,1)</f>
        <v>$A$132</v>
      </c>
      <c r="D113" s="1" t="str">
        <f>ADDRESS(C121-1,D121+1,1,1)</f>
        <v>$BM$130</v>
      </c>
      <c r="AS113" s="27" t="s">
        <v>8</v>
      </c>
      <c r="AU113" s="27" t="s">
        <v>8</v>
      </c>
      <c r="AV113" s="27" t="s">
        <v>7</v>
      </c>
      <c r="AW113" s="27" t="s">
        <v>8</v>
      </c>
      <c r="AX113" s="27" t="s">
        <v>7</v>
      </c>
    </row>
    <row r="114" spans="1:64" x14ac:dyDescent="0.25">
      <c r="A114" s="30">
        <v>1.9487171000000014</v>
      </c>
      <c r="C114" s="1" t="str">
        <f>ADDRESS(C121,D121,1,1)</f>
        <v>$BL$131</v>
      </c>
      <c r="D114" s="1" t="str">
        <f>ADDRESS(C121+1,D121+1,1,1)</f>
        <v>$BM$132</v>
      </c>
      <c r="AS114" s="27" t="s">
        <v>8</v>
      </c>
      <c r="AT114" s="27" t="s">
        <v>7</v>
      </c>
      <c r="AU114" s="27" t="s">
        <v>8</v>
      </c>
      <c r="AV114" s="27" t="s">
        <v>7</v>
      </c>
      <c r="AW114" s="27" t="s">
        <v>8</v>
      </c>
      <c r="AX114" s="27" t="s">
        <v>7</v>
      </c>
    </row>
    <row r="115" spans="1:64" x14ac:dyDescent="0.25">
      <c r="A115" s="30">
        <v>1.7715610000000011</v>
      </c>
      <c r="C115" s="1" t="str">
        <f>ADDRESS(C121+1,D121,1,1)</f>
        <v>$BL$132</v>
      </c>
      <c r="AS115" s="27" t="s">
        <v>8</v>
      </c>
      <c r="AT115" s="27" t="s">
        <v>7</v>
      </c>
      <c r="AU115" s="27" t="s">
        <v>8</v>
      </c>
      <c r="AV115" s="27" t="s">
        <v>7</v>
      </c>
      <c r="AW115" s="27" t="s">
        <v>8</v>
      </c>
      <c r="AX115" s="27" t="s">
        <v>7</v>
      </c>
    </row>
    <row r="116" spans="1:64" x14ac:dyDescent="0.25">
      <c r="A116" s="30">
        <v>1.6105100000000008</v>
      </c>
      <c r="C116" s="1">
        <f>C117-1</f>
        <v>130</v>
      </c>
      <c r="AQ116" s="27" t="s">
        <v>8</v>
      </c>
      <c r="AS116" s="27" t="s">
        <v>8</v>
      </c>
      <c r="AT116" s="27" t="s">
        <v>7</v>
      </c>
      <c r="AV116" s="27" t="s">
        <v>7</v>
      </c>
      <c r="AW116" s="27" t="s">
        <v>8</v>
      </c>
      <c r="AX116" s="27" t="s">
        <v>7</v>
      </c>
    </row>
    <row r="117" spans="1:64" x14ac:dyDescent="0.25">
      <c r="A117" s="30">
        <v>1.4641000000000006</v>
      </c>
      <c r="C117" s="1">
        <f>C121</f>
        <v>131</v>
      </c>
      <c r="D117" s="1">
        <f>D121</f>
        <v>64</v>
      </c>
      <c r="AQ117" s="27" t="s">
        <v>8</v>
      </c>
      <c r="AR117" s="27" t="s">
        <v>7</v>
      </c>
      <c r="AS117" s="27" t="s">
        <v>8</v>
      </c>
      <c r="AV117" s="27" t="s">
        <v>7</v>
      </c>
      <c r="AW117" s="27" t="s">
        <v>8</v>
      </c>
      <c r="AX117" s="27" t="s">
        <v>7</v>
      </c>
    </row>
    <row r="118" spans="1:64" x14ac:dyDescent="0.25">
      <c r="A118" s="30">
        <v>1.3310000000000004</v>
      </c>
      <c r="C118" s="1">
        <f>C117+1</f>
        <v>132</v>
      </c>
      <c r="D118" s="1">
        <f>D117+1</f>
        <v>65</v>
      </c>
      <c r="AQ118" s="27" t="s">
        <v>8</v>
      </c>
      <c r="AR118" s="27" t="s">
        <v>7</v>
      </c>
      <c r="AS118" s="27" t="s">
        <v>8</v>
      </c>
      <c r="AV118" s="27" t="s">
        <v>7</v>
      </c>
      <c r="AW118" s="27" t="s">
        <v>8</v>
      </c>
      <c r="AX118" s="27" t="s">
        <v>7</v>
      </c>
    </row>
    <row r="119" spans="1:64" x14ac:dyDescent="0.25">
      <c r="A119" s="30">
        <v>1.2100000000000002</v>
      </c>
      <c r="AM119" s="27" t="s">
        <v>8</v>
      </c>
      <c r="AQ119" s="27" t="s">
        <v>8</v>
      </c>
      <c r="AR119" s="27" t="s">
        <v>7</v>
      </c>
      <c r="AS119" s="27" t="s">
        <v>8</v>
      </c>
      <c r="AV119" s="27" t="s">
        <v>7</v>
      </c>
      <c r="AX119" s="27" t="s">
        <v>7</v>
      </c>
      <c r="BE119" s="27" t="s">
        <v>8</v>
      </c>
      <c r="BG119" s="27" t="s">
        <v>8</v>
      </c>
    </row>
    <row r="120" spans="1:64" x14ac:dyDescent="0.25">
      <c r="A120" s="30">
        <v>1.1000000000000001</v>
      </c>
      <c r="C120" s="1" t="s">
        <v>9</v>
      </c>
      <c r="AM120" s="27" t="s">
        <v>8</v>
      </c>
      <c r="AN120" s="27" t="s">
        <v>7</v>
      </c>
      <c r="AQ120" s="27" t="s">
        <v>8</v>
      </c>
      <c r="AR120" s="27" t="s">
        <v>7</v>
      </c>
      <c r="AX120" s="27" t="s">
        <v>7</v>
      </c>
      <c r="AY120" s="27" t="s">
        <v>8</v>
      </c>
      <c r="BE120" s="27" t="s">
        <v>8</v>
      </c>
      <c r="BF120" s="27" t="s">
        <v>7</v>
      </c>
      <c r="BG120" s="27" t="s">
        <v>8</v>
      </c>
      <c r="BH120" s="27" t="s">
        <v>7</v>
      </c>
      <c r="BI120" s="27" t="s">
        <v>8</v>
      </c>
    </row>
    <row r="121" spans="1:64" x14ac:dyDescent="0.25">
      <c r="A121" s="30">
        <v>1</v>
      </c>
      <c r="C121" s="18">
        <v>131</v>
      </c>
      <c r="D121" s="19">
        <v>64</v>
      </c>
      <c r="E121" s="18" t="s">
        <v>8</v>
      </c>
      <c r="AM121" s="27" t="s">
        <v>8</v>
      </c>
      <c r="AN121" s="27" t="s">
        <v>7</v>
      </c>
      <c r="AQ121" s="27" t="s">
        <v>8</v>
      </c>
      <c r="AX121" s="27" t="s">
        <v>7</v>
      </c>
      <c r="AY121" s="27" t="s">
        <v>8</v>
      </c>
      <c r="AZ121" s="27" t="s">
        <v>7</v>
      </c>
      <c r="BA121" s="27" t="s">
        <v>8</v>
      </c>
      <c r="BE121" s="27" t="s">
        <v>8</v>
      </c>
      <c r="BF121" s="27" t="s">
        <v>7</v>
      </c>
      <c r="BG121" s="27" t="s">
        <v>8</v>
      </c>
      <c r="BH121" s="27" t="s">
        <v>7</v>
      </c>
      <c r="BI121" s="27" t="s">
        <v>8</v>
      </c>
      <c r="BJ121" s="27" t="s">
        <v>7</v>
      </c>
    </row>
    <row r="122" spans="1:64" x14ac:dyDescent="0.25">
      <c r="A122" s="30">
        <v>0.90909090909090895</v>
      </c>
      <c r="C122" s="1" t="str">
        <f>INDEX(1:1048576,C117,D117)</f>
        <v>O</v>
      </c>
      <c r="F122" s="27" t="s">
        <v>7</v>
      </c>
      <c r="AM122" s="27" t="s">
        <v>8</v>
      </c>
      <c r="AN122" s="27" t="s">
        <v>7</v>
      </c>
      <c r="AO122" s="27" t="s">
        <v>8</v>
      </c>
      <c r="AQ122" s="27" t="s">
        <v>8</v>
      </c>
      <c r="AX122" s="27" t="s">
        <v>7</v>
      </c>
      <c r="AY122" s="27" t="s">
        <v>8</v>
      </c>
      <c r="AZ122" s="27" t="s">
        <v>7</v>
      </c>
      <c r="BA122" s="27" t="s">
        <v>8</v>
      </c>
      <c r="BB122" s="27" t="s">
        <v>7</v>
      </c>
      <c r="BE122" s="27" t="s">
        <v>8</v>
      </c>
      <c r="BF122" s="27" t="s">
        <v>7</v>
      </c>
      <c r="BG122" s="27" t="s">
        <v>8</v>
      </c>
      <c r="BH122" s="27" t="s">
        <v>7</v>
      </c>
      <c r="BI122" s="27" t="s">
        <v>8</v>
      </c>
      <c r="BJ122" s="27" t="s">
        <v>7</v>
      </c>
    </row>
    <row r="123" spans="1:64" x14ac:dyDescent="0.25">
      <c r="A123" s="30">
        <v>0.82644628099173523</v>
      </c>
      <c r="C123" s="1" t="str">
        <f>"R"&amp;C121</f>
        <v>R131</v>
      </c>
      <c r="D123" s="1" t="str">
        <f>"C"&amp;D121</f>
        <v>C64</v>
      </c>
      <c r="F123" s="27" t="s">
        <v>7</v>
      </c>
      <c r="AM123" s="27" t="s">
        <v>8</v>
      </c>
      <c r="AN123" s="27" t="s">
        <v>7</v>
      </c>
      <c r="AO123" s="27" t="s">
        <v>8</v>
      </c>
      <c r="AP123" s="27" t="s">
        <v>7</v>
      </c>
      <c r="AQ123" s="27" t="s">
        <v>8</v>
      </c>
      <c r="AX123" s="27" t="s">
        <v>7</v>
      </c>
      <c r="AY123" s="27" t="s">
        <v>8</v>
      </c>
      <c r="AZ123" s="27" t="s">
        <v>7</v>
      </c>
      <c r="BA123" s="27" t="s">
        <v>8</v>
      </c>
      <c r="BB123" s="27" t="s">
        <v>7</v>
      </c>
      <c r="BE123" s="27" t="s">
        <v>8</v>
      </c>
      <c r="BF123" s="27" t="s">
        <v>7</v>
      </c>
      <c r="BG123" s="27" t="s">
        <v>8</v>
      </c>
      <c r="BH123" s="27" t="s">
        <v>7</v>
      </c>
      <c r="BJ123" s="27" t="s">
        <v>7</v>
      </c>
      <c r="BK123" s="27" t="s">
        <v>8</v>
      </c>
    </row>
    <row r="124" spans="1:6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AM124" s="27" t="s">
        <v>8</v>
      </c>
      <c r="AN124" s="27" t="s">
        <v>7</v>
      </c>
      <c r="AO124" s="27" t="s">
        <v>8</v>
      </c>
      <c r="AP124" s="27" t="s">
        <v>7</v>
      </c>
      <c r="AQ124" s="27" t="s">
        <v>8</v>
      </c>
      <c r="AX124" s="27" t="s">
        <v>7</v>
      </c>
      <c r="AZ124" s="27" t="s">
        <v>7</v>
      </c>
      <c r="BA124" s="27" t="s">
        <v>8</v>
      </c>
      <c r="BB124" s="27" t="s">
        <v>7</v>
      </c>
      <c r="BE124" s="27" t="s">
        <v>8</v>
      </c>
      <c r="BF124" s="27" t="s">
        <v>7</v>
      </c>
      <c r="BJ124" s="27" t="s">
        <v>7</v>
      </c>
      <c r="BK124" s="27" t="s">
        <v>8</v>
      </c>
      <c r="BL124" s="27" t="s">
        <v>7</v>
      </c>
    </row>
    <row r="125" spans="1:64" x14ac:dyDescent="0.25">
      <c r="A125" s="30">
        <v>0.68301345536507019</v>
      </c>
      <c r="F125" s="27" t="s">
        <v>7</v>
      </c>
      <c r="AM125" s="27" t="s">
        <v>8</v>
      </c>
      <c r="AN125" s="27" t="s">
        <v>7</v>
      </c>
      <c r="AO125" s="27" t="s">
        <v>8</v>
      </c>
      <c r="AP125" s="27" t="s">
        <v>7</v>
      </c>
      <c r="AZ125" s="27" t="s">
        <v>7</v>
      </c>
      <c r="BA125" s="27" t="s">
        <v>8</v>
      </c>
      <c r="BB125" s="27" t="s">
        <v>7</v>
      </c>
      <c r="BE125" s="27" t="s">
        <v>8</v>
      </c>
      <c r="BJ125" s="27" t="s">
        <v>7</v>
      </c>
      <c r="BK125" s="27" t="s">
        <v>8</v>
      </c>
      <c r="BL125" s="27" t="s">
        <v>7</v>
      </c>
    </row>
    <row r="126" spans="1:64" x14ac:dyDescent="0.25">
      <c r="A126" s="30">
        <v>0.6209213230591546</v>
      </c>
      <c r="C126" s="1" t="s">
        <v>10</v>
      </c>
      <c r="F126" s="27" t="s">
        <v>7</v>
      </c>
      <c r="AM126" s="27" t="s">
        <v>8</v>
      </c>
      <c r="AN126" s="27" t="s">
        <v>7</v>
      </c>
      <c r="AZ126" s="27" t="s">
        <v>7</v>
      </c>
      <c r="BB126" s="27" t="s">
        <v>7</v>
      </c>
      <c r="BC126" s="27" t="s">
        <v>8</v>
      </c>
      <c r="BE126" s="27" t="s">
        <v>8</v>
      </c>
      <c r="BJ126" s="27" t="s">
        <v>7</v>
      </c>
      <c r="BL126" s="27" t="s">
        <v>7</v>
      </c>
    </row>
    <row r="127" spans="1:64" x14ac:dyDescent="0.25">
      <c r="A127" s="30">
        <v>0.56447393005377677</v>
      </c>
      <c r="C127" s="30">
        <v>0.38554328942953109</v>
      </c>
      <c r="D127"/>
      <c r="F127" s="27" t="s">
        <v>7</v>
      </c>
      <c r="Y127" s="27" t="s">
        <v>8</v>
      </c>
      <c r="AM127" s="27" t="s">
        <v>8</v>
      </c>
      <c r="BB127" s="27" t="s">
        <v>7</v>
      </c>
      <c r="BC127" s="27" t="s">
        <v>8</v>
      </c>
      <c r="BD127" s="27" t="s">
        <v>7</v>
      </c>
      <c r="BE127" s="27" t="s">
        <v>8</v>
      </c>
      <c r="BL127" s="27" t="s">
        <v>7</v>
      </c>
    </row>
    <row r="128" spans="1:64" x14ac:dyDescent="0.25">
      <c r="A128" s="30">
        <v>0.51315811823070612</v>
      </c>
      <c r="F128" s="27" t="s">
        <v>7</v>
      </c>
      <c r="Y128" s="27" t="s">
        <v>8</v>
      </c>
      <c r="Z128" s="27" t="s">
        <v>7</v>
      </c>
      <c r="AM128" s="27" t="s">
        <v>8</v>
      </c>
      <c r="BB128" s="27" t="s">
        <v>7</v>
      </c>
      <c r="BC128" s="27" t="s">
        <v>8</v>
      </c>
      <c r="BD128" s="27" t="s">
        <v>7</v>
      </c>
      <c r="BE128" s="27" t="s">
        <v>8</v>
      </c>
      <c r="BL128" s="27" t="s">
        <v>7</v>
      </c>
    </row>
    <row r="129" spans="1:64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U129" s="27" t="s">
        <v>8</v>
      </c>
      <c r="W129" s="27" t="s">
        <v>8</v>
      </c>
      <c r="Y129" s="27" t="s">
        <v>8</v>
      </c>
      <c r="Z129" s="27" t="s">
        <v>7</v>
      </c>
      <c r="AE129" s="27" t="s">
        <v>8</v>
      </c>
      <c r="AK129" s="27" t="s">
        <v>8</v>
      </c>
      <c r="AM129" s="27" t="s">
        <v>8</v>
      </c>
      <c r="BB129" s="27" t="s">
        <v>7</v>
      </c>
      <c r="BD129" s="18" t="s">
        <v>7</v>
      </c>
      <c r="BL129" s="27" t="s">
        <v>7</v>
      </c>
    </row>
    <row r="130" spans="1:64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U130" s="27" t="s">
        <v>8</v>
      </c>
      <c r="V130" s="27" t="s">
        <v>7</v>
      </c>
      <c r="W130" s="27" t="s">
        <v>8</v>
      </c>
      <c r="X130" s="27" t="s">
        <v>7</v>
      </c>
      <c r="Y130" s="27" t="s">
        <v>8</v>
      </c>
      <c r="Z130" s="27" t="s">
        <v>7</v>
      </c>
      <c r="AA130" s="27" t="s">
        <v>8</v>
      </c>
      <c r="AE130" s="27" t="s">
        <v>8</v>
      </c>
      <c r="AF130" s="27" t="s">
        <v>7</v>
      </c>
      <c r="AG130" s="27" t="s">
        <v>8</v>
      </c>
      <c r="AI130" s="27" t="s">
        <v>8</v>
      </c>
      <c r="AK130" s="27" t="s">
        <v>8</v>
      </c>
      <c r="AL130" s="27" t="s">
        <v>7</v>
      </c>
      <c r="AM130" s="27" t="s">
        <v>8</v>
      </c>
      <c r="BL130" s="27" t="s">
        <v>7</v>
      </c>
    </row>
    <row r="131" spans="1:64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U131" s="27" t="s">
        <v>8</v>
      </c>
      <c r="V131" s="27" t="s">
        <v>7</v>
      </c>
      <c r="W131" s="27" t="s">
        <v>8</v>
      </c>
      <c r="X131" s="27" t="s">
        <v>7</v>
      </c>
      <c r="Y131" s="27" t="s">
        <v>8</v>
      </c>
      <c r="Z131" s="27" t="s">
        <v>7</v>
      </c>
      <c r="AA131" s="27" t="s">
        <v>8</v>
      </c>
      <c r="AB131" s="27" t="s">
        <v>7</v>
      </c>
      <c r="AE131" s="27" t="s">
        <v>8</v>
      </c>
      <c r="AF131" s="27" t="s">
        <v>7</v>
      </c>
      <c r="AG131" s="27" t="s">
        <v>8</v>
      </c>
      <c r="AH131" s="27" t="s">
        <v>7</v>
      </c>
      <c r="AI131" s="27" t="s">
        <v>8</v>
      </c>
      <c r="AJ131" s="27" t="s">
        <v>7</v>
      </c>
      <c r="AK131" s="27" t="s">
        <v>8</v>
      </c>
      <c r="AL131" s="27" t="s">
        <v>7</v>
      </c>
      <c r="AM131" s="27" t="s">
        <v>8</v>
      </c>
      <c r="BL131" s="27" t="s">
        <v>7</v>
      </c>
    </row>
    <row r="132" spans="1:64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H132" s="27" t="s">
        <v>7</v>
      </c>
      <c r="M132" s="27" t="s">
        <v>8</v>
      </c>
      <c r="U132" s="27" t="s">
        <v>8</v>
      </c>
      <c r="V132" s="27" t="s">
        <v>7</v>
      </c>
      <c r="W132" s="27" t="s">
        <v>8</v>
      </c>
      <c r="X132" s="27" t="s">
        <v>7</v>
      </c>
      <c r="Z132" s="27" t="s">
        <v>7</v>
      </c>
      <c r="AA132" s="27" t="s">
        <v>8</v>
      </c>
      <c r="AB132" s="27" t="s">
        <v>7</v>
      </c>
      <c r="AE132" s="27" t="s">
        <v>8</v>
      </c>
      <c r="AF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  <c r="AK132" s="27" t="s">
        <v>8</v>
      </c>
      <c r="AL132" s="27" t="s">
        <v>7</v>
      </c>
    </row>
    <row r="133" spans="1:64" x14ac:dyDescent="0.25">
      <c r="A133" s="30">
        <v>0.31863081771035617</v>
      </c>
      <c r="C133" s="1" t="str">
        <f>C122</f>
        <v>O</v>
      </c>
      <c r="E133"/>
      <c r="F133" s="27" t="s">
        <v>7</v>
      </c>
      <c r="G133" s="27" t="s">
        <v>8</v>
      </c>
      <c r="H133" s="27" t="s">
        <v>7</v>
      </c>
      <c r="M133" s="27" t="s">
        <v>8</v>
      </c>
      <c r="N133" s="27" t="s">
        <v>7</v>
      </c>
      <c r="S133" s="27" t="s">
        <v>8</v>
      </c>
      <c r="U133" s="27" t="s">
        <v>8</v>
      </c>
      <c r="V133" s="27" t="s">
        <v>7</v>
      </c>
      <c r="Z133" s="27" t="s">
        <v>7</v>
      </c>
      <c r="AB133" s="27" t="s">
        <v>7</v>
      </c>
      <c r="AC133" s="27" t="s">
        <v>8</v>
      </c>
      <c r="AE133" s="27" t="s">
        <v>8</v>
      </c>
      <c r="AF133" s="27" t="s">
        <v>7</v>
      </c>
      <c r="AH133" s="27" t="s">
        <v>7</v>
      </c>
      <c r="AI133" s="27" t="s">
        <v>8</v>
      </c>
      <c r="AJ133" s="27" t="s">
        <v>7</v>
      </c>
    </row>
    <row r="134" spans="1:64" x14ac:dyDescent="0.25">
      <c r="A134" s="30">
        <v>0.28966437973668741</v>
      </c>
      <c r="C134"/>
      <c r="D134"/>
      <c r="E134"/>
      <c r="F134" s="27" t="s">
        <v>7</v>
      </c>
      <c r="H134" s="27" t="s">
        <v>7</v>
      </c>
      <c r="M134" s="27" t="s">
        <v>8</v>
      </c>
      <c r="N134" s="27" t="s">
        <v>7</v>
      </c>
      <c r="S134" s="27" t="s">
        <v>8</v>
      </c>
      <c r="T134" s="27" t="s">
        <v>7</v>
      </c>
      <c r="U134" s="27" t="s">
        <v>8</v>
      </c>
      <c r="AB134" s="27" t="s">
        <v>7</v>
      </c>
      <c r="AC134" s="27" t="s">
        <v>8</v>
      </c>
      <c r="AD134" s="27" t="s">
        <v>7</v>
      </c>
      <c r="AE134" s="27" t="s">
        <v>8</v>
      </c>
      <c r="AH134" s="27" t="s">
        <v>7</v>
      </c>
    </row>
    <row r="135" spans="1:64" x14ac:dyDescent="0.25">
      <c r="A135" s="30">
        <v>0.2633312543060794</v>
      </c>
      <c r="C135" s="1" t="s">
        <v>14</v>
      </c>
      <c r="E135"/>
      <c r="H135" s="27" t="s">
        <v>7</v>
      </c>
      <c r="K135" s="27" t="s">
        <v>8</v>
      </c>
      <c r="M135" s="27" t="s">
        <v>8</v>
      </c>
      <c r="N135" s="27" t="s">
        <v>7</v>
      </c>
      <c r="Q135" s="27" t="s">
        <v>8</v>
      </c>
      <c r="S135" s="27" t="s">
        <v>8</v>
      </c>
      <c r="T135" s="27" t="s">
        <v>7</v>
      </c>
      <c r="U135" s="27" t="s">
        <v>8</v>
      </c>
      <c r="AB135" s="27" t="s">
        <v>7</v>
      </c>
      <c r="AC135" s="27" t="s">
        <v>8</v>
      </c>
      <c r="AD135" s="27" t="s">
        <v>7</v>
      </c>
      <c r="AE135" s="27" t="s">
        <v>8</v>
      </c>
    </row>
    <row r="136" spans="1:64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H136" s="27" t="s">
        <v>7</v>
      </c>
      <c r="I136" s="27" t="s">
        <v>8</v>
      </c>
      <c r="K136" s="27" t="s">
        <v>8</v>
      </c>
      <c r="L136" s="27" t="s">
        <v>7</v>
      </c>
      <c r="M136" s="27" t="s">
        <v>8</v>
      </c>
      <c r="N136" s="27" t="s">
        <v>7</v>
      </c>
      <c r="Q136" s="27" t="s">
        <v>8</v>
      </c>
      <c r="R136" s="27" t="s">
        <v>7</v>
      </c>
      <c r="S136" s="27" t="s">
        <v>8</v>
      </c>
      <c r="T136" s="27" t="s">
        <v>7</v>
      </c>
      <c r="AB136" s="27" t="s">
        <v>7</v>
      </c>
      <c r="AD136" s="27" t="s">
        <v>7</v>
      </c>
      <c r="AE136" s="27" t="s">
        <v>8</v>
      </c>
    </row>
    <row r="137" spans="1:64" x14ac:dyDescent="0.25">
      <c r="A137" s="30">
        <v>0.2176291357901482</v>
      </c>
      <c r="E137"/>
      <c r="H137" s="27" t="s">
        <v>7</v>
      </c>
      <c r="I137" s="27" t="s">
        <v>8</v>
      </c>
      <c r="J137" s="27" t="s">
        <v>7</v>
      </c>
      <c r="K137" s="27" t="s">
        <v>8</v>
      </c>
      <c r="L137" s="27" t="s">
        <v>7</v>
      </c>
      <c r="M137" s="27" t="s">
        <v>8</v>
      </c>
      <c r="N137" s="27" t="s">
        <v>7</v>
      </c>
      <c r="Q137" s="27" t="s">
        <v>8</v>
      </c>
      <c r="R137" s="27" t="s">
        <v>7</v>
      </c>
      <c r="S137" s="27" t="s">
        <v>8</v>
      </c>
      <c r="AD137" s="27" t="s">
        <v>7</v>
      </c>
    </row>
    <row r="138" spans="1:64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H138" s="27" t="s">
        <v>7</v>
      </c>
      <c r="I138" s="27" t="s">
        <v>8</v>
      </c>
      <c r="J138" s="27" t="s">
        <v>7</v>
      </c>
      <c r="K138" s="27" t="s">
        <v>8</v>
      </c>
      <c r="L138" s="27" t="s">
        <v>7</v>
      </c>
      <c r="M138" s="27" t="s">
        <v>8</v>
      </c>
      <c r="N138" s="27" t="s">
        <v>7</v>
      </c>
      <c r="Q138" s="27" t="s">
        <v>8</v>
      </c>
      <c r="R138" s="27" t="s">
        <v>7</v>
      </c>
      <c r="S138" s="27" t="s">
        <v>8</v>
      </c>
    </row>
    <row r="139" spans="1:64" x14ac:dyDescent="0.25">
      <c r="A139" s="30">
        <v>0.17985878990921333</v>
      </c>
      <c r="E139"/>
      <c r="H139" s="27" t="s">
        <v>7</v>
      </c>
      <c r="J139" s="27" t="s">
        <v>7</v>
      </c>
      <c r="L139" s="27" t="s">
        <v>7</v>
      </c>
      <c r="N139" s="27" t="s">
        <v>7</v>
      </c>
      <c r="Q139" s="27" t="s">
        <v>8</v>
      </c>
      <c r="R139" s="27" t="s">
        <v>7</v>
      </c>
    </row>
    <row r="140" spans="1:64" x14ac:dyDescent="0.25">
      <c r="A140" s="30">
        <v>0.16350799082655756</v>
      </c>
      <c r="C140" s="1">
        <v>0</v>
      </c>
      <c r="E140"/>
      <c r="N140" s="27" t="s">
        <v>7</v>
      </c>
      <c r="Q140" s="27" t="s">
        <v>8</v>
      </c>
    </row>
    <row r="141" spans="1:64" x14ac:dyDescent="0.25">
      <c r="A141" s="30">
        <v>0.14864362802414322</v>
      </c>
      <c r="C141" s="1">
        <v>1</v>
      </c>
      <c r="E141"/>
      <c r="N141" s="27" t="s">
        <v>7</v>
      </c>
      <c r="Q141" s="27" t="s">
        <v>8</v>
      </c>
    </row>
    <row r="142" spans="1:64" x14ac:dyDescent="0.25">
      <c r="A142" s="30">
        <v>0.13513057093103928</v>
      </c>
      <c r="C142" s="1">
        <v>2</v>
      </c>
      <c r="E142"/>
      <c r="N142" s="27" t="s">
        <v>7</v>
      </c>
      <c r="Q142" s="27" t="s">
        <v>8</v>
      </c>
    </row>
    <row r="143" spans="1:64" x14ac:dyDescent="0.25">
      <c r="A143" s="30">
        <v>0.12284597357367205</v>
      </c>
      <c r="C143" s="1">
        <v>3</v>
      </c>
      <c r="E143"/>
      <c r="N143" s="27" t="s">
        <v>7</v>
      </c>
      <c r="O143" s="27" t="s">
        <v>8</v>
      </c>
      <c r="Q143" s="27" t="s">
        <v>8</v>
      </c>
    </row>
    <row r="144" spans="1:64" x14ac:dyDescent="0.25">
      <c r="A144" s="30">
        <v>0.11167815779424731</v>
      </c>
      <c r="C144" s="1">
        <v>4</v>
      </c>
      <c r="E144"/>
      <c r="N144" s="27" t="s">
        <v>7</v>
      </c>
      <c r="O144" s="27" t="s">
        <v>8</v>
      </c>
      <c r="P144" s="27" t="s">
        <v>7</v>
      </c>
      <c r="Q144" s="27" t="s">
        <v>8</v>
      </c>
    </row>
    <row r="145" spans="1:17" x14ac:dyDescent="0.25">
      <c r="A145" s="30">
        <v>0.10152559799477026</v>
      </c>
      <c r="B145"/>
      <c r="C145"/>
      <c r="D145"/>
      <c r="E145"/>
      <c r="N145" s="27" t="s">
        <v>7</v>
      </c>
      <c r="O145" s="27" t="s">
        <v>8</v>
      </c>
      <c r="P145" s="27" t="s">
        <v>7</v>
      </c>
      <c r="Q145" s="27" t="s">
        <v>8</v>
      </c>
    </row>
    <row r="146" spans="1:17" x14ac:dyDescent="0.25">
      <c r="A146" s="30">
        <v>9.2295998177063854E-2</v>
      </c>
      <c r="B146"/>
      <c r="C146"/>
      <c r="D146"/>
      <c r="E146"/>
      <c r="N146" s="27" t="s">
        <v>7</v>
      </c>
      <c r="O146" s="27" t="s">
        <v>8</v>
      </c>
      <c r="P146" s="27" t="s">
        <v>7</v>
      </c>
    </row>
    <row r="147" spans="1:17" x14ac:dyDescent="0.25">
      <c r="A147" s="30">
        <v>8.3905452888239848E-2</v>
      </c>
      <c r="B147"/>
      <c r="C147"/>
      <c r="D147"/>
      <c r="E147"/>
      <c r="N147" s="27" t="s">
        <v>7</v>
      </c>
      <c r="O147" s="27" t="s">
        <v>8</v>
      </c>
    </row>
    <row r="148" spans="1:17" x14ac:dyDescent="0.25">
      <c r="A148" s="30">
        <v>7.6277684443854396E-2</v>
      </c>
      <c r="B148"/>
      <c r="C148"/>
      <c r="D148"/>
      <c r="E148"/>
      <c r="N148" s="27" t="s">
        <v>7</v>
      </c>
    </row>
    <row r="149" spans="1:17" x14ac:dyDescent="0.25">
      <c r="A149" s="30">
        <v>6.9343349494413078E-2</v>
      </c>
      <c r="B149"/>
      <c r="C149"/>
      <c r="D149"/>
      <c r="E149"/>
    </row>
    <row r="150" spans="1:17" x14ac:dyDescent="0.25">
      <c r="A150" s="30">
        <v>6.3039408631284613E-2</v>
      </c>
      <c r="B150"/>
      <c r="C150"/>
      <c r="D150"/>
      <c r="E150"/>
    </row>
    <row r="151" spans="1:17" x14ac:dyDescent="0.25">
      <c r="A151" s="30">
        <v>5.7308553301167818E-2</v>
      </c>
      <c r="B151"/>
      <c r="C151"/>
      <c r="D151"/>
      <c r="E151"/>
    </row>
    <row r="152" spans="1:17" x14ac:dyDescent="0.25">
      <c r="A152" s="30">
        <v>5.2098684819243464E-2</v>
      </c>
      <c r="B152"/>
      <c r="C152"/>
      <c r="D152"/>
      <c r="E152"/>
    </row>
    <row r="153" spans="1:17" x14ac:dyDescent="0.25">
      <c r="A153" s="30">
        <v>4.7362440744766775E-2</v>
      </c>
      <c r="B153"/>
      <c r="C153"/>
      <c r="D153"/>
      <c r="E153"/>
    </row>
    <row r="154" spans="1:17" x14ac:dyDescent="0.25">
      <c r="A154" s="30">
        <v>4.3056764313424332E-2</v>
      </c>
      <c r="B154"/>
      <c r="C154"/>
      <c r="D154"/>
      <c r="E154"/>
    </row>
    <row r="155" spans="1:17" x14ac:dyDescent="0.25">
      <c r="A155" s="30">
        <v>3.9142513012203929E-2</v>
      </c>
      <c r="B155"/>
      <c r="C155"/>
      <c r="D155"/>
      <c r="E155"/>
    </row>
    <row r="156" spans="1:17" x14ac:dyDescent="0.25">
      <c r="A156" s="30">
        <v>3.55841027383672E-2</v>
      </c>
      <c r="B156"/>
      <c r="C156"/>
      <c r="D156"/>
      <c r="E156"/>
    </row>
    <row r="157" spans="1:17" x14ac:dyDescent="0.25">
      <c r="A157" s="30">
        <v>3.2349184307606541E-2</v>
      </c>
      <c r="B157"/>
      <c r="C157"/>
      <c r="D157"/>
      <c r="E157"/>
    </row>
    <row r="158" spans="1:17" x14ac:dyDescent="0.25">
      <c r="A158" s="30">
        <v>2.9408349370551395E-2</v>
      </c>
      <c r="B158"/>
      <c r="C158"/>
      <c r="D158"/>
      <c r="E158"/>
    </row>
    <row r="159" spans="1:17" x14ac:dyDescent="0.25">
      <c r="A159" s="30">
        <v>2.6734863064137627E-2</v>
      </c>
      <c r="B159"/>
      <c r="C159"/>
      <c r="D159"/>
      <c r="E159"/>
    </row>
    <row r="160" spans="1:17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289" operator="equal">
      <formula>$U$1</formula>
    </cfRule>
    <cfRule type="cellIs" dxfId="30" priority="1290" operator="equal">
      <formula>$S$1</formula>
    </cfRule>
  </conditionalFormatting>
  <conditionalFormatting sqref="D136">
    <cfRule type="cellIs" dxfId="29" priority="1287" operator="equal">
      <formula>$S$1</formula>
    </cfRule>
    <cfRule type="cellIs" dxfId="28" priority="1288" operator="equal">
      <formula>$U$1</formula>
    </cfRule>
  </conditionalFormatting>
  <conditionalFormatting sqref="C102">
    <cfRule type="cellIs" dxfId="27" priority="1285" operator="equal">
      <formula>$U$1</formula>
    </cfRule>
    <cfRule type="cellIs" dxfId="26" priority="1286" operator="equal">
      <formula>$S$1</formula>
    </cfRule>
  </conditionalFormatting>
  <conditionalFormatting sqref="D102">
    <cfRule type="cellIs" dxfId="25" priority="1283" operator="equal">
      <formula>$S$1</formula>
    </cfRule>
    <cfRule type="cellIs" dxfId="24" priority="1284" operator="equal">
      <formula>$U$1</formula>
    </cfRule>
  </conditionalFormatting>
  <conditionalFormatting sqref="C77">
    <cfRule type="cellIs" dxfId="23" priority="1281" operator="equal">
      <formula>$U$1</formula>
    </cfRule>
    <cfRule type="cellIs" dxfId="22" priority="1282" operator="equal">
      <formula>$S$1</formula>
    </cfRule>
  </conditionalFormatting>
  <conditionalFormatting sqref="D77">
    <cfRule type="cellIs" dxfId="21" priority="1279" operator="equal">
      <formula>$S$1</formula>
    </cfRule>
    <cfRule type="cellIs" dxfId="20" priority="1280" operator="equal">
      <formula>$U$1</formula>
    </cfRule>
  </conditionalFormatting>
  <conditionalFormatting sqref="C52">
    <cfRule type="cellIs" dxfId="19" priority="1277" operator="equal">
      <formula>$U$1</formula>
    </cfRule>
    <cfRule type="cellIs" dxfId="18" priority="1278" operator="equal">
      <formula>$S$1</formula>
    </cfRule>
  </conditionalFormatting>
  <conditionalFormatting sqref="D52">
    <cfRule type="cellIs" dxfId="17" priority="1275" operator="equal">
      <formula>$S$1</formula>
    </cfRule>
    <cfRule type="cellIs" dxfId="16" priority="1276" operator="equal">
      <formula>$U$1</formula>
    </cfRule>
  </conditionalFormatting>
  <conditionalFormatting sqref="C26">
    <cfRule type="cellIs" dxfId="15" priority="1273" operator="equal">
      <formula>$U$1</formula>
    </cfRule>
    <cfRule type="cellIs" dxfId="14" priority="1274" operator="equal">
      <formula>$S$1</formula>
    </cfRule>
  </conditionalFormatting>
  <conditionalFormatting sqref="D26">
    <cfRule type="cellIs" dxfId="13" priority="1271" operator="equal">
      <formula>$S$1</formula>
    </cfRule>
    <cfRule type="cellIs" dxfId="12" priority="127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2022-01-28T01:22:56Z</dcterms:modified>
</cp:coreProperties>
</file>